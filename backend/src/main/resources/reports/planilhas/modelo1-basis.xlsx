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fileVersion appName="xl" lastEdited="7" lowestEdited="7" rupBuild="24827"/>
  <workbookPr date1904="1" defaultThemeVersion="166925"/>
  <mc:AlternateContent xmlns:mc="http://schemas.openxmlformats.org/markup-compatibility/2006">
    <mc:Choice Requires="x15">
      <x15ac:absPath xmlns:x15ac="http://schemas.microsoft.com/office/spreadsheetml/2010/11/ac" url="C:\Users\Victor\Downloads\"/>
    </mc:Choice>
  </mc:AlternateContent>
  <xr:revisionPtr revIDLastSave="0" documentId="8_{C8BC74DF-98D9-43E6-AE8E-6D2A854F867B}" xr6:coauthVersionLast="47" xr6:coauthVersionMax="47" xr10:uidLastSave="{00000000-0000-0000-0000-000000000000}"/>
  <bookViews>
    <workbookView xWindow="-120" yWindow="-120" windowWidth="29040" windowHeight="15720" tabRatio="732" activeTab="1"/>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cionalidade" sheetId="8" r:id="rId8"/>
    <sheet name="Redução de Prazo" sheetId="9" r:id="rId9"/>
    <sheet name="Esforço" sheetId="10" state="hidden" r:id="rId10"/>
    <sheet name="Tipo Projeto" sheetId="11" r:id="rId11"/>
    <sheet name="Tipo Sistema" sheetId="12" state="hidden" r:id="rId12"/>
  </sheets>
  <definedNames>
    <definedName name="_xlnm._FilterDatabase" localSheetId="2">'AFP - Detalhada'!$C$9:$Q$630</definedName>
    <definedName name="_xlnm._FilterDatabase" localSheetId="4">'AFP - Estimativa'!$D$9:$I$383</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fullCalcOnLoad="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Y11" i="4" l="1"/>
  <c r="AI11" i="4" s="1"/>
  <c r="X11" i="4"/>
  <c r="Y119" i="4"/>
  <c r="X119" i="4"/>
  <c r="I119" i="4"/>
  <c r="C119" i="4"/>
  <c r="Y118" i="4"/>
  <c r="X118" i="4"/>
  <c r="I118" i="4"/>
  <c r="C118" i="4"/>
  <c r="Y117" i="4"/>
  <c r="X117" i="4"/>
  <c r="I117" i="4"/>
  <c r="C117" i="4"/>
  <c r="Y116" i="4"/>
  <c r="X116" i="4"/>
  <c r="I116" i="4"/>
  <c r="C116" i="4"/>
  <c r="Y115" i="4"/>
  <c r="X115" i="4"/>
  <c r="I115" i="4"/>
  <c r="C115" i="4"/>
  <c r="Y114" i="4"/>
  <c r="X114" i="4"/>
  <c r="I114" i="4"/>
  <c r="C114" i="4"/>
  <c r="Y113" i="4"/>
  <c r="X113" i="4"/>
  <c r="I113" i="4"/>
  <c r="C113" i="4"/>
  <c r="Y112" i="4"/>
  <c r="X112" i="4"/>
  <c r="I112" i="4"/>
  <c r="C112" i="4"/>
  <c r="Y111" i="4"/>
  <c r="X111" i="4"/>
  <c r="I111" i="4"/>
  <c r="C111" i="4"/>
  <c r="Y110" i="4"/>
  <c r="X110" i="4"/>
  <c r="I110" i="4"/>
  <c r="C110" i="4"/>
  <c r="I11" i="4"/>
  <c r="C11" i="4"/>
  <c r="AH385" i="4"/>
  <c r="AE383" i="4"/>
  <c r="AH383" i="4" s="1"/>
  <c r="AD383" i="4"/>
  <c r="Y383" i="4"/>
  <c r="X383" i="4"/>
  <c r="AE382" i="4"/>
  <c r="AH382" i="4" s="1"/>
  <c r="AD382" i="4"/>
  <c r="Y382" i="4"/>
  <c r="X382" i="4"/>
  <c r="AE381" i="4"/>
  <c r="AH381" i="4"/>
  <c r="AD381" i="4"/>
  <c r="Y381" i="4"/>
  <c r="X381" i="4"/>
  <c r="AE380" i="4"/>
  <c r="AH380" i="4" s="1"/>
  <c r="AD380" i="4"/>
  <c r="Y380" i="4"/>
  <c r="X380" i="4"/>
  <c r="AE379" i="4"/>
  <c r="AH379" i="4"/>
  <c r="AD379" i="4"/>
  <c r="Y379" i="4"/>
  <c r="X379" i="4"/>
  <c r="AE378" i="4"/>
  <c r="AH378" i="4" s="1"/>
  <c r="AD378" i="4"/>
  <c r="Y378" i="4"/>
  <c r="X378" i="4"/>
  <c r="AE377" i="4"/>
  <c r="AH377" i="4"/>
  <c r="AD377" i="4"/>
  <c r="AF377" i="4"/>
  <c r="AG377" i="4" s="1"/>
  <c r="Y377" i="4"/>
  <c r="X377" i="4"/>
  <c r="AE376" i="4"/>
  <c r="AH376" i="4" s="1"/>
  <c r="AD376" i="4"/>
  <c r="Y376" i="4"/>
  <c r="X376" i="4"/>
  <c r="AE375" i="4"/>
  <c r="AH375" i="4"/>
  <c r="AD375" i="4"/>
  <c r="Y375" i="4"/>
  <c r="X375" i="4"/>
  <c r="AE374" i="4"/>
  <c r="AH374" i="4" s="1"/>
  <c r="AD374" i="4"/>
  <c r="AF374" i="4" s="1"/>
  <c r="AG374" i="4" s="1"/>
  <c r="Y374" i="4"/>
  <c r="X374" i="4"/>
  <c r="AE373" i="4"/>
  <c r="AH373" i="4"/>
  <c r="AD373" i="4"/>
  <c r="Y373" i="4"/>
  <c r="X373" i="4"/>
  <c r="AE372" i="4"/>
  <c r="AH372" i="4" s="1"/>
  <c r="AD372" i="4"/>
  <c r="Y372" i="4"/>
  <c r="X372" i="4"/>
  <c r="AE371" i="4"/>
  <c r="AH371" i="4"/>
  <c r="AD371" i="4"/>
  <c r="Y371" i="4"/>
  <c r="X371" i="4"/>
  <c r="AE370" i="4"/>
  <c r="AH370" i="4" s="1"/>
  <c r="AD370" i="4"/>
  <c r="Y370" i="4"/>
  <c r="X370" i="4"/>
  <c r="AE369" i="4"/>
  <c r="AH369" i="4"/>
  <c r="AD369" i="4"/>
  <c r="Y369" i="4"/>
  <c r="X369" i="4"/>
  <c r="AE368" i="4"/>
  <c r="AH368" i="4" s="1"/>
  <c r="AD368" i="4"/>
  <c r="AF368" i="4" s="1"/>
  <c r="AG368" i="4" s="1"/>
  <c r="Y368" i="4"/>
  <c r="X368" i="4"/>
  <c r="AE367" i="4"/>
  <c r="AH367" i="4"/>
  <c r="AD367" i="4"/>
  <c r="AF367" i="4"/>
  <c r="AG367" i="4" s="1"/>
  <c r="Y367" i="4"/>
  <c r="X367" i="4"/>
  <c r="AE366" i="4"/>
  <c r="AH366" i="4" s="1"/>
  <c r="AD366" i="4"/>
  <c r="Y366" i="4"/>
  <c r="X366" i="4"/>
  <c r="AE365" i="4"/>
  <c r="AH365" i="4"/>
  <c r="AD365" i="4"/>
  <c r="Y365" i="4"/>
  <c r="X365" i="4"/>
  <c r="AE364" i="4"/>
  <c r="AH364" i="4" s="1"/>
  <c r="AD364" i="4"/>
  <c r="Y364" i="4"/>
  <c r="X364" i="4"/>
  <c r="AE363" i="4"/>
  <c r="AH363" i="4" s="1"/>
  <c r="AD363" i="4"/>
  <c r="Y363" i="4"/>
  <c r="X363" i="4"/>
  <c r="AE362" i="4"/>
  <c r="AH362" i="4" s="1"/>
  <c r="AD362" i="4"/>
  <c r="Y362" i="4"/>
  <c r="X362" i="4"/>
  <c r="AE361" i="4"/>
  <c r="AH361" i="4" s="1"/>
  <c r="AD361" i="4"/>
  <c r="Y361" i="4"/>
  <c r="X361" i="4"/>
  <c r="AE360" i="4"/>
  <c r="AH360" i="4" s="1"/>
  <c r="AD360" i="4"/>
  <c r="Y360" i="4"/>
  <c r="X360" i="4"/>
  <c r="AE359" i="4"/>
  <c r="AH359" i="4"/>
  <c r="AD359" i="4"/>
  <c r="Y359" i="4"/>
  <c r="X359" i="4"/>
  <c r="AE358" i="4"/>
  <c r="AH358" i="4" s="1"/>
  <c r="AD358" i="4"/>
  <c r="Y358" i="4"/>
  <c r="X358" i="4"/>
  <c r="AE357" i="4"/>
  <c r="AH357" i="4"/>
  <c r="AD357" i="4"/>
  <c r="Y357" i="4"/>
  <c r="X357" i="4"/>
  <c r="AE356" i="4"/>
  <c r="AH356" i="4" s="1"/>
  <c r="AD356" i="4"/>
  <c r="Y356" i="4"/>
  <c r="X356" i="4"/>
  <c r="AE355" i="4"/>
  <c r="AH355" i="4"/>
  <c r="AD355" i="4"/>
  <c r="Y355" i="4"/>
  <c r="X355" i="4"/>
  <c r="AE354" i="4"/>
  <c r="AH354" i="4" s="1"/>
  <c r="AD354" i="4"/>
  <c r="Y354" i="4"/>
  <c r="X354" i="4"/>
  <c r="AE353" i="4"/>
  <c r="AH353" i="4"/>
  <c r="AD353" i="4"/>
  <c r="Y353" i="4"/>
  <c r="X353" i="4"/>
  <c r="AE352" i="4"/>
  <c r="AH352" i="4" s="1"/>
  <c r="AD352" i="4"/>
  <c r="Y352" i="4"/>
  <c r="X352" i="4"/>
  <c r="AE351" i="4"/>
  <c r="AH351" i="4" s="1"/>
  <c r="AD351" i="4"/>
  <c r="AF351" i="4"/>
  <c r="AG351" i="4" s="1"/>
  <c r="Y351" i="4"/>
  <c r="X351" i="4"/>
  <c r="AE350" i="4"/>
  <c r="AH350" i="4" s="1"/>
  <c r="AD350" i="4"/>
  <c r="Y350" i="4"/>
  <c r="X350" i="4"/>
  <c r="AE349" i="4"/>
  <c r="AH349" i="4" s="1"/>
  <c r="AD349" i="4"/>
  <c r="Y349" i="4"/>
  <c r="X349" i="4"/>
  <c r="AE348" i="4"/>
  <c r="AH348" i="4" s="1"/>
  <c r="AD348" i="4"/>
  <c r="Y348" i="4"/>
  <c r="X348" i="4"/>
  <c r="AE347" i="4"/>
  <c r="AH347" i="4" s="1"/>
  <c r="AD347" i="4"/>
  <c r="Y347" i="4"/>
  <c r="X347" i="4"/>
  <c r="AE346" i="4"/>
  <c r="AH346" i="4" s="1"/>
  <c r="AD346" i="4"/>
  <c r="Y346" i="4"/>
  <c r="X346" i="4"/>
  <c r="AE345" i="4"/>
  <c r="AH345" i="4"/>
  <c r="AD345" i="4"/>
  <c r="Y345" i="4"/>
  <c r="X345" i="4"/>
  <c r="AE344" i="4"/>
  <c r="AH344" i="4"/>
  <c r="AD344" i="4"/>
  <c r="AF344" i="4" s="1"/>
  <c r="AG344" i="4" s="1"/>
  <c r="Y344" i="4"/>
  <c r="X344" i="4"/>
  <c r="AE343" i="4"/>
  <c r="AH343" i="4"/>
  <c r="AD343" i="4"/>
  <c r="Y343" i="4"/>
  <c r="X343" i="4"/>
  <c r="AE342" i="4"/>
  <c r="AH342" i="4"/>
  <c r="AD342" i="4"/>
  <c r="AF342" i="4" s="1"/>
  <c r="AG342" i="4" s="1"/>
  <c r="Y342" i="4"/>
  <c r="X342" i="4"/>
  <c r="AE341" i="4"/>
  <c r="AH341" i="4"/>
  <c r="AD341" i="4"/>
  <c r="Y341" i="4"/>
  <c r="X341" i="4"/>
  <c r="AE340" i="4"/>
  <c r="AH340" i="4"/>
  <c r="AD340" i="4"/>
  <c r="AF340" i="4" s="1"/>
  <c r="AG340" i="4" s="1"/>
  <c r="Y340" i="4"/>
  <c r="X340" i="4"/>
  <c r="AE339" i="4"/>
  <c r="AH339" i="4"/>
  <c r="AD339" i="4"/>
  <c r="AF339" i="4" s="1"/>
  <c r="AG339" i="4" s="1"/>
  <c r="Y339" i="4"/>
  <c r="X339" i="4"/>
  <c r="AE338" i="4"/>
  <c r="AH338" i="4" s="1"/>
  <c r="AD338" i="4"/>
  <c r="Y338" i="4"/>
  <c r="X338" i="4"/>
  <c r="AE337" i="4"/>
  <c r="AH337" i="4"/>
  <c r="AD337" i="4"/>
  <c r="Y337" i="4"/>
  <c r="X337" i="4"/>
  <c r="AE336" i="4"/>
  <c r="AH336" i="4"/>
  <c r="AD336" i="4"/>
  <c r="AF336" i="4" s="1"/>
  <c r="AG336" i="4" s="1"/>
  <c r="Y336" i="4"/>
  <c r="X336" i="4"/>
  <c r="AE335" i="4"/>
  <c r="AH335" i="4"/>
  <c r="AD335" i="4"/>
  <c r="Y335" i="4"/>
  <c r="X335" i="4"/>
  <c r="AE334" i="4"/>
  <c r="AH334" i="4"/>
  <c r="AD334" i="4"/>
  <c r="AF334" i="4" s="1"/>
  <c r="AG334" i="4" s="1"/>
  <c r="Y334" i="4"/>
  <c r="X334" i="4"/>
  <c r="AE333" i="4"/>
  <c r="AH333" i="4"/>
  <c r="AD333" i="4"/>
  <c r="Y333" i="4"/>
  <c r="X333" i="4"/>
  <c r="AE332" i="4"/>
  <c r="AH332" i="4"/>
  <c r="AD332" i="4"/>
  <c r="AF332" i="4" s="1"/>
  <c r="AG332" i="4" s="1"/>
  <c r="Y332" i="4"/>
  <c r="X332" i="4"/>
  <c r="AE331" i="4"/>
  <c r="AH331" i="4"/>
  <c r="AD331" i="4"/>
  <c r="AF331" i="4" s="1"/>
  <c r="AG331" i="4" s="1"/>
  <c r="Y331" i="4"/>
  <c r="X331" i="4"/>
  <c r="AE330" i="4"/>
  <c r="AH330" i="4" s="1"/>
  <c r="AD330" i="4"/>
  <c r="Y330" i="4"/>
  <c r="X330" i="4"/>
  <c r="AE329" i="4"/>
  <c r="AH329" i="4"/>
  <c r="AD329" i="4"/>
  <c r="Y329" i="4"/>
  <c r="X329" i="4"/>
  <c r="AE328" i="4"/>
  <c r="AH328" i="4"/>
  <c r="AD328" i="4"/>
  <c r="Y328" i="4"/>
  <c r="X328" i="4"/>
  <c r="AE327" i="4"/>
  <c r="AH327" i="4"/>
  <c r="AD327" i="4"/>
  <c r="Y327" i="4"/>
  <c r="X327" i="4"/>
  <c r="AE326" i="4"/>
  <c r="AH326" i="4" s="1"/>
  <c r="AD326" i="4"/>
  <c r="Y326" i="4"/>
  <c r="X326" i="4"/>
  <c r="AE325" i="4"/>
  <c r="AH325" i="4"/>
  <c r="AD325" i="4"/>
  <c r="AF325" i="4"/>
  <c r="AG325" i="4" s="1"/>
  <c r="Y325" i="4"/>
  <c r="X325" i="4"/>
  <c r="AE324" i="4"/>
  <c r="AH324" i="4" s="1"/>
  <c r="AD324" i="4"/>
  <c r="Y324" i="4"/>
  <c r="X324" i="4"/>
  <c r="AE323" i="4"/>
  <c r="AH323" i="4"/>
  <c r="AD323" i="4"/>
  <c r="AF323" i="4"/>
  <c r="AG323" i="4" s="1"/>
  <c r="Y323" i="4"/>
  <c r="X323" i="4"/>
  <c r="AE322" i="4"/>
  <c r="AH322" i="4" s="1"/>
  <c r="AD322" i="4"/>
  <c r="Y322" i="4"/>
  <c r="X322" i="4"/>
  <c r="AE321" i="4"/>
  <c r="AH321" i="4"/>
  <c r="AD321" i="4"/>
  <c r="Y321" i="4"/>
  <c r="X321" i="4"/>
  <c r="AE320" i="4"/>
  <c r="AH320" i="4" s="1"/>
  <c r="AD320" i="4"/>
  <c r="Y320" i="4"/>
  <c r="X320" i="4"/>
  <c r="AE319" i="4"/>
  <c r="AH319" i="4"/>
  <c r="AD319" i="4"/>
  <c r="Y319" i="4"/>
  <c r="X319" i="4"/>
  <c r="AE318" i="4"/>
  <c r="AH318" i="4" s="1"/>
  <c r="AD318" i="4"/>
  <c r="Y318" i="4"/>
  <c r="X318" i="4"/>
  <c r="AE317" i="4"/>
  <c r="AH317" i="4"/>
  <c r="AD317" i="4"/>
  <c r="Y317" i="4"/>
  <c r="X317" i="4"/>
  <c r="AE316" i="4"/>
  <c r="AH316" i="4" s="1"/>
  <c r="AD316" i="4"/>
  <c r="Y316" i="4"/>
  <c r="X316" i="4"/>
  <c r="AE315" i="4"/>
  <c r="AF315" i="4" s="1"/>
  <c r="AG315" i="4" s="1"/>
  <c r="AD315" i="4"/>
  <c r="Y315" i="4"/>
  <c r="X315" i="4"/>
  <c r="AE314" i="4"/>
  <c r="AH314" i="4" s="1"/>
  <c r="AD314" i="4"/>
  <c r="Y314" i="4"/>
  <c r="X314" i="4"/>
  <c r="AE313" i="4"/>
  <c r="AF313" i="4" s="1"/>
  <c r="AG313" i="4" s="1"/>
  <c r="AD313" i="4"/>
  <c r="Y313" i="4"/>
  <c r="X313" i="4"/>
  <c r="AE312" i="4"/>
  <c r="AH312" i="4" s="1"/>
  <c r="AD312" i="4"/>
  <c r="Y312" i="4"/>
  <c r="X312" i="4"/>
  <c r="AE311" i="4"/>
  <c r="AH311" i="4" s="1"/>
  <c r="AD311" i="4"/>
  <c r="Y311" i="4"/>
  <c r="X311" i="4"/>
  <c r="AE310" i="4"/>
  <c r="AH310" i="4" s="1"/>
  <c r="AD310" i="4"/>
  <c r="Y310" i="4"/>
  <c r="X310" i="4"/>
  <c r="AE309" i="4"/>
  <c r="AH309" i="4"/>
  <c r="AD309" i="4"/>
  <c r="Y309" i="4"/>
  <c r="X309" i="4"/>
  <c r="AE308" i="4"/>
  <c r="AH308" i="4"/>
  <c r="AD308" i="4"/>
  <c r="Y308" i="4"/>
  <c r="X308" i="4"/>
  <c r="AE307" i="4"/>
  <c r="AH307" i="4"/>
  <c r="AD307" i="4"/>
  <c r="AF307" i="4"/>
  <c r="AG307" i="4" s="1"/>
  <c r="Y307" i="4"/>
  <c r="X307" i="4"/>
  <c r="AE306" i="4"/>
  <c r="AH306" i="4"/>
  <c r="AD306" i="4"/>
  <c r="AF306" i="4" s="1"/>
  <c r="AG306" i="4" s="1"/>
  <c r="Y306" i="4"/>
  <c r="X306" i="4"/>
  <c r="AE305" i="4"/>
  <c r="AH305" i="4"/>
  <c r="AD305" i="4"/>
  <c r="Y305" i="4"/>
  <c r="X305" i="4"/>
  <c r="AE304" i="4"/>
  <c r="AD304" i="4"/>
  <c r="Y304" i="4"/>
  <c r="X304" i="4"/>
  <c r="AE303" i="4"/>
  <c r="AH303" i="4" s="1"/>
  <c r="AD303" i="4"/>
  <c r="Y303" i="4"/>
  <c r="X303" i="4"/>
  <c r="AE302" i="4"/>
  <c r="AH302" i="4" s="1"/>
  <c r="AD302" i="4"/>
  <c r="Y302" i="4"/>
  <c r="X302" i="4"/>
  <c r="AE301" i="4"/>
  <c r="AH301" i="4" s="1"/>
  <c r="AD301" i="4"/>
  <c r="Y301" i="4"/>
  <c r="X301" i="4"/>
  <c r="AE300" i="4"/>
  <c r="AH300" i="4"/>
  <c r="AD300" i="4"/>
  <c r="Y300" i="4"/>
  <c r="X300" i="4"/>
  <c r="AE299" i="4"/>
  <c r="AH299" i="4"/>
  <c r="AD299" i="4"/>
  <c r="Y299" i="4"/>
  <c r="X299" i="4"/>
  <c r="AE298" i="4"/>
  <c r="AH298" i="4" s="1"/>
  <c r="AD298" i="4"/>
  <c r="Y298" i="4"/>
  <c r="X298" i="4"/>
  <c r="AE297" i="4"/>
  <c r="AH297" i="4" s="1"/>
  <c r="AD297" i="4"/>
  <c r="AF297" i="4"/>
  <c r="AG297" i="4"/>
  <c r="Y297" i="4"/>
  <c r="X297" i="4"/>
  <c r="AE296" i="4"/>
  <c r="AH296" i="4"/>
  <c r="AD296" i="4"/>
  <c r="Y296" i="4"/>
  <c r="X296" i="4"/>
  <c r="AE295" i="4"/>
  <c r="AH295" i="4" s="1"/>
  <c r="AD295" i="4"/>
  <c r="AF295" i="4"/>
  <c r="AG295" i="4"/>
  <c r="Y295" i="4"/>
  <c r="X295" i="4"/>
  <c r="AE294" i="4"/>
  <c r="AH294" i="4"/>
  <c r="AD294" i="4"/>
  <c r="Y294" i="4"/>
  <c r="X294" i="4"/>
  <c r="AE293" i="4"/>
  <c r="AH293" i="4" s="1"/>
  <c r="AD293" i="4"/>
  <c r="Y293" i="4"/>
  <c r="X293" i="4"/>
  <c r="AE292" i="4"/>
  <c r="AH292" i="4"/>
  <c r="AD292" i="4"/>
  <c r="AF292" i="4"/>
  <c r="AG292" i="4" s="1"/>
  <c r="Y292" i="4"/>
  <c r="X292" i="4"/>
  <c r="AE291" i="4"/>
  <c r="AH291" i="4" s="1"/>
  <c r="AD291" i="4"/>
  <c r="Y291" i="4"/>
  <c r="X291" i="4"/>
  <c r="AE290" i="4"/>
  <c r="AH290" i="4"/>
  <c r="AD290" i="4"/>
  <c r="Y290" i="4"/>
  <c r="X290" i="4"/>
  <c r="AE289" i="4"/>
  <c r="AH289" i="4" s="1"/>
  <c r="AD289" i="4"/>
  <c r="AF289" i="4" s="1"/>
  <c r="AG289" i="4" s="1"/>
  <c r="Y289" i="4"/>
  <c r="X289" i="4"/>
  <c r="AE288" i="4"/>
  <c r="AH288" i="4"/>
  <c r="AD288" i="4"/>
  <c r="Y288" i="4"/>
  <c r="X288" i="4"/>
  <c r="AE287" i="4"/>
  <c r="AH287" i="4" s="1"/>
  <c r="AD287" i="4"/>
  <c r="Y287" i="4"/>
  <c r="X287" i="4"/>
  <c r="AE286" i="4"/>
  <c r="AH286" i="4"/>
  <c r="AD286" i="4"/>
  <c r="Y286" i="4"/>
  <c r="X286" i="4"/>
  <c r="AE285" i="4"/>
  <c r="AH285" i="4" s="1"/>
  <c r="AD285" i="4"/>
  <c r="Y285" i="4"/>
  <c r="X285" i="4"/>
  <c r="AE284" i="4"/>
  <c r="AH284" i="4" s="1"/>
  <c r="AD284" i="4"/>
  <c r="Y284" i="4"/>
  <c r="X284" i="4"/>
  <c r="AE283" i="4"/>
  <c r="AH283" i="4" s="1"/>
  <c r="AD283" i="4"/>
  <c r="Y283" i="4"/>
  <c r="X283" i="4"/>
  <c r="AE282" i="4"/>
  <c r="AH282" i="4"/>
  <c r="AD282" i="4"/>
  <c r="Y282" i="4"/>
  <c r="X282" i="4"/>
  <c r="AE281" i="4"/>
  <c r="AH281" i="4" s="1"/>
  <c r="AD281" i="4"/>
  <c r="Y281" i="4"/>
  <c r="X281" i="4"/>
  <c r="AE280" i="4"/>
  <c r="AH280" i="4" s="1"/>
  <c r="AD280" i="4"/>
  <c r="Y280" i="4"/>
  <c r="X280" i="4"/>
  <c r="AE279" i="4"/>
  <c r="AH279" i="4" s="1"/>
  <c r="AD279" i="4"/>
  <c r="Y279" i="4"/>
  <c r="X279" i="4"/>
  <c r="AE278" i="4"/>
  <c r="AH278" i="4"/>
  <c r="AD278" i="4"/>
  <c r="AF278" i="4" s="1"/>
  <c r="AG278" i="4" s="1"/>
  <c r="Y278" i="4"/>
  <c r="X278" i="4"/>
  <c r="AE277" i="4"/>
  <c r="AH277" i="4" s="1"/>
  <c r="AD277" i="4"/>
  <c r="Y277" i="4"/>
  <c r="X277" i="4"/>
  <c r="AE276" i="4"/>
  <c r="AH276" i="4"/>
  <c r="AD276" i="4"/>
  <c r="Y276" i="4"/>
  <c r="X276" i="4"/>
  <c r="AE275" i="4"/>
  <c r="AH275" i="4"/>
  <c r="AD275" i="4"/>
  <c r="Y275" i="4"/>
  <c r="X275" i="4"/>
  <c r="AE274" i="4"/>
  <c r="AH274" i="4"/>
  <c r="AD274" i="4"/>
  <c r="Y274" i="4"/>
  <c r="X274" i="4"/>
  <c r="AE273" i="4"/>
  <c r="AH273" i="4" s="1"/>
  <c r="AD273" i="4"/>
  <c r="Y273" i="4"/>
  <c r="X273" i="4"/>
  <c r="AE272" i="4"/>
  <c r="AH272" i="4"/>
  <c r="AD272" i="4"/>
  <c r="AF272" i="4"/>
  <c r="AG272" i="4" s="1"/>
  <c r="Y272" i="4"/>
  <c r="X272" i="4"/>
  <c r="AE271" i="4"/>
  <c r="AH271" i="4" s="1"/>
  <c r="AD271" i="4"/>
  <c r="Y271" i="4"/>
  <c r="X271" i="4"/>
  <c r="AE270" i="4"/>
  <c r="AH270" i="4"/>
  <c r="AD270" i="4"/>
  <c r="Y270" i="4"/>
  <c r="X270" i="4"/>
  <c r="AE269" i="4"/>
  <c r="AH269" i="4" s="1"/>
  <c r="AD269" i="4"/>
  <c r="Y269" i="4"/>
  <c r="X269" i="4"/>
  <c r="AE268" i="4"/>
  <c r="AH268" i="4" s="1"/>
  <c r="AD268" i="4"/>
  <c r="Y268" i="4"/>
  <c r="X268" i="4"/>
  <c r="AE267" i="4"/>
  <c r="AH267" i="4" s="1"/>
  <c r="AD267" i="4"/>
  <c r="AF267" i="4" s="1"/>
  <c r="AG267" i="4" s="1"/>
  <c r="Y267" i="4"/>
  <c r="X267" i="4"/>
  <c r="AE266" i="4"/>
  <c r="AH266" i="4" s="1"/>
  <c r="AD266" i="4"/>
  <c r="Y266" i="4"/>
  <c r="X266" i="4"/>
  <c r="AE265" i="4"/>
  <c r="AH265" i="4" s="1"/>
  <c r="AD265" i="4"/>
  <c r="Y265" i="4"/>
  <c r="X265" i="4"/>
  <c r="AE264" i="4"/>
  <c r="AH264" i="4"/>
  <c r="AD264" i="4"/>
  <c r="Y264" i="4"/>
  <c r="X264" i="4"/>
  <c r="AE263" i="4"/>
  <c r="AH263" i="4" s="1"/>
  <c r="AD263" i="4"/>
  <c r="Y263" i="4"/>
  <c r="X263" i="4"/>
  <c r="AE262" i="4"/>
  <c r="AH262" i="4" s="1"/>
  <c r="AD262" i="4"/>
  <c r="Y262" i="4"/>
  <c r="X262" i="4"/>
  <c r="AE261" i="4"/>
  <c r="AH261" i="4" s="1"/>
  <c r="AD261" i="4"/>
  <c r="Y261" i="4"/>
  <c r="X261" i="4"/>
  <c r="AE260" i="4"/>
  <c r="AH260" i="4"/>
  <c r="AD260" i="4"/>
  <c r="Y260" i="4"/>
  <c r="X260" i="4"/>
  <c r="AE259" i="4"/>
  <c r="AH259" i="4"/>
  <c r="AD259" i="4"/>
  <c r="Y259" i="4"/>
  <c r="X259" i="4"/>
  <c r="AE258" i="4"/>
  <c r="AH258" i="4"/>
  <c r="AD258" i="4"/>
  <c r="Y258" i="4"/>
  <c r="X258" i="4"/>
  <c r="AE257" i="4"/>
  <c r="AH257" i="4" s="1"/>
  <c r="AD257" i="4"/>
  <c r="Y257" i="4"/>
  <c r="X257" i="4"/>
  <c r="AE256" i="4"/>
  <c r="AH256" i="4"/>
  <c r="AD256" i="4"/>
  <c r="Y256" i="4"/>
  <c r="X256" i="4"/>
  <c r="AE255" i="4"/>
  <c r="AH255" i="4" s="1"/>
  <c r="AD255" i="4"/>
  <c r="Y255" i="4"/>
  <c r="X255" i="4"/>
  <c r="AE254" i="4"/>
  <c r="AH254" i="4" s="1"/>
  <c r="AD254" i="4"/>
  <c r="Y254" i="4"/>
  <c r="X254" i="4"/>
  <c r="AH253" i="4"/>
  <c r="AE253" i="4"/>
  <c r="AD253" i="4"/>
  <c r="Y253" i="4"/>
  <c r="X253" i="4"/>
  <c r="AE252" i="4"/>
  <c r="AH252" i="4"/>
  <c r="AD252" i="4"/>
  <c r="Y252" i="4"/>
  <c r="X252" i="4"/>
  <c r="AE251" i="4"/>
  <c r="AH251" i="4" s="1"/>
  <c r="AD251" i="4"/>
  <c r="Y251" i="4"/>
  <c r="X251" i="4"/>
  <c r="AE250" i="4"/>
  <c r="AH250" i="4" s="1"/>
  <c r="AD250" i="4"/>
  <c r="Y250" i="4"/>
  <c r="X250" i="4"/>
  <c r="AE249" i="4"/>
  <c r="AH249" i="4" s="1"/>
  <c r="AD249" i="4"/>
  <c r="Y249" i="4"/>
  <c r="X249" i="4"/>
  <c r="AE248" i="4"/>
  <c r="AH248" i="4"/>
  <c r="AD248" i="4"/>
  <c r="Y248" i="4"/>
  <c r="X248" i="4"/>
  <c r="AE247" i="4"/>
  <c r="AH247" i="4"/>
  <c r="AD247" i="4"/>
  <c r="AF247" i="4" s="1"/>
  <c r="AG247" i="4" s="1"/>
  <c r="Y247" i="4"/>
  <c r="X247" i="4"/>
  <c r="AE246" i="4"/>
  <c r="AH246" i="4"/>
  <c r="AD246" i="4"/>
  <c r="Y246" i="4"/>
  <c r="X246" i="4"/>
  <c r="AE245" i="4"/>
  <c r="AH245" i="4"/>
  <c r="AD245" i="4"/>
  <c r="Y245" i="4"/>
  <c r="X245" i="4"/>
  <c r="AE244" i="4"/>
  <c r="AH244" i="4"/>
  <c r="AD244" i="4"/>
  <c r="Y244" i="4"/>
  <c r="X244" i="4"/>
  <c r="AE243" i="4"/>
  <c r="AH243" i="4" s="1"/>
  <c r="AD243" i="4"/>
  <c r="Y243" i="4"/>
  <c r="X243" i="4"/>
  <c r="AE242" i="4"/>
  <c r="AH242" i="4"/>
  <c r="AD242" i="4"/>
  <c r="Y242" i="4"/>
  <c r="X242" i="4"/>
  <c r="AE241" i="4"/>
  <c r="AH241" i="4" s="1"/>
  <c r="AD241" i="4"/>
  <c r="Y241" i="4"/>
  <c r="X241" i="4"/>
  <c r="AE240" i="4"/>
  <c r="AH240" i="4" s="1"/>
  <c r="AD240" i="4"/>
  <c r="Y240" i="4"/>
  <c r="X240" i="4"/>
  <c r="AE239" i="4"/>
  <c r="AH239" i="4" s="1"/>
  <c r="AD239" i="4"/>
  <c r="Y239" i="4"/>
  <c r="X239" i="4"/>
  <c r="AE238" i="4"/>
  <c r="AD238" i="4"/>
  <c r="Y238" i="4"/>
  <c r="X238" i="4"/>
  <c r="AE237" i="4"/>
  <c r="AH237" i="4"/>
  <c r="AD237" i="4"/>
  <c r="Y237" i="4"/>
  <c r="X237" i="4"/>
  <c r="AE236" i="4"/>
  <c r="AD236" i="4"/>
  <c r="Y236" i="4"/>
  <c r="X236" i="4"/>
  <c r="AE235" i="4"/>
  <c r="AH235" i="4"/>
  <c r="AD235" i="4"/>
  <c r="Y235" i="4"/>
  <c r="X235" i="4"/>
  <c r="AE234" i="4"/>
  <c r="AH234" i="4"/>
  <c r="AD234" i="4"/>
  <c r="Y234" i="4"/>
  <c r="X234" i="4"/>
  <c r="AE233" i="4"/>
  <c r="AH233" i="4" s="1"/>
  <c r="AD233" i="4"/>
  <c r="AF233" i="4"/>
  <c r="AG233" i="4" s="1"/>
  <c r="Y233" i="4"/>
  <c r="X233" i="4"/>
  <c r="AE232" i="4"/>
  <c r="AH232" i="4"/>
  <c r="AD232" i="4"/>
  <c r="Y232" i="4"/>
  <c r="X232" i="4"/>
  <c r="AE231" i="4"/>
  <c r="AH231" i="4" s="1"/>
  <c r="AD231" i="4"/>
  <c r="Y231" i="4"/>
  <c r="X231" i="4"/>
  <c r="AE230" i="4"/>
  <c r="AD230" i="4"/>
  <c r="Y230" i="4"/>
  <c r="X230" i="4"/>
  <c r="AE229" i="4"/>
  <c r="AH229" i="4"/>
  <c r="AD229" i="4"/>
  <c r="Y229" i="4"/>
  <c r="X229" i="4"/>
  <c r="AE228" i="4"/>
  <c r="AH228" i="4"/>
  <c r="AD228" i="4"/>
  <c r="Y228" i="4"/>
  <c r="X228" i="4"/>
  <c r="AE227" i="4"/>
  <c r="AH227" i="4"/>
  <c r="AD227" i="4"/>
  <c r="Y227" i="4"/>
  <c r="X227" i="4"/>
  <c r="AE226" i="4"/>
  <c r="AH226" i="4" s="1"/>
  <c r="AD226" i="4"/>
  <c r="Y226" i="4"/>
  <c r="X226" i="4"/>
  <c r="AE225" i="4"/>
  <c r="AH225" i="4"/>
  <c r="AD225" i="4"/>
  <c r="Y225" i="4"/>
  <c r="X225" i="4"/>
  <c r="AE224" i="4"/>
  <c r="AH224" i="4" s="1"/>
  <c r="AD224" i="4"/>
  <c r="Y224" i="4"/>
  <c r="X224" i="4"/>
  <c r="AE223" i="4"/>
  <c r="AH223" i="4" s="1"/>
  <c r="AD223" i="4"/>
  <c r="Y223" i="4"/>
  <c r="X223" i="4"/>
  <c r="AE222" i="4"/>
  <c r="AH222" i="4" s="1"/>
  <c r="AD222" i="4"/>
  <c r="Y222" i="4"/>
  <c r="X222" i="4"/>
  <c r="AE221" i="4"/>
  <c r="AH221" i="4"/>
  <c r="AD221" i="4"/>
  <c r="AF221" i="4" s="1"/>
  <c r="AG221" i="4" s="1"/>
  <c r="Y221" i="4"/>
  <c r="X221" i="4"/>
  <c r="AE220" i="4"/>
  <c r="AH220" i="4" s="1"/>
  <c r="AD220" i="4"/>
  <c r="Y220" i="4"/>
  <c r="X220" i="4"/>
  <c r="AE219" i="4"/>
  <c r="AH219" i="4"/>
  <c r="AD219" i="4"/>
  <c r="Y219" i="4"/>
  <c r="X219" i="4"/>
  <c r="AE218" i="4"/>
  <c r="AH218" i="4" s="1"/>
  <c r="AD218" i="4"/>
  <c r="Y218" i="4"/>
  <c r="X218" i="4"/>
  <c r="AE217" i="4"/>
  <c r="AH217" i="4" s="1"/>
  <c r="AD217" i="4"/>
  <c r="Y217" i="4"/>
  <c r="X217" i="4"/>
  <c r="AE216" i="4"/>
  <c r="AH216" i="4" s="1"/>
  <c r="AD216" i="4"/>
  <c r="Y216" i="4"/>
  <c r="X216" i="4"/>
  <c r="AE215" i="4"/>
  <c r="AH215" i="4"/>
  <c r="AD215" i="4"/>
  <c r="Y215" i="4"/>
  <c r="X215" i="4"/>
  <c r="AE214" i="4"/>
  <c r="AH214" i="4"/>
  <c r="AD214" i="4"/>
  <c r="Y214" i="4"/>
  <c r="X214" i="4"/>
  <c r="AE213" i="4"/>
  <c r="AH213" i="4"/>
  <c r="AD213" i="4"/>
  <c r="AF213" i="4"/>
  <c r="AG213" i="4" s="1"/>
  <c r="Y213" i="4"/>
  <c r="X213" i="4"/>
  <c r="AE212" i="4"/>
  <c r="AH212" i="4"/>
  <c r="AD212" i="4"/>
  <c r="Y212" i="4"/>
  <c r="X212" i="4"/>
  <c r="AE211" i="4"/>
  <c r="AH211" i="4"/>
  <c r="AD211" i="4"/>
  <c r="Y211" i="4"/>
  <c r="X211" i="4"/>
  <c r="AE210" i="4"/>
  <c r="AH210" i="4" s="1"/>
  <c r="AD210" i="4"/>
  <c r="Y210" i="4"/>
  <c r="X210" i="4"/>
  <c r="AE209" i="4"/>
  <c r="AH209" i="4"/>
  <c r="AD209" i="4"/>
  <c r="Y209" i="4"/>
  <c r="X209" i="4"/>
  <c r="AE208" i="4"/>
  <c r="AH208" i="4" s="1"/>
  <c r="AD208" i="4"/>
  <c r="Y208" i="4"/>
  <c r="X208" i="4"/>
  <c r="AE207" i="4"/>
  <c r="AH207" i="4" s="1"/>
  <c r="AD207" i="4"/>
  <c r="Y207" i="4"/>
  <c r="X207" i="4"/>
  <c r="AE206" i="4"/>
  <c r="AH206" i="4" s="1"/>
  <c r="AD206" i="4"/>
  <c r="Y206" i="4"/>
  <c r="X206" i="4"/>
  <c r="AE205" i="4"/>
  <c r="AH205" i="4"/>
  <c r="AD205" i="4"/>
  <c r="Y205" i="4"/>
  <c r="X205" i="4"/>
  <c r="AE204" i="4"/>
  <c r="AH204" i="4" s="1"/>
  <c r="AD204" i="4"/>
  <c r="Y204" i="4"/>
  <c r="X204" i="4"/>
  <c r="AE203" i="4"/>
  <c r="AD203" i="4"/>
  <c r="Y203" i="4"/>
  <c r="X203" i="4"/>
  <c r="AE202" i="4"/>
  <c r="AH202" i="4" s="1"/>
  <c r="AD202" i="4"/>
  <c r="Y202" i="4"/>
  <c r="X202" i="4"/>
  <c r="AE201" i="4"/>
  <c r="AH201" i="4" s="1"/>
  <c r="AD201" i="4"/>
  <c r="Y201" i="4"/>
  <c r="X201" i="4"/>
  <c r="AE200" i="4"/>
  <c r="AH200" i="4"/>
  <c r="AD200" i="4"/>
  <c r="AF200" i="4" s="1"/>
  <c r="AG200" i="4" s="1"/>
  <c r="Y200" i="4"/>
  <c r="X200" i="4"/>
  <c r="AE199" i="4"/>
  <c r="AD199" i="4"/>
  <c r="Y199" i="4"/>
  <c r="X199" i="4"/>
  <c r="AE198" i="4"/>
  <c r="AH198" i="4" s="1"/>
  <c r="AD198" i="4"/>
  <c r="Y198" i="4"/>
  <c r="X198" i="4"/>
  <c r="AE197" i="4"/>
  <c r="AH197" i="4"/>
  <c r="AD197" i="4"/>
  <c r="Y197" i="4"/>
  <c r="X197" i="4"/>
  <c r="AE196" i="4"/>
  <c r="AH196" i="4" s="1"/>
  <c r="AD196" i="4"/>
  <c r="Y196" i="4"/>
  <c r="X196" i="4"/>
  <c r="AE195" i="4"/>
  <c r="AH195" i="4" s="1"/>
  <c r="AD195" i="4"/>
  <c r="Y195" i="4"/>
  <c r="X195" i="4"/>
  <c r="AE194" i="4"/>
  <c r="AH194" i="4" s="1"/>
  <c r="AD194" i="4"/>
  <c r="Y194" i="4"/>
  <c r="X194" i="4"/>
  <c r="AE193" i="4"/>
  <c r="AH193" i="4"/>
  <c r="AD193" i="4"/>
  <c r="Y193" i="4"/>
  <c r="X193" i="4"/>
  <c r="AE192" i="4"/>
  <c r="AH192" i="4" s="1"/>
  <c r="AD192" i="4"/>
  <c r="Y192" i="4"/>
  <c r="X192" i="4"/>
  <c r="AE191" i="4"/>
  <c r="AH191" i="4" s="1"/>
  <c r="AD191" i="4"/>
  <c r="Y191" i="4"/>
  <c r="X191" i="4"/>
  <c r="AE190" i="4"/>
  <c r="AH190" i="4" s="1"/>
  <c r="AD190" i="4"/>
  <c r="Y190" i="4"/>
  <c r="X190" i="4"/>
  <c r="AE189" i="4"/>
  <c r="AH189" i="4"/>
  <c r="AD189" i="4"/>
  <c r="Y189" i="4"/>
  <c r="X189" i="4"/>
  <c r="AE188" i="4"/>
  <c r="AH188" i="4"/>
  <c r="AD188" i="4"/>
  <c r="Y188" i="4"/>
  <c r="X188" i="4"/>
  <c r="AE187" i="4"/>
  <c r="AH187" i="4"/>
  <c r="AD187" i="4"/>
  <c r="Y187" i="4"/>
  <c r="X187" i="4"/>
  <c r="AE186" i="4"/>
  <c r="AH186" i="4" s="1"/>
  <c r="AD186" i="4"/>
  <c r="Y186" i="4"/>
  <c r="X186" i="4"/>
  <c r="AE185" i="4"/>
  <c r="AH185" i="4"/>
  <c r="AD185" i="4"/>
  <c r="Y185" i="4"/>
  <c r="X185" i="4"/>
  <c r="AE184" i="4"/>
  <c r="AH184" i="4" s="1"/>
  <c r="AD184" i="4"/>
  <c r="Y184" i="4"/>
  <c r="X184" i="4"/>
  <c r="AE183" i="4"/>
  <c r="AD183" i="4"/>
  <c r="Y183" i="4"/>
  <c r="X183" i="4"/>
  <c r="AE182" i="4"/>
  <c r="AH182" i="4"/>
  <c r="AD182" i="4"/>
  <c r="Y182" i="4"/>
  <c r="X182" i="4"/>
  <c r="AE181" i="4"/>
  <c r="AH181" i="4" s="1"/>
  <c r="AD181" i="4"/>
  <c r="Y181" i="4"/>
  <c r="X181" i="4"/>
  <c r="AE180" i="4"/>
  <c r="AH180" i="4"/>
  <c r="AD180" i="4"/>
  <c r="Y180" i="4"/>
  <c r="X180" i="4"/>
  <c r="AE179" i="4"/>
  <c r="AH179" i="4" s="1"/>
  <c r="AD179" i="4"/>
  <c r="Y179" i="4"/>
  <c r="X179" i="4"/>
  <c r="AE178" i="4"/>
  <c r="AH178" i="4" s="1"/>
  <c r="AD178" i="4"/>
  <c r="Y178" i="4"/>
  <c r="X178" i="4"/>
  <c r="AE177" i="4"/>
  <c r="AH177" i="4" s="1"/>
  <c r="AD177" i="4"/>
  <c r="Y177" i="4"/>
  <c r="X177" i="4"/>
  <c r="AE176" i="4"/>
  <c r="AH176" i="4" s="1"/>
  <c r="AD176" i="4"/>
  <c r="AF176" i="4"/>
  <c r="AG176" i="4" s="1"/>
  <c r="Y176" i="4"/>
  <c r="X176" i="4"/>
  <c r="AE175" i="4"/>
  <c r="AH175" i="4" s="1"/>
  <c r="AD175" i="4"/>
  <c r="Y175" i="4"/>
  <c r="X175" i="4"/>
  <c r="AE174" i="4"/>
  <c r="AH174" i="4" s="1"/>
  <c r="AD174" i="4"/>
  <c r="Y174" i="4"/>
  <c r="X174" i="4"/>
  <c r="AE173" i="4"/>
  <c r="AH173" i="4" s="1"/>
  <c r="AD173" i="4"/>
  <c r="AF173" i="4" s="1"/>
  <c r="AG173" i="4" s="1"/>
  <c r="Y173" i="4"/>
  <c r="X173" i="4"/>
  <c r="AE172" i="4"/>
  <c r="AH172" i="4" s="1"/>
  <c r="AD172" i="4"/>
  <c r="Y172" i="4"/>
  <c r="X172" i="4"/>
  <c r="AE171" i="4"/>
  <c r="AH171" i="4" s="1"/>
  <c r="AD171" i="4"/>
  <c r="Y171" i="4"/>
  <c r="X171" i="4"/>
  <c r="AE170" i="4"/>
  <c r="AH170" i="4"/>
  <c r="AD170" i="4"/>
  <c r="AF170" i="4" s="1"/>
  <c r="AG170" i="4" s="1"/>
  <c r="Y170" i="4"/>
  <c r="X170" i="4"/>
  <c r="AE169" i="4"/>
  <c r="AH169" i="4" s="1"/>
  <c r="AD169" i="4"/>
  <c r="Y169" i="4"/>
  <c r="X169" i="4"/>
  <c r="AE168" i="4"/>
  <c r="AH168" i="4"/>
  <c r="AD168" i="4"/>
  <c r="AF168" i="4" s="1"/>
  <c r="AG168" i="4" s="1"/>
  <c r="Y168" i="4"/>
  <c r="X168" i="4"/>
  <c r="AE167" i="4"/>
  <c r="AH167" i="4" s="1"/>
  <c r="AD167" i="4"/>
  <c r="Y167" i="4"/>
  <c r="X167" i="4"/>
  <c r="AE166" i="4"/>
  <c r="AH166" i="4"/>
  <c r="AD166" i="4"/>
  <c r="Y166" i="4"/>
  <c r="X166" i="4"/>
  <c r="AE165" i="4"/>
  <c r="AH165" i="4" s="1"/>
  <c r="AD165" i="4"/>
  <c r="Y165" i="4"/>
  <c r="X165" i="4"/>
  <c r="AE164" i="4"/>
  <c r="AH164" i="4" s="1"/>
  <c r="AD164" i="4"/>
  <c r="Y164" i="4"/>
  <c r="X164" i="4"/>
  <c r="AE163" i="4"/>
  <c r="AH163" i="4" s="1"/>
  <c r="AD163" i="4"/>
  <c r="Y163" i="4"/>
  <c r="X163" i="4"/>
  <c r="AE162" i="4"/>
  <c r="AH162" i="4"/>
  <c r="AD162" i="4"/>
  <c r="Y162" i="4"/>
  <c r="X162" i="4"/>
  <c r="AE161" i="4"/>
  <c r="AH161" i="4"/>
  <c r="AD161" i="4"/>
  <c r="Y161" i="4"/>
  <c r="X161" i="4"/>
  <c r="AE160" i="4"/>
  <c r="AH160" i="4"/>
  <c r="AD160" i="4"/>
  <c r="Y160" i="4"/>
  <c r="X160" i="4"/>
  <c r="AE159" i="4"/>
  <c r="AH159" i="4"/>
  <c r="AD159" i="4"/>
  <c r="Y159" i="4"/>
  <c r="X159" i="4"/>
  <c r="AE158" i="4"/>
  <c r="AH158" i="4"/>
  <c r="AD158" i="4"/>
  <c r="Y158" i="4"/>
  <c r="X158" i="4"/>
  <c r="AE157" i="4"/>
  <c r="AH157" i="4" s="1"/>
  <c r="AD157" i="4"/>
  <c r="Y157" i="4"/>
  <c r="X157" i="4"/>
  <c r="AE156" i="4"/>
  <c r="AH156" i="4" s="1"/>
  <c r="AD156" i="4"/>
  <c r="Y156" i="4"/>
  <c r="X156" i="4"/>
  <c r="AE155" i="4"/>
  <c r="AH155" i="4" s="1"/>
  <c r="AD155" i="4"/>
  <c r="Y155" i="4"/>
  <c r="X155" i="4"/>
  <c r="AE154" i="4"/>
  <c r="AH154" i="4"/>
  <c r="AD154" i="4"/>
  <c r="Y154" i="4"/>
  <c r="X154" i="4"/>
  <c r="AE153" i="4"/>
  <c r="AH153" i="4" s="1"/>
  <c r="AD153" i="4"/>
  <c r="Y153" i="4"/>
  <c r="X153" i="4"/>
  <c r="AE152" i="4"/>
  <c r="AH152" i="4" s="1"/>
  <c r="AD152" i="4"/>
  <c r="AF152" i="4"/>
  <c r="AG152" i="4"/>
  <c r="Y152" i="4"/>
  <c r="X152" i="4"/>
  <c r="AE151" i="4"/>
  <c r="AD151" i="4"/>
  <c r="Y151" i="4"/>
  <c r="X151" i="4"/>
  <c r="AE150" i="4"/>
  <c r="AH150" i="4" s="1"/>
  <c r="AD150" i="4"/>
  <c r="Y150" i="4"/>
  <c r="X150" i="4"/>
  <c r="AE149" i="4"/>
  <c r="AH149" i="4" s="1"/>
  <c r="AD149" i="4"/>
  <c r="Y149" i="4"/>
  <c r="X149" i="4"/>
  <c r="AE148" i="4"/>
  <c r="AH148" i="4" s="1"/>
  <c r="AD148" i="4"/>
  <c r="Y148" i="4"/>
  <c r="X148" i="4"/>
  <c r="AE147" i="4"/>
  <c r="AH147" i="4"/>
  <c r="AD147" i="4"/>
  <c r="AF147" i="4" s="1"/>
  <c r="AG147" i="4" s="1"/>
  <c r="Y147" i="4"/>
  <c r="X147" i="4"/>
  <c r="AE146" i="4"/>
  <c r="AH146" i="4" s="1"/>
  <c r="AD146" i="4"/>
  <c r="Y146" i="4"/>
  <c r="X146" i="4"/>
  <c r="AE145" i="4"/>
  <c r="AH145" i="4"/>
  <c r="AD145" i="4"/>
  <c r="Y145" i="4"/>
  <c r="X145" i="4"/>
  <c r="AE144" i="4"/>
  <c r="AH144" i="4" s="1"/>
  <c r="AD144" i="4"/>
  <c r="Y144" i="4"/>
  <c r="X144" i="4"/>
  <c r="AE143" i="4"/>
  <c r="AH143" i="4" s="1"/>
  <c r="AD143" i="4"/>
  <c r="Y143" i="4"/>
  <c r="X143" i="4"/>
  <c r="AE142" i="4"/>
  <c r="AH142" i="4" s="1"/>
  <c r="AD142" i="4"/>
  <c r="Y142" i="4"/>
  <c r="X142" i="4"/>
  <c r="AE141" i="4"/>
  <c r="AH141" i="4"/>
  <c r="AD141" i="4"/>
  <c r="Y141" i="4"/>
  <c r="X141" i="4"/>
  <c r="AE140" i="4"/>
  <c r="AH140" i="4"/>
  <c r="AD140" i="4"/>
  <c r="Y140" i="4"/>
  <c r="X140" i="4"/>
  <c r="AE139" i="4"/>
  <c r="AH139" i="4"/>
  <c r="AD139" i="4"/>
  <c r="Y139" i="4"/>
  <c r="X139" i="4"/>
  <c r="AE138" i="4"/>
  <c r="AH138" i="4"/>
  <c r="AD138" i="4"/>
  <c r="Y138" i="4"/>
  <c r="X138" i="4"/>
  <c r="AE137" i="4"/>
  <c r="AH137" i="4"/>
  <c r="AD137" i="4"/>
  <c r="Y137" i="4"/>
  <c r="X137" i="4"/>
  <c r="AE136" i="4"/>
  <c r="AH136" i="4" s="1"/>
  <c r="AD136" i="4"/>
  <c r="Y136" i="4"/>
  <c r="X136" i="4"/>
  <c r="AE135" i="4"/>
  <c r="AH135" i="4" s="1"/>
  <c r="AD135" i="4"/>
  <c r="Y135" i="4"/>
  <c r="X135" i="4"/>
  <c r="AE134" i="4"/>
  <c r="AH134" i="4" s="1"/>
  <c r="AD134" i="4"/>
  <c r="Y134" i="4"/>
  <c r="X134" i="4"/>
  <c r="AE133" i="4"/>
  <c r="AH133" i="4"/>
  <c r="AD133" i="4"/>
  <c r="AF133" i="4" s="1"/>
  <c r="AG133" i="4" s="1"/>
  <c r="Y133" i="4"/>
  <c r="X133" i="4"/>
  <c r="AE132" i="4"/>
  <c r="AH132" i="4" s="1"/>
  <c r="AD132" i="4"/>
  <c r="Y132" i="4"/>
  <c r="X132" i="4"/>
  <c r="AE131" i="4"/>
  <c r="AH131" i="4"/>
  <c r="AD131" i="4"/>
  <c r="Y131" i="4"/>
  <c r="X131" i="4"/>
  <c r="AE130" i="4"/>
  <c r="AH130" i="4" s="1"/>
  <c r="AD130" i="4"/>
  <c r="Y130" i="4"/>
  <c r="X130" i="4"/>
  <c r="AE129" i="4"/>
  <c r="AH129" i="4" s="1"/>
  <c r="AD129" i="4"/>
  <c r="Y129" i="4"/>
  <c r="X129" i="4"/>
  <c r="AE128" i="4"/>
  <c r="AH128" i="4" s="1"/>
  <c r="AD128" i="4"/>
  <c r="AF128" i="4" s="1"/>
  <c r="AG128" i="4"/>
  <c r="Y128" i="4"/>
  <c r="X128" i="4"/>
  <c r="AE127" i="4"/>
  <c r="AH127" i="4" s="1"/>
  <c r="AD127" i="4"/>
  <c r="Y127" i="4"/>
  <c r="X127" i="4"/>
  <c r="AE126" i="4"/>
  <c r="AH126" i="4" s="1"/>
  <c r="AD126" i="4"/>
  <c r="Y126" i="4"/>
  <c r="X126" i="4"/>
  <c r="AE125" i="4"/>
  <c r="AH125" i="4"/>
  <c r="AD125" i="4"/>
  <c r="AF125" i="4" s="1"/>
  <c r="AG125" i="4" s="1"/>
  <c r="Y125" i="4"/>
  <c r="X125" i="4"/>
  <c r="AE124" i="4"/>
  <c r="AH124" i="4" s="1"/>
  <c r="AD124" i="4"/>
  <c r="Y124" i="4"/>
  <c r="X124" i="4"/>
  <c r="AE123" i="4"/>
  <c r="AH123" i="4"/>
  <c r="AD123" i="4"/>
  <c r="Y123" i="4"/>
  <c r="X123" i="4"/>
  <c r="AE122" i="4"/>
  <c r="AH122" i="4"/>
  <c r="AD122" i="4"/>
  <c r="Y122" i="4"/>
  <c r="X122" i="4"/>
  <c r="AE121" i="4"/>
  <c r="AH121" i="4"/>
  <c r="AD121" i="4"/>
  <c r="Y121" i="4"/>
  <c r="X121" i="4"/>
  <c r="AE120" i="4"/>
  <c r="AH120" i="4"/>
  <c r="AD120" i="4"/>
  <c r="AF120" i="4"/>
  <c r="AG120" i="4" s="1"/>
  <c r="Y120" i="4"/>
  <c r="X120" i="4"/>
  <c r="AE119" i="4"/>
  <c r="AH119" i="4"/>
  <c r="AD119" i="4"/>
  <c r="AE118" i="4"/>
  <c r="AH118" i="4" s="1"/>
  <c r="AD118" i="4"/>
  <c r="AE117" i="4"/>
  <c r="AH117" i="4"/>
  <c r="AD117" i="4"/>
  <c r="AE116" i="4"/>
  <c r="AH116" i="4" s="1"/>
  <c r="AD116" i="4"/>
  <c r="AE115" i="4"/>
  <c r="AH115" i="4"/>
  <c r="AD115" i="4"/>
  <c r="AF115" i="4"/>
  <c r="AG115" i="4" s="1"/>
  <c r="AE114" i="4"/>
  <c r="AH114" i="4"/>
  <c r="AD114" i="4"/>
  <c r="AE113" i="4"/>
  <c r="AH113" i="4" s="1"/>
  <c r="AD113" i="4"/>
  <c r="AE112" i="4"/>
  <c r="AH112" i="4" s="1"/>
  <c r="AD112" i="4"/>
  <c r="AE111" i="4"/>
  <c r="AH111" i="4"/>
  <c r="AD111" i="4"/>
  <c r="AE110" i="4"/>
  <c r="AH110" i="4"/>
  <c r="AD110" i="4"/>
  <c r="AE109" i="4"/>
  <c r="AH109" i="4" s="1"/>
  <c r="AD109" i="4"/>
  <c r="AF109" i="4"/>
  <c r="AG109" i="4" s="1"/>
  <c r="Y109" i="4"/>
  <c r="X109" i="4"/>
  <c r="AE108" i="4"/>
  <c r="AH108" i="4" s="1"/>
  <c r="AD108" i="4"/>
  <c r="Y108" i="4"/>
  <c r="X108" i="4"/>
  <c r="AE107" i="4"/>
  <c r="AH107" i="4" s="1"/>
  <c r="AD107" i="4"/>
  <c r="AF107" i="4"/>
  <c r="AG107" i="4" s="1"/>
  <c r="Y107" i="4"/>
  <c r="X107" i="4"/>
  <c r="AE106" i="4"/>
  <c r="AH106" i="4" s="1"/>
  <c r="AD106" i="4"/>
  <c r="Y106" i="4"/>
  <c r="X106" i="4"/>
  <c r="AE105" i="4"/>
  <c r="AH105" i="4" s="1"/>
  <c r="AD105" i="4"/>
  <c r="AF105" i="4"/>
  <c r="AG105" i="4" s="1"/>
  <c r="Y105" i="4"/>
  <c r="X105" i="4"/>
  <c r="AE104" i="4"/>
  <c r="AH104" i="4" s="1"/>
  <c r="AD104" i="4"/>
  <c r="Y104" i="4"/>
  <c r="X104" i="4"/>
  <c r="AE103" i="4"/>
  <c r="AH103" i="4" s="1"/>
  <c r="AD103" i="4"/>
  <c r="Y103" i="4"/>
  <c r="X103" i="4"/>
  <c r="AE102" i="4"/>
  <c r="AH102" i="4" s="1"/>
  <c r="AD102" i="4"/>
  <c r="Y102" i="4"/>
  <c r="X102" i="4"/>
  <c r="AE101" i="4"/>
  <c r="AH101" i="4" s="1"/>
  <c r="AD101" i="4"/>
  <c r="Y101" i="4"/>
  <c r="X101" i="4"/>
  <c r="AE100" i="4"/>
  <c r="AH100" i="4" s="1"/>
  <c r="AD100" i="4"/>
  <c r="Y100" i="4"/>
  <c r="X100" i="4"/>
  <c r="AE99" i="4"/>
  <c r="AH99" i="4"/>
  <c r="AD99" i="4"/>
  <c r="Y99" i="4"/>
  <c r="X99" i="4"/>
  <c r="AE98" i="4"/>
  <c r="AH98" i="4" s="1"/>
  <c r="AD98" i="4"/>
  <c r="Y98" i="4"/>
  <c r="X98" i="4"/>
  <c r="AE97" i="4"/>
  <c r="AH97" i="4" s="1"/>
  <c r="AD97" i="4"/>
  <c r="Y97" i="4"/>
  <c r="X97" i="4"/>
  <c r="AE96" i="4"/>
  <c r="AH96" i="4" s="1"/>
  <c r="AD96" i="4"/>
  <c r="Y96" i="4"/>
  <c r="X96" i="4"/>
  <c r="AE95" i="4"/>
  <c r="AH95" i="4"/>
  <c r="AD95" i="4"/>
  <c r="Y95" i="4"/>
  <c r="X95" i="4"/>
  <c r="AE94" i="4"/>
  <c r="AH94" i="4"/>
  <c r="AD94" i="4"/>
  <c r="Y94" i="4"/>
  <c r="X94" i="4"/>
  <c r="AE93" i="4"/>
  <c r="AH93" i="4"/>
  <c r="AD93" i="4"/>
  <c r="AF93" i="4"/>
  <c r="AG93" i="4" s="1"/>
  <c r="Y93" i="4"/>
  <c r="X93" i="4"/>
  <c r="AE92" i="4"/>
  <c r="AH92" i="4"/>
  <c r="AD92" i="4"/>
  <c r="Y92" i="4"/>
  <c r="X92" i="4"/>
  <c r="AE91" i="4"/>
  <c r="AH91" i="4"/>
  <c r="AD91" i="4"/>
  <c r="Y91" i="4"/>
  <c r="X91" i="4"/>
  <c r="AE90" i="4"/>
  <c r="AH90" i="4"/>
  <c r="AD90" i="4"/>
  <c r="Y90" i="4"/>
  <c r="X90" i="4"/>
  <c r="AE89" i="4"/>
  <c r="AH89" i="4"/>
  <c r="AD89" i="4"/>
  <c r="Y89" i="4"/>
  <c r="X89" i="4"/>
  <c r="AE88" i="4"/>
  <c r="AH88" i="4" s="1"/>
  <c r="AD88" i="4"/>
  <c r="Y88" i="4"/>
  <c r="X88" i="4"/>
  <c r="AE87" i="4"/>
  <c r="AH87" i="4" s="1"/>
  <c r="AD87" i="4"/>
  <c r="Y87" i="4"/>
  <c r="X87" i="4"/>
  <c r="AE86" i="4"/>
  <c r="AH86" i="4" s="1"/>
  <c r="AD86" i="4"/>
  <c r="Y86" i="4"/>
  <c r="X86" i="4"/>
  <c r="AE85" i="4"/>
  <c r="AH85" i="4"/>
  <c r="AD85" i="4"/>
  <c r="Y85" i="4"/>
  <c r="X85" i="4"/>
  <c r="AE84" i="4"/>
  <c r="AH84" i="4" s="1"/>
  <c r="AD84" i="4"/>
  <c r="Y84" i="4"/>
  <c r="X84" i="4"/>
  <c r="AE83" i="4"/>
  <c r="AH83" i="4"/>
  <c r="AD83" i="4"/>
  <c r="AF83" i="4" s="1"/>
  <c r="AG83" i="4" s="1"/>
  <c r="Y83" i="4"/>
  <c r="X83" i="4"/>
  <c r="AE82" i="4"/>
  <c r="AH82" i="4" s="1"/>
  <c r="AD82" i="4"/>
  <c r="Y82" i="4"/>
  <c r="X82" i="4"/>
  <c r="AE81" i="4"/>
  <c r="AD81" i="4"/>
  <c r="Y81" i="4"/>
  <c r="X81" i="4"/>
  <c r="AE80" i="4"/>
  <c r="AH80" i="4" s="1"/>
  <c r="AD80" i="4"/>
  <c r="Y80" i="4"/>
  <c r="X80" i="4"/>
  <c r="AE79" i="4"/>
  <c r="AH79" i="4" s="1"/>
  <c r="AD79" i="4"/>
  <c r="Y79" i="4"/>
  <c r="X79" i="4"/>
  <c r="AE78" i="4"/>
  <c r="AH78" i="4" s="1"/>
  <c r="AD78" i="4"/>
  <c r="AF78" i="4" s="1"/>
  <c r="AG78" i="4" s="1"/>
  <c r="Y78" i="4"/>
  <c r="X78" i="4"/>
  <c r="AE77" i="4"/>
  <c r="AH77" i="4" s="1"/>
  <c r="AD77" i="4"/>
  <c r="Y77" i="4"/>
  <c r="X77" i="4"/>
  <c r="AE76" i="4"/>
  <c r="AH76" i="4"/>
  <c r="AD76" i="4"/>
  <c r="Y76" i="4"/>
  <c r="X76" i="4"/>
  <c r="AE75" i="4"/>
  <c r="AH75" i="4" s="1"/>
  <c r="AD75" i="4"/>
  <c r="Y75" i="4"/>
  <c r="X75" i="4"/>
  <c r="AE74" i="4"/>
  <c r="AH74" i="4" s="1"/>
  <c r="AD74" i="4"/>
  <c r="Y74" i="4"/>
  <c r="X74" i="4"/>
  <c r="AE73" i="4"/>
  <c r="AH73" i="4" s="1"/>
  <c r="AD73" i="4"/>
  <c r="Y73" i="4"/>
  <c r="X73" i="4"/>
  <c r="AE72" i="4"/>
  <c r="AH72" i="4"/>
  <c r="AD72" i="4"/>
  <c r="Y72" i="4"/>
  <c r="X72" i="4"/>
  <c r="AE71" i="4"/>
  <c r="AH71" i="4" s="1"/>
  <c r="AF71" i="4"/>
  <c r="AG71" i="4" s="1"/>
  <c r="AD71" i="4"/>
  <c r="Y71" i="4"/>
  <c r="X71" i="4"/>
  <c r="AE70" i="4"/>
  <c r="AH70" i="4"/>
  <c r="AD70" i="4"/>
  <c r="Y70" i="4"/>
  <c r="X70" i="4"/>
  <c r="AE69" i="4"/>
  <c r="AH69" i="4"/>
  <c r="AD69" i="4"/>
  <c r="Y69" i="4"/>
  <c r="X69" i="4"/>
  <c r="AE68" i="4"/>
  <c r="AH68" i="4"/>
  <c r="AD68" i="4"/>
  <c r="Y68" i="4"/>
  <c r="X68" i="4"/>
  <c r="AE67" i="4"/>
  <c r="AD67" i="4"/>
  <c r="Y67" i="4"/>
  <c r="X67" i="4"/>
  <c r="AE66" i="4"/>
  <c r="AH66" i="4" s="1"/>
  <c r="AD66" i="4"/>
  <c r="Y66" i="4"/>
  <c r="X66" i="4"/>
  <c r="AE65" i="4"/>
  <c r="AH65" i="4"/>
  <c r="AD65" i="4"/>
  <c r="Y65" i="4"/>
  <c r="X65" i="4"/>
  <c r="AE64" i="4"/>
  <c r="AH64" i="4"/>
  <c r="AD64" i="4"/>
  <c r="Y64" i="4"/>
  <c r="X64" i="4"/>
  <c r="AE63" i="4"/>
  <c r="AH63" i="4"/>
  <c r="AD63" i="4"/>
  <c r="Y63" i="4"/>
  <c r="X63" i="4"/>
  <c r="AE62" i="4"/>
  <c r="AH62" i="4"/>
  <c r="AD62" i="4"/>
  <c r="Y62" i="4"/>
  <c r="X62" i="4"/>
  <c r="AE61" i="4"/>
  <c r="AH61" i="4"/>
  <c r="AD61" i="4"/>
  <c r="Y61" i="4"/>
  <c r="X61" i="4"/>
  <c r="AE60" i="4"/>
  <c r="AH60" i="4" s="1"/>
  <c r="AD60" i="4"/>
  <c r="Y60" i="4"/>
  <c r="X60" i="4"/>
  <c r="AE59" i="4"/>
  <c r="AH59" i="4" s="1"/>
  <c r="AD59" i="4"/>
  <c r="Y59" i="4"/>
  <c r="X59" i="4"/>
  <c r="AE58" i="4"/>
  <c r="AH58" i="4" s="1"/>
  <c r="AD58" i="4"/>
  <c r="Y58" i="4"/>
  <c r="X58" i="4"/>
  <c r="AE57" i="4"/>
  <c r="AF57" i="4"/>
  <c r="AG57" i="4"/>
  <c r="AD57" i="4"/>
  <c r="Y57" i="4"/>
  <c r="X57" i="4"/>
  <c r="AE56" i="4"/>
  <c r="AH56" i="4"/>
  <c r="AD56" i="4"/>
  <c r="Y56" i="4"/>
  <c r="X56" i="4"/>
  <c r="AE55" i="4"/>
  <c r="AH55" i="4"/>
  <c r="AD55" i="4"/>
  <c r="Y55" i="4"/>
  <c r="X55" i="4"/>
  <c r="AE54" i="4"/>
  <c r="AH54" i="4"/>
  <c r="AD54" i="4"/>
  <c r="Y54" i="4"/>
  <c r="X54" i="4"/>
  <c r="AE53" i="4"/>
  <c r="AH53" i="4" s="1"/>
  <c r="AD53" i="4"/>
  <c r="Y53" i="4"/>
  <c r="X53" i="4"/>
  <c r="AE52" i="4"/>
  <c r="AH52" i="4" s="1"/>
  <c r="AD52" i="4"/>
  <c r="Y52" i="4"/>
  <c r="X52" i="4"/>
  <c r="AE51" i="4"/>
  <c r="AH51" i="4" s="1"/>
  <c r="AD51" i="4"/>
  <c r="Y51" i="4"/>
  <c r="X51" i="4"/>
  <c r="AE50" i="4"/>
  <c r="AH50" i="4"/>
  <c r="AD50" i="4"/>
  <c r="Y50" i="4"/>
  <c r="X50" i="4"/>
  <c r="AE49" i="4"/>
  <c r="AH49" i="4" s="1"/>
  <c r="AD49" i="4"/>
  <c r="Y49" i="4"/>
  <c r="X49" i="4"/>
  <c r="AE48" i="4"/>
  <c r="AH48" i="4"/>
  <c r="AD48" i="4"/>
  <c r="Y48" i="4"/>
  <c r="X48" i="4"/>
  <c r="AE47" i="4"/>
  <c r="AH47" i="4" s="1"/>
  <c r="AD47" i="4"/>
  <c r="AF47" i="4" s="1"/>
  <c r="AG47" i="4"/>
  <c r="Y47" i="4"/>
  <c r="X47" i="4"/>
  <c r="AE46" i="4"/>
  <c r="AH46" i="4"/>
  <c r="AD46" i="4"/>
  <c r="Y46" i="4"/>
  <c r="X46" i="4"/>
  <c r="AE45" i="4"/>
  <c r="AH45" i="4" s="1"/>
  <c r="AD45" i="4"/>
  <c r="Y45" i="4"/>
  <c r="X45" i="4"/>
  <c r="AE44" i="4"/>
  <c r="AH44" i="4" s="1"/>
  <c r="AD44" i="4"/>
  <c r="Y44" i="4"/>
  <c r="X44" i="4"/>
  <c r="AE43" i="4"/>
  <c r="AD43" i="4"/>
  <c r="Y43" i="4"/>
  <c r="X43" i="4"/>
  <c r="AE42" i="4"/>
  <c r="AH42" i="4" s="1"/>
  <c r="AD42" i="4"/>
  <c r="Y42" i="4"/>
  <c r="X42" i="4"/>
  <c r="AE41" i="4"/>
  <c r="AH41" i="4"/>
  <c r="AD41" i="4"/>
  <c r="AF41" i="4" s="1"/>
  <c r="AG41" i="4" s="1"/>
  <c r="Y41" i="4"/>
  <c r="X41" i="4"/>
  <c r="AE40" i="4"/>
  <c r="AH40" i="4" s="1"/>
  <c r="AD40" i="4"/>
  <c r="Y40" i="4"/>
  <c r="X40" i="4"/>
  <c r="AE39" i="4"/>
  <c r="AH39" i="4"/>
  <c r="AD39" i="4"/>
  <c r="Y39" i="4"/>
  <c r="X39" i="4"/>
  <c r="AE38" i="4"/>
  <c r="AH38" i="4" s="1"/>
  <c r="AD38" i="4"/>
  <c r="Y38" i="4"/>
  <c r="X38" i="4"/>
  <c r="AE37" i="4"/>
  <c r="AH37" i="4" s="1"/>
  <c r="AD37" i="4"/>
  <c r="Y37" i="4"/>
  <c r="X37" i="4"/>
  <c r="AE36" i="4"/>
  <c r="AH36" i="4" s="1"/>
  <c r="AD36" i="4"/>
  <c r="Y36" i="4"/>
  <c r="X36" i="4"/>
  <c r="AE35" i="4"/>
  <c r="AH35" i="4"/>
  <c r="AD35" i="4"/>
  <c r="Y35" i="4"/>
  <c r="X35" i="4"/>
  <c r="AE34" i="4"/>
  <c r="AH34" i="4"/>
  <c r="AD34" i="4"/>
  <c r="Y34" i="4"/>
  <c r="X34" i="4"/>
  <c r="AE33" i="4"/>
  <c r="AH33" i="4"/>
  <c r="AD33" i="4"/>
  <c r="Y33" i="4"/>
  <c r="X33" i="4"/>
  <c r="AE32" i="4"/>
  <c r="AH32" i="4"/>
  <c r="AD32" i="4"/>
  <c r="Y32" i="4"/>
  <c r="X32" i="4"/>
  <c r="AE31" i="4"/>
  <c r="AH31" i="4"/>
  <c r="AD31" i="4"/>
  <c r="Y31" i="4"/>
  <c r="X31" i="4"/>
  <c r="AE30" i="4"/>
  <c r="AH30" i="4" s="1"/>
  <c r="AD30" i="4"/>
  <c r="Y30" i="4"/>
  <c r="X30" i="4"/>
  <c r="AE29" i="4"/>
  <c r="AH29" i="4" s="1"/>
  <c r="AD29" i="4"/>
  <c r="Y29" i="4"/>
  <c r="X29" i="4"/>
  <c r="AE28" i="4"/>
  <c r="AH28" i="4" s="1"/>
  <c r="AD28" i="4"/>
  <c r="Y28" i="4"/>
  <c r="X28" i="4"/>
  <c r="AE27" i="4"/>
  <c r="AH27" i="4"/>
  <c r="AD27" i="4"/>
  <c r="AF27" i="4" s="1"/>
  <c r="AG27" i="4" s="1"/>
  <c r="Y27" i="4"/>
  <c r="X27" i="4"/>
  <c r="AE26" i="4"/>
  <c r="AH26" i="4" s="1"/>
  <c r="AD26" i="4"/>
  <c r="Y26" i="4"/>
  <c r="X26" i="4"/>
  <c r="AE25" i="4"/>
  <c r="AH25" i="4"/>
  <c r="AD25" i="4"/>
  <c r="AF25" i="4" s="1"/>
  <c r="AG25" i="4" s="1"/>
  <c r="Y25" i="4"/>
  <c r="X25" i="4"/>
  <c r="AE24" i="4"/>
  <c r="AH24" i="4" s="1"/>
  <c r="AD24" i="4"/>
  <c r="Y24" i="4"/>
  <c r="X24" i="4"/>
  <c r="AE23" i="4"/>
  <c r="AH23" i="4"/>
  <c r="AD23" i="4"/>
  <c r="Y23" i="4"/>
  <c r="X23" i="4"/>
  <c r="AE22" i="4"/>
  <c r="AH22" i="4" s="1"/>
  <c r="AD22" i="4"/>
  <c r="Y22" i="4"/>
  <c r="X22" i="4"/>
  <c r="AE21" i="4"/>
  <c r="AH21" i="4" s="1"/>
  <c r="AD21" i="4"/>
  <c r="AF21" i="4"/>
  <c r="AG21" i="4"/>
  <c r="Y21" i="4"/>
  <c r="X21" i="4"/>
  <c r="AE20" i="4"/>
  <c r="AH20" i="4" s="1"/>
  <c r="AD20" i="4"/>
  <c r="Y20" i="4"/>
  <c r="X20" i="4"/>
  <c r="AE19" i="4"/>
  <c r="AH19" i="4" s="1"/>
  <c r="AD19" i="4"/>
  <c r="Y19" i="4"/>
  <c r="X19" i="4"/>
  <c r="AE18" i="4"/>
  <c r="AH18" i="4" s="1"/>
  <c r="AD18" i="4"/>
  <c r="Y18" i="4"/>
  <c r="X18" i="4"/>
  <c r="AE17" i="4"/>
  <c r="AH17" i="4"/>
  <c r="AD17" i="4"/>
  <c r="AF17" i="4" s="1"/>
  <c r="AG17" i="4" s="1"/>
  <c r="Y17" i="4"/>
  <c r="X17" i="4"/>
  <c r="AE16" i="4"/>
  <c r="AH16" i="4" s="1"/>
  <c r="AD16" i="4"/>
  <c r="Y16" i="4"/>
  <c r="X16" i="4"/>
  <c r="AE15" i="4"/>
  <c r="AH15" i="4"/>
  <c r="AD15" i="4"/>
  <c r="AF15" i="4" s="1"/>
  <c r="AG15" i="4" s="1"/>
  <c r="Y15" i="4"/>
  <c r="X15" i="4"/>
  <c r="AE14" i="4"/>
  <c r="AH14" i="4" s="1"/>
  <c r="AD14" i="4"/>
  <c r="Y14" i="4"/>
  <c r="X14" i="4"/>
  <c r="AE13" i="4"/>
  <c r="AH13" i="4"/>
  <c r="AD13" i="4"/>
  <c r="Y13" i="4"/>
  <c r="X13" i="4"/>
  <c r="AE12" i="4"/>
  <c r="AH12" i="4"/>
  <c r="AD12" i="4"/>
  <c r="Y12" i="4"/>
  <c r="X12" i="4"/>
  <c r="AE11" i="4"/>
  <c r="AH11" i="4"/>
  <c r="AD11" i="4"/>
  <c r="AF11" i="4"/>
  <c r="AG11" i="4" s="1"/>
  <c r="C381" i="3"/>
  <c r="L381" i="3"/>
  <c r="M381" i="3"/>
  <c r="N381" i="3"/>
  <c r="O381" i="3" s="1"/>
  <c r="V381" i="3"/>
  <c r="AB381" i="3"/>
  <c r="AC381" i="3"/>
  <c r="AF381" i="3"/>
  <c r="C382" i="3"/>
  <c r="L382" i="3"/>
  <c r="M382" i="3"/>
  <c r="P382" i="3" s="1"/>
  <c r="V382" i="3"/>
  <c r="AB382" i="3"/>
  <c r="AD382" i="3"/>
  <c r="AE382" i="3" s="1"/>
  <c r="AC382" i="3"/>
  <c r="AF382" i="3"/>
  <c r="C383" i="3"/>
  <c r="L383" i="3"/>
  <c r="M383" i="3"/>
  <c r="P383" i="3" s="1"/>
  <c r="N383" i="3"/>
  <c r="O383" i="3" s="1"/>
  <c r="V383" i="3"/>
  <c r="AB383" i="3"/>
  <c r="AD383" i="3" s="1"/>
  <c r="AE383" i="3" s="1"/>
  <c r="AC383" i="3"/>
  <c r="AF383" i="3" s="1"/>
  <c r="C384" i="3"/>
  <c r="L384" i="3"/>
  <c r="M384" i="3"/>
  <c r="P384" i="3"/>
  <c r="V384" i="3"/>
  <c r="AB384" i="3"/>
  <c r="AC384" i="3"/>
  <c r="AF384" i="3"/>
  <c r="C385" i="3"/>
  <c r="L385" i="3"/>
  <c r="M385" i="3"/>
  <c r="N385" i="3"/>
  <c r="O385" i="3" s="1"/>
  <c r="P385" i="3"/>
  <c r="V385" i="3"/>
  <c r="AB385" i="3"/>
  <c r="AD385" i="3" s="1"/>
  <c r="AE385" i="3" s="1"/>
  <c r="AC385" i="3"/>
  <c r="AF385" i="3"/>
  <c r="C386" i="3"/>
  <c r="L386" i="3"/>
  <c r="M386" i="3"/>
  <c r="V386" i="3"/>
  <c r="AB386" i="3"/>
  <c r="AD386" i="3"/>
  <c r="AE386" i="3" s="1"/>
  <c r="AC386" i="3"/>
  <c r="AF386" i="3" s="1"/>
  <c r="C387" i="3"/>
  <c r="L387" i="3"/>
  <c r="N387" i="3"/>
  <c r="O387" i="3"/>
  <c r="M387" i="3"/>
  <c r="P387" i="3" s="1"/>
  <c r="V387" i="3"/>
  <c r="AB387" i="3"/>
  <c r="AC387" i="3"/>
  <c r="AF387" i="3" s="1"/>
  <c r="C388" i="3"/>
  <c r="L388" i="3"/>
  <c r="M388" i="3"/>
  <c r="P388" i="3"/>
  <c r="V388" i="3"/>
  <c r="AB388" i="3"/>
  <c r="AD388" i="3" s="1"/>
  <c r="AC388" i="3"/>
  <c r="AF388" i="3" s="1"/>
  <c r="AE388" i="3"/>
  <c r="C389" i="3"/>
  <c r="L389" i="3"/>
  <c r="M389" i="3"/>
  <c r="P389" i="3" s="1"/>
  <c r="V389" i="3"/>
  <c r="AB389" i="3"/>
  <c r="AD389" i="3"/>
  <c r="AE389" i="3" s="1"/>
  <c r="AC389" i="3"/>
  <c r="AF389" i="3" s="1"/>
  <c r="C390" i="3"/>
  <c r="L390" i="3"/>
  <c r="M390" i="3"/>
  <c r="P390" i="3" s="1"/>
  <c r="V390" i="3"/>
  <c r="AB390" i="3"/>
  <c r="AD390" i="3" s="1"/>
  <c r="AE390" i="3" s="1"/>
  <c r="AC390" i="3"/>
  <c r="AF390" i="3"/>
  <c r="C391" i="3"/>
  <c r="L391" i="3"/>
  <c r="N391" i="3"/>
  <c r="O391" i="3" s="1"/>
  <c r="M391" i="3"/>
  <c r="P391" i="3" s="1"/>
  <c r="V391" i="3"/>
  <c r="AB391" i="3"/>
  <c r="AC391" i="3"/>
  <c r="AF391" i="3" s="1"/>
  <c r="AD391" i="3"/>
  <c r="AE391" i="3" s="1"/>
  <c r="AG391" i="3" s="1"/>
  <c r="AM391" i="3" s="1"/>
  <c r="C392" i="3"/>
  <c r="L392" i="3"/>
  <c r="M392" i="3"/>
  <c r="P392" i="3" s="1"/>
  <c r="V392" i="3"/>
  <c r="AB392" i="3"/>
  <c r="AD392" i="3" s="1"/>
  <c r="AE392" i="3" s="1"/>
  <c r="AC392" i="3"/>
  <c r="AF392" i="3"/>
  <c r="C393" i="3"/>
  <c r="L393" i="3"/>
  <c r="M393" i="3"/>
  <c r="P393" i="3" s="1"/>
  <c r="V393" i="3"/>
  <c r="AB393" i="3"/>
  <c r="AC393" i="3"/>
  <c r="C394" i="3"/>
  <c r="L394" i="3"/>
  <c r="N394" i="3"/>
  <c r="O394" i="3" s="1"/>
  <c r="Q394" i="3" s="1"/>
  <c r="M394" i="3"/>
  <c r="P394" i="3" s="1"/>
  <c r="V394" i="3"/>
  <c r="AB394" i="3"/>
  <c r="AD394" i="3"/>
  <c r="AE394" i="3" s="1"/>
  <c r="AC394" i="3"/>
  <c r="AF394" i="3"/>
  <c r="C395" i="3"/>
  <c r="L395" i="3"/>
  <c r="M395" i="3"/>
  <c r="P395" i="3" s="1"/>
  <c r="V395" i="3"/>
  <c r="AB395" i="3"/>
  <c r="AC395" i="3"/>
  <c r="AF395" i="3" s="1"/>
  <c r="C396" i="3"/>
  <c r="L396" i="3"/>
  <c r="M396" i="3"/>
  <c r="P396" i="3" s="1"/>
  <c r="V396" i="3"/>
  <c r="AB396" i="3"/>
  <c r="AC396" i="3"/>
  <c r="C397" i="3"/>
  <c r="L397" i="3"/>
  <c r="N397" i="3"/>
  <c r="O397" i="3" s="1"/>
  <c r="M397" i="3"/>
  <c r="P397" i="3" s="1"/>
  <c r="V397" i="3"/>
  <c r="AB397" i="3"/>
  <c r="AC397" i="3"/>
  <c r="AF397" i="3" s="1"/>
  <c r="C398" i="3"/>
  <c r="L398" i="3"/>
  <c r="M398" i="3"/>
  <c r="P398" i="3"/>
  <c r="V398" i="3"/>
  <c r="AB398" i="3"/>
  <c r="AC398" i="3"/>
  <c r="AF398" i="3" s="1"/>
  <c r="C399" i="3"/>
  <c r="L399" i="3"/>
  <c r="M399" i="3"/>
  <c r="P399" i="3" s="1"/>
  <c r="V399" i="3"/>
  <c r="AB399" i="3"/>
  <c r="AC399" i="3"/>
  <c r="C400" i="3"/>
  <c r="L400" i="3"/>
  <c r="N400" i="3" s="1"/>
  <c r="O400" i="3"/>
  <c r="M400" i="3"/>
  <c r="P400" i="3"/>
  <c r="V400" i="3"/>
  <c r="AB400" i="3"/>
  <c r="AC400" i="3"/>
  <c r="AF400" i="3" s="1"/>
  <c r="C401" i="3"/>
  <c r="L401" i="3"/>
  <c r="N401" i="3" s="1"/>
  <c r="O401" i="3" s="1"/>
  <c r="Q401" i="3" s="1"/>
  <c r="M401" i="3"/>
  <c r="P401" i="3" s="1"/>
  <c r="V401" i="3"/>
  <c r="AB401" i="3"/>
  <c r="AC401" i="3"/>
  <c r="AF401" i="3" s="1"/>
  <c r="C402" i="3"/>
  <c r="L402" i="3"/>
  <c r="N402" i="3"/>
  <c r="O402" i="3" s="1"/>
  <c r="M402" i="3"/>
  <c r="P402" i="3" s="1"/>
  <c r="V402" i="3"/>
  <c r="AB402" i="3"/>
  <c r="AC402" i="3"/>
  <c r="AF402" i="3" s="1"/>
  <c r="C403" i="3"/>
  <c r="L403" i="3"/>
  <c r="N403" i="3"/>
  <c r="O403" i="3" s="1"/>
  <c r="M403" i="3"/>
  <c r="P403" i="3" s="1"/>
  <c r="V403" i="3"/>
  <c r="AB403" i="3"/>
  <c r="AD403" i="3"/>
  <c r="AE403" i="3" s="1"/>
  <c r="AG403" i="3" s="1"/>
  <c r="AM403" i="3" s="1"/>
  <c r="AC403" i="3"/>
  <c r="AF403" i="3"/>
  <c r="C404" i="3"/>
  <c r="L404" i="3"/>
  <c r="M404" i="3"/>
  <c r="P404" i="3" s="1"/>
  <c r="V404" i="3"/>
  <c r="AB404" i="3"/>
  <c r="AC404" i="3"/>
  <c r="AF404" i="3" s="1"/>
  <c r="C405" i="3"/>
  <c r="L405" i="3"/>
  <c r="N405" i="3"/>
  <c r="O405" i="3" s="1"/>
  <c r="Q405" i="3" s="1"/>
  <c r="M405" i="3"/>
  <c r="P405" i="3"/>
  <c r="V405" i="3"/>
  <c r="AB405" i="3"/>
  <c r="AC405" i="3"/>
  <c r="AF405" i="3"/>
  <c r="C406" i="3"/>
  <c r="L406" i="3"/>
  <c r="M406" i="3"/>
  <c r="V406" i="3"/>
  <c r="AB406" i="3"/>
  <c r="AD406" i="3" s="1"/>
  <c r="AE406" i="3" s="1"/>
  <c r="AG406" i="3" s="1"/>
  <c r="AM406" i="3" s="1"/>
  <c r="AC406" i="3"/>
  <c r="AF406" i="3" s="1"/>
  <c r="C407" i="3"/>
  <c r="L407" i="3"/>
  <c r="N407" i="3" s="1"/>
  <c r="O407" i="3" s="1"/>
  <c r="M407" i="3"/>
  <c r="P407" i="3" s="1"/>
  <c r="V407" i="3"/>
  <c r="AB407" i="3"/>
  <c r="AC407" i="3"/>
  <c r="AF407" i="3"/>
  <c r="C408" i="3"/>
  <c r="L408" i="3"/>
  <c r="M408" i="3"/>
  <c r="P408" i="3"/>
  <c r="V408" i="3"/>
  <c r="AB408" i="3"/>
  <c r="AC408" i="3"/>
  <c r="AF408" i="3"/>
  <c r="C409" i="3"/>
  <c r="L409" i="3"/>
  <c r="M409" i="3"/>
  <c r="P409" i="3"/>
  <c r="V409" i="3"/>
  <c r="AB409" i="3"/>
  <c r="AC409" i="3"/>
  <c r="C410" i="3"/>
  <c r="L410" i="3"/>
  <c r="M410" i="3"/>
  <c r="V410" i="3"/>
  <c r="AB410" i="3"/>
  <c r="AD410" i="3"/>
  <c r="AE410" i="3" s="1"/>
  <c r="AC410" i="3"/>
  <c r="AF410" i="3"/>
  <c r="C411" i="3"/>
  <c r="L411" i="3"/>
  <c r="M411" i="3"/>
  <c r="V411" i="3"/>
  <c r="AB411" i="3"/>
  <c r="AC411" i="3"/>
  <c r="C412" i="3"/>
  <c r="L412" i="3"/>
  <c r="M412" i="3"/>
  <c r="P412" i="3" s="1"/>
  <c r="V412" i="3"/>
  <c r="AB412" i="3"/>
  <c r="AD412" i="3"/>
  <c r="AE412" i="3" s="1"/>
  <c r="AC412" i="3"/>
  <c r="AF412" i="3" s="1"/>
  <c r="C413" i="3"/>
  <c r="L413" i="3"/>
  <c r="M413" i="3"/>
  <c r="P413" i="3" s="1"/>
  <c r="V413" i="3"/>
  <c r="AB413" i="3"/>
  <c r="AC413" i="3"/>
  <c r="AF413" i="3"/>
  <c r="C414" i="3"/>
  <c r="L414" i="3"/>
  <c r="M414" i="3"/>
  <c r="P414" i="3" s="1"/>
  <c r="V414" i="3"/>
  <c r="AB414" i="3"/>
  <c r="AC414" i="3"/>
  <c r="AF414" i="3" s="1"/>
  <c r="C415" i="3"/>
  <c r="L415" i="3"/>
  <c r="N415" i="3" s="1"/>
  <c r="O415" i="3" s="1"/>
  <c r="M415" i="3"/>
  <c r="P415" i="3" s="1"/>
  <c r="V415" i="3"/>
  <c r="AB415" i="3"/>
  <c r="AD415" i="3"/>
  <c r="AE415" i="3" s="1"/>
  <c r="AG415" i="3" s="1"/>
  <c r="AM415" i="3" s="1"/>
  <c r="AC415" i="3"/>
  <c r="AF415" i="3"/>
  <c r="C416" i="3"/>
  <c r="L416" i="3"/>
  <c r="M416" i="3"/>
  <c r="P416" i="3" s="1"/>
  <c r="V416" i="3"/>
  <c r="AB416" i="3"/>
  <c r="AD416" i="3"/>
  <c r="AE416" i="3" s="1"/>
  <c r="AC416" i="3"/>
  <c r="AF416" i="3" s="1"/>
  <c r="C417" i="3"/>
  <c r="L417" i="3"/>
  <c r="N417" i="3" s="1"/>
  <c r="O417" i="3" s="1"/>
  <c r="M417" i="3"/>
  <c r="P417" i="3" s="1"/>
  <c r="V417" i="3"/>
  <c r="AB417" i="3"/>
  <c r="AC417" i="3"/>
  <c r="AF417" i="3" s="1"/>
  <c r="C418" i="3"/>
  <c r="L418" i="3"/>
  <c r="N418" i="3" s="1"/>
  <c r="O418" i="3" s="1"/>
  <c r="M418" i="3"/>
  <c r="P418" i="3" s="1"/>
  <c r="V418" i="3"/>
  <c r="AB418" i="3"/>
  <c r="AC418" i="3"/>
  <c r="AF418" i="3" s="1"/>
  <c r="C419" i="3"/>
  <c r="L419" i="3"/>
  <c r="M419" i="3"/>
  <c r="P419" i="3"/>
  <c r="V419" i="3"/>
  <c r="AB419" i="3"/>
  <c r="AC419" i="3"/>
  <c r="AD419" i="3" s="1"/>
  <c r="AE419" i="3" s="1"/>
  <c r="C420" i="3"/>
  <c r="L420" i="3"/>
  <c r="M420" i="3"/>
  <c r="P420" i="3" s="1"/>
  <c r="V420" i="3"/>
  <c r="AB420" i="3"/>
  <c r="AD420" i="3"/>
  <c r="AE420" i="3" s="1"/>
  <c r="AG420" i="3" s="1"/>
  <c r="AM420" i="3" s="1"/>
  <c r="AC420" i="3"/>
  <c r="AF420" i="3"/>
  <c r="C421" i="3"/>
  <c r="L421" i="3"/>
  <c r="N421" i="3" s="1"/>
  <c r="O421" i="3" s="1"/>
  <c r="M421" i="3"/>
  <c r="P421" i="3" s="1"/>
  <c r="V421" i="3"/>
  <c r="AB421" i="3"/>
  <c r="AC421" i="3"/>
  <c r="AF421" i="3" s="1"/>
  <c r="C422" i="3"/>
  <c r="L422" i="3"/>
  <c r="M422" i="3"/>
  <c r="P422" i="3" s="1"/>
  <c r="V422" i="3"/>
  <c r="AB422" i="3"/>
  <c r="AD422" i="3" s="1"/>
  <c r="AE422" i="3" s="1"/>
  <c r="AC422" i="3"/>
  <c r="AF422" i="3"/>
  <c r="C423" i="3"/>
  <c r="L423" i="3"/>
  <c r="N423" i="3" s="1"/>
  <c r="O423" i="3" s="1"/>
  <c r="Q423" i="3"/>
  <c r="M423" i="3"/>
  <c r="P423" i="3"/>
  <c r="V423" i="3"/>
  <c r="AB423" i="3"/>
  <c r="AC423" i="3"/>
  <c r="AF423" i="3" s="1"/>
  <c r="C424" i="3"/>
  <c r="L424" i="3"/>
  <c r="M424" i="3"/>
  <c r="P424" i="3" s="1"/>
  <c r="V424" i="3"/>
  <c r="AB424" i="3"/>
  <c r="AD424" i="3"/>
  <c r="AE424" i="3"/>
  <c r="AG424" i="3" s="1"/>
  <c r="AM424" i="3" s="1"/>
  <c r="AC424" i="3"/>
  <c r="AF424" i="3" s="1"/>
  <c r="C425" i="3"/>
  <c r="L425" i="3"/>
  <c r="M425" i="3"/>
  <c r="P425" i="3" s="1"/>
  <c r="V425" i="3"/>
  <c r="AB425" i="3"/>
  <c r="AD425" i="3" s="1"/>
  <c r="AE425" i="3" s="1"/>
  <c r="AG425" i="3" s="1"/>
  <c r="AM425" i="3" s="1"/>
  <c r="AC425" i="3"/>
  <c r="AF425" i="3" s="1"/>
  <c r="C426" i="3"/>
  <c r="L426" i="3"/>
  <c r="N426" i="3" s="1"/>
  <c r="O426" i="3" s="1"/>
  <c r="M426" i="3"/>
  <c r="P426" i="3" s="1"/>
  <c r="V426" i="3"/>
  <c r="AB426" i="3"/>
  <c r="AC426" i="3"/>
  <c r="AF426" i="3" s="1"/>
  <c r="C427" i="3"/>
  <c r="L427" i="3"/>
  <c r="M427" i="3"/>
  <c r="V427" i="3"/>
  <c r="AB427" i="3"/>
  <c r="AC427" i="3"/>
  <c r="AF427" i="3" s="1"/>
  <c r="C428" i="3"/>
  <c r="L428" i="3"/>
  <c r="M428" i="3"/>
  <c r="P428" i="3"/>
  <c r="V428" i="3"/>
  <c r="AB428" i="3"/>
  <c r="AC428" i="3"/>
  <c r="AF428" i="3"/>
  <c r="C429" i="3"/>
  <c r="L429" i="3"/>
  <c r="M429" i="3"/>
  <c r="P429" i="3" s="1"/>
  <c r="V429" i="3"/>
  <c r="AB429" i="3"/>
  <c r="AD429" i="3" s="1"/>
  <c r="AE429" i="3" s="1"/>
  <c r="AC429" i="3"/>
  <c r="AF429" i="3"/>
  <c r="C430" i="3"/>
  <c r="L430" i="3"/>
  <c r="M430" i="3"/>
  <c r="P430" i="3"/>
  <c r="V430" i="3"/>
  <c r="AB430" i="3"/>
  <c r="AC430" i="3"/>
  <c r="AF430" i="3"/>
  <c r="C431" i="3"/>
  <c r="L431" i="3"/>
  <c r="M431" i="3"/>
  <c r="P431" i="3"/>
  <c r="V431" i="3"/>
  <c r="AB431" i="3"/>
  <c r="AD431" i="3" s="1"/>
  <c r="AE431" i="3" s="1"/>
  <c r="AG431" i="3" s="1"/>
  <c r="AM431" i="3" s="1"/>
  <c r="AC431" i="3"/>
  <c r="AF431" i="3" s="1"/>
  <c r="C432" i="3"/>
  <c r="L432" i="3"/>
  <c r="N432" i="3" s="1"/>
  <c r="O432" i="3" s="1"/>
  <c r="Q432" i="3" s="1"/>
  <c r="M432" i="3"/>
  <c r="P432" i="3" s="1"/>
  <c r="V432" i="3"/>
  <c r="AB432" i="3"/>
  <c r="AC432" i="3"/>
  <c r="AF432" i="3"/>
  <c r="C433" i="3"/>
  <c r="L433" i="3"/>
  <c r="M433" i="3"/>
  <c r="V433" i="3"/>
  <c r="AB433" i="3"/>
  <c r="AD433" i="3" s="1"/>
  <c r="AE433" i="3"/>
  <c r="AC433" i="3"/>
  <c r="AF433" i="3"/>
  <c r="C434" i="3"/>
  <c r="L434" i="3"/>
  <c r="M434" i="3"/>
  <c r="V434" i="3"/>
  <c r="AB434" i="3"/>
  <c r="AC434" i="3"/>
  <c r="AF434" i="3" s="1"/>
  <c r="C435" i="3"/>
  <c r="L435" i="3"/>
  <c r="M435" i="3"/>
  <c r="P435" i="3" s="1"/>
  <c r="N435" i="3"/>
  <c r="O435" i="3" s="1"/>
  <c r="V435" i="3"/>
  <c r="AB435" i="3"/>
  <c r="AC435" i="3"/>
  <c r="AF435" i="3" s="1"/>
  <c r="C436" i="3"/>
  <c r="L436" i="3"/>
  <c r="M436" i="3"/>
  <c r="V436" i="3"/>
  <c r="AB436" i="3"/>
  <c r="AC436" i="3"/>
  <c r="AF436" i="3"/>
  <c r="C437" i="3"/>
  <c r="L437" i="3"/>
  <c r="M437" i="3"/>
  <c r="P437" i="3"/>
  <c r="V437" i="3"/>
  <c r="AB437" i="3"/>
  <c r="AC437" i="3"/>
  <c r="AF437" i="3"/>
  <c r="C438" i="3"/>
  <c r="L438" i="3"/>
  <c r="M438" i="3"/>
  <c r="P438" i="3"/>
  <c r="V438" i="3"/>
  <c r="AB438" i="3"/>
  <c r="AD438" i="3"/>
  <c r="AE438" i="3"/>
  <c r="AG438" i="3" s="1"/>
  <c r="AM438" i="3" s="1"/>
  <c r="AC438" i="3"/>
  <c r="AF438" i="3"/>
  <c r="C439" i="3"/>
  <c r="L439" i="3"/>
  <c r="M439" i="3"/>
  <c r="N439" i="3"/>
  <c r="O439" i="3" s="1"/>
  <c r="V439" i="3"/>
  <c r="AB439" i="3"/>
  <c r="AD439" i="3"/>
  <c r="AE439" i="3"/>
  <c r="AC439" i="3"/>
  <c r="AF439" i="3" s="1"/>
  <c r="C440" i="3"/>
  <c r="L440" i="3"/>
  <c r="N440" i="3"/>
  <c r="O440" i="3" s="1"/>
  <c r="Q440" i="3" s="1"/>
  <c r="M440" i="3"/>
  <c r="P440" i="3" s="1"/>
  <c r="V440" i="3"/>
  <c r="AB440" i="3"/>
  <c r="AD440" i="3"/>
  <c r="AE440" i="3" s="1"/>
  <c r="AG440" i="3" s="1"/>
  <c r="AM440" i="3" s="1"/>
  <c r="AC440" i="3"/>
  <c r="AF440" i="3"/>
  <c r="C441" i="3"/>
  <c r="L441" i="3"/>
  <c r="M441" i="3"/>
  <c r="P441" i="3" s="1"/>
  <c r="V441" i="3"/>
  <c r="AB441" i="3"/>
  <c r="AC441" i="3"/>
  <c r="AF441" i="3"/>
  <c r="C442" i="3"/>
  <c r="L442" i="3"/>
  <c r="M442" i="3"/>
  <c r="P442" i="3"/>
  <c r="V442" i="3"/>
  <c r="AB442" i="3"/>
  <c r="AC442" i="3"/>
  <c r="AF442" i="3" s="1"/>
  <c r="C443" i="3"/>
  <c r="L443" i="3"/>
  <c r="M443" i="3"/>
  <c r="P443" i="3"/>
  <c r="V443" i="3"/>
  <c r="AB443" i="3"/>
  <c r="AD443" i="3" s="1"/>
  <c r="AE443" i="3" s="1"/>
  <c r="AC443" i="3"/>
  <c r="AF443" i="3"/>
  <c r="C444" i="3"/>
  <c r="L444" i="3"/>
  <c r="M444" i="3"/>
  <c r="N444" i="3" s="1"/>
  <c r="O444" i="3" s="1"/>
  <c r="P444" i="3"/>
  <c r="V444" i="3"/>
  <c r="AB444" i="3"/>
  <c r="AC444" i="3"/>
  <c r="AF444" i="3"/>
  <c r="C445" i="3"/>
  <c r="L445" i="3"/>
  <c r="M445" i="3"/>
  <c r="V445" i="3"/>
  <c r="AB445" i="3"/>
  <c r="AD445" i="3" s="1"/>
  <c r="AE445" i="3" s="1"/>
  <c r="AG445" i="3" s="1"/>
  <c r="AM445" i="3" s="1"/>
  <c r="AC445" i="3"/>
  <c r="AF445" i="3"/>
  <c r="C446" i="3"/>
  <c r="L446" i="3"/>
  <c r="M446" i="3"/>
  <c r="N446" i="3" s="1"/>
  <c r="O446" i="3" s="1"/>
  <c r="V446" i="3"/>
  <c r="AB446" i="3"/>
  <c r="AC446" i="3"/>
  <c r="AF446" i="3"/>
  <c r="C447" i="3"/>
  <c r="L447" i="3"/>
  <c r="M447" i="3"/>
  <c r="P447" i="3"/>
  <c r="V447" i="3"/>
  <c r="AB447" i="3"/>
  <c r="AC447" i="3"/>
  <c r="AF447" i="3" s="1"/>
  <c r="C448" i="3"/>
  <c r="L448" i="3"/>
  <c r="N448" i="3"/>
  <c r="O448" i="3"/>
  <c r="Q448" i="3" s="1"/>
  <c r="M448" i="3"/>
  <c r="P448" i="3"/>
  <c r="V448" i="3"/>
  <c r="AB448" i="3"/>
  <c r="AC448" i="3"/>
  <c r="AF448" i="3" s="1"/>
  <c r="C449" i="3"/>
  <c r="L449" i="3"/>
  <c r="M449" i="3"/>
  <c r="P449" i="3"/>
  <c r="V449" i="3"/>
  <c r="AB449" i="3"/>
  <c r="AC449" i="3"/>
  <c r="AF449" i="3"/>
  <c r="C450" i="3"/>
  <c r="L450" i="3"/>
  <c r="N450" i="3"/>
  <c r="O450" i="3" s="1"/>
  <c r="M450" i="3"/>
  <c r="P450" i="3" s="1"/>
  <c r="V450" i="3"/>
  <c r="AB450" i="3"/>
  <c r="AC450" i="3"/>
  <c r="C451" i="3"/>
  <c r="L451" i="3"/>
  <c r="M451" i="3"/>
  <c r="P451" i="3"/>
  <c r="V451" i="3"/>
  <c r="AB451" i="3"/>
  <c r="AD451" i="3" s="1"/>
  <c r="AE451" i="3" s="1"/>
  <c r="AG451" i="3" s="1"/>
  <c r="AM451" i="3" s="1"/>
  <c r="AC451" i="3"/>
  <c r="AF451" i="3"/>
  <c r="C452" i="3"/>
  <c r="L452" i="3"/>
  <c r="M452" i="3"/>
  <c r="P452" i="3"/>
  <c r="V452" i="3"/>
  <c r="AB452" i="3"/>
  <c r="AC452" i="3"/>
  <c r="AF452" i="3" s="1"/>
  <c r="C453" i="3"/>
  <c r="L453" i="3"/>
  <c r="N453" i="3" s="1"/>
  <c r="O453" i="3" s="1"/>
  <c r="Q453" i="3" s="1"/>
  <c r="M453" i="3"/>
  <c r="P453" i="3" s="1"/>
  <c r="V453" i="3"/>
  <c r="AB453" i="3"/>
  <c r="AC453" i="3"/>
  <c r="C454" i="3"/>
  <c r="L454" i="3"/>
  <c r="M454" i="3"/>
  <c r="P454" i="3" s="1"/>
  <c r="V454" i="3"/>
  <c r="AB454" i="3"/>
  <c r="AC454" i="3"/>
  <c r="AF454" i="3"/>
  <c r="C455" i="3"/>
  <c r="L455" i="3"/>
  <c r="N455" i="3" s="1"/>
  <c r="O455" i="3" s="1"/>
  <c r="M455" i="3"/>
  <c r="P455" i="3" s="1"/>
  <c r="V455" i="3"/>
  <c r="AB455" i="3"/>
  <c r="AD455" i="3" s="1"/>
  <c r="AE455" i="3" s="1"/>
  <c r="AG455" i="3" s="1"/>
  <c r="AM455" i="3" s="1"/>
  <c r="AC455" i="3"/>
  <c r="AF455" i="3"/>
  <c r="C456" i="3"/>
  <c r="L456" i="3"/>
  <c r="M456" i="3"/>
  <c r="N456" i="3" s="1"/>
  <c r="O456" i="3" s="1"/>
  <c r="V456" i="3"/>
  <c r="AB456" i="3"/>
  <c r="AC456" i="3"/>
  <c r="AF456" i="3" s="1"/>
  <c r="C457" i="3"/>
  <c r="L457" i="3"/>
  <c r="M457" i="3"/>
  <c r="P457" i="3"/>
  <c r="V457" i="3"/>
  <c r="AB457" i="3"/>
  <c r="AC457" i="3"/>
  <c r="AD457" i="3" s="1"/>
  <c r="AE457" i="3" s="1"/>
  <c r="C458" i="3"/>
  <c r="L458" i="3"/>
  <c r="M458" i="3"/>
  <c r="P458" i="3"/>
  <c r="V458" i="3"/>
  <c r="AB458" i="3"/>
  <c r="AD458" i="3" s="1"/>
  <c r="AE458" i="3" s="1"/>
  <c r="AG458" i="3" s="1"/>
  <c r="AM458" i="3" s="1"/>
  <c r="AC458" i="3"/>
  <c r="AF458" i="3"/>
  <c r="C459" i="3"/>
  <c r="L459" i="3"/>
  <c r="M459" i="3"/>
  <c r="P459" i="3"/>
  <c r="V459" i="3"/>
  <c r="AB459" i="3"/>
  <c r="AC459" i="3"/>
  <c r="AF459" i="3" s="1"/>
  <c r="C460" i="3"/>
  <c r="L460" i="3"/>
  <c r="M460" i="3"/>
  <c r="P460" i="3" s="1"/>
  <c r="V460" i="3"/>
  <c r="AB460" i="3"/>
  <c r="AC460" i="3"/>
  <c r="AF460" i="3"/>
  <c r="C461" i="3"/>
  <c r="L461" i="3"/>
  <c r="M461" i="3"/>
  <c r="V461" i="3"/>
  <c r="AB461" i="3"/>
  <c r="AC461" i="3"/>
  <c r="AF461" i="3"/>
  <c r="C462" i="3"/>
  <c r="L462" i="3"/>
  <c r="M462" i="3"/>
  <c r="P462" i="3"/>
  <c r="V462" i="3"/>
  <c r="AB462" i="3"/>
  <c r="AD462" i="3" s="1"/>
  <c r="AE462" i="3"/>
  <c r="AC462" i="3"/>
  <c r="AF462" i="3"/>
  <c r="C463" i="3"/>
  <c r="L463" i="3"/>
  <c r="M463" i="3"/>
  <c r="P463" i="3" s="1"/>
  <c r="V463" i="3"/>
  <c r="AB463" i="3"/>
  <c r="AC463" i="3"/>
  <c r="AF463" i="3"/>
  <c r="C464" i="3"/>
  <c r="L464" i="3"/>
  <c r="N464" i="3" s="1"/>
  <c r="O464" i="3" s="1"/>
  <c r="Q464" i="3" s="1"/>
  <c r="M464" i="3"/>
  <c r="P464" i="3"/>
  <c r="V464" i="3"/>
  <c r="AB464" i="3"/>
  <c r="AC464" i="3"/>
  <c r="AF464" i="3"/>
  <c r="C465" i="3"/>
  <c r="L465" i="3"/>
  <c r="N465" i="3"/>
  <c r="O465" i="3" s="1"/>
  <c r="M465" i="3"/>
  <c r="P465" i="3" s="1"/>
  <c r="V465" i="3"/>
  <c r="AB465" i="3"/>
  <c r="AC465" i="3"/>
  <c r="C466" i="3"/>
  <c r="L466" i="3"/>
  <c r="M466" i="3"/>
  <c r="P466" i="3"/>
  <c r="V466" i="3"/>
  <c r="AB466" i="3"/>
  <c r="AC466" i="3"/>
  <c r="AF466" i="3"/>
  <c r="C467" i="3"/>
  <c r="L467" i="3"/>
  <c r="M467" i="3"/>
  <c r="V467" i="3"/>
  <c r="AB467" i="3"/>
  <c r="AC467" i="3"/>
  <c r="AF467" i="3"/>
  <c r="AD467" i="3"/>
  <c r="AE467" i="3"/>
  <c r="C468" i="3"/>
  <c r="L468" i="3"/>
  <c r="N468" i="3"/>
  <c r="O468" i="3" s="1"/>
  <c r="M468" i="3"/>
  <c r="P468" i="3" s="1"/>
  <c r="V468" i="3"/>
  <c r="AB468" i="3"/>
  <c r="AD468" i="3"/>
  <c r="AE468" i="3"/>
  <c r="AG468" i="3"/>
  <c r="AM468" i="3" s="1"/>
  <c r="AC468" i="3"/>
  <c r="AF468" i="3"/>
  <c r="C469" i="3"/>
  <c r="L469" i="3"/>
  <c r="M469" i="3"/>
  <c r="V469" i="3"/>
  <c r="AB469" i="3"/>
  <c r="AC469" i="3"/>
  <c r="C470" i="3"/>
  <c r="L470" i="3"/>
  <c r="N470" i="3"/>
  <c r="O470" i="3" s="1"/>
  <c r="M470" i="3"/>
  <c r="P470" i="3" s="1"/>
  <c r="V470" i="3"/>
  <c r="AB470" i="3"/>
  <c r="AC470" i="3"/>
  <c r="AF470" i="3" s="1"/>
  <c r="C471" i="3"/>
  <c r="L471" i="3"/>
  <c r="N471" i="3"/>
  <c r="O471" i="3"/>
  <c r="Q471" i="3" s="1"/>
  <c r="M471" i="3"/>
  <c r="P471" i="3"/>
  <c r="V471" i="3"/>
  <c r="AB471" i="3"/>
  <c r="AD471" i="3" s="1"/>
  <c r="AE471" i="3" s="1"/>
  <c r="AG471" i="3" s="1"/>
  <c r="AM471" i="3" s="1"/>
  <c r="AC471" i="3"/>
  <c r="AF471" i="3" s="1"/>
  <c r="C472" i="3"/>
  <c r="L472" i="3"/>
  <c r="N472" i="3"/>
  <c r="O472" i="3"/>
  <c r="M472" i="3"/>
  <c r="P472" i="3"/>
  <c r="V472" i="3"/>
  <c r="AB472" i="3"/>
  <c r="AC472" i="3"/>
  <c r="AF472" i="3" s="1"/>
  <c r="C473" i="3"/>
  <c r="L473" i="3"/>
  <c r="N473" i="3" s="1"/>
  <c r="O473" i="3" s="1"/>
  <c r="M473" i="3"/>
  <c r="P473" i="3" s="1"/>
  <c r="V473" i="3"/>
  <c r="AB473" i="3"/>
  <c r="AC473" i="3"/>
  <c r="C474" i="3"/>
  <c r="L474" i="3"/>
  <c r="M474" i="3"/>
  <c r="P474" i="3"/>
  <c r="V474" i="3"/>
  <c r="AB474" i="3"/>
  <c r="AD474" i="3" s="1"/>
  <c r="AE474" i="3" s="1"/>
  <c r="AG474" i="3" s="1"/>
  <c r="AM474" i="3" s="1"/>
  <c r="AC474" i="3"/>
  <c r="AF474" i="3" s="1"/>
  <c r="C475" i="3"/>
  <c r="L475" i="3"/>
  <c r="N475" i="3" s="1"/>
  <c r="O475" i="3" s="1"/>
  <c r="M475" i="3"/>
  <c r="P475" i="3" s="1"/>
  <c r="V475" i="3"/>
  <c r="AB475" i="3"/>
  <c r="AC475" i="3"/>
  <c r="AF475" i="3"/>
  <c r="C476" i="3"/>
  <c r="L476" i="3"/>
  <c r="M476" i="3"/>
  <c r="P476" i="3"/>
  <c r="V476" i="3"/>
  <c r="AB476" i="3"/>
  <c r="AC476" i="3"/>
  <c r="AF476" i="3" s="1"/>
  <c r="C477" i="3"/>
  <c r="L477" i="3"/>
  <c r="N477" i="3"/>
  <c r="O477" i="3"/>
  <c r="Q477" i="3"/>
  <c r="M477" i="3"/>
  <c r="P477" i="3"/>
  <c r="V477" i="3"/>
  <c r="AB477" i="3"/>
  <c r="AC477" i="3"/>
  <c r="AF477" i="3" s="1"/>
  <c r="C478" i="3"/>
  <c r="L478" i="3"/>
  <c r="M478" i="3"/>
  <c r="P478" i="3"/>
  <c r="V478" i="3"/>
  <c r="AB478" i="3"/>
  <c r="AD478" i="3" s="1"/>
  <c r="AE478" i="3" s="1"/>
  <c r="AC478" i="3"/>
  <c r="AF478" i="3" s="1"/>
  <c r="C479" i="3"/>
  <c r="L479" i="3"/>
  <c r="N479" i="3" s="1"/>
  <c r="O479" i="3" s="1"/>
  <c r="M479" i="3"/>
  <c r="P479" i="3"/>
  <c r="V479" i="3"/>
  <c r="AB479" i="3"/>
  <c r="AD479" i="3" s="1"/>
  <c r="AE479" i="3" s="1"/>
  <c r="AC479" i="3"/>
  <c r="AF479" i="3" s="1"/>
  <c r="C480" i="3"/>
  <c r="L480" i="3"/>
  <c r="M480" i="3"/>
  <c r="P480" i="3" s="1"/>
  <c r="V480" i="3"/>
  <c r="AB480" i="3"/>
  <c r="AD480" i="3"/>
  <c r="AE480" i="3"/>
  <c r="AC480" i="3"/>
  <c r="AF480" i="3"/>
  <c r="C481" i="3"/>
  <c r="L481" i="3"/>
  <c r="M481" i="3"/>
  <c r="V481" i="3"/>
  <c r="AB481" i="3"/>
  <c r="AC481" i="3"/>
  <c r="AF481" i="3"/>
  <c r="C482" i="3"/>
  <c r="L482" i="3"/>
  <c r="M482" i="3"/>
  <c r="P482" i="3" s="1"/>
  <c r="V482" i="3"/>
  <c r="AB482" i="3"/>
  <c r="AC482" i="3"/>
  <c r="AF482" i="3"/>
  <c r="C483" i="3"/>
  <c r="L483" i="3"/>
  <c r="M483" i="3"/>
  <c r="P483" i="3"/>
  <c r="N483" i="3"/>
  <c r="O483" i="3"/>
  <c r="V483" i="3"/>
  <c r="AB483" i="3"/>
  <c r="AD483" i="3"/>
  <c r="AE483" i="3"/>
  <c r="AC483" i="3"/>
  <c r="AF483" i="3"/>
  <c r="C484" i="3"/>
  <c r="L484" i="3"/>
  <c r="N484" i="3" s="1"/>
  <c r="O484" i="3" s="1"/>
  <c r="Q484" i="3" s="1"/>
  <c r="M484" i="3"/>
  <c r="P484" i="3"/>
  <c r="V484" i="3"/>
  <c r="AB484" i="3"/>
  <c r="AC484" i="3"/>
  <c r="AD484" i="3" s="1"/>
  <c r="AE484" i="3" s="1"/>
  <c r="C485" i="3"/>
  <c r="L485" i="3"/>
  <c r="M485" i="3"/>
  <c r="P485" i="3" s="1"/>
  <c r="Q485" i="3" s="1"/>
  <c r="N485" i="3"/>
  <c r="O485" i="3"/>
  <c r="V485" i="3"/>
  <c r="AB485" i="3"/>
  <c r="AC485" i="3"/>
  <c r="AF485" i="3"/>
  <c r="C486" i="3"/>
  <c r="L486" i="3"/>
  <c r="M486" i="3"/>
  <c r="V486" i="3"/>
  <c r="AB486" i="3"/>
  <c r="AC486" i="3"/>
  <c r="C487" i="3"/>
  <c r="L487" i="3"/>
  <c r="M487" i="3"/>
  <c r="N487" i="3" s="1"/>
  <c r="O487" i="3" s="1"/>
  <c r="V487" i="3"/>
  <c r="AB487" i="3"/>
  <c r="AC487" i="3"/>
  <c r="AF487" i="3"/>
  <c r="AD487" i="3"/>
  <c r="AE487" i="3"/>
  <c r="C488" i="3"/>
  <c r="L488" i="3"/>
  <c r="M488" i="3"/>
  <c r="P488" i="3" s="1"/>
  <c r="V488" i="3"/>
  <c r="AB488" i="3"/>
  <c r="AD488" i="3" s="1"/>
  <c r="AE488" i="3" s="1"/>
  <c r="AC488" i="3"/>
  <c r="AF488" i="3"/>
  <c r="C489" i="3"/>
  <c r="L489" i="3"/>
  <c r="M489" i="3"/>
  <c r="P489" i="3"/>
  <c r="V489" i="3"/>
  <c r="AB489" i="3"/>
  <c r="AD489" i="3"/>
  <c r="AE489" i="3" s="1"/>
  <c r="AC489" i="3"/>
  <c r="AF489" i="3" s="1"/>
  <c r="C490" i="3"/>
  <c r="L490" i="3"/>
  <c r="N490" i="3"/>
  <c r="O490" i="3"/>
  <c r="Q490" i="3" s="1"/>
  <c r="M490" i="3"/>
  <c r="P490" i="3"/>
  <c r="V490" i="3"/>
  <c r="AB490" i="3"/>
  <c r="AD490" i="3" s="1"/>
  <c r="AE490" i="3" s="1"/>
  <c r="AG490" i="3" s="1"/>
  <c r="AM490" i="3" s="1"/>
  <c r="AC490" i="3"/>
  <c r="AF490" i="3"/>
  <c r="C491" i="3"/>
  <c r="L491" i="3"/>
  <c r="M491" i="3"/>
  <c r="P491" i="3"/>
  <c r="V491" i="3"/>
  <c r="AB491" i="3"/>
  <c r="AD491" i="3" s="1"/>
  <c r="AE491" i="3" s="1"/>
  <c r="AC491" i="3"/>
  <c r="AF491" i="3"/>
  <c r="C492" i="3"/>
  <c r="L492" i="3"/>
  <c r="M492" i="3"/>
  <c r="P492" i="3" s="1"/>
  <c r="V492" i="3"/>
  <c r="AB492" i="3"/>
  <c r="AD492" i="3" s="1"/>
  <c r="AE492" i="3" s="1"/>
  <c r="AC492" i="3"/>
  <c r="AF492" i="3" s="1"/>
  <c r="C493" i="3"/>
  <c r="L493" i="3"/>
  <c r="M493" i="3"/>
  <c r="P493" i="3"/>
  <c r="V493" i="3"/>
  <c r="AB493" i="3"/>
  <c r="AC493" i="3"/>
  <c r="C494" i="3"/>
  <c r="L494" i="3"/>
  <c r="M494" i="3"/>
  <c r="V494" i="3"/>
  <c r="AB494" i="3"/>
  <c r="AC494" i="3"/>
  <c r="AF494" i="3"/>
  <c r="C495" i="3"/>
  <c r="L495" i="3"/>
  <c r="M495" i="3"/>
  <c r="V495" i="3"/>
  <c r="AB495" i="3"/>
  <c r="AC495" i="3"/>
  <c r="C496" i="3"/>
  <c r="L496" i="3"/>
  <c r="M496" i="3"/>
  <c r="V496" i="3"/>
  <c r="AB496" i="3"/>
  <c r="AC496" i="3"/>
  <c r="AD496" i="3" s="1"/>
  <c r="AE496" i="3" s="1"/>
  <c r="AG496" i="3" s="1"/>
  <c r="AM496" i="3" s="1"/>
  <c r="AF496" i="3"/>
  <c r="C497" i="3"/>
  <c r="L497" i="3"/>
  <c r="M497" i="3"/>
  <c r="P497" i="3" s="1"/>
  <c r="V497" i="3"/>
  <c r="AB497" i="3"/>
  <c r="AC497" i="3"/>
  <c r="AF497" i="3"/>
  <c r="C498" i="3"/>
  <c r="L498" i="3"/>
  <c r="N498" i="3" s="1"/>
  <c r="O498" i="3" s="1"/>
  <c r="Q498" i="3" s="1"/>
  <c r="M498" i="3"/>
  <c r="P498" i="3"/>
  <c r="V498" i="3"/>
  <c r="AB498" i="3"/>
  <c r="AC498" i="3"/>
  <c r="AF498" i="3"/>
  <c r="C499" i="3"/>
  <c r="L499" i="3"/>
  <c r="M499" i="3"/>
  <c r="P499" i="3" s="1"/>
  <c r="V499" i="3"/>
  <c r="AB499" i="3"/>
  <c r="AD499" i="3" s="1"/>
  <c r="AE499" i="3" s="1"/>
  <c r="AC499" i="3"/>
  <c r="AF499" i="3" s="1"/>
  <c r="C500" i="3"/>
  <c r="L500" i="3"/>
  <c r="M500" i="3"/>
  <c r="P500" i="3"/>
  <c r="V500" i="3"/>
  <c r="AB500" i="3"/>
  <c r="AC500" i="3"/>
  <c r="AF500" i="3"/>
  <c r="C501" i="3"/>
  <c r="L501" i="3"/>
  <c r="N501" i="3" s="1"/>
  <c r="O501" i="3" s="1"/>
  <c r="M501" i="3"/>
  <c r="P501" i="3"/>
  <c r="V501" i="3"/>
  <c r="AB501" i="3"/>
  <c r="AD501" i="3" s="1"/>
  <c r="AE501" i="3" s="1"/>
  <c r="AC501" i="3"/>
  <c r="C502" i="3"/>
  <c r="L502" i="3"/>
  <c r="N502" i="3"/>
  <c r="O502" i="3" s="1"/>
  <c r="Q502" i="3" s="1"/>
  <c r="M502" i="3"/>
  <c r="P502" i="3"/>
  <c r="V502" i="3"/>
  <c r="AB502" i="3"/>
  <c r="AC502" i="3"/>
  <c r="AF502" i="3" s="1"/>
  <c r="C503" i="3"/>
  <c r="L503" i="3"/>
  <c r="M503" i="3"/>
  <c r="P503" i="3"/>
  <c r="V503" i="3"/>
  <c r="AB503" i="3"/>
  <c r="AC503" i="3"/>
  <c r="AD503" i="3" s="1"/>
  <c r="AE503" i="3" s="1"/>
  <c r="AF503" i="3"/>
  <c r="C504" i="3"/>
  <c r="L504" i="3"/>
  <c r="M504" i="3"/>
  <c r="P504" i="3"/>
  <c r="V504" i="3"/>
  <c r="AB504" i="3"/>
  <c r="AD504" i="3" s="1"/>
  <c r="AE504" i="3" s="1"/>
  <c r="AC504" i="3"/>
  <c r="AF504" i="3"/>
  <c r="C505" i="3"/>
  <c r="L505" i="3"/>
  <c r="M505" i="3"/>
  <c r="P505" i="3" s="1"/>
  <c r="V505" i="3"/>
  <c r="AB505" i="3"/>
  <c r="AD505" i="3" s="1"/>
  <c r="AE505" i="3" s="1"/>
  <c r="AC505" i="3"/>
  <c r="AF505" i="3" s="1"/>
  <c r="C506" i="3"/>
  <c r="L506" i="3"/>
  <c r="M506" i="3"/>
  <c r="V506" i="3"/>
  <c r="AB506" i="3"/>
  <c r="AC506" i="3"/>
  <c r="AF506" i="3"/>
  <c r="C507" i="3"/>
  <c r="L507" i="3"/>
  <c r="N507" i="3" s="1"/>
  <c r="O507" i="3" s="1"/>
  <c r="M507" i="3"/>
  <c r="P507" i="3"/>
  <c r="V507" i="3"/>
  <c r="AB507" i="3"/>
  <c r="AD507" i="3"/>
  <c r="AE507" i="3"/>
  <c r="AC507" i="3"/>
  <c r="AF507" i="3"/>
  <c r="C508" i="3"/>
  <c r="L508" i="3"/>
  <c r="M508" i="3"/>
  <c r="P508" i="3"/>
  <c r="V508" i="3"/>
  <c r="AB508" i="3"/>
  <c r="AC508" i="3"/>
  <c r="AF508" i="3" s="1"/>
  <c r="C509" i="3"/>
  <c r="L509" i="3"/>
  <c r="M509" i="3"/>
  <c r="P509" i="3"/>
  <c r="V509" i="3"/>
  <c r="AB509" i="3"/>
  <c r="AC509" i="3"/>
  <c r="AF509" i="3"/>
  <c r="C510" i="3"/>
  <c r="L510" i="3"/>
  <c r="N510" i="3"/>
  <c r="O510" i="3" s="1"/>
  <c r="Q510" i="3" s="1"/>
  <c r="M510" i="3"/>
  <c r="P510" i="3" s="1"/>
  <c r="V510" i="3"/>
  <c r="AB510" i="3"/>
  <c r="AC510" i="3"/>
  <c r="AF510" i="3" s="1"/>
  <c r="AG510" i="3" s="1"/>
  <c r="AM510" i="3" s="1"/>
  <c r="AD510" i="3"/>
  <c r="AE510" i="3"/>
  <c r="C511" i="3"/>
  <c r="L511" i="3"/>
  <c r="N511" i="3"/>
  <c r="O511" i="3" s="1"/>
  <c r="Q511" i="3" s="1"/>
  <c r="M511" i="3"/>
  <c r="P511" i="3" s="1"/>
  <c r="V511" i="3"/>
  <c r="AB511" i="3"/>
  <c r="AC511" i="3"/>
  <c r="AF511" i="3" s="1"/>
  <c r="AD511" i="3"/>
  <c r="AE511" i="3"/>
  <c r="C512" i="3"/>
  <c r="L512" i="3"/>
  <c r="N512" i="3" s="1"/>
  <c r="O512" i="3" s="1"/>
  <c r="Q512" i="3" s="1"/>
  <c r="M512" i="3"/>
  <c r="P512" i="3"/>
  <c r="V512" i="3"/>
  <c r="AB512" i="3"/>
  <c r="AC512" i="3"/>
  <c r="AF512" i="3"/>
  <c r="C513" i="3"/>
  <c r="L513" i="3"/>
  <c r="M513" i="3"/>
  <c r="P513" i="3" s="1"/>
  <c r="V513" i="3"/>
  <c r="AB513" i="3"/>
  <c r="AD513" i="3" s="1"/>
  <c r="AE513" i="3" s="1"/>
  <c r="AG513" i="3" s="1"/>
  <c r="AM513" i="3" s="1"/>
  <c r="AC513" i="3"/>
  <c r="AF513" i="3"/>
  <c r="C514" i="3"/>
  <c r="L514" i="3"/>
  <c r="N514" i="3"/>
  <c r="O514" i="3" s="1"/>
  <c r="Q514" i="3" s="1"/>
  <c r="M514" i="3"/>
  <c r="P514" i="3" s="1"/>
  <c r="V514" i="3"/>
  <c r="AB514" i="3"/>
  <c r="AC514" i="3"/>
  <c r="C515" i="3"/>
  <c r="L515" i="3"/>
  <c r="M515" i="3"/>
  <c r="P515" i="3"/>
  <c r="V515" i="3"/>
  <c r="AB515" i="3"/>
  <c r="AC515" i="3"/>
  <c r="AF515" i="3"/>
  <c r="C516" i="3"/>
  <c r="L516" i="3"/>
  <c r="N516" i="3"/>
  <c r="O516" i="3" s="1"/>
  <c r="M516" i="3"/>
  <c r="P516" i="3"/>
  <c r="V516" i="3"/>
  <c r="AB516" i="3"/>
  <c r="AD516" i="3" s="1"/>
  <c r="AE516" i="3" s="1"/>
  <c r="AC516" i="3"/>
  <c r="AF516" i="3"/>
  <c r="C517" i="3"/>
  <c r="L517" i="3"/>
  <c r="M517" i="3"/>
  <c r="V517" i="3"/>
  <c r="AB517" i="3"/>
  <c r="AC517" i="3"/>
  <c r="C518" i="3"/>
  <c r="L518" i="3"/>
  <c r="N518" i="3" s="1"/>
  <c r="O518" i="3" s="1"/>
  <c r="Q518" i="3" s="1"/>
  <c r="M518" i="3"/>
  <c r="P518" i="3"/>
  <c r="V518" i="3"/>
  <c r="AB518" i="3"/>
  <c r="AC518" i="3"/>
  <c r="AF518" i="3"/>
  <c r="C519" i="3"/>
  <c r="L519" i="3"/>
  <c r="M519" i="3"/>
  <c r="V519" i="3"/>
  <c r="AB519" i="3"/>
  <c r="AC519" i="3"/>
  <c r="AD519" i="3" s="1"/>
  <c r="AE519" i="3" s="1"/>
  <c r="AF519" i="3"/>
  <c r="C520" i="3"/>
  <c r="L520" i="3"/>
  <c r="M520" i="3"/>
  <c r="P520" i="3"/>
  <c r="V520" i="3"/>
  <c r="AB520" i="3"/>
  <c r="AD520" i="3" s="1"/>
  <c r="AE520" i="3" s="1"/>
  <c r="AC520" i="3"/>
  <c r="AF520" i="3"/>
  <c r="C521" i="3"/>
  <c r="L521" i="3"/>
  <c r="M521" i="3"/>
  <c r="P521" i="3"/>
  <c r="V521" i="3"/>
  <c r="AB521" i="3"/>
  <c r="AD521" i="3" s="1"/>
  <c r="AE521" i="3" s="1"/>
  <c r="AC521" i="3"/>
  <c r="AF521" i="3"/>
  <c r="C522" i="3"/>
  <c r="L522" i="3"/>
  <c r="M522" i="3"/>
  <c r="P522" i="3" s="1"/>
  <c r="V522" i="3"/>
  <c r="AB522" i="3"/>
  <c r="AC522" i="3"/>
  <c r="AF522" i="3"/>
  <c r="C523" i="3"/>
  <c r="L523" i="3"/>
  <c r="M523" i="3"/>
  <c r="P523" i="3"/>
  <c r="V523" i="3"/>
  <c r="AB523" i="3"/>
  <c r="AC523" i="3"/>
  <c r="AF523" i="3" s="1"/>
  <c r="C524" i="3"/>
  <c r="L524" i="3"/>
  <c r="N524" i="3" s="1"/>
  <c r="O524" i="3" s="1"/>
  <c r="Q524" i="3" s="1"/>
  <c r="M524" i="3"/>
  <c r="P524" i="3"/>
  <c r="V524" i="3"/>
  <c r="AB524" i="3"/>
  <c r="AD524" i="3"/>
  <c r="AE524" i="3"/>
  <c r="AC524" i="3"/>
  <c r="AF524" i="3"/>
  <c r="C525" i="3"/>
  <c r="L525" i="3"/>
  <c r="M525" i="3"/>
  <c r="P525" i="3" s="1"/>
  <c r="V525" i="3"/>
  <c r="AB525" i="3"/>
  <c r="AC525" i="3"/>
  <c r="C526" i="3"/>
  <c r="L526" i="3"/>
  <c r="N526" i="3" s="1"/>
  <c r="O526" i="3" s="1"/>
  <c r="M526" i="3"/>
  <c r="P526" i="3" s="1"/>
  <c r="V526" i="3"/>
  <c r="AB526" i="3"/>
  <c r="AC526" i="3"/>
  <c r="AF526" i="3"/>
  <c r="C527" i="3"/>
  <c r="L527" i="3"/>
  <c r="M527" i="3"/>
  <c r="P527" i="3"/>
  <c r="V527" i="3"/>
  <c r="AB527" i="3"/>
  <c r="AC527" i="3"/>
  <c r="C528" i="3"/>
  <c r="L528" i="3"/>
  <c r="M528" i="3"/>
  <c r="P528" i="3"/>
  <c r="V528" i="3"/>
  <c r="AB528" i="3"/>
  <c r="AC528" i="3"/>
  <c r="C529" i="3"/>
  <c r="L529" i="3"/>
  <c r="M529" i="3"/>
  <c r="P529" i="3"/>
  <c r="V529" i="3"/>
  <c r="AB529" i="3"/>
  <c r="AC529" i="3"/>
  <c r="AF529" i="3"/>
  <c r="C530" i="3"/>
  <c r="L530" i="3"/>
  <c r="N530" i="3" s="1"/>
  <c r="O530" i="3" s="1"/>
  <c r="M530" i="3"/>
  <c r="P530" i="3" s="1"/>
  <c r="V530" i="3"/>
  <c r="AB530" i="3"/>
  <c r="AC530" i="3"/>
  <c r="AF530" i="3" s="1"/>
  <c r="C531" i="3"/>
  <c r="L531" i="3"/>
  <c r="M531" i="3"/>
  <c r="N531" i="3"/>
  <c r="O531" i="3" s="1"/>
  <c r="V531" i="3"/>
  <c r="AB531" i="3"/>
  <c r="AC531" i="3"/>
  <c r="AF531" i="3" s="1"/>
  <c r="C532" i="3"/>
  <c r="L532" i="3"/>
  <c r="M532" i="3"/>
  <c r="P532" i="3"/>
  <c r="V532" i="3"/>
  <c r="AB532" i="3"/>
  <c r="AD532" i="3" s="1"/>
  <c r="AE532" i="3" s="1"/>
  <c r="AC532" i="3"/>
  <c r="C533" i="3"/>
  <c r="L533" i="3"/>
  <c r="N533" i="3" s="1"/>
  <c r="O533" i="3" s="1"/>
  <c r="M533" i="3"/>
  <c r="P533" i="3" s="1"/>
  <c r="V533" i="3"/>
  <c r="AB533" i="3"/>
  <c r="AC533" i="3"/>
  <c r="C534" i="3"/>
  <c r="L534" i="3"/>
  <c r="N534" i="3" s="1"/>
  <c r="O534" i="3" s="1"/>
  <c r="M534" i="3"/>
  <c r="P534" i="3" s="1"/>
  <c r="V534" i="3"/>
  <c r="AB534" i="3"/>
  <c r="AC534" i="3"/>
  <c r="C535" i="3"/>
  <c r="L535" i="3"/>
  <c r="M535" i="3"/>
  <c r="P535" i="3"/>
  <c r="V535" i="3"/>
  <c r="AB535" i="3"/>
  <c r="AC535" i="3"/>
  <c r="AF535" i="3" s="1"/>
  <c r="C536" i="3"/>
  <c r="L536" i="3"/>
  <c r="M536" i="3"/>
  <c r="N536" i="3" s="1"/>
  <c r="O536" i="3" s="1"/>
  <c r="P536" i="3"/>
  <c r="V536" i="3"/>
  <c r="AB536" i="3"/>
  <c r="AD536" i="3"/>
  <c r="AE536" i="3" s="1"/>
  <c r="AG536" i="3" s="1"/>
  <c r="AM536" i="3" s="1"/>
  <c r="AC536" i="3"/>
  <c r="AF536" i="3" s="1"/>
  <c r="C537" i="3"/>
  <c r="L537" i="3"/>
  <c r="N537" i="3"/>
  <c r="O537" i="3" s="1"/>
  <c r="Q537" i="3" s="1"/>
  <c r="M537" i="3"/>
  <c r="P537" i="3"/>
  <c r="V537" i="3"/>
  <c r="AB537" i="3"/>
  <c r="AD537" i="3" s="1"/>
  <c r="AE537" i="3" s="1"/>
  <c r="AC537" i="3"/>
  <c r="C538" i="3"/>
  <c r="L538" i="3"/>
  <c r="N538" i="3"/>
  <c r="O538" i="3"/>
  <c r="M538" i="3"/>
  <c r="P538" i="3"/>
  <c r="V538" i="3"/>
  <c r="AB538" i="3"/>
  <c r="AD538" i="3" s="1"/>
  <c r="AE538" i="3" s="1"/>
  <c r="AG538" i="3" s="1"/>
  <c r="AM538" i="3" s="1"/>
  <c r="AC538" i="3"/>
  <c r="AF538" i="3" s="1"/>
  <c r="C539" i="3"/>
  <c r="L539" i="3"/>
  <c r="N539" i="3" s="1"/>
  <c r="O539" i="3" s="1"/>
  <c r="M539" i="3"/>
  <c r="P539" i="3" s="1"/>
  <c r="V539" i="3"/>
  <c r="AB539" i="3"/>
  <c r="AC539" i="3"/>
  <c r="AF539" i="3"/>
  <c r="AD539" i="3"/>
  <c r="AE539" i="3"/>
  <c r="AG539" i="3"/>
  <c r="AM539" i="3"/>
  <c r="C540" i="3"/>
  <c r="L540" i="3"/>
  <c r="M540" i="3"/>
  <c r="P540" i="3" s="1"/>
  <c r="V540" i="3"/>
  <c r="AB540" i="3"/>
  <c r="AC540" i="3"/>
  <c r="AF540" i="3"/>
  <c r="C541" i="3"/>
  <c r="L541" i="3"/>
  <c r="M541" i="3"/>
  <c r="P541" i="3" s="1"/>
  <c r="V541" i="3"/>
  <c r="AB541" i="3"/>
  <c r="AC541" i="3"/>
  <c r="C542" i="3"/>
  <c r="L542" i="3"/>
  <c r="M542" i="3"/>
  <c r="P542" i="3" s="1"/>
  <c r="V542" i="3"/>
  <c r="AB542" i="3"/>
  <c r="AC542" i="3"/>
  <c r="C543" i="3"/>
  <c r="L543" i="3"/>
  <c r="M543" i="3"/>
  <c r="P543" i="3"/>
  <c r="V543" i="3"/>
  <c r="AB543" i="3"/>
  <c r="AC543" i="3"/>
  <c r="AD543" i="3" s="1"/>
  <c r="AE543" i="3" s="1"/>
  <c r="AF543" i="3"/>
  <c r="C544" i="3"/>
  <c r="L544" i="3"/>
  <c r="M544" i="3"/>
  <c r="P544" i="3"/>
  <c r="V544" i="3"/>
  <c r="AB544" i="3"/>
  <c r="AC544" i="3"/>
  <c r="AF544" i="3" s="1"/>
  <c r="C545" i="3"/>
  <c r="L545" i="3"/>
  <c r="M545" i="3"/>
  <c r="P545" i="3"/>
  <c r="V545" i="3"/>
  <c r="AB545" i="3"/>
  <c r="AC545" i="3"/>
  <c r="C546" i="3"/>
  <c r="L546" i="3"/>
  <c r="N546" i="3"/>
  <c r="O546" i="3" s="1"/>
  <c r="Q546" i="3" s="1"/>
  <c r="M546" i="3"/>
  <c r="P546" i="3"/>
  <c r="V546" i="3"/>
  <c r="AB546" i="3"/>
  <c r="AC546" i="3"/>
  <c r="AF546" i="3" s="1"/>
  <c r="C547" i="3"/>
  <c r="L547" i="3"/>
  <c r="M547" i="3"/>
  <c r="P547" i="3"/>
  <c r="V547" i="3"/>
  <c r="AB547" i="3"/>
  <c r="AC547" i="3"/>
  <c r="C548" i="3"/>
  <c r="L548" i="3"/>
  <c r="M548" i="3"/>
  <c r="P548" i="3" s="1"/>
  <c r="V548" i="3"/>
  <c r="AB548" i="3"/>
  <c r="AD548" i="3" s="1"/>
  <c r="AE548" i="3" s="1"/>
  <c r="AC548" i="3"/>
  <c r="C549" i="3"/>
  <c r="L549" i="3"/>
  <c r="M549" i="3"/>
  <c r="P549" i="3"/>
  <c r="V549" i="3"/>
  <c r="AB549" i="3"/>
  <c r="AC549" i="3"/>
  <c r="C550" i="3"/>
  <c r="L550" i="3"/>
  <c r="N550" i="3"/>
  <c r="O550" i="3" s="1"/>
  <c r="M550" i="3"/>
  <c r="P550" i="3" s="1"/>
  <c r="V550" i="3"/>
  <c r="AB550" i="3"/>
  <c r="AC550" i="3"/>
  <c r="AF550" i="3"/>
  <c r="C551" i="3"/>
  <c r="L551" i="3"/>
  <c r="M551" i="3"/>
  <c r="P551" i="3"/>
  <c r="V551" i="3"/>
  <c r="AB551" i="3"/>
  <c r="AD551" i="3" s="1"/>
  <c r="AE551" i="3" s="1"/>
  <c r="AC551" i="3"/>
  <c r="C552" i="3"/>
  <c r="L552" i="3"/>
  <c r="M552" i="3"/>
  <c r="P552" i="3" s="1"/>
  <c r="V552" i="3"/>
  <c r="AB552" i="3"/>
  <c r="AC552" i="3"/>
  <c r="AF552" i="3" s="1"/>
  <c r="C553" i="3"/>
  <c r="L553" i="3"/>
  <c r="M553" i="3"/>
  <c r="V553" i="3"/>
  <c r="AB553" i="3"/>
  <c r="AC553" i="3"/>
  <c r="C554" i="3"/>
  <c r="L554" i="3"/>
  <c r="M554" i="3"/>
  <c r="P554" i="3"/>
  <c r="V554" i="3"/>
  <c r="AB554" i="3"/>
  <c r="AC554" i="3"/>
  <c r="AF554" i="3" s="1"/>
  <c r="C555" i="3"/>
  <c r="L555" i="3"/>
  <c r="M555" i="3"/>
  <c r="P555" i="3" s="1"/>
  <c r="V555" i="3"/>
  <c r="AB555" i="3"/>
  <c r="AC555" i="3"/>
  <c r="AF555" i="3"/>
  <c r="C556" i="3"/>
  <c r="L556" i="3"/>
  <c r="N556" i="3"/>
  <c r="O556" i="3"/>
  <c r="Q556" i="3" s="1"/>
  <c r="M556" i="3"/>
  <c r="P556" i="3"/>
  <c r="V556" i="3"/>
  <c r="AB556" i="3"/>
  <c r="AC556" i="3"/>
  <c r="AF556" i="3" s="1"/>
  <c r="C557" i="3"/>
  <c r="L557" i="3"/>
  <c r="M557" i="3"/>
  <c r="V557" i="3"/>
  <c r="AB557" i="3"/>
  <c r="AD557" i="3" s="1"/>
  <c r="AE557" i="3" s="1"/>
  <c r="AG557" i="3" s="1"/>
  <c r="AM557" i="3" s="1"/>
  <c r="AC557" i="3"/>
  <c r="AF557" i="3"/>
  <c r="C558" i="3"/>
  <c r="L558" i="3"/>
  <c r="M558" i="3"/>
  <c r="P558" i="3" s="1"/>
  <c r="V558" i="3"/>
  <c r="AB558" i="3"/>
  <c r="AC558" i="3"/>
  <c r="AF558" i="3"/>
  <c r="C559" i="3"/>
  <c r="L559" i="3"/>
  <c r="M559" i="3"/>
  <c r="N559" i="3" s="1"/>
  <c r="O559" i="3" s="1"/>
  <c r="P559" i="3"/>
  <c r="V559" i="3"/>
  <c r="AB559" i="3"/>
  <c r="AC559" i="3"/>
  <c r="C560" i="3"/>
  <c r="L560" i="3"/>
  <c r="N560" i="3"/>
  <c r="O560" i="3" s="1"/>
  <c r="Q560" i="3" s="1"/>
  <c r="M560" i="3"/>
  <c r="P560" i="3"/>
  <c r="V560" i="3"/>
  <c r="AB560" i="3"/>
  <c r="AD560" i="3" s="1"/>
  <c r="AE560" i="3" s="1"/>
  <c r="AG560" i="3" s="1"/>
  <c r="AM560" i="3" s="1"/>
  <c r="AC560" i="3"/>
  <c r="AF560" i="3" s="1"/>
  <c r="C561" i="3"/>
  <c r="L561" i="3"/>
  <c r="M561" i="3"/>
  <c r="P561" i="3"/>
  <c r="V561" i="3"/>
  <c r="AB561" i="3"/>
  <c r="AC561" i="3"/>
  <c r="AF561" i="3" s="1"/>
  <c r="C562" i="3"/>
  <c r="L562" i="3"/>
  <c r="M562" i="3"/>
  <c r="V562" i="3"/>
  <c r="AB562" i="3"/>
  <c r="AC562" i="3"/>
  <c r="AF562" i="3"/>
  <c r="C563" i="3"/>
  <c r="L563" i="3"/>
  <c r="M563" i="3"/>
  <c r="P563" i="3" s="1"/>
  <c r="V563" i="3"/>
  <c r="AB563" i="3"/>
  <c r="AD563" i="3"/>
  <c r="AE563" i="3" s="1"/>
  <c r="AG563" i="3" s="1"/>
  <c r="AM563" i="3" s="1"/>
  <c r="AC563" i="3"/>
  <c r="AF563" i="3"/>
  <c r="C564" i="3"/>
  <c r="L564" i="3"/>
  <c r="M564" i="3"/>
  <c r="P564" i="3" s="1"/>
  <c r="V564" i="3"/>
  <c r="AB564" i="3"/>
  <c r="AC564" i="3"/>
  <c r="C565" i="3"/>
  <c r="L565" i="3"/>
  <c r="M565" i="3"/>
  <c r="P565" i="3" s="1"/>
  <c r="V565" i="3"/>
  <c r="AB565" i="3"/>
  <c r="AC565" i="3"/>
  <c r="C566" i="3"/>
  <c r="L566" i="3"/>
  <c r="M566" i="3"/>
  <c r="P566" i="3" s="1"/>
  <c r="V566" i="3"/>
  <c r="AB566" i="3"/>
  <c r="AC566" i="3"/>
  <c r="C567" i="3"/>
  <c r="L567" i="3"/>
  <c r="N567" i="3" s="1"/>
  <c r="O567" i="3" s="1"/>
  <c r="M567" i="3"/>
  <c r="V567" i="3"/>
  <c r="AB567" i="3"/>
  <c r="AC567" i="3"/>
  <c r="AF567" i="3" s="1"/>
  <c r="C568" i="3"/>
  <c r="L568" i="3"/>
  <c r="N568" i="3"/>
  <c r="O568" i="3" s="1"/>
  <c r="M568" i="3"/>
  <c r="P568" i="3" s="1"/>
  <c r="V568" i="3"/>
  <c r="AB568" i="3"/>
  <c r="AC568" i="3"/>
  <c r="AF568" i="3"/>
  <c r="C569" i="3"/>
  <c r="L569" i="3"/>
  <c r="N569" i="3" s="1"/>
  <c r="O569" i="3" s="1"/>
  <c r="Q569" i="3" s="1"/>
  <c r="M569" i="3"/>
  <c r="P569" i="3"/>
  <c r="V569" i="3"/>
  <c r="AB569" i="3"/>
  <c r="AC569" i="3"/>
  <c r="C570" i="3"/>
  <c r="L570" i="3"/>
  <c r="M570" i="3"/>
  <c r="P570" i="3" s="1"/>
  <c r="V570" i="3"/>
  <c r="AB570" i="3"/>
  <c r="AC570" i="3"/>
  <c r="AF570" i="3" s="1"/>
  <c r="C571" i="3"/>
  <c r="L571" i="3"/>
  <c r="M571" i="3"/>
  <c r="P571" i="3"/>
  <c r="N571" i="3"/>
  <c r="O571" i="3"/>
  <c r="V571" i="3"/>
  <c r="AB571" i="3"/>
  <c r="AD571" i="3" s="1"/>
  <c r="AE571" i="3" s="1"/>
  <c r="AG571" i="3" s="1"/>
  <c r="AM571" i="3" s="1"/>
  <c r="AC571" i="3"/>
  <c r="AF571" i="3" s="1"/>
  <c r="C572" i="3"/>
  <c r="L572" i="3"/>
  <c r="M572" i="3"/>
  <c r="P572" i="3"/>
  <c r="V572" i="3"/>
  <c r="AB572" i="3"/>
  <c r="AD572" i="3" s="1"/>
  <c r="AE572" i="3" s="1"/>
  <c r="AC572" i="3"/>
  <c r="AF572" i="3" s="1"/>
  <c r="C573" i="3"/>
  <c r="L573" i="3"/>
  <c r="M573" i="3"/>
  <c r="P573" i="3"/>
  <c r="N573" i="3"/>
  <c r="O573" i="3"/>
  <c r="Q573" i="3"/>
  <c r="V573" i="3"/>
  <c r="AB573" i="3"/>
  <c r="AD573" i="3" s="1"/>
  <c r="AE573" i="3" s="1"/>
  <c r="AC573" i="3"/>
  <c r="AF573" i="3"/>
  <c r="C574" i="3"/>
  <c r="L574" i="3"/>
  <c r="M574" i="3"/>
  <c r="N574" i="3" s="1"/>
  <c r="O574" i="3" s="1"/>
  <c r="V574" i="3"/>
  <c r="AB574" i="3"/>
  <c r="AD574" i="3"/>
  <c r="AE574" i="3" s="1"/>
  <c r="AC574" i="3"/>
  <c r="AF574" i="3" s="1"/>
  <c r="C575" i="3"/>
  <c r="L575" i="3"/>
  <c r="M575" i="3"/>
  <c r="N575" i="3" s="1"/>
  <c r="O575" i="3" s="1"/>
  <c r="P575" i="3"/>
  <c r="V575" i="3"/>
  <c r="AB575" i="3"/>
  <c r="AC575" i="3"/>
  <c r="AF575" i="3" s="1"/>
  <c r="C576" i="3"/>
  <c r="L576" i="3"/>
  <c r="N576" i="3" s="1"/>
  <c r="O576" i="3" s="1"/>
  <c r="M576" i="3"/>
  <c r="P576" i="3"/>
  <c r="V576" i="3"/>
  <c r="AB576" i="3"/>
  <c r="AC576" i="3"/>
  <c r="AF576" i="3"/>
  <c r="C577" i="3"/>
  <c r="L577" i="3"/>
  <c r="M577" i="3"/>
  <c r="P577" i="3" s="1"/>
  <c r="V577" i="3"/>
  <c r="AB577" i="3"/>
  <c r="AC577" i="3"/>
  <c r="AF577" i="3"/>
  <c r="C578" i="3"/>
  <c r="L578" i="3"/>
  <c r="M578" i="3"/>
  <c r="P578" i="3"/>
  <c r="V578" i="3"/>
  <c r="AB578" i="3"/>
  <c r="AC578" i="3"/>
  <c r="AF578" i="3" s="1"/>
  <c r="C579" i="3"/>
  <c r="L579" i="3"/>
  <c r="M579" i="3"/>
  <c r="P579" i="3"/>
  <c r="V579" i="3"/>
  <c r="AB579" i="3"/>
  <c r="AC579" i="3"/>
  <c r="AF579" i="3"/>
  <c r="C580" i="3"/>
  <c r="L580" i="3"/>
  <c r="M580" i="3"/>
  <c r="P580" i="3" s="1"/>
  <c r="V580" i="3"/>
  <c r="AB580" i="3"/>
  <c r="AC580" i="3"/>
  <c r="C581" i="3"/>
  <c r="L581" i="3"/>
  <c r="N581" i="3" s="1"/>
  <c r="O581" i="3" s="1"/>
  <c r="Q581" i="3" s="1"/>
  <c r="M581" i="3"/>
  <c r="P581" i="3" s="1"/>
  <c r="V581" i="3"/>
  <c r="AB581" i="3"/>
  <c r="AD581" i="3"/>
  <c r="AE581" i="3" s="1"/>
  <c r="AG581" i="3" s="1"/>
  <c r="AM581" i="3" s="1"/>
  <c r="AC581" i="3"/>
  <c r="AF581" i="3"/>
  <c r="C582" i="3"/>
  <c r="L582" i="3"/>
  <c r="M582" i="3"/>
  <c r="P582" i="3"/>
  <c r="V582" i="3"/>
  <c r="AB582" i="3"/>
  <c r="AD582" i="3" s="1"/>
  <c r="AE582" i="3" s="1"/>
  <c r="AC582" i="3"/>
  <c r="AF582" i="3"/>
  <c r="C583" i="3"/>
  <c r="L583" i="3"/>
  <c r="N583" i="3" s="1"/>
  <c r="O583" i="3" s="1"/>
  <c r="M583" i="3"/>
  <c r="V583" i="3"/>
  <c r="AB583" i="3"/>
  <c r="AD583" i="3"/>
  <c r="AE583" i="3"/>
  <c r="AG583" i="3" s="1"/>
  <c r="AM583" i="3" s="1"/>
  <c r="AC583" i="3"/>
  <c r="AF583" i="3" s="1"/>
  <c r="C584" i="3"/>
  <c r="L584" i="3"/>
  <c r="M584" i="3"/>
  <c r="N584" i="3"/>
  <c r="O584" i="3"/>
  <c r="V584" i="3"/>
  <c r="AB584" i="3"/>
  <c r="AD584" i="3"/>
  <c r="AE584" i="3" s="1"/>
  <c r="AC584" i="3"/>
  <c r="AF584" i="3"/>
  <c r="C585" i="3"/>
  <c r="L585" i="3"/>
  <c r="M585" i="3"/>
  <c r="P585" i="3" s="1"/>
  <c r="V585" i="3"/>
  <c r="AB585" i="3"/>
  <c r="AC585" i="3"/>
  <c r="C586" i="3"/>
  <c r="L586" i="3"/>
  <c r="N586" i="3" s="1"/>
  <c r="O586" i="3" s="1"/>
  <c r="Q586" i="3" s="1"/>
  <c r="M586" i="3"/>
  <c r="P586" i="3"/>
  <c r="V586" i="3"/>
  <c r="AB586" i="3"/>
  <c r="AC586" i="3"/>
  <c r="C587" i="3"/>
  <c r="L587" i="3"/>
  <c r="M587" i="3"/>
  <c r="V587" i="3"/>
  <c r="AB587" i="3"/>
  <c r="AC587" i="3"/>
  <c r="AD587" i="3" s="1"/>
  <c r="AE587" i="3" s="1"/>
  <c r="AG587" i="3" s="1"/>
  <c r="AM587" i="3" s="1"/>
  <c r="AF587" i="3"/>
  <c r="C588" i="3"/>
  <c r="L588" i="3"/>
  <c r="N588" i="3" s="1"/>
  <c r="O588" i="3" s="1"/>
  <c r="M588" i="3"/>
  <c r="P588" i="3" s="1"/>
  <c r="V588" i="3"/>
  <c r="AB588" i="3"/>
  <c r="AC588" i="3"/>
  <c r="AF588" i="3"/>
  <c r="C589" i="3"/>
  <c r="L589" i="3"/>
  <c r="M589" i="3"/>
  <c r="P589" i="3" s="1"/>
  <c r="V589" i="3"/>
  <c r="AB589" i="3"/>
  <c r="AC589" i="3"/>
  <c r="AF589" i="3" s="1"/>
  <c r="C590" i="3"/>
  <c r="L590" i="3"/>
  <c r="M590" i="3"/>
  <c r="N590" i="3"/>
  <c r="O590" i="3"/>
  <c r="P590" i="3"/>
  <c r="V590" i="3"/>
  <c r="AB590" i="3"/>
  <c r="AC590" i="3"/>
  <c r="AF590" i="3"/>
  <c r="C591" i="3"/>
  <c r="L591" i="3"/>
  <c r="N591" i="3"/>
  <c r="O591" i="3" s="1"/>
  <c r="Q591" i="3" s="1"/>
  <c r="M591" i="3"/>
  <c r="P591" i="3"/>
  <c r="V591" i="3"/>
  <c r="AB591" i="3"/>
  <c r="AD591" i="3"/>
  <c r="AE591" i="3" s="1"/>
  <c r="AC591" i="3"/>
  <c r="AF591" i="3"/>
  <c r="C592" i="3"/>
  <c r="L592" i="3"/>
  <c r="M592" i="3"/>
  <c r="P592" i="3" s="1"/>
  <c r="V592" i="3"/>
  <c r="AB592" i="3"/>
  <c r="AC592" i="3"/>
  <c r="AF592" i="3"/>
  <c r="C593" i="3"/>
  <c r="L593" i="3"/>
  <c r="M593" i="3"/>
  <c r="P593" i="3"/>
  <c r="V593" i="3"/>
  <c r="AB593" i="3"/>
  <c r="AD593" i="3" s="1"/>
  <c r="AE593" i="3" s="1"/>
  <c r="AC593" i="3"/>
  <c r="AF593" i="3"/>
  <c r="C594" i="3"/>
  <c r="L594" i="3"/>
  <c r="M594" i="3"/>
  <c r="P594" i="3" s="1"/>
  <c r="V594" i="3"/>
  <c r="AB594" i="3"/>
  <c r="AD594" i="3" s="1"/>
  <c r="AE594" i="3" s="1"/>
  <c r="AG594" i="3" s="1"/>
  <c r="AM594" i="3" s="1"/>
  <c r="AC594" i="3"/>
  <c r="AF594" i="3"/>
  <c r="C595" i="3"/>
  <c r="L595" i="3"/>
  <c r="N595" i="3" s="1"/>
  <c r="O595" i="3" s="1"/>
  <c r="Q595" i="3" s="1"/>
  <c r="M595" i="3"/>
  <c r="P595" i="3" s="1"/>
  <c r="V595" i="3"/>
  <c r="AB595" i="3"/>
  <c r="AC595" i="3"/>
  <c r="AF595" i="3"/>
  <c r="C596" i="3"/>
  <c r="L596" i="3"/>
  <c r="M596" i="3"/>
  <c r="P596" i="3"/>
  <c r="V596" i="3"/>
  <c r="AB596" i="3"/>
  <c r="AC596" i="3"/>
  <c r="C597" i="3"/>
  <c r="L597" i="3"/>
  <c r="N597" i="3" s="1"/>
  <c r="O597" i="3" s="1"/>
  <c r="M597" i="3"/>
  <c r="P597" i="3"/>
  <c r="V597" i="3"/>
  <c r="AB597" i="3"/>
  <c r="AD597" i="3"/>
  <c r="AE597" i="3" s="1"/>
  <c r="AC597" i="3"/>
  <c r="AF597" i="3"/>
  <c r="C598" i="3"/>
  <c r="L598" i="3"/>
  <c r="N598" i="3" s="1"/>
  <c r="O598" i="3" s="1"/>
  <c r="M598" i="3"/>
  <c r="P598" i="3"/>
  <c r="V598" i="3"/>
  <c r="AB598" i="3"/>
  <c r="AD598" i="3" s="1"/>
  <c r="AE598" i="3" s="1"/>
  <c r="AC598" i="3"/>
  <c r="AF598" i="3"/>
  <c r="C599" i="3"/>
  <c r="L599" i="3"/>
  <c r="N599" i="3" s="1"/>
  <c r="O599" i="3" s="1"/>
  <c r="M599" i="3"/>
  <c r="V599" i="3"/>
  <c r="AB599" i="3"/>
  <c r="AD599" i="3"/>
  <c r="AE599" i="3" s="1"/>
  <c r="AG599" i="3" s="1"/>
  <c r="AM599" i="3" s="1"/>
  <c r="AC599" i="3"/>
  <c r="AF599" i="3" s="1"/>
  <c r="C600" i="3"/>
  <c r="L600" i="3"/>
  <c r="M600" i="3"/>
  <c r="P600" i="3"/>
  <c r="V600" i="3"/>
  <c r="AB600" i="3"/>
  <c r="AC600" i="3"/>
  <c r="C601" i="3"/>
  <c r="L601" i="3"/>
  <c r="M601" i="3"/>
  <c r="N601" i="3" s="1"/>
  <c r="O601" i="3" s="1"/>
  <c r="V601" i="3"/>
  <c r="AB601" i="3"/>
  <c r="AC601" i="3"/>
  <c r="AF601" i="3"/>
  <c r="C602" i="3"/>
  <c r="L602" i="3"/>
  <c r="N602" i="3" s="1"/>
  <c r="O602" i="3" s="1"/>
  <c r="M602" i="3"/>
  <c r="P602" i="3"/>
  <c r="V602" i="3"/>
  <c r="AB602" i="3"/>
  <c r="AC602" i="3"/>
  <c r="C603" i="3"/>
  <c r="L603" i="3"/>
  <c r="M603" i="3"/>
  <c r="P603" i="3"/>
  <c r="V603" i="3"/>
  <c r="AB603" i="3"/>
  <c r="AC603" i="3"/>
  <c r="AD603" i="3" s="1"/>
  <c r="AE603" i="3" s="1"/>
  <c r="AF603" i="3"/>
  <c r="C604" i="3"/>
  <c r="L604" i="3"/>
  <c r="N604" i="3"/>
  <c r="O604" i="3"/>
  <c r="M604" i="3"/>
  <c r="P604" i="3"/>
  <c r="V604" i="3"/>
  <c r="AB604" i="3"/>
  <c r="AC604" i="3"/>
  <c r="AF604" i="3"/>
  <c r="C605" i="3"/>
  <c r="L605" i="3"/>
  <c r="N605" i="3"/>
  <c r="O605" i="3" s="1"/>
  <c r="Q605" i="3" s="1"/>
  <c r="M605" i="3"/>
  <c r="P605" i="3"/>
  <c r="V605" i="3"/>
  <c r="AB605" i="3"/>
  <c r="AC605" i="3"/>
  <c r="AF605" i="3"/>
  <c r="C606" i="3"/>
  <c r="L606" i="3"/>
  <c r="M606" i="3"/>
  <c r="V606" i="3"/>
  <c r="AB606" i="3"/>
  <c r="AC606" i="3"/>
  <c r="AF606" i="3"/>
  <c r="C607" i="3"/>
  <c r="L607" i="3"/>
  <c r="M607" i="3"/>
  <c r="P607" i="3" s="1"/>
  <c r="V607" i="3"/>
  <c r="AB607" i="3"/>
  <c r="AC607" i="3"/>
  <c r="AF607" i="3"/>
  <c r="C608" i="3"/>
  <c r="L608" i="3"/>
  <c r="M608" i="3"/>
  <c r="P608" i="3"/>
  <c r="V608" i="3"/>
  <c r="AB608" i="3"/>
  <c r="AD608" i="3" s="1"/>
  <c r="AE608" i="3" s="1"/>
  <c r="AC608" i="3"/>
  <c r="AF608" i="3"/>
  <c r="C609" i="3"/>
  <c r="L609" i="3"/>
  <c r="N609" i="3" s="1"/>
  <c r="O609" i="3" s="1"/>
  <c r="M609" i="3"/>
  <c r="V609" i="3"/>
  <c r="AB609" i="3"/>
  <c r="AC609" i="3"/>
  <c r="AF609" i="3" s="1"/>
  <c r="C610" i="3"/>
  <c r="L610" i="3"/>
  <c r="M610" i="3"/>
  <c r="V610" i="3"/>
  <c r="AB610" i="3"/>
  <c r="AC610" i="3"/>
  <c r="AF610" i="3" s="1"/>
  <c r="C611" i="3"/>
  <c r="L611" i="3"/>
  <c r="M611" i="3"/>
  <c r="P611" i="3"/>
  <c r="V611" i="3"/>
  <c r="AB611" i="3"/>
  <c r="AC611" i="3"/>
  <c r="AF611" i="3"/>
  <c r="C612" i="3"/>
  <c r="L612" i="3"/>
  <c r="N612" i="3"/>
  <c r="O612" i="3" s="1"/>
  <c r="Q612" i="3" s="1"/>
  <c r="M612" i="3"/>
  <c r="P612" i="3"/>
  <c r="V612" i="3"/>
  <c r="AB612" i="3"/>
  <c r="AC612" i="3"/>
  <c r="AF612" i="3"/>
  <c r="AD612" i="3"/>
  <c r="AE612" i="3" s="1"/>
  <c r="AG612" i="3" s="1"/>
  <c r="AM612" i="3" s="1"/>
  <c r="C613" i="3"/>
  <c r="L613" i="3"/>
  <c r="N613" i="3" s="1"/>
  <c r="O613" i="3" s="1"/>
  <c r="M613" i="3"/>
  <c r="P613" i="3"/>
  <c r="V613" i="3"/>
  <c r="AB613" i="3"/>
  <c r="AD613" i="3" s="1"/>
  <c r="AE613" i="3" s="1"/>
  <c r="AC613" i="3"/>
  <c r="AF613" i="3" s="1"/>
  <c r="C614" i="3"/>
  <c r="L614" i="3"/>
  <c r="M614" i="3"/>
  <c r="P614" i="3"/>
  <c r="V614" i="3"/>
  <c r="AB614" i="3"/>
  <c r="AC614" i="3"/>
  <c r="C615" i="3"/>
  <c r="L615" i="3"/>
  <c r="M615" i="3"/>
  <c r="P615" i="3"/>
  <c r="V615" i="3"/>
  <c r="AB615" i="3"/>
  <c r="AC615" i="3"/>
  <c r="AD615" i="3" s="1"/>
  <c r="AE615" i="3" s="1"/>
  <c r="AG615" i="3" s="1"/>
  <c r="AM615" i="3" s="1"/>
  <c r="AF615" i="3"/>
  <c r="C616" i="3"/>
  <c r="L616" i="3"/>
  <c r="M616" i="3"/>
  <c r="P616" i="3"/>
  <c r="V616" i="3"/>
  <c r="AB616" i="3"/>
  <c r="AC616" i="3"/>
  <c r="AF616" i="3" s="1"/>
  <c r="C617" i="3"/>
  <c r="L617" i="3"/>
  <c r="M617" i="3"/>
  <c r="V617" i="3"/>
  <c r="AB617" i="3"/>
  <c r="AD617" i="3" s="1"/>
  <c r="AE617" i="3" s="1"/>
  <c r="AG617" i="3" s="1"/>
  <c r="AC617" i="3"/>
  <c r="AF617" i="3" s="1"/>
  <c r="C618" i="3"/>
  <c r="L618" i="3"/>
  <c r="M618" i="3"/>
  <c r="P618" i="3"/>
  <c r="V618" i="3"/>
  <c r="AB618" i="3"/>
  <c r="AD618" i="3"/>
  <c r="AE618" i="3"/>
  <c r="AC618" i="3"/>
  <c r="AF618" i="3"/>
  <c r="C619" i="3"/>
  <c r="L619" i="3"/>
  <c r="N619" i="3"/>
  <c r="O619" i="3" s="1"/>
  <c r="Q619" i="3" s="1"/>
  <c r="M619" i="3"/>
  <c r="P619" i="3"/>
  <c r="V619" i="3"/>
  <c r="AB619" i="3"/>
  <c r="AD619" i="3"/>
  <c r="AE619" i="3" s="1"/>
  <c r="AC619" i="3"/>
  <c r="AF619" i="3"/>
  <c r="C620" i="3"/>
  <c r="L620" i="3"/>
  <c r="M620" i="3"/>
  <c r="V620" i="3"/>
  <c r="AB620" i="3"/>
  <c r="AC620" i="3"/>
  <c r="AF620" i="3"/>
  <c r="C621" i="3"/>
  <c r="L621" i="3"/>
  <c r="N621" i="3" s="1"/>
  <c r="O621" i="3" s="1"/>
  <c r="M621" i="3"/>
  <c r="P621" i="3" s="1"/>
  <c r="V621" i="3"/>
  <c r="AB621" i="3"/>
  <c r="AC621" i="3"/>
  <c r="AF621" i="3"/>
  <c r="C622" i="3"/>
  <c r="L622" i="3"/>
  <c r="M622" i="3"/>
  <c r="P622" i="3" s="1"/>
  <c r="N622" i="3"/>
  <c r="O622" i="3" s="1"/>
  <c r="Q622" i="3" s="1"/>
  <c r="V622" i="3"/>
  <c r="AB622" i="3"/>
  <c r="AC622" i="3"/>
  <c r="AF622" i="3"/>
  <c r="C623" i="3"/>
  <c r="L623" i="3"/>
  <c r="M623" i="3"/>
  <c r="P623" i="3"/>
  <c r="V623" i="3"/>
  <c r="AB623" i="3"/>
  <c r="AC623" i="3"/>
  <c r="AF623" i="3"/>
  <c r="C624" i="3"/>
  <c r="L624" i="3"/>
  <c r="M624" i="3"/>
  <c r="V624" i="3"/>
  <c r="AB624" i="3"/>
  <c r="AC624" i="3"/>
  <c r="C625" i="3"/>
  <c r="L625" i="3"/>
  <c r="M625" i="3"/>
  <c r="P625" i="3" s="1"/>
  <c r="V625" i="3"/>
  <c r="AB625" i="3"/>
  <c r="AD625" i="3" s="1"/>
  <c r="AE625" i="3" s="1"/>
  <c r="AC625" i="3"/>
  <c r="C626" i="3"/>
  <c r="L626" i="3"/>
  <c r="M626" i="3"/>
  <c r="P626" i="3"/>
  <c r="V626" i="3"/>
  <c r="AB626" i="3"/>
  <c r="AD626" i="3" s="1"/>
  <c r="AE626" i="3" s="1"/>
  <c r="AC626" i="3"/>
  <c r="AF626" i="3" s="1"/>
  <c r="C627" i="3"/>
  <c r="L627" i="3"/>
  <c r="M627" i="3"/>
  <c r="N627" i="3" s="1"/>
  <c r="O627" i="3" s="1"/>
  <c r="P627" i="3"/>
  <c r="V627" i="3"/>
  <c r="AB627" i="3"/>
  <c r="AC627" i="3"/>
  <c r="AF627" i="3"/>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c r="H23" i="10" s="1"/>
  <c r="B22" i="10"/>
  <c r="C22" i="10" s="1"/>
  <c r="B21" i="10"/>
  <c r="C21" i="10"/>
  <c r="B20" i="10"/>
  <c r="C20" i="10"/>
  <c r="B19" i="10"/>
  <c r="C19" i="10" s="1"/>
  <c r="B18" i="10"/>
  <c r="C18" i="10"/>
  <c r="B17" i="10"/>
  <c r="C17" i="10" s="1"/>
  <c r="B16" i="10"/>
  <c r="C16" i="10" s="1"/>
  <c r="I16" i="10" s="1"/>
  <c r="B15" i="10"/>
  <c r="C15" i="10"/>
  <c r="B14" i="10"/>
  <c r="C14" i="10" s="1"/>
  <c r="B13" i="10"/>
  <c r="C13" i="10" s="1"/>
  <c r="B12" i="10"/>
  <c r="C12" i="10"/>
  <c r="B11" i="10"/>
  <c r="C11" i="10"/>
  <c r="B10" i="10"/>
  <c r="C10" i="10"/>
  <c r="B9" i="10"/>
  <c r="C9" i="10"/>
  <c r="B7" i="10"/>
  <c r="C7" i="10"/>
  <c r="B6" i="10"/>
  <c r="C6" i="10" s="1"/>
  <c r="I5" i="10"/>
  <c r="H5" i="10"/>
  <c r="G5" i="10"/>
  <c r="F5" i="10"/>
  <c r="E5" i="10"/>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O15" i="9"/>
  <c r="O14" i="9"/>
  <c r="D14" i="9"/>
  <c r="O13" i="9"/>
  <c r="D12" i="9"/>
  <c r="H6" i="9"/>
  <c r="B17" i="9"/>
  <c r="F16" i="9"/>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J402" i="6"/>
  <c r="K402" i="6"/>
  <c r="J401" i="6"/>
  <c r="K401" i="6"/>
  <c r="J400" i="6"/>
  <c r="K400" i="6"/>
  <c r="J399" i="6"/>
  <c r="K399" i="6"/>
  <c r="J398" i="6"/>
  <c r="K398" i="6"/>
  <c r="J397" i="6"/>
  <c r="K397" i="6"/>
  <c r="J396" i="6"/>
  <c r="K396" i="6"/>
  <c r="J395" i="6"/>
  <c r="K395" i="6"/>
  <c r="J394" i="6"/>
  <c r="K394" i="6"/>
  <c r="J393" i="6"/>
  <c r="K393" i="6"/>
  <c r="J392" i="6"/>
  <c r="K392" i="6"/>
  <c r="J391" i="6"/>
  <c r="K391" i="6"/>
  <c r="J390" i="6"/>
  <c r="K390" i="6"/>
  <c r="J389" i="6"/>
  <c r="K389" i="6"/>
  <c r="J388" i="6"/>
  <c r="K388" i="6"/>
  <c r="J387" i="6"/>
  <c r="K387" i="6"/>
  <c r="J386" i="6"/>
  <c r="K386" i="6"/>
  <c r="J385" i="6"/>
  <c r="K385" i="6"/>
  <c r="J384" i="6"/>
  <c r="K384" i="6"/>
  <c r="J383" i="6"/>
  <c r="K383" i="6"/>
  <c r="J382" i="6"/>
  <c r="K382" i="6" s="1"/>
  <c r="J381" i="6"/>
  <c r="K381" i="6"/>
  <c r="J380" i="6"/>
  <c r="K380" i="6"/>
  <c r="J379" i="6"/>
  <c r="K379" i="6"/>
  <c r="J378" i="6"/>
  <c r="K378" i="6" s="1"/>
  <c r="J377" i="6"/>
  <c r="K377" i="6"/>
  <c r="J376" i="6"/>
  <c r="K376" i="6"/>
  <c r="J375" i="6"/>
  <c r="K375" i="6"/>
  <c r="J374" i="6"/>
  <c r="K374" i="6"/>
  <c r="J373" i="6"/>
  <c r="K373" i="6"/>
  <c r="J372" i="6"/>
  <c r="K372" i="6" s="1"/>
  <c r="J371" i="6"/>
  <c r="K371" i="6"/>
  <c r="J370" i="6"/>
  <c r="K370" i="6" s="1"/>
  <c r="J369" i="6"/>
  <c r="K369" i="6"/>
  <c r="J368" i="6"/>
  <c r="K368" i="6"/>
  <c r="J367" i="6"/>
  <c r="K367" i="6"/>
  <c r="J366" i="6"/>
  <c r="K366" i="6"/>
  <c r="J365" i="6"/>
  <c r="K365" i="6"/>
  <c r="J364" i="6"/>
  <c r="K364" i="6"/>
  <c r="J363" i="6"/>
  <c r="K363" i="6"/>
  <c r="J362" i="6"/>
  <c r="K362" i="6"/>
  <c r="J361" i="6"/>
  <c r="K361" i="6"/>
  <c r="J360" i="6"/>
  <c r="K360" i="6"/>
  <c r="J359" i="6"/>
  <c r="K359" i="6"/>
  <c r="J358" i="6"/>
  <c r="K358" i="6"/>
  <c r="J357" i="6"/>
  <c r="K357" i="6"/>
  <c r="J356" i="6"/>
  <c r="K356" i="6"/>
  <c r="J355" i="6"/>
  <c r="K355" i="6"/>
  <c r="J354" i="6"/>
  <c r="K354" i="6"/>
  <c r="J353" i="6"/>
  <c r="K353" i="6"/>
  <c r="J352" i="6"/>
  <c r="K352" i="6"/>
  <c r="J351" i="6"/>
  <c r="K351" i="6"/>
  <c r="J350" i="6"/>
  <c r="K350" i="6"/>
  <c r="J349" i="6"/>
  <c r="K349" i="6"/>
  <c r="J348" i="6"/>
  <c r="K348" i="6"/>
  <c r="J347" i="6"/>
  <c r="K347" i="6"/>
  <c r="J346" i="6"/>
  <c r="K346" i="6" s="1"/>
  <c r="J345" i="6"/>
  <c r="K345" i="6"/>
  <c r="J344" i="6"/>
  <c r="K344" i="6"/>
  <c r="J343" i="6"/>
  <c r="K343" i="6"/>
  <c r="J342" i="6"/>
  <c r="K342" i="6"/>
  <c r="J341" i="6"/>
  <c r="K341" i="6"/>
  <c r="J340" i="6"/>
  <c r="K340" i="6"/>
  <c r="J339" i="6"/>
  <c r="K339" i="6"/>
  <c r="J338" i="6"/>
  <c r="K338" i="6"/>
  <c r="J337" i="6"/>
  <c r="K337" i="6"/>
  <c r="J336" i="6"/>
  <c r="K336" i="6"/>
  <c r="J335" i="6"/>
  <c r="K335" i="6"/>
  <c r="J334" i="6"/>
  <c r="K334" i="6" s="1"/>
  <c r="J333" i="6"/>
  <c r="K333" i="6"/>
  <c r="J332" i="6"/>
  <c r="K332" i="6"/>
  <c r="J331" i="6"/>
  <c r="K331" i="6"/>
  <c r="J330" i="6"/>
  <c r="K330" i="6" s="1"/>
  <c r="J329" i="6"/>
  <c r="K329" i="6"/>
  <c r="J328" i="6"/>
  <c r="K328" i="6"/>
  <c r="J327" i="6"/>
  <c r="K327" i="6"/>
  <c r="J326" i="6"/>
  <c r="K326" i="6"/>
  <c r="J325" i="6"/>
  <c r="K325" i="6"/>
  <c r="J324" i="6"/>
  <c r="K324" i="6" s="1"/>
  <c r="J323" i="6"/>
  <c r="K323" i="6"/>
  <c r="J322" i="6"/>
  <c r="K322" i="6"/>
  <c r="J321" i="6"/>
  <c r="K321" i="6"/>
  <c r="J320" i="6"/>
  <c r="K320" i="6"/>
  <c r="J319" i="6"/>
  <c r="K319" i="6"/>
  <c r="J318" i="6"/>
  <c r="K318" i="6" s="1"/>
  <c r="J317" i="6"/>
  <c r="K317" i="6"/>
  <c r="J316" i="6"/>
  <c r="K316" i="6"/>
  <c r="J315" i="6"/>
  <c r="K315" i="6"/>
  <c r="J314" i="6"/>
  <c r="K314" i="6"/>
  <c r="J313" i="6"/>
  <c r="K313" i="6"/>
  <c r="J312" i="6"/>
  <c r="K312" i="6" s="1"/>
  <c r="J311" i="6"/>
  <c r="K311" i="6"/>
  <c r="J310" i="6"/>
  <c r="K310" i="6"/>
  <c r="J309" i="6"/>
  <c r="K309" i="6"/>
  <c r="J308" i="6"/>
  <c r="K308" i="6"/>
  <c r="J307" i="6"/>
  <c r="K307" i="6"/>
  <c r="J306" i="6"/>
  <c r="K306" i="6" s="1"/>
  <c r="J305" i="6"/>
  <c r="K305" i="6"/>
  <c r="J304" i="6"/>
  <c r="K304" i="6"/>
  <c r="J303" i="6"/>
  <c r="K303" i="6"/>
  <c r="J302" i="6"/>
  <c r="K302" i="6"/>
  <c r="J301" i="6"/>
  <c r="K301" i="6"/>
  <c r="J300" i="6"/>
  <c r="K300" i="6" s="1"/>
  <c r="J299" i="6"/>
  <c r="K299" i="6"/>
  <c r="J298" i="6"/>
  <c r="K298" i="6"/>
  <c r="J297" i="6"/>
  <c r="K297" i="6"/>
  <c r="J296" i="6"/>
  <c r="K296" i="6"/>
  <c r="J295" i="6"/>
  <c r="K295" i="6"/>
  <c r="J294" i="6"/>
  <c r="K294" i="6" s="1"/>
  <c r="J293" i="6"/>
  <c r="K293" i="6"/>
  <c r="J292" i="6"/>
  <c r="K292" i="6"/>
  <c r="J291" i="6"/>
  <c r="K291" i="6"/>
  <c r="J290" i="6"/>
  <c r="K290" i="6"/>
  <c r="J289" i="6"/>
  <c r="K289" i="6"/>
  <c r="J288" i="6"/>
  <c r="K288" i="6" s="1"/>
  <c r="J287" i="6"/>
  <c r="K287" i="6"/>
  <c r="J286" i="6"/>
  <c r="K286" i="6"/>
  <c r="J285" i="6"/>
  <c r="K285" i="6"/>
  <c r="J284" i="6"/>
  <c r="K284" i="6"/>
  <c r="J283" i="6"/>
  <c r="K283" i="6"/>
  <c r="J282" i="6"/>
  <c r="K282" i="6" s="1"/>
  <c r="J281" i="6"/>
  <c r="K281" i="6"/>
  <c r="J280" i="6"/>
  <c r="K280" i="6"/>
  <c r="J279" i="6"/>
  <c r="K279" i="6"/>
  <c r="J278" i="6"/>
  <c r="K278" i="6"/>
  <c r="J277" i="6"/>
  <c r="K277" i="6"/>
  <c r="J276" i="6"/>
  <c r="K276" i="6" s="1"/>
  <c r="J275" i="6"/>
  <c r="K275" i="6"/>
  <c r="J274" i="6"/>
  <c r="K274" i="6"/>
  <c r="J273" i="6"/>
  <c r="K273" i="6"/>
  <c r="J272" i="6"/>
  <c r="K272" i="6"/>
  <c r="J271" i="6"/>
  <c r="K271" i="6"/>
  <c r="J270" i="6"/>
  <c r="K270" i="6" s="1"/>
  <c r="J269" i="6"/>
  <c r="K269" i="6"/>
  <c r="J268" i="6"/>
  <c r="K268" i="6"/>
  <c r="J267" i="6"/>
  <c r="K267" i="6"/>
  <c r="J266" i="6"/>
  <c r="K266" i="6"/>
  <c r="J265" i="6"/>
  <c r="K265" i="6"/>
  <c r="J264" i="6"/>
  <c r="K264" i="6" s="1"/>
  <c r="J263" i="6"/>
  <c r="K263" i="6"/>
  <c r="J262" i="6"/>
  <c r="K262" i="6"/>
  <c r="J261" i="6"/>
  <c r="K261" i="6"/>
  <c r="J260" i="6"/>
  <c r="K260" i="6"/>
  <c r="J259" i="6"/>
  <c r="K259" i="6"/>
  <c r="J258" i="6"/>
  <c r="K258" i="6" s="1"/>
  <c r="J257" i="6"/>
  <c r="K257" i="6"/>
  <c r="J256" i="6"/>
  <c r="K256" i="6"/>
  <c r="J255" i="6"/>
  <c r="K255" i="6"/>
  <c r="J254" i="6"/>
  <c r="K254" i="6"/>
  <c r="J253" i="6"/>
  <c r="K253" i="6"/>
  <c r="J252" i="6"/>
  <c r="K252" i="6" s="1"/>
  <c r="J251" i="6"/>
  <c r="K251" i="6"/>
  <c r="J250" i="6"/>
  <c r="K250" i="6"/>
  <c r="J249" i="6"/>
  <c r="K249" i="6"/>
  <c r="J248" i="6"/>
  <c r="K248" i="6"/>
  <c r="J247" i="6"/>
  <c r="K247" i="6"/>
  <c r="J246" i="6"/>
  <c r="K246" i="6" s="1"/>
  <c r="J245" i="6"/>
  <c r="K245" i="6"/>
  <c r="J244" i="6"/>
  <c r="K244" i="6"/>
  <c r="J243" i="6"/>
  <c r="K243" i="6"/>
  <c r="J242" i="6"/>
  <c r="K242" i="6"/>
  <c r="J241" i="6"/>
  <c r="K241" i="6"/>
  <c r="J240" i="6"/>
  <c r="K240" i="6" s="1"/>
  <c r="J239" i="6"/>
  <c r="K239" i="6"/>
  <c r="J238" i="6"/>
  <c r="K238" i="6"/>
  <c r="J237" i="6"/>
  <c r="K237" i="6"/>
  <c r="J236" i="6"/>
  <c r="K236" i="6"/>
  <c r="J235" i="6"/>
  <c r="K235" i="6"/>
  <c r="J234" i="6"/>
  <c r="K234" i="6" s="1"/>
  <c r="J233" i="6"/>
  <c r="K233" i="6"/>
  <c r="J232" i="6"/>
  <c r="K232" i="6"/>
  <c r="J231" i="6"/>
  <c r="K231" i="6"/>
  <c r="J230" i="6"/>
  <c r="K230" i="6"/>
  <c r="J229" i="6"/>
  <c r="K229" i="6"/>
  <c r="J228" i="6"/>
  <c r="K228" i="6" s="1"/>
  <c r="J227" i="6"/>
  <c r="K227" i="6"/>
  <c r="J226" i="6"/>
  <c r="K226" i="6"/>
  <c r="J225" i="6"/>
  <c r="K225" i="6"/>
  <c r="J224" i="6"/>
  <c r="K224" i="6"/>
  <c r="J223" i="6"/>
  <c r="K223" i="6"/>
  <c r="J222" i="6"/>
  <c r="K222" i="6" s="1"/>
  <c r="J221" i="6"/>
  <c r="K221" i="6"/>
  <c r="J220" i="6"/>
  <c r="K220" i="6"/>
  <c r="J219" i="6"/>
  <c r="K219" i="6"/>
  <c r="J218" i="6"/>
  <c r="K218" i="6"/>
  <c r="J217" i="6"/>
  <c r="K217" i="6"/>
  <c r="J216" i="6"/>
  <c r="K216" i="6" s="1"/>
  <c r="J215" i="6"/>
  <c r="K215" i="6"/>
  <c r="J214" i="6"/>
  <c r="K214" i="6"/>
  <c r="J213" i="6"/>
  <c r="K213" i="6"/>
  <c r="J212" i="6"/>
  <c r="K212" i="6"/>
  <c r="J211" i="6"/>
  <c r="K211" i="6"/>
  <c r="J210" i="6"/>
  <c r="K210" i="6" s="1"/>
  <c r="J209" i="6"/>
  <c r="K209" i="6"/>
  <c r="J208" i="6"/>
  <c r="K208" i="6"/>
  <c r="J207" i="6"/>
  <c r="K207" i="6"/>
  <c r="J206" i="6"/>
  <c r="K206" i="6"/>
  <c r="J205" i="6"/>
  <c r="K205" i="6"/>
  <c r="J204" i="6"/>
  <c r="K204" i="6" s="1"/>
  <c r="J203" i="6"/>
  <c r="K203" i="6"/>
  <c r="J202" i="6"/>
  <c r="K202" i="6"/>
  <c r="J201" i="6"/>
  <c r="K201" i="6"/>
  <c r="J200" i="6"/>
  <c r="K200" i="6"/>
  <c r="J199" i="6"/>
  <c r="K199" i="6"/>
  <c r="J198" i="6"/>
  <c r="K198" i="6" s="1"/>
  <c r="J197" i="6"/>
  <c r="K197" i="6"/>
  <c r="J196" i="6"/>
  <c r="K196" i="6"/>
  <c r="J195" i="6"/>
  <c r="K195" i="6"/>
  <c r="J194" i="6"/>
  <c r="K194" i="6"/>
  <c r="J193" i="6"/>
  <c r="K193" i="6"/>
  <c r="J192" i="6"/>
  <c r="K192" i="6" s="1"/>
  <c r="J191" i="6"/>
  <c r="K191" i="6"/>
  <c r="J190" i="6"/>
  <c r="K190" i="6"/>
  <c r="J189" i="6"/>
  <c r="K189" i="6"/>
  <c r="J188" i="6"/>
  <c r="K188" i="6"/>
  <c r="J187" i="6"/>
  <c r="K187" i="6"/>
  <c r="J186" i="6"/>
  <c r="K186" i="6" s="1"/>
  <c r="J185" i="6"/>
  <c r="K185" i="6"/>
  <c r="J184" i="6"/>
  <c r="K184" i="6"/>
  <c r="J183" i="6"/>
  <c r="K183" i="6"/>
  <c r="J182" i="6"/>
  <c r="K182" i="6"/>
  <c r="J181" i="6"/>
  <c r="K181" i="6"/>
  <c r="J180" i="6"/>
  <c r="K180" i="6" s="1"/>
  <c r="J179" i="6"/>
  <c r="K179" i="6"/>
  <c r="J178" i="6"/>
  <c r="K178" i="6"/>
  <c r="J177" i="6"/>
  <c r="K177" i="6"/>
  <c r="J176" i="6"/>
  <c r="K176" i="6"/>
  <c r="J175" i="6"/>
  <c r="K175" i="6"/>
  <c r="J174" i="6"/>
  <c r="K174" i="6" s="1"/>
  <c r="J173" i="6"/>
  <c r="K173" i="6"/>
  <c r="J172" i="6"/>
  <c r="K172" i="6"/>
  <c r="J171" i="6"/>
  <c r="K171" i="6"/>
  <c r="J170" i="6"/>
  <c r="K170" i="6"/>
  <c r="J169" i="6"/>
  <c r="K169" i="6"/>
  <c r="J168" i="6"/>
  <c r="K168" i="6" s="1"/>
  <c r="J167" i="6"/>
  <c r="K167" i="6"/>
  <c r="J166" i="6"/>
  <c r="K166" i="6"/>
  <c r="J165" i="6"/>
  <c r="K165" i="6"/>
  <c r="J164" i="6"/>
  <c r="K164" i="6"/>
  <c r="J163" i="6"/>
  <c r="K163" i="6"/>
  <c r="J162" i="6"/>
  <c r="K162" i="6" s="1"/>
  <c r="J161" i="6"/>
  <c r="K161" i="6"/>
  <c r="J160" i="6"/>
  <c r="K160" i="6"/>
  <c r="J159" i="6"/>
  <c r="K159" i="6"/>
  <c r="J158" i="6"/>
  <c r="K158" i="6"/>
  <c r="J157" i="6"/>
  <c r="K157" i="6"/>
  <c r="J156" i="6"/>
  <c r="K156" i="6" s="1"/>
  <c r="J155" i="6"/>
  <c r="K155" i="6"/>
  <c r="J154" i="6"/>
  <c r="K154" i="6"/>
  <c r="J153" i="6"/>
  <c r="K153" i="6"/>
  <c r="J152" i="6"/>
  <c r="K152" i="6"/>
  <c r="J151" i="6"/>
  <c r="K151" i="6"/>
  <c r="J150" i="6"/>
  <c r="K150" i="6" s="1"/>
  <c r="J149" i="6"/>
  <c r="K149" i="6"/>
  <c r="J148" i="6"/>
  <c r="K148" i="6"/>
  <c r="J147" i="6"/>
  <c r="K147" i="6"/>
  <c r="J146" i="6"/>
  <c r="K146" i="6"/>
  <c r="J145" i="6"/>
  <c r="K145" i="6"/>
  <c r="J144" i="6"/>
  <c r="K144" i="6" s="1"/>
  <c r="J143" i="6"/>
  <c r="K143" i="6"/>
  <c r="J142" i="6"/>
  <c r="K142" i="6"/>
  <c r="J141" i="6"/>
  <c r="K141" i="6"/>
  <c r="J140" i="6"/>
  <c r="K140" i="6"/>
  <c r="J139" i="6"/>
  <c r="K139" i="6"/>
  <c r="J138" i="6"/>
  <c r="K138" i="6" s="1"/>
  <c r="J137" i="6"/>
  <c r="K137" i="6"/>
  <c r="J136" i="6"/>
  <c r="K136" i="6"/>
  <c r="J135" i="6"/>
  <c r="K135" i="6"/>
  <c r="J134" i="6"/>
  <c r="K134" i="6"/>
  <c r="J133" i="6"/>
  <c r="K133" i="6"/>
  <c r="J132" i="6"/>
  <c r="K132" i="6" s="1"/>
  <c r="J131" i="6"/>
  <c r="K131" i="6"/>
  <c r="J130" i="6"/>
  <c r="K130" i="6"/>
  <c r="J129" i="6"/>
  <c r="K129" i="6"/>
  <c r="J128" i="6"/>
  <c r="K128" i="6"/>
  <c r="J127" i="6"/>
  <c r="K127" i="6"/>
  <c r="J126" i="6"/>
  <c r="K126" i="6" s="1"/>
  <c r="J125" i="6"/>
  <c r="K125" i="6"/>
  <c r="J124" i="6"/>
  <c r="K124" i="6"/>
  <c r="J123" i="6"/>
  <c r="K123" i="6"/>
  <c r="J122" i="6"/>
  <c r="K122" i="6"/>
  <c r="J121" i="6"/>
  <c r="K121" i="6"/>
  <c r="J120" i="6"/>
  <c r="K120" i="6" s="1"/>
  <c r="J119" i="6"/>
  <c r="K119" i="6"/>
  <c r="J118" i="6"/>
  <c r="K118" i="6"/>
  <c r="J117" i="6"/>
  <c r="K117" i="6"/>
  <c r="J116" i="6"/>
  <c r="K116" i="6"/>
  <c r="J115" i="6"/>
  <c r="K115" i="6"/>
  <c r="J114" i="6"/>
  <c r="K114" i="6" s="1"/>
  <c r="J113" i="6"/>
  <c r="K113" i="6"/>
  <c r="J112" i="6"/>
  <c r="K112" i="6"/>
  <c r="J111" i="6"/>
  <c r="K111" i="6"/>
  <c r="J110" i="6"/>
  <c r="K110" i="6"/>
  <c r="J109" i="6"/>
  <c r="K109" i="6"/>
  <c r="J108" i="6"/>
  <c r="K108" i="6" s="1"/>
  <c r="J107" i="6"/>
  <c r="K107" i="6"/>
  <c r="J106" i="6"/>
  <c r="K106" i="6"/>
  <c r="J105" i="6"/>
  <c r="K105" i="6"/>
  <c r="J104" i="6"/>
  <c r="K104" i="6"/>
  <c r="J103" i="6"/>
  <c r="K103" i="6"/>
  <c r="J102" i="6"/>
  <c r="K102" i="6" s="1"/>
  <c r="J101" i="6"/>
  <c r="K101" i="6"/>
  <c r="J100" i="6"/>
  <c r="K100" i="6"/>
  <c r="J99" i="6"/>
  <c r="K99" i="6"/>
  <c r="J98" i="6"/>
  <c r="K98" i="6"/>
  <c r="J97" i="6"/>
  <c r="K97" i="6"/>
  <c r="J96" i="6"/>
  <c r="K96" i="6" s="1"/>
  <c r="J95" i="6"/>
  <c r="K95" i="6"/>
  <c r="J94" i="6"/>
  <c r="K94" i="6"/>
  <c r="J93" i="6"/>
  <c r="K93" i="6"/>
  <c r="J92" i="6"/>
  <c r="K92" i="6"/>
  <c r="J91" i="6"/>
  <c r="K91" i="6"/>
  <c r="J90" i="6"/>
  <c r="J89" i="6"/>
  <c r="K89" i="6" s="1"/>
  <c r="J88" i="6"/>
  <c r="K88" i="6" s="1"/>
  <c r="J87" i="6"/>
  <c r="K87" i="6" s="1"/>
  <c r="J86" i="6"/>
  <c r="K86" i="6" s="1"/>
  <c r="J85" i="6"/>
  <c r="K85" i="6" s="1"/>
  <c r="J84" i="6"/>
  <c r="K84" i="6"/>
  <c r="J83" i="6"/>
  <c r="K83" i="6" s="1"/>
  <c r="J82" i="6"/>
  <c r="K82" i="6" s="1"/>
  <c r="J81" i="6"/>
  <c r="K81" i="6" s="1"/>
  <c r="J80" i="6"/>
  <c r="K80" i="6" s="1"/>
  <c r="J79" i="6"/>
  <c r="K79" i="6" s="1"/>
  <c r="J78" i="6"/>
  <c r="K78" i="6"/>
  <c r="J77" i="6"/>
  <c r="K77" i="6" s="1"/>
  <c r="J76" i="6"/>
  <c r="K76" i="6" s="1"/>
  <c r="J75" i="6"/>
  <c r="K75" i="6" s="1"/>
  <c r="J74" i="6"/>
  <c r="K74" i="6" s="1"/>
  <c r="J73" i="6"/>
  <c r="K73" i="6" s="1"/>
  <c r="J72" i="6"/>
  <c r="K72" i="6"/>
  <c r="J71" i="6"/>
  <c r="K71" i="6"/>
  <c r="J70" i="6"/>
  <c r="K70" i="6" s="1"/>
  <c r="J69" i="6"/>
  <c r="K69" i="6" s="1"/>
  <c r="J68" i="6"/>
  <c r="K68" i="6" s="1"/>
  <c r="J67" i="6"/>
  <c r="K67" i="6" s="1"/>
  <c r="J66" i="6"/>
  <c r="K66" i="6"/>
  <c r="J65" i="6"/>
  <c r="K65" i="6"/>
  <c r="J64" i="6"/>
  <c r="K64" i="6" s="1"/>
  <c r="J63" i="6"/>
  <c r="K63" i="6" s="1"/>
  <c r="J62" i="6"/>
  <c r="K62" i="6" s="1"/>
  <c r="J61" i="6"/>
  <c r="K61" i="6" s="1"/>
  <c r="J60" i="6"/>
  <c r="K60" i="6" s="1"/>
  <c r="J59" i="6"/>
  <c r="K59" i="6"/>
  <c r="J58" i="6"/>
  <c r="K58" i="6" s="1"/>
  <c r="J57" i="6"/>
  <c r="K57" i="6" s="1"/>
  <c r="J56" i="6"/>
  <c r="K56" i="6" s="1"/>
  <c r="J55" i="6"/>
  <c r="K55" i="6" s="1"/>
  <c r="J54" i="6"/>
  <c r="K54" i="6"/>
  <c r="J53" i="6"/>
  <c r="K53" i="6"/>
  <c r="J52" i="6"/>
  <c r="K52" i="6" s="1"/>
  <c r="J51" i="6"/>
  <c r="K51" i="6" s="1"/>
  <c r="J50" i="6"/>
  <c r="K50" i="6"/>
  <c r="J49" i="6"/>
  <c r="K49" i="6" s="1"/>
  <c r="J48" i="6"/>
  <c r="K48" i="6" s="1"/>
  <c r="J47" i="6"/>
  <c r="K47" i="6" s="1"/>
  <c r="J46" i="6"/>
  <c r="K46" i="6" s="1"/>
  <c r="J45" i="6"/>
  <c r="K45" i="6" s="1"/>
  <c r="J44" i="6"/>
  <c r="K44" i="6" s="1"/>
  <c r="J43" i="6"/>
  <c r="K43" i="6" s="1"/>
  <c r="J42" i="6"/>
  <c r="K42" i="6"/>
  <c r="J41" i="6"/>
  <c r="K41" i="6"/>
  <c r="J40" i="6"/>
  <c r="K40" i="6" s="1"/>
  <c r="J39" i="6"/>
  <c r="K39" i="6" s="1"/>
  <c r="J38" i="6"/>
  <c r="K38" i="6"/>
  <c r="J37" i="6"/>
  <c r="K37" i="6" s="1"/>
  <c r="J36" i="6"/>
  <c r="K36" i="6" s="1"/>
  <c r="J35" i="6"/>
  <c r="K35" i="6"/>
  <c r="J34" i="6"/>
  <c r="K34" i="6" s="1"/>
  <c r="J33" i="6"/>
  <c r="K33" i="6" s="1"/>
  <c r="J32" i="6"/>
  <c r="K32" i="6" s="1"/>
  <c r="J31" i="6"/>
  <c r="K31" i="6" s="1"/>
  <c r="J30" i="6"/>
  <c r="K30" i="6"/>
  <c r="J29" i="6"/>
  <c r="K29" i="6"/>
  <c r="J28" i="6"/>
  <c r="K28" i="6" s="1"/>
  <c r="J27" i="6"/>
  <c r="K27" i="6" s="1"/>
  <c r="J26" i="6"/>
  <c r="K26" i="6"/>
  <c r="J25" i="6"/>
  <c r="K25" i="6" s="1"/>
  <c r="J24" i="6"/>
  <c r="K24" i="6" s="1"/>
  <c r="J23" i="6"/>
  <c r="K23" i="6" s="1"/>
  <c r="J22" i="6"/>
  <c r="K22" i="6" s="1"/>
  <c r="J21" i="6"/>
  <c r="K21" i="6" s="1"/>
  <c r="J20" i="6"/>
  <c r="K20" i="6" s="1"/>
  <c r="J19" i="6"/>
  <c r="K19" i="6" s="1"/>
  <c r="J18" i="6"/>
  <c r="K18" i="6"/>
  <c r="J17" i="6"/>
  <c r="K17" i="6"/>
  <c r="J16" i="6"/>
  <c r="K16" i="6" s="1"/>
  <c r="J15" i="6"/>
  <c r="K15" i="6" s="1"/>
  <c r="J14" i="6"/>
  <c r="K14" i="6"/>
  <c r="J13" i="6"/>
  <c r="K13" i="6" s="1"/>
  <c r="J12" i="6"/>
  <c r="K12" i="6" s="1"/>
  <c r="J11" i="6"/>
  <c r="K11" i="6"/>
  <c r="C382" i="5"/>
  <c r="I382" i="5" s="1"/>
  <c r="C381" i="5"/>
  <c r="I381" i="5" s="1"/>
  <c r="C380" i="5"/>
  <c r="I380" i="5" s="1"/>
  <c r="C379" i="5"/>
  <c r="I379" i="5" s="1"/>
  <c r="C378" i="5"/>
  <c r="I378" i="5"/>
  <c r="C377" i="5"/>
  <c r="I377" i="5"/>
  <c r="C376" i="5"/>
  <c r="I376" i="5" s="1"/>
  <c r="C375" i="5"/>
  <c r="I375" i="5" s="1"/>
  <c r="C374" i="5"/>
  <c r="I374" i="5"/>
  <c r="C373" i="5"/>
  <c r="I373" i="5" s="1"/>
  <c r="C372" i="5"/>
  <c r="I372" i="5" s="1"/>
  <c r="C371" i="5"/>
  <c r="I371" i="5" s="1"/>
  <c r="C370" i="5"/>
  <c r="I370" i="5" s="1"/>
  <c r="C369" i="5"/>
  <c r="I369" i="5" s="1"/>
  <c r="C368" i="5"/>
  <c r="I368" i="5" s="1"/>
  <c r="C367" i="5"/>
  <c r="I367" i="5" s="1"/>
  <c r="C366" i="5"/>
  <c r="I366" i="5"/>
  <c r="C365" i="5"/>
  <c r="I365" i="5"/>
  <c r="C364" i="5"/>
  <c r="I364" i="5" s="1"/>
  <c r="C363" i="5"/>
  <c r="I363" i="5" s="1"/>
  <c r="C362" i="5"/>
  <c r="I362" i="5"/>
  <c r="C361" i="5"/>
  <c r="I361" i="5" s="1"/>
  <c r="C360" i="5"/>
  <c r="I360" i="5" s="1"/>
  <c r="C359" i="5"/>
  <c r="I359" i="5"/>
  <c r="C358" i="5"/>
  <c r="I358" i="5" s="1"/>
  <c r="C357" i="5"/>
  <c r="I357" i="5" s="1"/>
  <c r="C356" i="5"/>
  <c r="I356" i="5" s="1"/>
  <c r="C355" i="5"/>
  <c r="I355" i="5" s="1"/>
  <c r="C354" i="5"/>
  <c r="I354" i="5"/>
  <c r="C353" i="5"/>
  <c r="I353" i="5"/>
  <c r="C352" i="5"/>
  <c r="I352" i="5" s="1"/>
  <c r="C351" i="5"/>
  <c r="I351" i="5" s="1"/>
  <c r="C350" i="5"/>
  <c r="I350" i="5"/>
  <c r="C349" i="5"/>
  <c r="I349" i="5" s="1"/>
  <c r="C348" i="5"/>
  <c r="I348" i="5" s="1"/>
  <c r="C347" i="5"/>
  <c r="I347" i="5" s="1"/>
  <c r="C346" i="5"/>
  <c r="I346" i="5" s="1"/>
  <c r="C345" i="5"/>
  <c r="I345" i="5"/>
  <c r="C344" i="5"/>
  <c r="I344" i="5" s="1"/>
  <c r="C343" i="5"/>
  <c r="I343" i="5" s="1"/>
  <c r="C342" i="5"/>
  <c r="I342" i="5" s="1"/>
  <c r="C341" i="5"/>
  <c r="I341" i="5" s="1"/>
  <c r="C340" i="5"/>
  <c r="I340" i="5" s="1"/>
  <c r="C339" i="5"/>
  <c r="I339" i="5"/>
  <c r="C338" i="5"/>
  <c r="I338" i="5"/>
  <c r="C337" i="5"/>
  <c r="I337" i="5" s="1"/>
  <c r="C336" i="5"/>
  <c r="I336" i="5"/>
  <c r="C335" i="5"/>
  <c r="I335" i="5" s="1"/>
  <c r="C334" i="5"/>
  <c r="I334" i="5" s="1"/>
  <c r="C333" i="5"/>
  <c r="I333" i="5"/>
  <c r="C332" i="5"/>
  <c r="I332" i="5"/>
  <c r="C331" i="5"/>
  <c r="I331" i="5" s="1"/>
  <c r="C330" i="5"/>
  <c r="I330" i="5" s="1"/>
  <c r="C329" i="5"/>
  <c r="I329" i="5"/>
  <c r="C328" i="5"/>
  <c r="I328" i="5" s="1"/>
  <c r="C327" i="5"/>
  <c r="I327" i="5"/>
  <c r="C326" i="5"/>
  <c r="I326" i="5"/>
  <c r="C325" i="5"/>
  <c r="I325" i="5" s="1"/>
  <c r="C324" i="5"/>
  <c r="I324" i="5" s="1"/>
  <c r="C323" i="5"/>
  <c r="I323" i="5" s="1"/>
  <c r="C322" i="5"/>
  <c r="I322" i="5"/>
  <c r="C321" i="5"/>
  <c r="I321" i="5" s="1"/>
  <c r="C320" i="5"/>
  <c r="I320" i="5" s="1"/>
  <c r="C319" i="5"/>
  <c r="I319" i="5" s="1"/>
  <c r="C318" i="5"/>
  <c r="I318" i="5" s="1"/>
  <c r="C317" i="5"/>
  <c r="I317" i="5" s="1"/>
  <c r="C316" i="5"/>
  <c r="I316" i="5"/>
  <c r="C315" i="5"/>
  <c r="I315" i="5" s="1"/>
  <c r="C314" i="5"/>
  <c r="I314" i="5" s="1"/>
  <c r="C313" i="5"/>
  <c r="I313" i="5" s="1"/>
  <c r="C312" i="5"/>
  <c r="I312" i="5" s="1"/>
  <c r="C311" i="5"/>
  <c r="I311" i="5" s="1"/>
  <c r="C310" i="5"/>
  <c r="I310" i="5"/>
  <c r="C309" i="5"/>
  <c r="I309" i="5" s="1"/>
  <c r="C308" i="5"/>
  <c r="I308" i="5" s="1"/>
  <c r="C307" i="5"/>
  <c r="I307" i="5" s="1"/>
  <c r="C306" i="5"/>
  <c r="I306" i="5" s="1"/>
  <c r="C305" i="5"/>
  <c r="I305" i="5" s="1"/>
  <c r="C304" i="5"/>
  <c r="I304" i="5"/>
  <c r="C303" i="5"/>
  <c r="I303" i="5" s="1"/>
  <c r="C302" i="5"/>
  <c r="I302" i="5" s="1"/>
  <c r="C301" i="5"/>
  <c r="I301" i="5" s="1"/>
  <c r="C300" i="5"/>
  <c r="I300" i="5" s="1"/>
  <c r="C299" i="5"/>
  <c r="I299" i="5" s="1"/>
  <c r="C298" i="5"/>
  <c r="I298" i="5"/>
  <c r="C297" i="5"/>
  <c r="I297" i="5" s="1"/>
  <c r="C296" i="5"/>
  <c r="I296" i="5" s="1"/>
  <c r="C295" i="5"/>
  <c r="I295" i="5" s="1"/>
  <c r="C294" i="5"/>
  <c r="I294" i="5" s="1"/>
  <c r="C293" i="5"/>
  <c r="I293" i="5" s="1"/>
  <c r="C292" i="5"/>
  <c r="I292" i="5"/>
  <c r="C291" i="5"/>
  <c r="I291" i="5" s="1"/>
  <c r="C290" i="5"/>
  <c r="I290" i="5" s="1"/>
  <c r="C289" i="5"/>
  <c r="I289" i="5" s="1"/>
  <c r="C288" i="5"/>
  <c r="I288" i="5" s="1"/>
  <c r="C287" i="5"/>
  <c r="I287" i="5" s="1"/>
  <c r="C286" i="5"/>
  <c r="I286" i="5"/>
  <c r="C285" i="5"/>
  <c r="I285" i="5" s="1"/>
  <c r="C284" i="5"/>
  <c r="I284" i="5" s="1"/>
  <c r="C283" i="5"/>
  <c r="I283" i="5" s="1"/>
  <c r="C282" i="5"/>
  <c r="I282" i="5" s="1"/>
  <c r="C281" i="5"/>
  <c r="I281" i="5" s="1"/>
  <c r="C280" i="5"/>
  <c r="I280" i="5"/>
  <c r="C279" i="5"/>
  <c r="I279" i="5" s="1"/>
  <c r="C278" i="5"/>
  <c r="I278" i="5" s="1"/>
  <c r="C277" i="5"/>
  <c r="I277" i="5" s="1"/>
  <c r="C276" i="5"/>
  <c r="I276" i="5" s="1"/>
  <c r="C275" i="5"/>
  <c r="I275" i="5" s="1"/>
  <c r="C274" i="5"/>
  <c r="I274" i="5"/>
  <c r="C273" i="5"/>
  <c r="I273" i="5" s="1"/>
  <c r="C272" i="5"/>
  <c r="I272" i="5" s="1"/>
  <c r="C271" i="5"/>
  <c r="I271" i="5" s="1"/>
  <c r="C270" i="5"/>
  <c r="I270" i="5" s="1"/>
  <c r="C269" i="5"/>
  <c r="I269" i="5" s="1"/>
  <c r="C268" i="5"/>
  <c r="I268" i="5"/>
  <c r="C267" i="5"/>
  <c r="I267" i="5" s="1"/>
  <c r="C266" i="5"/>
  <c r="I266" i="5" s="1"/>
  <c r="C265" i="5"/>
  <c r="I265" i="5" s="1"/>
  <c r="C264" i="5"/>
  <c r="I264" i="5" s="1"/>
  <c r="C263" i="5"/>
  <c r="I263" i="5" s="1"/>
  <c r="C262" i="5"/>
  <c r="I262" i="5"/>
  <c r="C261" i="5"/>
  <c r="I261" i="5" s="1"/>
  <c r="C260" i="5"/>
  <c r="I260" i="5" s="1"/>
  <c r="C259" i="5"/>
  <c r="I259" i="5" s="1"/>
  <c r="C258" i="5"/>
  <c r="I258" i="5" s="1"/>
  <c r="C257" i="5"/>
  <c r="I257" i="5" s="1"/>
  <c r="C256" i="5"/>
  <c r="I256" i="5"/>
  <c r="C255" i="5"/>
  <c r="I255" i="5" s="1"/>
  <c r="C254" i="5"/>
  <c r="I254" i="5" s="1"/>
  <c r="C253" i="5"/>
  <c r="I253" i="5" s="1"/>
  <c r="C252" i="5"/>
  <c r="I252" i="5" s="1"/>
  <c r="C251" i="5"/>
  <c r="I251" i="5" s="1"/>
  <c r="C250" i="5"/>
  <c r="I250" i="5"/>
  <c r="C249" i="5"/>
  <c r="I249" i="5" s="1"/>
  <c r="C248" i="5"/>
  <c r="I248" i="5" s="1"/>
  <c r="C247" i="5"/>
  <c r="I247" i="5" s="1"/>
  <c r="C246" i="5"/>
  <c r="I246" i="5" s="1"/>
  <c r="C245" i="5"/>
  <c r="I245" i="5" s="1"/>
  <c r="C244" i="5"/>
  <c r="I244" i="5"/>
  <c r="C243" i="5"/>
  <c r="I243" i="5" s="1"/>
  <c r="C242" i="5"/>
  <c r="I242" i="5" s="1"/>
  <c r="C241" i="5"/>
  <c r="I241" i="5" s="1"/>
  <c r="C240" i="5"/>
  <c r="I240" i="5" s="1"/>
  <c r="C239" i="5"/>
  <c r="I239" i="5" s="1"/>
  <c r="C238" i="5"/>
  <c r="I238" i="5"/>
  <c r="C237" i="5"/>
  <c r="I237" i="5" s="1"/>
  <c r="C236" i="5"/>
  <c r="I236" i="5" s="1"/>
  <c r="C235" i="5"/>
  <c r="I235" i="5" s="1"/>
  <c r="C234" i="5"/>
  <c r="I234" i="5" s="1"/>
  <c r="C233" i="5"/>
  <c r="I233" i="5" s="1"/>
  <c r="C232" i="5"/>
  <c r="I232" i="5"/>
  <c r="C231" i="5"/>
  <c r="I231" i="5" s="1"/>
  <c r="C230" i="5"/>
  <c r="I230" i="5" s="1"/>
  <c r="C229" i="5"/>
  <c r="I229" i="5" s="1"/>
  <c r="C228" i="5"/>
  <c r="I228" i="5" s="1"/>
  <c r="C227" i="5"/>
  <c r="I227" i="5" s="1"/>
  <c r="C226" i="5"/>
  <c r="I226" i="5"/>
  <c r="C225" i="5"/>
  <c r="I225" i="5" s="1"/>
  <c r="C224" i="5"/>
  <c r="I224" i="5" s="1"/>
  <c r="C223" i="5"/>
  <c r="I223" i="5" s="1"/>
  <c r="C222" i="5"/>
  <c r="I222" i="5" s="1"/>
  <c r="C221" i="5"/>
  <c r="I221" i="5" s="1"/>
  <c r="C220" i="5"/>
  <c r="I220" i="5"/>
  <c r="C219" i="5"/>
  <c r="I219" i="5" s="1"/>
  <c r="C218" i="5"/>
  <c r="I218" i="5" s="1"/>
  <c r="C217" i="5"/>
  <c r="I217" i="5" s="1"/>
  <c r="C216" i="5"/>
  <c r="I216" i="5" s="1"/>
  <c r="C215" i="5"/>
  <c r="I215" i="5" s="1"/>
  <c r="C214" i="5"/>
  <c r="I214" i="5"/>
  <c r="C213" i="5"/>
  <c r="I213" i="5" s="1"/>
  <c r="C212" i="5"/>
  <c r="I212" i="5" s="1"/>
  <c r="C211" i="5"/>
  <c r="I211" i="5" s="1"/>
  <c r="C210" i="5"/>
  <c r="I210" i="5" s="1"/>
  <c r="C209" i="5"/>
  <c r="I209" i="5" s="1"/>
  <c r="C208" i="5"/>
  <c r="I208" i="5"/>
  <c r="C207" i="5"/>
  <c r="I207" i="5" s="1"/>
  <c r="C206" i="5"/>
  <c r="I206" i="5" s="1"/>
  <c r="C205" i="5"/>
  <c r="I205" i="5" s="1"/>
  <c r="C204" i="5"/>
  <c r="I204" i="5" s="1"/>
  <c r="C203" i="5"/>
  <c r="I203" i="5" s="1"/>
  <c r="C202" i="5"/>
  <c r="I202" i="5"/>
  <c r="C201" i="5"/>
  <c r="I201" i="5" s="1"/>
  <c r="C200" i="5"/>
  <c r="I200" i="5" s="1"/>
  <c r="C199" i="5"/>
  <c r="I199" i="5" s="1"/>
  <c r="C198" i="5"/>
  <c r="I198" i="5" s="1"/>
  <c r="C197" i="5"/>
  <c r="I197" i="5" s="1"/>
  <c r="C196" i="5"/>
  <c r="I196" i="5"/>
  <c r="C195" i="5"/>
  <c r="I195" i="5" s="1"/>
  <c r="C194" i="5"/>
  <c r="I194" i="5" s="1"/>
  <c r="C193" i="5"/>
  <c r="I193" i="5" s="1"/>
  <c r="C192" i="5"/>
  <c r="I192" i="5" s="1"/>
  <c r="C191" i="5"/>
  <c r="I191" i="5" s="1"/>
  <c r="C190" i="5"/>
  <c r="I190" i="5"/>
  <c r="C189" i="5"/>
  <c r="I189" i="5" s="1"/>
  <c r="C188" i="5"/>
  <c r="I188" i="5" s="1"/>
  <c r="C187" i="5"/>
  <c r="I187" i="5" s="1"/>
  <c r="C186" i="5"/>
  <c r="I186" i="5" s="1"/>
  <c r="C185" i="5"/>
  <c r="I185" i="5" s="1"/>
  <c r="C184" i="5"/>
  <c r="I184" i="5"/>
  <c r="C183" i="5"/>
  <c r="I183" i="5" s="1"/>
  <c r="C182" i="5"/>
  <c r="I182" i="5" s="1"/>
  <c r="C181" i="5"/>
  <c r="I181" i="5" s="1"/>
  <c r="C180" i="5"/>
  <c r="I180" i="5" s="1"/>
  <c r="C179" i="5"/>
  <c r="I179" i="5" s="1"/>
  <c r="C178" i="5"/>
  <c r="I178" i="5"/>
  <c r="C177" i="5"/>
  <c r="I177" i="5" s="1"/>
  <c r="C176" i="5"/>
  <c r="I176" i="5" s="1"/>
  <c r="C175" i="5"/>
  <c r="I175" i="5" s="1"/>
  <c r="C174" i="5"/>
  <c r="I174" i="5" s="1"/>
  <c r="C173" i="5"/>
  <c r="I173" i="5" s="1"/>
  <c r="C172" i="5"/>
  <c r="I172" i="5"/>
  <c r="C171" i="5"/>
  <c r="I171" i="5" s="1"/>
  <c r="C170" i="5"/>
  <c r="I170" i="5" s="1"/>
  <c r="C169" i="5"/>
  <c r="I169" i="5" s="1"/>
  <c r="C168" i="5"/>
  <c r="I168" i="5" s="1"/>
  <c r="C167" i="5"/>
  <c r="I167" i="5" s="1"/>
  <c r="C166" i="5"/>
  <c r="I166" i="5"/>
  <c r="C165" i="5"/>
  <c r="I165" i="5" s="1"/>
  <c r="C164" i="5"/>
  <c r="I164" i="5" s="1"/>
  <c r="C163" i="5"/>
  <c r="I163" i="5" s="1"/>
  <c r="C162" i="5"/>
  <c r="I162" i="5" s="1"/>
  <c r="C161" i="5"/>
  <c r="I161" i="5" s="1"/>
  <c r="C160" i="5"/>
  <c r="I160" i="5"/>
  <c r="C159" i="5"/>
  <c r="I159" i="5" s="1"/>
  <c r="C158" i="5"/>
  <c r="I158" i="5" s="1"/>
  <c r="C157" i="5"/>
  <c r="I157" i="5" s="1"/>
  <c r="C156" i="5"/>
  <c r="I156" i="5" s="1"/>
  <c r="C155" i="5"/>
  <c r="I155" i="5" s="1"/>
  <c r="C154" i="5"/>
  <c r="I154" i="5"/>
  <c r="C153" i="5"/>
  <c r="I153" i="5" s="1"/>
  <c r="C152" i="5"/>
  <c r="I152" i="5" s="1"/>
  <c r="C151" i="5"/>
  <c r="I151" i="5" s="1"/>
  <c r="C150" i="5"/>
  <c r="I150" i="5" s="1"/>
  <c r="C149" i="5"/>
  <c r="I149" i="5" s="1"/>
  <c r="C148" i="5"/>
  <c r="I148" i="5"/>
  <c r="C147" i="5"/>
  <c r="I147" i="5" s="1"/>
  <c r="C146" i="5"/>
  <c r="I146" i="5" s="1"/>
  <c r="C145" i="5"/>
  <c r="I145" i="5" s="1"/>
  <c r="C144" i="5"/>
  <c r="I144" i="5" s="1"/>
  <c r="C143" i="5"/>
  <c r="I143" i="5" s="1"/>
  <c r="C142" i="5"/>
  <c r="I142" i="5"/>
  <c r="C141" i="5"/>
  <c r="I141" i="5" s="1"/>
  <c r="C140" i="5"/>
  <c r="I140" i="5" s="1"/>
  <c r="C139" i="5"/>
  <c r="I139" i="5" s="1"/>
  <c r="C138" i="5"/>
  <c r="I138" i="5" s="1"/>
  <c r="C137" i="5"/>
  <c r="I137" i="5" s="1"/>
  <c r="C136" i="5"/>
  <c r="I136" i="5"/>
  <c r="C135" i="5"/>
  <c r="I135" i="5" s="1"/>
  <c r="C134" i="5"/>
  <c r="I134" i="5" s="1"/>
  <c r="C133" i="5"/>
  <c r="I133" i="5" s="1"/>
  <c r="C132" i="5"/>
  <c r="I132" i="5" s="1"/>
  <c r="C131" i="5"/>
  <c r="I131" i="5" s="1"/>
  <c r="C130" i="5"/>
  <c r="I130" i="5"/>
  <c r="C129" i="5"/>
  <c r="I129" i="5" s="1"/>
  <c r="C128" i="5"/>
  <c r="I128" i="5" s="1"/>
  <c r="C127" i="5"/>
  <c r="I127" i="5" s="1"/>
  <c r="C126" i="5"/>
  <c r="I126" i="5" s="1"/>
  <c r="C125" i="5"/>
  <c r="I125" i="5" s="1"/>
  <c r="C124" i="5"/>
  <c r="I124" i="5"/>
  <c r="C123" i="5"/>
  <c r="I123" i="5" s="1"/>
  <c r="C122" i="5"/>
  <c r="I122" i="5" s="1"/>
  <c r="C121" i="5"/>
  <c r="I121" i="5" s="1"/>
  <c r="C120" i="5"/>
  <c r="I120" i="5" s="1"/>
  <c r="C119" i="5"/>
  <c r="I119" i="5" s="1"/>
  <c r="C118" i="5"/>
  <c r="I118" i="5"/>
  <c r="C117" i="5"/>
  <c r="I117" i="5" s="1"/>
  <c r="C116" i="5"/>
  <c r="I116" i="5" s="1"/>
  <c r="C115" i="5"/>
  <c r="I115" i="5" s="1"/>
  <c r="C114" i="5"/>
  <c r="I114" i="5" s="1"/>
  <c r="C113" i="5"/>
  <c r="I113" i="5" s="1"/>
  <c r="C112" i="5"/>
  <c r="I112" i="5"/>
  <c r="C111" i="5"/>
  <c r="I111" i="5" s="1"/>
  <c r="C110" i="5"/>
  <c r="I110" i="5" s="1"/>
  <c r="C109" i="5"/>
  <c r="I109" i="5" s="1"/>
  <c r="C108" i="5"/>
  <c r="I108" i="5" s="1"/>
  <c r="C107" i="5"/>
  <c r="I107" i="5" s="1"/>
  <c r="C106" i="5"/>
  <c r="I106" i="5"/>
  <c r="C105" i="5"/>
  <c r="I105" i="5" s="1"/>
  <c r="C104" i="5"/>
  <c r="I104" i="5" s="1"/>
  <c r="C103" i="5"/>
  <c r="I103" i="5" s="1"/>
  <c r="C102" i="5"/>
  <c r="I102" i="5" s="1"/>
  <c r="C101" i="5"/>
  <c r="I101" i="5" s="1"/>
  <c r="C100" i="5"/>
  <c r="I100" i="5"/>
  <c r="C99" i="5"/>
  <c r="I99" i="5" s="1"/>
  <c r="C98" i="5"/>
  <c r="I98" i="5" s="1"/>
  <c r="C97" i="5"/>
  <c r="I97" i="5" s="1"/>
  <c r="C96" i="5"/>
  <c r="I96" i="5" s="1"/>
  <c r="C95" i="5"/>
  <c r="I95" i="5" s="1"/>
  <c r="C94" i="5"/>
  <c r="I94" i="5"/>
  <c r="C93" i="5"/>
  <c r="I93" i="5" s="1"/>
  <c r="C92" i="5"/>
  <c r="I92" i="5" s="1"/>
  <c r="C91" i="5"/>
  <c r="I91" i="5" s="1"/>
  <c r="C90" i="5"/>
  <c r="I90" i="5" s="1"/>
  <c r="C89" i="5"/>
  <c r="I89" i="5" s="1"/>
  <c r="C88" i="5"/>
  <c r="I88" i="5"/>
  <c r="C87" i="5"/>
  <c r="I87" i="5" s="1"/>
  <c r="C86" i="5"/>
  <c r="I86" i="5" s="1"/>
  <c r="C85" i="5"/>
  <c r="I85" i="5" s="1"/>
  <c r="C84" i="5"/>
  <c r="I84" i="5" s="1"/>
  <c r="C83" i="5"/>
  <c r="I83" i="5" s="1"/>
  <c r="C82" i="5"/>
  <c r="I82" i="5"/>
  <c r="C81" i="5"/>
  <c r="I81" i="5" s="1"/>
  <c r="C80" i="5"/>
  <c r="I80" i="5" s="1"/>
  <c r="C79" i="5"/>
  <c r="I79" i="5" s="1"/>
  <c r="C78" i="5"/>
  <c r="I78" i="5" s="1"/>
  <c r="C77" i="5"/>
  <c r="I77" i="5" s="1"/>
  <c r="C76" i="5"/>
  <c r="I76" i="5"/>
  <c r="C75" i="5"/>
  <c r="I75" i="5" s="1"/>
  <c r="C74" i="5"/>
  <c r="I74" i="5" s="1"/>
  <c r="C73" i="5"/>
  <c r="I73" i="5" s="1"/>
  <c r="C72" i="5"/>
  <c r="I72" i="5" s="1"/>
  <c r="C71" i="5"/>
  <c r="I71" i="5" s="1"/>
  <c r="C70" i="5"/>
  <c r="I70" i="5"/>
  <c r="C69" i="5"/>
  <c r="I69" i="5" s="1"/>
  <c r="C68" i="5"/>
  <c r="I68" i="5" s="1"/>
  <c r="C67" i="5"/>
  <c r="I67" i="5" s="1"/>
  <c r="C66" i="5"/>
  <c r="I66" i="5" s="1"/>
  <c r="C65" i="5"/>
  <c r="I65" i="5" s="1"/>
  <c r="C64" i="5"/>
  <c r="I64" i="5"/>
  <c r="C63" i="5"/>
  <c r="I63" i="5" s="1"/>
  <c r="C62" i="5"/>
  <c r="I62" i="5" s="1"/>
  <c r="C61" i="5"/>
  <c r="I61" i="5" s="1"/>
  <c r="C60" i="5"/>
  <c r="I60" i="5" s="1"/>
  <c r="C59" i="5"/>
  <c r="I59" i="5" s="1"/>
  <c r="C58" i="5"/>
  <c r="I58" i="5"/>
  <c r="C57" i="5"/>
  <c r="I57" i="5" s="1"/>
  <c r="C56" i="5"/>
  <c r="I56" i="5" s="1"/>
  <c r="C55" i="5"/>
  <c r="I55" i="5" s="1"/>
  <c r="C54" i="5"/>
  <c r="I54" i="5" s="1"/>
  <c r="C53" i="5"/>
  <c r="I53" i="5" s="1"/>
  <c r="C52" i="5"/>
  <c r="I52" i="5"/>
  <c r="C51" i="5"/>
  <c r="I51" i="5" s="1"/>
  <c r="C50" i="5"/>
  <c r="I50" i="5" s="1"/>
  <c r="C49" i="5"/>
  <c r="I49" i="5" s="1"/>
  <c r="C48" i="5"/>
  <c r="I48" i="5" s="1"/>
  <c r="C47" i="5"/>
  <c r="I47" i="5" s="1"/>
  <c r="C46" i="5"/>
  <c r="I46" i="5"/>
  <c r="C45" i="5"/>
  <c r="I45" i="5" s="1"/>
  <c r="C44" i="5"/>
  <c r="I44" i="5" s="1"/>
  <c r="C43" i="5"/>
  <c r="I43" i="5" s="1"/>
  <c r="C42" i="5"/>
  <c r="I42" i="5" s="1"/>
  <c r="C41" i="5"/>
  <c r="I41" i="5" s="1"/>
  <c r="C40" i="5"/>
  <c r="I40" i="5"/>
  <c r="C39" i="5"/>
  <c r="I39" i="5" s="1"/>
  <c r="C38" i="5"/>
  <c r="I38" i="5" s="1"/>
  <c r="C37" i="5"/>
  <c r="I37" i="5" s="1"/>
  <c r="C36" i="5"/>
  <c r="I36" i="5" s="1"/>
  <c r="C35" i="5"/>
  <c r="I35" i="5" s="1"/>
  <c r="C34" i="5"/>
  <c r="I34" i="5"/>
  <c r="C33" i="5"/>
  <c r="I33" i="5" s="1"/>
  <c r="C32" i="5"/>
  <c r="I32" i="5" s="1"/>
  <c r="C31" i="5"/>
  <c r="I31" i="5" s="1"/>
  <c r="C30" i="5"/>
  <c r="I30" i="5" s="1"/>
  <c r="C29" i="5"/>
  <c r="I29" i="5" s="1"/>
  <c r="C28" i="5"/>
  <c r="I28" i="5"/>
  <c r="C27" i="5"/>
  <c r="I27" i="5" s="1"/>
  <c r="C26" i="5"/>
  <c r="I26" i="5" s="1"/>
  <c r="C25" i="5"/>
  <c r="I25" i="5" s="1"/>
  <c r="C24" i="5"/>
  <c r="I24" i="5" s="1"/>
  <c r="C23" i="5"/>
  <c r="I23" i="5" s="1"/>
  <c r="C22" i="5"/>
  <c r="I22" i="5"/>
  <c r="C21" i="5"/>
  <c r="I21" i="5" s="1"/>
  <c r="C20" i="5"/>
  <c r="I20" i="5" s="1"/>
  <c r="C19" i="5"/>
  <c r="I19" i="5" s="1"/>
  <c r="C18" i="5"/>
  <c r="I18" i="5" s="1"/>
  <c r="C17" i="5"/>
  <c r="I17" i="5" s="1"/>
  <c r="C16" i="5"/>
  <c r="I16" i="5"/>
  <c r="C15" i="5"/>
  <c r="I15" i="5" s="1"/>
  <c r="C14" i="5"/>
  <c r="I14" i="5" s="1"/>
  <c r="C13" i="5"/>
  <c r="I13" i="5" s="1"/>
  <c r="C12" i="5"/>
  <c r="I12" i="5" s="1"/>
  <c r="C11" i="5"/>
  <c r="I11" i="5" s="1"/>
  <c r="A1" i="5"/>
  <c r="R385" i="4"/>
  <c r="O383" i="4"/>
  <c r="R383" i="4" s="1"/>
  <c r="N383" i="4"/>
  <c r="I383" i="4"/>
  <c r="C383" i="4"/>
  <c r="O382" i="4"/>
  <c r="N382" i="4"/>
  <c r="I382" i="4"/>
  <c r="C382" i="4"/>
  <c r="O381" i="4"/>
  <c r="R381" i="4" s="1"/>
  <c r="N381" i="4"/>
  <c r="I381" i="4"/>
  <c r="C381" i="4"/>
  <c r="O380" i="4"/>
  <c r="N380" i="4"/>
  <c r="I380" i="4"/>
  <c r="C380" i="4"/>
  <c r="O379" i="4"/>
  <c r="N379" i="4"/>
  <c r="I379" i="4"/>
  <c r="S379" i="4"/>
  <c r="C379" i="4"/>
  <c r="O378" i="4"/>
  <c r="N378" i="4"/>
  <c r="I378" i="4"/>
  <c r="C378" i="4"/>
  <c r="O377" i="4"/>
  <c r="R377" i="4"/>
  <c r="N377" i="4"/>
  <c r="I377" i="4"/>
  <c r="AI377" i="4" s="1"/>
  <c r="C377" i="4"/>
  <c r="O376" i="4"/>
  <c r="N376" i="4"/>
  <c r="I376" i="4"/>
  <c r="C376" i="4"/>
  <c r="O375" i="4"/>
  <c r="R375" i="4"/>
  <c r="N375" i="4"/>
  <c r="I375" i="4"/>
  <c r="C375" i="4"/>
  <c r="O374" i="4"/>
  <c r="N374" i="4"/>
  <c r="I374" i="4"/>
  <c r="AI374" i="4"/>
  <c r="C374" i="4"/>
  <c r="O373" i="4"/>
  <c r="R373" i="4"/>
  <c r="N373" i="4"/>
  <c r="I373" i="4"/>
  <c r="C373" i="4"/>
  <c r="O372" i="4"/>
  <c r="N372" i="4"/>
  <c r="I372" i="4"/>
  <c r="C372" i="4"/>
  <c r="O371" i="4"/>
  <c r="R371" i="4"/>
  <c r="N371" i="4"/>
  <c r="I371" i="4"/>
  <c r="AI371" i="4"/>
  <c r="C371" i="4"/>
  <c r="O370" i="4"/>
  <c r="N370" i="4"/>
  <c r="I370" i="4"/>
  <c r="C370" i="4"/>
  <c r="O369" i="4"/>
  <c r="R369" i="4" s="1"/>
  <c r="N369" i="4"/>
  <c r="I369" i="4"/>
  <c r="C369" i="4"/>
  <c r="O368" i="4"/>
  <c r="N368" i="4"/>
  <c r="I368" i="4"/>
  <c r="C368" i="4"/>
  <c r="O367" i="4"/>
  <c r="R367" i="4"/>
  <c r="N367" i="4"/>
  <c r="I367" i="4"/>
  <c r="C367" i="4"/>
  <c r="O366" i="4"/>
  <c r="N366" i="4"/>
  <c r="I366" i="4"/>
  <c r="C366" i="4"/>
  <c r="O365" i="4"/>
  <c r="N365" i="4"/>
  <c r="I365" i="4"/>
  <c r="C365" i="4"/>
  <c r="O364" i="4"/>
  <c r="N364" i="4"/>
  <c r="I364" i="4"/>
  <c r="C364" i="4"/>
  <c r="O363" i="4"/>
  <c r="R363" i="4"/>
  <c r="N363" i="4"/>
  <c r="I363" i="4"/>
  <c r="C363" i="4"/>
  <c r="O362" i="4"/>
  <c r="N362" i="4"/>
  <c r="I362" i="4"/>
  <c r="C362" i="4"/>
  <c r="O361" i="4"/>
  <c r="N361" i="4"/>
  <c r="I361" i="4"/>
  <c r="C361" i="4"/>
  <c r="S361" i="4"/>
  <c r="O360" i="4"/>
  <c r="N360" i="4"/>
  <c r="I360" i="4"/>
  <c r="C360" i="4"/>
  <c r="O359" i="4"/>
  <c r="R359" i="4" s="1"/>
  <c r="N359" i="4"/>
  <c r="I359" i="4"/>
  <c r="C359" i="4"/>
  <c r="O358" i="4"/>
  <c r="N358" i="4"/>
  <c r="I358" i="4"/>
  <c r="C358" i="4"/>
  <c r="O357" i="4"/>
  <c r="R357" i="4"/>
  <c r="N357" i="4"/>
  <c r="I357" i="4"/>
  <c r="C357" i="4"/>
  <c r="O356" i="4"/>
  <c r="N356" i="4"/>
  <c r="I356" i="4"/>
  <c r="C356" i="4"/>
  <c r="O355" i="4"/>
  <c r="R355" i="4" s="1"/>
  <c r="N355" i="4"/>
  <c r="I355" i="4"/>
  <c r="C355" i="4"/>
  <c r="O354" i="4"/>
  <c r="N354" i="4"/>
  <c r="I354" i="4"/>
  <c r="C354" i="4"/>
  <c r="O353" i="4"/>
  <c r="R353" i="4"/>
  <c r="N353" i="4"/>
  <c r="I353" i="4"/>
  <c r="C353" i="4"/>
  <c r="O352" i="4"/>
  <c r="N352" i="4"/>
  <c r="I352" i="4"/>
  <c r="C352" i="4"/>
  <c r="O351" i="4"/>
  <c r="R351" i="4" s="1"/>
  <c r="N351" i="4"/>
  <c r="I351" i="4"/>
  <c r="C351" i="4"/>
  <c r="O350" i="4"/>
  <c r="N350" i="4"/>
  <c r="I350" i="4"/>
  <c r="C350" i="4"/>
  <c r="O349" i="4"/>
  <c r="N349" i="4"/>
  <c r="I349" i="4"/>
  <c r="C349" i="4"/>
  <c r="O348" i="4"/>
  <c r="P348" i="4"/>
  <c r="N348" i="4"/>
  <c r="I348" i="4"/>
  <c r="C348" i="4"/>
  <c r="O347" i="4"/>
  <c r="R347" i="4" s="1"/>
  <c r="N347" i="4"/>
  <c r="I347" i="4"/>
  <c r="C347" i="4"/>
  <c r="O346" i="4"/>
  <c r="N346" i="4"/>
  <c r="I346" i="4"/>
  <c r="C346" i="4"/>
  <c r="O345" i="4"/>
  <c r="R345" i="4" s="1"/>
  <c r="N345" i="4"/>
  <c r="I345" i="4"/>
  <c r="C345" i="4"/>
  <c r="O344" i="4"/>
  <c r="N344" i="4"/>
  <c r="I344" i="4"/>
  <c r="C344" i="4"/>
  <c r="O343" i="4"/>
  <c r="R343" i="4"/>
  <c r="N343" i="4"/>
  <c r="I343" i="4"/>
  <c r="C343" i="4"/>
  <c r="O342" i="4"/>
  <c r="N342" i="4"/>
  <c r="I342" i="4"/>
  <c r="C342" i="4"/>
  <c r="O341" i="4"/>
  <c r="R341" i="4" s="1"/>
  <c r="N341" i="4"/>
  <c r="I341" i="4"/>
  <c r="C341" i="4"/>
  <c r="O340" i="4"/>
  <c r="N340" i="4"/>
  <c r="I340" i="4"/>
  <c r="C340" i="4"/>
  <c r="O339" i="4"/>
  <c r="N339" i="4"/>
  <c r="I339" i="4"/>
  <c r="C339" i="4"/>
  <c r="O338" i="4"/>
  <c r="R338" i="4"/>
  <c r="N338" i="4"/>
  <c r="I338" i="4"/>
  <c r="C338" i="4"/>
  <c r="O337" i="4"/>
  <c r="R337" i="4" s="1"/>
  <c r="N337" i="4"/>
  <c r="I337" i="4"/>
  <c r="C337" i="4"/>
  <c r="O336" i="4"/>
  <c r="R336" i="4"/>
  <c r="N336" i="4"/>
  <c r="I336" i="4"/>
  <c r="C336" i="4"/>
  <c r="O335" i="4"/>
  <c r="N335" i="4"/>
  <c r="I335" i="4"/>
  <c r="C335" i="4"/>
  <c r="O334" i="4"/>
  <c r="R334" i="4" s="1"/>
  <c r="N334" i="4"/>
  <c r="I334" i="4"/>
  <c r="C334" i="4"/>
  <c r="O333" i="4"/>
  <c r="R333" i="4"/>
  <c r="N333" i="4"/>
  <c r="I333" i="4"/>
  <c r="C333" i="4"/>
  <c r="O332" i="4"/>
  <c r="N332" i="4"/>
  <c r="I332" i="4"/>
  <c r="C332" i="4"/>
  <c r="O331" i="4"/>
  <c r="N331" i="4"/>
  <c r="I331" i="4"/>
  <c r="AI331" i="4" s="1"/>
  <c r="C331" i="4"/>
  <c r="O330" i="4"/>
  <c r="R330" i="4"/>
  <c r="N330" i="4"/>
  <c r="I330" i="4"/>
  <c r="C330" i="4"/>
  <c r="O329" i="4"/>
  <c r="R329" i="4"/>
  <c r="N329" i="4"/>
  <c r="I329" i="4"/>
  <c r="C329" i="4"/>
  <c r="O328" i="4"/>
  <c r="R328" i="4"/>
  <c r="N328" i="4"/>
  <c r="I328" i="4"/>
  <c r="S328" i="4" s="1"/>
  <c r="C328" i="4"/>
  <c r="O327" i="4"/>
  <c r="N327" i="4"/>
  <c r="I327" i="4"/>
  <c r="AI327" i="4" s="1"/>
  <c r="C327" i="4"/>
  <c r="O326" i="4"/>
  <c r="R326" i="4" s="1"/>
  <c r="N326" i="4"/>
  <c r="I326" i="4"/>
  <c r="C326" i="4"/>
  <c r="O325" i="4"/>
  <c r="R325" i="4"/>
  <c r="N325" i="4"/>
  <c r="I325" i="4"/>
  <c r="C325" i="4"/>
  <c r="O324" i="4"/>
  <c r="N324" i="4"/>
  <c r="I324" i="4"/>
  <c r="AI324" i="4" s="1"/>
  <c r="C324" i="4"/>
  <c r="O323" i="4"/>
  <c r="N323" i="4"/>
  <c r="I323" i="4"/>
  <c r="AI323" i="4"/>
  <c r="C323" i="4"/>
  <c r="O322" i="4"/>
  <c r="R322" i="4" s="1"/>
  <c r="N322" i="4"/>
  <c r="I322" i="4"/>
  <c r="S322" i="4" s="1"/>
  <c r="C322" i="4"/>
  <c r="O321" i="4"/>
  <c r="R321" i="4" s="1"/>
  <c r="N321" i="4"/>
  <c r="I321" i="4"/>
  <c r="C321" i="4"/>
  <c r="O320" i="4"/>
  <c r="R320" i="4"/>
  <c r="N320" i="4"/>
  <c r="I320" i="4"/>
  <c r="C320" i="4"/>
  <c r="O319" i="4"/>
  <c r="N319" i="4"/>
  <c r="I319" i="4"/>
  <c r="C319" i="4"/>
  <c r="O318" i="4"/>
  <c r="R318" i="4" s="1"/>
  <c r="N318" i="4"/>
  <c r="I318" i="4"/>
  <c r="C318" i="4"/>
  <c r="O317" i="4"/>
  <c r="R317" i="4" s="1"/>
  <c r="N317" i="4"/>
  <c r="I317" i="4"/>
  <c r="C317" i="4"/>
  <c r="O316" i="4"/>
  <c r="N316" i="4"/>
  <c r="I316" i="4"/>
  <c r="C316" i="4"/>
  <c r="O315" i="4"/>
  <c r="N315" i="4"/>
  <c r="I315" i="4"/>
  <c r="C315" i="4"/>
  <c r="O314" i="4"/>
  <c r="R314" i="4"/>
  <c r="N314" i="4"/>
  <c r="I314" i="4"/>
  <c r="C314" i="4"/>
  <c r="O313" i="4"/>
  <c r="R313" i="4" s="1"/>
  <c r="N313" i="4"/>
  <c r="I313" i="4"/>
  <c r="C313" i="4"/>
  <c r="O312" i="4"/>
  <c r="R312" i="4" s="1"/>
  <c r="N312" i="4"/>
  <c r="I312" i="4"/>
  <c r="C312" i="4"/>
  <c r="O311" i="4"/>
  <c r="R311" i="4" s="1"/>
  <c r="N311" i="4"/>
  <c r="I311" i="4"/>
  <c r="C311" i="4"/>
  <c r="S311" i="4" s="1"/>
  <c r="O310" i="4"/>
  <c r="P310" i="4" s="1"/>
  <c r="N310" i="4"/>
  <c r="Q310" i="4"/>
  <c r="I310" i="4"/>
  <c r="C310" i="4"/>
  <c r="O309" i="4"/>
  <c r="R309" i="4"/>
  <c r="N309" i="4"/>
  <c r="I309" i="4"/>
  <c r="C309" i="4"/>
  <c r="O308" i="4"/>
  <c r="R308" i="4"/>
  <c r="N308" i="4"/>
  <c r="I308" i="4"/>
  <c r="C308" i="4"/>
  <c r="O307" i="4"/>
  <c r="R307" i="4"/>
  <c r="N307" i="4"/>
  <c r="P307" i="4"/>
  <c r="Q307" i="4" s="1"/>
  <c r="I307" i="4"/>
  <c r="C307" i="4"/>
  <c r="O306" i="4"/>
  <c r="R306" i="4" s="1"/>
  <c r="N306" i="4"/>
  <c r="I306" i="4"/>
  <c r="C306" i="4"/>
  <c r="O305" i="4"/>
  <c r="R305" i="4"/>
  <c r="N305" i="4"/>
  <c r="I305" i="4"/>
  <c r="C305" i="4"/>
  <c r="O304" i="4"/>
  <c r="R304" i="4" s="1"/>
  <c r="N304" i="4"/>
  <c r="I304" i="4"/>
  <c r="AI304" i="4" s="1"/>
  <c r="C304" i="4"/>
  <c r="O303" i="4"/>
  <c r="R303" i="4" s="1"/>
  <c r="N303" i="4"/>
  <c r="I303" i="4"/>
  <c r="C303" i="4"/>
  <c r="O302" i="4"/>
  <c r="R302" i="4"/>
  <c r="N302" i="4"/>
  <c r="I302" i="4"/>
  <c r="S302" i="4"/>
  <c r="C302" i="4"/>
  <c r="O301" i="4"/>
  <c r="R301" i="4"/>
  <c r="N301" i="4"/>
  <c r="I301" i="4"/>
  <c r="C301" i="4"/>
  <c r="O300" i="4"/>
  <c r="R300" i="4" s="1"/>
  <c r="N300" i="4"/>
  <c r="I300" i="4"/>
  <c r="C300" i="4"/>
  <c r="O299" i="4"/>
  <c r="R299" i="4" s="1"/>
  <c r="N299" i="4"/>
  <c r="I299" i="4"/>
  <c r="S299" i="4" s="1"/>
  <c r="C299" i="4"/>
  <c r="O298" i="4"/>
  <c r="R298" i="4"/>
  <c r="N298" i="4"/>
  <c r="I298" i="4"/>
  <c r="C298" i="4"/>
  <c r="O297" i="4"/>
  <c r="N297" i="4"/>
  <c r="I297" i="4"/>
  <c r="C297" i="4"/>
  <c r="O296" i="4"/>
  <c r="R296" i="4" s="1"/>
  <c r="N296" i="4"/>
  <c r="I296" i="4"/>
  <c r="C296" i="4"/>
  <c r="O295" i="4"/>
  <c r="N295" i="4"/>
  <c r="I295" i="4"/>
  <c r="C295" i="4"/>
  <c r="O294" i="4"/>
  <c r="R294" i="4" s="1"/>
  <c r="N294" i="4"/>
  <c r="I294" i="4"/>
  <c r="C294" i="4"/>
  <c r="O293" i="4"/>
  <c r="R293" i="4" s="1"/>
  <c r="N293" i="4"/>
  <c r="I293" i="4"/>
  <c r="AI293" i="4" s="1"/>
  <c r="C293" i="4"/>
  <c r="O292" i="4"/>
  <c r="R292" i="4" s="1"/>
  <c r="N292" i="4"/>
  <c r="I292" i="4"/>
  <c r="C292" i="4"/>
  <c r="O291" i="4"/>
  <c r="R291" i="4"/>
  <c r="N291" i="4"/>
  <c r="I291" i="4"/>
  <c r="C291" i="4"/>
  <c r="O290" i="4"/>
  <c r="R290" i="4" s="1"/>
  <c r="N290" i="4"/>
  <c r="I290" i="4"/>
  <c r="C290" i="4"/>
  <c r="O289" i="4"/>
  <c r="R289" i="4"/>
  <c r="N289" i="4"/>
  <c r="I289" i="4"/>
  <c r="C289" i="4"/>
  <c r="O288" i="4"/>
  <c r="R288" i="4" s="1"/>
  <c r="N288" i="4"/>
  <c r="I288" i="4"/>
  <c r="AI288" i="4"/>
  <c r="C288" i="4"/>
  <c r="O287" i="4"/>
  <c r="R287" i="4"/>
  <c r="N287" i="4"/>
  <c r="I287" i="4"/>
  <c r="C287" i="4"/>
  <c r="O286" i="4"/>
  <c r="R286" i="4"/>
  <c r="N286" i="4"/>
  <c r="I286" i="4"/>
  <c r="C286" i="4"/>
  <c r="O285" i="4"/>
  <c r="R285" i="4" s="1"/>
  <c r="N285" i="4"/>
  <c r="I285" i="4"/>
  <c r="AI285" i="4"/>
  <c r="C285" i="4"/>
  <c r="O284" i="4"/>
  <c r="N284" i="4"/>
  <c r="I284" i="4"/>
  <c r="C284" i="4"/>
  <c r="O283" i="4"/>
  <c r="R283" i="4" s="1"/>
  <c r="N283" i="4"/>
  <c r="I283" i="4"/>
  <c r="C283" i="4"/>
  <c r="O282" i="4"/>
  <c r="R282" i="4" s="1"/>
  <c r="N282" i="4"/>
  <c r="I282" i="4"/>
  <c r="C282" i="4"/>
  <c r="O281" i="4"/>
  <c r="N281" i="4"/>
  <c r="I281" i="4"/>
  <c r="C281" i="4"/>
  <c r="O280" i="4"/>
  <c r="R280" i="4" s="1"/>
  <c r="N280" i="4"/>
  <c r="I280" i="4"/>
  <c r="C280" i="4"/>
  <c r="O279" i="4"/>
  <c r="R279" i="4" s="1"/>
  <c r="N279" i="4"/>
  <c r="P279" i="4" s="1"/>
  <c r="Q279" i="4"/>
  <c r="I279" i="4"/>
  <c r="C279" i="4"/>
  <c r="O278" i="4"/>
  <c r="R278" i="4" s="1"/>
  <c r="N278" i="4"/>
  <c r="I278" i="4"/>
  <c r="C278" i="4"/>
  <c r="O277" i="4"/>
  <c r="R277" i="4" s="1"/>
  <c r="N277" i="4"/>
  <c r="I277" i="4"/>
  <c r="C277" i="4"/>
  <c r="O276" i="4"/>
  <c r="N276" i="4"/>
  <c r="I276" i="4"/>
  <c r="C276" i="4"/>
  <c r="O275" i="4"/>
  <c r="R275" i="4" s="1"/>
  <c r="N275" i="4"/>
  <c r="I275" i="4"/>
  <c r="C275" i="4"/>
  <c r="O274" i="4"/>
  <c r="N274" i="4"/>
  <c r="I274" i="4"/>
  <c r="C274" i="4"/>
  <c r="O273" i="4"/>
  <c r="R273" i="4"/>
  <c r="N273" i="4"/>
  <c r="I273" i="4"/>
  <c r="AI273" i="4" s="1"/>
  <c r="C273" i="4"/>
  <c r="O272" i="4"/>
  <c r="R272" i="4" s="1"/>
  <c r="N272" i="4"/>
  <c r="I272" i="4"/>
  <c r="C272" i="4"/>
  <c r="O271" i="4"/>
  <c r="R271" i="4"/>
  <c r="N271" i="4"/>
  <c r="I271" i="4"/>
  <c r="C271" i="4"/>
  <c r="O270" i="4"/>
  <c r="R270" i="4" s="1"/>
  <c r="N270" i="4"/>
  <c r="I270" i="4"/>
  <c r="AI270" i="4"/>
  <c r="C270" i="4"/>
  <c r="O269" i="4"/>
  <c r="R269" i="4" s="1"/>
  <c r="N269" i="4"/>
  <c r="I269" i="4"/>
  <c r="C269" i="4"/>
  <c r="O268" i="4"/>
  <c r="R268" i="4"/>
  <c r="N268" i="4"/>
  <c r="I268" i="4"/>
  <c r="C268" i="4"/>
  <c r="O267" i="4"/>
  <c r="R267" i="4" s="1"/>
  <c r="N267" i="4"/>
  <c r="I267" i="4"/>
  <c r="C267" i="4"/>
  <c r="O266" i="4"/>
  <c r="N266" i="4"/>
  <c r="I266" i="4"/>
  <c r="C266" i="4"/>
  <c r="O265" i="4"/>
  <c r="R265" i="4"/>
  <c r="N265" i="4"/>
  <c r="I265" i="4"/>
  <c r="AI265" i="4" s="1"/>
  <c r="C265" i="4"/>
  <c r="O264" i="4"/>
  <c r="R264" i="4" s="1"/>
  <c r="N264" i="4"/>
  <c r="I264" i="4"/>
  <c r="AI264" i="4" s="1"/>
  <c r="C264" i="4"/>
  <c r="O263" i="4"/>
  <c r="R263" i="4"/>
  <c r="N263" i="4"/>
  <c r="P263" i="4"/>
  <c r="Q263" i="4" s="1"/>
  <c r="I263" i="4"/>
  <c r="C263" i="4"/>
  <c r="O262" i="4"/>
  <c r="R262" i="4"/>
  <c r="N262" i="4"/>
  <c r="I262" i="4"/>
  <c r="C262" i="4"/>
  <c r="O261" i="4"/>
  <c r="R261" i="4"/>
  <c r="N261" i="4"/>
  <c r="I261" i="4"/>
  <c r="AI261" i="4" s="1"/>
  <c r="C261" i="4"/>
  <c r="O260" i="4"/>
  <c r="R260" i="4" s="1"/>
  <c r="N260" i="4"/>
  <c r="I260" i="4"/>
  <c r="AI260" i="4" s="1"/>
  <c r="C260" i="4"/>
  <c r="O259" i="4"/>
  <c r="R259" i="4"/>
  <c r="N259" i="4"/>
  <c r="I259" i="4"/>
  <c r="C259" i="4"/>
  <c r="O258" i="4"/>
  <c r="R258" i="4"/>
  <c r="N258" i="4"/>
  <c r="I258" i="4"/>
  <c r="C258" i="4"/>
  <c r="O257" i="4"/>
  <c r="R257" i="4"/>
  <c r="N257" i="4"/>
  <c r="I257" i="4"/>
  <c r="C257" i="4"/>
  <c r="O256" i="4"/>
  <c r="N256" i="4"/>
  <c r="I256" i="4"/>
  <c r="C256" i="4"/>
  <c r="O255" i="4"/>
  <c r="R255" i="4"/>
  <c r="N255" i="4"/>
  <c r="I255" i="4"/>
  <c r="C255" i="4"/>
  <c r="O254" i="4"/>
  <c r="R254" i="4"/>
  <c r="N254" i="4"/>
  <c r="I254" i="4"/>
  <c r="C254" i="4"/>
  <c r="O253" i="4"/>
  <c r="R253" i="4"/>
  <c r="N253" i="4"/>
  <c r="I253" i="4"/>
  <c r="C253" i="4"/>
  <c r="O252" i="4"/>
  <c r="R252" i="4" s="1"/>
  <c r="N252" i="4"/>
  <c r="I252" i="4"/>
  <c r="C252" i="4"/>
  <c r="O251" i="4"/>
  <c r="R251" i="4" s="1"/>
  <c r="N251" i="4"/>
  <c r="I251" i="4"/>
  <c r="C251" i="4"/>
  <c r="O250" i="4"/>
  <c r="R250" i="4"/>
  <c r="N250" i="4"/>
  <c r="I250" i="4"/>
  <c r="C250" i="4"/>
  <c r="O249" i="4"/>
  <c r="R249" i="4" s="1"/>
  <c r="N249" i="4"/>
  <c r="I249" i="4"/>
  <c r="C249" i="4"/>
  <c r="O248" i="4"/>
  <c r="N248" i="4"/>
  <c r="I248" i="4"/>
  <c r="S248" i="4" s="1"/>
  <c r="C248" i="4"/>
  <c r="O247" i="4"/>
  <c r="R247" i="4" s="1"/>
  <c r="N247" i="4"/>
  <c r="I247" i="4"/>
  <c r="AI247" i="4"/>
  <c r="C247" i="4"/>
  <c r="O246" i="4"/>
  <c r="R246" i="4" s="1"/>
  <c r="N246" i="4"/>
  <c r="P246" i="4"/>
  <c r="Q246" i="4"/>
  <c r="I246" i="4"/>
  <c r="S246" i="4"/>
  <c r="C246" i="4"/>
  <c r="R245" i="4"/>
  <c r="O245" i="4"/>
  <c r="N245" i="4"/>
  <c r="I245" i="4"/>
  <c r="C245" i="4"/>
  <c r="O244" i="4"/>
  <c r="N244" i="4"/>
  <c r="I244" i="4"/>
  <c r="C244" i="4"/>
  <c r="O243" i="4"/>
  <c r="R243" i="4"/>
  <c r="N243" i="4"/>
  <c r="I243" i="4"/>
  <c r="C243" i="4"/>
  <c r="O242" i="4"/>
  <c r="R242" i="4" s="1"/>
  <c r="N242" i="4"/>
  <c r="I242" i="4"/>
  <c r="C242" i="4"/>
  <c r="O241" i="4"/>
  <c r="R241" i="4"/>
  <c r="N241" i="4"/>
  <c r="I241" i="4"/>
  <c r="C241" i="4"/>
  <c r="O240" i="4"/>
  <c r="N240" i="4"/>
  <c r="I240" i="4"/>
  <c r="C240" i="4"/>
  <c r="O239" i="4"/>
  <c r="R239" i="4" s="1"/>
  <c r="N239" i="4"/>
  <c r="I239" i="4"/>
  <c r="C239" i="4"/>
  <c r="O238" i="4"/>
  <c r="R238" i="4" s="1"/>
  <c r="N238" i="4"/>
  <c r="I238" i="4"/>
  <c r="C238" i="4"/>
  <c r="O237" i="4"/>
  <c r="R237" i="4"/>
  <c r="N237" i="4"/>
  <c r="I237" i="4"/>
  <c r="C237" i="4"/>
  <c r="AI237" i="4" s="1"/>
  <c r="O236" i="4"/>
  <c r="R236" i="4"/>
  <c r="N236" i="4"/>
  <c r="I236" i="4"/>
  <c r="C236" i="4"/>
  <c r="O235" i="4"/>
  <c r="R235" i="4" s="1"/>
  <c r="N235" i="4"/>
  <c r="I235" i="4"/>
  <c r="C235" i="4"/>
  <c r="O234" i="4"/>
  <c r="N234" i="4"/>
  <c r="I234" i="4"/>
  <c r="C234" i="4"/>
  <c r="O233" i="4"/>
  <c r="R233" i="4"/>
  <c r="N233" i="4"/>
  <c r="I233" i="4"/>
  <c r="C233" i="4"/>
  <c r="O232" i="4"/>
  <c r="R232" i="4"/>
  <c r="N232" i="4"/>
  <c r="I232" i="4"/>
  <c r="C232" i="4"/>
  <c r="O231" i="4"/>
  <c r="R231" i="4" s="1"/>
  <c r="N231" i="4"/>
  <c r="I231" i="4"/>
  <c r="C231" i="4"/>
  <c r="O230" i="4"/>
  <c r="R230" i="4"/>
  <c r="N230" i="4"/>
  <c r="I230" i="4"/>
  <c r="C230" i="4"/>
  <c r="S230" i="4" s="1"/>
  <c r="O229" i="4"/>
  <c r="R229" i="4"/>
  <c r="N229" i="4"/>
  <c r="I229" i="4"/>
  <c r="C229" i="4"/>
  <c r="O228" i="4"/>
  <c r="R228" i="4" s="1"/>
  <c r="N228" i="4"/>
  <c r="I228" i="4"/>
  <c r="AI228" i="4" s="1"/>
  <c r="C228" i="4"/>
  <c r="O227" i="4"/>
  <c r="R227" i="4" s="1"/>
  <c r="N227" i="4"/>
  <c r="I227" i="4"/>
  <c r="C227" i="4"/>
  <c r="O226" i="4"/>
  <c r="R226" i="4"/>
  <c r="N226" i="4"/>
  <c r="I226" i="4"/>
  <c r="C226" i="4"/>
  <c r="O225" i="4"/>
  <c r="R225" i="4"/>
  <c r="N225" i="4"/>
  <c r="I225" i="4"/>
  <c r="C225" i="4"/>
  <c r="O224" i="4"/>
  <c r="R224" i="4"/>
  <c r="N224" i="4"/>
  <c r="I224" i="4"/>
  <c r="C224" i="4"/>
  <c r="O223" i="4"/>
  <c r="R223" i="4" s="1"/>
  <c r="N223" i="4"/>
  <c r="I223" i="4"/>
  <c r="C223" i="4"/>
  <c r="O222" i="4"/>
  <c r="N222" i="4"/>
  <c r="I222" i="4"/>
  <c r="C222" i="4"/>
  <c r="O221" i="4"/>
  <c r="R221" i="4"/>
  <c r="N221" i="4"/>
  <c r="I221" i="4"/>
  <c r="S221" i="4" s="1"/>
  <c r="C221" i="4"/>
  <c r="O220" i="4"/>
  <c r="R220" i="4"/>
  <c r="N220" i="4"/>
  <c r="I220" i="4"/>
  <c r="C220" i="4"/>
  <c r="O219" i="4"/>
  <c r="R219" i="4" s="1"/>
  <c r="N219" i="4"/>
  <c r="I219" i="4"/>
  <c r="C219" i="4"/>
  <c r="AI219" i="4" s="1"/>
  <c r="O218" i="4"/>
  <c r="R218" i="4"/>
  <c r="N218" i="4"/>
  <c r="I218" i="4"/>
  <c r="C218" i="4"/>
  <c r="O217" i="4"/>
  <c r="R217" i="4"/>
  <c r="N217" i="4"/>
  <c r="I217" i="4"/>
  <c r="AI217" i="4" s="1"/>
  <c r="C217" i="4"/>
  <c r="O216" i="4"/>
  <c r="N216" i="4"/>
  <c r="I216" i="4"/>
  <c r="C216" i="4"/>
  <c r="O215" i="4"/>
  <c r="R215" i="4" s="1"/>
  <c r="N215" i="4"/>
  <c r="I215" i="4"/>
  <c r="C215" i="4"/>
  <c r="O214" i="4"/>
  <c r="R214" i="4" s="1"/>
  <c r="N214" i="4"/>
  <c r="I214" i="4"/>
  <c r="C214" i="4"/>
  <c r="O213" i="4"/>
  <c r="R213" i="4"/>
  <c r="N213" i="4"/>
  <c r="I213" i="4"/>
  <c r="C213" i="4"/>
  <c r="O212" i="4"/>
  <c r="N212" i="4"/>
  <c r="I212" i="4"/>
  <c r="C212" i="4"/>
  <c r="O211" i="4"/>
  <c r="R211" i="4" s="1"/>
  <c r="N211" i="4"/>
  <c r="I211" i="4"/>
  <c r="C211" i="4"/>
  <c r="O210" i="4"/>
  <c r="R210" i="4"/>
  <c r="N210" i="4"/>
  <c r="I210" i="4"/>
  <c r="C210" i="4"/>
  <c r="O209" i="4"/>
  <c r="R209" i="4" s="1"/>
  <c r="N209" i="4"/>
  <c r="I209" i="4"/>
  <c r="C209" i="4"/>
  <c r="O208" i="4"/>
  <c r="R208" i="4"/>
  <c r="N208" i="4"/>
  <c r="I208" i="4"/>
  <c r="C208" i="4"/>
  <c r="O207" i="4"/>
  <c r="N207" i="4"/>
  <c r="I207" i="4"/>
  <c r="C207" i="4"/>
  <c r="O206" i="4"/>
  <c r="R206" i="4"/>
  <c r="N206" i="4"/>
  <c r="I206" i="4"/>
  <c r="C206" i="4"/>
  <c r="O205" i="4"/>
  <c r="R205" i="4" s="1"/>
  <c r="N205" i="4"/>
  <c r="I205" i="4"/>
  <c r="S205" i="4" s="1"/>
  <c r="C205" i="4"/>
  <c r="O204" i="4"/>
  <c r="R204" i="4"/>
  <c r="N204" i="4"/>
  <c r="P204" i="4" s="1"/>
  <c r="Q204" i="4" s="1"/>
  <c r="I204" i="4"/>
  <c r="C204" i="4"/>
  <c r="AI204" i="4" s="1"/>
  <c r="O203" i="4"/>
  <c r="R203" i="4"/>
  <c r="N203" i="4"/>
  <c r="I203" i="4"/>
  <c r="C203" i="4"/>
  <c r="O202" i="4"/>
  <c r="R202" i="4" s="1"/>
  <c r="N202" i="4"/>
  <c r="I202" i="4"/>
  <c r="C202" i="4"/>
  <c r="O201" i="4"/>
  <c r="R201" i="4"/>
  <c r="N201" i="4"/>
  <c r="P201" i="4"/>
  <c r="Q201" i="4" s="1"/>
  <c r="I201" i="4"/>
  <c r="C201" i="4"/>
  <c r="O200" i="4"/>
  <c r="R200" i="4" s="1"/>
  <c r="N200" i="4"/>
  <c r="I200" i="4"/>
  <c r="C200" i="4"/>
  <c r="O199" i="4"/>
  <c r="R199" i="4" s="1"/>
  <c r="N199" i="4"/>
  <c r="I199" i="4"/>
  <c r="C199" i="4"/>
  <c r="O198" i="4"/>
  <c r="R198" i="4"/>
  <c r="N198" i="4"/>
  <c r="I198" i="4"/>
  <c r="C198" i="4"/>
  <c r="O197" i="4"/>
  <c r="R197" i="4" s="1"/>
  <c r="N197" i="4"/>
  <c r="I197" i="4"/>
  <c r="C197" i="4"/>
  <c r="O196" i="4"/>
  <c r="N196" i="4"/>
  <c r="I196" i="4"/>
  <c r="C196" i="4"/>
  <c r="O195" i="4"/>
  <c r="N195" i="4"/>
  <c r="I195" i="4"/>
  <c r="C195" i="4"/>
  <c r="O194" i="4"/>
  <c r="N194" i="4"/>
  <c r="P194" i="4" s="1"/>
  <c r="Q194" i="4" s="1"/>
  <c r="I194" i="4"/>
  <c r="C194" i="4"/>
  <c r="O193" i="4"/>
  <c r="N193" i="4"/>
  <c r="I193" i="4"/>
  <c r="C193" i="4"/>
  <c r="O192" i="4"/>
  <c r="N192" i="4"/>
  <c r="I192" i="4"/>
  <c r="C192" i="4"/>
  <c r="O191" i="4"/>
  <c r="N191" i="4"/>
  <c r="I191" i="4"/>
  <c r="C191" i="4"/>
  <c r="O190" i="4"/>
  <c r="N190" i="4"/>
  <c r="I190" i="4"/>
  <c r="C190" i="4"/>
  <c r="O189" i="4"/>
  <c r="N189" i="4"/>
  <c r="I189" i="4"/>
  <c r="C189" i="4"/>
  <c r="O188" i="4"/>
  <c r="N188" i="4"/>
  <c r="I188" i="4"/>
  <c r="C188" i="4"/>
  <c r="O187" i="4"/>
  <c r="N187" i="4"/>
  <c r="I187" i="4"/>
  <c r="AI187" i="4"/>
  <c r="C187" i="4"/>
  <c r="O186" i="4"/>
  <c r="N186" i="4"/>
  <c r="I186" i="4"/>
  <c r="C186" i="4"/>
  <c r="O185" i="4"/>
  <c r="N185" i="4"/>
  <c r="I185" i="4"/>
  <c r="C185" i="4"/>
  <c r="O184" i="4"/>
  <c r="N184" i="4"/>
  <c r="I184" i="4"/>
  <c r="S184" i="4" s="1"/>
  <c r="C184" i="4"/>
  <c r="O183" i="4"/>
  <c r="N183" i="4"/>
  <c r="I183" i="4"/>
  <c r="C183" i="4"/>
  <c r="O182" i="4"/>
  <c r="N182" i="4"/>
  <c r="I182" i="4"/>
  <c r="C182" i="4"/>
  <c r="O181" i="4"/>
  <c r="N181" i="4"/>
  <c r="I181" i="4"/>
  <c r="AI181" i="4"/>
  <c r="C181" i="4"/>
  <c r="O180" i="4"/>
  <c r="N180" i="4"/>
  <c r="I180" i="4"/>
  <c r="C180" i="4"/>
  <c r="O179" i="4"/>
  <c r="N179" i="4"/>
  <c r="I179" i="4"/>
  <c r="C179" i="4"/>
  <c r="O178" i="4"/>
  <c r="N178" i="4"/>
  <c r="I178" i="4"/>
  <c r="AI178" i="4" s="1"/>
  <c r="C178" i="4"/>
  <c r="O177" i="4"/>
  <c r="N177" i="4"/>
  <c r="I177" i="4"/>
  <c r="C177" i="4"/>
  <c r="O176" i="4"/>
  <c r="N176" i="4"/>
  <c r="I176" i="4"/>
  <c r="C176" i="4"/>
  <c r="O175" i="4"/>
  <c r="N175" i="4"/>
  <c r="I175" i="4"/>
  <c r="AI175" i="4"/>
  <c r="C175" i="4"/>
  <c r="O174" i="4"/>
  <c r="N174" i="4"/>
  <c r="I174" i="4"/>
  <c r="C174" i="4"/>
  <c r="O173" i="4"/>
  <c r="N173" i="4"/>
  <c r="I173" i="4"/>
  <c r="C173" i="4"/>
  <c r="O172" i="4"/>
  <c r="N172" i="4"/>
  <c r="I172" i="4"/>
  <c r="AI172" i="4" s="1"/>
  <c r="C172" i="4"/>
  <c r="O171" i="4"/>
  <c r="N171" i="4"/>
  <c r="I171" i="4"/>
  <c r="C171" i="4"/>
  <c r="O170" i="4"/>
  <c r="N170" i="4"/>
  <c r="I170" i="4"/>
  <c r="C170" i="4"/>
  <c r="O169" i="4"/>
  <c r="N169" i="4"/>
  <c r="I169" i="4"/>
  <c r="C169" i="4"/>
  <c r="O168" i="4"/>
  <c r="N168" i="4"/>
  <c r="I168" i="4"/>
  <c r="C168" i="4"/>
  <c r="O167" i="4"/>
  <c r="N167" i="4"/>
  <c r="I167" i="4"/>
  <c r="C167" i="4"/>
  <c r="O166" i="4"/>
  <c r="N166" i="4"/>
  <c r="I166" i="4"/>
  <c r="C166" i="4"/>
  <c r="O165" i="4"/>
  <c r="N165" i="4"/>
  <c r="I165" i="4"/>
  <c r="C165" i="4"/>
  <c r="O164" i="4"/>
  <c r="N164" i="4"/>
  <c r="I164" i="4"/>
  <c r="C164" i="4"/>
  <c r="O163" i="4"/>
  <c r="N163" i="4"/>
  <c r="P163" i="4" s="1"/>
  <c r="Q163" i="4" s="1"/>
  <c r="I163" i="4"/>
  <c r="C163" i="4"/>
  <c r="O162" i="4"/>
  <c r="N162" i="4"/>
  <c r="I162" i="4"/>
  <c r="C162" i="4"/>
  <c r="O161" i="4"/>
  <c r="N161" i="4"/>
  <c r="I161" i="4"/>
  <c r="C161" i="4"/>
  <c r="O160" i="4"/>
  <c r="P160" i="4" s="1"/>
  <c r="Q160" i="4" s="1"/>
  <c r="N160" i="4"/>
  <c r="I160" i="4"/>
  <c r="C160" i="4"/>
  <c r="O159" i="4"/>
  <c r="N159" i="4"/>
  <c r="I159" i="4"/>
  <c r="C159" i="4"/>
  <c r="O158" i="4"/>
  <c r="N158" i="4"/>
  <c r="I158" i="4"/>
  <c r="C158" i="4"/>
  <c r="O157" i="4"/>
  <c r="N157" i="4"/>
  <c r="I157" i="4"/>
  <c r="C157" i="4"/>
  <c r="O156" i="4"/>
  <c r="N156" i="4"/>
  <c r="I156" i="4"/>
  <c r="C156" i="4"/>
  <c r="O155" i="4"/>
  <c r="N155" i="4"/>
  <c r="I155" i="4"/>
  <c r="C155" i="4"/>
  <c r="O154" i="4"/>
  <c r="N154" i="4"/>
  <c r="P154" i="4"/>
  <c r="Q154" i="4" s="1"/>
  <c r="I154" i="4"/>
  <c r="C154" i="4"/>
  <c r="O153" i="4"/>
  <c r="N153" i="4"/>
  <c r="I153" i="4"/>
  <c r="C153" i="4"/>
  <c r="O152" i="4"/>
  <c r="N152" i="4"/>
  <c r="I152" i="4"/>
  <c r="C152" i="4"/>
  <c r="AI152" i="4"/>
  <c r="O151" i="4"/>
  <c r="N151" i="4"/>
  <c r="P151" i="4" s="1"/>
  <c r="Q151" i="4" s="1"/>
  <c r="I151" i="4"/>
  <c r="C151" i="4"/>
  <c r="O150" i="4"/>
  <c r="N150" i="4"/>
  <c r="I150" i="4"/>
  <c r="C150" i="4"/>
  <c r="O149" i="4"/>
  <c r="N149" i="4"/>
  <c r="I149" i="4"/>
  <c r="C149" i="4"/>
  <c r="O148" i="4"/>
  <c r="N148" i="4"/>
  <c r="P148" i="4" s="1"/>
  <c r="Q148" i="4" s="1"/>
  <c r="I148" i="4"/>
  <c r="C148" i="4"/>
  <c r="O147" i="4"/>
  <c r="N147" i="4"/>
  <c r="I147" i="4"/>
  <c r="C147" i="4"/>
  <c r="O146" i="4"/>
  <c r="N146" i="4"/>
  <c r="I146" i="4"/>
  <c r="C146" i="4"/>
  <c r="O145" i="4"/>
  <c r="N145" i="4"/>
  <c r="P145" i="4" s="1"/>
  <c r="Q145" i="4" s="1"/>
  <c r="I145" i="4"/>
  <c r="C145" i="4"/>
  <c r="O144" i="4"/>
  <c r="N144" i="4"/>
  <c r="I144" i="4"/>
  <c r="C144" i="4"/>
  <c r="O143" i="4"/>
  <c r="N143" i="4"/>
  <c r="I143" i="4"/>
  <c r="C143" i="4"/>
  <c r="O142" i="4"/>
  <c r="N142" i="4"/>
  <c r="P142" i="4" s="1"/>
  <c r="Q142" i="4" s="1"/>
  <c r="I142" i="4"/>
  <c r="AI142" i="4"/>
  <c r="C142" i="4"/>
  <c r="O141" i="4"/>
  <c r="N141" i="4"/>
  <c r="I141" i="4"/>
  <c r="C141" i="4"/>
  <c r="O140" i="4"/>
  <c r="N140" i="4"/>
  <c r="I140" i="4"/>
  <c r="C140" i="4"/>
  <c r="O139" i="4"/>
  <c r="N139" i="4"/>
  <c r="I139" i="4"/>
  <c r="C139" i="4"/>
  <c r="O138" i="4"/>
  <c r="N138" i="4"/>
  <c r="I138" i="4"/>
  <c r="C138" i="4"/>
  <c r="O137" i="4"/>
  <c r="N137" i="4"/>
  <c r="I137" i="4"/>
  <c r="C137" i="4"/>
  <c r="O136" i="4"/>
  <c r="P136" i="4"/>
  <c r="Q136" i="4"/>
  <c r="N136" i="4"/>
  <c r="I136" i="4"/>
  <c r="AI136" i="4" s="1"/>
  <c r="C136" i="4"/>
  <c r="O135" i="4"/>
  <c r="N135" i="4"/>
  <c r="I135" i="4"/>
  <c r="C135" i="4"/>
  <c r="O134" i="4"/>
  <c r="N134" i="4"/>
  <c r="I134" i="4"/>
  <c r="C134" i="4"/>
  <c r="O133" i="4"/>
  <c r="N133" i="4"/>
  <c r="I133" i="4"/>
  <c r="C133" i="4"/>
  <c r="O132" i="4"/>
  <c r="N132" i="4"/>
  <c r="I132" i="4"/>
  <c r="C132" i="4"/>
  <c r="O131" i="4"/>
  <c r="N131" i="4"/>
  <c r="I131" i="4"/>
  <c r="C131" i="4"/>
  <c r="O130" i="4"/>
  <c r="N130" i="4"/>
  <c r="P130" i="4" s="1"/>
  <c r="Q130" i="4" s="1"/>
  <c r="I130" i="4"/>
  <c r="AI130" i="4"/>
  <c r="C130" i="4"/>
  <c r="O129" i="4"/>
  <c r="N129" i="4"/>
  <c r="I129" i="4"/>
  <c r="C129" i="4"/>
  <c r="O128" i="4"/>
  <c r="N128" i="4"/>
  <c r="I128" i="4"/>
  <c r="C128" i="4"/>
  <c r="O127" i="4"/>
  <c r="N127" i="4"/>
  <c r="I127" i="4"/>
  <c r="C127" i="4"/>
  <c r="O126" i="4"/>
  <c r="N126" i="4"/>
  <c r="I126" i="4"/>
  <c r="C126" i="4"/>
  <c r="O125" i="4"/>
  <c r="N125" i="4"/>
  <c r="I125" i="4"/>
  <c r="C125" i="4"/>
  <c r="O124" i="4"/>
  <c r="N124" i="4"/>
  <c r="I124" i="4"/>
  <c r="C124" i="4"/>
  <c r="O123" i="4"/>
  <c r="N123" i="4"/>
  <c r="I123" i="4"/>
  <c r="C123" i="4"/>
  <c r="O122" i="4"/>
  <c r="N122" i="4"/>
  <c r="I122" i="4"/>
  <c r="C122" i="4"/>
  <c r="O121" i="4"/>
  <c r="N121" i="4"/>
  <c r="I121" i="4"/>
  <c r="AI121" i="4" s="1"/>
  <c r="C121" i="4"/>
  <c r="O120" i="4"/>
  <c r="N120" i="4"/>
  <c r="I120" i="4"/>
  <c r="C120" i="4"/>
  <c r="O119" i="4"/>
  <c r="N119" i="4"/>
  <c r="O118" i="4"/>
  <c r="N118" i="4"/>
  <c r="O117" i="4"/>
  <c r="N117" i="4"/>
  <c r="O116" i="4"/>
  <c r="N116" i="4"/>
  <c r="O115" i="4"/>
  <c r="N115" i="4"/>
  <c r="O114" i="4"/>
  <c r="N114" i="4"/>
  <c r="O113" i="4"/>
  <c r="N113" i="4"/>
  <c r="O112" i="4"/>
  <c r="P112" i="4"/>
  <c r="Q112" i="4" s="1"/>
  <c r="N112" i="4"/>
  <c r="O111" i="4"/>
  <c r="N111" i="4"/>
  <c r="O110" i="4"/>
  <c r="R110" i="4"/>
  <c r="N110" i="4"/>
  <c r="O109" i="4"/>
  <c r="N109" i="4"/>
  <c r="I109" i="4"/>
  <c r="C109" i="4"/>
  <c r="O108" i="4"/>
  <c r="N108" i="4"/>
  <c r="I108" i="4"/>
  <c r="C108" i="4"/>
  <c r="O107" i="4"/>
  <c r="N107" i="4"/>
  <c r="I107" i="4"/>
  <c r="C107" i="4"/>
  <c r="O106" i="4"/>
  <c r="P106" i="4" s="1"/>
  <c r="Q106" i="4" s="1"/>
  <c r="N106" i="4"/>
  <c r="I106" i="4"/>
  <c r="C106" i="4"/>
  <c r="O105" i="4"/>
  <c r="N105" i="4"/>
  <c r="I105" i="4"/>
  <c r="C105" i="4"/>
  <c r="O104" i="4"/>
  <c r="N104" i="4"/>
  <c r="I104" i="4"/>
  <c r="C104" i="4"/>
  <c r="O103" i="4"/>
  <c r="P103" i="4" s="1"/>
  <c r="Q103" i="4" s="1"/>
  <c r="N103" i="4"/>
  <c r="I103" i="4"/>
  <c r="C103" i="4"/>
  <c r="O102" i="4"/>
  <c r="N102" i="4"/>
  <c r="I102" i="4"/>
  <c r="C102" i="4"/>
  <c r="O101" i="4"/>
  <c r="N101" i="4"/>
  <c r="I101" i="4"/>
  <c r="C101" i="4"/>
  <c r="O100" i="4"/>
  <c r="N100" i="4"/>
  <c r="I100" i="4"/>
  <c r="AI100" i="4" s="1"/>
  <c r="C100" i="4"/>
  <c r="O99" i="4"/>
  <c r="N99" i="4"/>
  <c r="I99" i="4"/>
  <c r="C99" i="4"/>
  <c r="O98" i="4"/>
  <c r="N98" i="4"/>
  <c r="I98" i="4"/>
  <c r="C98" i="4"/>
  <c r="O97" i="4"/>
  <c r="N97" i="4"/>
  <c r="I97" i="4"/>
  <c r="C97" i="4"/>
  <c r="O96" i="4"/>
  <c r="N96" i="4"/>
  <c r="I96" i="4"/>
  <c r="C96" i="4"/>
  <c r="S96" i="4" s="1"/>
  <c r="O95" i="4"/>
  <c r="N95" i="4"/>
  <c r="I95" i="4"/>
  <c r="C95" i="4"/>
  <c r="O94" i="4"/>
  <c r="N94" i="4"/>
  <c r="P94" i="4" s="1"/>
  <c r="Q94" i="4" s="1"/>
  <c r="I94" i="4"/>
  <c r="C94" i="4"/>
  <c r="O93" i="4"/>
  <c r="N93" i="4"/>
  <c r="I93" i="4"/>
  <c r="C93" i="4"/>
  <c r="O92" i="4"/>
  <c r="N92" i="4"/>
  <c r="I92" i="4"/>
  <c r="C92" i="4"/>
  <c r="O91" i="4"/>
  <c r="N91" i="4"/>
  <c r="I91" i="4"/>
  <c r="C91" i="4"/>
  <c r="AI91" i="4" s="1"/>
  <c r="O90" i="4"/>
  <c r="N90" i="4"/>
  <c r="I90" i="4"/>
  <c r="C90" i="4"/>
  <c r="O89" i="4"/>
  <c r="N89" i="4"/>
  <c r="I89" i="4"/>
  <c r="C89" i="4"/>
  <c r="O88" i="4"/>
  <c r="N88" i="4"/>
  <c r="I88" i="4"/>
  <c r="C88" i="4"/>
  <c r="AI88" i="4" s="1"/>
  <c r="O87" i="4"/>
  <c r="N87" i="4"/>
  <c r="I87" i="4"/>
  <c r="C87" i="4"/>
  <c r="O86" i="4"/>
  <c r="N86" i="4"/>
  <c r="I86" i="4"/>
  <c r="C86" i="4"/>
  <c r="O85" i="4"/>
  <c r="N85" i="4"/>
  <c r="I85" i="4"/>
  <c r="C85" i="4"/>
  <c r="O84" i="4"/>
  <c r="N84" i="4"/>
  <c r="I84" i="4"/>
  <c r="C84" i="4"/>
  <c r="O83" i="4"/>
  <c r="N83" i="4"/>
  <c r="I83" i="4"/>
  <c r="C83" i="4"/>
  <c r="O82" i="4"/>
  <c r="N82" i="4"/>
  <c r="I82" i="4"/>
  <c r="C82" i="4"/>
  <c r="O81" i="4"/>
  <c r="N81" i="4"/>
  <c r="I81" i="4"/>
  <c r="C81" i="4"/>
  <c r="O80" i="4"/>
  <c r="N80" i="4"/>
  <c r="I80" i="4"/>
  <c r="C80" i="4"/>
  <c r="O79" i="4"/>
  <c r="N79" i="4"/>
  <c r="I79" i="4"/>
  <c r="C79" i="4"/>
  <c r="O78" i="4"/>
  <c r="N78" i="4"/>
  <c r="P78" i="4" s="1"/>
  <c r="Q78" i="4" s="1"/>
  <c r="I78" i="4"/>
  <c r="C78" i="4"/>
  <c r="O77" i="4"/>
  <c r="N77" i="4"/>
  <c r="I77" i="4"/>
  <c r="C77" i="4"/>
  <c r="O76" i="4"/>
  <c r="N76" i="4"/>
  <c r="I76" i="4"/>
  <c r="C76" i="4"/>
  <c r="O75" i="4"/>
  <c r="N75" i="4"/>
  <c r="I75" i="4"/>
  <c r="C75" i="4"/>
  <c r="O74" i="4"/>
  <c r="N74" i="4"/>
  <c r="I74" i="4"/>
  <c r="C74" i="4"/>
  <c r="O73" i="4"/>
  <c r="N73" i="4"/>
  <c r="P73" i="4" s="1"/>
  <c r="Q73" i="4" s="1"/>
  <c r="I73" i="4"/>
  <c r="C73" i="4"/>
  <c r="O72" i="4"/>
  <c r="N72" i="4"/>
  <c r="I72" i="4"/>
  <c r="AI72" i="4"/>
  <c r="C72" i="4"/>
  <c r="O71" i="4"/>
  <c r="N71" i="4"/>
  <c r="I71" i="4"/>
  <c r="C71" i="4"/>
  <c r="O70" i="4"/>
  <c r="N70" i="4"/>
  <c r="I70" i="4"/>
  <c r="AI70" i="4" s="1"/>
  <c r="C70" i="4"/>
  <c r="O69" i="4"/>
  <c r="N69" i="4"/>
  <c r="I69" i="4"/>
  <c r="C69" i="4"/>
  <c r="O68" i="4"/>
  <c r="N68" i="4"/>
  <c r="I68" i="4"/>
  <c r="C68" i="4"/>
  <c r="O67" i="4"/>
  <c r="P67" i="4"/>
  <c r="Q67" i="4" s="1"/>
  <c r="N67" i="4"/>
  <c r="I67" i="4"/>
  <c r="C67" i="4"/>
  <c r="O66" i="4"/>
  <c r="N66" i="4"/>
  <c r="I66" i="4"/>
  <c r="AI66" i="4"/>
  <c r="C66" i="4"/>
  <c r="O65" i="4"/>
  <c r="N65" i="4"/>
  <c r="I65" i="4"/>
  <c r="C65" i="4"/>
  <c r="O64" i="4"/>
  <c r="N64" i="4"/>
  <c r="I64" i="4"/>
  <c r="AI64" i="4" s="1"/>
  <c r="C64" i="4"/>
  <c r="O63" i="4"/>
  <c r="N63" i="4"/>
  <c r="I63" i="4"/>
  <c r="AI63" i="4"/>
  <c r="C63" i="4"/>
  <c r="O62" i="4"/>
  <c r="N62" i="4"/>
  <c r="I62" i="4"/>
  <c r="C62" i="4"/>
  <c r="O61" i="4"/>
  <c r="N61" i="4"/>
  <c r="I61" i="4"/>
  <c r="C61" i="4"/>
  <c r="S61" i="4"/>
  <c r="O60" i="4"/>
  <c r="N60" i="4"/>
  <c r="I60" i="4"/>
  <c r="C60" i="4"/>
  <c r="O59" i="4"/>
  <c r="N59" i="4"/>
  <c r="I59" i="4"/>
  <c r="C59" i="4"/>
  <c r="O58" i="4"/>
  <c r="N58" i="4"/>
  <c r="I58" i="4"/>
  <c r="AI58" i="4"/>
  <c r="C58" i="4"/>
  <c r="O57" i="4"/>
  <c r="N57" i="4"/>
  <c r="I57" i="4"/>
  <c r="AI57" i="4" s="1"/>
  <c r="C57" i="4"/>
  <c r="O56" i="4"/>
  <c r="N56" i="4"/>
  <c r="I56" i="4"/>
  <c r="C56" i="4"/>
  <c r="O55" i="4"/>
  <c r="N55" i="4"/>
  <c r="P55" i="4" s="1"/>
  <c r="Q55" i="4" s="1"/>
  <c r="I55" i="4"/>
  <c r="C55" i="4"/>
  <c r="O54" i="4"/>
  <c r="R54" i="4"/>
  <c r="N54" i="4"/>
  <c r="I54" i="4"/>
  <c r="AI54" i="4" s="1"/>
  <c r="C54" i="4"/>
  <c r="O53" i="4"/>
  <c r="N53" i="4"/>
  <c r="I53" i="4"/>
  <c r="C53" i="4"/>
  <c r="O52" i="4"/>
  <c r="N52" i="4"/>
  <c r="I52" i="4"/>
  <c r="AI52" i="4"/>
  <c r="C52" i="4"/>
  <c r="O51" i="4"/>
  <c r="N51" i="4"/>
  <c r="I51" i="4"/>
  <c r="C51" i="4"/>
  <c r="O50" i="4"/>
  <c r="N50" i="4"/>
  <c r="I50" i="4"/>
  <c r="C50" i="4"/>
  <c r="O49" i="4"/>
  <c r="P49" i="4" s="1"/>
  <c r="Q49" i="4" s="1"/>
  <c r="N49" i="4"/>
  <c r="I49" i="4"/>
  <c r="C49" i="4"/>
  <c r="O48" i="4"/>
  <c r="N48" i="4"/>
  <c r="I48" i="4"/>
  <c r="C48" i="4"/>
  <c r="O47" i="4"/>
  <c r="N47" i="4"/>
  <c r="I47" i="4"/>
  <c r="C47" i="4"/>
  <c r="O46" i="4"/>
  <c r="N46" i="4"/>
  <c r="I46" i="4"/>
  <c r="AI46" i="4" s="1"/>
  <c r="C46" i="4"/>
  <c r="O45" i="4"/>
  <c r="N45" i="4"/>
  <c r="I45" i="4"/>
  <c r="AI45" i="4"/>
  <c r="C45" i="4"/>
  <c r="O44" i="4"/>
  <c r="N44" i="4"/>
  <c r="I44" i="4"/>
  <c r="AI44" i="4" s="1"/>
  <c r="C44" i="4"/>
  <c r="O43" i="4"/>
  <c r="N43" i="4"/>
  <c r="P43" i="4"/>
  <c r="Q43" i="4"/>
  <c r="I43" i="4"/>
  <c r="C43" i="4"/>
  <c r="O42" i="4"/>
  <c r="N42" i="4"/>
  <c r="I42" i="4"/>
  <c r="C42" i="4"/>
  <c r="O41" i="4"/>
  <c r="N41" i="4"/>
  <c r="I41" i="4"/>
  <c r="C41" i="4"/>
  <c r="S41" i="4"/>
  <c r="O40" i="4"/>
  <c r="N40" i="4"/>
  <c r="I40" i="4"/>
  <c r="C40" i="4"/>
  <c r="O39" i="4"/>
  <c r="N39" i="4"/>
  <c r="I39" i="4"/>
  <c r="C39" i="4"/>
  <c r="O38" i="4"/>
  <c r="N38" i="4"/>
  <c r="I38" i="4"/>
  <c r="C38" i="4"/>
  <c r="AI38" i="4"/>
  <c r="O37" i="4"/>
  <c r="N37" i="4"/>
  <c r="I37" i="4"/>
  <c r="C37" i="4"/>
  <c r="O36" i="4"/>
  <c r="N36" i="4"/>
  <c r="I36" i="4"/>
  <c r="C36" i="4"/>
  <c r="O35" i="4"/>
  <c r="N35" i="4"/>
  <c r="I35" i="4"/>
  <c r="AI35" i="4" s="1"/>
  <c r="C35" i="4"/>
  <c r="O34" i="4"/>
  <c r="P34" i="4" s="1"/>
  <c r="Q34" i="4" s="1"/>
  <c r="N34" i="4"/>
  <c r="I34" i="4"/>
  <c r="C34" i="4"/>
  <c r="O33" i="4"/>
  <c r="N33" i="4"/>
  <c r="I33" i="4"/>
  <c r="C33" i="4"/>
  <c r="O32" i="4"/>
  <c r="N32" i="4"/>
  <c r="I32" i="4"/>
  <c r="AI32" i="4" s="1"/>
  <c r="C32" i="4"/>
  <c r="O31" i="4"/>
  <c r="N31" i="4"/>
  <c r="P31" i="4" s="1"/>
  <c r="Q31" i="4" s="1"/>
  <c r="I31" i="4"/>
  <c r="C31" i="4"/>
  <c r="AI31" i="4" s="1"/>
  <c r="O30" i="4"/>
  <c r="N30" i="4"/>
  <c r="I30" i="4"/>
  <c r="C30" i="4"/>
  <c r="O29" i="4"/>
  <c r="N29" i="4"/>
  <c r="I29" i="4"/>
  <c r="AI29" i="4" s="1"/>
  <c r="C29" i="4"/>
  <c r="O28" i="4"/>
  <c r="N28" i="4"/>
  <c r="I28" i="4"/>
  <c r="AI28" i="4"/>
  <c r="C28" i="4"/>
  <c r="O27" i="4"/>
  <c r="N27" i="4"/>
  <c r="I27" i="4"/>
  <c r="C27" i="4"/>
  <c r="O26" i="4"/>
  <c r="R26" i="4" s="1"/>
  <c r="N26" i="4"/>
  <c r="I26" i="4"/>
  <c r="C26" i="4"/>
  <c r="AI26" i="4" s="1"/>
  <c r="O25" i="4"/>
  <c r="N25" i="4"/>
  <c r="I25" i="4"/>
  <c r="C25" i="4"/>
  <c r="O24" i="4"/>
  <c r="N24" i="4"/>
  <c r="I24" i="4"/>
  <c r="C24" i="4"/>
  <c r="O23" i="4"/>
  <c r="N23" i="4"/>
  <c r="I23" i="4"/>
  <c r="C23" i="4"/>
  <c r="O22" i="4"/>
  <c r="P22" i="4" s="1"/>
  <c r="Q22" i="4" s="1"/>
  <c r="N22" i="4"/>
  <c r="I22" i="4"/>
  <c r="AI22" i="4" s="1"/>
  <c r="C22" i="4"/>
  <c r="O21" i="4"/>
  <c r="N21" i="4"/>
  <c r="I21" i="4"/>
  <c r="C21" i="4"/>
  <c r="O20" i="4"/>
  <c r="N20" i="4"/>
  <c r="I20" i="4"/>
  <c r="AI20" i="4"/>
  <c r="C20" i="4"/>
  <c r="O19" i="4"/>
  <c r="N19" i="4"/>
  <c r="I19" i="4"/>
  <c r="AI19" i="4" s="1"/>
  <c r="C19" i="4"/>
  <c r="O18" i="4"/>
  <c r="R18" i="4"/>
  <c r="N18" i="4"/>
  <c r="I18" i="4"/>
  <c r="C18" i="4"/>
  <c r="O17" i="4"/>
  <c r="N17" i="4"/>
  <c r="I17" i="4"/>
  <c r="C17" i="4"/>
  <c r="O16" i="4"/>
  <c r="N16" i="4"/>
  <c r="I16" i="4"/>
  <c r="C16" i="4"/>
  <c r="O15" i="4"/>
  <c r="N15" i="4"/>
  <c r="I15" i="4"/>
  <c r="C15" i="4"/>
  <c r="O14" i="4"/>
  <c r="N14" i="4"/>
  <c r="I14" i="4"/>
  <c r="C14" i="4"/>
  <c r="O13" i="4"/>
  <c r="P13" i="4" s="1"/>
  <c r="Q13" i="4" s="1"/>
  <c r="N13" i="4"/>
  <c r="I13" i="4"/>
  <c r="C13" i="4"/>
  <c r="O12" i="4"/>
  <c r="N12" i="4"/>
  <c r="I12" i="4"/>
  <c r="C12" i="4"/>
  <c r="O11" i="4"/>
  <c r="R11" i="4" s="1"/>
  <c r="N11" i="4"/>
  <c r="A1" i="4"/>
  <c r="AF631" i="3"/>
  <c r="P631" i="3"/>
  <c r="AC629" i="3"/>
  <c r="AB629" i="3"/>
  <c r="V629" i="3"/>
  <c r="M629" i="3"/>
  <c r="P629" i="3"/>
  <c r="L629" i="3"/>
  <c r="C629" i="3"/>
  <c r="AC628" i="3"/>
  <c r="AF628" i="3"/>
  <c r="AB628" i="3"/>
  <c r="V628" i="3"/>
  <c r="M628" i="3"/>
  <c r="P628" i="3"/>
  <c r="L628" i="3"/>
  <c r="C628" i="3"/>
  <c r="AC380" i="3"/>
  <c r="AF380" i="3"/>
  <c r="AB380" i="3"/>
  <c r="AD380" i="3"/>
  <c r="AE380" i="3" s="1"/>
  <c r="AG380" i="3" s="1"/>
  <c r="AM380" i="3" s="1"/>
  <c r="V380" i="3"/>
  <c r="M380" i="3"/>
  <c r="L380" i="3"/>
  <c r="N380" i="3" s="1"/>
  <c r="O380" i="3" s="1"/>
  <c r="C380" i="3"/>
  <c r="AC379" i="3"/>
  <c r="AF379" i="3" s="1"/>
  <c r="AB379" i="3"/>
  <c r="V379" i="3"/>
  <c r="M379" i="3"/>
  <c r="P379" i="3" s="1"/>
  <c r="L379" i="3"/>
  <c r="C379" i="3"/>
  <c r="AC378" i="3"/>
  <c r="AF378" i="3" s="1"/>
  <c r="AB378" i="3"/>
  <c r="V378" i="3"/>
  <c r="M378" i="3"/>
  <c r="P378" i="3" s="1"/>
  <c r="L378" i="3"/>
  <c r="C378" i="3"/>
  <c r="AC377" i="3"/>
  <c r="AF377" i="3" s="1"/>
  <c r="AB377" i="3"/>
  <c r="V377" i="3"/>
  <c r="M377" i="3"/>
  <c r="P377" i="3" s="1"/>
  <c r="L377" i="3"/>
  <c r="C377" i="3"/>
  <c r="AC376" i="3"/>
  <c r="AF376" i="3" s="1"/>
  <c r="AB376" i="3"/>
  <c r="V376" i="3"/>
  <c r="M376" i="3"/>
  <c r="P376" i="3" s="1"/>
  <c r="L376" i="3"/>
  <c r="C376" i="3"/>
  <c r="AC375" i="3"/>
  <c r="AF375" i="3" s="1"/>
  <c r="AB375" i="3"/>
  <c r="V375" i="3"/>
  <c r="M375" i="3"/>
  <c r="P375" i="3" s="1"/>
  <c r="L375" i="3"/>
  <c r="C375" i="3"/>
  <c r="AC374" i="3"/>
  <c r="AB374" i="3"/>
  <c r="V374" i="3"/>
  <c r="M374" i="3"/>
  <c r="L374" i="3"/>
  <c r="C374" i="3"/>
  <c r="AC373" i="3"/>
  <c r="AB373" i="3"/>
  <c r="V373" i="3"/>
  <c r="M373" i="3"/>
  <c r="P373" i="3"/>
  <c r="L373" i="3"/>
  <c r="C373" i="3"/>
  <c r="AC372" i="3"/>
  <c r="AF372" i="3"/>
  <c r="AB372" i="3"/>
  <c r="V372" i="3"/>
  <c r="M372" i="3"/>
  <c r="P372" i="3"/>
  <c r="L372" i="3"/>
  <c r="C372" i="3"/>
  <c r="AC371" i="3"/>
  <c r="AF371" i="3"/>
  <c r="AB371" i="3"/>
  <c r="V371" i="3"/>
  <c r="M371" i="3"/>
  <c r="P371" i="3"/>
  <c r="L371" i="3"/>
  <c r="C371" i="3"/>
  <c r="AC370" i="3"/>
  <c r="AF370" i="3"/>
  <c r="AB370" i="3"/>
  <c r="V370" i="3"/>
  <c r="M370" i="3"/>
  <c r="P370" i="3"/>
  <c r="L370" i="3"/>
  <c r="C370" i="3"/>
  <c r="AC369" i="3"/>
  <c r="AF369" i="3"/>
  <c r="AB369" i="3"/>
  <c r="AD369" i="3"/>
  <c r="AE369" i="3" s="1"/>
  <c r="AG369" i="3" s="1"/>
  <c r="AM369" i="3" s="1"/>
  <c r="V369" i="3"/>
  <c r="M369" i="3"/>
  <c r="P369" i="3"/>
  <c r="L369" i="3"/>
  <c r="C369" i="3"/>
  <c r="AC368" i="3"/>
  <c r="AF368" i="3"/>
  <c r="AB368" i="3"/>
  <c r="V368" i="3"/>
  <c r="M368" i="3"/>
  <c r="P368" i="3"/>
  <c r="L368" i="3"/>
  <c r="C368" i="3"/>
  <c r="AC367" i="3"/>
  <c r="AF367" i="3"/>
  <c r="AB367" i="3"/>
  <c r="V367" i="3"/>
  <c r="M367" i="3"/>
  <c r="P367" i="3"/>
  <c r="L367" i="3"/>
  <c r="C367" i="3"/>
  <c r="AC366" i="3"/>
  <c r="AF366" i="3"/>
  <c r="AB366" i="3"/>
  <c r="V366" i="3"/>
  <c r="M366" i="3"/>
  <c r="L366" i="3"/>
  <c r="C366" i="3"/>
  <c r="AC365" i="3"/>
  <c r="AB365" i="3"/>
  <c r="V365" i="3"/>
  <c r="M365" i="3"/>
  <c r="P365" i="3"/>
  <c r="L365" i="3"/>
  <c r="C365" i="3"/>
  <c r="AC364" i="3"/>
  <c r="AF364" i="3"/>
  <c r="AB364" i="3"/>
  <c r="V364" i="3"/>
  <c r="M364" i="3"/>
  <c r="P364" i="3"/>
  <c r="L364" i="3"/>
  <c r="C364" i="3"/>
  <c r="AC363" i="3"/>
  <c r="AF363" i="3"/>
  <c r="AB363" i="3"/>
  <c r="V363" i="3"/>
  <c r="M363" i="3"/>
  <c r="P363" i="3"/>
  <c r="L363" i="3"/>
  <c r="N363" i="3"/>
  <c r="O363" i="3" s="1"/>
  <c r="Q363" i="3" s="1"/>
  <c r="C363" i="3"/>
  <c r="AC362" i="3"/>
  <c r="AF362" i="3" s="1"/>
  <c r="AB362" i="3"/>
  <c r="V362" i="3"/>
  <c r="M362" i="3"/>
  <c r="L362" i="3"/>
  <c r="C362" i="3"/>
  <c r="AC361" i="3"/>
  <c r="AF361" i="3"/>
  <c r="AB361" i="3"/>
  <c r="V361" i="3"/>
  <c r="M361" i="3"/>
  <c r="P361" i="3"/>
  <c r="L361" i="3"/>
  <c r="C361" i="3"/>
  <c r="AC360" i="3"/>
  <c r="AB360" i="3"/>
  <c r="V360" i="3"/>
  <c r="M360" i="3"/>
  <c r="P360" i="3" s="1"/>
  <c r="L360" i="3"/>
  <c r="C360" i="3"/>
  <c r="AC359" i="3"/>
  <c r="AF359" i="3" s="1"/>
  <c r="AB359" i="3"/>
  <c r="V359" i="3"/>
  <c r="M359" i="3"/>
  <c r="P359" i="3" s="1"/>
  <c r="L359" i="3"/>
  <c r="C359" i="3"/>
  <c r="AC358" i="3"/>
  <c r="AB358" i="3"/>
  <c r="V358" i="3"/>
  <c r="M358" i="3"/>
  <c r="P358" i="3"/>
  <c r="L358" i="3"/>
  <c r="C358" i="3"/>
  <c r="AC357" i="3"/>
  <c r="AB357" i="3"/>
  <c r="V357" i="3"/>
  <c r="M357" i="3"/>
  <c r="P357" i="3" s="1"/>
  <c r="L357" i="3"/>
  <c r="C357" i="3"/>
  <c r="AC356" i="3"/>
  <c r="AF356" i="3" s="1"/>
  <c r="AB356" i="3"/>
  <c r="V356" i="3"/>
  <c r="M356" i="3"/>
  <c r="L356" i="3"/>
  <c r="C356" i="3"/>
  <c r="AC355" i="3"/>
  <c r="AF355" i="3"/>
  <c r="AB355" i="3"/>
  <c r="V355" i="3"/>
  <c r="M355" i="3"/>
  <c r="P355" i="3"/>
  <c r="L355" i="3"/>
  <c r="N355" i="3"/>
  <c r="O355" i="3" s="1"/>
  <c r="C355" i="3"/>
  <c r="AC354" i="3"/>
  <c r="AB354" i="3"/>
  <c r="V354" i="3"/>
  <c r="M354" i="3"/>
  <c r="P354" i="3" s="1"/>
  <c r="L354" i="3"/>
  <c r="C354" i="3"/>
  <c r="AC353" i="3"/>
  <c r="AF353" i="3" s="1"/>
  <c r="AB353" i="3"/>
  <c r="V353" i="3"/>
  <c r="M353" i="3"/>
  <c r="P353" i="3" s="1"/>
  <c r="L353" i="3"/>
  <c r="C353" i="3"/>
  <c r="AC352" i="3"/>
  <c r="AF352" i="3" s="1"/>
  <c r="AB352" i="3"/>
  <c r="V352" i="3"/>
  <c r="M352" i="3"/>
  <c r="P352" i="3" s="1"/>
  <c r="L352" i="3"/>
  <c r="C352" i="3"/>
  <c r="AC351" i="3"/>
  <c r="AB351" i="3"/>
  <c r="V351" i="3"/>
  <c r="M351" i="3"/>
  <c r="P351" i="3"/>
  <c r="L351" i="3"/>
  <c r="C351" i="3"/>
  <c r="AC350" i="3"/>
  <c r="AB350" i="3"/>
  <c r="V350" i="3"/>
  <c r="M350" i="3"/>
  <c r="P350" i="3" s="1"/>
  <c r="L350" i="3"/>
  <c r="C350" i="3"/>
  <c r="AC349" i="3"/>
  <c r="AF349" i="3" s="1"/>
  <c r="AB349" i="3"/>
  <c r="V349" i="3"/>
  <c r="M349" i="3"/>
  <c r="P349" i="3" s="1"/>
  <c r="L349" i="3"/>
  <c r="C349" i="3"/>
  <c r="AC348" i="3"/>
  <c r="AF348" i="3" s="1"/>
  <c r="AB348" i="3"/>
  <c r="AD348" i="3" s="1"/>
  <c r="AE348" i="3"/>
  <c r="V348" i="3"/>
  <c r="M348" i="3"/>
  <c r="P348" i="3" s="1"/>
  <c r="L348" i="3"/>
  <c r="C348" i="3"/>
  <c r="AC347" i="3"/>
  <c r="AF347" i="3" s="1"/>
  <c r="AB347" i="3"/>
  <c r="V347" i="3"/>
  <c r="M347" i="3"/>
  <c r="L347" i="3"/>
  <c r="C347" i="3"/>
  <c r="AC346" i="3"/>
  <c r="AB346" i="3"/>
  <c r="V346" i="3"/>
  <c r="M346" i="3"/>
  <c r="P346" i="3" s="1"/>
  <c r="L346" i="3"/>
  <c r="C346" i="3"/>
  <c r="AC345" i="3"/>
  <c r="AF345" i="3" s="1"/>
  <c r="AB345" i="3"/>
  <c r="AD345" i="3" s="1"/>
  <c r="AE345" i="3" s="1"/>
  <c r="AG345" i="3" s="1"/>
  <c r="AM345" i="3" s="1"/>
  <c r="V345" i="3"/>
  <c r="M345" i="3"/>
  <c r="P345" i="3" s="1"/>
  <c r="L345" i="3"/>
  <c r="C345" i="3"/>
  <c r="AC344" i="3"/>
  <c r="AF344" i="3" s="1"/>
  <c r="AB344" i="3"/>
  <c r="V344" i="3"/>
  <c r="M344" i="3"/>
  <c r="P344" i="3" s="1"/>
  <c r="L344" i="3"/>
  <c r="C344" i="3"/>
  <c r="AC343" i="3"/>
  <c r="AF343" i="3" s="1"/>
  <c r="AB343" i="3"/>
  <c r="V343" i="3"/>
  <c r="M343" i="3"/>
  <c r="L343" i="3"/>
  <c r="C343" i="3"/>
  <c r="AC342" i="3"/>
  <c r="AB342" i="3"/>
  <c r="V342" i="3"/>
  <c r="M342" i="3"/>
  <c r="P342" i="3" s="1"/>
  <c r="L342" i="3"/>
  <c r="C342" i="3"/>
  <c r="AC341" i="3"/>
  <c r="AF341" i="3" s="1"/>
  <c r="AB341" i="3"/>
  <c r="AD341" i="3" s="1"/>
  <c r="AE341" i="3" s="1"/>
  <c r="V341" i="3"/>
  <c r="M341" i="3"/>
  <c r="P341" i="3" s="1"/>
  <c r="L341" i="3"/>
  <c r="C341" i="3"/>
  <c r="AC340" i="3"/>
  <c r="AF340" i="3" s="1"/>
  <c r="AB340" i="3"/>
  <c r="V340" i="3"/>
  <c r="M340" i="3"/>
  <c r="P340" i="3" s="1"/>
  <c r="L340" i="3"/>
  <c r="C340" i="3"/>
  <c r="AC339" i="3"/>
  <c r="AF339" i="3" s="1"/>
  <c r="AB339" i="3"/>
  <c r="V339" i="3"/>
  <c r="M339" i="3"/>
  <c r="L339" i="3"/>
  <c r="C339" i="3"/>
  <c r="AC338" i="3"/>
  <c r="AF338" i="3"/>
  <c r="AB338" i="3"/>
  <c r="V338" i="3"/>
  <c r="M338" i="3"/>
  <c r="P338" i="3"/>
  <c r="L338" i="3"/>
  <c r="C338" i="3"/>
  <c r="AC337" i="3"/>
  <c r="AF337" i="3"/>
  <c r="AB337" i="3"/>
  <c r="V337" i="3"/>
  <c r="M337" i="3"/>
  <c r="P337" i="3"/>
  <c r="L337" i="3"/>
  <c r="C337" i="3"/>
  <c r="AC336" i="3"/>
  <c r="AF336" i="3"/>
  <c r="AB336" i="3"/>
  <c r="V336" i="3"/>
  <c r="M336" i="3"/>
  <c r="P336" i="3"/>
  <c r="L336" i="3"/>
  <c r="C336" i="3"/>
  <c r="AC335" i="3"/>
  <c r="AF335" i="3"/>
  <c r="AB335" i="3"/>
  <c r="V335" i="3"/>
  <c r="M335" i="3"/>
  <c r="P335" i="3"/>
  <c r="L335" i="3"/>
  <c r="N335" i="3"/>
  <c r="O335" i="3" s="1"/>
  <c r="C335" i="3"/>
  <c r="AC334" i="3"/>
  <c r="AF334" i="3"/>
  <c r="AB334" i="3"/>
  <c r="V334" i="3"/>
  <c r="M334" i="3"/>
  <c r="P334" i="3"/>
  <c r="L334" i="3"/>
  <c r="C334" i="3"/>
  <c r="AC333" i="3"/>
  <c r="AF333" i="3"/>
  <c r="AB333" i="3"/>
  <c r="V333" i="3"/>
  <c r="M333" i="3"/>
  <c r="L333" i="3"/>
  <c r="C333" i="3"/>
  <c r="AC332" i="3"/>
  <c r="AF332" i="3" s="1"/>
  <c r="AB332" i="3"/>
  <c r="V332" i="3"/>
  <c r="M332" i="3"/>
  <c r="P332" i="3" s="1"/>
  <c r="L332" i="3"/>
  <c r="C332" i="3"/>
  <c r="AC331" i="3"/>
  <c r="AF331" i="3" s="1"/>
  <c r="AB331" i="3"/>
  <c r="V331" i="3"/>
  <c r="M331" i="3"/>
  <c r="P331" i="3" s="1"/>
  <c r="L331" i="3"/>
  <c r="N331" i="3" s="1"/>
  <c r="O331" i="3"/>
  <c r="Q331" i="3" s="1"/>
  <c r="C331" i="3"/>
  <c r="AC330" i="3"/>
  <c r="AF330" i="3"/>
  <c r="AB330" i="3"/>
  <c r="V330" i="3"/>
  <c r="M330" i="3"/>
  <c r="P330" i="3"/>
  <c r="L330" i="3"/>
  <c r="C330" i="3"/>
  <c r="AC329" i="3"/>
  <c r="AB329" i="3"/>
  <c r="V329" i="3"/>
  <c r="M329" i="3"/>
  <c r="P329" i="3" s="1"/>
  <c r="L329" i="3"/>
  <c r="C329" i="3"/>
  <c r="AC328" i="3"/>
  <c r="AF328" i="3" s="1"/>
  <c r="AB328" i="3"/>
  <c r="V328" i="3"/>
  <c r="M328" i="3"/>
  <c r="P328" i="3" s="1"/>
  <c r="L328" i="3"/>
  <c r="C328" i="3"/>
  <c r="AC327" i="3"/>
  <c r="AB327" i="3"/>
  <c r="V327" i="3"/>
  <c r="M327" i="3"/>
  <c r="P327" i="3"/>
  <c r="L327" i="3"/>
  <c r="C327" i="3"/>
  <c r="AC326" i="3"/>
  <c r="AF326" i="3"/>
  <c r="AB326" i="3"/>
  <c r="V326" i="3"/>
  <c r="M326" i="3"/>
  <c r="P326" i="3"/>
  <c r="L326" i="3"/>
  <c r="N326" i="3"/>
  <c r="O326" i="3" s="1"/>
  <c r="Q326" i="3" s="1"/>
  <c r="C326" i="3"/>
  <c r="AC325" i="3"/>
  <c r="AB325" i="3"/>
  <c r="V325" i="3"/>
  <c r="M325" i="3"/>
  <c r="P325" i="3"/>
  <c r="L325" i="3"/>
  <c r="C325" i="3"/>
  <c r="AC324" i="3"/>
  <c r="AF324" i="3"/>
  <c r="AB324" i="3"/>
  <c r="AD324" i="3"/>
  <c r="AE324" i="3" s="1"/>
  <c r="V324" i="3"/>
  <c r="M324" i="3"/>
  <c r="P324" i="3"/>
  <c r="L324" i="3"/>
  <c r="C324" i="3"/>
  <c r="AC323" i="3"/>
  <c r="AF323" i="3"/>
  <c r="AB323" i="3"/>
  <c r="V323" i="3"/>
  <c r="M323" i="3"/>
  <c r="P323" i="3"/>
  <c r="L323" i="3"/>
  <c r="C323" i="3"/>
  <c r="AC322" i="3"/>
  <c r="AB322" i="3"/>
  <c r="V322" i="3"/>
  <c r="M322" i="3"/>
  <c r="P322" i="3" s="1"/>
  <c r="L322" i="3"/>
  <c r="N322" i="3" s="1"/>
  <c r="O322" i="3" s="1"/>
  <c r="Q322" i="3" s="1"/>
  <c r="C322" i="3"/>
  <c r="AC321" i="3"/>
  <c r="AB321" i="3"/>
  <c r="V321" i="3"/>
  <c r="M321" i="3"/>
  <c r="P321" i="3" s="1"/>
  <c r="L321" i="3"/>
  <c r="C321" i="3"/>
  <c r="AC320" i="3"/>
  <c r="AF320" i="3" s="1"/>
  <c r="AB320" i="3"/>
  <c r="V320" i="3"/>
  <c r="M320" i="3"/>
  <c r="P320" i="3" s="1"/>
  <c r="L320" i="3"/>
  <c r="C320" i="3"/>
  <c r="AC319" i="3"/>
  <c r="AF319" i="3" s="1"/>
  <c r="AB319" i="3"/>
  <c r="V319" i="3"/>
  <c r="M319" i="3"/>
  <c r="P319" i="3" s="1"/>
  <c r="L319" i="3"/>
  <c r="C319" i="3"/>
  <c r="AC318" i="3"/>
  <c r="AF318" i="3" s="1"/>
  <c r="AB318" i="3"/>
  <c r="V318" i="3"/>
  <c r="M318" i="3"/>
  <c r="P318" i="3" s="1"/>
  <c r="L318" i="3"/>
  <c r="C318" i="3"/>
  <c r="AC317" i="3"/>
  <c r="AF317" i="3" s="1"/>
  <c r="AB317" i="3"/>
  <c r="V317" i="3"/>
  <c r="M317" i="3"/>
  <c r="P317" i="3" s="1"/>
  <c r="L317" i="3"/>
  <c r="C317" i="3"/>
  <c r="AC316" i="3"/>
  <c r="AF316" i="3" s="1"/>
  <c r="AB316" i="3"/>
  <c r="AD316" i="3" s="1"/>
  <c r="AE316" i="3" s="1"/>
  <c r="V316" i="3"/>
  <c r="M316" i="3"/>
  <c r="P316" i="3" s="1"/>
  <c r="L316" i="3"/>
  <c r="C316" i="3"/>
  <c r="AC315" i="3"/>
  <c r="AF315" i="3" s="1"/>
  <c r="AB315" i="3"/>
  <c r="V315" i="3"/>
  <c r="M315" i="3"/>
  <c r="P315" i="3" s="1"/>
  <c r="L315" i="3"/>
  <c r="C315" i="3"/>
  <c r="AF314" i="3"/>
  <c r="AC314" i="3"/>
  <c r="AB314" i="3"/>
  <c r="AD314" i="3" s="1"/>
  <c r="AE314" i="3" s="1"/>
  <c r="V314" i="3"/>
  <c r="M314" i="3"/>
  <c r="P314" i="3" s="1"/>
  <c r="L314" i="3"/>
  <c r="C314" i="3"/>
  <c r="AC313" i="3"/>
  <c r="AF313" i="3" s="1"/>
  <c r="AB313" i="3"/>
  <c r="V313" i="3"/>
  <c r="M313" i="3"/>
  <c r="P313" i="3" s="1"/>
  <c r="L313" i="3"/>
  <c r="N313" i="3" s="1"/>
  <c r="O313" i="3"/>
  <c r="C313" i="3"/>
  <c r="AC312" i="3"/>
  <c r="AF312" i="3" s="1"/>
  <c r="AB312" i="3"/>
  <c r="V312" i="3"/>
  <c r="M312" i="3"/>
  <c r="P312" i="3" s="1"/>
  <c r="L312" i="3"/>
  <c r="C312" i="3"/>
  <c r="AC311" i="3"/>
  <c r="AB311" i="3"/>
  <c r="V311" i="3"/>
  <c r="M311" i="3"/>
  <c r="P311" i="3"/>
  <c r="L311" i="3"/>
  <c r="C311" i="3"/>
  <c r="AC310" i="3"/>
  <c r="AF310" i="3"/>
  <c r="AB310" i="3"/>
  <c r="V310" i="3"/>
  <c r="M310" i="3"/>
  <c r="L310" i="3"/>
  <c r="C310" i="3"/>
  <c r="AC309" i="3"/>
  <c r="AF309" i="3" s="1"/>
  <c r="AB309" i="3"/>
  <c r="V309" i="3"/>
  <c r="M309" i="3"/>
  <c r="P309" i="3" s="1"/>
  <c r="L309" i="3"/>
  <c r="C309" i="3"/>
  <c r="AC308" i="3"/>
  <c r="AF308" i="3" s="1"/>
  <c r="AB308" i="3"/>
  <c r="AD308" i="3" s="1"/>
  <c r="AE308" i="3" s="1"/>
  <c r="AG308" i="3" s="1"/>
  <c r="AM308" i="3" s="1"/>
  <c r="V308" i="3"/>
  <c r="M308" i="3"/>
  <c r="P308" i="3" s="1"/>
  <c r="L308" i="3"/>
  <c r="C308" i="3"/>
  <c r="AC307" i="3"/>
  <c r="AF307" i="3" s="1"/>
  <c r="AB307" i="3"/>
  <c r="V307" i="3"/>
  <c r="M307" i="3"/>
  <c r="P307" i="3" s="1"/>
  <c r="L307" i="3"/>
  <c r="C307" i="3"/>
  <c r="AC306" i="3"/>
  <c r="AF306" i="3" s="1"/>
  <c r="AB306" i="3"/>
  <c r="V306" i="3"/>
  <c r="M306" i="3"/>
  <c r="P306" i="3" s="1"/>
  <c r="L306" i="3"/>
  <c r="C306" i="3"/>
  <c r="AC305" i="3"/>
  <c r="AF305" i="3" s="1"/>
  <c r="AB305" i="3"/>
  <c r="V305" i="3"/>
  <c r="M305" i="3"/>
  <c r="P305" i="3" s="1"/>
  <c r="L305" i="3"/>
  <c r="C305" i="3"/>
  <c r="AC304" i="3"/>
  <c r="AF304" i="3" s="1"/>
  <c r="AB304" i="3"/>
  <c r="V304" i="3"/>
  <c r="M304" i="3"/>
  <c r="P304" i="3" s="1"/>
  <c r="L304" i="3"/>
  <c r="C304" i="3"/>
  <c r="AC303" i="3"/>
  <c r="AF303" i="3" s="1"/>
  <c r="AB303" i="3"/>
  <c r="V303" i="3"/>
  <c r="M303" i="3"/>
  <c r="P303" i="3" s="1"/>
  <c r="L303" i="3"/>
  <c r="C303" i="3"/>
  <c r="AC302" i="3"/>
  <c r="AF302" i="3" s="1"/>
  <c r="AB302" i="3"/>
  <c r="V302" i="3"/>
  <c r="M302" i="3"/>
  <c r="L302" i="3"/>
  <c r="C302" i="3"/>
  <c r="AC301" i="3"/>
  <c r="AF301" i="3"/>
  <c r="AB301" i="3"/>
  <c r="V301" i="3"/>
  <c r="M301" i="3"/>
  <c r="P301" i="3"/>
  <c r="L301" i="3"/>
  <c r="C301" i="3"/>
  <c r="AC300" i="3"/>
  <c r="AF300" i="3"/>
  <c r="AB300" i="3"/>
  <c r="V300" i="3"/>
  <c r="M300" i="3"/>
  <c r="P300" i="3"/>
  <c r="L300" i="3"/>
  <c r="C300" i="3"/>
  <c r="AC299" i="3"/>
  <c r="AB299" i="3"/>
  <c r="V299" i="3"/>
  <c r="M299" i="3"/>
  <c r="P299" i="3" s="1"/>
  <c r="L299" i="3"/>
  <c r="C299" i="3"/>
  <c r="AC298" i="3"/>
  <c r="AF298" i="3" s="1"/>
  <c r="AB298" i="3"/>
  <c r="AD298" i="3" s="1"/>
  <c r="AE298" i="3"/>
  <c r="V298" i="3"/>
  <c r="M298" i="3"/>
  <c r="P298" i="3" s="1"/>
  <c r="L298" i="3"/>
  <c r="C298" i="3"/>
  <c r="AC297" i="3"/>
  <c r="AF297" i="3" s="1"/>
  <c r="AB297" i="3"/>
  <c r="AD297" i="3" s="1"/>
  <c r="AE297" i="3" s="1"/>
  <c r="V297" i="3"/>
  <c r="M297" i="3"/>
  <c r="P297" i="3" s="1"/>
  <c r="L297" i="3"/>
  <c r="C297" i="3"/>
  <c r="AC296" i="3"/>
  <c r="AF296" i="3" s="1"/>
  <c r="AB296" i="3"/>
  <c r="V296" i="3"/>
  <c r="M296" i="3"/>
  <c r="P296" i="3" s="1"/>
  <c r="L296" i="3"/>
  <c r="C296" i="3"/>
  <c r="AC295" i="3"/>
  <c r="AF295" i="3" s="1"/>
  <c r="AB295" i="3"/>
  <c r="V295" i="3"/>
  <c r="M295" i="3"/>
  <c r="P295" i="3" s="1"/>
  <c r="L295" i="3"/>
  <c r="C295" i="3"/>
  <c r="AC294" i="3"/>
  <c r="AF294" i="3" s="1"/>
  <c r="AB294" i="3"/>
  <c r="V294" i="3"/>
  <c r="M294" i="3"/>
  <c r="P294" i="3" s="1"/>
  <c r="L294" i="3"/>
  <c r="C294" i="3"/>
  <c r="AC293" i="3"/>
  <c r="AF293" i="3" s="1"/>
  <c r="AB293" i="3"/>
  <c r="V293" i="3"/>
  <c r="M293" i="3"/>
  <c r="P293" i="3" s="1"/>
  <c r="L293" i="3"/>
  <c r="C293" i="3"/>
  <c r="AC292" i="3"/>
  <c r="AF292" i="3" s="1"/>
  <c r="AB292" i="3"/>
  <c r="V292" i="3"/>
  <c r="M292" i="3"/>
  <c r="L292" i="3"/>
  <c r="C292" i="3"/>
  <c r="AC291" i="3"/>
  <c r="AF291" i="3"/>
  <c r="AB291" i="3"/>
  <c r="V291" i="3"/>
  <c r="M291" i="3"/>
  <c r="P291" i="3"/>
  <c r="L291" i="3"/>
  <c r="N291" i="3"/>
  <c r="O291" i="3" s="1"/>
  <c r="Q291" i="3" s="1"/>
  <c r="C291" i="3"/>
  <c r="AC290" i="3"/>
  <c r="AF290" i="3" s="1"/>
  <c r="AB290" i="3"/>
  <c r="V290" i="3"/>
  <c r="M290" i="3"/>
  <c r="P290" i="3" s="1"/>
  <c r="L290" i="3"/>
  <c r="N290" i="3" s="1"/>
  <c r="O290" i="3" s="1"/>
  <c r="C290" i="3"/>
  <c r="AC289" i="3"/>
  <c r="AB289" i="3"/>
  <c r="V289" i="3"/>
  <c r="M289" i="3"/>
  <c r="P289" i="3"/>
  <c r="L289" i="3"/>
  <c r="C289" i="3"/>
  <c r="AC288" i="3"/>
  <c r="AF288" i="3"/>
  <c r="AB288" i="3"/>
  <c r="AD288" i="3"/>
  <c r="AE288" i="3" s="1"/>
  <c r="V288" i="3"/>
  <c r="M288" i="3"/>
  <c r="L288" i="3"/>
  <c r="C288" i="3"/>
  <c r="AC287" i="3"/>
  <c r="AB287" i="3"/>
  <c r="V287" i="3"/>
  <c r="M287" i="3"/>
  <c r="P287" i="3"/>
  <c r="L287" i="3"/>
  <c r="C287" i="3"/>
  <c r="AC286" i="3"/>
  <c r="AF286" i="3"/>
  <c r="AB286" i="3"/>
  <c r="V286" i="3"/>
  <c r="M286" i="3"/>
  <c r="L286" i="3"/>
  <c r="C286" i="3"/>
  <c r="AC285" i="3"/>
  <c r="AF285" i="3" s="1"/>
  <c r="AB285" i="3"/>
  <c r="V285" i="3"/>
  <c r="M285" i="3"/>
  <c r="P285" i="3" s="1"/>
  <c r="L285" i="3"/>
  <c r="C285" i="3"/>
  <c r="AC284" i="3"/>
  <c r="AF284" i="3" s="1"/>
  <c r="AB284" i="3"/>
  <c r="V284" i="3"/>
  <c r="M284" i="3"/>
  <c r="P284" i="3" s="1"/>
  <c r="L284" i="3"/>
  <c r="C284" i="3"/>
  <c r="AC283" i="3"/>
  <c r="AF283" i="3" s="1"/>
  <c r="AB283" i="3"/>
  <c r="V283" i="3"/>
  <c r="M283" i="3"/>
  <c r="P283" i="3" s="1"/>
  <c r="L283" i="3"/>
  <c r="C283" i="3"/>
  <c r="AC282" i="3"/>
  <c r="AF282" i="3" s="1"/>
  <c r="AB282" i="3"/>
  <c r="V282" i="3"/>
  <c r="M282" i="3"/>
  <c r="P282" i="3" s="1"/>
  <c r="L282" i="3"/>
  <c r="C282" i="3"/>
  <c r="AC281" i="3"/>
  <c r="AD281" i="3" s="1"/>
  <c r="AE281" i="3" s="1"/>
  <c r="AB281" i="3"/>
  <c r="V281" i="3"/>
  <c r="M281" i="3"/>
  <c r="P281" i="3"/>
  <c r="L281" i="3"/>
  <c r="C281" i="3"/>
  <c r="AC280" i="3"/>
  <c r="AF280" i="3"/>
  <c r="AB280" i="3"/>
  <c r="V280" i="3"/>
  <c r="M280" i="3"/>
  <c r="P280" i="3"/>
  <c r="L280" i="3"/>
  <c r="C280" i="3"/>
  <c r="AC279" i="3"/>
  <c r="AF279" i="3"/>
  <c r="AB279" i="3"/>
  <c r="V279" i="3"/>
  <c r="M279" i="3"/>
  <c r="P279" i="3"/>
  <c r="L279" i="3"/>
  <c r="C279" i="3"/>
  <c r="AC278" i="3"/>
  <c r="AF278" i="3" s="1"/>
  <c r="AB278" i="3"/>
  <c r="V278" i="3"/>
  <c r="M278" i="3"/>
  <c r="L278" i="3"/>
  <c r="C278" i="3"/>
  <c r="AC277" i="3"/>
  <c r="AF277" i="3" s="1"/>
  <c r="AB277" i="3"/>
  <c r="V277" i="3"/>
  <c r="M277" i="3"/>
  <c r="P277" i="3" s="1"/>
  <c r="L277" i="3"/>
  <c r="C277" i="3"/>
  <c r="AC276" i="3"/>
  <c r="AF276" i="3" s="1"/>
  <c r="AB276" i="3"/>
  <c r="V276" i="3"/>
  <c r="M276" i="3"/>
  <c r="P276" i="3" s="1"/>
  <c r="L276" i="3"/>
  <c r="C276" i="3"/>
  <c r="AC275" i="3"/>
  <c r="AF275" i="3" s="1"/>
  <c r="AB275" i="3"/>
  <c r="V275" i="3"/>
  <c r="M275" i="3"/>
  <c r="L275" i="3"/>
  <c r="C275" i="3"/>
  <c r="AC274" i="3"/>
  <c r="AF274" i="3"/>
  <c r="AB274" i="3"/>
  <c r="V274" i="3"/>
  <c r="M274" i="3"/>
  <c r="P274" i="3"/>
  <c r="L274" i="3"/>
  <c r="N274" i="3"/>
  <c r="O274" i="3" s="1"/>
  <c r="C274" i="3"/>
  <c r="AC273" i="3"/>
  <c r="AB273" i="3"/>
  <c r="V273" i="3"/>
  <c r="M273" i="3"/>
  <c r="P273" i="3" s="1"/>
  <c r="L273" i="3"/>
  <c r="C273" i="3"/>
  <c r="AC272" i="3"/>
  <c r="AF272" i="3" s="1"/>
  <c r="AB272" i="3"/>
  <c r="V272" i="3"/>
  <c r="M272" i="3"/>
  <c r="L272" i="3"/>
  <c r="C272" i="3"/>
  <c r="AC271" i="3"/>
  <c r="AF271" i="3"/>
  <c r="AB271" i="3"/>
  <c r="V271" i="3"/>
  <c r="M271" i="3"/>
  <c r="P271" i="3"/>
  <c r="L271" i="3"/>
  <c r="C271" i="3"/>
  <c r="AC270" i="3"/>
  <c r="AF270" i="3"/>
  <c r="AB270" i="3"/>
  <c r="AD270" i="3"/>
  <c r="AE270" i="3" s="1"/>
  <c r="V270" i="3"/>
  <c r="M270" i="3"/>
  <c r="P270" i="3"/>
  <c r="L270" i="3"/>
  <c r="C270" i="3"/>
  <c r="AC269" i="3"/>
  <c r="AF269" i="3"/>
  <c r="AB269" i="3"/>
  <c r="V269" i="3"/>
  <c r="M269" i="3"/>
  <c r="P269" i="3"/>
  <c r="L269" i="3"/>
  <c r="C269" i="3"/>
  <c r="AC268" i="3"/>
  <c r="AF268" i="3"/>
  <c r="AB268" i="3"/>
  <c r="V268" i="3"/>
  <c r="M268" i="3"/>
  <c r="P268" i="3"/>
  <c r="L268" i="3"/>
  <c r="C268" i="3"/>
  <c r="AC267" i="3"/>
  <c r="AF267" i="3"/>
  <c r="AB267" i="3"/>
  <c r="V267" i="3"/>
  <c r="M267" i="3"/>
  <c r="P267" i="3"/>
  <c r="L267" i="3"/>
  <c r="C267" i="3"/>
  <c r="AC266" i="3"/>
  <c r="AF266" i="3"/>
  <c r="AB266" i="3"/>
  <c r="V266" i="3"/>
  <c r="M266" i="3"/>
  <c r="P266" i="3"/>
  <c r="L266" i="3"/>
  <c r="C266" i="3"/>
  <c r="AC265" i="3"/>
  <c r="AB265" i="3"/>
  <c r="V265" i="3"/>
  <c r="M265" i="3"/>
  <c r="P265" i="3" s="1"/>
  <c r="L265" i="3"/>
  <c r="C265" i="3"/>
  <c r="AC264" i="3"/>
  <c r="AF264" i="3" s="1"/>
  <c r="AB264" i="3"/>
  <c r="V264" i="3"/>
  <c r="M264" i="3"/>
  <c r="P264" i="3" s="1"/>
  <c r="L264" i="3"/>
  <c r="C264" i="3"/>
  <c r="AC263" i="3"/>
  <c r="AF263" i="3" s="1"/>
  <c r="AB263" i="3"/>
  <c r="V263" i="3"/>
  <c r="M263" i="3"/>
  <c r="P263" i="3" s="1"/>
  <c r="L263" i="3"/>
  <c r="C263" i="3"/>
  <c r="AC262" i="3"/>
  <c r="AF262" i="3" s="1"/>
  <c r="AB262" i="3"/>
  <c r="V262" i="3"/>
  <c r="M262" i="3"/>
  <c r="L262" i="3"/>
  <c r="C262" i="3"/>
  <c r="AC261" i="3"/>
  <c r="AF261" i="3"/>
  <c r="AB261" i="3"/>
  <c r="V261" i="3"/>
  <c r="M261" i="3"/>
  <c r="P261" i="3"/>
  <c r="L261" i="3"/>
  <c r="C261" i="3"/>
  <c r="AC260" i="3"/>
  <c r="AB260" i="3"/>
  <c r="V260" i="3"/>
  <c r="M260" i="3"/>
  <c r="P260" i="3" s="1"/>
  <c r="L260" i="3"/>
  <c r="C260" i="3"/>
  <c r="AC259" i="3"/>
  <c r="AF259" i="3" s="1"/>
  <c r="AB259" i="3"/>
  <c r="V259" i="3"/>
  <c r="M259" i="3"/>
  <c r="P259" i="3" s="1"/>
  <c r="L259" i="3"/>
  <c r="C259" i="3"/>
  <c r="AC258" i="3"/>
  <c r="AF258" i="3" s="1"/>
  <c r="AB258" i="3"/>
  <c r="V258" i="3"/>
  <c r="M258" i="3"/>
  <c r="P258" i="3" s="1"/>
  <c r="L258" i="3"/>
  <c r="C258" i="3"/>
  <c r="AC257" i="3"/>
  <c r="AB257" i="3"/>
  <c r="V257" i="3"/>
  <c r="M257" i="3"/>
  <c r="P257" i="3"/>
  <c r="L257" i="3"/>
  <c r="C257" i="3"/>
  <c r="AC256" i="3"/>
  <c r="AF256" i="3"/>
  <c r="AB256" i="3"/>
  <c r="V256" i="3"/>
  <c r="M256" i="3"/>
  <c r="P256" i="3"/>
  <c r="L256" i="3"/>
  <c r="C256" i="3"/>
  <c r="AC255" i="3"/>
  <c r="AF255" i="3"/>
  <c r="AB255" i="3"/>
  <c r="V255" i="3"/>
  <c r="M255" i="3"/>
  <c r="P255" i="3"/>
  <c r="L255" i="3"/>
  <c r="C255" i="3"/>
  <c r="AC254" i="3"/>
  <c r="AF254" i="3"/>
  <c r="AB254" i="3"/>
  <c r="V254" i="3"/>
  <c r="M254" i="3"/>
  <c r="L254" i="3"/>
  <c r="C254" i="3"/>
  <c r="AF253" i="3"/>
  <c r="AC253" i="3"/>
  <c r="AB253" i="3"/>
  <c r="AD253" i="3" s="1"/>
  <c r="AE253" i="3" s="1"/>
  <c r="V253" i="3"/>
  <c r="M253" i="3"/>
  <c r="P253" i="3" s="1"/>
  <c r="L253" i="3"/>
  <c r="C253" i="3"/>
  <c r="AC252" i="3"/>
  <c r="AF252" i="3" s="1"/>
  <c r="AB252" i="3"/>
  <c r="V252" i="3"/>
  <c r="M252" i="3"/>
  <c r="P252" i="3" s="1"/>
  <c r="L252" i="3"/>
  <c r="C252" i="3"/>
  <c r="AC251" i="3"/>
  <c r="AF251" i="3" s="1"/>
  <c r="AB251" i="3"/>
  <c r="AD251" i="3" s="1"/>
  <c r="AE251" i="3" s="1"/>
  <c r="V251" i="3"/>
  <c r="M251" i="3"/>
  <c r="P251" i="3" s="1"/>
  <c r="L251" i="3"/>
  <c r="N251" i="3" s="1"/>
  <c r="C251" i="3"/>
  <c r="AC250" i="3"/>
  <c r="AF250" i="3" s="1"/>
  <c r="AB250" i="3"/>
  <c r="V250" i="3"/>
  <c r="M250" i="3"/>
  <c r="P250" i="3" s="1"/>
  <c r="L250" i="3"/>
  <c r="C250" i="3"/>
  <c r="AC249" i="3"/>
  <c r="AF249" i="3" s="1"/>
  <c r="AB249" i="3"/>
  <c r="V249" i="3"/>
  <c r="M249" i="3"/>
  <c r="P249" i="3" s="1"/>
  <c r="L249" i="3"/>
  <c r="N249" i="3" s="1"/>
  <c r="O249" i="3" s="1"/>
  <c r="C249" i="3"/>
  <c r="AC248" i="3"/>
  <c r="AF248" i="3" s="1"/>
  <c r="AB248" i="3"/>
  <c r="AD248" i="3" s="1"/>
  <c r="AE248" i="3"/>
  <c r="V248" i="3"/>
  <c r="M248" i="3"/>
  <c r="P248" i="3" s="1"/>
  <c r="L248" i="3"/>
  <c r="C248" i="3"/>
  <c r="AC247" i="3"/>
  <c r="AF247" i="3" s="1"/>
  <c r="AB247" i="3"/>
  <c r="V247" i="3"/>
  <c r="M247" i="3"/>
  <c r="P247" i="3" s="1"/>
  <c r="L247" i="3"/>
  <c r="C247" i="3"/>
  <c r="AC246" i="3"/>
  <c r="AF246" i="3" s="1"/>
  <c r="AB246" i="3"/>
  <c r="V246" i="3"/>
  <c r="M246" i="3"/>
  <c r="P246" i="3" s="1"/>
  <c r="L246" i="3"/>
  <c r="C246" i="3"/>
  <c r="AC245" i="3"/>
  <c r="AF245" i="3" s="1"/>
  <c r="AB245" i="3"/>
  <c r="V245" i="3"/>
  <c r="M245" i="3"/>
  <c r="P245" i="3" s="1"/>
  <c r="L245" i="3"/>
  <c r="C245" i="3"/>
  <c r="AC244" i="3"/>
  <c r="AF244" i="3" s="1"/>
  <c r="AB244" i="3"/>
  <c r="V244" i="3"/>
  <c r="M244" i="3"/>
  <c r="P244" i="3" s="1"/>
  <c r="L244" i="3"/>
  <c r="C244" i="3"/>
  <c r="AC243" i="3"/>
  <c r="AF243" i="3" s="1"/>
  <c r="AB243" i="3"/>
  <c r="V243" i="3"/>
  <c r="M243" i="3"/>
  <c r="P243" i="3" s="1"/>
  <c r="L243" i="3"/>
  <c r="N243" i="3" s="1"/>
  <c r="O243" i="3" s="1"/>
  <c r="C243" i="3"/>
  <c r="AC242" i="3"/>
  <c r="AF242" i="3" s="1"/>
  <c r="AB242" i="3"/>
  <c r="V242" i="3"/>
  <c r="M242" i="3"/>
  <c r="P242" i="3" s="1"/>
  <c r="L242" i="3"/>
  <c r="C242" i="3"/>
  <c r="AC241" i="3"/>
  <c r="AF241" i="3" s="1"/>
  <c r="AB241" i="3"/>
  <c r="V241" i="3"/>
  <c r="M241" i="3"/>
  <c r="P241" i="3" s="1"/>
  <c r="L241" i="3"/>
  <c r="C241" i="3"/>
  <c r="AC240" i="3"/>
  <c r="AB240" i="3"/>
  <c r="V240" i="3"/>
  <c r="M240" i="3"/>
  <c r="P240" i="3"/>
  <c r="L240" i="3"/>
  <c r="N240" i="3"/>
  <c r="O240" i="3" s="1"/>
  <c r="C240" i="3"/>
  <c r="AC239" i="3"/>
  <c r="AF239" i="3"/>
  <c r="AB239" i="3"/>
  <c r="V239" i="3"/>
  <c r="M239" i="3"/>
  <c r="P239" i="3"/>
  <c r="L239" i="3"/>
  <c r="C239" i="3"/>
  <c r="AC238" i="3"/>
  <c r="AF238" i="3"/>
  <c r="AB238" i="3"/>
  <c r="V238" i="3"/>
  <c r="M238" i="3"/>
  <c r="P238" i="3"/>
  <c r="L238" i="3"/>
  <c r="C238" i="3"/>
  <c r="AC237" i="3"/>
  <c r="AF237" i="3"/>
  <c r="AB237" i="3"/>
  <c r="V237" i="3"/>
  <c r="M237" i="3"/>
  <c r="P237" i="3"/>
  <c r="L237" i="3"/>
  <c r="C237" i="3"/>
  <c r="AC236" i="3"/>
  <c r="AF236" i="3"/>
  <c r="AB236" i="3"/>
  <c r="V236" i="3"/>
  <c r="M236" i="3"/>
  <c r="P236" i="3"/>
  <c r="L236" i="3"/>
  <c r="N236" i="3"/>
  <c r="O236" i="3" s="1"/>
  <c r="C236" i="3"/>
  <c r="AC235" i="3"/>
  <c r="AF235" i="3"/>
  <c r="AB235" i="3"/>
  <c r="V235" i="3"/>
  <c r="M235" i="3"/>
  <c r="P235" i="3"/>
  <c r="L235" i="3"/>
  <c r="C235" i="3"/>
  <c r="AC234" i="3"/>
  <c r="AF234" i="3"/>
  <c r="AB234" i="3"/>
  <c r="V234" i="3"/>
  <c r="M234" i="3"/>
  <c r="P234" i="3"/>
  <c r="L234" i="3"/>
  <c r="C234" i="3"/>
  <c r="AC233" i="3"/>
  <c r="AF233" i="3"/>
  <c r="AB233" i="3"/>
  <c r="V233" i="3"/>
  <c r="M233" i="3"/>
  <c r="P233" i="3"/>
  <c r="L233" i="3"/>
  <c r="C233" i="3"/>
  <c r="AC232" i="3"/>
  <c r="AF232" i="3"/>
  <c r="AB232" i="3"/>
  <c r="V232" i="3"/>
  <c r="M232" i="3"/>
  <c r="P232" i="3"/>
  <c r="L232" i="3"/>
  <c r="C232" i="3"/>
  <c r="AC231" i="3"/>
  <c r="AF231" i="3"/>
  <c r="AB231" i="3"/>
  <c r="V231" i="3"/>
  <c r="M231" i="3"/>
  <c r="P231" i="3"/>
  <c r="L231" i="3"/>
  <c r="C231" i="3"/>
  <c r="AC230" i="3"/>
  <c r="AF230" i="3"/>
  <c r="AB230" i="3"/>
  <c r="V230" i="3"/>
  <c r="M230" i="3"/>
  <c r="P230" i="3"/>
  <c r="L230" i="3"/>
  <c r="C230" i="3"/>
  <c r="AC229" i="3"/>
  <c r="AF229" i="3"/>
  <c r="AB229" i="3"/>
  <c r="V229" i="3"/>
  <c r="M229" i="3"/>
  <c r="P229" i="3"/>
  <c r="L229" i="3"/>
  <c r="C229" i="3"/>
  <c r="AC228" i="3"/>
  <c r="AF228" i="3"/>
  <c r="AB228" i="3"/>
  <c r="AD228" i="3"/>
  <c r="AE228" i="3" s="1"/>
  <c r="AG228" i="3" s="1"/>
  <c r="AM228" i="3" s="1"/>
  <c r="V228" i="3"/>
  <c r="M228" i="3"/>
  <c r="P228" i="3"/>
  <c r="L228" i="3"/>
  <c r="C228" i="3"/>
  <c r="AC227" i="3"/>
  <c r="AF227" i="3" s="1"/>
  <c r="AB227" i="3"/>
  <c r="AD227" i="3" s="1"/>
  <c r="AE227" i="3"/>
  <c r="V227" i="3"/>
  <c r="M227" i="3"/>
  <c r="P227" i="3" s="1"/>
  <c r="L227" i="3"/>
  <c r="C227" i="3"/>
  <c r="AC226" i="3"/>
  <c r="AF226" i="3" s="1"/>
  <c r="AB226" i="3"/>
  <c r="V226" i="3"/>
  <c r="M226" i="3"/>
  <c r="P226" i="3" s="1"/>
  <c r="L226" i="3"/>
  <c r="C226" i="3"/>
  <c r="AC225" i="3"/>
  <c r="AF225" i="3" s="1"/>
  <c r="AB225" i="3"/>
  <c r="V225" i="3"/>
  <c r="M225" i="3"/>
  <c r="P225" i="3" s="1"/>
  <c r="L225" i="3"/>
  <c r="C225" i="3"/>
  <c r="AC224" i="3"/>
  <c r="AF224" i="3" s="1"/>
  <c r="AB224" i="3"/>
  <c r="V224" i="3"/>
  <c r="M224" i="3"/>
  <c r="P224" i="3" s="1"/>
  <c r="L224" i="3"/>
  <c r="C224" i="3"/>
  <c r="AC223" i="3"/>
  <c r="AF223" i="3" s="1"/>
  <c r="AB223" i="3"/>
  <c r="AD223" i="3" s="1"/>
  <c r="AE223" i="3" s="1"/>
  <c r="AG223" i="3" s="1"/>
  <c r="AM223" i="3" s="1"/>
  <c r="V223" i="3"/>
  <c r="M223" i="3"/>
  <c r="P223" i="3" s="1"/>
  <c r="L223" i="3"/>
  <c r="C223" i="3"/>
  <c r="AC222" i="3"/>
  <c r="AF222" i="3" s="1"/>
  <c r="AB222" i="3"/>
  <c r="AD222" i="3" s="1"/>
  <c r="AE222" i="3" s="1"/>
  <c r="V222" i="3"/>
  <c r="M222" i="3"/>
  <c r="P222" i="3" s="1"/>
  <c r="L222" i="3"/>
  <c r="C222" i="3"/>
  <c r="AC221" i="3"/>
  <c r="AF221" i="3" s="1"/>
  <c r="AB221" i="3"/>
  <c r="V221" i="3"/>
  <c r="M221" i="3"/>
  <c r="P221" i="3" s="1"/>
  <c r="L221" i="3"/>
  <c r="C221" i="3"/>
  <c r="AC220" i="3"/>
  <c r="AF220" i="3" s="1"/>
  <c r="AB220" i="3"/>
  <c r="V220" i="3"/>
  <c r="M220" i="3"/>
  <c r="L220" i="3"/>
  <c r="C220" i="3"/>
  <c r="AC219" i="3"/>
  <c r="AF219" i="3"/>
  <c r="AB219" i="3"/>
  <c r="V219" i="3"/>
  <c r="M219" i="3"/>
  <c r="P219" i="3"/>
  <c r="L219" i="3"/>
  <c r="C219" i="3"/>
  <c r="AC218" i="3"/>
  <c r="AF218" i="3"/>
  <c r="AB218" i="3"/>
  <c r="V218" i="3"/>
  <c r="M218" i="3"/>
  <c r="P218" i="3"/>
  <c r="L218" i="3"/>
  <c r="C218" i="3"/>
  <c r="AC217" i="3"/>
  <c r="AF217" i="3"/>
  <c r="AB217" i="3"/>
  <c r="V217" i="3"/>
  <c r="M217" i="3"/>
  <c r="L217" i="3"/>
  <c r="C217" i="3"/>
  <c r="AC216" i="3"/>
  <c r="AF216" i="3" s="1"/>
  <c r="AB216" i="3"/>
  <c r="AD216" i="3" s="1"/>
  <c r="AE216" i="3" s="1"/>
  <c r="AG216" i="3" s="1"/>
  <c r="AM216" i="3" s="1"/>
  <c r="V216" i="3"/>
  <c r="M216" i="3"/>
  <c r="P216" i="3" s="1"/>
  <c r="L216" i="3"/>
  <c r="C216" i="3"/>
  <c r="AC215" i="3"/>
  <c r="AF215" i="3" s="1"/>
  <c r="AB215" i="3"/>
  <c r="V215" i="3"/>
  <c r="M215" i="3"/>
  <c r="P215" i="3" s="1"/>
  <c r="L215" i="3"/>
  <c r="C215" i="3"/>
  <c r="AC214" i="3"/>
  <c r="AF214" i="3" s="1"/>
  <c r="AB214" i="3"/>
  <c r="V214" i="3"/>
  <c r="M214" i="3"/>
  <c r="P214" i="3" s="1"/>
  <c r="L214" i="3"/>
  <c r="C214" i="3"/>
  <c r="AC213" i="3"/>
  <c r="AF213" i="3" s="1"/>
  <c r="AB213" i="3"/>
  <c r="AD213" i="3" s="1"/>
  <c r="AE213" i="3"/>
  <c r="AG213" i="3" s="1"/>
  <c r="AM213" i="3" s="1"/>
  <c r="V213" i="3"/>
  <c r="M213" i="3"/>
  <c r="P213" i="3" s="1"/>
  <c r="L213" i="3"/>
  <c r="C213" i="3"/>
  <c r="AC212" i="3"/>
  <c r="AF212" i="3" s="1"/>
  <c r="AB212" i="3"/>
  <c r="V212" i="3"/>
  <c r="M212" i="3"/>
  <c r="L212" i="3"/>
  <c r="C212" i="3"/>
  <c r="AC211" i="3"/>
  <c r="AF211" i="3"/>
  <c r="AB211" i="3"/>
  <c r="V211" i="3"/>
  <c r="M211" i="3"/>
  <c r="P211" i="3"/>
  <c r="L211" i="3"/>
  <c r="C211" i="3"/>
  <c r="AC210" i="3"/>
  <c r="AF210" i="3"/>
  <c r="AB210" i="3"/>
  <c r="AD210" i="3"/>
  <c r="AE210" i="3" s="1"/>
  <c r="V210" i="3"/>
  <c r="M210" i="3"/>
  <c r="L210" i="3"/>
  <c r="C210" i="3"/>
  <c r="AC209" i="3"/>
  <c r="AB209" i="3"/>
  <c r="V209" i="3"/>
  <c r="M209" i="3"/>
  <c r="P209" i="3"/>
  <c r="L209" i="3"/>
  <c r="C209" i="3"/>
  <c r="AC208" i="3"/>
  <c r="AF208" i="3"/>
  <c r="AB208" i="3"/>
  <c r="V208" i="3"/>
  <c r="M208" i="3"/>
  <c r="L208" i="3"/>
  <c r="C208" i="3"/>
  <c r="AF207" i="3"/>
  <c r="AC207" i="3"/>
  <c r="AB207" i="3"/>
  <c r="V207" i="3"/>
  <c r="M207" i="3"/>
  <c r="L207" i="3"/>
  <c r="C207" i="3"/>
  <c r="AC206" i="3"/>
  <c r="AF206" i="3"/>
  <c r="AB206" i="3"/>
  <c r="V206" i="3"/>
  <c r="M206" i="3"/>
  <c r="P206" i="3"/>
  <c r="L206" i="3"/>
  <c r="C206" i="3"/>
  <c r="AC205" i="3"/>
  <c r="AF205" i="3"/>
  <c r="AB205" i="3"/>
  <c r="V205" i="3"/>
  <c r="M205" i="3"/>
  <c r="P205" i="3"/>
  <c r="L205" i="3"/>
  <c r="C205" i="3"/>
  <c r="AC204" i="3"/>
  <c r="AB204" i="3"/>
  <c r="V204" i="3"/>
  <c r="M204" i="3"/>
  <c r="P204" i="3" s="1"/>
  <c r="L204" i="3"/>
  <c r="C204" i="3"/>
  <c r="AC203" i="3"/>
  <c r="AF203" i="3" s="1"/>
  <c r="AB203" i="3"/>
  <c r="V203" i="3"/>
  <c r="M203" i="3"/>
  <c r="P203" i="3" s="1"/>
  <c r="L203" i="3"/>
  <c r="C203" i="3"/>
  <c r="AC202" i="3"/>
  <c r="AF202" i="3" s="1"/>
  <c r="AB202" i="3"/>
  <c r="V202" i="3"/>
  <c r="M202" i="3"/>
  <c r="P202" i="3" s="1"/>
  <c r="L202" i="3"/>
  <c r="C202" i="3"/>
  <c r="AC201" i="3"/>
  <c r="AF201" i="3" s="1"/>
  <c r="AB201" i="3"/>
  <c r="V201" i="3"/>
  <c r="M201" i="3"/>
  <c r="P201" i="3" s="1"/>
  <c r="L201" i="3"/>
  <c r="C201" i="3"/>
  <c r="AC200" i="3"/>
  <c r="AF200" i="3" s="1"/>
  <c r="AB200" i="3"/>
  <c r="V200" i="3"/>
  <c r="M200" i="3"/>
  <c r="P200" i="3" s="1"/>
  <c r="L200" i="3"/>
  <c r="C200" i="3"/>
  <c r="AC199" i="3"/>
  <c r="AF199" i="3" s="1"/>
  <c r="AB199" i="3"/>
  <c r="V199" i="3"/>
  <c r="M199" i="3"/>
  <c r="P199" i="3" s="1"/>
  <c r="L199" i="3"/>
  <c r="C199" i="3"/>
  <c r="AC198" i="3"/>
  <c r="AF198" i="3" s="1"/>
  <c r="AB198" i="3"/>
  <c r="V198" i="3"/>
  <c r="M198" i="3"/>
  <c r="P198" i="3" s="1"/>
  <c r="L198" i="3"/>
  <c r="C198" i="3"/>
  <c r="AC197" i="3"/>
  <c r="AF197" i="3" s="1"/>
  <c r="AB197" i="3"/>
  <c r="V197" i="3"/>
  <c r="M197" i="3"/>
  <c r="P197" i="3" s="1"/>
  <c r="L197" i="3"/>
  <c r="C197" i="3"/>
  <c r="AC196" i="3"/>
  <c r="AF196" i="3" s="1"/>
  <c r="AB196" i="3"/>
  <c r="V196" i="3"/>
  <c r="M196" i="3"/>
  <c r="P196" i="3" s="1"/>
  <c r="L196" i="3"/>
  <c r="C196" i="3"/>
  <c r="AC195" i="3"/>
  <c r="AB195" i="3"/>
  <c r="V195" i="3"/>
  <c r="M195" i="3"/>
  <c r="P195" i="3"/>
  <c r="L195" i="3"/>
  <c r="N195" i="3"/>
  <c r="O195" i="3" s="1"/>
  <c r="Q195" i="3" s="1"/>
  <c r="C195" i="3"/>
  <c r="AC194" i="3"/>
  <c r="AF194" i="3" s="1"/>
  <c r="AB194" i="3"/>
  <c r="V194" i="3"/>
  <c r="M194" i="3"/>
  <c r="P194" i="3" s="1"/>
  <c r="L194" i="3"/>
  <c r="C194" i="3"/>
  <c r="AC193" i="3"/>
  <c r="AF193" i="3" s="1"/>
  <c r="AB193" i="3"/>
  <c r="V193" i="3"/>
  <c r="M193" i="3"/>
  <c r="P193" i="3" s="1"/>
  <c r="L193" i="3"/>
  <c r="C193" i="3"/>
  <c r="AC192" i="3"/>
  <c r="AF192" i="3" s="1"/>
  <c r="AB192" i="3"/>
  <c r="V192" i="3"/>
  <c r="M192" i="3"/>
  <c r="P192" i="3" s="1"/>
  <c r="L192" i="3"/>
  <c r="C192" i="3"/>
  <c r="AC191" i="3"/>
  <c r="AF191" i="3" s="1"/>
  <c r="AB191" i="3"/>
  <c r="V191" i="3"/>
  <c r="M191" i="3"/>
  <c r="P191" i="3" s="1"/>
  <c r="L191" i="3"/>
  <c r="C191" i="3"/>
  <c r="AC190" i="3"/>
  <c r="AF190" i="3" s="1"/>
  <c r="AB190" i="3"/>
  <c r="V190" i="3"/>
  <c r="M190" i="3"/>
  <c r="P190" i="3" s="1"/>
  <c r="L190" i="3"/>
  <c r="N190" i="3" s="1"/>
  <c r="O190" i="3" s="1"/>
  <c r="Q190" i="3" s="1"/>
  <c r="C190" i="3"/>
  <c r="AC189" i="3"/>
  <c r="AB189" i="3"/>
  <c r="V189" i="3"/>
  <c r="M189" i="3"/>
  <c r="P189" i="3" s="1"/>
  <c r="L189" i="3"/>
  <c r="C189" i="3"/>
  <c r="AC188" i="3"/>
  <c r="AF188" i="3" s="1"/>
  <c r="AB188" i="3"/>
  <c r="V188" i="3"/>
  <c r="M188" i="3"/>
  <c r="P188" i="3" s="1"/>
  <c r="L188" i="3"/>
  <c r="N188" i="3" s="1"/>
  <c r="O188" i="3" s="1"/>
  <c r="C188" i="3"/>
  <c r="AC187" i="3"/>
  <c r="AF187" i="3"/>
  <c r="AB187" i="3"/>
  <c r="AD187" i="3"/>
  <c r="AE187" i="3" s="1"/>
  <c r="V187" i="3"/>
  <c r="M187" i="3"/>
  <c r="P187" i="3"/>
  <c r="L187" i="3"/>
  <c r="C187" i="3"/>
  <c r="AC186" i="3"/>
  <c r="AF186" i="3"/>
  <c r="AB186" i="3"/>
  <c r="V186" i="3"/>
  <c r="M186" i="3"/>
  <c r="P186" i="3"/>
  <c r="L186" i="3"/>
  <c r="N186" i="3"/>
  <c r="O186" i="3" s="1"/>
  <c r="C186" i="3"/>
  <c r="AC185" i="3"/>
  <c r="AF185" i="3"/>
  <c r="AB185" i="3"/>
  <c r="AD185" i="3"/>
  <c r="AE185" i="3" s="1"/>
  <c r="V185" i="3"/>
  <c r="M185" i="3"/>
  <c r="P185" i="3"/>
  <c r="L185" i="3"/>
  <c r="C185" i="3"/>
  <c r="AC184" i="3"/>
  <c r="AF184" i="3"/>
  <c r="AB184" i="3"/>
  <c r="V184" i="3"/>
  <c r="M184" i="3"/>
  <c r="P184" i="3"/>
  <c r="L184" i="3"/>
  <c r="C184" i="3"/>
  <c r="AC183" i="3"/>
  <c r="AF183" i="3"/>
  <c r="AB183" i="3"/>
  <c r="V183" i="3"/>
  <c r="M183" i="3"/>
  <c r="P183" i="3"/>
  <c r="L183" i="3"/>
  <c r="C183" i="3"/>
  <c r="AC182" i="3"/>
  <c r="AF182" i="3"/>
  <c r="AB182" i="3"/>
  <c r="V182" i="3"/>
  <c r="M182" i="3"/>
  <c r="P182" i="3"/>
  <c r="L182" i="3"/>
  <c r="C182" i="3"/>
  <c r="AC181" i="3"/>
  <c r="AF181" i="3"/>
  <c r="AB181" i="3"/>
  <c r="V181" i="3"/>
  <c r="M181" i="3"/>
  <c r="L181" i="3"/>
  <c r="C181" i="3"/>
  <c r="AC180" i="3"/>
  <c r="AF180" i="3" s="1"/>
  <c r="AB180" i="3"/>
  <c r="V180" i="3"/>
  <c r="M180" i="3"/>
  <c r="P180" i="3" s="1"/>
  <c r="L180" i="3"/>
  <c r="C180" i="3"/>
  <c r="AC179" i="3"/>
  <c r="AF179" i="3" s="1"/>
  <c r="AB179" i="3"/>
  <c r="V179" i="3"/>
  <c r="M179" i="3"/>
  <c r="L179" i="3"/>
  <c r="C179" i="3"/>
  <c r="AC178" i="3"/>
  <c r="AF178" i="3"/>
  <c r="AB178" i="3"/>
  <c r="V178" i="3"/>
  <c r="M178" i="3"/>
  <c r="N178" i="3"/>
  <c r="O178" i="3" s="1"/>
  <c r="P178" i="3"/>
  <c r="L178" i="3"/>
  <c r="C178" i="3"/>
  <c r="AC177" i="3"/>
  <c r="AB177" i="3"/>
  <c r="V177" i="3"/>
  <c r="M177" i="3"/>
  <c r="P177" i="3" s="1"/>
  <c r="L177" i="3"/>
  <c r="C177" i="3"/>
  <c r="AC176" i="3"/>
  <c r="AF176" i="3" s="1"/>
  <c r="AB176" i="3"/>
  <c r="V176" i="3"/>
  <c r="M176" i="3"/>
  <c r="P176" i="3" s="1"/>
  <c r="L176" i="3"/>
  <c r="C176" i="3"/>
  <c r="AC175" i="3"/>
  <c r="AB175" i="3"/>
  <c r="V175" i="3"/>
  <c r="M175" i="3"/>
  <c r="P175" i="3"/>
  <c r="L175" i="3"/>
  <c r="C175" i="3"/>
  <c r="AC174" i="3"/>
  <c r="AB174" i="3"/>
  <c r="V174" i="3"/>
  <c r="M174" i="3"/>
  <c r="P174" i="3" s="1"/>
  <c r="L174" i="3"/>
  <c r="C174" i="3"/>
  <c r="AC173" i="3"/>
  <c r="AF173" i="3" s="1"/>
  <c r="AB173" i="3"/>
  <c r="V173" i="3"/>
  <c r="M173" i="3"/>
  <c r="P173" i="3" s="1"/>
  <c r="L173" i="3"/>
  <c r="C173" i="3"/>
  <c r="AC172" i="3"/>
  <c r="AF172" i="3" s="1"/>
  <c r="AB172" i="3"/>
  <c r="V172" i="3"/>
  <c r="M172" i="3"/>
  <c r="L172" i="3"/>
  <c r="C172" i="3"/>
  <c r="AC171" i="3"/>
  <c r="AF171" i="3"/>
  <c r="AB171" i="3"/>
  <c r="AD171" i="3"/>
  <c r="AE171" i="3" s="1"/>
  <c r="V171" i="3"/>
  <c r="M171" i="3"/>
  <c r="P171" i="3"/>
  <c r="L171" i="3"/>
  <c r="C171" i="3"/>
  <c r="AC170" i="3"/>
  <c r="AF170" i="3"/>
  <c r="AB170" i="3"/>
  <c r="V170" i="3"/>
  <c r="M170" i="3"/>
  <c r="P170" i="3"/>
  <c r="L170" i="3"/>
  <c r="C170" i="3"/>
  <c r="AC169" i="3"/>
  <c r="AF169" i="3"/>
  <c r="AB169" i="3"/>
  <c r="V169" i="3"/>
  <c r="M169" i="3"/>
  <c r="P169" i="3"/>
  <c r="L169" i="3"/>
  <c r="C169" i="3"/>
  <c r="AC168" i="3"/>
  <c r="AF168" i="3"/>
  <c r="AB168" i="3"/>
  <c r="V168" i="3"/>
  <c r="M168" i="3"/>
  <c r="P168" i="3"/>
  <c r="L168" i="3"/>
  <c r="C168" i="3"/>
  <c r="AC167" i="3"/>
  <c r="AF167" i="3"/>
  <c r="AB167" i="3"/>
  <c r="V167" i="3"/>
  <c r="M167" i="3"/>
  <c r="L167" i="3"/>
  <c r="C167" i="3"/>
  <c r="AC166" i="3"/>
  <c r="AB166" i="3"/>
  <c r="V166" i="3"/>
  <c r="M166" i="3"/>
  <c r="P166" i="3" s="1"/>
  <c r="L166" i="3"/>
  <c r="C166" i="3"/>
  <c r="AC165" i="3"/>
  <c r="AF165" i="3" s="1"/>
  <c r="AB165" i="3"/>
  <c r="V165" i="3"/>
  <c r="M165" i="3"/>
  <c r="L165" i="3"/>
  <c r="C165" i="3"/>
  <c r="AC164" i="3"/>
  <c r="AB164" i="3"/>
  <c r="V164" i="3"/>
  <c r="M164" i="3"/>
  <c r="P164" i="3" s="1"/>
  <c r="L164" i="3"/>
  <c r="C164" i="3"/>
  <c r="AC163" i="3"/>
  <c r="AF163" i="3" s="1"/>
  <c r="AB163" i="3"/>
  <c r="V163" i="3"/>
  <c r="M163" i="3"/>
  <c r="P163" i="3" s="1"/>
  <c r="L163" i="3"/>
  <c r="C163" i="3"/>
  <c r="AC162" i="3"/>
  <c r="AF162" i="3" s="1"/>
  <c r="AB162" i="3"/>
  <c r="V162" i="3"/>
  <c r="M162" i="3"/>
  <c r="P162" i="3" s="1"/>
  <c r="L162" i="3"/>
  <c r="C162" i="3"/>
  <c r="AC161" i="3"/>
  <c r="AF161" i="3" s="1"/>
  <c r="AB161" i="3"/>
  <c r="V161" i="3"/>
  <c r="M161" i="3"/>
  <c r="P161" i="3" s="1"/>
  <c r="L161" i="3"/>
  <c r="C161" i="3"/>
  <c r="AC160" i="3"/>
  <c r="AF160" i="3" s="1"/>
  <c r="AB160" i="3"/>
  <c r="V160" i="3"/>
  <c r="M160" i="3"/>
  <c r="P160" i="3" s="1"/>
  <c r="L160" i="3"/>
  <c r="C160" i="3"/>
  <c r="AC159" i="3"/>
  <c r="AF159" i="3" s="1"/>
  <c r="AB159" i="3"/>
  <c r="V159" i="3"/>
  <c r="M159" i="3"/>
  <c r="P159" i="3" s="1"/>
  <c r="L159" i="3"/>
  <c r="C159" i="3"/>
  <c r="AC158" i="3"/>
  <c r="AF158" i="3"/>
  <c r="AB158" i="3"/>
  <c r="V158" i="3"/>
  <c r="M158" i="3"/>
  <c r="P158" i="3"/>
  <c r="L158" i="3"/>
  <c r="C158" i="3"/>
  <c r="AC157" i="3"/>
  <c r="AF157" i="3"/>
  <c r="AB157" i="3"/>
  <c r="V157" i="3"/>
  <c r="M157" i="3"/>
  <c r="P157" i="3"/>
  <c r="L157" i="3"/>
  <c r="C157" i="3"/>
  <c r="AC156" i="3"/>
  <c r="AF156" i="3"/>
  <c r="AB156" i="3"/>
  <c r="V156" i="3"/>
  <c r="M156" i="3"/>
  <c r="P156" i="3"/>
  <c r="L156" i="3"/>
  <c r="C156" i="3"/>
  <c r="AC155" i="3"/>
  <c r="AF155" i="3"/>
  <c r="AB155" i="3"/>
  <c r="V155" i="3"/>
  <c r="M155" i="3"/>
  <c r="P155" i="3"/>
  <c r="L155" i="3"/>
  <c r="C155" i="3"/>
  <c r="AC154" i="3"/>
  <c r="AF154" i="3"/>
  <c r="AB154" i="3"/>
  <c r="V154" i="3"/>
  <c r="M154" i="3"/>
  <c r="P154" i="3"/>
  <c r="L154" i="3"/>
  <c r="C154" i="3"/>
  <c r="AC153" i="3"/>
  <c r="AF153" i="3"/>
  <c r="AB153" i="3"/>
  <c r="V153" i="3"/>
  <c r="M153" i="3"/>
  <c r="P153" i="3"/>
  <c r="L153" i="3"/>
  <c r="C153" i="3"/>
  <c r="AC152" i="3"/>
  <c r="AF152" i="3"/>
  <c r="AB152" i="3"/>
  <c r="V152" i="3"/>
  <c r="M152" i="3"/>
  <c r="P152" i="3"/>
  <c r="L152" i="3"/>
  <c r="C152" i="3"/>
  <c r="AC151" i="3"/>
  <c r="AD151" i="3"/>
  <c r="AF151" i="3"/>
  <c r="AB151" i="3"/>
  <c r="V151" i="3"/>
  <c r="M151" i="3"/>
  <c r="P151" i="3" s="1"/>
  <c r="L151" i="3"/>
  <c r="N151" i="3" s="1"/>
  <c r="O151" i="3" s="1"/>
  <c r="C151" i="3"/>
  <c r="AC150" i="3"/>
  <c r="AF150" i="3" s="1"/>
  <c r="AB150" i="3"/>
  <c r="AD150" i="3" s="1"/>
  <c r="AE150" i="3"/>
  <c r="V150" i="3"/>
  <c r="M150" i="3"/>
  <c r="L150" i="3"/>
  <c r="C150" i="3"/>
  <c r="AC149" i="3"/>
  <c r="AF149" i="3"/>
  <c r="AB149" i="3"/>
  <c r="V149" i="3"/>
  <c r="M149" i="3"/>
  <c r="P149" i="3"/>
  <c r="L149" i="3"/>
  <c r="C149" i="3"/>
  <c r="AC148" i="3"/>
  <c r="AF148" i="3"/>
  <c r="AB148" i="3"/>
  <c r="V148" i="3"/>
  <c r="M148" i="3"/>
  <c r="P148" i="3"/>
  <c r="L148" i="3"/>
  <c r="C148" i="3"/>
  <c r="AC147" i="3"/>
  <c r="AF147" i="3"/>
  <c r="AB147" i="3"/>
  <c r="V147" i="3"/>
  <c r="M147" i="3"/>
  <c r="P147" i="3"/>
  <c r="L147" i="3"/>
  <c r="C147" i="3"/>
  <c r="AC146" i="3"/>
  <c r="AF146" i="3"/>
  <c r="AB146" i="3"/>
  <c r="V146" i="3"/>
  <c r="M146" i="3"/>
  <c r="P146" i="3"/>
  <c r="L146" i="3"/>
  <c r="C146" i="3"/>
  <c r="AC145" i="3"/>
  <c r="AB145" i="3"/>
  <c r="V145" i="3"/>
  <c r="M145" i="3"/>
  <c r="P145" i="3" s="1"/>
  <c r="L145" i="3"/>
  <c r="C145" i="3"/>
  <c r="AC144" i="3"/>
  <c r="AF144" i="3" s="1"/>
  <c r="AB144" i="3"/>
  <c r="V144" i="3"/>
  <c r="M144" i="3"/>
  <c r="P144" i="3" s="1"/>
  <c r="L144" i="3"/>
  <c r="C144" i="3"/>
  <c r="AC143" i="3"/>
  <c r="AF143" i="3" s="1"/>
  <c r="AB143" i="3"/>
  <c r="V143" i="3"/>
  <c r="M143" i="3"/>
  <c r="P143" i="3" s="1"/>
  <c r="L143" i="3"/>
  <c r="C143" i="3"/>
  <c r="AC142" i="3"/>
  <c r="AF142" i="3" s="1"/>
  <c r="AB142" i="3"/>
  <c r="V142" i="3"/>
  <c r="M142" i="3"/>
  <c r="P142" i="3" s="1"/>
  <c r="L142" i="3"/>
  <c r="N142" i="3" s="1"/>
  <c r="O142" i="3"/>
  <c r="C142" i="3"/>
  <c r="AC141" i="3"/>
  <c r="AF141" i="3" s="1"/>
  <c r="AB141" i="3"/>
  <c r="V141" i="3"/>
  <c r="M141" i="3"/>
  <c r="L141" i="3"/>
  <c r="C141" i="3"/>
  <c r="AC140" i="3"/>
  <c r="AF140" i="3"/>
  <c r="AB140" i="3"/>
  <c r="V140" i="3"/>
  <c r="M140" i="3"/>
  <c r="P140" i="3"/>
  <c r="L140" i="3"/>
  <c r="C140" i="3"/>
  <c r="AC139" i="3"/>
  <c r="AF139" i="3"/>
  <c r="AB139" i="3"/>
  <c r="V139" i="3"/>
  <c r="M139" i="3"/>
  <c r="P139" i="3"/>
  <c r="L139" i="3"/>
  <c r="C139" i="3"/>
  <c r="AC138" i="3"/>
  <c r="AF138" i="3"/>
  <c r="AB138" i="3"/>
  <c r="V138" i="3"/>
  <c r="M138" i="3"/>
  <c r="P138" i="3"/>
  <c r="L138" i="3"/>
  <c r="N138" i="3"/>
  <c r="O138" i="3" s="1"/>
  <c r="C138" i="3"/>
  <c r="AC137" i="3"/>
  <c r="AF137" i="3"/>
  <c r="AB137" i="3"/>
  <c r="V137" i="3"/>
  <c r="M137" i="3"/>
  <c r="P137" i="3"/>
  <c r="L137" i="3"/>
  <c r="C137" i="3"/>
  <c r="AC136" i="3"/>
  <c r="AF136" i="3"/>
  <c r="AB136" i="3"/>
  <c r="V136" i="3"/>
  <c r="M136" i="3"/>
  <c r="P136" i="3"/>
  <c r="L136" i="3"/>
  <c r="C136" i="3"/>
  <c r="AC135" i="3"/>
  <c r="AF135" i="3"/>
  <c r="AB135" i="3"/>
  <c r="V135" i="3"/>
  <c r="M135" i="3"/>
  <c r="P135" i="3"/>
  <c r="L135" i="3"/>
  <c r="C135" i="3"/>
  <c r="AC134" i="3"/>
  <c r="AF134" i="3"/>
  <c r="AB134" i="3"/>
  <c r="V134" i="3"/>
  <c r="M134" i="3"/>
  <c r="P134" i="3"/>
  <c r="L134" i="3"/>
  <c r="C134" i="3"/>
  <c r="AC133" i="3"/>
  <c r="AB133" i="3"/>
  <c r="AD133" i="3" s="1"/>
  <c r="AE133" i="3" s="1"/>
  <c r="V133" i="3"/>
  <c r="M133" i="3"/>
  <c r="P133" i="3" s="1"/>
  <c r="L133" i="3"/>
  <c r="C133" i="3"/>
  <c r="AC132" i="3"/>
  <c r="AF132" i="3" s="1"/>
  <c r="AB132" i="3"/>
  <c r="V132" i="3"/>
  <c r="M132" i="3"/>
  <c r="L132" i="3"/>
  <c r="N132" i="3"/>
  <c r="O132" i="3" s="1"/>
  <c r="C132" i="3"/>
  <c r="AC131" i="3"/>
  <c r="AF131" i="3"/>
  <c r="AB131" i="3"/>
  <c r="V131" i="3"/>
  <c r="M131" i="3"/>
  <c r="P131" i="3"/>
  <c r="L131" i="3"/>
  <c r="N131" i="3"/>
  <c r="O131" i="3" s="1"/>
  <c r="C131" i="3"/>
  <c r="AC130" i="3"/>
  <c r="AF130" i="3"/>
  <c r="AB130" i="3"/>
  <c r="V130" i="3"/>
  <c r="M130" i="3"/>
  <c r="P130" i="3"/>
  <c r="L130" i="3"/>
  <c r="C130" i="3"/>
  <c r="AC129" i="3"/>
  <c r="AF129" i="3"/>
  <c r="AB129" i="3"/>
  <c r="V129" i="3"/>
  <c r="M129" i="3"/>
  <c r="P129" i="3"/>
  <c r="L129" i="3"/>
  <c r="C129" i="3"/>
  <c r="AC128" i="3"/>
  <c r="AF128" i="3"/>
  <c r="AB128" i="3"/>
  <c r="V128" i="3"/>
  <c r="M128" i="3"/>
  <c r="P128" i="3"/>
  <c r="L128" i="3"/>
  <c r="C128" i="3"/>
  <c r="AC127" i="3"/>
  <c r="AF127" i="3"/>
  <c r="AB127" i="3"/>
  <c r="AD127" i="3"/>
  <c r="AE127" i="3" s="1"/>
  <c r="V127" i="3"/>
  <c r="M127" i="3"/>
  <c r="L127" i="3"/>
  <c r="N127" i="3" s="1"/>
  <c r="O127" i="3" s="1"/>
  <c r="C127" i="3"/>
  <c r="AC126" i="3"/>
  <c r="AF126" i="3" s="1"/>
  <c r="AB126" i="3"/>
  <c r="V126" i="3"/>
  <c r="M126" i="3"/>
  <c r="P126" i="3" s="1"/>
  <c r="L126" i="3"/>
  <c r="C126" i="3"/>
  <c r="AC125" i="3"/>
  <c r="AF125" i="3" s="1"/>
  <c r="AB125" i="3"/>
  <c r="V125" i="3"/>
  <c r="M125" i="3"/>
  <c r="P125" i="3" s="1"/>
  <c r="L125" i="3"/>
  <c r="C125" i="3"/>
  <c r="AC124" i="3"/>
  <c r="AF124" i="3" s="1"/>
  <c r="AB124" i="3"/>
  <c r="V124" i="3"/>
  <c r="M124" i="3"/>
  <c r="P124" i="3" s="1"/>
  <c r="L124" i="3"/>
  <c r="C124" i="3"/>
  <c r="AC123" i="3"/>
  <c r="AF123" i="3" s="1"/>
  <c r="AB123" i="3"/>
  <c r="V123" i="3"/>
  <c r="M123" i="3"/>
  <c r="P123" i="3" s="1"/>
  <c r="L123" i="3"/>
  <c r="C123" i="3"/>
  <c r="AC122" i="3"/>
  <c r="AF122" i="3" s="1"/>
  <c r="AB122" i="3"/>
  <c r="V122" i="3"/>
  <c r="M122" i="3"/>
  <c r="P122" i="3" s="1"/>
  <c r="L122" i="3"/>
  <c r="C122" i="3"/>
  <c r="AC121" i="3"/>
  <c r="AF121" i="3" s="1"/>
  <c r="AB121" i="3"/>
  <c r="V121" i="3"/>
  <c r="M121" i="3"/>
  <c r="P121" i="3" s="1"/>
  <c r="L121" i="3"/>
  <c r="N121" i="3" s="1"/>
  <c r="O121" i="3"/>
  <c r="C121" i="3"/>
  <c r="AC120" i="3"/>
  <c r="AF120" i="3" s="1"/>
  <c r="AB120" i="3"/>
  <c r="V120" i="3"/>
  <c r="M120" i="3"/>
  <c r="L120" i="3"/>
  <c r="C120" i="3"/>
  <c r="AC119" i="3"/>
  <c r="AF119" i="3" s="1"/>
  <c r="AB119" i="3"/>
  <c r="V119" i="3"/>
  <c r="M119" i="3"/>
  <c r="P119" i="3" s="1"/>
  <c r="L119" i="3"/>
  <c r="N119" i="3" s="1"/>
  <c r="O119" i="3" s="1"/>
  <c r="C119" i="3"/>
  <c r="AC118" i="3"/>
  <c r="AB118" i="3"/>
  <c r="V118" i="3"/>
  <c r="M118" i="3"/>
  <c r="P118" i="3"/>
  <c r="L118" i="3"/>
  <c r="C118" i="3"/>
  <c r="AC117" i="3"/>
  <c r="AF117" i="3"/>
  <c r="AB117" i="3"/>
  <c r="V117" i="3"/>
  <c r="M117" i="3"/>
  <c r="L117" i="3"/>
  <c r="C117" i="3"/>
  <c r="AC116" i="3"/>
  <c r="AF116" i="3" s="1"/>
  <c r="AB116" i="3"/>
  <c r="V116" i="3"/>
  <c r="M116" i="3"/>
  <c r="P116" i="3" s="1"/>
  <c r="L116" i="3"/>
  <c r="C116" i="3"/>
  <c r="AC115" i="3"/>
  <c r="AF115" i="3" s="1"/>
  <c r="AB115" i="3"/>
  <c r="V115" i="3"/>
  <c r="M115" i="3"/>
  <c r="P115" i="3" s="1"/>
  <c r="L115" i="3"/>
  <c r="C115" i="3"/>
  <c r="AC114" i="3"/>
  <c r="AF114" i="3" s="1"/>
  <c r="AB114" i="3"/>
  <c r="V114" i="3"/>
  <c r="M114" i="3"/>
  <c r="P114" i="3" s="1"/>
  <c r="L114" i="3"/>
  <c r="C114" i="3"/>
  <c r="AC113" i="3"/>
  <c r="AF113" i="3" s="1"/>
  <c r="AB113" i="3"/>
  <c r="V113" i="3"/>
  <c r="M113" i="3"/>
  <c r="P113" i="3" s="1"/>
  <c r="L113" i="3"/>
  <c r="C113" i="3"/>
  <c r="AC112" i="3"/>
  <c r="AF112" i="3" s="1"/>
  <c r="AB112" i="3"/>
  <c r="V112" i="3"/>
  <c r="M112" i="3"/>
  <c r="P112" i="3" s="1"/>
  <c r="L112" i="3"/>
  <c r="C112" i="3"/>
  <c r="AC111" i="3"/>
  <c r="AF111" i="3" s="1"/>
  <c r="AB111" i="3"/>
  <c r="V111" i="3"/>
  <c r="M111" i="3"/>
  <c r="P111" i="3" s="1"/>
  <c r="L111" i="3"/>
  <c r="C111" i="3"/>
  <c r="AC110" i="3"/>
  <c r="AF110" i="3" s="1"/>
  <c r="AB110" i="3"/>
  <c r="V110" i="3"/>
  <c r="M110" i="3"/>
  <c r="P110" i="3" s="1"/>
  <c r="L110" i="3"/>
  <c r="C110" i="3"/>
  <c r="AC109" i="3"/>
  <c r="AF109" i="3" s="1"/>
  <c r="AB109" i="3"/>
  <c r="V109" i="3"/>
  <c r="M109" i="3"/>
  <c r="L109" i="3"/>
  <c r="C109" i="3"/>
  <c r="AC108" i="3"/>
  <c r="AF108" i="3"/>
  <c r="AB108" i="3"/>
  <c r="V108" i="3"/>
  <c r="M108" i="3"/>
  <c r="P108" i="3"/>
  <c r="L108" i="3"/>
  <c r="N108" i="3" s="1"/>
  <c r="C108" i="3"/>
  <c r="AC107" i="3"/>
  <c r="AF107" i="3"/>
  <c r="AB107" i="3"/>
  <c r="V107" i="3"/>
  <c r="M107" i="3"/>
  <c r="L107" i="3"/>
  <c r="C107" i="3"/>
  <c r="AC106" i="3"/>
  <c r="AF106" i="3" s="1"/>
  <c r="AB106" i="3"/>
  <c r="V106" i="3"/>
  <c r="M106" i="3"/>
  <c r="P106" i="3" s="1"/>
  <c r="L106" i="3"/>
  <c r="C106" i="3"/>
  <c r="AC105" i="3"/>
  <c r="AB105" i="3"/>
  <c r="V105" i="3"/>
  <c r="M105" i="3"/>
  <c r="P105" i="3"/>
  <c r="Q105" i="3" s="1"/>
  <c r="L105" i="3"/>
  <c r="N105" i="3"/>
  <c r="O105" i="3" s="1"/>
  <c r="C105" i="3"/>
  <c r="AC104" i="3"/>
  <c r="AF104" i="3" s="1"/>
  <c r="AB104" i="3"/>
  <c r="V104" i="3"/>
  <c r="M104" i="3"/>
  <c r="P104" i="3" s="1"/>
  <c r="L104" i="3"/>
  <c r="C104" i="3"/>
  <c r="AC103" i="3"/>
  <c r="AF103" i="3" s="1"/>
  <c r="AB103" i="3"/>
  <c r="V103" i="3"/>
  <c r="M103" i="3"/>
  <c r="P103" i="3" s="1"/>
  <c r="L103" i="3"/>
  <c r="N103" i="3" s="1"/>
  <c r="O103" i="3"/>
  <c r="C103" i="3"/>
  <c r="AC102" i="3"/>
  <c r="AF102" i="3" s="1"/>
  <c r="AB102" i="3"/>
  <c r="V102" i="3"/>
  <c r="M102" i="3"/>
  <c r="P102" i="3" s="1"/>
  <c r="L102" i="3"/>
  <c r="C102" i="3"/>
  <c r="AC101" i="3"/>
  <c r="AF101" i="3" s="1"/>
  <c r="AB101" i="3"/>
  <c r="V101" i="3"/>
  <c r="M101" i="3"/>
  <c r="P101" i="3" s="1"/>
  <c r="L101" i="3"/>
  <c r="C101" i="3"/>
  <c r="AC100" i="3"/>
  <c r="AF100" i="3" s="1"/>
  <c r="AB100" i="3"/>
  <c r="V100" i="3"/>
  <c r="M100" i="3"/>
  <c r="P100" i="3" s="1"/>
  <c r="L100" i="3"/>
  <c r="C100" i="3"/>
  <c r="AC99" i="3"/>
  <c r="AF99" i="3" s="1"/>
  <c r="AB99" i="3"/>
  <c r="V99" i="3"/>
  <c r="M99" i="3"/>
  <c r="P99" i="3" s="1"/>
  <c r="L99" i="3"/>
  <c r="C99" i="3"/>
  <c r="AC98" i="3"/>
  <c r="AB98" i="3"/>
  <c r="V98" i="3"/>
  <c r="M98" i="3"/>
  <c r="P98" i="3" s="1"/>
  <c r="L98" i="3"/>
  <c r="C98" i="3"/>
  <c r="AC97" i="3"/>
  <c r="AF97" i="3"/>
  <c r="AB97" i="3"/>
  <c r="V97" i="3"/>
  <c r="M97" i="3"/>
  <c r="P97" i="3"/>
  <c r="L97" i="3"/>
  <c r="C97" i="3"/>
  <c r="AC96" i="3"/>
  <c r="AF96" i="3"/>
  <c r="AB96" i="3"/>
  <c r="V96" i="3"/>
  <c r="M96" i="3"/>
  <c r="P96" i="3"/>
  <c r="L96" i="3"/>
  <c r="C96" i="3"/>
  <c r="AC95" i="3"/>
  <c r="AF95" i="3"/>
  <c r="AB95" i="3"/>
  <c r="V95" i="3"/>
  <c r="M95" i="3"/>
  <c r="P95" i="3"/>
  <c r="L95" i="3"/>
  <c r="N95" i="3"/>
  <c r="O95" i="3" s="1"/>
  <c r="C95" i="3"/>
  <c r="AC94" i="3"/>
  <c r="AF94" i="3"/>
  <c r="AB94" i="3"/>
  <c r="V94" i="3"/>
  <c r="M94" i="3"/>
  <c r="P94" i="3"/>
  <c r="L94" i="3"/>
  <c r="N94" i="3"/>
  <c r="O94" i="3" s="1"/>
  <c r="C94" i="3"/>
  <c r="AC93" i="3"/>
  <c r="AB93" i="3"/>
  <c r="V93" i="3"/>
  <c r="M93" i="3"/>
  <c r="L93" i="3"/>
  <c r="C93" i="3"/>
  <c r="AC92" i="3"/>
  <c r="AF92" i="3" s="1"/>
  <c r="AB92" i="3"/>
  <c r="AD92" i="3" s="1"/>
  <c r="AE92" i="3" s="1"/>
  <c r="V92" i="3"/>
  <c r="M92" i="3"/>
  <c r="P92" i="3"/>
  <c r="L92" i="3"/>
  <c r="C92" i="3"/>
  <c r="AC91" i="3"/>
  <c r="AF91" i="3"/>
  <c r="AB91" i="3"/>
  <c r="V91" i="3"/>
  <c r="M91" i="3"/>
  <c r="P91" i="3"/>
  <c r="L91" i="3"/>
  <c r="N91" i="3"/>
  <c r="O91" i="3" s="1"/>
  <c r="Q91" i="3" s="1"/>
  <c r="C91" i="3"/>
  <c r="AC90" i="3"/>
  <c r="AF90" i="3" s="1"/>
  <c r="AB90" i="3"/>
  <c r="V90" i="3"/>
  <c r="M90" i="3"/>
  <c r="P90" i="3"/>
  <c r="L90" i="3"/>
  <c r="C90" i="3"/>
  <c r="AC89" i="3"/>
  <c r="AF89" i="3"/>
  <c r="AB89" i="3"/>
  <c r="V89" i="3"/>
  <c r="M89" i="3"/>
  <c r="P89" i="3" s="1"/>
  <c r="L89" i="3"/>
  <c r="N89" i="3"/>
  <c r="O89" i="3" s="1"/>
  <c r="C89" i="3"/>
  <c r="AC88" i="3"/>
  <c r="AF88" i="3"/>
  <c r="AB88" i="3"/>
  <c r="V88" i="3"/>
  <c r="M88" i="3"/>
  <c r="P88" i="3"/>
  <c r="L88" i="3"/>
  <c r="N88" i="3"/>
  <c r="O88" i="3" s="1"/>
  <c r="C88" i="3"/>
  <c r="AC87" i="3"/>
  <c r="AF87" i="3" s="1"/>
  <c r="AB87" i="3"/>
  <c r="V87" i="3"/>
  <c r="M87" i="3"/>
  <c r="P87" i="3" s="1"/>
  <c r="L87" i="3"/>
  <c r="C87" i="3"/>
  <c r="AC86" i="3"/>
  <c r="AF86" i="3" s="1"/>
  <c r="AB86" i="3"/>
  <c r="V86" i="3"/>
  <c r="M86" i="3"/>
  <c r="P86" i="3" s="1"/>
  <c r="L86" i="3"/>
  <c r="N86" i="3" s="1"/>
  <c r="O86" i="3" s="1"/>
  <c r="C86" i="3"/>
  <c r="AC85" i="3"/>
  <c r="AF85" i="3" s="1"/>
  <c r="AB85" i="3"/>
  <c r="V85" i="3"/>
  <c r="M85" i="3"/>
  <c r="P85" i="3" s="1"/>
  <c r="L85" i="3"/>
  <c r="N85" i="3" s="1"/>
  <c r="O85" i="3"/>
  <c r="C85" i="3"/>
  <c r="AC84" i="3"/>
  <c r="AF84" i="3" s="1"/>
  <c r="AB84" i="3"/>
  <c r="V84" i="3"/>
  <c r="M84" i="3"/>
  <c r="P84" i="3" s="1"/>
  <c r="L84" i="3"/>
  <c r="C84" i="3"/>
  <c r="AC83" i="3"/>
  <c r="AF83" i="3"/>
  <c r="AB83" i="3"/>
  <c r="V83" i="3"/>
  <c r="M83" i="3"/>
  <c r="P83" i="3"/>
  <c r="L83" i="3"/>
  <c r="C83" i="3"/>
  <c r="AC82" i="3"/>
  <c r="AF82" i="3"/>
  <c r="AB82" i="3"/>
  <c r="V82" i="3"/>
  <c r="M82" i="3"/>
  <c r="P82" i="3"/>
  <c r="L82" i="3"/>
  <c r="C82" i="3"/>
  <c r="AC81" i="3"/>
  <c r="AF81" i="3" s="1"/>
  <c r="AB81" i="3"/>
  <c r="V81" i="3"/>
  <c r="M81" i="3"/>
  <c r="P81" i="3"/>
  <c r="L81" i="3"/>
  <c r="C81" i="3"/>
  <c r="AC80" i="3"/>
  <c r="AF80" i="3"/>
  <c r="AB80" i="3"/>
  <c r="V80" i="3"/>
  <c r="M80" i="3"/>
  <c r="P80" i="3"/>
  <c r="L80" i="3"/>
  <c r="C80" i="3"/>
  <c r="AC79" i="3"/>
  <c r="AF79" i="3" s="1"/>
  <c r="AB79" i="3"/>
  <c r="V79" i="3"/>
  <c r="M79" i="3"/>
  <c r="P79" i="3" s="1"/>
  <c r="L79" i="3"/>
  <c r="C79" i="3"/>
  <c r="AC78" i="3"/>
  <c r="AB78" i="3"/>
  <c r="AD78" i="3" s="1"/>
  <c r="V78" i="3"/>
  <c r="M78" i="3"/>
  <c r="P78" i="3" s="1"/>
  <c r="L78" i="3"/>
  <c r="C78" i="3"/>
  <c r="AC77" i="3"/>
  <c r="AB77" i="3"/>
  <c r="V77" i="3"/>
  <c r="M77" i="3"/>
  <c r="P77" i="3"/>
  <c r="L77" i="3"/>
  <c r="N77" i="3"/>
  <c r="O77" i="3"/>
  <c r="Q77" i="3"/>
  <c r="C77" i="3"/>
  <c r="AC76" i="3"/>
  <c r="AF76" i="3" s="1"/>
  <c r="AB76" i="3"/>
  <c r="V76" i="3"/>
  <c r="M76" i="3"/>
  <c r="P76" i="3" s="1"/>
  <c r="L76" i="3"/>
  <c r="C76" i="3"/>
  <c r="AC75" i="3"/>
  <c r="AB75" i="3"/>
  <c r="V75" i="3"/>
  <c r="M75" i="3"/>
  <c r="P75" i="3" s="1"/>
  <c r="L75" i="3"/>
  <c r="C75" i="3"/>
  <c r="AC74" i="3"/>
  <c r="AD74" i="3" s="1"/>
  <c r="AF74" i="3"/>
  <c r="AB74" i="3"/>
  <c r="V74" i="3"/>
  <c r="M74" i="3"/>
  <c r="P74" i="3" s="1"/>
  <c r="L74" i="3"/>
  <c r="N74" i="3" s="1"/>
  <c r="O74" i="3" s="1"/>
  <c r="C74" i="3"/>
  <c r="AC73" i="3"/>
  <c r="AF73" i="3"/>
  <c r="AB73" i="3"/>
  <c r="V73" i="3"/>
  <c r="M73" i="3"/>
  <c r="P73" i="3" s="1"/>
  <c r="L73" i="3"/>
  <c r="C73" i="3"/>
  <c r="AC72" i="3"/>
  <c r="AB72" i="3"/>
  <c r="V72" i="3"/>
  <c r="M72" i="3"/>
  <c r="P72" i="3"/>
  <c r="L72" i="3"/>
  <c r="C72" i="3"/>
  <c r="AC71" i="3"/>
  <c r="AF71" i="3"/>
  <c r="AB71" i="3"/>
  <c r="V71" i="3"/>
  <c r="M71" i="3"/>
  <c r="L71" i="3"/>
  <c r="C71" i="3"/>
  <c r="AC70" i="3"/>
  <c r="AF70" i="3" s="1"/>
  <c r="AB70" i="3"/>
  <c r="V70" i="3"/>
  <c r="M70" i="3"/>
  <c r="P70" i="3" s="1"/>
  <c r="L70" i="3"/>
  <c r="C70" i="3"/>
  <c r="AC69" i="3"/>
  <c r="AF69" i="3" s="1"/>
  <c r="AB69" i="3"/>
  <c r="V69" i="3"/>
  <c r="M69" i="3"/>
  <c r="P69" i="3" s="1"/>
  <c r="L69" i="3"/>
  <c r="C69" i="3"/>
  <c r="AC68" i="3"/>
  <c r="AF68" i="3" s="1"/>
  <c r="AB68" i="3"/>
  <c r="V68" i="3"/>
  <c r="P68" i="3"/>
  <c r="M68" i="3"/>
  <c r="L68" i="3"/>
  <c r="C68" i="3"/>
  <c r="AC67" i="3"/>
  <c r="AF67" i="3" s="1"/>
  <c r="AB67" i="3"/>
  <c r="V67" i="3"/>
  <c r="M67" i="3"/>
  <c r="P67" i="3" s="1"/>
  <c r="L67" i="3"/>
  <c r="N67" i="3" s="1"/>
  <c r="O67" i="3"/>
  <c r="Q67" i="3" s="1"/>
  <c r="C67" i="3"/>
  <c r="AC66" i="3"/>
  <c r="AF66" i="3" s="1"/>
  <c r="AB66" i="3"/>
  <c r="V66" i="3"/>
  <c r="M66" i="3"/>
  <c r="P66" i="3"/>
  <c r="L66" i="3"/>
  <c r="C66" i="3"/>
  <c r="AC65" i="3"/>
  <c r="AF65" i="3" s="1"/>
  <c r="AB65" i="3"/>
  <c r="AD65" i="3"/>
  <c r="AE65" i="3" s="1"/>
  <c r="V65" i="3"/>
  <c r="M65" i="3"/>
  <c r="P65" i="3"/>
  <c r="L65" i="3"/>
  <c r="C65" i="3"/>
  <c r="AC64" i="3"/>
  <c r="AF64" i="3"/>
  <c r="AB64" i="3"/>
  <c r="V64" i="3"/>
  <c r="M64" i="3"/>
  <c r="P64" i="3"/>
  <c r="L64" i="3"/>
  <c r="C64" i="3"/>
  <c r="AC63" i="3"/>
  <c r="AF63" i="3"/>
  <c r="AB63" i="3"/>
  <c r="V63" i="3"/>
  <c r="M63" i="3"/>
  <c r="P63" i="3" s="1"/>
  <c r="L63" i="3"/>
  <c r="C63" i="3"/>
  <c r="AC62" i="3"/>
  <c r="AF62" i="3" s="1"/>
  <c r="AB62" i="3"/>
  <c r="AD62" i="3" s="1"/>
  <c r="AE62" i="3" s="1"/>
  <c r="V62" i="3"/>
  <c r="M62" i="3"/>
  <c r="P62" i="3" s="1"/>
  <c r="L62" i="3"/>
  <c r="N62" i="3"/>
  <c r="O62" i="3"/>
  <c r="C62" i="3"/>
  <c r="AC61" i="3"/>
  <c r="AF61" i="3" s="1"/>
  <c r="AB61" i="3"/>
  <c r="V61" i="3"/>
  <c r="M61" i="3"/>
  <c r="P61" i="3"/>
  <c r="L61" i="3"/>
  <c r="C61" i="3"/>
  <c r="AC60" i="3"/>
  <c r="AF60" i="3"/>
  <c r="AB60" i="3"/>
  <c r="V60" i="3"/>
  <c r="M60" i="3"/>
  <c r="P60" i="3" s="1"/>
  <c r="L60" i="3"/>
  <c r="C60" i="3"/>
  <c r="AC59" i="3"/>
  <c r="AF59" i="3"/>
  <c r="AB59" i="3"/>
  <c r="V59" i="3"/>
  <c r="M59" i="3"/>
  <c r="P59" i="3"/>
  <c r="L59" i="3"/>
  <c r="N59" i="3" s="1"/>
  <c r="O59" i="3" s="1"/>
  <c r="C59" i="3"/>
  <c r="AC58" i="3"/>
  <c r="AF58" i="3" s="1"/>
  <c r="AB58" i="3"/>
  <c r="V58" i="3"/>
  <c r="M58" i="3"/>
  <c r="P58" i="3" s="1"/>
  <c r="L58" i="3"/>
  <c r="C58" i="3"/>
  <c r="AC57" i="3"/>
  <c r="AF57" i="3" s="1"/>
  <c r="AB57" i="3"/>
  <c r="V57" i="3"/>
  <c r="M57" i="3"/>
  <c r="P57" i="3" s="1"/>
  <c r="L57" i="3"/>
  <c r="C57" i="3"/>
  <c r="AC56" i="3"/>
  <c r="AF56" i="3" s="1"/>
  <c r="AB56" i="3"/>
  <c r="AD56" i="3"/>
  <c r="AE56" i="3"/>
  <c r="V56" i="3"/>
  <c r="P56" i="3"/>
  <c r="M56" i="3"/>
  <c r="L56" i="3"/>
  <c r="C56" i="3"/>
  <c r="AC55" i="3"/>
  <c r="AF55" i="3"/>
  <c r="AB55" i="3"/>
  <c r="V55" i="3"/>
  <c r="M55" i="3"/>
  <c r="L55" i="3"/>
  <c r="N55" i="3" s="1"/>
  <c r="O55" i="3" s="1"/>
  <c r="C55" i="3"/>
  <c r="AC54" i="3"/>
  <c r="AB54" i="3"/>
  <c r="V54" i="3"/>
  <c r="M54" i="3"/>
  <c r="P54" i="3" s="1"/>
  <c r="L54" i="3"/>
  <c r="C54" i="3"/>
  <c r="AC53" i="3"/>
  <c r="AF53" i="3"/>
  <c r="AB53" i="3"/>
  <c r="V53" i="3"/>
  <c r="M53" i="3"/>
  <c r="P53" i="3"/>
  <c r="L53" i="3"/>
  <c r="C53" i="3"/>
  <c r="AC52" i="3"/>
  <c r="AF52" i="3" s="1"/>
  <c r="AB52" i="3"/>
  <c r="V52" i="3"/>
  <c r="M52" i="3"/>
  <c r="P52" i="3"/>
  <c r="L52" i="3"/>
  <c r="C52" i="3"/>
  <c r="AC51" i="3"/>
  <c r="AF51" i="3"/>
  <c r="AB51" i="3"/>
  <c r="V51" i="3"/>
  <c r="M51" i="3"/>
  <c r="P51" i="3" s="1"/>
  <c r="L51" i="3"/>
  <c r="N51" i="3" s="1"/>
  <c r="O51" i="3" s="1"/>
  <c r="C51" i="3"/>
  <c r="AC50" i="3"/>
  <c r="AF50" i="3"/>
  <c r="AB50" i="3"/>
  <c r="V50" i="3"/>
  <c r="M50" i="3"/>
  <c r="P50" i="3"/>
  <c r="L50" i="3"/>
  <c r="C50" i="3"/>
  <c r="AC49" i="3"/>
  <c r="AF49" i="3" s="1"/>
  <c r="AB49" i="3"/>
  <c r="V49" i="3"/>
  <c r="M49" i="3"/>
  <c r="P49" i="3"/>
  <c r="L49" i="3"/>
  <c r="C49" i="3"/>
  <c r="AC48" i="3"/>
  <c r="AF48" i="3"/>
  <c r="AB48" i="3"/>
  <c r="V48" i="3"/>
  <c r="M48" i="3"/>
  <c r="P48" i="3" s="1"/>
  <c r="L48" i="3"/>
  <c r="C48" i="3"/>
  <c r="AC47" i="3"/>
  <c r="AF47" i="3"/>
  <c r="AB47" i="3"/>
  <c r="V47" i="3"/>
  <c r="M47" i="3"/>
  <c r="P47" i="3"/>
  <c r="L47" i="3"/>
  <c r="C47" i="3"/>
  <c r="AC46" i="3"/>
  <c r="AF46" i="3" s="1"/>
  <c r="AB46" i="3"/>
  <c r="V46" i="3"/>
  <c r="M46" i="3"/>
  <c r="P46" i="3"/>
  <c r="L46" i="3"/>
  <c r="C46" i="3"/>
  <c r="AC45" i="3"/>
  <c r="AF45" i="3"/>
  <c r="AB45" i="3"/>
  <c r="AD45" i="3" s="1"/>
  <c r="AE45" i="3" s="1"/>
  <c r="AG45" i="3" s="1"/>
  <c r="AM45" i="3" s="1"/>
  <c r="V45" i="3"/>
  <c r="M45" i="3"/>
  <c r="P45" i="3"/>
  <c r="L45" i="3"/>
  <c r="C45" i="3"/>
  <c r="AC44" i="3"/>
  <c r="AF44" i="3"/>
  <c r="AB44" i="3"/>
  <c r="V44" i="3"/>
  <c r="M44" i="3"/>
  <c r="P44" i="3" s="1"/>
  <c r="L44" i="3"/>
  <c r="C44" i="3"/>
  <c r="AC43" i="3"/>
  <c r="AF43" i="3"/>
  <c r="AB43" i="3"/>
  <c r="V43" i="3"/>
  <c r="M43" i="3"/>
  <c r="P43" i="3" s="1"/>
  <c r="L43" i="3"/>
  <c r="C43" i="3"/>
  <c r="AC42" i="3"/>
  <c r="AB42" i="3"/>
  <c r="V42" i="3"/>
  <c r="M42" i="3"/>
  <c r="L42" i="3"/>
  <c r="C42" i="3"/>
  <c r="AC41" i="3"/>
  <c r="AF41" i="3"/>
  <c r="AB41" i="3"/>
  <c r="V41" i="3"/>
  <c r="M41" i="3"/>
  <c r="P41" i="3" s="1"/>
  <c r="L41" i="3"/>
  <c r="C41" i="3"/>
  <c r="AC40" i="3"/>
  <c r="AB40" i="3"/>
  <c r="V40" i="3"/>
  <c r="M40" i="3"/>
  <c r="P40" i="3" s="1"/>
  <c r="L40" i="3"/>
  <c r="C40" i="3"/>
  <c r="AC39" i="3"/>
  <c r="AF39" i="3"/>
  <c r="AB39" i="3"/>
  <c r="V39" i="3"/>
  <c r="M39" i="3"/>
  <c r="L39" i="3"/>
  <c r="C39" i="3"/>
  <c r="AC38" i="3"/>
  <c r="AF38" i="3" s="1"/>
  <c r="AB38" i="3"/>
  <c r="V38" i="3"/>
  <c r="M38" i="3"/>
  <c r="P38" i="3" s="1"/>
  <c r="L38" i="3"/>
  <c r="C38" i="3"/>
  <c r="AC37" i="3"/>
  <c r="AF37" i="3" s="1"/>
  <c r="AB37" i="3"/>
  <c r="V37" i="3"/>
  <c r="M37" i="3"/>
  <c r="P37" i="3" s="1"/>
  <c r="L37" i="3"/>
  <c r="C37" i="3"/>
  <c r="AC36" i="3"/>
  <c r="AF36" i="3" s="1"/>
  <c r="AB36" i="3"/>
  <c r="V36" i="3"/>
  <c r="M36" i="3"/>
  <c r="P36" i="3" s="1"/>
  <c r="L36" i="3"/>
  <c r="C36" i="3"/>
  <c r="AC35" i="3"/>
  <c r="AF35" i="3" s="1"/>
  <c r="AB35" i="3"/>
  <c r="V35" i="3"/>
  <c r="M35" i="3"/>
  <c r="P35" i="3" s="1"/>
  <c r="L35" i="3"/>
  <c r="C35" i="3"/>
  <c r="AC34" i="3"/>
  <c r="AB34" i="3"/>
  <c r="V34" i="3"/>
  <c r="M34" i="3"/>
  <c r="P34" i="3"/>
  <c r="L34" i="3"/>
  <c r="C34" i="3"/>
  <c r="AC33" i="3"/>
  <c r="AF33" i="3" s="1"/>
  <c r="AB33" i="3"/>
  <c r="V33" i="3"/>
  <c r="M33" i="3"/>
  <c r="P33" i="3"/>
  <c r="L33" i="3"/>
  <c r="C33" i="3"/>
  <c r="AC32" i="3"/>
  <c r="AF32" i="3"/>
  <c r="AB32" i="3"/>
  <c r="V32" i="3"/>
  <c r="M32" i="3"/>
  <c r="P32" i="3" s="1"/>
  <c r="L32" i="3"/>
  <c r="C32" i="3"/>
  <c r="AC31" i="3"/>
  <c r="AF31" i="3"/>
  <c r="AB31" i="3"/>
  <c r="V31" i="3"/>
  <c r="M31" i="3"/>
  <c r="P31" i="3"/>
  <c r="L31" i="3"/>
  <c r="N31" i="3" s="1"/>
  <c r="O31" i="3" s="1"/>
  <c r="C31" i="3"/>
  <c r="AC30" i="3"/>
  <c r="AF30" i="3"/>
  <c r="AB30" i="3"/>
  <c r="AD30" i="3"/>
  <c r="AE30" i="3" s="1"/>
  <c r="V30" i="3"/>
  <c r="M30" i="3"/>
  <c r="P30" i="3"/>
  <c r="L30" i="3"/>
  <c r="N30" i="3" s="1"/>
  <c r="O30" i="3" s="1"/>
  <c r="C30" i="3"/>
  <c r="AC29" i="3"/>
  <c r="AF29" i="3"/>
  <c r="AB29" i="3"/>
  <c r="V29" i="3"/>
  <c r="M29" i="3"/>
  <c r="P29" i="3"/>
  <c r="L29" i="3"/>
  <c r="C29" i="3"/>
  <c r="AC28" i="3"/>
  <c r="AF28" i="3" s="1"/>
  <c r="AB28" i="3"/>
  <c r="V28" i="3"/>
  <c r="M28" i="3"/>
  <c r="P28" i="3"/>
  <c r="L28" i="3"/>
  <c r="C28" i="3"/>
  <c r="AC27" i="3"/>
  <c r="AF27" i="3"/>
  <c r="AB27" i="3"/>
  <c r="V27" i="3"/>
  <c r="M27" i="3"/>
  <c r="L27" i="3"/>
  <c r="C27" i="3"/>
  <c r="AC26" i="3"/>
  <c r="AB26" i="3"/>
  <c r="AD26" i="3"/>
  <c r="AE26" i="3"/>
  <c r="V26" i="3"/>
  <c r="M26" i="3"/>
  <c r="P26" i="3"/>
  <c r="L26" i="3"/>
  <c r="C26" i="3"/>
  <c r="AC25" i="3"/>
  <c r="AF25" i="3" s="1"/>
  <c r="AB25" i="3"/>
  <c r="V25" i="3"/>
  <c r="M25" i="3"/>
  <c r="P25" i="3"/>
  <c r="L25" i="3"/>
  <c r="C25" i="3"/>
  <c r="AC24" i="3"/>
  <c r="AF24" i="3"/>
  <c r="AB24" i="3"/>
  <c r="V24" i="3"/>
  <c r="M24" i="3"/>
  <c r="P24" i="3" s="1"/>
  <c r="L24" i="3"/>
  <c r="C24" i="3"/>
  <c r="AC23" i="3"/>
  <c r="AF23" i="3"/>
  <c r="AB23" i="3"/>
  <c r="V23" i="3"/>
  <c r="M23" i="3"/>
  <c r="P23" i="3"/>
  <c r="L23" i="3"/>
  <c r="C23" i="3"/>
  <c r="AC22" i="3"/>
  <c r="AF22" i="3" s="1"/>
  <c r="AB22" i="3"/>
  <c r="V22" i="3"/>
  <c r="M22" i="3"/>
  <c r="P22" i="3"/>
  <c r="L22" i="3"/>
  <c r="C22" i="3"/>
  <c r="AC21" i="3"/>
  <c r="AF21" i="3"/>
  <c r="AB21" i="3"/>
  <c r="V21" i="3"/>
  <c r="M21" i="3"/>
  <c r="P21" i="3" s="1"/>
  <c r="L21" i="3"/>
  <c r="C21" i="3"/>
  <c r="AC20" i="3"/>
  <c r="AF20" i="3"/>
  <c r="AB20" i="3"/>
  <c r="V20" i="3"/>
  <c r="M20" i="3"/>
  <c r="P20" i="3"/>
  <c r="L20" i="3"/>
  <c r="C20" i="3"/>
  <c r="AC19" i="3"/>
  <c r="AF19" i="3" s="1"/>
  <c r="AB19" i="3"/>
  <c r="AD19" i="3"/>
  <c r="AE19" i="3"/>
  <c r="V19" i="3"/>
  <c r="M19" i="3"/>
  <c r="P19" i="3"/>
  <c r="L19" i="3"/>
  <c r="C19" i="3"/>
  <c r="AC18" i="3"/>
  <c r="AF18" i="3" s="1"/>
  <c r="AB18" i="3"/>
  <c r="V18" i="3"/>
  <c r="M18" i="3"/>
  <c r="P18" i="3"/>
  <c r="L18" i="3"/>
  <c r="C18" i="3"/>
  <c r="AC17" i="3"/>
  <c r="AF17" i="3"/>
  <c r="AB17" i="3"/>
  <c r="V17" i="3"/>
  <c r="M17" i="3"/>
  <c r="P17" i="3" s="1"/>
  <c r="L17" i="3"/>
  <c r="C17" i="3"/>
  <c r="AC16" i="3"/>
  <c r="AF16" i="3"/>
  <c r="AB16" i="3"/>
  <c r="V16" i="3"/>
  <c r="M16" i="3"/>
  <c r="P16" i="3"/>
  <c r="L16" i="3"/>
  <c r="C16" i="3"/>
  <c r="AC15" i="3"/>
  <c r="AF15" i="3" s="1"/>
  <c r="AB15" i="3"/>
  <c r="V15" i="3"/>
  <c r="M15" i="3"/>
  <c r="P15" i="3"/>
  <c r="L15" i="3"/>
  <c r="C15" i="3"/>
  <c r="AC14" i="3"/>
  <c r="AF14" i="3"/>
  <c r="AB14" i="3"/>
  <c r="V14" i="3"/>
  <c r="M14" i="3"/>
  <c r="P14" i="3" s="1"/>
  <c r="L14" i="3"/>
  <c r="C14" i="3"/>
  <c r="AC13" i="3"/>
  <c r="AF13" i="3"/>
  <c r="AB13" i="3"/>
  <c r="AD13" i="3"/>
  <c r="AE13" i="3" s="1"/>
  <c r="AG13" i="3" s="1"/>
  <c r="AM13" i="3" s="1"/>
  <c r="V13" i="3"/>
  <c r="M13" i="3"/>
  <c r="P13" i="3" s="1"/>
  <c r="L13" i="3"/>
  <c r="C13" i="3"/>
  <c r="AC12" i="3"/>
  <c r="AF12" i="3"/>
  <c r="AB12" i="3"/>
  <c r="V12" i="3"/>
  <c r="M12" i="3"/>
  <c r="N12" i="3" s="1"/>
  <c r="O12" i="3" s="1"/>
  <c r="P12" i="3"/>
  <c r="L12" i="3"/>
  <c r="C12" i="3"/>
  <c r="AC11" i="3"/>
  <c r="AF11" i="3" s="1"/>
  <c r="AB11" i="3"/>
  <c r="V11" i="3"/>
  <c r="M11" i="3"/>
  <c r="L11" i="3"/>
  <c r="C11" i="3"/>
  <c r="AC10" i="3"/>
  <c r="AF10" i="3" s="1"/>
  <c r="AB10" i="3"/>
  <c r="AD10" i="3" s="1"/>
  <c r="AE10" i="3" s="1"/>
  <c r="V10" i="3"/>
  <c r="M10" i="3"/>
  <c r="P10" i="3" s="1"/>
  <c r="L10" i="3"/>
  <c r="N10" i="3" s="1"/>
  <c r="O10" i="3" s="1"/>
  <c r="Q10" i="3" s="1"/>
  <c r="C10" i="3"/>
  <c r="A1" i="3"/>
  <c r="C30" i="2"/>
  <c r="E26" i="2"/>
  <c r="G24" i="2"/>
  <c r="C19" i="2"/>
  <c r="C18" i="2"/>
  <c r="C17" i="2"/>
  <c r="C16" i="2"/>
  <c r="A10" i="2"/>
  <c r="F7" i="2"/>
  <c r="B7" i="2"/>
  <c r="B8" i="10"/>
  <c r="F6" i="2"/>
  <c r="Q186" i="3"/>
  <c r="N264" i="3"/>
  <c r="O264" i="3" s="1"/>
  <c r="Q264" i="3" s="1"/>
  <c r="C20" i="2"/>
  <c r="AD114" i="3"/>
  <c r="AE114" i="3"/>
  <c r="AG114" i="3" s="1"/>
  <c r="AM114" i="3" s="1"/>
  <c r="AE151" i="3"/>
  <c r="AG151" i="3"/>
  <c r="AM151" i="3" s="1"/>
  <c r="P217" i="3"/>
  <c r="N217" i="3"/>
  <c r="O217" i="3" s="1"/>
  <c r="P132" i="3"/>
  <c r="N133" i="3"/>
  <c r="O133" i="3" s="1"/>
  <c r="Q133" i="3"/>
  <c r="AD138" i="3"/>
  <c r="AE138" i="3"/>
  <c r="AG138" i="3" s="1"/>
  <c r="AD170" i="3"/>
  <c r="AE170" i="3" s="1"/>
  <c r="AG170" i="3" s="1"/>
  <c r="AM170" i="3" s="1"/>
  <c r="AD186" i="3"/>
  <c r="AE186" i="3" s="1"/>
  <c r="AD200" i="3"/>
  <c r="AE200" i="3" s="1"/>
  <c r="AG200" i="3" s="1"/>
  <c r="AM200" i="3" s="1"/>
  <c r="AF204" i="3"/>
  <c r="AD218" i="3"/>
  <c r="AE218" i="3"/>
  <c r="AG218" i="3" s="1"/>
  <c r="AM218" i="3" s="1"/>
  <c r="AD224" i="3"/>
  <c r="AE224" i="3" s="1"/>
  <c r="AD235" i="3"/>
  <c r="AE235" i="3"/>
  <c r="AG235" i="3" s="1"/>
  <c r="AM235" i="3"/>
  <c r="AD238" i="3"/>
  <c r="AE238" i="3"/>
  <c r="N239" i="3"/>
  <c r="O239" i="3"/>
  <c r="Q239" i="3" s="1"/>
  <c r="AD254" i="3"/>
  <c r="AE254" i="3"/>
  <c r="AG254" i="3" s="1"/>
  <c r="AM254" i="3" s="1"/>
  <c r="N255" i="3"/>
  <c r="O255" i="3" s="1"/>
  <c r="Q255" i="3" s="1"/>
  <c r="N256" i="3"/>
  <c r="O256" i="3"/>
  <c r="Q256" i="3" s="1"/>
  <c r="N263" i="3"/>
  <c r="O263" i="3" s="1"/>
  <c r="Q263" i="3" s="1"/>
  <c r="N99" i="3"/>
  <c r="O99" i="3"/>
  <c r="Q99" i="3" s="1"/>
  <c r="AD102" i="3"/>
  <c r="AE102" i="3" s="1"/>
  <c r="AG102" i="3" s="1"/>
  <c r="AM102" i="3" s="1"/>
  <c r="N137" i="3"/>
  <c r="O137" i="3" s="1"/>
  <c r="Q137" i="3" s="1"/>
  <c r="AD134" i="3"/>
  <c r="AE134" i="3" s="1"/>
  <c r="AG134" i="3" s="1"/>
  <c r="AM134" i="3" s="1"/>
  <c r="AD198" i="3"/>
  <c r="AE198" i="3" s="1"/>
  <c r="AG198" i="3" s="1"/>
  <c r="AM198" i="3" s="1"/>
  <c r="AD215" i="3"/>
  <c r="AE215" i="3" s="1"/>
  <c r="AG215" i="3" s="1"/>
  <c r="AM215" i="3" s="1"/>
  <c r="N223" i="3"/>
  <c r="O223" i="3"/>
  <c r="Q223" i="3" s="1"/>
  <c r="N228" i="3"/>
  <c r="O228" i="3"/>
  <c r="N155" i="3"/>
  <c r="O155" i="3"/>
  <c r="Q155" i="3" s="1"/>
  <c r="AD162" i="3"/>
  <c r="AE162" i="3" s="1"/>
  <c r="N171" i="3"/>
  <c r="O171" i="3" s="1"/>
  <c r="Q171" i="3" s="1"/>
  <c r="AD178" i="3"/>
  <c r="AE178" i="3" s="1"/>
  <c r="N187" i="3"/>
  <c r="O187" i="3"/>
  <c r="Q187" i="3" s="1"/>
  <c r="AD194" i="3"/>
  <c r="AE194" i="3" s="1"/>
  <c r="N203" i="3"/>
  <c r="O203" i="3" s="1"/>
  <c r="Q203" i="3" s="1"/>
  <c r="N227" i="3"/>
  <c r="O227" i="3" s="1"/>
  <c r="AD262" i="3"/>
  <c r="AE262" i="3" s="1"/>
  <c r="AD278" i="3"/>
  <c r="AE278" i="3"/>
  <c r="AD286" i="3"/>
  <c r="AE286" i="3"/>
  <c r="AG286" i="3" s="1"/>
  <c r="AM286" i="3" s="1"/>
  <c r="AG288" i="3"/>
  <c r="AM288" i="3"/>
  <c r="AD294" i="3"/>
  <c r="AE294" i="3"/>
  <c r="AD310" i="3"/>
  <c r="AE310" i="3" s="1"/>
  <c r="AD318" i="3"/>
  <c r="AE318" i="3" s="1"/>
  <c r="AD326" i="3"/>
  <c r="AE326" i="3"/>
  <c r="N279" i="3"/>
  <c r="O279" i="3"/>
  <c r="N287" i="3"/>
  <c r="O287" i="3"/>
  <c r="Q287" i="3" s="1"/>
  <c r="N295" i="3"/>
  <c r="O295" i="3" s="1"/>
  <c r="N303" i="3"/>
  <c r="O303" i="3"/>
  <c r="Q303" i="3" s="1"/>
  <c r="N311" i="3"/>
  <c r="O311" i="3"/>
  <c r="N312" i="3"/>
  <c r="O312" i="3"/>
  <c r="AD315" i="3"/>
  <c r="AE315" i="3"/>
  <c r="AG315" i="3" s="1"/>
  <c r="AM315" i="3" s="1"/>
  <c r="N320" i="3"/>
  <c r="O320" i="3" s="1"/>
  <c r="Q320" i="3" s="1"/>
  <c r="AD323" i="3"/>
  <c r="AE323" i="3" s="1"/>
  <c r="AG323" i="3" s="1"/>
  <c r="AM323" i="3" s="1"/>
  <c r="P343" i="3"/>
  <c r="AD206" i="3"/>
  <c r="AE206" i="3"/>
  <c r="AG206" i="3" s="1"/>
  <c r="AM206" i="3" s="1"/>
  <c r="N215" i="3"/>
  <c r="O215" i="3" s="1"/>
  <c r="Q215" i="3"/>
  <c r="N235" i="3"/>
  <c r="O235" i="3" s="1"/>
  <c r="Q235" i="3" s="1"/>
  <c r="O251" i="3"/>
  <c r="N259" i="3"/>
  <c r="O259" i="3"/>
  <c r="Q259" i="3" s="1"/>
  <c r="N267" i="3"/>
  <c r="O267" i="3" s="1"/>
  <c r="Q267" i="3" s="1"/>
  <c r="N283" i="3"/>
  <c r="O283" i="3" s="1"/>
  <c r="N307" i="3"/>
  <c r="O307" i="3"/>
  <c r="Q307" i="3" s="1"/>
  <c r="N315" i="3"/>
  <c r="O315" i="3" s="1"/>
  <c r="Q315" i="3" s="1"/>
  <c r="N323" i="3"/>
  <c r="O323" i="3"/>
  <c r="Q323" i="3" s="1"/>
  <c r="AF346" i="3"/>
  <c r="AD354" i="3"/>
  <c r="AE354" i="3" s="1"/>
  <c r="AF354" i="3"/>
  <c r="R14" i="4"/>
  <c r="P18" i="4"/>
  <c r="Q18" i="4"/>
  <c r="R22" i="4"/>
  <c r="P26" i="4"/>
  <c r="Q26" i="4" s="1"/>
  <c r="R30" i="4"/>
  <c r="P30" i="4"/>
  <c r="Q30" i="4" s="1"/>
  <c r="R34" i="4"/>
  <c r="R38" i="4"/>
  <c r="P38" i="4"/>
  <c r="Q38" i="4"/>
  <c r="R42" i="4"/>
  <c r="P42" i="4"/>
  <c r="Q42" i="4" s="1"/>
  <c r="R46" i="4"/>
  <c r="P46" i="4"/>
  <c r="Q46" i="4"/>
  <c r="R50" i="4"/>
  <c r="P54" i="4"/>
  <c r="Q54" i="4"/>
  <c r="R58" i="4"/>
  <c r="P58" i="4"/>
  <c r="Q58" i="4"/>
  <c r="R62" i="4"/>
  <c r="R66" i="4"/>
  <c r="P66" i="4"/>
  <c r="Q66" i="4"/>
  <c r="R70" i="4"/>
  <c r="P70" i="4"/>
  <c r="Q70" i="4" s="1"/>
  <c r="R74" i="4"/>
  <c r="P74" i="4"/>
  <c r="Q74" i="4" s="1"/>
  <c r="R78" i="4"/>
  <c r="R82" i="4"/>
  <c r="P82" i="4"/>
  <c r="Q82" i="4"/>
  <c r="R86" i="4"/>
  <c r="R90" i="4"/>
  <c r="P90" i="4"/>
  <c r="Q90" i="4"/>
  <c r="R94" i="4"/>
  <c r="R98" i="4"/>
  <c r="P98" i="4"/>
  <c r="Q98" i="4" s="1"/>
  <c r="R102" i="4"/>
  <c r="P102" i="4"/>
  <c r="Q102" i="4" s="1"/>
  <c r="R106" i="4"/>
  <c r="P110" i="4"/>
  <c r="Q110" i="4"/>
  <c r="R114" i="4"/>
  <c r="P114" i="4"/>
  <c r="Q114" i="4" s="1"/>
  <c r="R118" i="4"/>
  <c r="R122" i="4"/>
  <c r="P122" i="4"/>
  <c r="Q122" i="4"/>
  <c r="R126" i="4"/>
  <c r="P126" i="4"/>
  <c r="Q126" i="4"/>
  <c r="R130" i="4"/>
  <c r="R134" i="4"/>
  <c r="P134" i="4"/>
  <c r="Q134" i="4"/>
  <c r="R138" i="4"/>
  <c r="P138" i="4"/>
  <c r="Q138" i="4"/>
  <c r="R142" i="4"/>
  <c r="R146" i="4"/>
  <c r="P146" i="4"/>
  <c r="Q146" i="4" s="1"/>
  <c r="R150" i="4"/>
  <c r="P150" i="4"/>
  <c r="Q150" i="4"/>
  <c r="R154" i="4"/>
  <c r="R158" i="4"/>
  <c r="P158" i="4"/>
  <c r="Q158" i="4" s="1"/>
  <c r="R162" i="4"/>
  <c r="P162" i="4"/>
  <c r="Q162" i="4"/>
  <c r="R166" i="4"/>
  <c r="R171" i="4"/>
  <c r="P171" i="4"/>
  <c r="Q171" i="4" s="1"/>
  <c r="R175" i="4"/>
  <c r="R183" i="4"/>
  <c r="P183" i="4"/>
  <c r="Q183" i="4" s="1"/>
  <c r="R187" i="4"/>
  <c r="R191" i="4"/>
  <c r="P191" i="4"/>
  <c r="Q191" i="4"/>
  <c r="R195" i="4"/>
  <c r="P195" i="4"/>
  <c r="Q195" i="4" s="1"/>
  <c r="R316" i="4"/>
  <c r="P316" i="4"/>
  <c r="Q316" i="4" s="1"/>
  <c r="N339" i="3"/>
  <c r="O339" i="3" s="1"/>
  <c r="P339" i="3"/>
  <c r="N341" i="3"/>
  <c r="O341" i="3" s="1"/>
  <c r="Q341" i="3" s="1"/>
  <c r="N347" i="3"/>
  <c r="O347" i="3"/>
  <c r="Q347" i="3" s="1"/>
  <c r="P347" i="3"/>
  <c r="N349" i="3"/>
  <c r="O349" i="3" s="1"/>
  <c r="R15" i="4"/>
  <c r="P15" i="4"/>
  <c r="Q15" i="4"/>
  <c r="R19" i="4"/>
  <c r="R23" i="4"/>
  <c r="P23" i="4"/>
  <c r="Q23" i="4" s="1"/>
  <c r="R27" i="4"/>
  <c r="P27" i="4"/>
  <c r="Q27" i="4"/>
  <c r="R31" i="4"/>
  <c r="R35" i="4"/>
  <c r="P35" i="4"/>
  <c r="Q35" i="4" s="1"/>
  <c r="R39" i="4"/>
  <c r="P39" i="4"/>
  <c r="Q39" i="4" s="1"/>
  <c r="R43" i="4"/>
  <c r="R47" i="4"/>
  <c r="P47" i="4"/>
  <c r="Q47" i="4" s="1"/>
  <c r="R51" i="4"/>
  <c r="P51" i="4"/>
  <c r="Q51" i="4" s="1"/>
  <c r="R55" i="4"/>
  <c r="R59" i="4"/>
  <c r="P59" i="4"/>
  <c r="Q59" i="4"/>
  <c r="R63" i="4"/>
  <c r="P63" i="4"/>
  <c r="Q63" i="4"/>
  <c r="R67" i="4"/>
  <c r="R71" i="4"/>
  <c r="P71" i="4"/>
  <c r="Q71" i="4" s="1"/>
  <c r="R75" i="4"/>
  <c r="P75" i="4"/>
  <c r="Q75" i="4" s="1"/>
  <c r="R79" i="4"/>
  <c r="R83" i="4"/>
  <c r="P83" i="4"/>
  <c r="Q83" i="4"/>
  <c r="R87" i="4"/>
  <c r="P87" i="4"/>
  <c r="Q87" i="4" s="1"/>
  <c r="R91" i="4"/>
  <c r="P91" i="4"/>
  <c r="Q91" i="4" s="1"/>
  <c r="R95" i="4"/>
  <c r="P95" i="4"/>
  <c r="Q95" i="4"/>
  <c r="R99" i="4"/>
  <c r="P99" i="4"/>
  <c r="Q99" i="4"/>
  <c r="R103" i="4"/>
  <c r="R107" i="4"/>
  <c r="P107" i="4"/>
  <c r="Q107" i="4"/>
  <c r="R111" i="4"/>
  <c r="P111" i="4"/>
  <c r="Q111" i="4"/>
  <c r="R115" i="4"/>
  <c r="P115" i="4"/>
  <c r="Q115" i="4"/>
  <c r="R119" i="4"/>
  <c r="P119" i="4"/>
  <c r="Q119" i="4" s="1"/>
  <c r="R123" i="4"/>
  <c r="P123" i="4"/>
  <c r="Q123" i="4"/>
  <c r="R127" i="4"/>
  <c r="P127" i="4"/>
  <c r="Q127" i="4"/>
  <c r="R131" i="4"/>
  <c r="P131" i="4"/>
  <c r="Q131" i="4"/>
  <c r="R135" i="4"/>
  <c r="P135" i="4"/>
  <c r="Q135" i="4" s="1"/>
  <c r="R143" i="4"/>
  <c r="P143" i="4"/>
  <c r="Q143" i="4"/>
  <c r="R147" i="4"/>
  <c r="P147" i="4"/>
  <c r="Q147" i="4"/>
  <c r="R151" i="4"/>
  <c r="R155" i="4"/>
  <c r="P155" i="4"/>
  <c r="Q155" i="4" s="1"/>
  <c r="R159" i="4"/>
  <c r="P159" i="4"/>
  <c r="Q159" i="4" s="1"/>
  <c r="R163" i="4"/>
  <c r="R167" i="4"/>
  <c r="P167" i="4"/>
  <c r="Q167" i="4" s="1"/>
  <c r="N337" i="3"/>
  <c r="O337" i="3" s="1"/>
  <c r="Q337" i="3" s="1"/>
  <c r="AD344" i="3"/>
  <c r="AE344" i="3" s="1"/>
  <c r="AG344" i="3"/>
  <c r="AM344" i="3"/>
  <c r="AD350" i="3"/>
  <c r="AE350" i="3" s="1"/>
  <c r="AG350" i="3" s="1"/>
  <c r="AM350" i="3" s="1"/>
  <c r="AF350" i="3"/>
  <c r="AD352" i="3"/>
  <c r="AE352" i="3" s="1"/>
  <c r="AG352" i="3" s="1"/>
  <c r="AM352" i="3" s="1"/>
  <c r="R12" i="4"/>
  <c r="P12" i="4"/>
  <c r="Q12" i="4"/>
  <c r="R16" i="4"/>
  <c r="P16" i="4"/>
  <c r="Q16" i="4"/>
  <c r="R20" i="4"/>
  <c r="P20" i="4"/>
  <c r="Q20" i="4"/>
  <c r="R24" i="4"/>
  <c r="P24" i="4"/>
  <c r="Q24" i="4"/>
  <c r="R28" i="4"/>
  <c r="R32" i="4"/>
  <c r="P32" i="4"/>
  <c r="Q32" i="4"/>
  <c r="R36" i="4"/>
  <c r="P36" i="4"/>
  <c r="Q36" i="4" s="1"/>
  <c r="R40" i="4"/>
  <c r="R44" i="4"/>
  <c r="P44" i="4"/>
  <c r="Q44" i="4"/>
  <c r="R48" i="4"/>
  <c r="P48" i="4"/>
  <c r="Q48" i="4"/>
  <c r="R52" i="4"/>
  <c r="P52" i="4"/>
  <c r="Q52" i="4" s="1"/>
  <c r="R56" i="4"/>
  <c r="P56" i="4"/>
  <c r="Q56" i="4" s="1"/>
  <c r="R60" i="4"/>
  <c r="P60" i="4"/>
  <c r="Q60" i="4"/>
  <c r="R64" i="4"/>
  <c r="R68" i="4"/>
  <c r="P68" i="4"/>
  <c r="Q68" i="4" s="1"/>
  <c r="R76" i="4"/>
  <c r="P76" i="4"/>
  <c r="Q76" i="4"/>
  <c r="R80" i="4"/>
  <c r="P80" i="4"/>
  <c r="Q80" i="4"/>
  <c r="R84" i="4"/>
  <c r="P84" i="4"/>
  <c r="Q84" i="4"/>
  <c r="R88" i="4"/>
  <c r="P88" i="4"/>
  <c r="Q88" i="4" s="1"/>
  <c r="R92" i="4"/>
  <c r="P92" i="4"/>
  <c r="Q92" i="4"/>
  <c r="R96" i="4"/>
  <c r="P96" i="4"/>
  <c r="Q96" i="4"/>
  <c r="R100" i="4"/>
  <c r="P100" i="4"/>
  <c r="Q100" i="4"/>
  <c r="R104" i="4"/>
  <c r="P104" i="4"/>
  <c r="Q104" i="4" s="1"/>
  <c r="R108" i="4"/>
  <c r="P108" i="4"/>
  <c r="Q108" i="4"/>
  <c r="R112" i="4"/>
  <c r="R116" i="4"/>
  <c r="P116" i="4"/>
  <c r="Q116" i="4" s="1"/>
  <c r="R120" i="4"/>
  <c r="P120" i="4"/>
  <c r="Q120" i="4" s="1"/>
  <c r="R124" i="4"/>
  <c r="P124" i="4"/>
  <c r="Q124" i="4" s="1"/>
  <c r="R128" i="4"/>
  <c r="P128" i="4"/>
  <c r="Q128" i="4" s="1"/>
  <c r="R132" i="4"/>
  <c r="P132" i="4"/>
  <c r="Q132" i="4" s="1"/>
  <c r="R136" i="4"/>
  <c r="R140" i="4"/>
  <c r="P140" i="4"/>
  <c r="Q140" i="4"/>
  <c r="R144" i="4"/>
  <c r="P144" i="4"/>
  <c r="Q144" i="4" s="1"/>
  <c r="R148" i="4"/>
  <c r="R152" i="4"/>
  <c r="P152" i="4"/>
  <c r="Q152" i="4"/>
  <c r="R156" i="4"/>
  <c r="P156" i="4"/>
  <c r="Q156" i="4"/>
  <c r="R160" i="4"/>
  <c r="R164" i="4"/>
  <c r="P164" i="4"/>
  <c r="Q164" i="4"/>
  <c r="R169" i="4"/>
  <c r="P169" i="4"/>
  <c r="Q169" i="4" s="1"/>
  <c r="R173" i="4"/>
  <c r="P173" i="4"/>
  <c r="Q173" i="4" s="1"/>
  <c r="R177" i="4"/>
  <c r="P177" i="4"/>
  <c r="Q177" i="4" s="1"/>
  <c r="R181" i="4"/>
  <c r="P181" i="4"/>
  <c r="Q181" i="4"/>
  <c r="R185" i="4"/>
  <c r="P185" i="4"/>
  <c r="Q185" i="4" s="1"/>
  <c r="R189" i="4"/>
  <c r="P189" i="4"/>
  <c r="Q189" i="4" s="1"/>
  <c r="R193" i="4"/>
  <c r="P193" i="4"/>
  <c r="Q193" i="4" s="1"/>
  <c r="R13" i="4"/>
  <c r="R17" i="4"/>
  <c r="P17" i="4"/>
  <c r="Q17" i="4" s="1"/>
  <c r="R21" i="4"/>
  <c r="P21" i="4"/>
  <c r="Q21" i="4" s="1"/>
  <c r="R25" i="4"/>
  <c r="P25" i="4"/>
  <c r="Q25" i="4"/>
  <c r="R29" i="4"/>
  <c r="P29" i="4"/>
  <c r="Q29" i="4"/>
  <c r="R33" i="4"/>
  <c r="P33" i="4"/>
  <c r="Q33" i="4" s="1"/>
  <c r="R37" i="4"/>
  <c r="P37" i="4"/>
  <c r="Q37" i="4" s="1"/>
  <c r="R41" i="4"/>
  <c r="P41" i="4"/>
  <c r="Q41" i="4"/>
  <c r="R45" i="4"/>
  <c r="P45" i="4"/>
  <c r="Q45" i="4"/>
  <c r="R49" i="4"/>
  <c r="R53" i="4"/>
  <c r="P53" i="4"/>
  <c r="Q53" i="4"/>
  <c r="R57" i="4"/>
  <c r="P57" i="4"/>
  <c r="Q57" i="4"/>
  <c r="R61" i="4"/>
  <c r="P61" i="4"/>
  <c r="Q61" i="4"/>
  <c r="R65" i="4"/>
  <c r="P65" i="4"/>
  <c r="Q65" i="4"/>
  <c r="R73" i="4"/>
  <c r="R77" i="4"/>
  <c r="P77" i="4"/>
  <c r="Q77" i="4" s="1"/>
  <c r="R81" i="4"/>
  <c r="P81" i="4"/>
  <c r="Q81" i="4" s="1"/>
  <c r="R85" i="4"/>
  <c r="P85" i="4"/>
  <c r="Q85" i="4" s="1"/>
  <c r="R89" i="4"/>
  <c r="P89" i="4"/>
  <c r="Q89" i="4" s="1"/>
  <c r="R93" i="4"/>
  <c r="P93" i="4"/>
  <c r="Q93" i="4" s="1"/>
  <c r="R97" i="4"/>
  <c r="P97" i="4"/>
  <c r="Q97" i="4" s="1"/>
  <c r="R101" i="4"/>
  <c r="P101" i="4"/>
  <c r="Q101" i="4" s="1"/>
  <c r="R105" i="4"/>
  <c r="P105" i="4"/>
  <c r="Q105" i="4" s="1"/>
  <c r="R109" i="4"/>
  <c r="P109" i="4"/>
  <c r="Q109" i="4" s="1"/>
  <c r="R113" i="4"/>
  <c r="P113" i="4"/>
  <c r="Q113" i="4" s="1"/>
  <c r="R117" i="4"/>
  <c r="P117" i="4"/>
  <c r="Q117" i="4" s="1"/>
  <c r="R121" i="4"/>
  <c r="P121" i="4"/>
  <c r="Q121" i="4" s="1"/>
  <c r="R125" i="4"/>
  <c r="P125" i="4"/>
  <c r="Q125" i="4" s="1"/>
  <c r="R129" i="4"/>
  <c r="P129" i="4"/>
  <c r="Q129" i="4" s="1"/>
  <c r="R133" i="4"/>
  <c r="P133" i="4"/>
  <c r="Q133" i="4" s="1"/>
  <c r="R137" i="4"/>
  <c r="P137" i="4"/>
  <c r="Q137" i="4"/>
  <c r="R141" i="4"/>
  <c r="P141" i="4"/>
  <c r="Q141" i="4" s="1"/>
  <c r="R145" i="4"/>
  <c r="R149" i="4"/>
  <c r="P149" i="4"/>
  <c r="Q149" i="4"/>
  <c r="R153" i="4"/>
  <c r="P153" i="4"/>
  <c r="Q153" i="4"/>
  <c r="R157" i="4"/>
  <c r="P157" i="4"/>
  <c r="Q157" i="4" s="1"/>
  <c r="R161" i="4"/>
  <c r="P161" i="4"/>
  <c r="Q161" i="4" s="1"/>
  <c r="R165" i="4"/>
  <c r="P165" i="4"/>
  <c r="Q165" i="4"/>
  <c r="R332" i="4"/>
  <c r="P332" i="4"/>
  <c r="Q332" i="4"/>
  <c r="AD362" i="3"/>
  <c r="AE362" i="3" s="1"/>
  <c r="AG362" i="3" s="1"/>
  <c r="AM362" i="3" s="1"/>
  <c r="N367" i="3"/>
  <c r="O367" i="3" s="1"/>
  <c r="Q367" i="3"/>
  <c r="R168" i="4"/>
  <c r="P168" i="4"/>
  <c r="Q168" i="4"/>
  <c r="R172" i="4"/>
  <c r="P172" i="4"/>
  <c r="Q172" i="4"/>
  <c r="R176" i="4"/>
  <c r="P176" i="4"/>
  <c r="Q176" i="4"/>
  <c r="R180" i="4"/>
  <c r="P180" i="4"/>
  <c r="Q180" i="4"/>
  <c r="R184" i="4"/>
  <c r="P184" i="4"/>
  <c r="Q184" i="4"/>
  <c r="R188" i="4"/>
  <c r="P188" i="4"/>
  <c r="Q188" i="4"/>
  <c r="R192" i="4"/>
  <c r="P192" i="4"/>
  <c r="Q192" i="4"/>
  <c r="R196" i="4"/>
  <c r="P196" i="4"/>
  <c r="Q196" i="4"/>
  <c r="R340" i="4"/>
  <c r="P340" i="4"/>
  <c r="Q340" i="4"/>
  <c r="N371" i="3"/>
  <c r="O371" i="3"/>
  <c r="Q371" i="3"/>
  <c r="R170" i="4"/>
  <c r="P170" i="4"/>
  <c r="Q170" i="4"/>
  <c r="R174" i="4"/>
  <c r="P174" i="4"/>
  <c r="Q174" i="4"/>
  <c r="R178" i="4"/>
  <c r="P178" i="4"/>
  <c r="Q178" i="4"/>
  <c r="R182" i="4"/>
  <c r="P182" i="4"/>
  <c r="Q182" i="4"/>
  <c r="R186" i="4"/>
  <c r="P186" i="4"/>
  <c r="Q186" i="4"/>
  <c r="R190" i="4"/>
  <c r="P190" i="4"/>
  <c r="Q190" i="4"/>
  <c r="R194" i="4"/>
  <c r="R324" i="4"/>
  <c r="P324" i="4"/>
  <c r="Q324" i="4" s="1"/>
  <c r="S197" i="4"/>
  <c r="S201" i="4"/>
  <c r="S213" i="4"/>
  <c r="S229" i="4"/>
  <c r="S233" i="4"/>
  <c r="S237" i="4"/>
  <c r="S241" i="4"/>
  <c r="S245" i="4"/>
  <c r="S249" i="4"/>
  <c r="S253" i="4"/>
  <c r="S257" i="4"/>
  <c r="S261" i="4"/>
  <c r="S265" i="4"/>
  <c r="S269" i="4"/>
  <c r="S273" i="4"/>
  <c r="S277" i="4"/>
  <c r="S281" i="4"/>
  <c r="S285" i="4"/>
  <c r="S289" i="4"/>
  <c r="S297" i="4"/>
  <c r="S309" i="4"/>
  <c r="S321" i="4"/>
  <c r="R327" i="4"/>
  <c r="P327" i="4"/>
  <c r="Q327" i="4" s="1"/>
  <c r="S329" i="4"/>
  <c r="R335" i="4"/>
  <c r="P335" i="4"/>
  <c r="Q335" i="4" s="1"/>
  <c r="S337" i="4"/>
  <c r="R344" i="4"/>
  <c r="P344" i="4"/>
  <c r="Q344" i="4"/>
  <c r="R348" i="4"/>
  <c r="Q348" i="4"/>
  <c r="R352" i="4"/>
  <c r="P352" i="4"/>
  <c r="Q352" i="4" s="1"/>
  <c r="R356" i="4"/>
  <c r="P356" i="4"/>
  <c r="Q356" i="4" s="1"/>
  <c r="R360" i="4"/>
  <c r="P360" i="4"/>
  <c r="Q360" i="4" s="1"/>
  <c r="R364" i="4"/>
  <c r="P364" i="4"/>
  <c r="Q364" i="4" s="1"/>
  <c r="R368" i="4"/>
  <c r="P368" i="4"/>
  <c r="Q368" i="4"/>
  <c r="R372" i="4"/>
  <c r="P372" i="4"/>
  <c r="Q372" i="4" s="1"/>
  <c r="R376" i="4"/>
  <c r="P376" i="4"/>
  <c r="Q376" i="4" s="1"/>
  <c r="R380" i="4"/>
  <c r="P380" i="4"/>
  <c r="Q380" i="4" s="1"/>
  <c r="S196" i="4"/>
  <c r="S204" i="4"/>
  <c r="S208" i="4"/>
  <c r="S212" i="4"/>
  <c r="S216" i="4"/>
  <c r="S220" i="4"/>
  <c r="S224" i="4"/>
  <c r="S232" i="4"/>
  <c r="S236" i="4"/>
  <c r="S244" i="4"/>
  <c r="S252" i="4"/>
  <c r="S256" i="4"/>
  <c r="S260" i="4"/>
  <c r="S264" i="4"/>
  <c r="S268" i="4"/>
  <c r="S272" i="4"/>
  <c r="S276" i="4"/>
  <c r="S280" i="4"/>
  <c r="S288" i="4"/>
  <c r="S300" i="4"/>
  <c r="S304" i="4"/>
  <c r="S312" i="4"/>
  <c r="S332" i="4"/>
  <c r="S340" i="4"/>
  <c r="S271" i="4"/>
  <c r="S275" i="4"/>
  <c r="S279" i="4"/>
  <c r="S283" i="4"/>
  <c r="S287" i="4"/>
  <c r="S291" i="4"/>
  <c r="S303" i="4"/>
  <c r="S307" i="4"/>
  <c r="R315" i="4"/>
  <c r="P315" i="4"/>
  <c r="Q315" i="4"/>
  <c r="P320" i="4"/>
  <c r="Q320" i="4"/>
  <c r="R323" i="4"/>
  <c r="P323" i="4"/>
  <c r="Q323" i="4" s="1"/>
  <c r="S325" i="4"/>
  <c r="R331" i="4"/>
  <c r="P331" i="4"/>
  <c r="Q331" i="4"/>
  <c r="S333" i="4"/>
  <c r="P336" i="4"/>
  <c r="Q336" i="4"/>
  <c r="R339" i="4"/>
  <c r="P339" i="4"/>
  <c r="Q339" i="4"/>
  <c r="R342" i="4"/>
  <c r="P342" i="4"/>
  <c r="Q342" i="4"/>
  <c r="R346" i="4"/>
  <c r="P346" i="4"/>
  <c r="Q346" i="4"/>
  <c r="R350" i="4"/>
  <c r="P350" i="4"/>
  <c r="Q350" i="4"/>
  <c r="R354" i="4"/>
  <c r="P354" i="4"/>
  <c r="Q354" i="4"/>
  <c r="R358" i="4"/>
  <c r="P358" i="4"/>
  <c r="Q358" i="4"/>
  <c r="R362" i="4"/>
  <c r="P362" i="4"/>
  <c r="Q362" i="4"/>
  <c r="R366" i="4"/>
  <c r="P366" i="4"/>
  <c r="Q366" i="4"/>
  <c r="R370" i="4"/>
  <c r="P370" i="4"/>
  <c r="Q370" i="4"/>
  <c r="R374" i="4"/>
  <c r="R378" i="4"/>
  <c r="P378" i="4"/>
  <c r="Q378" i="4" s="1"/>
  <c r="R382" i="4"/>
  <c r="P382" i="4"/>
  <c r="Q382" i="4" s="1"/>
  <c r="P314" i="4"/>
  <c r="Q314" i="4"/>
  <c r="P318" i="4"/>
  <c r="Q318" i="4"/>
  <c r="P322" i="4"/>
  <c r="Q322" i="4" s="1"/>
  <c r="P326" i="4"/>
  <c r="Q326" i="4"/>
  <c r="P330" i="4"/>
  <c r="Q330" i="4" s="1"/>
  <c r="P334" i="4"/>
  <c r="Q334" i="4" s="1"/>
  <c r="P338" i="4"/>
  <c r="Q338" i="4"/>
  <c r="E18" i="10"/>
  <c r="E14" i="10"/>
  <c r="E10" i="10"/>
  <c r="E6" i="10"/>
  <c r="I18" i="10"/>
  <c r="I14" i="10"/>
  <c r="I10" i="10"/>
  <c r="I6" i="10"/>
  <c r="I13" i="10"/>
  <c r="E16" i="10"/>
  <c r="H109" i="7"/>
  <c r="D5" i="7"/>
  <c r="H7" i="10"/>
  <c r="E12" i="10"/>
  <c r="H15" i="10"/>
  <c r="G15" i="10"/>
  <c r="F15" i="10"/>
  <c r="I15" i="10"/>
  <c r="E15" i="10"/>
  <c r="I17" i="10"/>
  <c r="H6" i="10"/>
  <c r="G6" i="10"/>
  <c r="F6" i="10"/>
  <c r="H10" i="10"/>
  <c r="D10" i="10"/>
  <c r="G10" i="10"/>
  <c r="F10" i="10"/>
  <c r="H14" i="10"/>
  <c r="D14" i="10"/>
  <c r="G14" i="10"/>
  <c r="F14" i="10"/>
  <c r="H18" i="10"/>
  <c r="G18" i="10"/>
  <c r="F18" i="10"/>
  <c r="H22" i="10"/>
  <c r="D22" i="10"/>
  <c r="G22" i="10"/>
  <c r="F22" i="10"/>
  <c r="F12" i="9"/>
  <c r="Q5" i="9"/>
  <c r="Q6" i="9" s="1"/>
  <c r="F14" i="9"/>
  <c r="F13" i="9"/>
  <c r="F11" i="9"/>
  <c r="H11" i="9" s="1"/>
  <c r="G12" i="9"/>
  <c r="H12" i="9" s="1"/>
  <c r="G13" i="9" s="1"/>
  <c r="H13" i="9" s="1"/>
  <c r="G14" i="9" s="1"/>
  <c r="H14" i="9" s="1"/>
  <c r="G15" i="9"/>
  <c r="H15" i="9" s="1"/>
  <c r="G16" i="9" s="1"/>
  <c r="H16" i="9" s="1"/>
  <c r="F15" i="9"/>
  <c r="H13" i="10"/>
  <c r="G13" i="10"/>
  <c r="F13" i="10"/>
  <c r="H17" i="10"/>
  <c r="G17" i="10"/>
  <c r="F17" i="10"/>
  <c r="E22" i="10"/>
  <c r="E9" i="10"/>
  <c r="D12" i="10"/>
  <c r="G12" i="10"/>
  <c r="E13" i="10"/>
  <c r="H16" i="10"/>
  <c r="D16" i="10"/>
  <c r="G16" i="10"/>
  <c r="F16" i="10"/>
  <c r="E17" i="10"/>
  <c r="I22" i="10"/>
  <c r="F17" i="9"/>
  <c r="AD276" i="3"/>
  <c r="AE276" i="3"/>
  <c r="AG276" i="3" s="1"/>
  <c r="AM276" i="3" s="1"/>
  <c r="AD259" i="3"/>
  <c r="AE259" i="3" s="1"/>
  <c r="AG259" i="3" s="1"/>
  <c r="AM259" i="3" s="1"/>
  <c r="AD140" i="3"/>
  <c r="AE140" i="3"/>
  <c r="AG140" i="3" s="1"/>
  <c r="AM140" i="3" s="1"/>
  <c r="AD110" i="3"/>
  <c r="AE110" i="3"/>
  <c r="AD139" i="3"/>
  <c r="AE139" i="3" s="1"/>
  <c r="AG139" i="3"/>
  <c r="AG248" i="3"/>
  <c r="AM248" i="3"/>
  <c r="AD93" i="3"/>
  <c r="AE93" i="3" s="1"/>
  <c r="AD122" i="3"/>
  <c r="AE122" i="3"/>
  <c r="AG122" i="3" s="1"/>
  <c r="AM122" i="3" s="1"/>
  <c r="AD124" i="3"/>
  <c r="AE124" i="3" s="1"/>
  <c r="AG124" i="3" s="1"/>
  <c r="AM124" i="3"/>
  <c r="AD269" i="3"/>
  <c r="AE269" i="3"/>
  <c r="AG269" i="3"/>
  <c r="AM269" i="3"/>
  <c r="AD271" i="3"/>
  <c r="AE271" i="3"/>
  <c r="AD119" i="3"/>
  <c r="AE119" i="3" s="1"/>
  <c r="AG119" i="3"/>
  <c r="AM119" i="3" s="1"/>
  <c r="AD231" i="3"/>
  <c r="AE231" i="3"/>
  <c r="AD233" i="3"/>
  <c r="AE233" i="3"/>
  <c r="AG233" i="3"/>
  <c r="AM233" i="3"/>
  <c r="AD275" i="3"/>
  <c r="AE275" i="3"/>
  <c r="AG275" i="3" s="1"/>
  <c r="AM275" i="3" s="1"/>
  <c r="AD239" i="3"/>
  <c r="AE239" i="3" s="1"/>
  <c r="AD165" i="3"/>
  <c r="AE165" i="3"/>
  <c r="AG165" i="3" s="1"/>
  <c r="AM165" i="3" s="1"/>
  <c r="AD25" i="3"/>
  <c r="AE25" i="3"/>
  <c r="AG25" i="3"/>
  <c r="AM25" i="3" s="1"/>
  <c r="AD111" i="3"/>
  <c r="AE111" i="3" s="1"/>
  <c r="AG111" i="3" s="1"/>
  <c r="AM111" i="3"/>
  <c r="AD136" i="3"/>
  <c r="AE136" i="3"/>
  <c r="AG136" i="3"/>
  <c r="AD289" i="3"/>
  <c r="AE289" i="3"/>
  <c r="S296" i="4"/>
  <c r="AI199" i="4"/>
  <c r="S240" i="4"/>
  <c r="S12" i="4"/>
  <c r="S15" i="4"/>
  <c r="S24" i="4"/>
  <c r="S27" i="4"/>
  <c r="S30" i="4"/>
  <c r="S36" i="4"/>
  <c r="S39" i="4"/>
  <c r="P215" i="4"/>
  <c r="Q215" i="4"/>
  <c r="P218" i="4"/>
  <c r="Q218" i="4" s="1"/>
  <c r="AI216" i="4"/>
  <c r="S151" i="4"/>
  <c r="S154" i="4"/>
  <c r="S163" i="4"/>
  <c r="S166" i="4"/>
  <c r="AI207" i="4"/>
  <c r="AI213" i="4"/>
  <c r="AI236" i="4"/>
  <c r="S239" i="4"/>
  <c r="AI242" i="4"/>
  <c r="P253" i="4"/>
  <c r="Q253" i="4" s="1"/>
  <c r="P268" i="4"/>
  <c r="Q268" i="4"/>
  <c r="P277" i="4"/>
  <c r="Q277" i="4" s="1"/>
  <c r="AI292" i="4"/>
  <c r="AI295" i="4"/>
  <c r="AI298" i="4"/>
  <c r="AI301" i="4"/>
  <c r="S313" i="4"/>
  <c r="S316" i="4"/>
  <c r="S339" i="4"/>
  <c r="P347" i="4"/>
  <c r="Q347" i="4" s="1"/>
  <c r="AI350" i="4"/>
  <c r="AI359" i="4"/>
  <c r="AI362" i="4"/>
  <c r="AI368" i="4"/>
  <c r="AF48" i="4"/>
  <c r="AG48" i="4"/>
  <c r="AF72" i="4"/>
  <c r="AG72" i="4" s="1"/>
  <c r="AF91" i="4"/>
  <c r="AG91" i="4" s="1"/>
  <c r="AF129" i="4"/>
  <c r="AG129" i="4" s="1"/>
  <c r="AF188" i="4"/>
  <c r="AG188" i="4" s="1"/>
  <c r="AF273" i="4"/>
  <c r="AG273" i="4"/>
  <c r="AF301" i="4"/>
  <c r="AG301" i="4"/>
  <c r="AF337" i="4"/>
  <c r="AG337" i="4"/>
  <c r="AF359" i="4"/>
  <c r="AG359" i="4" s="1"/>
  <c r="AF373" i="4"/>
  <c r="AG373" i="4" s="1"/>
  <c r="AI319" i="4"/>
  <c r="AI205" i="4"/>
  <c r="AI266" i="4"/>
  <c r="AI269" i="4"/>
  <c r="S278" i="4"/>
  <c r="AI281" i="4"/>
  <c r="AI287" i="4"/>
  <c r="AI383" i="4"/>
  <c r="AF97" i="4"/>
  <c r="AG97" i="4"/>
  <c r="AF108" i="4"/>
  <c r="AG108" i="4" s="1"/>
  <c r="AF111" i="4"/>
  <c r="AG111" i="4" s="1"/>
  <c r="AF135" i="4"/>
  <c r="AG135" i="4"/>
  <c r="AF237" i="4"/>
  <c r="AG237" i="4"/>
  <c r="AF249" i="4"/>
  <c r="AG249" i="4"/>
  <c r="AF271" i="4"/>
  <c r="AG271" i="4"/>
  <c r="AF310" i="4"/>
  <c r="AG310" i="4" s="1"/>
  <c r="AF329" i="4"/>
  <c r="AG329" i="4" s="1"/>
  <c r="AF343" i="4"/>
  <c r="AG343" i="4"/>
  <c r="AF365" i="4"/>
  <c r="AG365" i="4"/>
  <c r="AF382" i="4"/>
  <c r="AG382" i="4" s="1"/>
  <c r="AI47" i="4"/>
  <c r="AI56" i="4"/>
  <c r="AI59" i="4"/>
  <c r="AI62" i="4"/>
  <c r="AI68" i="4"/>
  <c r="AI71" i="4"/>
  <c r="AI74" i="4"/>
  <c r="AI80" i="4"/>
  <c r="AI83" i="4"/>
  <c r="AI86" i="4"/>
  <c r="AI92" i="4"/>
  <c r="AI95" i="4"/>
  <c r="AI104" i="4"/>
  <c r="AI107" i="4"/>
  <c r="AI122" i="4"/>
  <c r="P290" i="4"/>
  <c r="Q290" i="4"/>
  <c r="P302" i="4"/>
  <c r="Q302" i="4" s="1"/>
  <c r="AI305" i="4"/>
  <c r="AI314" i="4"/>
  <c r="S320" i="4"/>
  <c r="AI337" i="4"/>
  <c r="AI340" i="4"/>
  <c r="AI343" i="4"/>
  <c r="P351" i="4"/>
  <c r="Q351" i="4"/>
  <c r="P357" i="4"/>
  <c r="Q357" i="4"/>
  <c r="P363" i="4"/>
  <c r="Q363" i="4" s="1"/>
  <c r="AF73" i="4"/>
  <c r="AG73" i="4" s="1"/>
  <c r="AF92" i="4"/>
  <c r="AG92" i="4"/>
  <c r="AF122" i="4"/>
  <c r="AG122" i="4"/>
  <c r="AF130" i="4"/>
  <c r="AG130" i="4" s="1"/>
  <c r="AF189" i="4"/>
  <c r="AG189" i="4"/>
  <c r="AF266" i="4"/>
  <c r="AG266" i="4" s="1"/>
  <c r="AF274" i="4"/>
  <c r="AG274" i="4" s="1"/>
  <c r="AF277" i="4"/>
  <c r="AG277" i="4"/>
  <c r="AF302" i="4"/>
  <c r="AG302" i="4"/>
  <c r="AF316" i="4"/>
  <c r="AG316" i="4"/>
  <c r="AF349" i="4"/>
  <c r="AG349" i="4"/>
  <c r="AF360" i="4"/>
  <c r="AG360" i="4" s="1"/>
  <c r="P14" i="4"/>
  <c r="Q14" i="4" s="1"/>
  <c r="P50" i="4"/>
  <c r="Q50" i="4"/>
  <c r="P62" i="4"/>
  <c r="Q62" i="4"/>
  <c r="P86" i="4"/>
  <c r="Q86" i="4"/>
  <c r="AI249" i="4"/>
  <c r="S267" i="4"/>
  <c r="P317" i="4"/>
  <c r="Q317" i="4" s="1"/>
  <c r="AF60" i="4"/>
  <c r="AG60" i="4" s="1"/>
  <c r="AF68" i="4"/>
  <c r="AG68" i="4"/>
  <c r="AF84" i="4"/>
  <c r="AG84" i="4"/>
  <c r="AF87" i="4"/>
  <c r="AG87" i="4"/>
  <c r="AF95" i="4"/>
  <c r="AG95" i="4"/>
  <c r="AF106" i="4"/>
  <c r="AG106" i="4" s="1"/>
  <c r="AF141" i="4"/>
  <c r="AG141" i="4" s="1"/>
  <c r="AF215" i="4"/>
  <c r="AG215" i="4" s="1"/>
  <c r="AF235" i="4"/>
  <c r="AG235" i="4"/>
  <c r="AF280" i="4"/>
  <c r="AG280" i="4"/>
  <c r="AF286" i="4"/>
  <c r="AG286" i="4"/>
  <c r="AF305" i="4"/>
  <c r="AG305" i="4" s="1"/>
  <c r="AF319" i="4"/>
  <c r="AG319" i="4" s="1"/>
  <c r="AF338" i="4"/>
  <c r="AG338" i="4"/>
  <c r="AF98" i="4"/>
  <c r="AG98" i="4" s="1"/>
  <c r="AI226" i="4"/>
  <c r="AI229" i="4"/>
  <c r="AI232" i="4"/>
  <c r="AI241" i="4"/>
  <c r="AI294" i="4"/>
  <c r="AI297" i="4"/>
  <c r="AI300" i="4"/>
  <c r="AI332" i="4"/>
  <c r="AI349" i="4"/>
  <c r="AI364" i="4"/>
  <c r="S376" i="4"/>
  <c r="AF358" i="4"/>
  <c r="AG358" i="4"/>
  <c r="AF369" i="4"/>
  <c r="AG369" i="4" s="1"/>
  <c r="AI75" i="4"/>
  <c r="AI78" i="4"/>
  <c r="AI81" i="4"/>
  <c r="AI84" i="4"/>
  <c r="AI87" i="4"/>
  <c r="AI90" i="4"/>
  <c r="AI93" i="4"/>
  <c r="AI96" i="4"/>
  <c r="AI99" i="4"/>
  <c r="AI102" i="4"/>
  <c r="AI105" i="4"/>
  <c r="AI108" i="4"/>
  <c r="AI120" i="4"/>
  <c r="AI123" i="4"/>
  <c r="AI126" i="4"/>
  <c r="AI129" i="4"/>
  <c r="AI132" i="4"/>
  <c r="AI135" i="4"/>
  <c r="AI138" i="4"/>
  <c r="AI141" i="4"/>
  <c r="AI144" i="4"/>
  <c r="AI147" i="4"/>
  <c r="AI150" i="4"/>
  <c r="AI153" i="4"/>
  <c r="AI156" i="4"/>
  <c r="AI159" i="4"/>
  <c r="AI162" i="4"/>
  <c r="AI165" i="4"/>
  <c r="AI171" i="4"/>
  <c r="AI174" i="4"/>
  <c r="AI183" i="4"/>
  <c r="S189" i="4"/>
  <c r="AI195" i="4"/>
  <c r="AI198" i="4"/>
  <c r="P206" i="4"/>
  <c r="Q206" i="4" s="1"/>
  <c r="P209" i="4"/>
  <c r="Q209" i="4" s="1"/>
  <c r="P223" i="4"/>
  <c r="Q223" i="4"/>
  <c r="P232" i="4"/>
  <c r="Q232" i="4"/>
  <c r="P238" i="4"/>
  <c r="Q238" i="4"/>
  <c r="AI244" i="4"/>
  <c r="P291" i="4"/>
  <c r="Q291" i="4" s="1"/>
  <c r="AI303" i="4"/>
  <c r="AI306" i="4"/>
  <c r="AI309" i="4"/>
  <c r="AI312" i="4"/>
  <c r="AI318" i="4"/>
  <c r="P329" i="4"/>
  <c r="Q329" i="4"/>
  <c r="AI335" i="4"/>
  <c r="AI338" i="4"/>
  <c r="AI341" i="4"/>
  <c r="P355" i="4"/>
  <c r="Q355" i="4" s="1"/>
  <c r="AI373" i="4"/>
  <c r="AF50" i="4"/>
  <c r="AG50" i="4" s="1"/>
  <c r="AF58" i="4"/>
  <c r="AG58" i="4"/>
  <c r="AF74" i="4"/>
  <c r="AG74" i="4"/>
  <c r="AF82" i="4"/>
  <c r="AG82" i="4" s="1"/>
  <c r="AF123" i="4"/>
  <c r="AG123" i="4" s="1"/>
  <c r="AF139" i="4"/>
  <c r="AG139" i="4" s="1"/>
  <c r="AF165" i="4"/>
  <c r="AG165" i="4" s="1"/>
  <c r="AF328" i="4"/>
  <c r="AG328" i="4"/>
  <c r="AF347" i="4"/>
  <c r="AG347" i="4"/>
  <c r="AF361" i="4"/>
  <c r="AG361" i="4"/>
  <c r="S286" i="4"/>
  <c r="P373" i="4"/>
  <c r="Q373" i="4"/>
  <c r="AF13" i="4"/>
  <c r="AG13" i="4"/>
  <c r="AF29" i="4"/>
  <c r="AG29" i="4" s="1"/>
  <c r="AF37" i="4"/>
  <c r="AG37" i="4" s="1"/>
  <c r="AF45" i="4"/>
  <c r="AG45" i="4"/>
  <c r="AF61" i="4"/>
  <c r="AG61" i="4"/>
  <c r="AF85" i="4"/>
  <c r="AG85" i="4"/>
  <c r="AF126" i="4"/>
  <c r="AG126" i="4"/>
  <c r="AF131" i="4"/>
  <c r="AG131" i="4" s="1"/>
  <c r="AF148" i="4"/>
  <c r="AG148" i="4" s="1"/>
  <c r="AF196" i="4"/>
  <c r="AG196" i="4" s="1"/>
  <c r="AF259" i="4"/>
  <c r="AG259" i="4"/>
  <c r="AF350" i="4"/>
  <c r="AG350" i="4"/>
  <c r="AF364" i="4"/>
  <c r="AG364" i="4"/>
  <c r="AF378" i="4"/>
  <c r="AG378" i="4" s="1"/>
  <c r="AI27" i="4"/>
  <c r="AI209" i="4"/>
  <c r="S310" i="4"/>
  <c r="AI310" i="4"/>
  <c r="AI36" i="4"/>
  <c r="AI212" i="4"/>
  <c r="S284" i="4"/>
  <c r="AI284" i="4"/>
  <c r="AI30" i="4"/>
  <c r="S177" i="4"/>
  <c r="AI177" i="4"/>
  <c r="S228" i="4"/>
  <c r="S106" i="4"/>
  <c r="S124" i="4"/>
  <c r="S127" i="4"/>
  <c r="S136" i="4"/>
  <c r="S139" i="4"/>
  <c r="S142" i="4"/>
  <c r="AI235" i="4"/>
  <c r="AF155" i="4"/>
  <c r="AG155" i="4" s="1"/>
  <c r="AI21" i="4"/>
  <c r="S13" i="4"/>
  <c r="AI13" i="4"/>
  <c r="S25" i="4"/>
  <c r="AI25" i="4"/>
  <c r="S34" i="4"/>
  <c r="AI34" i="4"/>
  <c r="S37" i="4"/>
  <c r="AI37" i="4"/>
  <c r="S49" i="4"/>
  <c r="AI49" i="4"/>
  <c r="S73" i="4"/>
  <c r="AI73" i="4"/>
  <c r="S82" i="4"/>
  <c r="AI82" i="4"/>
  <c r="S85" i="4"/>
  <c r="AI85" i="4"/>
  <c r="S97" i="4"/>
  <c r="AI97" i="4"/>
  <c r="AI151" i="4"/>
  <c r="AI154" i="4"/>
  <c r="AI157" i="4"/>
  <c r="AI160" i="4"/>
  <c r="AI163" i="4"/>
  <c r="AI166" i="4"/>
  <c r="AI190" i="4"/>
  <c r="S193" i="4"/>
  <c r="AI193" i="4"/>
  <c r="AI196" i="4"/>
  <c r="P255" i="4"/>
  <c r="Q255" i="4"/>
  <c r="AI267" i="4"/>
  <c r="S270" i="4"/>
  <c r="P377" i="4"/>
  <c r="Q377" i="4"/>
  <c r="AI351" i="4"/>
  <c r="S351" i="4"/>
  <c r="S354" i="4"/>
  <c r="AI354" i="4"/>
  <c r="S360" i="4"/>
  <c r="AI360" i="4"/>
  <c r="S363" i="4"/>
  <c r="AI363" i="4"/>
  <c r="S380" i="4"/>
  <c r="AI380" i="4"/>
  <c r="S292" i="4"/>
  <c r="AI12" i="4"/>
  <c r="S180" i="4"/>
  <c r="AI180" i="4"/>
  <c r="S217" i="4"/>
  <c r="S210" i="4"/>
  <c r="AI210" i="4"/>
  <c r="AI372" i="4"/>
  <c r="S375" i="4"/>
  <c r="AI375" i="4"/>
  <c r="AF62" i="4"/>
  <c r="AG62" i="4" s="1"/>
  <c r="S225" i="4"/>
  <c r="AI225" i="4"/>
  <c r="AI18" i="4"/>
  <c r="S186" i="4"/>
  <c r="AI186" i="4"/>
  <c r="P207" i="4"/>
  <c r="Q207" i="4"/>
  <c r="R207" i="4"/>
  <c r="S242" i="4"/>
  <c r="S250" i="4"/>
  <c r="AI250" i="4"/>
  <c r="AI256" i="4"/>
  <c r="AI320" i="4"/>
  <c r="AI24" i="4"/>
  <c r="S168" i="4"/>
  <c r="AI168" i="4"/>
  <c r="S192" i="4"/>
  <c r="AI192" i="4"/>
  <c r="S243" i="4"/>
  <c r="AI243" i="4"/>
  <c r="S295" i="4"/>
  <c r="S17" i="4"/>
  <c r="AI17" i="4"/>
  <c r="S29" i="4"/>
  <c r="S50" i="4"/>
  <c r="AI50" i="4"/>
  <c r="S53" i="4"/>
  <c r="AI53" i="4"/>
  <c r="S65" i="4"/>
  <c r="AI65" i="4"/>
  <c r="S77" i="4"/>
  <c r="AI77" i="4"/>
  <c r="S89" i="4"/>
  <c r="AI89" i="4"/>
  <c r="S98" i="4"/>
  <c r="AI98" i="4"/>
  <c r="S101" i="4"/>
  <c r="AI101" i="4"/>
  <c r="S125" i="4"/>
  <c r="AI125" i="4"/>
  <c r="AI128" i="4"/>
  <c r="AI155" i="4"/>
  <c r="AI158" i="4"/>
  <c r="AI167" i="4"/>
  <c r="AI191" i="4"/>
  <c r="AI239" i="4"/>
  <c r="AI326" i="4"/>
  <c r="AF75" i="4"/>
  <c r="AG75" i="4"/>
  <c r="AI33" i="4"/>
  <c r="S324" i="4"/>
  <c r="AI278" i="4"/>
  <c r="AI15" i="4"/>
  <c r="AI39" i="4"/>
  <c r="S301" i="4"/>
  <c r="S344" i="4"/>
  <c r="AF86" i="4"/>
  <c r="AG86" i="4"/>
  <c r="AI189" i="4"/>
  <c r="P199" i="4"/>
  <c r="Q199" i="4"/>
  <c r="AI215" i="4"/>
  <c r="P228" i="4"/>
  <c r="Q228" i="4"/>
  <c r="P231" i="4"/>
  <c r="Q231" i="4" s="1"/>
  <c r="S234" i="4"/>
  <c r="AI234" i="4"/>
  <c r="AI245" i="4"/>
  <c r="P250" i="4"/>
  <c r="Q250" i="4"/>
  <c r="AI253" i="4"/>
  <c r="S259" i="4"/>
  <c r="AI276" i="4"/>
  <c r="AI290" i="4"/>
  <c r="P303" i="4"/>
  <c r="Q303" i="4"/>
  <c r="P312" i="4"/>
  <c r="Q312" i="4"/>
  <c r="AI315" i="4"/>
  <c r="AI329" i="4"/>
  <c r="S338" i="4"/>
  <c r="S341" i="4"/>
  <c r="AI366" i="4"/>
  <c r="AI369" i="4"/>
  <c r="AF56" i="4"/>
  <c r="AG56" i="4" s="1"/>
  <c r="AF69" i="4"/>
  <c r="AG69" i="4" s="1"/>
  <c r="AF80" i="4"/>
  <c r="AG80" i="4"/>
  <c r="AF117" i="4"/>
  <c r="AG117" i="4"/>
  <c r="AI131" i="4"/>
  <c r="AI134" i="4"/>
  <c r="S137" i="4"/>
  <c r="AI140" i="4"/>
  <c r="S146" i="4"/>
  <c r="S149" i="4"/>
  <c r="S152" i="4"/>
  <c r="S161" i="4"/>
  <c r="AI161" i="4"/>
  <c r="S164" i="4"/>
  <c r="S167" i="4"/>
  <c r="S170" i="4"/>
  <c r="S173" i="4"/>
  <c r="S176" i="4"/>
  <c r="AI179" i="4"/>
  <c r="AI182" i="4"/>
  <c r="S185" i="4"/>
  <c r="AI185" i="4"/>
  <c r="S188" i="4"/>
  <c r="AI188" i="4"/>
  <c r="AI197" i="4"/>
  <c r="AI218" i="4"/>
  <c r="P220" i="4"/>
  <c r="Q220" i="4"/>
  <c r="AI223" i="4"/>
  <c r="P262" i="4"/>
  <c r="Q262" i="4"/>
  <c r="AI268" i="4"/>
  <c r="AI321" i="4"/>
  <c r="P341" i="4"/>
  <c r="Q341" i="4"/>
  <c r="AI344" i="4"/>
  <c r="AI352" i="4"/>
  <c r="S355" i="4"/>
  <c r="S358" i="4"/>
  <c r="AI358" i="4"/>
  <c r="AI361" i="4"/>
  <c r="S364" i="4"/>
  <c r="AF52" i="4"/>
  <c r="AG52" i="4" s="1"/>
  <c r="AF65" i="4"/>
  <c r="AG65" i="4" s="1"/>
  <c r="AF76" i="4"/>
  <c r="AG76" i="4" s="1"/>
  <c r="AF89" i="4"/>
  <c r="AG89" i="4"/>
  <c r="AF100" i="4"/>
  <c r="AG100" i="4"/>
  <c r="AF113" i="4"/>
  <c r="AG113" i="4"/>
  <c r="AF124" i="4"/>
  <c r="AG124" i="4"/>
  <c r="AI146" i="4"/>
  <c r="AI355" i="4"/>
  <c r="S378" i="4"/>
  <c r="AI378" i="4"/>
  <c r="AI137" i="4"/>
  <c r="AI170" i="4"/>
  <c r="AI251" i="4"/>
  <c r="AI254" i="4"/>
  <c r="AI257" i="4"/>
  <c r="AI277" i="4"/>
  <c r="AI291" i="4"/>
  <c r="AI313" i="4"/>
  <c r="AI316" i="4"/>
  <c r="AI330" i="4"/>
  <c r="AI333" i="4"/>
  <c r="S347" i="4"/>
  <c r="AI347" i="4"/>
  <c r="AI367" i="4"/>
  <c r="S42" i="4"/>
  <c r="S48" i="4"/>
  <c r="S51" i="4"/>
  <c r="S54" i="4"/>
  <c r="S60" i="4"/>
  <c r="S63" i="4"/>
  <c r="S72" i="4"/>
  <c r="S75" i="4"/>
  <c r="S78" i="4"/>
  <c r="S84" i="4"/>
  <c r="S87" i="4"/>
  <c r="S90" i="4"/>
  <c r="S99" i="4"/>
  <c r="S102" i="4"/>
  <c r="S108" i="4"/>
  <c r="S120" i="4"/>
  <c r="S123" i="4"/>
  <c r="S126" i="4"/>
  <c r="S132" i="4"/>
  <c r="S135" i="4"/>
  <c r="S138" i="4"/>
  <c r="S147" i="4"/>
  <c r="S150" i="4"/>
  <c r="S159" i="4"/>
  <c r="S203" i="4"/>
  <c r="AI221" i="4"/>
  <c r="AI246" i="4"/>
  <c r="S263" i="4"/>
  <c r="AI263" i="4"/>
  <c r="S266" i="4"/>
  <c r="P293" i="4"/>
  <c r="Q293" i="4"/>
  <c r="AI299" i="4"/>
  <c r="S336" i="4"/>
  <c r="AI336" i="4"/>
  <c r="AI339" i="4"/>
  <c r="AI342" i="4"/>
  <c r="P367" i="4"/>
  <c r="Q367" i="4" s="1"/>
  <c r="AI370" i="4"/>
  <c r="S373" i="4"/>
  <c r="S381" i="4"/>
  <c r="AI381" i="4"/>
  <c r="AF12" i="4"/>
  <c r="AG12" i="4"/>
  <c r="AF14" i="4"/>
  <c r="AG14" i="4"/>
  <c r="AF16" i="4"/>
  <c r="AG16" i="4"/>
  <c r="AF20" i="4"/>
  <c r="AG20" i="4" s="1"/>
  <c r="AF22" i="4"/>
  <c r="AG22" i="4" s="1"/>
  <c r="AF24" i="4"/>
  <c r="AG24" i="4" s="1"/>
  <c r="AF26" i="4"/>
  <c r="AG26" i="4" s="1"/>
  <c r="AF28" i="4"/>
  <c r="AG28" i="4"/>
  <c r="AF30" i="4"/>
  <c r="AG30" i="4"/>
  <c r="AF32" i="4"/>
  <c r="AG32" i="4"/>
  <c r="AF34" i="4"/>
  <c r="AG34" i="4"/>
  <c r="AF36" i="4"/>
  <c r="AG36" i="4" s="1"/>
  <c r="AF40" i="4"/>
  <c r="AG40" i="4" s="1"/>
  <c r="AF42" i="4"/>
  <c r="AG42" i="4"/>
  <c r="AF44" i="4"/>
  <c r="AG44" i="4"/>
  <c r="AF46" i="4"/>
  <c r="AG46" i="4"/>
  <c r="AF59" i="4"/>
  <c r="AG59" i="4" s="1"/>
  <c r="AF70" i="4"/>
  <c r="AG70" i="4" s="1"/>
  <c r="AF140" i="4"/>
  <c r="AG140" i="4"/>
  <c r="S238" i="4"/>
  <c r="AI238" i="4"/>
  <c r="AI302" i="4"/>
  <c r="S345" i="4"/>
  <c r="AI345" i="4"/>
  <c r="S353" i="4"/>
  <c r="AI353" i="4"/>
  <c r="S356" i="4"/>
  <c r="AI356" i="4"/>
  <c r="S211" i="4"/>
  <c r="AI211" i="4"/>
  <c r="AI224" i="4"/>
  <c r="S227" i="4"/>
  <c r="AI227" i="4"/>
  <c r="AI230" i="4"/>
  <c r="AI272" i="4"/>
  <c r="AI275" i="4"/>
  <c r="AI283" i="4"/>
  <c r="AI286" i="4"/>
  <c r="AI308" i="4"/>
  <c r="AI311" i="4"/>
  <c r="AI322" i="4"/>
  <c r="AI325" i="4"/>
  <c r="AF55" i="4"/>
  <c r="AG55" i="4" s="1"/>
  <c r="AF66" i="4"/>
  <c r="AG66" i="4" s="1"/>
  <c r="AF103" i="4"/>
  <c r="AG103" i="4" s="1"/>
  <c r="AF114" i="4"/>
  <c r="AG114" i="4"/>
  <c r="AF127" i="4"/>
  <c r="AG127" i="4"/>
  <c r="AI149" i="4"/>
  <c r="AI173" i="4"/>
  <c r="AI206" i="4"/>
  <c r="AI214" i="4"/>
  <c r="S219" i="4"/>
  <c r="AI233" i="4"/>
  <c r="P241" i="4"/>
  <c r="Q241" i="4" s="1"/>
  <c r="AI252" i="4"/>
  <c r="S255" i="4"/>
  <c r="AI255" i="4"/>
  <c r="S258" i="4"/>
  <c r="AI258" i="4"/>
  <c r="P286" i="4"/>
  <c r="Q286" i="4" s="1"/>
  <c r="AI289" i="4"/>
  <c r="P308" i="4"/>
  <c r="Q308" i="4" s="1"/>
  <c r="AI317" i="4"/>
  <c r="AI334" i="4"/>
  <c r="AI365" i="4"/>
  <c r="S368" i="4"/>
  <c r="AI379" i="4"/>
  <c r="AF53" i="4"/>
  <c r="AG53" i="4" s="1"/>
  <c r="AF64" i="4"/>
  <c r="AG64" i="4" s="1"/>
  <c r="AF77" i="4"/>
  <c r="AG77" i="4" s="1"/>
  <c r="AF88" i="4"/>
  <c r="AG88" i="4"/>
  <c r="AF101" i="4"/>
  <c r="AG101" i="4"/>
  <c r="AF112" i="4"/>
  <c r="AG112" i="4" s="1"/>
  <c r="AF136" i="4"/>
  <c r="AG136" i="4" s="1"/>
  <c r="AF143" i="4"/>
  <c r="AG143" i="4"/>
  <c r="AI164" i="4"/>
  <c r="AF184" i="4"/>
  <c r="AG184" i="4" s="1"/>
  <c r="AF224" i="4"/>
  <c r="AG224" i="4"/>
  <c r="AF252" i="4"/>
  <c r="AG252" i="4" s="1"/>
  <c r="AF254" i="4"/>
  <c r="AG254" i="4" s="1"/>
  <c r="AF256" i="4"/>
  <c r="AG256" i="4"/>
  <c r="AF283" i="4"/>
  <c r="AG283" i="4"/>
  <c r="AF312" i="4"/>
  <c r="AG312" i="4" s="1"/>
  <c r="AF321" i="4"/>
  <c r="AG321" i="4" s="1"/>
  <c r="AF348" i="4"/>
  <c r="AG348" i="4" s="1"/>
  <c r="AF357" i="4"/>
  <c r="AG357" i="4"/>
  <c r="AF366" i="4"/>
  <c r="AG366" i="4"/>
  <c r="AF375" i="4"/>
  <c r="AG375" i="4"/>
  <c r="AF153" i="4"/>
  <c r="AG153" i="4" s="1"/>
  <c r="AF195" i="4"/>
  <c r="AG195" i="4"/>
  <c r="AF248" i="4"/>
  <c r="AG248" i="4"/>
  <c r="AF265" i="4"/>
  <c r="AG265" i="4" s="1"/>
  <c r="AF281" i="4"/>
  <c r="AG281" i="4"/>
  <c r="AF172" i="4"/>
  <c r="AG172" i="4"/>
  <c r="AF191" i="4"/>
  <c r="AG191" i="4" s="1"/>
  <c r="AF218" i="4"/>
  <c r="AG218" i="4" s="1"/>
  <c r="AF231" i="4"/>
  <c r="AG231" i="4" s="1"/>
  <c r="AF269" i="4"/>
  <c r="AG269" i="4" s="1"/>
  <c r="AF290" i="4"/>
  <c r="AG290" i="4"/>
  <c r="AF299" i="4"/>
  <c r="AG299" i="4" s="1"/>
  <c r="AF308" i="4"/>
  <c r="AG308" i="4" s="1"/>
  <c r="AF317" i="4"/>
  <c r="AG317" i="4"/>
  <c r="AF326" i="4"/>
  <c r="AG326" i="4"/>
  <c r="AF335" i="4"/>
  <c r="AG335" i="4"/>
  <c r="AF353" i="4"/>
  <c r="AG353" i="4"/>
  <c r="AF362" i="4"/>
  <c r="AG362" i="4" s="1"/>
  <c r="AF160" i="4"/>
  <c r="AG160" i="4" s="1"/>
  <c r="AF179" i="4"/>
  <c r="AG179" i="4"/>
  <c r="AF212" i="4"/>
  <c r="AG212" i="4" s="1"/>
  <c r="AF225" i="4"/>
  <c r="AG225" i="4" s="1"/>
  <c r="AF255" i="4"/>
  <c r="AG255" i="4"/>
  <c r="AF284" i="4"/>
  <c r="AG284" i="4"/>
  <c r="AF232" i="4"/>
  <c r="AG232" i="4" s="1"/>
  <c r="AF268" i="4"/>
  <c r="AG268" i="4"/>
  <c r="AF163" i="4"/>
  <c r="AG163" i="4"/>
  <c r="AF192" i="4"/>
  <c r="AG192" i="4"/>
  <c r="AF245" i="4"/>
  <c r="AG245" i="4"/>
  <c r="AF262" i="4"/>
  <c r="AG262" i="4" s="1"/>
  <c r="AF138" i="4"/>
  <c r="AG138" i="4" s="1"/>
  <c r="AF150" i="4"/>
  <c r="AG150" i="4" s="1"/>
  <c r="AF162" i="4"/>
  <c r="AG162" i="4"/>
  <c r="AF174" i="4"/>
  <c r="AG174" i="4" s="1"/>
  <c r="AF186" i="4"/>
  <c r="AG186" i="4"/>
  <c r="AF198" i="4"/>
  <c r="AG198" i="4" s="1"/>
  <c r="AF217" i="4"/>
  <c r="AG217" i="4" s="1"/>
  <c r="AF226" i="4"/>
  <c r="AG226" i="4" s="1"/>
  <c r="AF239" i="4"/>
  <c r="AG239" i="4"/>
  <c r="AF145" i="4"/>
  <c r="AG145" i="4"/>
  <c r="AF157" i="4"/>
  <c r="AG157" i="4"/>
  <c r="AF169" i="4"/>
  <c r="AG169" i="4"/>
  <c r="AF181" i="4"/>
  <c r="AG181" i="4" s="1"/>
  <c r="AF193" i="4"/>
  <c r="AG193" i="4"/>
  <c r="AF205" i="4"/>
  <c r="AG205" i="4" s="1"/>
  <c r="AF219" i="4"/>
  <c r="AG219" i="4"/>
  <c r="AF228" i="4"/>
  <c r="AG228" i="4"/>
  <c r="AF243" i="4"/>
  <c r="AG243" i="4" s="1"/>
  <c r="AF260" i="4"/>
  <c r="AG260" i="4" s="1"/>
  <c r="AF279" i="4"/>
  <c r="AG279" i="4" s="1"/>
  <c r="AF291" i="4"/>
  <c r="AG291" i="4" s="1"/>
  <c r="AF142" i="4"/>
  <c r="AG142" i="4"/>
  <c r="AF154" i="4"/>
  <c r="AG154" i="4"/>
  <c r="AF166" i="4"/>
  <c r="AG166" i="4"/>
  <c r="AF178" i="4"/>
  <c r="AG178" i="4" s="1"/>
  <c r="AF202" i="4"/>
  <c r="AG202" i="4" s="1"/>
  <c r="AF214" i="4"/>
  <c r="AG214" i="4"/>
  <c r="AF223" i="4"/>
  <c r="AG223" i="4" s="1"/>
  <c r="AF234" i="4"/>
  <c r="AG234" i="4"/>
  <c r="AF251" i="4"/>
  <c r="AG251" i="4" s="1"/>
  <c r="AF270" i="4"/>
  <c r="AG270" i="4" s="1"/>
  <c r="AF300" i="4"/>
  <c r="AG300" i="4"/>
  <c r="AF137" i="4"/>
  <c r="AG137" i="4" s="1"/>
  <c r="AF149" i="4"/>
  <c r="AG149" i="4" s="1"/>
  <c r="AF185" i="4"/>
  <c r="AG185" i="4"/>
  <c r="AF197" i="4"/>
  <c r="AG197" i="4"/>
  <c r="AF209" i="4"/>
  <c r="AG209" i="4" s="1"/>
  <c r="AF216" i="4"/>
  <c r="AG216" i="4" s="1"/>
  <c r="AF240" i="4"/>
  <c r="AG240" i="4" s="1"/>
  <c r="AF257" i="4"/>
  <c r="AG257" i="4"/>
  <c r="AF276" i="4"/>
  <c r="AG276" i="4" s="1"/>
  <c r="AF294" i="4"/>
  <c r="AG294" i="4"/>
  <c r="AF309" i="4"/>
  <c r="AG309" i="4" s="1"/>
  <c r="AF318" i="4"/>
  <c r="AG318" i="4"/>
  <c r="AF327" i="4"/>
  <c r="AG327" i="4"/>
  <c r="AF345" i="4"/>
  <c r="AG345" i="4" s="1"/>
  <c r="AF354" i="4"/>
  <c r="AG354" i="4" s="1"/>
  <c r="AF363" i="4"/>
  <c r="AG363" i="4"/>
  <c r="AF381" i="4"/>
  <c r="AG381" i="4" s="1"/>
  <c r="AF134" i="4"/>
  <c r="AG134" i="4" s="1"/>
  <c r="AF146" i="4"/>
  <c r="AG146" i="4" s="1"/>
  <c r="AF158" i="4"/>
  <c r="AG158" i="4" s="1"/>
  <c r="AF182" i="4"/>
  <c r="AG182" i="4"/>
  <c r="AF194" i="4"/>
  <c r="AG194" i="4" s="1"/>
  <c r="AF206" i="4"/>
  <c r="AG206" i="4" s="1"/>
  <c r="AF220" i="4"/>
  <c r="AG220" i="4"/>
  <c r="AF229" i="4"/>
  <c r="AG229" i="4"/>
  <c r="AF246" i="4"/>
  <c r="AG246" i="4"/>
  <c r="AF263" i="4"/>
  <c r="AG263" i="4" s="1"/>
  <c r="AF282" i="4"/>
  <c r="AG282" i="4" s="1"/>
  <c r="AF288" i="4"/>
  <c r="AG288" i="4" s="1"/>
  <c r="AM617" i="3"/>
  <c r="AG584" i="3"/>
  <c r="AM584" i="3"/>
  <c r="Q599" i="3"/>
  <c r="AG608" i="3"/>
  <c r="AM608" i="3"/>
  <c r="AG598" i="3"/>
  <c r="AM598" i="3" s="1"/>
  <c r="Q571" i="3"/>
  <c r="AG582" i="3"/>
  <c r="AM582" i="3" s="1"/>
  <c r="AG573" i="3"/>
  <c r="AM573" i="3"/>
  <c r="Q576" i="3"/>
  <c r="Q621" i="3"/>
  <c r="AG613" i="3"/>
  <c r="AM613" i="3"/>
  <c r="AG519" i="3"/>
  <c r="AM519" i="3" s="1"/>
  <c r="N492" i="3"/>
  <c r="O492" i="3" s="1"/>
  <c r="Q492" i="3" s="1"/>
  <c r="F21" i="10"/>
  <c r="N369" i="3"/>
  <c r="O369" i="3" s="1"/>
  <c r="Q369" i="3"/>
  <c r="AD526" i="3"/>
  <c r="AE526" i="3"/>
  <c r="AG526" i="3" s="1"/>
  <c r="AM526" i="3" s="1"/>
  <c r="H20" i="10"/>
  <c r="F9" i="10"/>
  <c r="G21" i="10"/>
  <c r="G9" i="10"/>
  <c r="N377" i="3"/>
  <c r="O377" i="3"/>
  <c r="Q377" i="3" s="1"/>
  <c r="N628" i="3"/>
  <c r="O628" i="3" s="1"/>
  <c r="Q628" i="3" s="1"/>
  <c r="N551" i="3"/>
  <c r="O551" i="3" s="1"/>
  <c r="Q551" i="3" s="1"/>
  <c r="AD533" i="3"/>
  <c r="AE533" i="3" s="1"/>
  <c r="AG533" i="3"/>
  <c r="AM533" i="3" s="1"/>
  <c r="AF533" i="3"/>
  <c r="N496" i="3"/>
  <c r="O496" i="3" s="1"/>
  <c r="P496" i="3"/>
  <c r="AD527" i="3"/>
  <c r="AE527" i="3"/>
  <c r="AF527" i="3"/>
  <c r="AG521" i="3"/>
  <c r="AM521" i="3" s="1"/>
  <c r="AD464" i="3"/>
  <c r="AE464" i="3"/>
  <c r="AG464" i="3" s="1"/>
  <c r="AM464" i="3" s="1"/>
  <c r="N351" i="3"/>
  <c r="O351" i="3" s="1"/>
  <c r="Q351" i="3" s="1"/>
  <c r="N552" i="3"/>
  <c r="O552" i="3"/>
  <c r="Q552" i="3" s="1"/>
  <c r="AF549" i="3"/>
  <c r="N500" i="3"/>
  <c r="O500" i="3" s="1"/>
  <c r="Q500" i="3"/>
  <c r="D9" i="10"/>
  <c r="I21" i="10"/>
  <c r="H21" i="10"/>
  <c r="P599" i="3"/>
  <c r="AF596" i="3"/>
  <c r="P583" i="3"/>
  <c r="Q583" i="3"/>
  <c r="AF580" i="3"/>
  <c r="P567" i="3"/>
  <c r="Q567" i="3" s="1"/>
  <c r="AF564" i="3"/>
  <c r="AF553" i="3"/>
  <c r="Q349" i="3"/>
  <c r="E7" i="10"/>
  <c r="I7" i="10"/>
  <c r="N370" i="3"/>
  <c r="O370" i="3"/>
  <c r="Q370" i="3" s="1"/>
  <c r="AD555" i="3"/>
  <c r="AE555" i="3" s="1"/>
  <c r="AG555" i="3" s="1"/>
  <c r="AM555" i="3" s="1"/>
  <c r="AD546" i="3"/>
  <c r="AE546" i="3"/>
  <c r="AG546" i="3" s="1"/>
  <c r="AM546" i="3" s="1"/>
  <c r="AD528" i="3"/>
  <c r="AE528" i="3" s="1"/>
  <c r="AF528" i="3"/>
  <c r="AG516" i="3"/>
  <c r="AM516" i="3"/>
  <c r="AD506" i="3"/>
  <c r="AE506" i="3"/>
  <c r="AG506" i="3" s="1"/>
  <c r="AM506" i="3" s="1"/>
  <c r="AD502" i="3"/>
  <c r="AE502" i="3" s="1"/>
  <c r="AG502" i="3" s="1"/>
  <c r="AM502" i="3" s="1"/>
  <c r="AF495" i="3"/>
  <c r="H9" i="10"/>
  <c r="E20" i="10"/>
  <c r="F7" i="10"/>
  <c r="AF551" i="3"/>
  <c r="AG551" i="3"/>
  <c r="AM551" i="3" s="1"/>
  <c r="P494" i="3"/>
  <c r="N494" i="3"/>
  <c r="O494" i="3" s="1"/>
  <c r="Q494" i="3" s="1"/>
  <c r="G7" i="10"/>
  <c r="AG507" i="3"/>
  <c r="AM507" i="3"/>
  <c r="AG503" i="3"/>
  <c r="AM503" i="3" s="1"/>
  <c r="F20" i="10"/>
  <c r="AG511" i="3"/>
  <c r="AM511" i="3" s="1"/>
  <c r="AG499" i="3"/>
  <c r="AM499" i="3" s="1"/>
  <c r="AF465" i="3"/>
  <c r="AD465" i="3"/>
  <c r="AE465" i="3" s="1"/>
  <c r="N460" i="3"/>
  <c r="O460" i="3" s="1"/>
  <c r="Q460" i="3" s="1"/>
  <c r="AG390" i="3"/>
  <c r="AM390" i="3"/>
  <c r="Q479" i="3"/>
  <c r="N508" i="3"/>
  <c r="O508" i="3"/>
  <c r="Q508" i="3" s="1"/>
  <c r="AD500" i="3"/>
  <c r="AE500" i="3"/>
  <c r="AG500" i="3" s="1"/>
  <c r="AM500" i="3"/>
  <c r="AG487" i="3"/>
  <c r="AM487" i="3"/>
  <c r="Q475" i="3"/>
  <c r="AG492" i="3"/>
  <c r="AM492" i="3" s="1"/>
  <c r="P486" i="3"/>
  <c r="N486" i="3"/>
  <c r="O486" i="3" s="1"/>
  <c r="Q486" i="3" s="1"/>
  <c r="AD452" i="3"/>
  <c r="AE452" i="3" s="1"/>
  <c r="AD493" i="3"/>
  <c r="AE493" i="3" s="1"/>
  <c r="AG493" i="3" s="1"/>
  <c r="AM493" i="3" s="1"/>
  <c r="AF493" i="3"/>
  <c r="AG488" i="3"/>
  <c r="AM488" i="3" s="1"/>
  <c r="AG478" i="3"/>
  <c r="AM478" i="3"/>
  <c r="N462" i="3"/>
  <c r="O462" i="3"/>
  <c r="Q462" i="3" s="1"/>
  <c r="P434" i="3"/>
  <c r="N434" i="3"/>
  <c r="O434" i="3" s="1"/>
  <c r="Q434" i="3"/>
  <c r="AD436" i="3"/>
  <c r="AE436" i="3" s="1"/>
  <c r="AG436" i="3" s="1"/>
  <c r="AM436" i="3" s="1"/>
  <c r="Q435" i="3"/>
  <c r="Q415" i="3"/>
  <c r="N404" i="3"/>
  <c r="O404" i="3" s="1"/>
  <c r="Q404" i="3" s="1"/>
  <c r="AG394" i="3"/>
  <c r="AM394" i="3" s="1"/>
  <c r="AG433" i="3"/>
  <c r="AM433" i="3" s="1"/>
  <c r="N488" i="3"/>
  <c r="O488" i="3"/>
  <c r="Q488" i="3" s="1"/>
  <c r="N452" i="3"/>
  <c r="O452" i="3" s="1"/>
  <c r="Q452" i="3"/>
  <c r="AG443" i="3"/>
  <c r="AM443" i="3"/>
  <c r="AD432" i="3"/>
  <c r="AE432" i="3" s="1"/>
  <c r="AG432" i="3"/>
  <c r="AM432" i="3" s="1"/>
  <c r="Q383" i="3"/>
  <c r="Q387" i="3"/>
  <c r="AD476" i="3"/>
  <c r="AE476" i="3"/>
  <c r="AG476" i="3" s="1"/>
  <c r="AM476" i="3" s="1"/>
  <c r="Q455" i="3"/>
  <c r="N454" i="3"/>
  <c r="O454" i="3"/>
  <c r="Q454" i="3" s="1"/>
  <c r="AD448" i="3"/>
  <c r="AE448" i="3"/>
  <c r="AG448" i="3" s="1"/>
  <c r="AM448" i="3"/>
  <c r="AG439" i="3"/>
  <c r="AM439" i="3"/>
  <c r="N416" i="3"/>
  <c r="O416" i="3"/>
  <c r="Q416" i="3" s="1"/>
  <c r="Q391" i="3"/>
  <c r="N428" i="3"/>
  <c r="O428" i="3" s="1"/>
  <c r="Q428" i="3" s="1"/>
  <c r="N424" i="3"/>
  <c r="O424" i="3"/>
  <c r="Q424" i="3" s="1"/>
  <c r="N480" i="3"/>
  <c r="O480" i="3"/>
  <c r="Q480" i="3" s="1"/>
  <c r="AG467" i="3"/>
  <c r="AM467" i="3"/>
  <c r="AD444" i="3"/>
  <c r="AE444" i="3"/>
  <c r="AG444" i="3" s="1"/>
  <c r="AM444" i="3"/>
  <c r="AG422" i="3"/>
  <c r="AM422" i="3"/>
  <c r="Q403" i="3"/>
  <c r="N388" i="3"/>
  <c r="O388" i="3"/>
  <c r="Q388" i="3" s="1"/>
  <c r="AG382" i="3"/>
  <c r="AM382" i="3"/>
  <c r="N476" i="3"/>
  <c r="O476" i="3"/>
  <c r="Q476" i="3" s="1"/>
  <c r="Q418" i="3"/>
  <c r="Q407" i="3"/>
  <c r="N392" i="3"/>
  <c r="O392" i="3" s="1"/>
  <c r="Q392" i="3" s="1"/>
  <c r="AG386" i="3"/>
  <c r="AM386" i="3" s="1"/>
  <c r="AG383" i="3"/>
  <c r="AM383" i="3"/>
  <c r="AD342" i="3"/>
  <c r="AE342" i="3"/>
  <c r="AD375" i="3"/>
  <c r="AE375" i="3"/>
  <c r="AG375" i="3" s="1"/>
  <c r="AM375" i="3"/>
  <c r="N343" i="3"/>
  <c r="O343" i="3" s="1"/>
  <c r="Q343" i="3" s="1"/>
  <c r="AD377" i="3"/>
  <c r="AE377" i="3" s="1"/>
  <c r="AG377" i="3" s="1"/>
  <c r="AM377" i="3" s="1"/>
  <c r="AD356" i="3"/>
  <c r="AE356" i="3" s="1"/>
  <c r="AD337" i="3"/>
  <c r="AE337" i="3" s="1"/>
  <c r="AG337" i="3"/>
  <c r="AM337" i="3" s="1"/>
  <c r="AG341" i="3"/>
  <c r="AM341" i="3"/>
  <c r="AD343" i="3"/>
  <c r="AE343" i="3" s="1"/>
  <c r="AG343" i="3" s="1"/>
  <c r="AM343" i="3" s="1"/>
  <c r="AD368" i="3"/>
  <c r="AE368" i="3" s="1"/>
  <c r="AG368" i="3" s="1"/>
  <c r="AD334" i="3"/>
  <c r="AE334" i="3" s="1"/>
  <c r="AG334" i="3"/>
  <c r="AM334" i="3" s="1"/>
  <c r="N332" i="3"/>
  <c r="O332" i="3"/>
  <c r="Q332" i="3" s="1"/>
  <c r="N365" i="3"/>
  <c r="O365" i="3"/>
  <c r="Q365" i="3" s="1"/>
  <c r="AD372" i="3"/>
  <c r="AE372" i="3" s="1"/>
  <c r="AG372" i="3"/>
  <c r="AM372" i="3" s="1"/>
  <c r="N375" i="3"/>
  <c r="O375" i="3" s="1"/>
  <c r="Q375" i="3" s="1"/>
  <c r="N344" i="3"/>
  <c r="O344" i="3" s="1"/>
  <c r="Q344" i="3" s="1"/>
  <c r="N348" i="3"/>
  <c r="O348" i="3" s="1"/>
  <c r="Q348" i="3" s="1"/>
  <c r="AD353" i="3"/>
  <c r="AE353" i="3"/>
  <c r="AG353" i="3" s="1"/>
  <c r="AD355" i="3"/>
  <c r="AE355" i="3" s="1"/>
  <c r="AG355" i="3" s="1"/>
  <c r="AM355" i="3" s="1"/>
  <c r="I11" i="10"/>
  <c r="AD336" i="3"/>
  <c r="AE336" i="3"/>
  <c r="AG336" i="3" s="1"/>
  <c r="AM336" i="3"/>
  <c r="AD359" i="3"/>
  <c r="AE359" i="3"/>
  <c r="AG359" i="3" s="1"/>
  <c r="AM359" i="3"/>
  <c r="AD361" i="3"/>
  <c r="AE361" i="3" s="1"/>
  <c r="AG361" i="3"/>
  <c r="AM361" i="3" s="1"/>
  <c r="AD363" i="3"/>
  <c r="AE363" i="3"/>
  <c r="AG363" i="3" s="1"/>
  <c r="AM363" i="3" s="1"/>
  <c r="AM368" i="3"/>
  <c r="Q312" i="3"/>
  <c r="AG62" i="3"/>
  <c r="AM62" i="3" s="1"/>
  <c r="AD77" i="3"/>
  <c r="AE77" i="3"/>
  <c r="Q85" i="3"/>
  <c r="Q142" i="3"/>
  <c r="N174" i="3"/>
  <c r="O174" i="3"/>
  <c r="Q174" i="3" s="1"/>
  <c r="AF289" i="3"/>
  <c r="AG324" i="3"/>
  <c r="AM324" i="3" s="1"/>
  <c r="E23" i="10"/>
  <c r="I23" i="10"/>
  <c r="G11" i="10"/>
  <c r="AG162" i="3"/>
  <c r="AM162" i="3"/>
  <c r="N191" i="3"/>
  <c r="O191" i="3"/>
  <c r="Q191" i="3" s="1"/>
  <c r="AD57" i="3"/>
  <c r="AE57" i="3" s="1"/>
  <c r="AG57" i="3" s="1"/>
  <c r="AM57" i="3"/>
  <c r="AD105" i="3"/>
  <c r="AE105" i="3" s="1"/>
  <c r="AG127" i="3"/>
  <c r="AM127" i="3" s="1"/>
  <c r="AD205" i="3"/>
  <c r="AE205" i="3"/>
  <c r="AG205" i="3" s="1"/>
  <c r="AM205" i="3" s="1"/>
  <c r="N237" i="3"/>
  <c r="O237" i="3" s="1"/>
  <c r="Q237" i="3" s="1"/>
  <c r="N246" i="3"/>
  <c r="O246" i="3" s="1"/>
  <c r="Q246" i="3"/>
  <c r="N314" i="3"/>
  <c r="O314" i="3"/>
  <c r="Q314" i="3" s="1"/>
  <c r="AD330" i="3"/>
  <c r="AE330" i="3" s="1"/>
  <c r="AG330" i="3"/>
  <c r="AM330" i="3" s="1"/>
  <c r="F11" i="10"/>
  <c r="F23" i="10"/>
  <c r="D11" i="10"/>
  <c r="N231" i="3"/>
  <c r="O231" i="3" s="1"/>
  <c r="Q231" i="3"/>
  <c r="N47" i="3"/>
  <c r="O47" i="3"/>
  <c r="Q47" i="3" s="1"/>
  <c r="Q240" i="3"/>
  <c r="N163" i="3"/>
  <c r="O163" i="3" s="1"/>
  <c r="Q163" i="3"/>
  <c r="N13" i="3"/>
  <c r="O13" i="3" s="1"/>
  <c r="Q13" i="3"/>
  <c r="N29" i="3"/>
  <c r="O29" i="3"/>
  <c r="N56" i="3"/>
  <c r="O56" i="3"/>
  <c r="Q56" i="3" s="1"/>
  <c r="N61" i="3"/>
  <c r="O61" i="3" s="1"/>
  <c r="Q61" i="3" s="1"/>
  <c r="N80" i="3"/>
  <c r="O80" i="3"/>
  <c r="Q80" i="3" s="1"/>
  <c r="AD113" i="3"/>
  <c r="AE113" i="3" s="1"/>
  <c r="AG113" i="3" s="1"/>
  <c r="AM113" i="3" s="1"/>
  <c r="AD149" i="3"/>
  <c r="AE149" i="3" s="1"/>
  <c r="AG149" i="3"/>
  <c r="AM149" i="3" s="1"/>
  <c r="N173" i="3"/>
  <c r="O173" i="3" s="1"/>
  <c r="Q173" i="3" s="1"/>
  <c r="N183" i="3"/>
  <c r="O183" i="3" s="1"/>
  <c r="Q183" i="3" s="1"/>
  <c r="AD188" i="3"/>
  <c r="AE188" i="3" s="1"/>
  <c r="AG188" i="3" s="1"/>
  <c r="AM188" i="3" s="1"/>
  <c r="N257" i="3"/>
  <c r="O257" i="3" s="1"/>
  <c r="Q257" i="3" s="1"/>
  <c r="N299" i="3"/>
  <c r="O299" i="3" s="1"/>
  <c r="Q299" i="3"/>
  <c r="N316" i="3"/>
  <c r="O316" i="3" s="1"/>
  <c r="AG348" i="3"/>
  <c r="AM348" i="3" s="1"/>
  <c r="N368" i="3"/>
  <c r="O368" i="3" s="1"/>
  <c r="Q368" i="3"/>
  <c r="N378" i="3"/>
  <c r="O378" i="3"/>
  <c r="Q378" i="3" s="1"/>
  <c r="G23" i="10"/>
  <c r="H11" i="10"/>
  <c r="Q295" i="3"/>
  <c r="N35" i="3"/>
  <c r="O35" i="3"/>
  <c r="Q35" i="3" s="1"/>
  <c r="AD202" i="3"/>
  <c r="AE202" i="3" s="1"/>
  <c r="AG202" i="3" s="1"/>
  <c r="AM202" i="3" s="1"/>
  <c r="N19" i="3"/>
  <c r="O19" i="3" s="1"/>
  <c r="Q19" i="3" s="1"/>
  <c r="AD18" i="3"/>
  <c r="AE18" i="3"/>
  <c r="AG18" i="3" s="1"/>
  <c r="AM18" i="3" s="1"/>
  <c r="N22" i="3"/>
  <c r="O22" i="3"/>
  <c r="Q22" i="3" s="1"/>
  <c r="AD32" i="3"/>
  <c r="AE32" i="3" s="1"/>
  <c r="AG32" i="3"/>
  <c r="AM32" i="3" s="1"/>
  <c r="AD71" i="3"/>
  <c r="AE71" i="3"/>
  <c r="AG71" i="3"/>
  <c r="AM71" i="3" s="1"/>
  <c r="AE74" i="3"/>
  <c r="AG74" i="3" s="1"/>
  <c r="AM74" i="3"/>
  <c r="AD83" i="3"/>
  <c r="AE83" i="3"/>
  <c r="AG83" i="3" s="1"/>
  <c r="AM83" i="3" s="1"/>
  <c r="AD85" i="3"/>
  <c r="AE85" i="3" s="1"/>
  <c r="AG85" i="3"/>
  <c r="AM85" i="3" s="1"/>
  <c r="N92" i="3"/>
  <c r="O92" i="3"/>
  <c r="Q92" i="3" s="1"/>
  <c r="O108" i="3"/>
  <c r="Q108" i="3" s="1"/>
  <c r="AD142" i="3"/>
  <c r="AE142" i="3"/>
  <c r="AG142" i="3" s="1"/>
  <c r="AM142" i="3"/>
  <c r="AD155" i="3"/>
  <c r="AE155" i="3" s="1"/>
  <c r="AG155" i="3" s="1"/>
  <c r="AM155" i="3" s="1"/>
  <c r="AD176" i="3"/>
  <c r="AE176" i="3" s="1"/>
  <c r="AG176" i="3" s="1"/>
  <c r="AM176" i="3" s="1"/>
  <c r="AD196" i="3"/>
  <c r="AE196" i="3"/>
  <c r="AG196" i="3" s="1"/>
  <c r="AM196" i="3"/>
  <c r="N204" i="3"/>
  <c r="O204" i="3"/>
  <c r="Q204" i="3" s="1"/>
  <c r="N225" i="3"/>
  <c r="O225" i="3"/>
  <c r="Q225" i="3"/>
  <c r="N230" i="3"/>
  <c r="O230" i="3"/>
  <c r="Q230" i="3" s="1"/>
  <c r="N277" i="3"/>
  <c r="O277" i="3" s="1"/>
  <c r="Q277" i="3"/>
  <c r="AD295" i="3"/>
  <c r="AE295" i="3"/>
  <c r="AG295" i="3" s="1"/>
  <c r="AM295" i="3" s="1"/>
  <c r="N309" i="3"/>
  <c r="O309" i="3" s="1"/>
  <c r="Q309" i="3" s="1"/>
  <c r="AD312" i="3"/>
  <c r="AE312" i="3" s="1"/>
  <c r="AG312" i="3"/>
  <c r="AM312" i="3" s="1"/>
  <c r="N334" i="3"/>
  <c r="O334" i="3" s="1"/>
  <c r="Q334" i="3"/>
  <c r="N373" i="3"/>
  <c r="O373" i="3" s="1"/>
  <c r="Q373" i="3"/>
  <c r="AD376" i="3"/>
  <c r="AE376" i="3" s="1"/>
  <c r="AG376" i="3" s="1"/>
  <c r="AM376" i="3" s="1"/>
  <c r="AG178" i="3"/>
  <c r="AM178" i="3" s="1"/>
  <c r="Q74" i="3"/>
  <c r="D23" i="10"/>
  <c r="Q227" i="3"/>
  <c r="AG238" i="3"/>
  <c r="AM238" i="3" s="1"/>
  <c r="Q89" i="3"/>
  <c r="N112" i="3"/>
  <c r="O112" i="3" s="1"/>
  <c r="Q112" i="3"/>
  <c r="N180" i="3"/>
  <c r="O180" i="3" s="1"/>
  <c r="Q180" i="3" s="1"/>
  <c r="AG253" i="3"/>
  <c r="AM253" i="3" s="1"/>
  <c r="N294" i="3"/>
  <c r="O294" i="3" s="1"/>
  <c r="Q294" i="3" s="1"/>
  <c r="AG314" i="3"/>
  <c r="AM314" i="3"/>
  <c r="AD371" i="3"/>
  <c r="AE371" i="3"/>
  <c r="AG371" i="3"/>
  <c r="AM371" i="3" s="1"/>
  <c r="AG294" i="3"/>
  <c r="AM294" i="3"/>
  <c r="N379" i="3"/>
  <c r="O379" i="3"/>
  <c r="Q379" i="3" s="1"/>
  <c r="AD267" i="3"/>
  <c r="AE267" i="3"/>
  <c r="AG267" i="3" s="1"/>
  <c r="AM267" i="3" s="1"/>
  <c r="N17" i="3"/>
  <c r="O17" i="3" s="1"/>
  <c r="Q17" i="3" s="1"/>
  <c r="N24" i="3"/>
  <c r="O24" i="3" s="1"/>
  <c r="Q24" i="3"/>
  <c r="AD47" i="3"/>
  <c r="AE47" i="3"/>
  <c r="AG47" i="3" s="1"/>
  <c r="AM47" i="3" s="1"/>
  <c r="N70" i="3"/>
  <c r="O70" i="3"/>
  <c r="N82" i="3"/>
  <c r="O82" i="3"/>
  <c r="Q82" i="3"/>
  <c r="N101" i="3"/>
  <c r="O101" i="3" s="1"/>
  <c r="Q101" i="3" s="1"/>
  <c r="AD117" i="3"/>
  <c r="AE117" i="3" s="1"/>
  <c r="AG117" i="3"/>
  <c r="AM117" i="3" s="1"/>
  <c r="N148" i="3"/>
  <c r="O148" i="3"/>
  <c r="Q148" i="3"/>
  <c r="N152" i="3"/>
  <c r="O152" i="3" s="1"/>
  <c r="Q152" i="3" s="1"/>
  <c r="N154" i="3"/>
  <c r="O154" i="3"/>
  <c r="Q154" i="3" s="1"/>
  <c r="AD181" i="3"/>
  <c r="AE181" i="3"/>
  <c r="AG181" i="3"/>
  <c r="AM181" i="3" s="1"/>
  <c r="AD217" i="3"/>
  <c r="AE217" i="3" s="1"/>
  <c r="AG217" i="3" s="1"/>
  <c r="AM217" i="3" s="1"/>
  <c r="AD237" i="3"/>
  <c r="AE237" i="3" s="1"/>
  <c r="AG237" i="3"/>
  <c r="AM237" i="3" s="1"/>
  <c r="Q243" i="3"/>
  <c r="AD268" i="3"/>
  <c r="AE268" i="3"/>
  <c r="AG268" i="3" s="1"/>
  <c r="AM268" i="3" s="1"/>
  <c r="AD305" i="3"/>
  <c r="AE305" i="3" s="1"/>
  <c r="AG305" i="3" s="1"/>
  <c r="AM305" i="3" s="1"/>
  <c r="AD332" i="3"/>
  <c r="AE332" i="3"/>
  <c r="AG332" i="3" s="1"/>
  <c r="AM332" i="3" s="1"/>
  <c r="N336" i="3"/>
  <c r="O336" i="3"/>
  <c r="Q336" i="3" s="1"/>
  <c r="N356" i="3"/>
  <c r="O356" i="3" s="1"/>
  <c r="N629" i="3"/>
  <c r="O629" i="3"/>
  <c r="Q629" i="3" s="1"/>
  <c r="AG262" i="3"/>
  <c r="AM262" i="3" s="1"/>
  <c r="Q95" i="3"/>
  <c r="AG186" i="3"/>
  <c r="AM186" i="3"/>
  <c r="N98" i="3"/>
  <c r="O98" i="3"/>
  <c r="Q98" i="3"/>
  <c r="N116" i="3"/>
  <c r="O116" i="3"/>
  <c r="Q116" i="3" s="1"/>
  <c r="AD168" i="3"/>
  <c r="AE168" i="3" s="1"/>
  <c r="AG168" i="3" s="1"/>
  <c r="AM168" i="3"/>
  <c r="N199" i="3"/>
  <c r="O199" i="3" s="1"/>
  <c r="Q199" i="3"/>
  <c r="N214" i="3"/>
  <c r="O214" i="3"/>
  <c r="AD230" i="3"/>
  <c r="AE230" i="3"/>
  <c r="AG230" i="3" s="1"/>
  <c r="AM230" i="3"/>
  <c r="AD232" i="3"/>
  <c r="AE232" i="3" s="1"/>
  <c r="AG232" i="3"/>
  <c r="AM232" i="3" s="1"/>
  <c r="N252" i="3"/>
  <c r="O252" i="3"/>
  <c r="Q252" i="3" s="1"/>
  <c r="AD279" i="3"/>
  <c r="AE279" i="3" s="1"/>
  <c r="AG279" i="3" s="1"/>
  <c r="AM279" i="3" s="1"/>
  <c r="AD309" i="3"/>
  <c r="AE309" i="3" s="1"/>
  <c r="AG309" i="3" s="1"/>
  <c r="AM309" i="3"/>
  <c r="N342" i="3"/>
  <c r="O342" i="3" s="1"/>
  <c r="Q342" i="3"/>
  <c r="N358" i="3"/>
  <c r="O358" i="3"/>
  <c r="Q358" i="3" s="1"/>
  <c r="N23" i="3"/>
  <c r="O23" i="3" s="1"/>
  <c r="Q23" i="3" s="1"/>
  <c r="Q339" i="3"/>
  <c r="AF342" i="3"/>
  <c r="N328" i="3"/>
  <c r="O328" i="3" s="1"/>
  <c r="Q328" i="3" s="1"/>
  <c r="AG326" i="3"/>
  <c r="AM326" i="3"/>
  <c r="AG278" i="3"/>
  <c r="AM278" i="3" s="1"/>
  <c r="N37" i="3"/>
  <c r="O37" i="3" s="1"/>
  <c r="Q37" i="3" s="1"/>
  <c r="AD51" i="3"/>
  <c r="AE51" i="3" s="1"/>
  <c r="AG51" i="3" s="1"/>
  <c r="AM51" i="3" s="1"/>
  <c r="N72" i="3"/>
  <c r="O72" i="3" s="1"/>
  <c r="Q72" i="3" s="1"/>
  <c r="N79" i="3"/>
  <c r="O79" i="3" s="1"/>
  <c r="Q79" i="3" s="1"/>
  <c r="AD89" i="3"/>
  <c r="AE89" i="3" s="1"/>
  <c r="AG89" i="3" s="1"/>
  <c r="AM89" i="3" s="1"/>
  <c r="N182" i="3"/>
  <c r="O182" i="3"/>
  <c r="Q182" i="3"/>
  <c r="AD193" i="3"/>
  <c r="AE193" i="3" s="1"/>
  <c r="AG193" i="3" s="1"/>
  <c r="AM193" i="3" s="1"/>
  <c r="N222" i="3"/>
  <c r="O222" i="3" s="1"/>
  <c r="Q222" i="3" s="1"/>
  <c r="N238" i="3"/>
  <c r="O238" i="3"/>
  <c r="Q238" i="3" s="1"/>
  <c r="N258" i="3"/>
  <c r="O258" i="3"/>
  <c r="Q258" i="3" s="1"/>
  <c r="AD263" i="3"/>
  <c r="AE263" i="3"/>
  <c r="AG263" i="3" s="1"/>
  <c r="AM263" i="3"/>
  <c r="N300" i="3"/>
  <c r="O300" i="3" s="1"/>
  <c r="Q300" i="3" s="1"/>
  <c r="N304" i="3"/>
  <c r="O304" i="3" s="1"/>
  <c r="Q304" i="3" s="1"/>
  <c r="Q251" i="3"/>
  <c r="AM138" i="3"/>
  <c r="AD86" i="3"/>
  <c r="AE86" i="3" s="1"/>
  <c r="AG86" i="3" s="1"/>
  <c r="AM86" i="3" s="1"/>
  <c r="N317" i="3"/>
  <c r="O317" i="3" s="1"/>
  <c r="Q317" i="3" s="1"/>
  <c r="N333" i="3"/>
  <c r="O333" i="3" s="1"/>
  <c r="AE78" i="3"/>
  <c r="Q30" i="3"/>
  <c r="AG318" i="3"/>
  <c r="AM318" i="3" s="1"/>
  <c r="AD12" i="3"/>
  <c r="AE12" i="3" s="1"/>
  <c r="AG12" i="3"/>
  <c r="AM12" i="3" s="1"/>
  <c r="AD33" i="3"/>
  <c r="AE33" i="3"/>
  <c r="AG33" i="3" s="1"/>
  <c r="AM33" i="3" s="1"/>
  <c r="AD53" i="3"/>
  <c r="AE53" i="3" s="1"/>
  <c r="AG53" i="3" s="1"/>
  <c r="AM53" i="3" s="1"/>
  <c r="AD55" i="3"/>
  <c r="AE55" i="3" s="1"/>
  <c r="AG55" i="3"/>
  <c r="AM55" i="3" s="1"/>
  <c r="AD60" i="3"/>
  <c r="AE60" i="3"/>
  <c r="AG60" i="3" s="1"/>
  <c r="AM60" i="3" s="1"/>
  <c r="AD103" i="3"/>
  <c r="AE103" i="3" s="1"/>
  <c r="AG103" i="3" s="1"/>
  <c r="AM103" i="3" s="1"/>
  <c r="N109" i="3"/>
  <c r="O109" i="3" s="1"/>
  <c r="AD121" i="3"/>
  <c r="AE121" i="3" s="1"/>
  <c r="AG121" i="3" s="1"/>
  <c r="AM121" i="3" s="1"/>
  <c r="N147" i="3"/>
  <c r="O147" i="3"/>
  <c r="Q147" i="3" s="1"/>
  <c r="N162" i="3"/>
  <c r="O162" i="3" s="1"/>
  <c r="Q162" i="3"/>
  <c r="AD175" i="3"/>
  <c r="AE175" i="3"/>
  <c r="AD195" i="3"/>
  <c r="AE195" i="3" s="1"/>
  <c r="AD199" i="3"/>
  <c r="AE199" i="3" s="1"/>
  <c r="AG199" i="3" s="1"/>
  <c r="AM199" i="3" s="1"/>
  <c r="AD201" i="3"/>
  <c r="AE201" i="3"/>
  <c r="AG201" i="3" s="1"/>
  <c r="AM201" i="3"/>
  <c r="AD252" i="3"/>
  <c r="AE252" i="3"/>
  <c r="AG252" i="3" s="1"/>
  <c r="AM252" i="3" s="1"/>
  <c r="N280" i="3"/>
  <c r="O280" i="3" s="1"/>
  <c r="Q280" i="3" s="1"/>
  <c r="N282" i="3"/>
  <c r="O282" i="3" s="1"/>
  <c r="Q282" i="3" s="1"/>
  <c r="N330" i="3"/>
  <c r="O330" i="3" s="1"/>
  <c r="Q330" i="3" s="1"/>
  <c r="AD340" i="3"/>
  <c r="AE340" i="3"/>
  <c r="AG340" i="3" s="1"/>
  <c r="AM340" i="3" s="1"/>
  <c r="AD370" i="3"/>
  <c r="AE370" i="3"/>
  <c r="AG370" i="3" s="1"/>
  <c r="AM370" i="3" s="1"/>
  <c r="N372" i="3"/>
  <c r="O372" i="3"/>
  <c r="Q372" i="3" s="1"/>
  <c r="AF42" i="3"/>
  <c r="AD42" i="3"/>
  <c r="AE42" i="3"/>
  <c r="P181" i="3"/>
  <c r="N181" i="3"/>
  <c r="O181" i="3" s="1"/>
  <c r="K90" i="6"/>
  <c r="AD99" i="3"/>
  <c r="AE99" i="3"/>
  <c r="AG99" i="3" s="1"/>
  <c r="AM99" i="3"/>
  <c r="N157" i="3"/>
  <c r="O157" i="3" s="1"/>
  <c r="Q157" i="3"/>
  <c r="AF260" i="3"/>
  <c r="AD260" i="3"/>
  <c r="AE260" i="3"/>
  <c r="AF322" i="3"/>
  <c r="AD322" i="3"/>
  <c r="AE322" i="3" s="1"/>
  <c r="P18" i="9"/>
  <c r="AG110" i="3"/>
  <c r="AM110" i="3" s="1"/>
  <c r="Q12" i="3"/>
  <c r="N40" i="3"/>
  <c r="O40" i="3"/>
  <c r="Q40" i="3" s="1"/>
  <c r="P150" i="3"/>
  <c r="N150" i="3"/>
  <c r="O150" i="3"/>
  <c r="N241" i="3"/>
  <c r="O241" i="3"/>
  <c r="Q241" i="3" s="1"/>
  <c r="AD273" i="3"/>
  <c r="AE273" i="3" s="1"/>
  <c r="AG273" i="3" s="1"/>
  <c r="AM273" i="3" s="1"/>
  <c r="AF273" i="3"/>
  <c r="AM139" i="3"/>
  <c r="N170" i="3"/>
  <c r="O170" i="3" s="1"/>
  <c r="Q170" i="3" s="1"/>
  <c r="P107" i="3"/>
  <c r="N107" i="3"/>
  <c r="O107" i="3" s="1"/>
  <c r="AD163" i="3"/>
  <c r="AE163" i="3"/>
  <c r="AF189" i="3"/>
  <c r="AD189" i="3"/>
  <c r="AE189" i="3" s="1"/>
  <c r="AG189" i="3" s="1"/>
  <c r="P220" i="3"/>
  <c r="N220" i="3"/>
  <c r="O220" i="3"/>
  <c r="AF105" i="3"/>
  <c r="AM136" i="3"/>
  <c r="AD265" i="3"/>
  <c r="AE265" i="3" s="1"/>
  <c r="AG265" i="3"/>
  <c r="AM265" i="3" s="1"/>
  <c r="AF265" i="3"/>
  <c r="AG354" i="3"/>
  <c r="AM354" i="3"/>
  <c r="N46" i="3"/>
  <c r="O46" i="3"/>
  <c r="Q46" i="3" s="1"/>
  <c r="P15" i="9"/>
  <c r="N176" i="3"/>
  <c r="O176" i="3"/>
  <c r="Q176" i="3" s="1"/>
  <c r="P207" i="3"/>
  <c r="N207" i="3"/>
  <c r="O207" i="3"/>
  <c r="N262" i="3"/>
  <c r="O262" i="3" s="1"/>
  <c r="Q262" i="3"/>
  <c r="P262" i="3"/>
  <c r="R222" i="4"/>
  <c r="P222" i="4"/>
  <c r="Q222" i="4"/>
  <c r="AD58" i="3"/>
  <c r="AE58" i="3"/>
  <c r="AG58" i="3"/>
  <c r="AM58" i="3"/>
  <c r="N43" i="3"/>
  <c r="O43" i="3"/>
  <c r="Q43" i="3" s="1"/>
  <c r="AD20" i="3"/>
  <c r="AE20" i="3" s="1"/>
  <c r="AD23" i="3"/>
  <c r="AE23" i="3"/>
  <c r="AG23" i="3" s="1"/>
  <c r="AM23" i="3" s="1"/>
  <c r="AD35" i="3"/>
  <c r="AE35" i="3"/>
  <c r="AG35" i="3"/>
  <c r="AM35" i="3" s="1"/>
  <c r="AD41" i="3"/>
  <c r="AE41" i="3" s="1"/>
  <c r="AG41" i="3" s="1"/>
  <c r="AM41" i="3" s="1"/>
  <c r="N48" i="3"/>
  <c r="O48" i="3"/>
  <c r="Q48" i="3"/>
  <c r="AD52" i="3"/>
  <c r="AE52" i="3"/>
  <c r="AG52" i="3" s="1"/>
  <c r="AM52" i="3" s="1"/>
  <c r="N57" i="3"/>
  <c r="O57" i="3"/>
  <c r="Q57" i="3" s="1"/>
  <c r="AD82" i="3"/>
  <c r="AE82" i="3" s="1"/>
  <c r="AG82" i="3" s="1"/>
  <c r="AM82" i="3" s="1"/>
  <c r="AD104" i="3"/>
  <c r="AE104" i="3" s="1"/>
  <c r="AG104" i="3"/>
  <c r="AM104" i="3" s="1"/>
  <c r="AD107" i="3"/>
  <c r="AE107" i="3" s="1"/>
  <c r="AG107" i="3" s="1"/>
  <c r="AM107" i="3" s="1"/>
  <c r="AD116" i="3"/>
  <c r="AE116" i="3" s="1"/>
  <c r="AG116" i="3" s="1"/>
  <c r="AM116" i="3" s="1"/>
  <c r="N128" i="3"/>
  <c r="O128" i="3" s="1"/>
  <c r="Q128" i="3"/>
  <c r="N130" i="3"/>
  <c r="O130" i="3"/>
  <c r="Q130" i="3" s="1"/>
  <c r="AD141" i="3"/>
  <c r="AE141" i="3" s="1"/>
  <c r="AG141" i="3" s="1"/>
  <c r="AM141" i="3" s="1"/>
  <c r="AD191" i="3"/>
  <c r="AE191" i="3"/>
  <c r="AG191" i="3"/>
  <c r="AM191" i="3" s="1"/>
  <c r="AD207" i="3"/>
  <c r="AE207" i="3"/>
  <c r="AG207" i="3" s="1"/>
  <c r="AM207" i="3" s="1"/>
  <c r="N224" i="3"/>
  <c r="O224" i="3" s="1"/>
  <c r="Q224" i="3"/>
  <c r="Q274" i="3"/>
  <c r="N45" i="3"/>
  <c r="O45" i="3"/>
  <c r="Q45" i="3" s="1"/>
  <c r="AD49" i="3"/>
  <c r="AE49" i="3"/>
  <c r="AG49" i="3"/>
  <c r="AM49" i="3" s="1"/>
  <c r="AD67" i="3"/>
  <c r="AE67" i="3"/>
  <c r="AG67" i="3" s="1"/>
  <c r="AM67" i="3" s="1"/>
  <c r="AD73" i="3"/>
  <c r="AE73" i="3" s="1"/>
  <c r="AG73" i="3"/>
  <c r="AM73" i="3"/>
  <c r="AD79" i="3"/>
  <c r="AE79" i="3"/>
  <c r="AG79" i="3"/>
  <c r="AM79" i="3" s="1"/>
  <c r="N140" i="3"/>
  <c r="O140" i="3"/>
  <c r="Q140" i="3" s="1"/>
  <c r="AD241" i="3"/>
  <c r="AE241" i="3" s="1"/>
  <c r="AG241" i="3" s="1"/>
  <c r="AM241" i="3" s="1"/>
  <c r="AD255" i="3"/>
  <c r="AE255" i="3"/>
  <c r="AG255" i="3" s="1"/>
  <c r="AM255" i="3" s="1"/>
  <c r="AD64" i="3"/>
  <c r="AE64" i="3"/>
  <c r="AG64" i="3" s="1"/>
  <c r="AM64" i="3"/>
  <c r="N78" i="3"/>
  <c r="O78" i="3" s="1"/>
  <c r="Q78" i="3"/>
  <c r="AD101" i="3"/>
  <c r="AE101" i="3" s="1"/>
  <c r="AD109" i="3"/>
  <c r="AE109" i="3"/>
  <c r="AG109" i="3"/>
  <c r="AM109" i="3" s="1"/>
  <c r="AD147" i="3"/>
  <c r="AE147" i="3" s="1"/>
  <c r="AG147" i="3" s="1"/>
  <c r="AM147" i="3" s="1"/>
  <c r="N271" i="3"/>
  <c r="O271" i="3"/>
  <c r="Q271" i="3"/>
  <c r="P292" i="3"/>
  <c r="N292" i="3"/>
  <c r="O292" i="3" s="1"/>
  <c r="Q292" i="3" s="1"/>
  <c r="AD28" i="3"/>
  <c r="AE28" i="3"/>
  <c r="AG28" i="3" s="1"/>
  <c r="AM28" i="3"/>
  <c r="N36" i="3"/>
  <c r="O36" i="3" s="1"/>
  <c r="Q36" i="3" s="1"/>
  <c r="AD63" i="3"/>
  <c r="AE63" i="3" s="1"/>
  <c r="AG63" i="3" s="1"/>
  <c r="AM63" i="3" s="1"/>
  <c r="AD84" i="3"/>
  <c r="AE84" i="3" s="1"/>
  <c r="AG84" i="3"/>
  <c r="AM84" i="3" s="1"/>
  <c r="AD95" i="3"/>
  <c r="AE95" i="3" s="1"/>
  <c r="AG95" i="3" s="1"/>
  <c r="AM95" i="3" s="1"/>
  <c r="AD112" i="3"/>
  <c r="AE112" i="3" s="1"/>
  <c r="AG112" i="3"/>
  <c r="AM112" i="3" s="1"/>
  <c r="AD115" i="3"/>
  <c r="AE115" i="3" s="1"/>
  <c r="AG115" i="3"/>
  <c r="AM115" i="3" s="1"/>
  <c r="AD128" i="3"/>
  <c r="AE128" i="3"/>
  <c r="AG128" i="3" s="1"/>
  <c r="AM128" i="3" s="1"/>
  <c r="N161" i="3"/>
  <c r="O161" i="3" s="1"/>
  <c r="Q161" i="3" s="1"/>
  <c r="N177" i="3"/>
  <c r="O177" i="3"/>
  <c r="Q177" i="3" s="1"/>
  <c r="AD236" i="3"/>
  <c r="AE236" i="3" s="1"/>
  <c r="AG236" i="3"/>
  <c r="AM236" i="3" s="1"/>
  <c r="AF257" i="3"/>
  <c r="AD299" i="3"/>
  <c r="AE299" i="3" s="1"/>
  <c r="AF299" i="3"/>
  <c r="Q62" i="3"/>
  <c r="Q94" i="3"/>
  <c r="N254" i="3"/>
  <c r="O254" i="3" s="1"/>
  <c r="Q254" i="3" s="1"/>
  <c r="P254" i="3"/>
  <c r="Q279" i="3"/>
  <c r="Q228" i="3"/>
  <c r="N83" i="3"/>
  <c r="O83" i="3"/>
  <c r="Q83" i="3"/>
  <c r="AD11" i="3"/>
  <c r="AE11" i="3"/>
  <c r="AG11" i="3" s="1"/>
  <c r="AM11" i="3" s="1"/>
  <c r="N21" i="3"/>
  <c r="O21" i="3" s="1"/>
  <c r="Q21" i="3" s="1"/>
  <c r="N27" i="3"/>
  <c r="O27" i="3"/>
  <c r="AD39" i="3"/>
  <c r="AE39" i="3" s="1"/>
  <c r="AG39" i="3"/>
  <c r="AM39" i="3" s="1"/>
  <c r="N50" i="3"/>
  <c r="O50" i="3"/>
  <c r="AG92" i="3"/>
  <c r="AM92" i="3"/>
  <c r="N146" i="3"/>
  <c r="O146" i="3"/>
  <c r="Q146" i="3" s="1"/>
  <c r="P172" i="3"/>
  <c r="AG185" i="3"/>
  <c r="AM185" i="3" s="1"/>
  <c r="N194" i="3"/>
  <c r="O194" i="3"/>
  <c r="Q194" i="3" s="1"/>
  <c r="AG231" i="3"/>
  <c r="AM231" i="3" s="1"/>
  <c r="AF327" i="3"/>
  <c r="AD327" i="3"/>
  <c r="AE327" i="3" s="1"/>
  <c r="AG150" i="3"/>
  <c r="AM150" i="3" s="1"/>
  <c r="Q217" i="3"/>
  <c r="N96" i="3"/>
  <c r="O96" i="3" s="1"/>
  <c r="Q96" i="3" s="1"/>
  <c r="AD143" i="3"/>
  <c r="AE143" i="3"/>
  <c r="AG143" i="3"/>
  <c r="AM143" i="3" s="1"/>
  <c r="Q214" i="3"/>
  <c r="AD247" i="3"/>
  <c r="AE247" i="3"/>
  <c r="AG247" i="3" s="1"/>
  <c r="AM247" i="3" s="1"/>
  <c r="AD266" i="3"/>
  <c r="AE266" i="3" s="1"/>
  <c r="AG266" i="3" s="1"/>
  <c r="AM266" i="3" s="1"/>
  <c r="AG271" i="3"/>
  <c r="AM271" i="3" s="1"/>
  <c r="N273" i="3"/>
  <c r="O273" i="3"/>
  <c r="Q273" i="3" s="1"/>
  <c r="Q355" i="3"/>
  <c r="Q283" i="3"/>
  <c r="AD66" i="3"/>
  <c r="AE66" i="3" s="1"/>
  <c r="AG66" i="3" s="1"/>
  <c r="AM66" i="3" s="1"/>
  <c r="AD27" i="3"/>
  <c r="AE27" i="3"/>
  <c r="AG27" i="3" s="1"/>
  <c r="AM27" i="3" s="1"/>
  <c r="N38" i="3"/>
  <c r="O38" i="3"/>
  <c r="Q38" i="3"/>
  <c r="AD97" i="3"/>
  <c r="AE97" i="3"/>
  <c r="AG97" i="3" s="1"/>
  <c r="AM97" i="3" s="1"/>
  <c r="AD108" i="3"/>
  <c r="AE108" i="3" s="1"/>
  <c r="AG108" i="3" s="1"/>
  <c r="AM108" i="3" s="1"/>
  <c r="N110" i="3"/>
  <c r="O110" i="3" s="1"/>
  <c r="Q110" i="3"/>
  <c r="N113" i="3"/>
  <c r="O113" i="3" s="1"/>
  <c r="Q113" i="3" s="1"/>
  <c r="N124" i="3"/>
  <c r="O124" i="3" s="1"/>
  <c r="Q124" i="3"/>
  <c r="AD132" i="3"/>
  <c r="AE132" i="3" s="1"/>
  <c r="AG132" i="3" s="1"/>
  <c r="AM132" i="3" s="1"/>
  <c r="N134" i="3"/>
  <c r="O134" i="3"/>
  <c r="Q134" i="3"/>
  <c r="N145" i="3"/>
  <c r="O145" i="3"/>
  <c r="Q145" i="3" s="1"/>
  <c r="AD146" i="3"/>
  <c r="AE146" i="3"/>
  <c r="AG146" i="3"/>
  <c r="AM146" i="3"/>
  <c r="AD177" i="3"/>
  <c r="AE177" i="3"/>
  <c r="AD180" i="3"/>
  <c r="AE180" i="3" s="1"/>
  <c r="AG180" i="3"/>
  <c r="AM180" i="3" s="1"/>
  <c r="N216" i="3"/>
  <c r="O216" i="3"/>
  <c r="Q216" i="3" s="1"/>
  <c r="AD242" i="3"/>
  <c r="AE242" i="3" s="1"/>
  <c r="AG242" i="3"/>
  <c r="AM242" i="3" s="1"/>
  <c r="N260" i="3"/>
  <c r="O260" i="3" s="1"/>
  <c r="Q260" i="3" s="1"/>
  <c r="AF287" i="3"/>
  <c r="AD287" i="3"/>
  <c r="AE287" i="3" s="1"/>
  <c r="AF311" i="3"/>
  <c r="AD311" i="3"/>
  <c r="AE311" i="3" s="1"/>
  <c r="AG311" i="3" s="1"/>
  <c r="AD50" i="3"/>
  <c r="AE50" i="3"/>
  <c r="AG50" i="3" s="1"/>
  <c r="AM50" i="3" s="1"/>
  <c r="Q70" i="3"/>
  <c r="AD240" i="3"/>
  <c r="AE240" i="3"/>
  <c r="AF240" i="3"/>
  <c r="AD24" i="3"/>
  <c r="AE24" i="3"/>
  <c r="AG24" i="3" s="1"/>
  <c r="AM24" i="3" s="1"/>
  <c r="N49" i="3"/>
  <c r="O49" i="3"/>
  <c r="Q49" i="3" s="1"/>
  <c r="N87" i="3"/>
  <c r="O87" i="3" s="1"/>
  <c r="Q87" i="3" s="1"/>
  <c r="AD88" i="3"/>
  <c r="AE88" i="3"/>
  <c r="AG88" i="3" s="1"/>
  <c r="AM88" i="3"/>
  <c r="AD91" i="3"/>
  <c r="AE91" i="3"/>
  <c r="AG91" i="3" s="1"/>
  <c r="AM91" i="3"/>
  <c r="N104" i="3"/>
  <c r="O104" i="3"/>
  <c r="Q104" i="3" s="1"/>
  <c r="AD129" i="3"/>
  <c r="AE129" i="3" s="1"/>
  <c r="AG129" i="3" s="1"/>
  <c r="AM129" i="3" s="1"/>
  <c r="N168" i="3"/>
  <c r="O168" i="3"/>
  <c r="Q168" i="3"/>
  <c r="AG187" i="3"/>
  <c r="AM187" i="3"/>
  <c r="N193" i="3"/>
  <c r="O193" i="3"/>
  <c r="Q193" i="3"/>
  <c r="P286" i="3"/>
  <c r="N286" i="3"/>
  <c r="O286" i="3" s="1"/>
  <c r="N310" i="3"/>
  <c r="O310" i="3"/>
  <c r="P310" i="3"/>
  <c r="Q310" i="3" s="1"/>
  <c r="AG298" i="3"/>
  <c r="AM298" i="3"/>
  <c r="AD351" i="3"/>
  <c r="AE351" i="3"/>
  <c r="AG351" i="3"/>
  <c r="AM351" i="3" s="1"/>
  <c r="AG356" i="3"/>
  <c r="AM356" i="3" s="1"/>
  <c r="S18" i="4"/>
  <c r="S21" i="4"/>
  <c r="S33" i="4"/>
  <c r="S45" i="4"/>
  <c r="S57" i="4"/>
  <c r="S66" i="4"/>
  <c r="S69" i="4"/>
  <c r="S81" i="4"/>
  <c r="S93" i="4"/>
  <c r="S105" i="4"/>
  <c r="S129" i="4"/>
  <c r="S141" i="4"/>
  <c r="S144" i="4"/>
  <c r="S153" i="4"/>
  <c r="S156" i="4"/>
  <c r="S162" i="4"/>
  <c r="S165" i="4"/>
  <c r="S171" i="4"/>
  <c r="S174" i="4"/>
  <c r="S183" i="4"/>
  <c r="S195" i="4"/>
  <c r="P202" i="4"/>
  <c r="Q202" i="4"/>
  <c r="S223" i="4"/>
  <c r="P225" i="4"/>
  <c r="Q225" i="4"/>
  <c r="N158" i="3"/>
  <c r="O158" i="3"/>
  <c r="Q158" i="3" s="1"/>
  <c r="N200" i="3"/>
  <c r="O200" i="3" s="1"/>
  <c r="Q200" i="3"/>
  <c r="AD203" i="3"/>
  <c r="AE203" i="3"/>
  <c r="AG203" i="3" s="1"/>
  <c r="AM203" i="3" s="1"/>
  <c r="AD211" i="3"/>
  <c r="AE211" i="3"/>
  <c r="AG211" i="3"/>
  <c r="AM211" i="3"/>
  <c r="N218" i="3"/>
  <c r="O218" i="3" s="1"/>
  <c r="Q218" i="3" s="1"/>
  <c r="AD277" i="3"/>
  <c r="AE277" i="3"/>
  <c r="AG277" i="3" s="1"/>
  <c r="AM277" i="3" s="1"/>
  <c r="N284" i="3"/>
  <c r="O284" i="3" s="1"/>
  <c r="Q284" i="3"/>
  <c r="AD293" i="3"/>
  <c r="AE293" i="3" s="1"/>
  <c r="AG293" i="3" s="1"/>
  <c r="AM293" i="3" s="1"/>
  <c r="N297" i="3"/>
  <c r="O297" i="3"/>
  <c r="Q297" i="3"/>
  <c r="AD301" i="3"/>
  <c r="AE301" i="3" s="1"/>
  <c r="AG301" i="3" s="1"/>
  <c r="AM301" i="3" s="1"/>
  <c r="N318" i="3"/>
  <c r="O318" i="3"/>
  <c r="Q318" i="3" s="1"/>
  <c r="N329" i="3"/>
  <c r="O329" i="3"/>
  <c r="Q329" i="3" s="1"/>
  <c r="AD333" i="3"/>
  <c r="AE333" i="3"/>
  <c r="AG333" i="3" s="1"/>
  <c r="AM333" i="3" s="1"/>
  <c r="N340" i="3"/>
  <c r="O340" i="3" s="1"/>
  <c r="Q340" i="3" s="1"/>
  <c r="N350" i="3"/>
  <c r="O350" i="3" s="1"/>
  <c r="Q350" i="3" s="1"/>
  <c r="AF351" i="3"/>
  <c r="AD364" i="3"/>
  <c r="AE364" i="3"/>
  <c r="AG364" i="3"/>
  <c r="AM364" i="3"/>
  <c r="P214" i="4"/>
  <c r="Q214" i="4"/>
  <c r="R256" i="4"/>
  <c r="P256" i="4"/>
  <c r="Q256" i="4"/>
  <c r="R281" i="4"/>
  <c r="P281" i="4"/>
  <c r="Q281" i="4" s="1"/>
  <c r="AD319" i="3"/>
  <c r="AE319" i="3"/>
  <c r="AG319" i="3"/>
  <c r="S198" i="4"/>
  <c r="P200" i="4"/>
  <c r="Q200" i="4"/>
  <c r="S231" i="4"/>
  <c r="N135" i="3"/>
  <c r="O135" i="3"/>
  <c r="Q135" i="3" s="1"/>
  <c r="N144" i="3"/>
  <c r="O144" i="3" s="1"/>
  <c r="Q144" i="3" s="1"/>
  <c r="N160" i="3"/>
  <c r="O160" i="3"/>
  <c r="Q160" i="3"/>
  <c r="N166" i="3"/>
  <c r="O166" i="3" s="1"/>
  <c r="Q166" i="3" s="1"/>
  <c r="N169" i="3"/>
  <c r="O169" i="3"/>
  <c r="Q169" i="3" s="1"/>
  <c r="AD190" i="3"/>
  <c r="AE190" i="3" s="1"/>
  <c r="AG190" i="3" s="1"/>
  <c r="AM190" i="3" s="1"/>
  <c r="AD225" i="3"/>
  <c r="AE225" i="3" s="1"/>
  <c r="AG225" i="3" s="1"/>
  <c r="AM225" i="3"/>
  <c r="N232" i="3"/>
  <c r="O232" i="3"/>
  <c r="Q232" i="3"/>
  <c r="N270" i="3"/>
  <c r="O270" i="3" s="1"/>
  <c r="Q270" i="3" s="1"/>
  <c r="N276" i="3"/>
  <c r="O276" i="3"/>
  <c r="Q276" i="3" s="1"/>
  <c r="N289" i="3"/>
  <c r="O289" i="3"/>
  <c r="Q289" i="3"/>
  <c r="AD303" i="3"/>
  <c r="AE303" i="3"/>
  <c r="AG303" i="3"/>
  <c r="AM303" i="3"/>
  <c r="N321" i="3"/>
  <c r="O321" i="3"/>
  <c r="Q321" i="3" s="1"/>
  <c r="AD338" i="3"/>
  <c r="AE338" i="3"/>
  <c r="AG338" i="3" s="1"/>
  <c r="AM338" i="3" s="1"/>
  <c r="N360" i="3"/>
  <c r="O360" i="3" s="1"/>
  <c r="Q360" i="3"/>
  <c r="AD379" i="3"/>
  <c r="AE379" i="3" s="1"/>
  <c r="AG379" i="3" s="1"/>
  <c r="AM379" i="3" s="1"/>
  <c r="S16" i="4"/>
  <c r="S19" i="4"/>
  <c r="S22" i="4"/>
  <c r="S28" i="4"/>
  <c r="S31" i="4"/>
  <c r="S40" i="4"/>
  <c r="S43" i="4"/>
  <c r="S46" i="4"/>
  <c r="S52" i="4"/>
  <c r="S55" i="4"/>
  <c r="S58" i="4"/>
  <c r="S64" i="4"/>
  <c r="S67" i="4"/>
  <c r="S70" i="4"/>
  <c r="S76" i="4"/>
  <c r="S79" i="4"/>
  <c r="S88" i="4"/>
  <c r="S91" i="4"/>
  <c r="S94" i="4"/>
  <c r="S100" i="4"/>
  <c r="S103" i="4"/>
  <c r="R349" i="4"/>
  <c r="P349" i="4"/>
  <c r="Q349" i="4"/>
  <c r="S109" i="4"/>
  <c r="S121" i="4"/>
  <c r="S130" i="4"/>
  <c r="S133" i="4"/>
  <c r="S145" i="4"/>
  <c r="S148" i="4"/>
  <c r="S157" i="4"/>
  <c r="S160" i="4"/>
  <c r="S175" i="4"/>
  <c r="S178" i="4"/>
  <c r="S187" i="4"/>
  <c r="S190" i="4"/>
  <c r="P221" i="4"/>
  <c r="Q221" i="4"/>
  <c r="S226" i="4"/>
  <c r="P271" i="4"/>
  <c r="Q271" i="4" s="1"/>
  <c r="S215" i="4"/>
  <c r="P226" i="4"/>
  <c r="Q226" i="4"/>
  <c r="P239" i="4"/>
  <c r="Q239" i="4" s="1"/>
  <c r="P257" i="4"/>
  <c r="Q257" i="4"/>
  <c r="N278" i="3"/>
  <c r="O278" i="3"/>
  <c r="N302" i="3"/>
  <c r="O302" i="3"/>
  <c r="N118" i="3"/>
  <c r="O118" i="3" s="1"/>
  <c r="Q118" i="3"/>
  <c r="N129" i="3"/>
  <c r="O129" i="3"/>
  <c r="Q129" i="3" s="1"/>
  <c r="AD137" i="3"/>
  <c r="AE137" i="3" s="1"/>
  <c r="N139" i="3"/>
  <c r="O139" i="3" s="1"/>
  <c r="Q139" i="3" s="1"/>
  <c r="AD144" i="3"/>
  <c r="AE144" i="3"/>
  <c r="AG144" i="3" s="1"/>
  <c r="AM144" i="3" s="1"/>
  <c r="AD160" i="3"/>
  <c r="AE160" i="3"/>
  <c r="AG160" i="3"/>
  <c r="AM160" i="3" s="1"/>
  <c r="N185" i="3"/>
  <c r="O185" i="3"/>
  <c r="Q185" i="3"/>
  <c r="N201" i="3"/>
  <c r="O201" i="3"/>
  <c r="Q201" i="3" s="1"/>
  <c r="N209" i="3"/>
  <c r="O209" i="3"/>
  <c r="Q209" i="3" s="1"/>
  <c r="N226" i="3"/>
  <c r="O226" i="3"/>
  <c r="Q226" i="3" s="1"/>
  <c r="AD243" i="3"/>
  <c r="AE243" i="3"/>
  <c r="AG243" i="3"/>
  <c r="AM243" i="3" s="1"/>
  <c r="N266" i="3"/>
  <c r="O266" i="3" s="1"/>
  <c r="Q266" i="3" s="1"/>
  <c r="P278" i="3"/>
  <c r="N296" i="3"/>
  <c r="O296" i="3"/>
  <c r="Q296" i="3"/>
  <c r="N359" i="3"/>
  <c r="O359" i="3" s="1"/>
  <c r="Q359" i="3" s="1"/>
  <c r="AD366" i="3"/>
  <c r="AE366" i="3" s="1"/>
  <c r="AG366" i="3" s="1"/>
  <c r="AM366" i="3" s="1"/>
  <c r="S14" i="4"/>
  <c r="S20" i="4"/>
  <c r="S23" i="4"/>
  <c r="S26" i="4"/>
  <c r="S32" i="4"/>
  <c r="S35" i="4"/>
  <c r="S38" i="4"/>
  <c r="S44" i="4"/>
  <c r="S47" i="4"/>
  <c r="S56" i="4"/>
  <c r="S59" i="4"/>
  <c r="S62" i="4"/>
  <c r="S68" i="4"/>
  <c r="S71" i="4"/>
  <c r="S74" i="4"/>
  <c r="S80" i="4"/>
  <c r="S83" i="4"/>
  <c r="S86" i="4"/>
  <c r="S92" i="4"/>
  <c r="S95" i="4"/>
  <c r="S104" i="4"/>
  <c r="S107" i="4"/>
  <c r="S122" i="4"/>
  <c r="S128" i="4"/>
  <c r="S131" i="4"/>
  <c r="S134" i="4"/>
  <c r="S140" i="4"/>
  <c r="S143" i="4"/>
  <c r="S155" i="4"/>
  <c r="S158" i="4"/>
  <c r="S199" i="4"/>
  <c r="P213" i="4"/>
  <c r="Q213" i="4"/>
  <c r="S222" i="4"/>
  <c r="P247" i="4"/>
  <c r="Q247" i="4" s="1"/>
  <c r="N219" i="3"/>
  <c r="O219" i="3" s="1"/>
  <c r="Q219" i="3" s="1"/>
  <c r="Q236" i="3"/>
  <c r="N301" i="3"/>
  <c r="O301" i="3"/>
  <c r="Q301" i="3" s="1"/>
  <c r="N308" i="3"/>
  <c r="O308" i="3"/>
  <c r="Q308" i="3" s="1"/>
  <c r="Q316" i="3"/>
  <c r="N325" i="3"/>
  <c r="O325" i="3"/>
  <c r="Q325" i="3" s="1"/>
  <c r="AD349" i="3"/>
  <c r="AE349" i="3"/>
  <c r="AG349" i="3"/>
  <c r="AM349" i="3"/>
  <c r="P380" i="3"/>
  <c r="Q380" i="3"/>
  <c r="S179" i="4"/>
  <c r="S182" i="4"/>
  <c r="S191" i="4"/>
  <c r="S194" i="4"/>
  <c r="P224" i="4"/>
  <c r="Q224" i="4" s="1"/>
  <c r="P272" i="4"/>
  <c r="Q272" i="4"/>
  <c r="N376" i="3"/>
  <c r="O376" i="3" s="1"/>
  <c r="Q376" i="3" s="1"/>
  <c r="N211" i="3"/>
  <c r="O211" i="3"/>
  <c r="Q211" i="3" s="1"/>
  <c r="N221" i="3"/>
  <c r="O221" i="3" s="1"/>
  <c r="Q221" i="3" s="1"/>
  <c r="AD261" i="3"/>
  <c r="AE261" i="3" s="1"/>
  <c r="AG261" i="3" s="1"/>
  <c r="AM261" i="3"/>
  <c r="N268" i="3"/>
  <c r="O268" i="3" s="1"/>
  <c r="Q268" i="3" s="1"/>
  <c r="AD283" i="3"/>
  <c r="AE283" i="3" s="1"/>
  <c r="AG283" i="3"/>
  <c r="AM283" i="3" s="1"/>
  <c r="AD285" i="3"/>
  <c r="AE285" i="3" s="1"/>
  <c r="AG285" i="3" s="1"/>
  <c r="AM285" i="3"/>
  <c r="AD291" i="3"/>
  <c r="AE291" i="3"/>
  <c r="AG291" i="3" s="1"/>
  <c r="AM291" i="3" s="1"/>
  <c r="AD296" i="3"/>
  <c r="AE296" i="3" s="1"/>
  <c r="AG296" i="3" s="1"/>
  <c r="AM296" i="3" s="1"/>
  <c r="AD317" i="3"/>
  <c r="AE317" i="3" s="1"/>
  <c r="AG317" i="3" s="1"/>
  <c r="AM317" i="3" s="1"/>
  <c r="AD328" i="3"/>
  <c r="AE328" i="3" s="1"/>
  <c r="AG328" i="3" s="1"/>
  <c r="AM328" i="3" s="1"/>
  <c r="P356" i="3"/>
  <c r="N361" i="3"/>
  <c r="O361" i="3"/>
  <c r="Q361" i="3" s="1"/>
  <c r="P197" i="4"/>
  <c r="Q197" i="4" s="1"/>
  <c r="S214" i="4"/>
  <c r="S218" i="4"/>
  <c r="P230" i="4"/>
  <c r="Q230" i="4" s="1"/>
  <c r="P258" i="4"/>
  <c r="Q258" i="4"/>
  <c r="P265" i="4"/>
  <c r="Q265" i="4" s="1"/>
  <c r="P275" i="4"/>
  <c r="Q275" i="4" s="1"/>
  <c r="P287" i="4"/>
  <c r="Q287" i="4" s="1"/>
  <c r="S314" i="4"/>
  <c r="S327" i="4"/>
  <c r="S349" i="4"/>
  <c r="P369" i="4"/>
  <c r="Q369" i="4" s="1"/>
  <c r="P236" i="4"/>
  <c r="Q236" i="4"/>
  <c r="P245" i="4"/>
  <c r="Q245" i="4"/>
  <c r="P254" i="4"/>
  <c r="Q254" i="4"/>
  <c r="P270" i="4"/>
  <c r="Q270" i="4" s="1"/>
  <c r="P285" i="4"/>
  <c r="Q285" i="4" s="1"/>
  <c r="P296" i="4"/>
  <c r="Q296" i="4" s="1"/>
  <c r="P304" i="4"/>
  <c r="Q304" i="4"/>
  <c r="P309" i="4"/>
  <c r="Q309" i="4"/>
  <c r="S335" i="4"/>
  <c r="S359" i="4"/>
  <c r="S362" i="4"/>
  <c r="S290" i="4"/>
  <c r="S294" i="4"/>
  <c r="S343" i="4"/>
  <c r="S382" i="4"/>
  <c r="P325" i="4"/>
  <c r="Q325" i="4"/>
  <c r="P343" i="4"/>
  <c r="Q343" i="4" s="1"/>
  <c r="P375" i="4"/>
  <c r="Q375" i="4" s="1"/>
  <c r="P294" i="4"/>
  <c r="Q294" i="4" s="1"/>
  <c r="P333" i="4"/>
  <c r="Q333" i="4"/>
  <c r="P259" i="4"/>
  <c r="Q259" i="4"/>
  <c r="P300" i="4"/>
  <c r="Q300" i="4"/>
  <c r="P305" i="4"/>
  <c r="Q305" i="4" s="1"/>
  <c r="S323" i="4"/>
  <c r="S383" i="4"/>
  <c r="S326" i="4"/>
  <c r="S331" i="4"/>
  <c r="S348" i="4"/>
  <c r="S371" i="4"/>
  <c r="P233" i="4"/>
  <c r="Q233" i="4" s="1"/>
  <c r="S298" i="4"/>
  <c r="P321" i="4"/>
  <c r="Q321" i="4"/>
  <c r="S366" i="4"/>
  <c r="P371" i="4"/>
  <c r="Q371" i="4" s="1"/>
  <c r="S247" i="4"/>
  <c r="S251" i="4"/>
  <c r="P260" i="4"/>
  <c r="Q260" i="4"/>
  <c r="S319" i="4"/>
  <c r="S369" i="4"/>
  <c r="C8" i="10"/>
  <c r="C24" i="10"/>
  <c r="E24" i="10"/>
  <c r="B24" i="10"/>
  <c r="P71" i="3"/>
  <c r="N71" i="3"/>
  <c r="O71" i="3"/>
  <c r="Q71" i="3" s="1"/>
  <c r="Q9" i="9"/>
  <c r="Q8" i="9"/>
  <c r="R8" i="9"/>
  <c r="AD15" i="3"/>
  <c r="AE15" i="3"/>
  <c r="AG15" i="3" s="1"/>
  <c r="AM15" i="3" s="1"/>
  <c r="AD16" i="3"/>
  <c r="AE16" i="3" s="1"/>
  <c r="AG16" i="3"/>
  <c r="AM16" i="3" s="1"/>
  <c r="AD21" i="3"/>
  <c r="AE21" i="3" s="1"/>
  <c r="AG21" i="3" s="1"/>
  <c r="AM21" i="3"/>
  <c r="AF26" i="3"/>
  <c r="AG26" i="3"/>
  <c r="AM26" i="3" s="1"/>
  <c r="P27" i="3"/>
  <c r="R9" i="9"/>
  <c r="Q10" i="9"/>
  <c r="R10" i="9"/>
  <c r="Q13" i="9"/>
  <c r="R13" i="9"/>
  <c r="Q14" i="9" s="1"/>
  <c r="R14" i="9" s="1"/>
  <c r="Q15" i="9" s="1"/>
  <c r="R15" i="9"/>
  <c r="Q16" i="9" s="1"/>
  <c r="R16" i="9" s="1"/>
  <c r="Q17" i="9" s="1"/>
  <c r="R17" i="9" s="1"/>
  <c r="Q18" i="9" s="1"/>
  <c r="R18" i="9" s="1"/>
  <c r="N14" i="3"/>
  <c r="O14" i="3"/>
  <c r="Q14" i="3" s="1"/>
  <c r="AF34" i="3"/>
  <c r="AD34" i="3"/>
  <c r="AE34" i="3"/>
  <c r="AG34" i="3" s="1"/>
  <c r="AM34" i="3" s="1"/>
  <c r="AD59" i="3"/>
  <c r="AE59" i="3"/>
  <c r="AG59" i="3" s="1"/>
  <c r="AM59" i="3"/>
  <c r="Q86" i="3"/>
  <c r="P16" i="9"/>
  <c r="P13" i="9"/>
  <c r="AD14" i="3"/>
  <c r="AE14" i="3"/>
  <c r="AG14" i="3" s="1"/>
  <c r="AM14" i="3" s="1"/>
  <c r="AD46" i="3"/>
  <c r="AE46" i="3"/>
  <c r="AG46" i="3"/>
  <c r="AM46" i="3" s="1"/>
  <c r="AD17" i="3"/>
  <c r="AE17" i="3" s="1"/>
  <c r="AG17" i="3"/>
  <c r="AM17" i="3" s="1"/>
  <c r="N18" i="3"/>
  <c r="O18" i="3"/>
  <c r="Q18" i="3"/>
  <c r="N25" i="3"/>
  <c r="O25" i="3" s="1"/>
  <c r="Q25" i="3" s="1"/>
  <c r="P39" i="3"/>
  <c r="N39" i="3"/>
  <c r="O39" i="3"/>
  <c r="Q50" i="3"/>
  <c r="AD174" i="3"/>
  <c r="AE174" i="3" s="1"/>
  <c r="AF174" i="3"/>
  <c r="AG174" i="3" s="1"/>
  <c r="AM174" i="3" s="1"/>
  <c r="P208" i="3"/>
  <c r="N208" i="3"/>
  <c r="O208" i="3" s="1"/>
  <c r="AF93" i="3"/>
  <c r="AG93" i="3"/>
  <c r="AM93" i="3" s="1"/>
  <c r="N100" i="3"/>
  <c r="O100" i="3" s="1"/>
  <c r="Q100" i="3"/>
  <c r="P109" i="3"/>
  <c r="Q109" i="3" s="1"/>
  <c r="N123" i="3"/>
  <c r="O123" i="3"/>
  <c r="Q123" i="3"/>
  <c r="N141" i="3"/>
  <c r="O141" i="3" s="1"/>
  <c r="P141" i="3"/>
  <c r="AD148" i="3"/>
  <c r="AE148" i="3"/>
  <c r="AG148" i="3" s="1"/>
  <c r="AM148" i="3" s="1"/>
  <c r="Q151" i="3"/>
  <c r="P210" i="3"/>
  <c r="N210" i="3"/>
  <c r="O210" i="3"/>
  <c r="AD22" i="3"/>
  <c r="AE22" i="3" s="1"/>
  <c r="AG22" i="3" s="1"/>
  <c r="AM22" i="3"/>
  <c r="N28" i="3"/>
  <c r="O28" i="3"/>
  <c r="Q28" i="3" s="1"/>
  <c r="N34" i="3"/>
  <c r="O34" i="3" s="1"/>
  <c r="Q34" i="3" s="1"/>
  <c r="AD37" i="3"/>
  <c r="AE37" i="3"/>
  <c r="AG37" i="3" s="1"/>
  <c r="AM37" i="3" s="1"/>
  <c r="N41" i="3"/>
  <c r="O41" i="3"/>
  <c r="Q41" i="3" s="1"/>
  <c r="AD44" i="3"/>
  <c r="AE44" i="3" s="1"/>
  <c r="AG44" i="3"/>
  <c r="AM44" i="3" s="1"/>
  <c r="N60" i="3"/>
  <c r="O60" i="3"/>
  <c r="Q60" i="3"/>
  <c r="N66" i="3"/>
  <c r="O66" i="3" s="1"/>
  <c r="Q66" i="3" s="1"/>
  <c r="AD69" i="3"/>
  <c r="AE69" i="3" s="1"/>
  <c r="AG69" i="3" s="1"/>
  <c r="AM69" i="3" s="1"/>
  <c r="N73" i="3"/>
  <c r="O73" i="3" s="1"/>
  <c r="Q73" i="3" s="1"/>
  <c r="AD76" i="3"/>
  <c r="AE76" i="3"/>
  <c r="AG76" i="3"/>
  <c r="AM76" i="3" s="1"/>
  <c r="AF77" i="3"/>
  <c r="AD81" i="3"/>
  <c r="AE81" i="3" s="1"/>
  <c r="AG81" i="3" s="1"/>
  <c r="AM81" i="3" s="1"/>
  <c r="P93" i="3"/>
  <c r="AD96" i="3"/>
  <c r="AE96" i="3"/>
  <c r="AG96" i="3"/>
  <c r="AM96" i="3" s="1"/>
  <c r="AD123" i="3"/>
  <c r="AE123" i="3"/>
  <c r="AG123" i="3"/>
  <c r="AM123" i="3" s="1"/>
  <c r="N125" i="3"/>
  <c r="O125" i="3" s="1"/>
  <c r="Q125" i="3"/>
  <c r="AD126" i="3"/>
  <c r="AE126" i="3" s="1"/>
  <c r="AG126" i="3" s="1"/>
  <c r="AM126" i="3" s="1"/>
  <c r="AD130" i="3"/>
  <c r="AE130" i="3" s="1"/>
  <c r="AG130" i="3" s="1"/>
  <c r="AM130" i="3" s="1"/>
  <c r="N153" i="3"/>
  <c r="O153" i="3"/>
  <c r="Q153" i="3" s="1"/>
  <c r="N156" i="3"/>
  <c r="O156" i="3" s="1"/>
  <c r="Q156" i="3" s="1"/>
  <c r="AD156" i="3"/>
  <c r="AE156" i="3"/>
  <c r="AG156" i="3" s="1"/>
  <c r="AM156" i="3" s="1"/>
  <c r="AD158" i="3"/>
  <c r="AE158" i="3" s="1"/>
  <c r="AG158" i="3" s="1"/>
  <c r="AM158" i="3" s="1"/>
  <c r="AF175" i="3"/>
  <c r="AD183" i="3"/>
  <c r="AE183" i="3" s="1"/>
  <c r="AG183" i="3" s="1"/>
  <c r="AM183" i="3"/>
  <c r="N184" i="3"/>
  <c r="O184" i="3"/>
  <c r="Q184" i="3" s="1"/>
  <c r="AF195" i="3"/>
  <c r="AG195" i="3"/>
  <c r="AM195" i="3" s="1"/>
  <c r="AD209" i="3"/>
  <c r="AE209" i="3" s="1"/>
  <c r="AF209" i="3"/>
  <c r="N20" i="3"/>
  <c r="O20" i="3" s="1"/>
  <c r="Q20" i="3" s="1"/>
  <c r="N26" i="3"/>
  <c r="O26" i="3"/>
  <c r="Q26" i="3" s="1"/>
  <c r="AD29" i="3"/>
  <c r="AE29" i="3"/>
  <c r="AG29" i="3" s="1"/>
  <c r="AM29" i="3" s="1"/>
  <c r="N33" i="3"/>
  <c r="O33" i="3"/>
  <c r="AD36" i="3"/>
  <c r="AE36" i="3" s="1"/>
  <c r="AG36" i="3"/>
  <c r="AM36" i="3" s="1"/>
  <c r="N52" i="3"/>
  <c r="O52" i="3" s="1"/>
  <c r="Q52" i="3" s="1"/>
  <c r="N58" i="3"/>
  <c r="O58" i="3"/>
  <c r="Q58" i="3" s="1"/>
  <c r="AD61" i="3"/>
  <c r="AE61" i="3"/>
  <c r="AG61" i="3" s="1"/>
  <c r="AM61" i="3" s="1"/>
  <c r="N65" i="3"/>
  <c r="O65" i="3" s="1"/>
  <c r="Q65" i="3" s="1"/>
  <c r="AD68" i="3"/>
  <c r="AE68" i="3"/>
  <c r="AG68" i="3"/>
  <c r="AM68" i="3" s="1"/>
  <c r="AD80" i="3"/>
  <c r="AE80" i="3" s="1"/>
  <c r="AG80" i="3"/>
  <c r="AM80" i="3" s="1"/>
  <c r="N102" i="3"/>
  <c r="O102" i="3"/>
  <c r="Q102" i="3" s="1"/>
  <c r="N122" i="3"/>
  <c r="O122" i="3" s="1"/>
  <c r="Q122" i="3" s="1"/>
  <c r="AD153" i="3"/>
  <c r="AE153" i="3"/>
  <c r="AG153" i="3" s="1"/>
  <c r="AM153" i="3" s="1"/>
  <c r="AD159" i="3"/>
  <c r="AE159" i="3" s="1"/>
  <c r="AG159" i="3" s="1"/>
  <c r="AM159" i="3" s="1"/>
  <c r="AD169" i="3"/>
  <c r="AE169" i="3"/>
  <c r="AG169" i="3" s="1"/>
  <c r="AM169" i="3" s="1"/>
  <c r="AF177" i="3"/>
  <c r="AD321" i="3"/>
  <c r="AE321" i="3"/>
  <c r="AG321" i="3" s="1"/>
  <c r="AM321" i="3" s="1"/>
  <c r="AF321" i="3"/>
  <c r="AD167" i="3"/>
  <c r="AE167" i="3"/>
  <c r="AG167" i="3"/>
  <c r="AM167" i="3" s="1"/>
  <c r="N189" i="3"/>
  <c r="O189" i="3"/>
  <c r="Q189" i="3" s="1"/>
  <c r="N192" i="3"/>
  <c r="O192" i="3" s="1"/>
  <c r="Q192" i="3" s="1"/>
  <c r="AD192" i="3"/>
  <c r="AE192" i="3" s="1"/>
  <c r="AG192" i="3" s="1"/>
  <c r="AM192" i="3" s="1"/>
  <c r="N202" i="3"/>
  <c r="O202" i="3"/>
  <c r="Q202" i="3" s="1"/>
  <c r="N206" i="3"/>
  <c r="O206" i="3" s="1"/>
  <c r="Q206" i="3" s="1"/>
  <c r="AD208" i="3"/>
  <c r="AE208" i="3" s="1"/>
  <c r="AG208" i="3" s="1"/>
  <c r="AM208" i="3" s="1"/>
  <c r="AD212" i="3"/>
  <c r="AE212" i="3"/>
  <c r="AG212" i="3" s="1"/>
  <c r="AM212" i="3" s="1"/>
  <c r="AD219" i="3"/>
  <c r="AE219" i="3"/>
  <c r="AG219" i="3"/>
  <c r="AM219" i="3" s="1"/>
  <c r="AD234" i="3"/>
  <c r="AE234" i="3" s="1"/>
  <c r="AG234" i="3"/>
  <c r="AM234" i="3" s="1"/>
  <c r="AD249" i="3"/>
  <c r="AE249" i="3"/>
  <c r="AG249" i="3"/>
  <c r="AM249" i="3" s="1"/>
  <c r="N250" i="3"/>
  <c r="O250" i="3"/>
  <c r="Q250" i="3"/>
  <c r="AD250" i="3"/>
  <c r="AE250" i="3" s="1"/>
  <c r="AG250" i="3" s="1"/>
  <c r="AM250" i="3" s="1"/>
  <c r="AD256" i="3"/>
  <c r="AE256" i="3" s="1"/>
  <c r="AG256" i="3" s="1"/>
  <c r="AM256" i="3" s="1"/>
  <c r="AD272" i="3"/>
  <c r="AE272" i="3" s="1"/>
  <c r="AG272" i="3"/>
  <c r="AM272" i="3" s="1"/>
  <c r="AF281" i="3"/>
  <c r="AG281" i="3"/>
  <c r="AM281" i="3" s="1"/>
  <c r="AD282" i="3"/>
  <c r="AE282" i="3"/>
  <c r="AG282" i="3" s="1"/>
  <c r="AM282" i="3" s="1"/>
  <c r="P302" i="3"/>
  <c r="N306" i="3"/>
  <c r="O306" i="3" s="1"/>
  <c r="Q306" i="3" s="1"/>
  <c r="AD172" i="3"/>
  <c r="AE172" i="3" s="1"/>
  <c r="AG172" i="3"/>
  <c r="AM172" i="3" s="1"/>
  <c r="N196" i="3"/>
  <c r="O196" i="3"/>
  <c r="Q196" i="3" s="1"/>
  <c r="AD197" i="3"/>
  <c r="AE197" i="3"/>
  <c r="AG197" i="3"/>
  <c r="AM197" i="3" s="1"/>
  <c r="N205" i="3"/>
  <c r="O205" i="3"/>
  <c r="Q205" i="3"/>
  <c r="N213" i="3"/>
  <c r="O213" i="3" s="1"/>
  <c r="Q213" i="3"/>
  <c r="AD214" i="3"/>
  <c r="AE214" i="3" s="1"/>
  <c r="AG214" i="3"/>
  <c r="AM214" i="3" s="1"/>
  <c r="AD226" i="3"/>
  <c r="AE226" i="3" s="1"/>
  <c r="AG226" i="3"/>
  <c r="AM226" i="3"/>
  <c r="N233" i="3"/>
  <c r="O233" i="3" s="1"/>
  <c r="Q233" i="3" s="1"/>
  <c r="AD244" i="3"/>
  <c r="AE244" i="3"/>
  <c r="AG244" i="3" s="1"/>
  <c r="AM244" i="3" s="1"/>
  <c r="N245" i="3"/>
  <c r="O245" i="3" s="1"/>
  <c r="Q245" i="3" s="1"/>
  <c r="AD245" i="3"/>
  <c r="AE245" i="3" s="1"/>
  <c r="AG245" i="3" s="1"/>
  <c r="AM245" i="3" s="1"/>
  <c r="AD246" i="3"/>
  <c r="AE246" i="3"/>
  <c r="AG246" i="3" s="1"/>
  <c r="AM246" i="3" s="1"/>
  <c r="N247" i="3"/>
  <c r="O247" i="3"/>
  <c r="Q247" i="3" s="1"/>
  <c r="N248" i="3"/>
  <c r="O248" i="3"/>
  <c r="Q248" i="3"/>
  <c r="N261" i="3"/>
  <c r="O261" i="3"/>
  <c r="Q261" i="3" s="1"/>
  <c r="AD280" i="3"/>
  <c r="AE280" i="3"/>
  <c r="AG280" i="3" s="1"/>
  <c r="AM280" i="3"/>
  <c r="N281" i="3"/>
  <c r="O281" i="3"/>
  <c r="Q281" i="3" s="1"/>
  <c r="AD292" i="3"/>
  <c r="AE292" i="3" s="1"/>
  <c r="AG292" i="3"/>
  <c r="AM292" i="3" s="1"/>
  <c r="N293" i="3"/>
  <c r="O293" i="3"/>
  <c r="Q293" i="3"/>
  <c r="N298" i="3"/>
  <c r="O298" i="3"/>
  <c r="Q298" i="3"/>
  <c r="AD306" i="3"/>
  <c r="AE306" i="3" s="1"/>
  <c r="AG306" i="3"/>
  <c r="AM306" i="3"/>
  <c r="AD313" i="3"/>
  <c r="AE313" i="3"/>
  <c r="AG313" i="3" s="1"/>
  <c r="AM313" i="3" s="1"/>
  <c r="AM319" i="3"/>
  <c r="AD329" i="3"/>
  <c r="AE329" i="3"/>
  <c r="AG329" i="3"/>
  <c r="AM329" i="3"/>
  <c r="AF329" i="3"/>
  <c r="AM353" i="3"/>
  <c r="AF357" i="3"/>
  <c r="AD357" i="3"/>
  <c r="AE357" i="3" s="1"/>
  <c r="AG357" i="3" s="1"/>
  <c r="AM357" i="3" s="1"/>
  <c r="AD221" i="3"/>
  <c r="AE221" i="3" s="1"/>
  <c r="AG221" i="3"/>
  <c r="AM221" i="3" s="1"/>
  <c r="AD229" i="3"/>
  <c r="AE229" i="3" s="1"/>
  <c r="AG229" i="3" s="1"/>
  <c r="AM229" i="3" s="1"/>
  <c r="N234" i="3"/>
  <c r="O234" i="3" s="1"/>
  <c r="Q234" i="3" s="1"/>
  <c r="N253" i="3"/>
  <c r="O253" i="3"/>
  <c r="Q253" i="3" s="1"/>
  <c r="AD264" i="3"/>
  <c r="AE264" i="3"/>
  <c r="AG264" i="3" s="1"/>
  <c r="AM264" i="3" s="1"/>
  <c r="N265" i="3"/>
  <c r="O265" i="3" s="1"/>
  <c r="Q265" i="3" s="1"/>
  <c r="AD284" i="3"/>
  <c r="AE284" i="3" s="1"/>
  <c r="AG284" i="3"/>
  <c r="AM284" i="3"/>
  <c r="N285" i="3"/>
  <c r="O285" i="3"/>
  <c r="Q285" i="3"/>
  <c r="AD304" i="3"/>
  <c r="AE304" i="3" s="1"/>
  <c r="AG304" i="3"/>
  <c r="AM304" i="3" s="1"/>
  <c r="N305" i="3"/>
  <c r="O305" i="3" s="1"/>
  <c r="Q305" i="3" s="1"/>
  <c r="N324" i="3"/>
  <c r="O324" i="3"/>
  <c r="Q324" i="3" s="1"/>
  <c r="AF325" i="3"/>
  <c r="AD325" i="3"/>
  <c r="AE325" i="3" s="1"/>
  <c r="AG325" i="3" s="1"/>
  <c r="N327" i="3"/>
  <c r="O327" i="3"/>
  <c r="Q327" i="3" s="1"/>
  <c r="P333" i="3"/>
  <c r="Q333" i="3" s="1"/>
  <c r="N345" i="3"/>
  <c r="O345" i="3" s="1"/>
  <c r="Q345" i="3"/>
  <c r="AF358" i="3"/>
  <c r="AD358" i="3"/>
  <c r="AE358" i="3"/>
  <c r="AG358" i="3" s="1"/>
  <c r="R216" i="4"/>
  <c r="P216" i="4"/>
  <c r="Q216" i="4" s="1"/>
  <c r="P295" i="4"/>
  <c r="Q295" i="4"/>
  <c r="R295" i="4"/>
  <c r="R361" i="4"/>
  <c r="P361" i="4"/>
  <c r="Q361" i="4"/>
  <c r="N362" i="3"/>
  <c r="O362" i="3" s="1"/>
  <c r="P362" i="3"/>
  <c r="N366" i="3"/>
  <c r="O366" i="3"/>
  <c r="P366" i="3"/>
  <c r="Q366" i="3"/>
  <c r="N374" i="3"/>
  <c r="O374" i="3"/>
  <c r="Q374" i="3"/>
  <c r="P374" i="3"/>
  <c r="R212" i="4"/>
  <c r="P212" i="4"/>
  <c r="Q212" i="4" s="1"/>
  <c r="P274" i="4"/>
  <c r="Q274" i="4" s="1"/>
  <c r="R274" i="4"/>
  <c r="N338" i="3"/>
  <c r="O338" i="3"/>
  <c r="Q338" i="3"/>
  <c r="AD339" i="3"/>
  <c r="AE339" i="3"/>
  <c r="AG339" i="3" s="1"/>
  <c r="AM339" i="3"/>
  <c r="N354" i="3"/>
  <c r="O354" i="3" s="1"/>
  <c r="Q354" i="3"/>
  <c r="AD629" i="3"/>
  <c r="AE629" i="3"/>
  <c r="AG629" i="3" s="1"/>
  <c r="AM629" i="3" s="1"/>
  <c r="AF629" i="3"/>
  <c r="N346" i="3"/>
  <c r="O346" i="3"/>
  <c r="Q346" i="3" s="1"/>
  <c r="AD347" i="3"/>
  <c r="AE347" i="3" s="1"/>
  <c r="AG347" i="3" s="1"/>
  <c r="AM347" i="3" s="1"/>
  <c r="N352" i="3"/>
  <c r="O352" i="3" s="1"/>
  <c r="Q352" i="3" s="1"/>
  <c r="AF373" i="3"/>
  <c r="AD373" i="3"/>
  <c r="AE373" i="3"/>
  <c r="P203" i="4"/>
  <c r="Q203" i="4"/>
  <c r="S207" i="4"/>
  <c r="P208" i="4"/>
  <c r="Q208" i="4" s="1"/>
  <c r="R248" i="4"/>
  <c r="P248" i="4"/>
  <c r="Q248" i="4"/>
  <c r="R266" i="4"/>
  <c r="P266" i="4"/>
  <c r="Q266" i="4"/>
  <c r="P381" i="4"/>
  <c r="Q381" i="4"/>
  <c r="AF365" i="3"/>
  <c r="AD365" i="3"/>
  <c r="AE365" i="3"/>
  <c r="AG365" i="3" s="1"/>
  <c r="AM365" i="3" s="1"/>
  <c r="AD374" i="3"/>
  <c r="AE374" i="3"/>
  <c r="AG374" i="3"/>
  <c r="AM374" i="3" s="1"/>
  <c r="AF374" i="3"/>
  <c r="AD378" i="3"/>
  <c r="AE378" i="3"/>
  <c r="AG378" i="3"/>
  <c r="AM378" i="3" s="1"/>
  <c r="S206" i="4"/>
  <c r="P227" i="4"/>
  <c r="Q227" i="4" s="1"/>
  <c r="R244" i="4"/>
  <c r="P244" i="4"/>
  <c r="Q244" i="4" s="1"/>
  <c r="P273" i="4"/>
  <c r="Q273" i="4" s="1"/>
  <c r="R297" i="4"/>
  <c r="P297" i="4"/>
  <c r="Q297" i="4"/>
  <c r="S306" i="4"/>
  <c r="R365" i="4"/>
  <c r="P365" i="4"/>
  <c r="Q365" i="4" s="1"/>
  <c r="AD367" i="3"/>
  <c r="AE367" i="3"/>
  <c r="AG367" i="3" s="1"/>
  <c r="AM367" i="3"/>
  <c r="AD628" i="3"/>
  <c r="AE628" i="3" s="1"/>
  <c r="AG628" i="3"/>
  <c r="AM628" i="3" s="1"/>
  <c r="R234" i="4"/>
  <c r="P234" i="4"/>
  <c r="Q234" i="4"/>
  <c r="P235" i="4"/>
  <c r="Q235" i="4" s="1"/>
  <c r="R240" i="4"/>
  <c r="P240" i="4"/>
  <c r="Q240" i="4"/>
  <c r="P252" i="4"/>
  <c r="Q252" i="4" s="1"/>
  <c r="S274" i="4"/>
  <c r="R276" i="4"/>
  <c r="P276" i="4"/>
  <c r="Q276" i="4"/>
  <c r="S282" i="4"/>
  <c r="P299" i="4"/>
  <c r="Q299" i="4" s="1"/>
  <c r="P311" i="4"/>
  <c r="Q311" i="4"/>
  <c r="S367" i="4"/>
  <c r="S352" i="4"/>
  <c r="P211" i="4"/>
  <c r="Q211" i="4"/>
  <c r="P219" i="4"/>
  <c r="Q219" i="4" s="1"/>
  <c r="P243" i="4"/>
  <c r="Q243" i="4"/>
  <c r="P251" i="4"/>
  <c r="Q251" i="4" s="1"/>
  <c r="P283" i="4"/>
  <c r="Q283" i="4"/>
  <c r="P298" i="4"/>
  <c r="Q298" i="4"/>
  <c r="P306" i="4"/>
  <c r="Q306" i="4"/>
  <c r="S318" i="4"/>
  <c r="S334" i="4"/>
  <c r="P337" i="4"/>
  <c r="Q337" i="4" s="1"/>
  <c r="S350" i="4"/>
  <c r="P383" i="4"/>
  <c r="Q383" i="4"/>
  <c r="P210" i="4"/>
  <c r="Q210" i="4"/>
  <c r="P229" i="4"/>
  <c r="Q229" i="4" s="1"/>
  <c r="P237" i="4"/>
  <c r="Q237" i="4"/>
  <c r="P242" i="4"/>
  <c r="Q242" i="4"/>
  <c r="P261" i="4"/>
  <c r="Q261" i="4" s="1"/>
  <c r="P269" i="4"/>
  <c r="Q269" i="4"/>
  <c r="P278" i="4"/>
  <c r="Q278" i="4"/>
  <c r="P280" i="4"/>
  <c r="Q280" i="4" s="1"/>
  <c r="P301" i="4"/>
  <c r="Q301" i="4" s="1"/>
  <c r="P313" i="4"/>
  <c r="Q313" i="4"/>
  <c r="P353" i="4"/>
  <c r="Q353" i="4"/>
  <c r="S365" i="4"/>
  <c r="S330" i="4"/>
  <c r="S342" i="4"/>
  <c r="S357" i="4"/>
  <c r="P359" i="4"/>
  <c r="Q359" i="4" s="1"/>
  <c r="S374" i="4"/>
  <c r="AG289" i="3"/>
  <c r="AM289" i="3" s="1"/>
  <c r="AM189" i="3"/>
  <c r="AG527" i="3"/>
  <c r="AM527" i="3"/>
  <c r="AM311" i="3"/>
  <c r="AG287" i="3"/>
  <c r="AM287" i="3" s="1"/>
  <c r="AG322" i="3"/>
  <c r="AM322" i="3" s="1"/>
  <c r="Q150" i="3"/>
  <c r="Q181" i="3"/>
  <c r="AG260" i="3"/>
  <c r="AM260" i="3" s="1"/>
  <c r="AM358" i="3"/>
  <c r="Q107" i="3"/>
  <c r="I8" i="10"/>
  <c r="E8" i="10"/>
  <c r="H8" i="10"/>
  <c r="D8" i="10"/>
  <c r="G8" i="10"/>
  <c r="F8" i="10"/>
  <c r="S11" i="4"/>
  <c r="AI113" i="4"/>
  <c r="S113" i="4"/>
  <c r="AI119" i="4"/>
  <c r="S119" i="4"/>
  <c r="AI116" i="4"/>
  <c r="S116" i="4"/>
  <c r="AI111" i="4"/>
  <c r="S111" i="4"/>
  <c r="AI110" i="4"/>
  <c r="S110" i="4"/>
  <c r="S117" i="4"/>
  <c r="AI117" i="4"/>
  <c r="S115" i="4"/>
  <c r="AI115" i="4"/>
  <c r="S112" i="4"/>
  <c r="AI112" i="4"/>
  <c r="S118" i="4"/>
  <c r="AI118" i="4"/>
  <c r="S114" i="4"/>
  <c r="AI114" i="4"/>
  <c r="AH57" i="4"/>
  <c r="AF314" i="4"/>
  <c r="AG314" i="4" s="1"/>
  <c r="AF99" i="4"/>
  <c r="AG99" i="4"/>
  <c r="AF156" i="4"/>
  <c r="AG156" i="4" s="1"/>
  <c r="AF320" i="4"/>
  <c r="AG320" i="4" s="1"/>
  <c r="AF244" i="4"/>
  <c r="AG244" i="4"/>
  <c r="AF201" i="4"/>
  <c r="AG201" i="4"/>
  <c r="AF19" i="4"/>
  <c r="AG19" i="4" s="1"/>
  <c r="AF330" i="4"/>
  <c r="AG330" i="4" s="1"/>
  <c r="AF207" i="4"/>
  <c r="AG207" i="4" s="1"/>
  <c r="AF204" i="4"/>
  <c r="AG204" i="4"/>
  <c r="AF94" i="4"/>
  <c r="AG94" i="4" s="1"/>
  <c r="AF293" i="4"/>
  <c r="AG293" i="4"/>
  <c r="AF296" i="4"/>
  <c r="AG296" i="4" s="1"/>
  <c r="AF356" i="4"/>
  <c r="AG356" i="4" s="1"/>
  <c r="AF258" i="4"/>
  <c r="AG258" i="4" s="1"/>
  <c r="AF18" i="4"/>
  <c r="AG18" i="4"/>
  <c r="AF144" i="4"/>
  <c r="AG144" i="4"/>
  <c r="AF241" i="4"/>
  <c r="AG241" i="4"/>
  <c r="AF90" i="4"/>
  <c r="AG90" i="4" s="1"/>
  <c r="AF38" i="4"/>
  <c r="AG38" i="4" s="1"/>
  <c r="AF371" i="4"/>
  <c r="AG371" i="4" s="1"/>
  <c r="AF161" i="4"/>
  <c r="AG161" i="4"/>
  <c r="AF79" i="4"/>
  <c r="AG79" i="4"/>
  <c r="AF118" i="4"/>
  <c r="AG118" i="4"/>
  <c r="AF121" i="4"/>
  <c r="AG121" i="4" s="1"/>
  <c r="AF132" i="4"/>
  <c r="AG132" i="4"/>
  <c r="AF303" i="4"/>
  <c r="AG303" i="4" s="1"/>
  <c r="AF352" i="4"/>
  <c r="AG352" i="4"/>
  <c r="AF23" i="4"/>
  <c r="AG23" i="4"/>
  <c r="AF175" i="4"/>
  <c r="AG175" i="4"/>
  <c r="AF379" i="4"/>
  <c r="AG379" i="4" s="1"/>
  <c r="AF210" i="4"/>
  <c r="AG210" i="4"/>
  <c r="AF190" i="4"/>
  <c r="AG190" i="4"/>
  <c r="AF104" i="4"/>
  <c r="AG104" i="4" s="1"/>
  <c r="AF167" i="4"/>
  <c r="AG167" i="4" s="1"/>
  <c r="AF119" i="4"/>
  <c r="AG119" i="4"/>
  <c r="AF341" i="4"/>
  <c r="AG341" i="4" s="1"/>
  <c r="AF275" i="4"/>
  <c r="AG275" i="4"/>
  <c r="AF164" i="4"/>
  <c r="AG164" i="4" s="1"/>
  <c r="AF187" i="4"/>
  <c r="AG187" i="4"/>
  <c r="AF227" i="4"/>
  <c r="AG227" i="4"/>
  <c r="AF261" i="4"/>
  <c r="AG261" i="4"/>
  <c r="AF264" i="4"/>
  <c r="AG264" i="4" s="1"/>
  <c r="AF322" i="4"/>
  <c r="AG322" i="4"/>
  <c r="P11" i="3"/>
  <c r="N11" i="3"/>
  <c r="O11" i="3" s="1"/>
  <c r="R69" i="4"/>
  <c r="P69" i="4"/>
  <c r="Q69" i="4" s="1"/>
  <c r="R72" i="4"/>
  <c r="P72" i="4"/>
  <c r="Q72" i="4"/>
  <c r="S202" i="4"/>
  <c r="AI202" i="4"/>
  <c r="R284" i="4"/>
  <c r="P284" i="4"/>
  <c r="Q284" i="4"/>
  <c r="I19" i="10"/>
  <c r="E19" i="10"/>
  <c r="H19" i="10"/>
  <c r="D19" i="10"/>
  <c r="AD559" i="3"/>
  <c r="AE559" i="3"/>
  <c r="AF559" i="3"/>
  <c r="AG528" i="3"/>
  <c r="AM528" i="3"/>
  <c r="F19" i="10"/>
  <c r="AG65" i="3"/>
  <c r="AM65" i="3"/>
  <c r="AF360" i="3"/>
  <c r="AD360" i="3"/>
  <c r="AE360" i="3"/>
  <c r="R139" i="4"/>
  <c r="P139" i="4"/>
  <c r="Q139" i="4" s="1"/>
  <c r="D17" i="10"/>
  <c r="D6" i="10"/>
  <c r="D18" i="10"/>
  <c r="D21" i="10"/>
  <c r="D15" i="10"/>
  <c r="D13" i="10"/>
  <c r="I12" i="10"/>
  <c r="H12" i="10"/>
  <c r="H24" i="10"/>
  <c r="F12" i="10"/>
  <c r="F24" i="10"/>
  <c r="I20" i="10"/>
  <c r="D20" i="10"/>
  <c r="N563" i="3"/>
  <c r="O563" i="3"/>
  <c r="Q563" i="3"/>
  <c r="AI61" i="4"/>
  <c r="G19" i="10"/>
  <c r="P212" i="3"/>
  <c r="N212" i="3"/>
  <c r="O212" i="3"/>
  <c r="Q212" i="3" s="1"/>
  <c r="Q27" i="3"/>
  <c r="AI248" i="4"/>
  <c r="Q59" i="3"/>
  <c r="S377" i="4"/>
  <c r="Q278" i="3"/>
  <c r="AG209" i="3"/>
  <c r="AM209" i="3"/>
  <c r="AG342" i="3"/>
  <c r="AM342" i="3" s="1"/>
  <c r="AI184" i="4"/>
  <c r="AG171" i="3"/>
  <c r="AM171" i="3" s="1"/>
  <c r="AG137" i="3"/>
  <c r="AM137" i="3" s="1"/>
  <c r="Q362" i="3"/>
  <c r="AF133" i="3"/>
  <c r="AG133" i="3"/>
  <c r="AM133" i="3"/>
  <c r="J404" i="6"/>
  <c r="D3" i="6"/>
  <c r="S181" i="4"/>
  <c r="AG30" i="3"/>
  <c r="AM30" i="3"/>
  <c r="AF78" i="3"/>
  <c r="AG78" i="3"/>
  <c r="AM78" i="3" s="1"/>
  <c r="AG299" i="3"/>
  <c r="AM299" i="3" s="1"/>
  <c r="N106" i="3"/>
  <c r="O106" i="3"/>
  <c r="Q106" i="3"/>
  <c r="Q210" i="3"/>
  <c r="AG327" i="3"/>
  <c r="AM327" i="3"/>
  <c r="K404" i="6"/>
  <c r="AG175" i="3"/>
  <c r="AM175" i="3"/>
  <c r="AD131" i="3"/>
  <c r="AE131" i="3"/>
  <c r="AG131" i="3" s="1"/>
  <c r="AM131" i="3" s="1"/>
  <c r="P17" i="9"/>
  <c r="P14" i="9"/>
  <c r="AD43" i="3"/>
  <c r="AE43" i="3" s="1"/>
  <c r="AG43" i="3" s="1"/>
  <c r="AM43" i="3" s="1"/>
  <c r="AG101" i="3"/>
  <c r="AM101" i="3"/>
  <c r="AD70" i="3"/>
  <c r="AE70" i="3"/>
  <c r="AG70" i="3" s="1"/>
  <c r="AM70" i="3" s="1"/>
  <c r="Q33" i="3"/>
  <c r="Q496" i="3"/>
  <c r="AI41" i="4"/>
  <c r="AI169" i="4"/>
  <c r="S172" i="4"/>
  <c r="P11" i="4"/>
  <c r="Q11" i="4"/>
  <c r="AG465" i="3"/>
  <c r="AM465" i="3"/>
  <c r="Q31" i="3"/>
  <c r="Q103" i="3"/>
  <c r="AD135" i="3"/>
  <c r="AE135" i="3"/>
  <c r="AG135" i="3"/>
  <c r="AM135" i="3" s="1"/>
  <c r="AG194" i="3"/>
  <c r="AM194" i="3"/>
  <c r="N64" i="3"/>
  <c r="O64" i="3"/>
  <c r="Q64" i="3" s="1"/>
  <c r="N69" i="3"/>
  <c r="O69" i="3" s="1"/>
  <c r="Q69" i="3" s="1"/>
  <c r="N143" i="3"/>
  <c r="O143" i="3"/>
  <c r="Q143" i="3"/>
  <c r="Q313" i="3"/>
  <c r="AI67" i="4"/>
  <c r="AD106" i="3"/>
  <c r="AE106" i="3" s="1"/>
  <c r="AG106" i="3"/>
  <c r="AM106" i="3" s="1"/>
  <c r="AD125" i="3"/>
  <c r="AE125" i="3"/>
  <c r="AG125" i="3"/>
  <c r="AM125" i="3"/>
  <c r="P127" i="3"/>
  <c r="AD173" i="3"/>
  <c r="AE173" i="3"/>
  <c r="AG173" i="3" s="1"/>
  <c r="AM173" i="3"/>
  <c r="AD569" i="3"/>
  <c r="AE569" i="3"/>
  <c r="AG569" i="3" s="1"/>
  <c r="AF569" i="3"/>
  <c r="AG56" i="3"/>
  <c r="AM56" i="3"/>
  <c r="N15" i="3"/>
  <c r="O15" i="3" s="1"/>
  <c r="Q15" i="3" s="1"/>
  <c r="AD31" i="3"/>
  <c r="AE31" i="3" s="1"/>
  <c r="AG31" i="3" s="1"/>
  <c r="AM31" i="3" s="1"/>
  <c r="N90" i="3"/>
  <c r="O90" i="3" s="1"/>
  <c r="Q90" i="3" s="1"/>
  <c r="N172" i="3"/>
  <c r="O172" i="3"/>
  <c r="Q172" i="3"/>
  <c r="AI51" i="4"/>
  <c r="S235" i="4"/>
  <c r="Q29" i="3"/>
  <c r="P55" i="3"/>
  <c r="Q55" i="3"/>
  <c r="N68" i="3"/>
  <c r="O68" i="3"/>
  <c r="Q68" i="3" s="1"/>
  <c r="N81" i="3"/>
  <c r="O81" i="3"/>
  <c r="Q81" i="3"/>
  <c r="N126" i="3"/>
  <c r="O126" i="3" s="1"/>
  <c r="Q126" i="3" s="1"/>
  <c r="AD152" i="3"/>
  <c r="AE152" i="3" s="1"/>
  <c r="AG152" i="3" s="1"/>
  <c r="AM152" i="3" s="1"/>
  <c r="AD161" i="3"/>
  <c r="AE161" i="3" s="1"/>
  <c r="AG161" i="3" s="1"/>
  <c r="AM161" i="3" s="1"/>
  <c r="N197" i="3"/>
  <c r="O197" i="3"/>
  <c r="Q197" i="3" s="1"/>
  <c r="N364" i="3"/>
  <c r="O364" i="3"/>
  <c r="AD575" i="3"/>
  <c r="AE575" i="3"/>
  <c r="N32" i="3"/>
  <c r="O32" i="3"/>
  <c r="Q32" i="3" s="1"/>
  <c r="N114" i="3"/>
  <c r="O114" i="3"/>
  <c r="Q114" i="3"/>
  <c r="Q131" i="3"/>
  <c r="AG270" i="3"/>
  <c r="AM270" i="3"/>
  <c r="AD517" i="3"/>
  <c r="AE517" i="3" s="1"/>
  <c r="AG517" i="3" s="1"/>
  <c r="AF517" i="3"/>
  <c r="AG310" i="3"/>
  <c r="AM310" i="3"/>
  <c r="P272" i="3"/>
  <c r="N272" i="3"/>
  <c r="O272" i="3"/>
  <c r="AD157" i="3"/>
  <c r="AE157" i="3"/>
  <c r="AG157" i="3" s="1"/>
  <c r="AM157" i="3" s="1"/>
  <c r="AD179" i="3"/>
  <c r="AE179" i="3" s="1"/>
  <c r="AG179" i="3" s="1"/>
  <c r="AM179" i="3" s="1"/>
  <c r="AD346" i="3"/>
  <c r="AE346" i="3" s="1"/>
  <c r="AG346" i="3" s="1"/>
  <c r="AM346" i="3" s="1"/>
  <c r="P19" i="4"/>
  <c r="Q19" i="4"/>
  <c r="AI259" i="4"/>
  <c r="AI280" i="4"/>
  <c r="S317" i="4"/>
  <c r="P328" i="4"/>
  <c r="Q328" i="4"/>
  <c r="AI346" i="4"/>
  <c r="S372" i="4"/>
  <c r="P374" i="4"/>
  <c r="Q374" i="4"/>
  <c r="E21" i="10"/>
  <c r="AD623" i="3"/>
  <c r="AE623" i="3"/>
  <c r="AG623" i="3" s="1"/>
  <c r="AM623" i="3" s="1"/>
  <c r="AD620" i="3"/>
  <c r="AE620" i="3" s="1"/>
  <c r="AG620" i="3" s="1"/>
  <c r="AM620" i="3" s="1"/>
  <c r="Q604" i="3"/>
  <c r="N504" i="3"/>
  <c r="O504" i="3"/>
  <c r="Q504" i="3"/>
  <c r="AH230" i="4"/>
  <c r="AF230" i="4"/>
  <c r="AG230" i="4" s="1"/>
  <c r="P282" i="4"/>
  <c r="Q282" i="4"/>
  <c r="AG543" i="3"/>
  <c r="AM543" i="3"/>
  <c r="AG480" i="3"/>
  <c r="AM480" i="3"/>
  <c r="AD257" i="3"/>
  <c r="AE257" i="3" s="1"/>
  <c r="AG257" i="3" s="1"/>
  <c r="AM257" i="3" s="1"/>
  <c r="N288" i="3"/>
  <c r="O288" i="3"/>
  <c r="AI48" i="4"/>
  <c r="P64" i="4"/>
  <c r="Q64" i="4"/>
  <c r="AI124" i="4"/>
  <c r="AI127" i="4"/>
  <c r="AI222" i="4"/>
  <c r="P264" i="4"/>
  <c r="Q264" i="4"/>
  <c r="AI296" i="4"/>
  <c r="S370" i="4"/>
  <c r="N620" i="3"/>
  <c r="O620" i="3"/>
  <c r="N607" i="3"/>
  <c r="O607" i="3"/>
  <c r="AD605" i="3"/>
  <c r="AE605" i="3"/>
  <c r="AG605" i="3"/>
  <c r="AM605" i="3" s="1"/>
  <c r="AG591" i="3"/>
  <c r="AM591" i="3"/>
  <c r="N587" i="3"/>
  <c r="O587" i="3"/>
  <c r="P587" i="3"/>
  <c r="N582" i="3"/>
  <c r="O582" i="3"/>
  <c r="Q582" i="3"/>
  <c r="N564" i="3"/>
  <c r="O564" i="3"/>
  <c r="Q564" i="3" s="1"/>
  <c r="AD541" i="3"/>
  <c r="AE541" i="3"/>
  <c r="AF541" i="3"/>
  <c r="N499" i="3"/>
  <c r="O499" i="3" s="1"/>
  <c r="Q499" i="3"/>
  <c r="AD495" i="3"/>
  <c r="AE495" i="3"/>
  <c r="AG495" i="3"/>
  <c r="AM495" i="3"/>
  <c r="Q444" i="3"/>
  <c r="Q397" i="3"/>
  <c r="N386" i="3"/>
  <c r="O386" i="3"/>
  <c r="Q386" i="3" s="1"/>
  <c r="P386" i="3"/>
  <c r="AG626" i="3"/>
  <c r="AM626" i="3"/>
  <c r="AG618" i="3"/>
  <c r="AM618" i="3" s="1"/>
  <c r="AG505" i="3"/>
  <c r="AM505" i="3"/>
  <c r="N461" i="3"/>
  <c r="O461" i="3"/>
  <c r="P461" i="3"/>
  <c r="N149" i="3"/>
  <c r="O149" i="3" s="1"/>
  <c r="Q149" i="3" s="1"/>
  <c r="N175" i="3"/>
  <c r="O175" i="3"/>
  <c r="Q175" i="3"/>
  <c r="Q335" i="3"/>
  <c r="P28" i="4"/>
  <c r="Q28" i="4"/>
  <c r="AI40" i="4"/>
  <c r="AI43" i="4"/>
  <c r="P118" i="4"/>
  <c r="Q118" i="4"/>
  <c r="AI203" i="4"/>
  <c r="P205" i="4"/>
  <c r="Q205" i="4"/>
  <c r="AI208" i="4"/>
  <c r="S254" i="4"/>
  <c r="P288" i="4"/>
  <c r="Q288" i="4"/>
  <c r="AI307" i="4"/>
  <c r="N623" i="3"/>
  <c r="O623" i="3"/>
  <c r="N615" i="3"/>
  <c r="O615" i="3"/>
  <c r="Q615" i="3" s="1"/>
  <c r="AG603" i="3"/>
  <c r="AM603" i="3"/>
  <c r="N600" i="3"/>
  <c r="O600" i="3"/>
  <c r="Q600" i="3" s="1"/>
  <c r="AG572" i="3"/>
  <c r="AM572" i="3"/>
  <c r="Q559" i="3"/>
  <c r="N554" i="3"/>
  <c r="O554" i="3" s="1"/>
  <c r="Q554" i="3" s="1"/>
  <c r="AF548" i="3"/>
  <c r="AG548" i="3"/>
  <c r="AM548" i="3"/>
  <c r="Q530" i="3"/>
  <c r="Q507" i="3"/>
  <c r="AD498" i="3"/>
  <c r="AE498" i="3" s="1"/>
  <c r="AG498" i="3" s="1"/>
  <c r="AM498" i="3" s="1"/>
  <c r="P495" i="3"/>
  <c r="N495" i="3"/>
  <c r="O495" i="3"/>
  <c r="N242" i="3"/>
  <c r="O242" i="3"/>
  <c r="Q242" i="3" s="1"/>
  <c r="AD586" i="3"/>
  <c r="AE586" i="3" s="1"/>
  <c r="AG586" i="3" s="1"/>
  <c r="AM586" i="3" s="1"/>
  <c r="AF586" i="3"/>
  <c r="Q575" i="3"/>
  <c r="Q538" i="3"/>
  <c r="AD486" i="3"/>
  <c r="AE486" i="3" s="1"/>
  <c r="AG486" i="3" s="1"/>
  <c r="AM486" i="3" s="1"/>
  <c r="AF486" i="3"/>
  <c r="Q402" i="3"/>
  <c r="AD204" i="3"/>
  <c r="AE204" i="3"/>
  <c r="AG204" i="3"/>
  <c r="AM204" i="3" s="1"/>
  <c r="AD274" i="3"/>
  <c r="AE274" i="3" s="1"/>
  <c r="AG274" i="3" s="1"/>
  <c r="AM274" i="3" s="1"/>
  <c r="AD331" i="3"/>
  <c r="AE331" i="3"/>
  <c r="N353" i="3"/>
  <c r="O353" i="3"/>
  <c r="Q353" i="3" s="1"/>
  <c r="AI23" i="4"/>
  <c r="P40" i="4"/>
  <c r="Q40" i="4" s="1"/>
  <c r="P79" i="4"/>
  <c r="Q79" i="4" s="1"/>
  <c r="AI94" i="4"/>
  <c r="AI145" i="4"/>
  <c r="AI148" i="4"/>
  <c r="P198" i="4"/>
  <c r="Q198" i="4"/>
  <c r="P217" i="4"/>
  <c r="Q217" i="4" s="1"/>
  <c r="S305" i="4"/>
  <c r="N618" i="3"/>
  <c r="O618" i="3" s="1"/>
  <c r="Q618" i="3"/>
  <c r="AD589" i="3"/>
  <c r="AE589" i="3"/>
  <c r="AG589" i="3" s="1"/>
  <c r="AM589" i="3" s="1"/>
  <c r="AD570" i="3"/>
  <c r="AE570" i="3"/>
  <c r="AG570" i="3"/>
  <c r="AM570" i="3" s="1"/>
  <c r="N541" i="3"/>
  <c r="O541" i="3"/>
  <c r="Q541" i="3" s="1"/>
  <c r="AF469" i="3"/>
  <c r="AD469" i="3"/>
  <c r="AE469" i="3"/>
  <c r="AG469" i="3" s="1"/>
  <c r="AM469" i="3" s="1"/>
  <c r="AF453" i="3"/>
  <c r="AD453" i="3"/>
  <c r="AE453" i="3"/>
  <c r="AG453" i="3" s="1"/>
  <c r="AM453" i="3" s="1"/>
  <c r="D7" i="10"/>
  <c r="AG251" i="3"/>
  <c r="AM251" i="3"/>
  <c r="AG297" i="3"/>
  <c r="AM297" i="3"/>
  <c r="AD335" i="3"/>
  <c r="AE335" i="3"/>
  <c r="AG335" i="3"/>
  <c r="AM335" i="3"/>
  <c r="AI16" i="4"/>
  <c r="AI60" i="4"/>
  <c r="AI109" i="4"/>
  <c r="P166" i="4"/>
  <c r="Q166" i="4" s="1"/>
  <c r="P175" i="4"/>
  <c r="Q175" i="4" s="1"/>
  <c r="AI271" i="4"/>
  <c r="P289" i="4"/>
  <c r="Q289" i="4"/>
  <c r="S308" i="4"/>
  <c r="AI376" i="4"/>
  <c r="N626" i="3"/>
  <c r="O626" i="3" s="1"/>
  <c r="Q626" i="3" s="1"/>
  <c r="AD622" i="3"/>
  <c r="AE622" i="3" s="1"/>
  <c r="AG622" i="3" s="1"/>
  <c r="AM622" i="3" s="1"/>
  <c r="AD558" i="3"/>
  <c r="AE558" i="3" s="1"/>
  <c r="AG558" i="3" s="1"/>
  <c r="AM558" i="3" s="1"/>
  <c r="AF532" i="3"/>
  <c r="AG524" i="3"/>
  <c r="AM524" i="3"/>
  <c r="AG504" i="3"/>
  <c r="AM504" i="3"/>
  <c r="AF501" i="3"/>
  <c r="AG501" i="3"/>
  <c r="AM501" i="3" s="1"/>
  <c r="N606" i="3"/>
  <c r="O606" i="3"/>
  <c r="P606" i="3"/>
  <c r="Q606" i="3" s="1"/>
  <c r="AG574" i="3"/>
  <c r="AM574" i="3"/>
  <c r="Q539" i="3"/>
  <c r="N469" i="3"/>
  <c r="O469" i="3"/>
  <c r="Q469" i="3" s="1"/>
  <c r="P469" i="3"/>
  <c r="Q385" i="3"/>
  <c r="N244" i="3"/>
  <c r="O244" i="3"/>
  <c r="Q244" i="3"/>
  <c r="AD258" i="3"/>
  <c r="AE258" i="3"/>
  <c r="AG258" i="3"/>
  <c r="AM258" i="3" s="1"/>
  <c r="N269" i="3"/>
  <c r="O269" i="3" s="1"/>
  <c r="Q269" i="3"/>
  <c r="AD300" i="3"/>
  <c r="AE300" i="3"/>
  <c r="AG300" i="3"/>
  <c r="AM300" i="3"/>
  <c r="N319" i="3"/>
  <c r="O319" i="3" s="1"/>
  <c r="Q319" i="3" s="1"/>
  <c r="AI55" i="4"/>
  <c r="AI143" i="4"/>
  <c r="AI176" i="4"/>
  <c r="P292" i="4"/>
  <c r="Q292" i="4"/>
  <c r="AI328" i="4"/>
  <c r="P345" i="4"/>
  <c r="Q345" i="4"/>
  <c r="AI357" i="4"/>
  <c r="AI382" i="4"/>
  <c r="E11" i="10"/>
  <c r="AD590" i="3"/>
  <c r="AE590" i="3"/>
  <c r="AG590" i="3" s="1"/>
  <c r="AM590" i="3"/>
  <c r="N542" i="3"/>
  <c r="O542" i="3"/>
  <c r="Q542" i="3" s="1"/>
  <c r="AD540" i="3"/>
  <c r="AE540" i="3"/>
  <c r="AG540" i="3"/>
  <c r="AM540" i="3"/>
  <c r="Q534" i="3"/>
  <c r="N521" i="3"/>
  <c r="O521" i="3"/>
  <c r="Q521" i="3" s="1"/>
  <c r="N410" i="3"/>
  <c r="O410" i="3" s="1"/>
  <c r="P410" i="3"/>
  <c r="AD609" i="3"/>
  <c r="AE609" i="3"/>
  <c r="AG609" i="3"/>
  <c r="AM609" i="3"/>
  <c r="N594" i="3"/>
  <c r="O594" i="3" s="1"/>
  <c r="Q594" i="3" s="1"/>
  <c r="AD592" i="3"/>
  <c r="AE592" i="3" s="1"/>
  <c r="Q590" i="3"/>
  <c r="AD576" i="3"/>
  <c r="AE576" i="3"/>
  <c r="AG576" i="3" s="1"/>
  <c r="AM576" i="3" s="1"/>
  <c r="N570" i="3"/>
  <c r="O570" i="3"/>
  <c r="Q570" i="3"/>
  <c r="AD568" i="3"/>
  <c r="AE568" i="3"/>
  <c r="AG568" i="3"/>
  <c r="AM568" i="3" s="1"/>
  <c r="N558" i="3"/>
  <c r="O558" i="3" s="1"/>
  <c r="N555" i="3"/>
  <c r="O555" i="3" s="1"/>
  <c r="Q555" i="3" s="1"/>
  <c r="AD553" i="3"/>
  <c r="AE553" i="3"/>
  <c r="AG553" i="3"/>
  <c r="AM553" i="3" s="1"/>
  <c r="AD534" i="3"/>
  <c r="AE534" i="3"/>
  <c r="N505" i="3"/>
  <c r="O505" i="3"/>
  <c r="Q505" i="3" s="1"/>
  <c r="N466" i="3"/>
  <c r="O466" i="3" s="1"/>
  <c r="Q466" i="3" s="1"/>
  <c r="AG452" i="3"/>
  <c r="AM452" i="3"/>
  <c r="AD450" i="3"/>
  <c r="AE450" i="3" s="1"/>
  <c r="N449" i="3"/>
  <c r="O449" i="3"/>
  <c r="Q449" i="3" s="1"/>
  <c r="AD437" i="3"/>
  <c r="AE437" i="3" s="1"/>
  <c r="AG437" i="3" s="1"/>
  <c r="AM437" i="3" s="1"/>
  <c r="N430" i="3"/>
  <c r="O430" i="3"/>
  <c r="N420" i="3"/>
  <c r="O420" i="3"/>
  <c r="Q420" i="3" s="1"/>
  <c r="N408" i="3"/>
  <c r="O408" i="3"/>
  <c r="Q408" i="3" s="1"/>
  <c r="AD398" i="3"/>
  <c r="AE398" i="3"/>
  <c r="AG398" i="3" s="1"/>
  <c r="AM398" i="3" s="1"/>
  <c r="AD397" i="3"/>
  <c r="AE397" i="3"/>
  <c r="AG397" i="3" s="1"/>
  <c r="AM397" i="3" s="1"/>
  <c r="AD381" i="3"/>
  <c r="AE381" i="3"/>
  <c r="AF311" i="4"/>
  <c r="AG311" i="4" s="1"/>
  <c r="AF383" i="4"/>
  <c r="AG383" i="4"/>
  <c r="Q501" i="3"/>
  <c r="AD428" i="3"/>
  <c r="AE428" i="3" s="1"/>
  <c r="AG428" i="3" s="1"/>
  <c r="AM428" i="3" s="1"/>
  <c r="Q417" i="3"/>
  <c r="Q400" i="3"/>
  <c r="N396" i="3"/>
  <c r="O396" i="3"/>
  <c r="Q396" i="3"/>
  <c r="AG389" i="3"/>
  <c r="AM389" i="3"/>
  <c r="AG385" i="3"/>
  <c r="AM385" i="3"/>
  <c r="AF116" i="4"/>
  <c r="AG116" i="4"/>
  <c r="AF242" i="4"/>
  <c r="AG242" i="4"/>
  <c r="AF250" i="4"/>
  <c r="AG250" i="4" s="1"/>
  <c r="AF253" i="4"/>
  <c r="AG253" i="4"/>
  <c r="AF298" i="4"/>
  <c r="AG298" i="4"/>
  <c r="AF346" i="4"/>
  <c r="AG346" i="4"/>
  <c r="AD607" i="3"/>
  <c r="AE607" i="3"/>
  <c r="AG607" i="3"/>
  <c r="AM607" i="3"/>
  <c r="N603" i="3"/>
  <c r="O603" i="3" s="1"/>
  <c r="Q603" i="3" s="1"/>
  <c r="N578" i="3"/>
  <c r="O578" i="3" s="1"/>
  <c r="Q578" i="3" s="1"/>
  <c r="N562" i="3"/>
  <c r="O562" i="3"/>
  <c r="N522" i="3"/>
  <c r="O522" i="3"/>
  <c r="Q522" i="3"/>
  <c r="N493" i="3"/>
  <c r="O493" i="3" s="1"/>
  <c r="Q493" i="3" s="1"/>
  <c r="AD485" i="3"/>
  <c r="AE485" i="3"/>
  <c r="AG485" i="3" s="1"/>
  <c r="AM485" i="3" s="1"/>
  <c r="N478" i="3"/>
  <c r="O478" i="3"/>
  <c r="Q478" i="3" s="1"/>
  <c r="AG462" i="3"/>
  <c r="AM462" i="3"/>
  <c r="AD441" i="3"/>
  <c r="AE441" i="3"/>
  <c r="AG441" i="3" s="1"/>
  <c r="AM441" i="3" s="1"/>
  <c r="AF419" i="3"/>
  <c r="AG419" i="3" s="1"/>
  <c r="AM419" i="3"/>
  <c r="P381" i="3"/>
  <c r="Q381" i="3"/>
  <c r="AF51" i="4"/>
  <c r="AG51" i="4"/>
  <c r="AF324" i="4"/>
  <c r="AG324" i="4" s="1"/>
  <c r="AF370" i="4"/>
  <c r="AG370" i="4"/>
  <c r="AG416" i="3"/>
  <c r="AM416" i="3"/>
  <c r="AD610" i="3"/>
  <c r="AE610" i="3" s="1"/>
  <c r="AG610" i="3" s="1"/>
  <c r="AM610" i="3" s="1"/>
  <c r="N592" i="3"/>
  <c r="O592" i="3" s="1"/>
  <c r="Q592" i="3" s="1"/>
  <c r="AD564" i="3"/>
  <c r="AE564" i="3"/>
  <c r="AG564" i="3" s="1"/>
  <c r="AM564" i="3" s="1"/>
  <c r="Q536" i="3"/>
  <c r="N528" i="3"/>
  <c r="O528" i="3" s="1"/>
  <c r="Q528" i="3" s="1"/>
  <c r="AG491" i="3"/>
  <c r="AM491" i="3"/>
  <c r="N437" i="3"/>
  <c r="O437" i="3" s="1"/>
  <c r="Q437" i="3" s="1"/>
  <c r="AD435" i="3"/>
  <c r="AE435" i="3" s="1"/>
  <c r="AG435" i="3" s="1"/>
  <c r="AM435" i="3" s="1"/>
  <c r="AG410" i="3"/>
  <c r="AM410" i="3" s="1"/>
  <c r="N409" i="3"/>
  <c r="O409" i="3"/>
  <c r="Q409" i="3"/>
  <c r="AG429" i="3"/>
  <c r="AM429" i="3" s="1"/>
  <c r="AD426" i="3"/>
  <c r="AE426" i="3"/>
  <c r="AG426" i="3" s="1"/>
  <c r="AM426" i="3"/>
  <c r="N389" i="3"/>
  <c r="O389" i="3"/>
  <c r="AF31" i="4"/>
  <c r="AG31" i="4"/>
  <c r="AF96" i="4"/>
  <c r="AG96" i="4"/>
  <c r="AF171" i="4"/>
  <c r="AG171" i="4" s="1"/>
  <c r="AF355" i="4"/>
  <c r="AG355" i="4"/>
  <c r="AD596" i="3"/>
  <c r="AE596" i="3"/>
  <c r="AG596" i="3" s="1"/>
  <c r="AM596" i="3"/>
  <c r="N579" i="3"/>
  <c r="O579" i="3"/>
  <c r="Q579" i="3"/>
  <c r="AD577" i="3"/>
  <c r="AE577" i="3"/>
  <c r="AG577" i="3" s="1"/>
  <c r="AM577" i="3" s="1"/>
  <c r="N572" i="3"/>
  <c r="O572" i="3" s="1"/>
  <c r="Q572" i="3"/>
  <c r="AD567" i="3"/>
  <c r="AE567" i="3"/>
  <c r="AG567" i="3" s="1"/>
  <c r="AM567" i="3" s="1"/>
  <c r="AD549" i="3"/>
  <c r="AE549" i="3"/>
  <c r="AG549" i="3"/>
  <c r="AM549" i="3" s="1"/>
  <c r="AD535" i="3"/>
  <c r="AE535" i="3"/>
  <c r="AG535" i="3" s="1"/>
  <c r="AM535" i="3"/>
  <c r="N503" i="3"/>
  <c r="O503" i="3"/>
  <c r="Q503" i="3" s="1"/>
  <c r="N447" i="3"/>
  <c r="O447" i="3"/>
  <c r="Q447" i="3"/>
  <c r="AD442" i="3"/>
  <c r="AE442" i="3" s="1"/>
  <c r="AG442" i="3" s="1"/>
  <c r="AM442" i="3"/>
  <c r="N441" i="3"/>
  <c r="O441" i="3"/>
  <c r="Q441" i="3" s="1"/>
  <c r="N412" i="3"/>
  <c r="O412" i="3" s="1"/>
  <c r="Q412" i="3" s="1"/>
  <c r="AD387" i="3"/>
  <c r="AE387" i="3"/>
  <c r="AG387" i="3" s="1"/>
  <c r="AM387" i="3" s="1"/>
  <c r="AF222" i="4"/>
  <c r="AG222" i="4"/>
  <c r="AF376" i="4"/>
  <c r="AG376" i="4"/>
  <c r="AD466" i="3"/>
  <c r="AE466" i="3"/>
  <c r="AG466" i="3" s="1"/>
  <c r="AM466" i="3" s="1"/>
  <c r="AD454" i="3"/>
  <c r="AE454" i="3"/>
  <c r="AG454" i="3"/>
  <c r="AM454" i="3" s="1"/>
  <c r="AD461" i="3"/>
  <c r="AE461" i="3" s="1"/>
  <c r="AG461" i="3" s="1"/>
  <c r="AM461" i="3" s="1"/>
  <c r="AD449" i="3"/>
  <c r="AE449" i="3"/>
  <c r="AG449" i="3" s="1"/>
  <c r="AM449" i="3"/>
  <c r="N438" i="3"/>
  <c r="O438" i="3"/>
  <c r="Q438" i="3"/>
  <c r="N429" i="3"/>
  <c r="O429" i="3"/>
  <c r="Q429" i="3" s="1"/>
  <c r="AD427" i="3"/>
  <c r="AE427" i="3"/>
  <c r="AG427" i="3" s="1"/>
  <c r="AM427" i="3"/>
  <c r="N413" i="3"/>
  <c r="O413" i="3"/>
  <c r="Q413" i="3" s="1"/>
  <c r="AD400" i="3"/>
  <c r="AE400" i="3"/>
  <c r="N399" i="3"/>
  <c r="O399" i="3"/>
  <c r="Q399" i="3" s="1"/>
  <c r="AD384" i="3"/>
  <c r="AE384" i="3"/>
  <c r="AG384" i="3" s="1"/>
  <c r="AM384" i="3"/>
  <c r="N382" i="3"/>
  <c r="O382" i="3"/>
  <c r="Q382" i="3" s="1"/>
  <c r="AF63" i="4"/>
  <c r="AG63" i="4"/>
  <c r="AF333" i="4"/>
  <c r="AG333" i="4" s="1"/>
  <c r="I9" i="10"/>
  <c r="I24" i="10"/>
  <c r="AD624" i="3"/>
  <c r="AE624" i="3" s="1"/>
  <c r="AD621" i="3"/>
  <c r="AE621" i="3" s="1"/>
  <c r="AG621" i="3" s="1"/>
  <c r="AM621" i="3" s="1"/>
  <c r="N614" i="3"/>
  <c r="O614" i="3"/>
  <c r="Q614" i="3" s="1"/>
  <c r="AD611" i="3"/>
  <c r="AE611" i="3" s="1"/>
  <c r="AG611" i="3" s="1"/>
  <c r="AM611" i="3" s="1"/>
  <c r="N608" i="3"/>
  <c r="O608" i="3"/>
  <c r="Q608" i="3" s="1"/>
  <c r="AD606" i="3"/>
  <c r="AE606" i="3" s="1"/>
  <c r="AG606" i="3" s="1"/>
  <c r="AM606" i="3" s="1"/>
  <c r="AD588" i="3"/>
  <c r="AE588" i="3" s="1"/>
  <c r="AG588" i="3" s="1"/>
  <c r="AM588" i="3" s="1"/>
  <c r="AD578" i="3"/>
  <c r="AE578" i="3" s="1"/>
  <c r="AG578" i="3" s="1"/>
  <c r="AM578" i="3" s="1"/>
  <c r="N535" i="3"/>
  <c r="O535" i="3" s="1"/>
  <c r="Q535" i="3"/>
  <c r="AD530" i="3"/>
  <c r="AE530" i="3"/>
  <c r="AG530" i="3" s="1"/>
  <c r="N529" i="3"/>
  <c r="O529" i="3" s="1"/>
  <c r="Q529" i="3" s="1"/>
  <c r="N527" i="3"/>
  <c r="O527" i="3" s="1"/>
  <c r="Q527" i="3" s="1"/>
  <c r="AD522" i="3"/>
  <c r="AE522" i="3"/>
  <c r="AG522" i="3" s="1"/>
  <c r="AM522" i="3" s="1"/>
  <c r="AD481" i="3"/>
  <c r="AE481" i="3" s="1"/>
  <c r="AG481" i="3" s="1"/>
  <c r="AM481" i="3" s="1"/>
  <c r="N474" i="3"/>
  <c r="O474" i="3"/>
  <c r="Q474" i="3" s="1"/>
  <c r="AD460" i="3"/>
  <c r="AE460" i="3" s="1"/>
  <c r="AG460" i="3" s="1"/>
  <c r="AM460" i="3" s="1"/>
  <c r="N459" i="3"/>
  <c r="O459" i="3" s="1"/>
  <c r="Q459" i="3" s="1"/>
  <c r="AD446" i="3"/>
  <c r="AE446" i="3" s="1"/>
  <c r="AG446" i="3" s="1"/>
  <c r="AM446" i="3" s="1"/>
  <c r="P439" i="3"/>
  <c r="Q439" i="3"/>
  <c r="N425" i="3"/>
  <c r="O425" i="3"/>
  <c r="Q425" i="3" s="1"/>
  <c r="AD405" i="3"/>
  <c r="AE405" i="3"/>
  <c r="AG405" i="3" s="1"/>
  <c r="AM405" i="3" s="1"/>
  <c r="N390" i="3"/>
  <c r="O390" i="3"/>
  <c r="Q390" i="3"/>
  <c r="AF35" i="4"/>
  <c r="AG35" i="4"/>
  <c r="AF159" i="4"/>
  <c r="AG159" i="4"/>
  <c r="AF180" i="4"/>
  <c r="AG180" i="4"/>
  <c r="AF287" i="4"/>
  <c r="AG287" i="4" s="1"/>
  <c r="Q483" i="3"/>
  <c r="Q208" i="3"/>
  <c r="D5" i="6"/>
  <c r="C22" i="2"/>
  <c r="AM325" i="3"/>
  <c r="P42" i="3"/>
  <c r="N42" i="3"/>
  <c r="O42" i="3"/>
  <c r="AD75" i="3"/>
  <c r="AE75" i="3" s="1"/>
  <c r="AF75" i="3"/>
  <c r="AF54" i="3"/>
  <c r="AD54" i="3"/>
  <c r="AE54" i="3"/>
  <c r="P319" i="4"/>
  <c r="Q319" i="4"/>
  <c r="R319" i="4"/>
  <c r="AG163" i="3"/>
  <c r="AM163" i="3"/>
  <c r="AI200" i="4"/>
  <c r="S200" i="4"/>
  <c r="AI262" i="4"/>
  <c r="S262" i="4"/>
  <c r="P117" i="3"/>
  <c r="N117" i="3"/>
  <c r="O117" i="3"/>
  <c r="Q132" i="3"/>
  <c r="Q11" i="3"/>
  <c r="AD94" i="3"/>
  <c r="AE94" i="3"/>
  <c r="AG94" i="3"/>
  <c r="AM94" i="3" s="1"/>
  <c r="Q286" i="3"/>
  <c r="AG240" i="3"/>
  <c r="AM240" i="3"/>
  <c r="AG20" i="3"/>
  <c r="AM20" i="3" s="1"/>
  <c r="AG105" i="3"/>
  <c r="AM105" i="3" s="1"/>
  <c r="AF72" i="3"/>
  <c r="AD72" i="3"/>
  <c r="AE72" i="3"/>
  <c r="AG72" i="3"/>
  <c r="AM72" i="3" s="1"/>
  <c r="Q119" i="3"/>
  <c r="Q249" i="3"/>
  <c r="R379" i="4"/>
  <c r="P379" i="4"/>
  <c r="Q379" i="4" s="1"/>
  <c r="AG224" i="3"/>
  <c r="AM224" i="3" s="1"/>
  <c r="AF145" i="3"/>
  <c r="AD145" i="3"/>
  <c r="AE145" i="3"/>
  <c r="Q311" i="3"/>
  <c r="Q138" i="3"/>
  <c r="AG239" i="3"/>
  <c r="AM239" i="3"/>
  <c r="AF98" i="3"/>
  <c r="AD98" i="3"/>
  <c r="AE98" i="3"/>
  <c r="AD100" i="3"/>
  <c r="AE100" i="3"/>
  <c r="AG100" i="3" s="1"/>
  <c r="AM100" i="3" s="1"/>
  <c r="P179" i="3"/>
  <c r="N179" i="3"/>
  <c r="O179" i="3"/>
  <c r="Q179" i="3" s="1"/>
  <c r="AF164" i="3"/>
  <c r="AD164" i="3"/>
  <c r="AE164" i="3" s="1"/>
  <c r="Q178" i="3"/>
  <c r="AF118" i="3"/>
  <c r="AD118" i="3"/>
  <c r="AE118" i="3" s="1"/>
  <c r="Q127" i="3"/>
  <c r="AF166" i="3"/>
  <c r="AD166" i="3"/>
  <c r="AE166" i="3" s="1"/>
  <c r="AG166" i="3" s="1"/>
  <c r="AM166" i="3" s="1"/>
  <c r="AD290" i="3"/>
  <c r="AE290" i="3"/>
  <c r="AG290" i="3"/>
  <c r="AM290" i="3" s="1"/>
  <c r="Q121" i="3"/>
  <c r="P165" i="3"/>
  <c r="N165" i="3"/>
  <c r="O165" i="3" s="1"/>
  <c r="Q165" i="3" s="1"/>
  <c r="P275" i="3"/>
  <c r="N275" i="3"/>
  <c r="O275" i="3" s="1"/>
  <c r="Q275" i="3" s="1"/>
  <c r="AI76" i="4"/>
  <c r="Q51" i="3"/>
  <c r="N97" i="3"/>
  <c r="O97" i="3" s="1"/>
  <c r="Q97" i="3" s="1"/>
  <c r="AG331" i="3"/>
  <c r="AM331" i="3" s="1"/>
  <c r="N54" i="3"/>
  <c r="O54" i="3" s="1"/>
  <c r="Q54" i="3" s="1"/>
  <c r="N115" i="3"/>
  <c r="O115" i="3" s="1"/>
  <c r="Q115" i="3" s="1"/>
  <c r="AD220" i="3"/>
  <c r="AE220" i="3" s="1"/>
  <c r="AG220" i="3"/>
  <c r="AM220" i="3" s="1"/>
  <c r="P288" i="3"/>
  <c r="N16" i="3"/>
  <c r="O16" i="3"/>
  <c r="Q16" i="3"/>
  <c r="AD38" i="3"/>
  <c r="AE38" i="3"/>
  <c r="AG38" i="3" s="1"/>
  <c r="AM38" i="3" s="1"/>
  <c r="AD48" i="3"/>
  <c r="AE48" i="3" s="1"/>
  <c r="AG48" i="3" s="1"/>
  <c r="AM48" i="3" s="1"/>
  <c r="N53" i="3"/>
  <c r="O53" i="3" s="1"/>
  <c r="Q53" i="3" s="1"/>
  <c r="N136" i="3"/>
  <c r="O136" i="3"/>
  <c r="Q136" i="3" s="1"/>
  <c r="AD154" i="3"/>
  <c r="AE154" i="3"/>
  <c r="AG154" i="3"/>
  <c r="AM154" i="3" s="1"/>
  <c r="Q290" i="3"/>
  <c r="P120" i="3"/>
  <c r="N120" i="3"/>
  <c r="O120" i="3" s="1"/>
  <c r="Q120" i="3" s="1"/>
  <c r="AG222" i="3"/>
  <c r="AM222" i="3" s="1"/>
  <c r="Q364" i="3"/>
  <c r="AI79" i="4"/>
  <c r="AI133" i="4"/>
  <c r="S293" i="4"/>
  <c r="S346" i="4"/>
  <c r="N229" i="3"/>
  <c r="O229" i="3" s="1"/>
  <c r="Q229" i="3" s="1"/>
  <c r="AI139" i="4"/>
  <c r="AD307" i="3"/>
  <c r="AE307" i="3" s="1"/>
  <c r="AG307" i="3" s="1"/>
  <c r="AM307" i="3" s="1"/>
  <c r="AI103" i="4"/>
  <c r="AD182" i="3"/>
  <c r="AE182" i="3" s="1"/>
  <c r="AG182" i="3" s="1"/>
  <c r="AM182" i="3" s="1"/>
  <c r="AI106" i="4"/>
  <c r="S209" i="4"/>
  <c r="AI279" i="4"/>
  <c r="AI14" i="4"/>
  <c r="AI42" i="4"/>
  <c r="AI69" i="4"/>
  <c r="I384" i="5"/>
  <c r="C5" i="5" s="1"/>
  <c r="AI274" i="4"/>
  <c r="AD184" i="3"/>
  <c r="AE184" i="3" s="1"/>
  <c r="AG184" i="3"/>
  <c r="AM184" i="3" s="1"/>
  <c r="AD320" i="3"/>
  <c r="AE320" i="3" s="1"/>
  <c r="AG320" i="3"/>
  <c r="AM320" i="3" s="1"/>
  <c r="P617" i="3"/>
  <c r="N617" i="3"/>
  <c r="O617" i="3" s="1"/>
  <c r="AF600" i="3"/>
  <c r="AD600" i="3"/>
  <c r="AE600" i="3" s="1"/>
  <c r="AG600" i="3" s="1"/>
  <c r="AM600" i="3" s="1"/>
  <c r="P249" i="4"/>
  <c r="Q249" i="4" s="1"/>
  <c r="Q558" i="3"/>
  <c r="AF625" i="3"/>
  <c r="AG625" i="3"/>
  <c r="AM625" i="3"/>
  <c r="N624" i="3"/>
  <c r="O624" i="3"/>
  <c r="Q624" i="3" s="1"/>
  <c r="P624" i="3"/>
  <c r="AD547" i="3"/>
  <c r="AE547" i="3" s="1"/>
  <c r="AG547" i="3" s="1"/>
  <c r="AM547" i="3" s="1"/>
  <c r="AF547" i="3"/>
  <c r="AF534" i="3"/>
  <c r="AG412" i="3"/>
  <c r="AM412" i="3"/>
  <c r="N616" i="3"/>
  <c r="O616" i="3"/>
  <c r="Q616" i="3" s="1"/>
  <c r="AF614" i="3"/>
  <c r="AD614" i="3"/>
  <c r="AE614" i="3"/>
  <c r="AG614" i="3" s="1"/>
  <c r="AM614" i="3" s="1"/>
  <c r="Q597" i="3"/>
  <c r="AG593" i="3"/>
  <c r="AM593" i="3" s="1"/>
  <c r="AG592" i="3"/>
  <c r="AM592" i="3" s="1"/>
  <c r="P517" i="3"/>
  <c r="N517" i="3"/>
  <c r="O517" i="3" s="1"/>
  <c r="Q517" i="3" s="1"/>
  <c r="AF545" i="3"/>
  <c r="AD545" i="3"/>
  <c r="AE545" i="3"/>
  <c r="AG545" i="3" s="1"/>
  <c r="AM545" i="3" s="1"/>
  <c r="N540" i="3"/>
  <c r="O540" i="3"/>
  <c r="Q540" i="3" s="1"/>
  <c r="AF399" i="3"/>
  <c r="AD399" i="3"/>
  <c r="AE399" i="3"/>
  <c r="AG399" i="3" s="1"/>
  <c r="AD627" i="3"/>
  <c r="AE627" i="3"/>
  <c r="AG627" i="3" s="1"/>
  <c r="AM627" i="3" s="1"/>
  <c r="AG619" i="3"/>
  <c r="AM619" i="3"/>
  <c r="N611" i="3"/>
  <c r="O611" i="3"/>
  <c r="Q611" i="3" s="1"/>
  <c r="Q607" i="3"/>
  <c r="Q598" i="3"/>
  <c r="N625" i="3"/>
  <c r="O625" i="3" s="1"/>
  <c r="Q625" i="3" s="1"/>
  <c r="AD604" i="3"/>
  <c r="AE604" i="3" s="1"/>
  <c r="AG604" i="3" s="1"/>
  <c r="AM604" i="3" s="1"/>
  <c r="AG532" i="3"/>
  <c r="AM532" i="3"/>
  <c r="N519" i="3"/>
  <c r="O519" i="3"/>
  <c r="P519" i="3"/>
  <c r="G20" i="10"/>
  <c r="G24" i="10"/>
  <c r="Q613" i="3"/>
  <c r="AD601" i="3"/>
  <c r="AE601" i="3"/>
  <c r="AG601" i="3" s="1"/>
  <c r="AM601" i="3" s="1"/>
  <c r="N596" i="3"/>
  <c r="O596" i="3"/>
  <c r="Q596" i="3" s="1"/>
  <c r="Q588" i="3"/>
  <c r="N577" i="3"/>
  <c r="O577" i="3" s="1"/>
  <c r="Q577" i="3"/>
  <c r="AG575" i="3"/>
  <c r="AM575" i="3" s="1"/>
  <c r="AD554" i="3"/>
  <c r="AE554" i="3"/>
  <c r="AG554" i="3" s="1"/>
  <c r="AM554" i="3"/>
  <c r="AD529" i="3"/>
  <c r="AE529" i="3" s="1"/>
  <c r="AG529" i="3" s="1"/>
  <c r="AM529" i="3" s="1"/>
  <c r="Q627" i="3"/>
  <c r="AF624" i="3"/>
  <c r="Q568" i="3"/>
  <c r="Q623" i="3"/>
  <c r="AG597" i="3"/>
  <c r="AM597" i="3"/>
  <c r="AD595" i="3"/>
  <c r="AE595" i="3"/>
  <c r="AG595" i="3" s="1"/>
  <c r="AM595" i="3" s="1"/>
  <c r="AD544" i="3"/>
  <c r="AE544" i="3"/>
  <c r="AG544" i="3" s="1"/>
  <c r="AM544" i="3" s="1"/>
  <c r="AM530" i="3"/>
  <c r="P481" i="3"/>
  <c r="N481" i="3"/>
  <c r="O481" i="3"/>
  <c r="Q481" i="3" s="1"/>
  <c r="AD579" i="3"/>
  <c r="AE579" i="3"/>
  <c r="AG579" i="3" s="1"/>
  <c r="AM579" i="3" s="1"/>
  <c r="AH43" i="4"/>
  <c r="AF43" i="4"/>
  <c r="AG43" i="4"/>
  <c r="N593" i="3"/>
  <c r="O593" i="3"/>
  <c r="Q593" i="3"/>
  <c r="P584" i="3"/>
  <c r="Q584" i="3" s="1"/>
  <c r="AD562" i="3"/>
  <c r="AE562" i="3"/>
  <c r="AG562" i="3"/>
  <c r="AM562" i="3" s="1"/>
  <c r="AD561" i="3"/>
  <c r="AE561" i="3" s="1"/>
  <c r="AG561" i="3" s="1"/>
  <c r="AM561" i="3" s="1"/>
  <c r="N543" i="3"/>
  <c r="O543" i="3" s="1"/>
  <c r="Q543" i="3" s="1"/>
  <c r="AF537" i="3"/>
  <c r="AG537" i="3" s="1"/>
  <c r="AM537" i="3"/>
  <c r="P531" i="3"/>
  <c r="Q531" i="3" s="1"/>
  <c r="AD509" i="3"/>
  <c r="AE509" i="3" s="1"/>
  <c r="AG509" i="3"/>
  <c r="AM509" i="3" s="1"/>
  <c r="AG489" i="3"/>
  <c r="AM489" i="3"/>
  <c r="N463" i="3"/>
  <c r="O463" i="3" s="1"/>
  <c r="Q463" i="3" s="1"/>
  <c r="AD434" i="3"/>
  <c r="AE434" i="3" s="1"/>
  <c r="AG434" i="3" s="1"/>
  <c r="AM434" i="3" s="1"/>
  <c r="AH67" i="4"/>
  <c r="AF67" i="4"/>
  <c r="AG67" i="4" s="1"/>
  <c r="P620" i="3"/>
  <c r="Q620" i="3" s="1"/>
  <c r="P609" i="3"/>
  <c r="Q609" i="3" s="1"/>
  <c r="N545" i="3"/>
  <c r="O545" i="3"/>
  <c r="Q545" i="3" s="1"/>
  <c r="N544" i="3"/>
  <c r="O544" i="3"/>
  <c r="Q544" i="3" s="1"/>
  <c r="AD413" i="3"/>
  <c r="AE413" i="3"/>
  <c r="AG413" i="3"/>
  <c r="AM413" i="3" s="1"/>
  <c r="N585" i="3"/>
  <c r="O585" i="3" s="1"/>
  <c r="Q585" i="3" s="1"/>
  <c r="P562" i="3"/>
  <c r="AD556" i="3"/>
  <c r="AE556" i="3"/>
  <c r="AG556" i="3" s="1"/>
  <c r="AM556" i="3"/>
  <c r="N513" i="3"/>
  <c r="O513" i="3"/>
  <c r="Q513" i="3" s="1"/>
  <c r="N509" i="3"/>
  <c r="O509" i="3"/>
  <c r="Q509" i="3" s="1"/>
  <c r="AG483" i="3"/>
  <c r="AM483" i="3"/>
  <c r="P427" i="3"/>
  <c r="N427" i="3"/>
  <c r="O427" i="3" s="1"/>
  <c r="Q427" i="3" s="1"/>
  <c r="AD616" i="3"/>
  <c r="AE616" i="3" s="1"/>
  <c r="AG616" i="3" s="1"/>
  <c r="AM616" i="3" s="1"/>
  <c r="AD550" i="3"/>
  <c r="AE550" i="3"/>
  <c r="AG550" i="3" s="1"/>
  <c r="AM550" i="3" s="1"/>
  <c r="N532" i="3"/>
  <c r="O532" i="3" s="1"/>
  <c r="Q532" i="3"/>
  <c r="N525" i="3"/>
  <c r="O525" i="3"/>
  <c r="Q525" i="3" s="1"/>
  <c r="N520" i="3"/>
  <c r="O520" i="3"/>
  <c r="Q520" i="3" s="1"/>
  <c r="N589" i="3"/>
  <c r="O589" i="3" s="1"/>
  <c r="Q589" i="3"/>
  <c r="N565" i="3"/>
  <c r="O565" i="3" s="1"/>
  <c r="Q565" i="3"/>
  <c r="N548" i="3"/>
  <c r="O548" i="3"/>
  <c r="Q548" i="3" s="1"/>
  <c r="N547" i="3"/>
  <c r="O547" i="3" s="1"/>
  <c r="Q547" i="3" s="1"/>
  <c r="AD523" i="3"/>
  <c r="AE523" i="3" s="1"/>
  <c r="AG523" i="3"/>
  <c r="AM523" i="3" s="1"/>
  <c r="AD518" i="3"/>
  <c r="AE518" i="3"/>
  <c r="AG518" i="3" s="1"/>
  <c r="AM518" i="3" s="1"/>
  <c r="AD497" i="3"/>
  <c r="AE497" i="3"/>
  <c r="AG497" i="3"/>
  <c r="AM497" i="3"/>
  <c r="AD477" i="3"/>
  <c r="AE477" i="3" s="1"/>
  <c r="AG477" i="3"/>
  <c r="AM477" i="3" s="1"/>
  <c r="Q473" i="3"/>
  <c r="N467" i="3"/>
  <c r="O467" i="3" s="1"/>
  <c r="Q467" i="3" s="1"/>
  <c r="P467" i="3"/>
  <c r="N561" i="3"/>
  <c r="O561" i="3"/>
  <c r="Q561" i="3" s="1"/>
  <c r="Q516" i="3"/>
  <c r="Q472" i="3"/>
  <c r="N411" i="3"/>
  <c r="O411" i="3"/>
  <c r="Q411" i="3" s="1"/>
  <c r="P411" i="3"/>
  <c r="N566" i="3"/>
  <c r="O566" i="3" s="1"/>
  <c r="Q566" i="3" s="1"/>
  <c r="N549" i="3"/>
  <c r="O549" i="3"/>
  <c r="Q549" i="3" s="1"/>
  <c r="AD494" i="3"/>
  <c r="AE494" i="3" s="1"/>
  <c r="AG494" i="3" s="1"/>
  <c r="AM494" i="3" s="1"/>
  <c r="Q461" i="3"/>
  <c r="P445" i="3"/>
  <c r="N445" i="3"/>
  <c r="O445" i="3" s="1"/>
  <c r="Q445" i="3" s="1"/>
  <c r="Q421" i="3"/>
  <c r="AD508" i="3"/>
  <c r="AE508" i="3"/>
  <c r="AG508" i="3" s="1"/>
  <c r="AM508" i="3" s="1"/>
  <c r="AD482" i="3"/>
  <c r="AE482" i="3" s="1"/>
  <c r="AG482" i="3"/>
  <c r="AM482" i="3" s="1"/>
  <c r="N443" i="3"/>
  <c r="O443" i="3"/>
  <c r="Q443" i="3" s="1"/>
  <c r="P433" i="3"/>
  <c r="N433" i="3"/>
  <c r="O433" i="3"/>
  <c r="AD423" i="3"/>
  <c r="AE423" i="3" s="1"/>
  <c r="AG423" i="3" s="1"/>
  <c r="AM423" i="3" s="1"/>
  <c r="N422" i="3"/>
  <c r="O422" i="3" s="1"/>
  <c r="Q422" i="3" s="1"/>
  <c r="Q389" i="3"/>
  <c r="N451" i="3"/>
  <c r="O451" i="3"/>
  <c r="Q451" i="3" s="1"/>
  <c r="AD430" i="3"/>
  <c r="AE430" i="3" s="1"/>
  <c r="AG430" i="3" s="1"/>
  <c r="AM430" i="3" s="1"/>
  <c r="AG392" i="3"/>
  <c r="AM392" i="3" s="1"/>
  <c r="AG479" i="3"/>
  <c r="AM479" i="3"/>
  <c r="N457" i="3"/>
  <c r="O457" i="3"/>
  <c r="Q457" i="3" s="1"/>
  <c r="AG400" i="3"/>
  <c r="AM400" i="3"/>
  <c r="AD515" i="3"/>
  <c r="AE515" i="3" s="1"/>
  <c r="AG515" i="3" s="1"/>
  <c r="AM515" i="3" s="1"/>
  <c r="AD512" i="3"/>
  <c r="AE512" i="3"/>
  <c r="AG512" i="3" s="1"/>
  <c r="AM512" i="3" s="1"/>
  <c r="N489" i="3"/>
  <c r="O489" i="3" s="1"/>
  <c r="Q489" i="3"/>
  <c r="N482" i="3"/>
  <c r="O482" i="3"/>
  <c r="Q482" i="3" s="1"/>
  <c r="AF450" i="3"/>
  <c r="AG450" i="3"/>
  <c r="AM450" i="3" s="1"/>
  <c r="Q430" i="3"/>
  <c r="AD393" i="3"/>
  <c r="AE393" i="3" s="1"/>
  <c r="AG393" i="3" s="1"/>
  <c r="AM393" i="3" s="1"/>
  <c r="AF393" i="3"/>
  <c r="AH238" i="4"/>
  <c r="AF238" i="4"/>
  <c r="AG238" i="4"/>
  <c r="N491" i="3"/>
  <c r="O491" i="3"/>
  <c r="Q491" i="3" s="1"/>
  <c r="AD470" i="3"/>
  <c r="AE470" i="3"/>
  <c r="AG470" i="3" s="1"/>
  <c r="AM470" i="3"/>
  <c r="N458" i="3"/>
  <c r="O458" i="3" s="1"/>
  <c r="Q458" i="3" s="1"/>
  <c r="N523" i="3"/>
  <c r="O523" i="3"/>
  <c r="Q523" i="3" s="1"/>
  <c r="AD475" i="3"/>
  <c r="AE475" i="3"/>
  <c r="AG475" i="3" s="1"/>
  <c r="AM475" i="3" s="1"/>
  <c r="AD463" i="3"/>
  <c r="AE463" i="3"/>
  <c r="AG463" i="3"/>
  <c r="AM463" i="3" s="1"/>
  <c r="P436" i="3"/>
  <c r="N436" i="3"/>
  <c r="O436" i="3"/>
  <c r="Q436" i="3"/>
  <c r="AF411" i="3"/>
  <c r="AD411" i="3"/>
  <c r="AE411" i="3" s="1"/>
  <c r="AG411" i="3" s="1"/>
  <c r="N497" i="3"/>
  <c r="O497" i="3" s="1"/>
  <c r="Q497" i="3" s="1"/>
  <c r="AD456" i="3"/>
  <c r="AE456" i="3" s="1"/>
  <c r="AG456" i="3" s="1"/>
  <c r="AM456" i="3" s="1"/>
  <c r="Q426" i="3"/>
  <c r="N515" i="3"/>
  <c r="O515" i="3" s="1"/>
  <c r="Q515" i="3"/>
  <c r="N442" i="3"/>
  <c r="O442" i="3"/>
  <c r="Q442" i="3"/>
  <c r="N431" i="3"/>
  <c r="O431" i="3"/>
  <c r="Q431" i="3" s="1"/>
  <c r="N414" i="3"/>
  <c r="O414" i="3"/>
  <c r="Q414" i="3" s="1"/>
  <c r="AG381" i="3"/>
  <c r="AM381" i="3" s="1"/>
  <c r="AH151" i="4"/>
  <c r="AF151" i="4"/>
  <c r="AG151" i="4"/>
  <c r="AD401" i="3"/>
  <c r="AE401" i="3"/>
  <c r="AG401" i="3"/>
  <c r="AM401" i="3" s="1"/>
  <c r="AF39" i="4"/>
  <c r="AG39" i="4"/>
  <c r="AH203" i="4"/>
  <c r="AF203" i="4"/>
  <c r="AG203" i="4" s="1"/>
  <c r="N419" i="3"/>
  <c r="O419" i="3" s="1"/>
  <c r="Q419" i="3" s="1"/>
  <c r="AD408" i="3"/>
  <c r="AE408" i="3" s="1"/>
  <c r="AG408" i="3" s="1"/>
  <c r="AM408" i="3" s="1"/>
  <c r="AD407" i="3"/>
  <c r="AE407" i="3"/>
  <c r="AG407" i="3"/>
  <c r="AM407" i="3" s="1"/>
  <c r="N384" i="3"/>
  <c r="O384" i="3"/>
  <c r="Q384" i="3" s="1"/>
  <c r="AF54" i="4"/>
  <c r="AG54" i="4" s="1"/>
  <c r="AF110" i="4"/>
  <c r="AG110" i="4"/>
  <c r="AH304" i="4"/>
  <c r="AF304" i="4"/>
  <c r="AG304" i="4" s="1"/>
  <c r="AG388" i="3"/>
  <c r="AM388" i="3"/>
  <c r="AH183" i="4"/>
  <c r="AF183" i="4"/>
  <c r="AG183" i="4" s="1"/>
  <c r="AH199" i="4"/>
  <c r="AF199" i="4"/>
  <c r="AG199" i="4" s="1"/>
  <c r="AD395" i="3"/>
  <c r="AE395" i="3" s="1"/>
  <c r="AG395" i="3"/>
  <c r="AM395" i="3" s="1"/>
  <c r="AH236" i="4"/>
  <c r="AF236" i="4"/>
  <c r="AG236" i="4" s="1"/>
  <c r="AH81" i="4"/>
  <c r="AF81" i="4"/>
  <c r="AG81" i="4"/>
  <c r="AF33" i="4"/>
  <c r="AG33" i="4" s="1"/>
  <c r="AF211" i="4"/>
  <c r="AG211" i="4" s="1"/>
  <c r="AF380" i="4"/>
  <c r="AG380" i="4" s="1"/>
  <c r="AF208" i="4"/>
  <c r="AG208" i="4" s="1"/>
  <c r="AM569" i="3"/>
  <c r="Q562" i="3"/>
  <c r="Q519" i="3"/>
  <c r="Q495" i="3"/>
  <c r="AG118" i="3"/>
  <c r="AM118" i="3" s="1"/>
  <c r="Q272" i="3"/>
  <c r="D24" i="10"/>
  <c r="AG559" i="3"/>
  <c r="AM559" i="3" s="1"/>
  <c r="Q410" i="3"/>
  <c r="AG541" i="3"/>
  <c r="AM541" i="3" s="1"/>
  <c r="Q288" i="3"/>
  <c r="AM517" i="3"/>
  <c r="Q433" i="3"/>
  <c r="AG75" i="3"/>
  <c r="AM75" i="3"/>
  <c r="AG360" i="3"/>
  <c r="AM360" i="3"/>
  <c r="AM411" i="3"/>
  <c r="Q617" i="3"/>
  <c r="AG98" i="3"/>
  <c r="AM98" i="3" s="1"/>
  <c r="Q42" i="3"/>
  <c r="AG164" i="3"/>
  <c r="AM164" i="3" s="1"/>
  <c r="AG145" i="3"/>
  <c r="AM145" i="3"/>
  <c r="AG54" i="3"/>
  <c r="AM54" i="3" s="1"/>
  <c r="AM399" i="3"/>
  <c r="AG624" i="3" l="1"/>
  <c r="AM624" i="3" s="1"/>
  <c r="Q117" i="3"/>
  <c r="Q587" i="3"/>
  <c r="AG534" i="3"/>
  <c r="AM534" i="3" s="1"/>
  <c r="AG373" i="3"/>
  <c r="AM373" i="3" s="1"/>
  <c r="Q302" i="3"/>
  <c r="Q356" i="3"/>
  <c r="Q141" i="3"/>
  <c r="Q39" i="3"/>
  <c r="Q207" i="3"/>
  <c r="AF40" i="3"/>
  <c r="AD40" i="3"/>
  <c r="AE40" i="3" s="1"/>
  <c r="AG177" i="3"/>
  <c r="AM177" i="3" s="1"/>
  <c r="Q220" i="3"/>
  <c r="AG42" i="3"/>
  <c r="AM42" i="3" s="1"/>
  <c r="AG77" i="3"/>
  <c r="AM77" i="3" s="1"/>
  <c r="P167" i="3"/>
  <c r="N167" i="3"/>
  <c r="O167" i="3" s="1"/>
  <c r="Q167" i="3" s="1"/>
  <c r="R179" i="4"/>
  <c r="P179" i="4"/>
  <c r="Q179" i="4" s="1"/>
  <c r="AG19" i="3"/>
  <c r="AM19" i="3" s="1"/>
  <c r="AG10" i="3"/>
  <c r="Q88" i="3"/>
  <c r="N75" i="3"/>
  <c r="O75" i="3" s="1"/>
  <c r="Q75" i="3" s="1"/>
  <c r="N111" i="3"/>
  <c r="O111" i="3" s="1"/>
  <c r="Q111" i="3" s="1"/>
  <c r="AG227" i="3"/>
  <c r="AM227" i="3" s="1"/>
  <c r="AD120" i="3"/>
  <c r="AE120" i="3" s="1"/>
  <c r="AG120" i="3" s="1"/>
  <c r="AM120" i="3" s="1"/>
  <c r="N159" i="3"/>
  <c r="O159" i="3" s="1"/>
  <c r="Q159" i="3" s="1"/>
  <c r="N357" i="3"/>
  <c r="O357" i="3" s="1"/>
  <c r="Q357" i="3" s="1"/>
  <c r="Q188" i="3"/>
  <c r="AG316" i="3"/>
  <c r="AM316" i="3" s="1"/>
  <c r="AG210" i="3"/>
  <c r="AM210" i="3" s="1"/>
  <c r="N610" i="3"/>
  <c r="O610" i="3" s="1"/>
  <c r="Q610" i="3" s="1"/>
  <c r="P610" i="3"/>
  <c r="N44" i="3"/>
  <c r="O44" i="3" s="1"/>
  <c r="Q44" i="3" s="1"/>
  <c r="N63" i="3"/>
  <c r="O63" i="3" s="1"/>
  <c r="Q63" i="3" s="1"/>
  <c r="N93" i="3"/>
  <c r="O93" i="3" s="1"/>
  <c r="Q93" i="3" s="1"/>
  <c r="N198" i="3"/>
  <c r="O198" i="3" s="1"/>
  <c r="Q198" i="3" s="1"/>
  <c r="N164" i="3"/>
  <c r="O164" i="3" s="1"/>
  <c r="Q164" i="3" s="1"/>
  <c r="N76" i="3"/>
  <c r="O76" i="3" s="1"/>
  <c r="Q76" i="3" s="1"/>
  <c r="N84" i="3"/>
  <c r="O84" i="3" s="1"/>
  <c r="Q84" i="3" s="1"/>
  <c r="AD87" i="3"/>
  <c r="AE87" i="3" s="1"/>
  <c r="AG87" i="3" s="1"/>
  <c r="AM87" i="3" s="1"/>
  <c r="AD302" i="3"/>
  <c r="AE302" i="3" s="1"/>
  <c r="AG302" i="3" s="1"/>
  <c r="AM302" i="3" s="1"/>
  <c r="AD90" i="3"/>
  <c r="AE90" i="3" s="1"/>
  <c r="AG90" i="3" s="1"/>
  <c r="AM90" i="3" s="1"/>
  <c r="AI201" i="4"/>
  <c r="P187" i="4"/>
  <c r="Q187" i="4" s="1"/>
  <c r="S315" i="4"/>
  <c r="AI348" i="4"/>
  <c r="AD525" i="3"/>
  <c r="AE525" i="3" s="1"/>
  <c r="AG525" i="3" s="1"/>
  <c r="AM525" i="3" s="1"/>
  <c r="AF525" i="3"/>
  <c r="AF514" i="3"/>
  <c r="AD514" i="3"/>
  <c r="AE514" i="3" s="1"/>
  <c r="AI231" i="4"/>
  <c r="AI282" i="4"/>
  <c r="AF565" i="3"/>
  <c r="AD565" i="3"/>
  <c r="AE565" i="3" s="1"/>
  <c r="AG565" i="3" s="1"/>
  <c r="AM565" i="3" s="1"/>
  <c r="AI194" i="4"/>
  <c r="AI385" i="4" s="1"/>
  <c r="D6" i="4" s="1"/>
  <c r="S169" i="4"/>
  <c r="S385" i="4" s="1"/>
  <c r="R310" i="4"/>
  <c r="AI220" i="4"/>
  <c r="AI240" i="4"/>
  <c r="P267" i="4"/>
  <c r="Q267" i="4" s="1"/>
  <c r="AF585" i="3"/>
  <c r="AD585" i="3"/>
  <c r="AE585" i="3" s="1"/>
  <c r="AD472" i="3"/>
  <c r="AE472" i="3" s="1"/>
  <c r="AG472" i="3" s="1"/>
  <c r="AM472" i="3" s="1"/>
  <c r="P557" i="3"/>
  <c r="N557" i="3"/>
  <c r="O557" i="3" s="1"/>
  <c r="AF542" i="3"/>
  <c r="AD542" i="3"/>
  <c r="AE542" i="3" s="1"/>
  <c r="AG542" i="3" s="1"/>
  <c r="AM542" i="3" s="1"/>
  <c r="Q468" i="3"/>
  <c r="Q465" i="3"/>
  <c r="Q450" i="3"/>
  <c r="AG520" i="3"/>
  <c r="AM520" i="3" s="1"/>
  <c r="Q602" i="3"/>
  <c r="P574" i="3"/>
  <c r="Q574" i="3" s="1"/>
  <c r="AF566" i="3"/>
  <c r="AD566" i="3"/>
  <c r="AE566" i="3" s="1"/>
  <c r="AG566" i="3" s="1"/>
  <c r="AM566" i="3" s="1"/>
  <c r="AF473" i="3"/>
  <c r="AD473" i="3"/>
  <c r="AE473" i="3" s="1"/>
  <c r="AG473" i="3" s="1"/>
  <c r="AM473" i="3" s="1"/>
  <c r="AD580" i="3"/>
  <c r="AE580" i="3" s="1"/>
  <c r="AG580" i="3" s="1"/>
  <c r="AM580" i="3" s="1"/>
  <c r="Q533" i="3"/>
  <c r="Q550" i="3"/>
  <c r="Q526" i="3"/>
  <c r="P553" i="3"/>
  <c r="N553" i="3"/>
  <c r="O553" i="3" s="1"/>
  <c r="Q553" i="3" s="1"/>
  <c r="P506" i="3"/>
  <c r="N506" i="3"/>
  <c r="O506" i="3" s="1"/>
  <c r="Q506" i="3" s="1"/>
  <c r="Q470" i="3"/>
  <c r="AF602" i="3"/>
  <c r="AD602" i="3"/>
  <c r="AE602" i="3" s="1"/>
  <c r="AG602" i="3" s="1"/>
  <c r="AM602" i="3" s="1"/>
  <c r="Q601" i="3"/>
  <c r="AD459" i="3"/>
  <c r="AE459" i="3" s="1"/>
  <c r="AG459" i="3" s="1"/>
  <c r="AM459" i="3" s="1"/>
  <c r="N395" i="3"/>
  <c r="O395" i="3" s="1"/>
  <c r="Q395" i="3" s="1"/>
  <c r="AD409" i="3"/>
  <c r="AE409" i="3" s="1"/>
  <c r="AG409" i="3" s="1"/>
  <c r="AM409" i="3" s="1"/>
  <c r="AF409" i="3"/>
  <c r="N398" i="3"/>
  <c r="O398" i="3" s="1"/>
  <c r="Q398" i="3" s="1"/>
  <c r="AD396" i="3"/>
  <c r="AE396" i="3" s="1"/>
  <c r="AF396" i="3"/>
  <c r="AD421" i="3"/>
  <c r="AE421" i="3" s="1"/>
  <c r="AG421" i="3" s="1"/>
  <c r="AM421" i="3" s="1"/>
  <c r="AD418" i="3"/>
  <c r="AE418" i="3" s="1"/>
  <c r="AG418" i="3" s="1"/>
  <c r="AM418" i="3" s="1"/>
  <c r="AD414" i="3"/>
  <c r="AE414" i="3" s="1"/>
  <c r="AG414" i="3" s="1"/>
  <c r="AM414" i="3" s="1"/>
  <c r="AD402" i="3"/>
  <c r="AE402" i="3" s="1"/>
  <c r="AG402" i="3" s="1"/>
  <c r="AM402" i="3" s="1"/>
  <c r="N393" i="3"/>
  <c r="O393" i="3" s="1"/>
  <c r="Q393" i="3" s="1"/>
  <c r="N580" i="3"/>
  <c r="O580" i="3" s="1"/>
  <c r="Q580" i="3" s="1"/>
  <c r="AD447" i="3"/>
  <c r="AE447" i="3" s="1"/>
  <c r="AG447" i="3" s="1"/>
  <c r="AM447" i="3" s="1"/>
  <c r="AF177" i="4"/>
  <c r="AG177" i="4" s="1"/>
  <c r="P601" i="3"/>
  <c r="P487" i="3"/>
  <c r="Q487" i="3" s="1"/>
  <c r="AF484" i="3"/>
  <c r="AG484" i="3" s="1"/>
  <c r="AM484" i="3" s="1"/>
  <c r="AF457" i="3"/>
  <c r="AG457" i="3" s="1"/>
  <c r="AM457" i="3" s="1"/>
  <c r="P446" i="3"/>
  <c r="Q446" i="3" s="1"/>
  <c r="AF285" i="4"/>
  <c r="AG285" i="4" s="1"/>
  <c r="AD552" i="3"/>
  <c r="AE552" i="3" s="1"/>
  <c r="AG552" i="3" s="1"/>
  <c r="AM552" i="3" s="1"/>
  <c r="AD531" i="3"/>
  <c r="AE531" i="3" s="1"/>
  <c r="AG531" i="3" s="1"/>
  <c r="AM531" i="3" s="1"/>
  <c r="N406" i="3"/>
  <c r="O406" i="3" s="1"/>
  <c r="Q406" i="3" s="1"/>
  <c r="P406" i="3"/>
  <c r="P456" i="3"/>
  <c r="Q456" i="3" s="1"/>
  <c r="AD404" i="3"/>
  <c r="AE404" i="3" s="1"/>
  <c r="AG404" i="3" s="1"/>
  <c r="AM404" i="3" s="1"/>
  <c r="AF49" i="4"/>
  <c r="AG49" i="4" s="1"/>
  <c r="AD417" i="3"/>
  <c r="AE417" i="3" s="1"/>
  <c r="AG417" i="3" s="1"/>
  <c r="AM417" i="3" s="1"/>
  <c r="AF102" i="4"/>
  <c r="AG102" i="4" s="1"/>
  <c r="AF372" i="4"/>
  <c r="AG372" i="4" s="1"/>
  <c r="AH313" i="4"/>
  <c r="AH315" i="4"/>
  <c r="Q631" i="3" l="1"/>
  <c r="D5" i="3" s="1"/>
  <c r="D5" i="4"/>
  <c r="C21" i="2"/>
  <c r="C23" i="2" s="1"/>
  <c r="G26" i="2" s="1"/>
  <c r="G28" i="2" s="1"/>
  <c r="AM10" i="3"/>
  <c r="Q557" i="3"/>
  <c r="AG396" i="3"/>
  <c r="AM396" i="3" s="1"/>
  <c r="AG585" i="3"/>
  <c r="AM585" i="3" s="1"/>
  <c r="AG514" i="3"/>
  <c r="AM514" i="3" s="1"/>
  <c r="AG40" i="3"/>
  <c r="AM40" i="3" s="1"/>
  <c r="AG631" i="3" l="1"/>
  <c r="D6" i="3" s="1"/>
  <c r="E5" i="3" s="1"/>
</calcChain>
</file>

<file path=xl/comments1.xml><?xml version="1.0" encoding="utf-8"?>
<comments xmlns="http://schemas.openxmlformats.org/spreadsheetml/2006/main">
  <authors>
    <author/>
  </authors>
  <commentList>
    <comment ref="E27" authorId="0" shapeId="0">
      <text>
        <r>
          <rPr>
            <b/>
            <sz val="9"/>
            <color indexed="55"/>
            <rFont val="Tahoma"/>
            <family val="2"/>
            <charset val="1"/>
          </rPr>
          <t xml:space="preserve">6.4 Fator de Criticidade de Solicitação de Serviço (SISP)
</t>
        </r>
        <r>
          <rPr>
            <sz val="9"/>
            <color indexed="55"/>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text>
        <r>
          <rPr>
            <b/>
            <sz val="9"/>
            <color indexed="55"/>
            <rFont val="Tahoma"/>
            <family val="2"/>
            <charset val="1"/>
          </rPr>
          <t>Variação: 1 a 1,35</t>
        </r>
      </text>
    </comment>
  </commentList>
</comments>
</file>

<file path=xl/comments2.xml><?xml version="1.0" encoding="utf-8"?>
<comments xmlns="http://schemas.openxmlformats.org/spreadsheetml/2006/main">
  <authors>
    <author/>
  </authors>
  <commentList>
    <comment ref="A8" authorId="0" shapeId="0">
      <text>
        <r>
          <rPr>
            <sz val="9"/>
            <color indexed="55"/>
            <rFont val="Tahoma"/>
            <family val="2"/>
            <charset val="1"/>
          </rPr>
          <t>Número sequencial do item da contagem.</t>
        </r>
      </text>
    </comment>
    <comment ref="B8" authorId="0" shapeId="0">
      <text>
        <r>
          <rPr>
            <sz val="9"/>
            <color indexed="55"/>
            <rFont val="Tahoma"/>
            <family val="2"/>
            <charset val="1"/>
          </rPr>
          <t>Verificar a descrição sobre os tipos de manutenção na aba Tipo Projeto</t>
        </r>
      </text>
    </comment>
    <comment ref="T8" authorId="0" shapeId="0">
      <text>
        <r>
          <rPr>
            <sz val="9"/>
            <color indexed="55"/>
            <rFont val="Tahoma"/>
            <family val="2"/>
            <charset val="1"/>
          </rPr>
          <t>Item (Fundamentação) na qual a contagem se baseou</t>
        </r>
      </text>
    </comment>
    <comment ref="W8" authorId="0" shapeId="0">
      <text>
        <r>
          <rPr>
            <sz val="9"/>
            <color indexed="55"/>
            <rFont val="Tahoma"/>
            <family val="2"/>
            <charset val="1"/>
          </rPr>
          <t>Verificar a descrição sobre os tipos de manutenção na aba Tipo Projeto</t>
        </r>
      </text>
    </comment>
    <comment ref="AJ8" authorId="0" shapeId="0">
      <text>
        <r>
          <rPr>
            <sz val="9"/>
            <color indexed="55"/>
            <rFont val="Tahoma"/>
            <family val="2"/>
            <charset val="1"/>
          </rPr>
          <t>Item (Fundamentação) na qual a contagem se baseou</t>
        </r>
      </text>
    </comment>
  </commentList>
</comments>
</file>

<file path=xl/comments3.xml><?xml version="1.0" encoding="utf-8"?>
<comments xmlns="http://schemas.openxmlformats.org/spreadsheetml/2006/main">
  <authors>
    <author/>
  </authors>
  <commentList>
    <comment ref="B8" authorId="0" shapeId="0">
      <text>
        <r>
          <rPr>
            <sz val="9"/>
            <color indexed="55"/>
            <rFont val="Tahoma"/>
            <family val="2"/>
            <charset val="1"/>
          </rPr>
          <t>Número sequencial do item da contagem.</t>
        </r>
      </text>
    </comment>
    <comment ref="L8" authorId="0" shapeId="0">
      <text>
        <r>
          <rPr>
            <sz val="9"/>
            <color indexed="55"/>
            <rFont val="Tahoma"/>
            <family val="2"/>
            <charset val="1"/>
          </rPr>
          <t>Item (Fundamentação) na qual a contagem se baseou</t>
        </r>
      </text>
    </comment>
  </commentList>
</comments>
</file>

<file path=xl/comments4.xml><?xml version="1.0" encoding="utf-8"?>
<comments xmlns="http://schemas.openxmlformats.org/spreadsheetml/2006/main">
  <authors>
    <author/>
  </authors>
  <commentList>
    <comment ref="B5" authorId="0" shapeId="0">
      <text>
        <r>
          <rPr>
            <b/>
            <sz val="9"/>
            <color indexed="55"/>
            <rFont val="Segoe UI"/>
            <family val="2"/>
            <charset val="1"/>
          </rPr>
          <t xml:space="preserve">Basis Tecnologia:
</t>
        </r>
        <r>
          <rPr>
            <sz val="9"/>
            <color indexed="55"/>
            <rFont val="Segoe UI"/>
            <family val="2"/>
            <charset val="1"/>
          </rPr>
          <t>*Se não informado será utilizado t = 0,35</t>
        </r>
      </text>
    </comment>
    <comment ref="K16" authorId="0" shapeId="0">
      <text>
        <r>
          <rPr>
            <b/>
            <sz val="9"/>
            <color indexed="55"/>
            <rFont val="Segoe UI"/>
            <family val="2"/>
            <charset val="1"/>
          </rPr>
          <t xml:space="preserve">Basis Tecnologia:
</t>
        </r>
        <r>
          <rPr>
            <sz val="9"/>
            <color indexed="55"/>
            <rFont val="Segoe UI"/>
            <family val="2"/>
            <charset val="1"/>
          </rPr>
          <t xml:space="preserve">Td: prazo V: tamanho em PF t: expoente t </t>
        </r>
      </text>
    </comment>
  </commentList>
</comments>
</file>

<file path=xl/sharedStrings.xml><?xml version="1.0" encoding="utf-8"?>
<sst xmlns="http://schemas.openxmlformats.org/spreadsheetml/2006/main" count="563" uniqueCount="242">
  <si>
    <t>Template V.2.0</t>
  </si>
  <si>
    <t>Contagem de Pontos de Função</t>
  </si>
  <si>
    <t>Identificação</t>
  </si>
  <si>
    <t>O.S.:</t>
  </si>
  <si>
    <t>Tipo de Atividade:</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</si>
  <si>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</si>
  <si>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</si>
  <si>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</si>
  <si>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</si>
  <si>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</si>
  <si>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</si>
  <si>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</si>
  <si>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</si>
  <si>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</si>
  <si>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</si>
  <si>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</si>
  <si>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</si>
  <si>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</si>
  <si>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</si>
  <si>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</si>
  <si>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</si>
  <si>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</si>
  <si>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</si>
  <si>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</si>
  <si>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</si>
  <si>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</si>
  <si>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</si>
  <si>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</si>
  <si>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</si>
  <si>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</si>
  <si>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</si>
  <si>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</si>
  <si>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</si>
  <si>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</si>
  <si>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</si>
  <si>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</si>
  <si>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</si>
  <si>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</si>
  <si>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</si>
  <si>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</si>
  <si>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</si>
  <si>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</si>
  <si>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</si>
  <si>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</si>
  <si>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</si>
  <si>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</si>
  <si>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</si>
  <si>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</si>
  <si>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</si>
  <si>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</si>
  <si>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</si>
  <si>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</si>
  <si>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</si>
  <si>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</si>
  <si>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</si>
  <si>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</si>
  <si>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</si>
  <si>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</si>
  <si>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</si>
  <si>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</si>
  <si>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</si>
  <si>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</si>
  <si>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</si>
  <si>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</si>
  <si>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</si>
  <si>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</si>
  <si>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</si>
  <si>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</si>
  <si>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</si>
  <si>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</si>
  <si>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</si>
  <si>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</si>
  <si>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</si>
  <si>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</si>
  <si>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</si>
  <si>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</si>
  <si>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</si>
  <si>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</si>
  <si>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</si>
  <si>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</si>
  <si>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</si>
  <si>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</si>
  <si>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</si>
  <si>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</si>
  <si>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</si>
  <si>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</si>
  <si>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</si>
  <si>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</si>
  <si>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</si>
  <si>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</si>
  <si>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</si>
  <si>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</si>
  <si>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</si>
  <si>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</si>
  <si>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</si>
  <si>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</si>
  <si>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</si>
  <si>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</si>
  <si>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</si>
  <si>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</si>
  <si>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</si>
  <si>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</si>
  <si>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</si>
  <si>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</si>
  <si>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</si>
  <si>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</si>
  <si>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</si>
  <si>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</si>
  <si>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</si>
  <si>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</si>
  <si>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</si>
  <si>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</si>
  <si>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</si>
  <si>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</si>
  <si>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</si>
  <si>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</si>
  <si>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</si>
  <si>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</si>
  <si>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</si>
  <si>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</si>
  <si>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</si>
  <si>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</si>
  <si>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</si>
  <si>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</si>
  <si>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</si>
  <si>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</si>
  <si>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</si>
  <si>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</si>
  <si>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</si>
  <si>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</si>
  <si>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</si>
  <si>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</si>
  <si>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</si>
  <si>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</si>
  <si>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</si>
  <si>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</si>
  <si>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</si>
  <si>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</si>
  <si>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</si>
  <si>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</si>
  <si>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</si>
  <si>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</si>
  <si>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</si>
  <si>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</si>
  <si>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</si>
  <si>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indexed="55"/>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</si>
  <si>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</si>
  <si>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</si>
  <si>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</si>
  <si>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</si>
  <si>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</si>
  <si>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</si>
  <si>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</si>
  <si>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</si>
  <si>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</si>
  <si>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</si>
  <si>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</si>
  <si>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</si>
  <si>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</si>
  <si>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</si>
  <si>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</si>
  <si>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</si>
  <si>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</si>
  <si>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</si>
  <si>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</si>
  <si>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</si>
  <si>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</si>
  <si>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</si>
  <si>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</si>
  <si>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</si>
  <si>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</si>
  <si>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</si>
  <si>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</si>
  <si>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</si>
  <si>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</si>
  <si>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</si>
  <si>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</si>
  <si>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</si>
  <si>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</si>
  <si>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</si>
  <si>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</si>
  <si>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</si>
  <si>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</si>
  <si>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</si>
  <si>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</si>
  <si>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</si>
  <si>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</si>
  <si>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</si>
  <si>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</si>
  <si>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</si>
  <si>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</si>
  <si>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</si>
  <si>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</si>
  <si>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</si>
  <si>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</si>
  <si>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</si>
  <si>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</si>
  <si>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</si>
  <si>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</si>
  <si>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</si>
  <si>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</si>
  <si>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</si>
  <si>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</si>
  <si>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</si>
  <si>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</si>
  <si>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</si>
  <si>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</si>
  <si>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</si>
  <si>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</si>
  <si>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</si>
  <si>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</si>
  <si>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</si>
  <si>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</si>
  <si>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</si>
  <si>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</si>
  <si>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</si>
  <si>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</si>
  <si>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</si>
  <si>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</si>
  <si>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</si>
  <si>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</si>
  <si>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</si>
  <si>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</si>
  <si>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</si>
  <si>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</si>
  <si>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</si>
  <si>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</si>
  <si>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</si>
  <si>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</si>
  <si>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Manutenção em Interface</t>
  </si>
  <si>
    <t xml:space="preserve">Manutenção em Interface 
A manutenção em interface, denominada na literatura de manutenção cosmética, é associada às demandas de alterações de interface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t>
  </si>
  <si>
    <t>Atualização de Dados</t>
  </si>
  <si>
    <t xml:space="preserve">Atualização de Dados 
Em alguns casos, as demandas de correção de problemas em base de dados estão associadas a atualizações manuais (de forma interativa), diretamente no banco de dados em um único registro, e que não envolvem cálculos ou procedimentos complexos. São exemplos desse tipo de demanda, a atualização do valor de um campo de uma tabela cadastrado erroneamente ou a exclusão de um registro de uma tabela. 
Nestes casos, a aferição do tamanho em Pontos de Função deve considerar 10% do PF de uma Entrada Externa e os Tipos de Dados da Entrada Externa são todos os TD considerados na funcionalidade – campos atualizados e campos utilizados para a seleção do registro. 
PF_ATUALIZAÇÃO_BD  = PF_INCLUÍDO x 0,10
</t>
  </si>
  <si>
    <t>Desenvolvimento, Manutenção e Publicação de Páginas Estáticas</t>
  </si>
  <si>
    <t xml:space="preserve">Desenvolvimento, Manutenção e Publicação de Páginas Estáticas de Intranet, Internet ou Portal 
Nesta seção são tratados desenvolvimentos e manutenções específicas em páginas estáticas de portais, intranets ou websites. As demandas desta seção abrangem a Publicação de páginas Web com conteúdo estático.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t>
  </si>
  <si>
    <t>Componente Interno Reusável - Arquivo</t>
  </si>
  <si>
    <t xml:space="preserve">Componente Interno Reusável - Arquivos
Em alguns casos são demandadas manutenções em componentes, que implementam regras de negócio, específicos de uma aplicação e estes são reusados por várias funcionalidades da aplicação. 
Existem casos onde são realizadas manutenções de valores de elementos internos de configuração que afetam o comportamento ou a apresentação do sistema de forma geral, tais como páginas de estilos (arquivos CSS de sistemas Web), arquivos com mensagens de erro, arquivos de configuração de sistema e arquivos de internacionalização. Nestes casos, a aferição do tamanho em pontos de função será realizada com a aplicação de um fator de redução de modo a considerar 20% da contagem de uma função transacional de mais baixa complexidade (3 PF), ou seja 0,6 PF. Assim sendo, deve ser utilizada a seguinte fórmula de cálculo:
PF_COMPONENTE_ARQUIVO = 0,6 PF x QTD_ARQUIVOS_ALTERADOS
</t>
  </si>
  <si>
    <t>Pontos de Função por Funcionalidade</t>
  </si>
  <si>
    <t>Nº</t>
  </si>
  <si>
    <t>Funcionalidade</t>
  </si>
  <si>
    <t>Contagem de Pontos de Função
Pontos de Função por Funcionalidade</t>
  </si>
  <si>
    <t>Desenvolvimento ou Manutenção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</si>
</sst>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m/yyyy"/>
    <numFmt numFmtId="165" formatCode="_-* #,##0.00_-;\-* #,##0.00_-;_-* \-??_-;_-@_-"/>
    <numFmt numFmtId="166" formatCode="_-* #,##0_-;\-* #,##0_-;_-* \-??_-;_-@_-"/>
    <numFmt numFmtId="167" formatCode="0.0"/>
  </numFmts>
  <fonts count="32">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indexed="55"/>
      <name val="Tahoma"/>
      <family val="2"/>
      <charset val="1"/>
    </font>
    <font>
      <sz val="9"/>
      <color indexed="55"/>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0"/>
      <name val="Arial"/>
      <family val="2"/>
      <charset val="1"/>
    </font>
    <font>
      <b/>
      <sz val="12"/>
      <name val="Arial"/>
      <family val="2"/>
      <charset val="1"/>
    </font>
    <font>
      <sz val="11"/>
      <name val="Arial"/>
      <family val="2"/>
      <charset val="1"/>
    </font>
    <font>
      <b/>
      <sz val="10"/>
      <color indexed="55"/>
      <name val="Calibri"/>
      <family val="2"/>
      <charset val="1"/>
    </font>
    <font>
      <b/>
      <sz val="10"/>
      <name val="Calibri"/>
      <family val="2"/>
      <charset val="1"/>
    </font>
    <font>
      <sz val="12"/>
      <name val="Calibri"/>
      <family val="2"/>
      <charset val="1"/>
    </font>
    <font>
      <sz val="10"/>
      <name val="Calibri"/>
      <family val="2"/>
      <charset val="1"/>
    </font>
    <font>
      <b/>
      <sz val="9"/>
      <color indexed="55"/>
      <name val="Segoe UI"/>
      <family val="2"/>
      <charset val="1"/>
    </font>
    <font>
      <sz val="9"/>
      <color indexed="55"/>
      <name val="Segoe UI"/>
      <family val="2"/>
      <charset val="1"/>
    </font>
    <font>
      <sz val="10"/>
      <name val="Arial"/>
      <charset val="1"/>
    </font>
    <font>
      <b/>
      <sz val="11"/>
      <color rgb="FF000000"/>
      <name val="Calibri"/>
      <family val="2"/>
      <charset val="1"/>
    </font>
    <font>
      <sz val="11"/>
      <color rgb="FF000000"/>
      <name val="Calibri"/>
      <family val="2"/>
      <charset val="1"/>
    </font>
    <font>
      <b/>
      <sz val="11"/>
      <color rgb="FFBFBFBF"/>
      <name val="Calibri"/>
      <family val="2"/>
      <charset val="1"/>
    </font>
    <font>
      <b/>
      <sz val="7"/>
      <color rgb="FF231F20"/>
      <name val="TimesNewRomanPS-BoldMT"/>
      <charset val="1"/>
    </font>
    <font>
      <sz val="7"/>
      <color rgb="FF231F20"/>
      <name val="Times New Roman"/>
      <family val="1"/>
      <charset val="1"/>
    </font>
    <font>
      <b/>
      <sz val="14"/>
      <color rgb="FF0070C0"/>
      <name val="Verdana"/>
      <family val="2"/>
      <charset val="1"/>
    </font>
    <font>
      <b/>
      <sz val="10"/>
      <color rgb="FF000000"/>
      <name val="Calibri"/>
      <family val="2"/>
      <charset val="1"/>
    </font>
    <font>
      <b/>
      <sz val="14"/>
      <color rgb="FF000000"/>
      <name val="Calibri"/>
      <family val="2"/>
      <charset val="1"/>
    </font>
  </fonts>
  <fills count="10">
    <fill>
      <patternFill patternType="none"/>
    </fill>
    <fill>
      <patternFill patternType="gray125"/>
    </fill>
    <fill>
      <patternFill patternType="solid">
        <fgColor rgb="FFF2F2F2"/>
        <bgColor rgb="FFFFFFFF"/>
      </patternFill>
    </fill>
    <fill>
      <patternFill patternType="solid">
        <fgColor rgb="FFFFFF00"/>
        <bgColor rgb="FFFFFF00"/>
      </patternFill>
    </fill>
    <fill>
      <patternFill patternType="solid">
        <fgColor rgb="FFD9D9D9"/>
        <bgColor rgb="FFD7E4BD"/>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
      <patternFill patternType="solid">
        <fgColor rgb="FF9BBB59"/>
        <bgColor rgb="FF98B855"/>
      </patternFill>
    </fill>
  </fills>
  <borders count="43">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bottom style="medium">
        <color indexed="64"/>
      </bottom>
      <diagonal/>
    </border>
    <border>
      <left style="thin">
        <color indexed="64"/>
      </left>
      <right style="thin">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style="thin">
        <color indexed="64"/>
      </top>
      <bottom style="medium">
        <color indexed="64"/>
      </bottom>
      <diagonal/>
    </border>
  </borders>
  <cellStyleXfs count="3">
    <xf numFmtId="0" fontId="0" fillId="0" borderId="0"/>
    <xf numFmtId="9" fontId="23" fillId="0" borderId="0" applyBorder="0" applyProtection="0"/>
    <xf numFmtId="165" fontId="23" fillId="0" borderId="0" applyBorder="0" applyProtection="0"/>
  </cellStyleXfs>
  <cellXfs count="293">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2" borderId="2" xfId="0" applyFont="1" applyFill="1" applyBorder="1" applyAlignment="1" applyProtection="1">
      <alignment horizontal="center" vertical="center"/>
    </xf>
    <xf numFmtId="9" fontId="1" fillId="0" borderId="3" xfId="1" applyFont="1" applyBorder="1" applyAlignment="1" applyProtection="1">
      <alignment horizontal="center" vertical="center"/>
      <protection locked="0"/>
    </xf>
    <xf numFmtId="9" fontId="1" fillId="0" borderId="2" xfId="1" applyFont="1" applyBorder="1" applyAlignment="1" applyProtection="1">
      <alignment horizontal="center" vertical="center"/>
      <protection locked="0"/>
    </xf>
    <xf numFmtId="2" fontId="1" fillId="2" borderId="2" xfId="0" applyNumberFormat="1" applyFont="1" applyFill="1" applyBorder="1" applyAlignment="1" applyProtection="1">
      <alignment horizontal="center" vertical="center"/>
    </xf>
    <xf numFmtId="2" fontId="5" fillId="2" borderId="2" xfId="0" applyNumberFormat="1" applyFont="1" applyFill="1" applyBorder="1" applyAlignment="1" applyProtection="1">
      <alignment horizontal="center" vertical="center"/>
    </xf>
    <xf numFmtId="9" fontId="5" fillId="2" borderId="2" xfId="1"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1"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2" fillId="0" borderId="0" xfId="0" applyFont="1" applyBorder="1" applyAlignment="1" applyProtection="1">
      <alignment horizontal="left" vertical="center" indent="13"/>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2" borderId="2" xfId="0" applyFont="1" applyFill="1" applyBorder="1" applyAlignment="1" applyProtection="1">
      <alignment horizontal="right" vertical="center"/>
      <protection locked="0"/>
    </xf>
    <xf numFmtId="165" fontId="13" fillId="3" borderId="2" xfId="2" applyFont="1" applyFill="1" applyBorder="1" applyAlignment="1" applyProtection="1">
      <alignment horizontal="center" vertical="center"/>
    </xf>
    <xf numFmtId="0" fontId="12" fillId="0" borderId="4"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4" fillId="4" borderId="3"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6" xfId="0" applyFont="1" applyFill="1" applyBorder="1" applyAlignment="1" applyProtection="1">
      <alignment vertical="center"/>
      <protection locked="0"/>
    </xf>
    <xf numFmtId="0" fontId="15" fillId="0" borderId="0" xfId="0" applyFont="1" applyAlignment="1" applyProtection="1">
      <alignment vertical="center"/>
      <protection locked="0"/>
    </xf>
    <xf numFmtId="0" fontId="9" fillId="4" borderId="2" xfId="0" applyFont="1" applyFill="1" applyBorder="1" applyAlignment="1" applyProtection="1">
      <alignment horizontal="center" vertical="center" wrapText="1"/>
      <protection locked="0"/>
    </xf>
    <xf numFmtId="0" fontId="9" fillId="4" borderId="5" xfId="0" applyFont="1" applyFill="1" applyBorder="1" applyAlignment="1" applyProtection="1">
      <alignment horizontal="center" vertical="center" wrapText="1"/>
      <protection locked="0"/>
    </xf>
    <xf numFmtId="0" fontId="9" fillId="4" borderId="7" xfId="0" applyFont="1" applyFill="1" applyBorder="1" applyAlignment="1" applyProtection="1">
      <alignment horizontal="center" vertical="center" wrapText="1"/>
      <protection locked="0"/>
    </xf>
    <xf numFmtId="0" fontId="14" fillId="4" borderId="8" xfId="0" applyFont="1" applyFill="1" applyBorder="1" applyAlignment="1" applyProtection="1">
      <alignment horizontal="center" vertical="center"/>
      <protection locked="0"/>
    </xf>
    <xf numFmtId="0" fontId="15"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2" borderId="2" xfId="0" applyFont="1" applyFill="1" applyBorder="1" applyAlignment="1" applyProtection="1">
      <alignment horizontal="center" vertical="center"/>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vertical="center" wrapText="1"/>
      <protection locked="0"/>
    </xf>
    <xf numFmtId="0" fontId="9" fillId="5" borderId="2" xfId="0" applyFont="1" applyFill="1" applyBorder="1" applyAlignment="1" applyProtection="1">
      <alignment horizontal="center" vertical="center"/>
      <protection locked="0"/>
    </xf>
    <xf numFmtId="0" fontId="9" fillId="2" borderId="5" xfId="0" applyFont="1" applyFill="1" applyBorder="1" applyAlignment="1" applyProtection="1">
      <alignment horizontal="left" vertical="center" wrapText="1"/>
      <protection locked="0"/>
    </xf>
    <xf numFmtId="0" fontId="9" fillId="5" borderId="7" xfId="0" applyFont="1" applyFill="1" applyBorder="1" applyAlignment="1" applyProtection="1">
      <alignment horizontal="center" vertical="center"/>
      <protection locked="0"/>
    </xf>
    <xf numFmtId="0" fontId="9" fillId="2" borderId="2" xfId="0" applyFont="1" applyFill="1" applyBorder="1" applyAlignment="1" applyProtection="1">
      <alignment horizontal="left" vertical="center" wrapText="1"/>
      <protection locked="0"/>
    </xf>
    <xf numFmtId="0" fontId="9" fillId="5" borderId="8" xfId="0" applyFont="1" applyFill="1" applyBorder="1" applyAlignment="1" applyProtection="1">
      <alignment vertical="center" wrapText="1"/>
      <protection locked="0"/>
    </xf>
    <xf numFmtId="0" fontId="9" fillId="4" borderId="2" xfId="0" applyFont="1" applyFill="1" applyBorder="1" applyAlignment="1" applyProtection="1">
      <alignment horizontal="center" vertical="center" wrapText="1"/>
    </xf>
    <xf numFmtId="0" fontId="9" fillId="4" borderId="2" xfId="0" applyFont="1" applyFill="1" applyBorder="1" applyAlignment="1" applyProtection="1">
      <alignment vertical="center" wrapText="1"/>
      <protection locked="0"/>
    </xf>
    <xf numFmtId="0" fontId="16" fillId="0" borderId="0" xfId="0" applyFont="1" applyAlignment="1" applyProtection="1">
      <alignment vertical="center"/>
      <protection locked="0"/>
    </xf>
    <xf numFmtId="0" fontId="16" fillId="0" borderId="2"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xf>
    <xf numFmtId="0" fontId="9" fillId="5" borderId="9" xfId="0" applyFont="1" applyFill="1" applyBorder="1" applyAlignment="1" applyProtection="1">
      <alignment horizontal="center" vertical="center"/>
      <protection locked="0"/>
    </xf>
    <xf numFmtId="0" fontId="9" fillId="3" borderId="5" xfId="0" applyFont="1" applyFill="1" applyBorder="1" applyAlignment="1" applyProtection="1">
      <alignment vertical="center"/>
      <protection locked="0"/>
    </xf>
    <xf numFmtId="0" fontId="9" fillId="3" borderId="6" xfId="0" applyFont="1" applyFill="1" applyBorder="1" applyAlignment="1" applyProtection="1">
      <alignment vertical="center"/>
      <protection locked="0"/>
    </xf>
    <xf numFmtId="0" fontId="9" fillId="3" borderId="6" xfId="0" applyFont="1" applyFill="1" applyBorder="1" applyAlignment="1" applyProtection="1">
      <alignment horizontal="left" vertical="center" wrapText="1"/>
      <protection locked="0"/>
    </xf>
    <xf numFmtId="0" fontId="9" fillId="3" borderId="1" xfId="0" applyFont="1" applyFill="1" applyBorder="1" applyAlignment="1" applyProtection="1">
      <alignment vertical="center"/>
      <protection locked="0"/>
    </xf>
    <xf numFmtId="0" fontId="9" fillId="3" borderId="1" xfId="0" applyFont="1" applyFill="1" applyBorder="1" applyAlignment="1" applyProtection="1">
      <alignment horizontal="left" vertical="center" wrapText="1"/>
      <protection locked="0"/>
    </xf>
    <xf numFmtId="0" fontId="9" fillId="3" borderId="8"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4" fillId="2" borderId="3"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xf>
    <xf numFmtId="0" fontId="14" fillId="0" borderId="3"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14" fillId="4" borderId="4"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xf>
    <xf numFmtId="0" fontId="9" fillId="2" borderId="2" xfId="0" applyFont="1" applyFill="1" applyBorder="1" applyAlignment="1" applyProtection="1">
      <alignment horizontal="center" vertical="center" wrapText="1"/>
    </xf>
    <xf numFmtId="0" fontId="9" fillId="5" borderId="2" xfId="0" applyFont="1" applyFill="1" applyBorder="1" applyAlignment="1" applyProtection="1">
      <alignment vertical="center" wrapText="1"/>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10" xfId="0" applyFont="1" applyBorder="1" applyAlignment="1" applyProtection="1">
      <alignment horizontal="left" vertical="center" indent="13"/>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6" xfId="0" applyBorder="1" applyAlignment="1" applyProtection="1">
      <alignment vertical="center"/>
      <protection locked="0"/>
    </xf>
    <xf numFmtId="0" fontId="12" fillId="0" borderId="6" xfId="0" applyFont="1" applyBorder="1" applyAlignment="1" applyProtection="1">
      <alignment horizontal="center" vertical="center"/>
      <protection locked="0"/>
    </xf>
    <xf numFmtId="0" fontId="14" fillId="4" borderId="11" xfId="0" applyFont="1" applyFill="1" applyBorder="1" applyAlignment="1" applyProtection="1">
      <alignment horizontal="center" vertical="center" wrapText="1"/>
      <protection locked="0"/>
    </xf>
    <xf numFmtId="0" fontId="9" fillId="5" borderId="5" xfId="0" applyFont="1" applyFill="1" applyBorder="1" applyAlignment="1" applyProtection="1">
      <alignment horizontal="center" vertical="center" wrapText="1"/>
      <protection locked="0"/>
    </xf>
    <xf numFmtId="2" fontId="9" fillId="2"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4" fillId="2" borderId="2" xfId="0" applyFont="1" applyFill="1" applyBorder="1" applyAlignment="1" applyProtection="1">
      <alignment horizontal="right" vertical="center"/>
      <protection locked="0"/>
    </xf>
    <xf numFmtId="0" fontId="14" fillId="2"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2" borderId="2"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24" fillId="6" borderId="7" xfId="0" applyFont="1" applyFill="1" applyBorder="1" applyAlignment="1" applyProtection="1">
      <alignment horizontal="center" vertical="center"/>
    </xf>
    <xf numFmtId="0" fontId="24" fillId="7" borderId="12" xfId="0" applyFont="1" applyFill="1" applyBorder="1" applyAlignment="1" applyProtection="1">
      <alignment horizontal="center" vertical="center" wrapText="1"/>
    </xf>
    <xf numFmtId="0" fontId="18" fillId="6" borderId="2" xfId="0" applyFont="1" applyFill="1" applyBorder="1" applyAlignment="1" applyProtection="1">
      <alignment horizontal="center" vertical="center" wrapText="1"/>
    </xf>
    <xf numFmtId="0" fontId="18" fillId="6" borderId="13" xfId="0" applyFont="1" applyFill="1" applyBorder="1" applyAlignment="1" applyProtection="1">
      <alignment horizontal="center" vertical="center" wrapText="1"/>
    </xf>
    <xf numFmtId="0" fontId="24" fillId="7" borderId="14" xfId="0" applyFont="1" applyFill="1" applyBorder="1" applyAlignment="1" applyProtection="1">
      <alignment horizontal="center" vertical="center" wrapText="1"/>
    </xf>
    <xf numFmtId="0" fontId="6" fillId="8" borderId="15" xfId="0" applyFont="1" applyFill="1" applyBorder="1" applyAlignment="1" applyProtection="1">
      <alignment horizontal="center"/>
    </xf>
    <xf numFmtId="0" fontId="6" fillId="8" borderId="16" xfId="0" applyFont="1" applyFill="1" applyBorder="1" applyAlignment="1" applyProtection="1">
      <alignment horizontal="center"/>
    </xf>
    <xf numFmtId="1" fontId="1" fillId="2" borderId="17" xfId="0" applyNumberFormat="1" applyFont="1" applyFill="1" applyBorder="1" applyAlignment="1" applyProtection="1">
      <alignment horizontal="right" vertical="center"/>
    </xf>
    <xf numFmtId="1" fontId="1" fillId="2" borderId="18" xfId="0" applyNumberFormat="1" applyFont="1" applyFill="1" applyBorder="1" applyAlignment="1" applyProtection="1">
      <alignment horizontal="right" vertical="center"/>
    </xf>
    <xf numFmtId="2" fontId="1" fillId="2" borderId="19" xfId="0" applyNumberFormat="1" applyFont="1" applyFill="1" applyBorder="1" applyAlignment="1" applyProtection="1">
      <alignment horizontal="right" vertical="center"/>
    </xf>
    <xf numFmtId="2" fontId="1" fillId="2" borderId="20" xfId="0" applyNumberFormat="1" applyFont="1" applyFill="1" applyBorder="1" applyAlignment="1" applyProtection="1">
      <alignment horizontal="right" vertical="center"/>
    </xf>
    <xf numFmtId="0" fontId="6" fillId="6" borderId="2" xfId="0" applyFont="1" applyFill="1" applyBorder="1" applyAlignment="1" applyProtection="1">
      <alignment horizontal="center" vertical="center"/>
    </xf>
    <xf numFmtId="0" fontId="6" fillId="6" borderId="13" xfId="0" applyFont="1" applyFill="1" applyBorder="1" applyAlignment="1" applyProtection="1">
      <alignment horizontal="center" vertical="center"/>
    </xf>
    <xf numFmtId="166" fontId="19" fillId="7" borderId="9" xfId="0" applyNumberFormat="1" applyFont="1" applyFill="1" applyBorder="1" applyAlignment="1" applyProtection="1">
      <alignment horizontal="center" vertical="center"/>
    </xf>
    <xf numFmtId="167" fontId="19" fillId="7" borderId="21" xfId="0" applyNumberFormat="1" applyFont="1" applyFill="1" applyBorder="1" applyAlignment="1" applyProtection="1">
      <alignment vertical="center"/>
    </xf>
    <xf numFmtId="0" fontId="6" fillId="6" borderId="7" xfId="0" applyFont="1" applyFill="1" applyBorder="1" applyAlignment="1" applyProtection="1">
      <alignment horizontal="center" vertical="center"/>
    </xf>
    <xf numFmtId="9" fontId="1" fillId="2" borderId="2" xfId="1" applyFont="1" applyFill="1" applyBorder="1" applyAlignment="1" applyProtection="1">
      <alignment horizontal="center" vertical="center"/>
    </xf>
    <xf numFmtId="9" fontId="1" fillId="3" borderId="2" xfId="1" applyFont="1" applyFill="1" applyBorder="1" applyAlignment="1" applyProtection="1">
      <alignment horizontal="center" vertical="center"/>
      <protection locked="0"/>
    </xf>
    <xf numFmtId="166" fontId="1" fillId="2" borderId="2" xfId="2" applyNumberFormat="1" applyFont="1" applyFill="1" applyBorder="1" applyAlignment="1" applyProtection="1">
      <alignment horizontal="left" vertical="center"/>
    </xf>
    <xf numFmtId="164" fontId="1" fillId="3" borderId="2" xfId="0" applyNumberFormat="1" applyFont="1" applyFill="1" applyBorder="1" applyAlignment="1" applyProtection="1">
      <alignment horizontal="center"/>
      <protection locked="0"/>
    </xf>
    <xf numFmtId="164" fontId="1" fillId="2" borderId="13" xfId="0" applyNumberFormat="1" applyFont="1" applyFill="1" applyBorder="1" applyAlignment="1" applyProtection="1">
      <alignment horizontal="center"/>
    </xf>
    <xf numFmtId="9" fontId="25" fillId="6" borderId="2" xfId="1" applyFont="1" applyFill="1" applyBorder="1" applyAlignment="1" applyProtection="1">
      <alignment horizontal="center" vertical="center"/>
    </xf>
    <xf numFmtId="164" fontId="1" fillId="2" borderId="2" xfId="0" applyNumberFormat="1" applyFont="1" applyFill="1" applyBorder="1" applyAlignment="1" applyProtection="1">
      <alignment horizontal="center"/>
    </xf>
    <xf numFmtId="0" fontId="6" fillId="6" borderId="22" xfId="0" applyFont="1" applyFill="1" applyBorder="1" applyAlignment="1" applyProtection="1">
      <alignment horizontal="center"/>
    </xf>
    <xf numFmtId="0" fontId="6" fillId="6" borderId="23" xfId="0" applyFont="1" applyFill="1" applyBorder="1" applyAlignment="1" applyProtection="1">
      <alignment horizontal="center"/>
    </xf>
    <xf numFmtId="0" fontId="6" fillId="6" borderId="24" xfId="0" applyFont="1" applyFill="1" applyBorder="1" applyAlignment="1" applyProtection="1">
      <alignment horizontal="center"/>
    </xf>
    <xf numFmtId="0" fontId="6" fillId="6" borderId="25" xfId="0" applyFont="1" applyFill="1" applyBorder="1" applyAlignment="1" applyProtection="1">
      <alignment horizontal="center"/>
    </xf>
    <xf numFmtId="0" fontId="6" fillId="6" borderId="19" xfId="0" applyFont="1" applyFill="1" applyBorder="1" applyAlignment="1" applyProtection="1">
      <alignment horizontal="center"/>
    </xf>
    <xf numFmtId="9" fontId="6" fillId="6" borderId="26" xfId="0" applyNumberFormat="1" applyFont="1" applyFill="1" applyBorder="1" applyAlignment="1" applyProtection="1">
      <alignment horizontal="center"/>
    </xf>
    <xf numFmtId="166" fontId="6" fillId="2" borderId="26" xfId="0" applyNumberFormat="1" applyFont="1" applyFill="1" applyBorder="1" applyAlignment="1" applyProtection="1">
      <alignment horizontal="center"/>
    </xf>
    <xf numFmtId="164" fontId="1" fillId="2" borderId="3" xfId="0" applyNumberFormat="1" applyFont="1" applyFill="1" applyBorder="1" applyAlignment="1" applyProtection="1">
      <alignment horizontal="center"/>
    </xf>
    <xf numFmtId="164" fontId="1" fillId="2" borderId="20" xfId="0" applyNumberFormat="1" applyFont="1" applyFill="1" applyBorder="1" applyAlignment="1" applyProtection="1">
      <alignment horizontal="center"/>
    </xf>
    <xf numFmtId="9" fontId="6" fillId="6" borderId="8" xfId="0" applyNumberFormat="1" applyFont="1" applyFill="1" applyBorder="1" applyAlignment="1" applyProtection="1">
      <alignment horizontal="center"/>
    </xf>
    <xf numFmtId="166" fontId="6" fillId="2" borderId="8" xfId="0" applyNumberFormat="1" applyFont="1" applyFill="1" applyBorder="1" applyAlignment="1" applyProtection="1">
      <alignment horizontal="center"/>
    </xf>
    <xf numFmtId="164" fontId="1" fillId="2" borderId="2" xfId="0" applyNumberFormat="1" applyFont="1" applyFill="1" applyBorder="1" applyAlignment="1" applyProtection="1">
      <alignment horizontal="center" vertical="center"/>
    </xf>
    <xf numFmtId="166" fontId="26" fillId="6" borderId="9" xfId="1" applyNumberFormat="1" applyFont="1" applyFill="1" applyBorder="1" applyAlignment="1" applyProtection="1">
      <alignment horizontal="left" vertical="center"/>
    </xf>
    <xf numFmtId="0" fontId="24" fillId="6" borderId="27" xfId="0" applyFont="1" applyFill="1" applyBorder="1" applyAlignment="1" applyProtection="1">
      <alignment horizontal="right"/>
    </xf>
    <xf numFmtId="9" fontId="6" fillId="2" borderId="27" xfId="1" applyFont="1" applyFill="1" applyBorder="1" applyAlignment="1" applyProtection="1">
      <alignment horizontal="center" vertical="center"/>
    </xf>
    <xf numFmtId="0" fontId="1" fillId="0" borderId="0" xfId="0" applyFont="1"/>
    <xf numFmtId="166" fontId="1" fillId="0" borderId="0" xfId="0" applyNumberFormat="1" applyFont="1"/>
    <xf numFmtId="0" fontId="1" fillId="0" borderId="0" xfId="0" applyFont="1" applyProtection="1">
      <protection locked="0"/>
    </xf>
    <xf numFmtId="0" fontId="6" fillId="6" borderId="9" xfId="0" applyFont="1" applyFill="1" applyBorder="1" applyAlignment="1" applyProtection="1">
      <alignment horizontal="center" vertical="center"/>
    </xf>
    <xf numFmtId="9" fontId="6" fillId="6" borderId="28" xfId="0" applyNumberFormat="1" applyFont="1" applyFill="1" applyBorder="1" applyAlignment="1" applyProtection="1">
      <alignment horizontal="center"/>
    </xf>
    <xf numFmtId="166" fontId="6" fillId="2" borderId="28" xfId="0" applyNumberFormat="1" applyFont="1" applyFill="1" applyBorder="1" applyAlignment="1" applyProtection="1">
      <alignment horizontal="center"/>
    </xf>
    <xf numFmtId="164" fontId="1" fillId="2" borderId="27" xfId="0" applyNumberFormat="1" applyFont="1" applyFill="1" applyBorder="1" applyAlignment="1" applyProtection="1">
      <alignment horizontal="center" vertical="center"/>
    </xf>
    <xf numFmtId="164" fontId="1" fillId="2" borderId="21"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6" borderId="17" xfId="0" applyFont="1" applyFill="1" applyBorder="1" applyAlignment="1" applyProtection="1">
      <alignment horizontal="center" wrapText="1"/>
    </xf>
    <xf numFmtId="0" fontId="6" fillId="6" borderId="18" xfId="0" applyFont="1" applyFill="1" applyBorder="1" applyAlignment="1" applyProtection="1">
      <alignment horizontal="center" wrapText="1"/>
    </xf>
    <xf numFmtId="0" fontId="0" fillId="0" borderId="0" xfId="0" applyProtection="1"/>
    <xf numFmtId="0" fontId="25" fillId="4" borderId="7" xfId="0" applyFont="1" applyFill="1" applyBorder="1" applyAlignment="1" applyProtection="1"/>
    <xf numFmtId="166" fontId="25" fillId="4" borderId="13" xfId="0" applyNumberFormat="1" applyFont="1" applyFill="1" applyBorder="1" applyAlignment="1" applyProtection="1"/>
    <xf numFmtId="0" fontId="25" fillId="4" borderId="9" xfId="0" applyFont="1" applyFill="1" applyBorder="1" applyAlignment="1" applyProtection="1"/>
    <xf numFmtId="166" fontId="25" fillId="4" borderId="21" xfId="0" applyNumberFormat="1" applyFont="1" applyFill="1" applyBorder="1" applyAlignment="1" applyProtection="1"/>
    <xf numFmtId="0" fontId="14" fillId="8" borderId="17" xfId="0" applyFont="1" applyFill="1" applyBorder="1" applyAlignment="1" applyProtection="1">
      <alignment horizontal="center" vertical="center" wrapText="1"/>
    </xf>
    <xf numFmtId="0" fontId="14" fillId="8" borderId="29" xfId="0" applyFont="1" applyFill="1" applyBorder="1" applyAlignment="1" applyProtection="1">
      <alignment horizontal="center" vertical="center" wrapText="1"/>
    </xf>
    <xf numFmtId="0" fontId="14" fillId="8" borderId="18" xfId="0" applyFont="1" applyFill="1" applyBorder="1" applyAlignment="1" applyProtection="1">
      <alignment horizontal="center" vertical="center" wrapText="1"/>
    </xf>
    <xf numFmtId="0" fontId="0" fillId="2" borderId="7" xfId="0" applyFont="1" applyFill="1" applyBorder="1" applyAlignment="1" applyProtection="1"/>
    <xf numFmtId="166" fontId="23" fillId="2" borderId="2" xfId="2" applyNumberFormat="1" applyFont="1" applyFill="1" applyBorder="1" applyAlignment="1" applyProtection="1"/>
    <xf numFmtId="166" fontId="23" fillId="2" borderId="13" xfId="2" applyNumberFormat="1" applyFont="1" applyFill="1" applyBorder="1" applyAlignment="1" applyProtection="1"/>
    <xf numFmtId="166" fontId="23" fillId="7" borderId="2" xfId="2" applyNumberFormat="1" applyFont="1" applyFill="1" applyBorder="1" applyAlignment="1" applyProtection="1"/>
    <xf numFmtId="166" fontId="23" fillId="7" borderId="13" xfId="2" applyNumberFormat="1" applyFont="1" applyFill="1" applyBorder="1" applyAlignment="1" applyProtection="1"/>
    <xf numFmtId="0" fontId="0" fillId="2" borderId="9" xfId="0" applyFont="1" applyFill="1" applyBorder="1" applyAlignment="1" applyProtection="1"/>
    <xf numFmtId="166" fontId="23" fillId="2" borderId="27" xfId="2" applyNumberFormat="1" applyFont="1" applyFill="1" applyBorder="1" applyAlignment="1" applyProtection="1"/>
    <xf numFmtId="166" fontId="23" fillId="2" borderId="21" xfId="2"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4" fillId="0" borderId="0" xfId="0" applyFont="1"/>
    <xf numFmtId="0" fontId="0" fillId="3" borderId="0" xfId="0" applyFill="1" applyAlignment="1">
      <alignment horizontal="center"/>
    </xf>
    <xf numFmtId="0" fontId="6" fillId="4" borderId="2" xfId="0" applyFont="1" applyFill="1" applyBorder="1" applyAlignment="1">
      <alignment horizontal="center" vertical="center" wrapText="1"/>
    </xf>
    <xf numFmtId="0" fontId="14" fillId="4" borderId="2" xfId="0" applyFont="1" applyFill="1" applyBorder="1" applyAlignment="1">
      <alignment horizontal="center"/>
    </xf>
    <xf numFmtId="0" fontId="6" fillId="4" borderId="2" xfId="0" applyFont="1" applyFill="1" applyBorder="1" applyAlignment="1">
      <alignment horizontal="center" vertical="center"/>
    </xf>
    <xf numFmtId="9" fontId="9" fillId="4" borderId="2" xfId="1" applyFont="1" applyFill="1" applyBorder="1" applyAlignment="1" applyProtection="1"/>
    <xf numFmtId="0" fontId="9" fillId="5" borderId="2" xfId="0" applyFont="1" applyFill="1" applyBorder="1" applyAlignment="1">
      <alignment horizontal="center" vertical="center" wrapText="1"/>
    </xf>
    <xf numFmtId="0" fontId="0" fillId="0" borderId="2" xfId="0" applyBorder="1"/>
    <xf numFmtId="0" fontId="14" fillId="5" borderId="2" xfId="0" applyFont="1" applyFill="1" applyBorder="1" applyAlignment="1">
      <alignment horizontal="center" vertical="center" wrapText="1"/>
    </xf>
    <xf numFmtId="0" fontId="14" fillId="0" borderId="2" xfId="0" applyFont="1" applyBorder="1"/>
    <xf numFmtId="0" fontId="0" fillId="0" borderId="0" xfId="0" applyAlignment="1">
      <alignment horizontal="left" vertical="center"/>
    </xf>
    <xf numFmtId="167" fontId="0" fillId="0" borderId="0" xfId="0" applyNumberFormat="1" applyAlignment="1">
      <alignment horizontal="center" vertical="center"/>
    </xf>
    <xf numFmtId="0" fontId="0" fillId="0" borderId="0" xfId="0" applyAlignment="1">
      <alignment horizontal="center" vertical="center"/>
    </xf>
    <xf numFmtId="0" fontId="14" fillId="4"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7" fillId="4" borderId="9" xfId="0" applyFont="1" applyFill="1" applyBorder="1" applyAlignment="1">
      <alignment horizontal="center" vertical="center" wrapText="1"/>
    </xf>
    <xf numFmtId="0" fontId="27" fillId="4" borderId="27" xfId="0" applyFont="1" applyFill="1" applyBorder="1" applyAlignment="1">
      <alignment horizontal="center" vertical="center" wrapText="1"/>
    </xf>
    <xf numFmtId="0" fontId="27" fillId="4" borderId="21" xfId="0" applyFont="1" applyFill="1" applyBorder="1" applyAlignment="1">
      <alignment horizontal="center" vertical="center" wrapText="1"/>
    </xf>
    <xf numFmtId="2" fontId="0" fillId="0" borderId="2" xfId="0" applyNumberFormat="1" applyBorder="1" applyAlignment="1">
      <alignment horizontal="center" vertical="center"/>
    </xf>
    <xf numFmtId="0" fontId="28" fillId="0" borderId="14" xfId="0" applyFont="1" applyBorder="1" applyAlignment="1">
      <alignment vertical="center" wrapText="1"/>
    </xf>
    <xf numFmtId="0" fontId="28" fillId="0" borderId="30" xfId="0" applyFont="1" applyBorder="1" applyAlignment="1">
      <alignment horizontal="center" vertical="center" wrapText="1"/>
    </xf>
    <xf numFmtId="0" fontId="28" fillId="0" borderId="30"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4" fillId="6" borderId="2" xfId="0" applyFont="1" applyFill="1" applyBorder="1" applyAlignment="1">
      <alignment horizontal="center" vertical="center"/>
    </xf>
    <xf numFmtId="0" fontId="14" fillId="6"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14" fillId="4" borderId="2" xfId="0" applyFont="1" applyFill="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wrapText="1"/>
      <protection locked="0"/>
    </xf>
    <xf numFmtId="0" fontId="5" fillId="2" borderId="2" xfId="0" applyFont="1" applyFill="1" applyBorder="1" applyAlignment="1" applyProtection="1">
      <alignment horizontal="center" vertical="center"/>
      <protection locked="0"/>
    </xf>
    <xf numFmtId="0" fontId="6" fillId="0" borderId="2" xfId="0" applyFont="1" applyBorder="1" applyAlignment="1" applyProtection="1">
      <alignment vertical="center"/>
      <protection locked="0"/>
    </xf>
    <xf numFmtId="0" fontId="5" fillId="2" borderId="2" xfId="0" applyFont="1" applyFill="1" applyBorder="1" applyAlignment="1" applyProtection="1">
      <alignment horizontal="right" vertical="center"/>
      <protection locked="0"/>
    </xf>
    <xf numFmtId="0" fontId="5" fillId="4" borderId="2" xfId="0" applyFont="1" applyFill="1" applyBorder="1" applyAlignment="1" applyProtection="1">
      <alignment horizontal="center" vertical="center"/>
      <protection locked="0"/>
    </xf>
    <xf numFmtId="0" fontId="5" fillId="2" borderId="2" xfId="0" applyFont="1" applyFill="1" applyBorder="1" applyAlignment="1" applyProtection="1">
      <alignment vertical="center"/>
      <protection locked="0"/>
    </xf>
    <xf numFmtId="0" fontId="6" fillId="2" borderId="2" xfId="0" applyFont="1" applyFill="1" applyBorder="1" applyAlignment="1" applyProtection="1">
      <alignment horizontal="center" vertical="center" wrapText="1"/>
      <protection locked="0"/>
    </xf>
    <xf numFmtId="0" fontId="5" fillId="2" borderId="2" xfId="0" applyFont="1" applyFill="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164" fontId="1" fillId="2" borderId="2" xfId="0" applyNumberFormat="1" applyFont="1" applyFill="1" applyBorder="1" applyAlignment="1" applyProtection="1">
      <alignment horizontal="left" vertical="center"/>
    </xf>
    <xf numFmtId="0" fontId="1" fillId="0" borderId="2" xfId="0" applyFont="1" applyBorder="1" applyAlignment="1" applyProtection="1">
      <alignment horizontal="left" vertical="top"/>
      <protection locked="0"/>
    </xf>
    <xf numFmtId="0" fontId="1" fillId="2" borderId="2" xfId="0" applyFont="1" applyFill="1" applyBorder="1" applyAlignment="1" applyProtection="1">
      <alignment horizontal="left" vertical="center"/>
    </xf>
    <xf numFmtId="0" fontId="3" fillId="0" borderId="1" xfId="0" applyFont="1" applyBorder="1" applyAlignment="1" applyProtection="1">
      <alignment horizontal="right" vertical="center" wrapText="1"/>
      <protection locked="0" hidden="1"/>
    </xf>
    <xf numFmtId="0" fontId="1" fillId="0" borderId="2" xfId="0" applyFont="1" applyBorder="1" applyAlignment="1" applyProtection="1">
      <alignment horizontal="left" vertical="center"/>
      <protection locked="0"/>
    </xf>
    <xf numFmtId="0" fontId="14" fillId="4" borderId="2"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wrapText="1"/>
      <protection locked="0"/>
    </xf>
    <xf numFmtId="0" fontId="14" fillId="4" borderId="5" xfId="0" applyFont="1" applyFill="1" applyBorder="1" applyAlignment="1" applyProtection="1">
      <alignment horizontal="center" vertical="center"/>
      <protection locked="0"/>
    </xf>
    <xf numFmtId="0" fontId="14" fillId="4" borderId="32" xfId="0" applyFont="1" applyFill="1" applyBorder="1" applyAlignment="1" applyProtection="1">
      <alignment horizontal="center" vertical="center"/>
      <protection locked="0"/>
    </xf>
    <xf numFmtId="0" fontId="14" fillId="4" borderId="3" xfId="0" applyFont="1" applyFill="1" applyBorder="1" applyAlignment="1" applyProtection="1">
      <alignment horizontal="center" vertical="center" wrapText="1"/>
      <protection locked="0"/>
    </xf>
    <xf numFmtId="49" fontId="6" fillId="3" borderId="2" xfId="0" applyNumberFormat="1" applyFont="1" applyFill="1" applyBorder="1" applyAlignment="1" applyProtection="1">
      <alignment horizontal="center" vertical="center"/>
      <protection locked="0"/>
    </xf>
    <xf numFmtId="164" fontId="6" fillId="3" borderId="2" xfId="0" applyNumberFormat="1" applyFont="1" applyFill="1" applyBorder="1" applyAlignment="1" applyProtection="1">
      <alignment horizontal="center" vertical="center"/>
      <protection locked="0"/>
    </xf>
    <xf numFmtId="0" fontId="14" fillId="4" borderId="31" xfId="0" applyFont="1" applyFill="1" applyBorder="1" applyAlignment="1" applyProtection="1">
      <alignment horizontal="center" vertical="center"/>
      <protection locked="0"/>
    </xf>
    <xf numFmtId="0" fontId="12" fillId="2" borderId="2" xfId="0" applyFont="1" applyFill="1" applyBorder="1" applyAlignment="1" applyProtection="1">
      <alignment horizontal="right" vertical="center"/>
      <protection locked="0"/>
    </xf>
    <xf numFmtId="0" fontId="10" fillId="2" borderId="2" xfId="0" applyFont="1" applyFill="1" applyBorder="1" applyAlignment="1" applyProtection="1">
      <alignment horizontal="right" vertical="center"/>
      <protection locked="0"/>
    </xf>
    <xf numFmtId="0" fontId="14" fillId="4" borderId="31" xfId="0" applyFont="1" applyFill="1" applyBorder="1" applyAlignment="1" applyProtection="1">
      <alignment horizontal="center" vertical="center" wrapText="1"/>
      <protection locked="0"/>
    </xf>
    <xf numFmtId="0" fontId="3" fillId="0" borderId="1" xfId="0" applyFont="1" applyBorder="1" applyAlignment="1" applyProtection="1">
      <alignment horizontal="right" vertical="center" wrapText="1"/>
      <protection locked="0"/>
    </xf>
    <xf numFmtId="0" fontId="11" fillId="0" borderId="2" xfId="0" applyFont="1" applyBorder="1" applyAlignment="1" applyProtection="1">
      <alignment horizontal="center" vertical="center" wrapText="1"/>
      <protection locked="0"/>
    </xf>
    <xf numFmtId="0" fontId="29" fillId="0" borderId="10" xfId="0" applyFont="1" applyBorder="1" applyAlignment="1" applyProtection="1">
      <alignment horizontal="center" vertical="center" wrapText="1"/>
      <protection locked="0"/>
    </xf>
    <xf numFmtId="0" fontId="9" fillId="3" borderId="2" xfId="0" applyFont="1" applyFill="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164" fontId="13" fillId="3" borderId="5" xfId="0" applyNumberFormat="1" applyFont="1" applyFill="1" applyBorder="1" applyAlignment="1" applyProtection="1">
      <alignment horizontal="center" vertical="center"/>
    </xf>
    <xf numFmtId="164" fontId="13" fillId="3" borderId="8" xfId="0" applyNumberFormat="1" applyFont="1" applyFill="1" applyBorder="1" applyAlignment="1" applyProtection="1">
      <alignment horizontal="center" vertical="center"/>
    </xf>
    <xf numFmtId="49" fontId="6" fillId="3" borderId="5" xfId="0" applyNumberFormat="1" applyFont="1" applyFill="1" applyBorder="1" applyAlignment="1" applyProtection="1">
      <alignment horizontal="center" vertical="center"/>
      <protection locked="0"/>
    </xf>
    <xf numFmtId="49" fontId="6" fillId="3" borderId="6" xfId="0" applyNumberFormat="1" applyFont="1" applyFill="1" applyBorder="1" applyAlignment="1" applyProtection="1">
      <alignment horizontal="center" vertical="center"/>
      <protection locked="0"/>
    </xf>
    <xf numFmtId="49" fontId="6" fillId="3" borderId="8" xfId="0" applyNumberFormat="1" applyFont="1" applyFill="1" applyBorder="1" applyAlignment="1" applyProtection="1">
      <alignment horizontal="center" vertical="center"/>
      <protection locked="0"/>
    </xf>
    <xf numFmtId="0" fontId="9" fillId="3" borderId="5" xfId="0" applyFont="1" applyFill="1" applyBorder="1" applyAlignment="1" applyProtection="1">
      <alignment horizontal="center" vertical="center"/>
      <protection locked="0"/>
    </xf>
    <xf numFmtId="0" fontId="9" fillId="3" borderId="6" xfId="0" applyFont="1" applyFill="1" applyBorder="1" applyAlignment="1" applyProtection="1">
      <alignment horizontal="center" vertical="center"/>
      <protection locked="0"/>
    </xf>
    <xf numFmtId="0" fontId="9" fillId="3" borderId="8" xfId="0" applyFont="1" applyFill="1" applyBorder="1" applyAlignment="1" applyProtection="1">
      <alignment horizontal="center" vertical="center"/>
      <protection locked="0"/>
    </xf>
    <xf numFmtId="0" fontId="10" fillId="2" borderId="5" xfId="0" applyFont="1" applyFill="1" applyBorder="1" applyAlignment="1" applyProtection="1">
      <alignment horizontal="right" vertical="center"/>
      <protection locked="0"/>
    </xf>
    <xf numFmtId="0" fontId="10" fillId="2" borderId="6" xfId="0" applyFont="1" applyFill="1" applyBorder="1" applyAlignment="1" applyProtection="1">
      <alignment horizontal="right" vertical="center"/>
      <protection locked="0"/>
    </xf>
    <xf numFmtId="0" fontId="10" fillId="2" borderId="8" xfId="0" applyFont="1" applyFill="1" applyBorder="1" applyAlignment="1" applyProtection="1">
      <alignment horizontal="right" vertical="center"/>
      <protection locked="0"/>
    </xf>
    <xf numFmtId="0" fontId="12" fillId="0" borderId="0"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4" fillId="2" borderId="2" xfId="0" applyFont="1" applyFill="1" applyBorder="1" applyAlignment="1" applyProtection="1">
      <alignment horizontal="right" vertical="center" wrapText="1"/>
      <protection locked="0"/>
    </xf>
    <xf numFmtId="0" fontId="2" fillId="0" borderId="10" xfId="0" applyFont="1" applyBorder="1" applyAlignment="1" applyProtection="1">
      <alignment horizontal="left" vertical="center" indent="13"/>
      <protection locked="0"/>
    </xf>
    <xf numFmtId="0" fontId="10" fillId="2" borderId="2" xfId="0" applyFont="1" applyFill="1" applyBorder="1" applyAlignment="1" applyProtection="1">
      <alignment horizontal="center" vertical="center"/>
      <protection locked="0"/>
    </xf>
    <xf numFmtId="164" fontId="13" fillId="3" borderId="2" xfId="0" applyNumberFormat="1" applyFont="1" applyFill="1" applyBorder="1" applyAlignment="1" applyProtection="1">
      <alignment horizontal="center" vertical="center"/>
    </xf>
    <xf numFmtId="0" fontId="9" fillId="5" borderId="2" xfId="0" applyFont="1" applyFill="1" applyBorder="1" applyAlignment="1" applyProtection="1">
      <alignment horizontal="center" vertical="center" wrapText="1"/>
      <protection locked="0"/>
    </xf>
    <xf numFmtId="2" fontId="14" fillId="2" borderId="2" xfId="0" applyNumberFormat="1" applyFont="1" applyFill="1" applyBorder="1" applyAlignment="1" applyProtection="1">
      <alignment horizontal="center" vertical="center" wrapText="1"/>
    </xf>
    <xf numFmtId="0" fontId="14" fillId="2" borderId="2" xfId="0" applyFont="1" applyFill="1" applyBorder="1" applyAlignment="1" applyProtection="1">
      <alignment horizontal="right" vertical="center"/>
      <protection locked="0"/>
    </xf>
    <xf numFmtId="0" fontId="14" fillId="4" borderId="3" xfId="0" applyFont="1" applyFill="1" applyBorder="1" applyAlignment="1" applyProtection="1">
      <alignment horizontal="center" vertical="center"/>
      <protection locked="0"/>
    </xf>
    <xf numFmtId="0" fontId="13" fillId="3" borderId="2" xfId="0" applyFont="1" applyFill="1" applyBorder="1" applyAlignment="1" applyProtection="1">
      <alignment horizontal="center" vertical="center"/>
    </xf>
    <xf numFmtId="0" fontId="13" fillId="0" borderId="1" xfId="0" applyFont="1" applyBorder="1" applyAlignment="1" applyProtection="1">
      <alignment horizontal="right" vertical="center" wrapText="1"/>
      <protection locked="0"/>
    </xf>
    <xf numFmtId="0" fontId="6" fillId="6" borderId="7" xfId="0" applyFont="1" applyFill="1" applyBorder="1" applyAlignment="1" applyProtection="1">
      <alignment horizontal="center" vertical="center"/>
    </xf>
    <xf numFmtId="0" fontId="24" fillId="6" borderId="38" xfId="0" applyFont="1" applyFill="1" applyBorder="1" applyAlignment="1" applyProtection="1">
      <alignment horizontal="center" vertical="center"/>
    </xf>
    <xf numFmtId="0" fontId="20" fillId="2" borderId="42" xfId="0" applyFont="1" applyFill="1" applyBorder="1" applyAlignment="1" applyProtection="1">
      <alignment horizontal="center" vertical="center" wrapText="1"/>
    </xf>
    <xf numFmtId="0" fontId="6" fillId="7" borderId="21" xfId="1" applyNumberFormat="1" applyFont="1" applyFill="1" applyBorder="1" applyAlignment="1" applyProtection="1">
      <alignment horizontal="left" vertical="center"/>
    </xf>
    <xf numFmtId="0" fontId="6" fillId="6" borderId="29" xfId="0" applyFont="1" applyFill="1" applyBorder="1" applyAlignment="1" applyProtection="1">
      <alignment horizontal="center" vertical="center" wrapText="1"/>
    </xf>
    <xf numFmtId="0" fontId="6" fillId="6" borderId="29" xfId="0" applyFont="1" applyFill="1" applyBorder="1" applyAlignment="1" applyProtection="1">
      <alignment horizontal="center" vertical="center"/>
    </xf>
    <xf numFmtId="0" fontId="6" fillId="6" borderId="18" xfId="0" applyFont="1" applyFill="1" applyBorder="1" applyAlignment="1" applyProtection="1">
      <alignment horizontal="center" vertical="center"/>
    </xf>
    <xf numFmtId="0" fontId="24" fillId="6" borderId="14" xfId="0" applyFont="1" applyFill="1" applyBorder="1" applyAlignment="1" applyProtection="1">
      <alignment horizontal="center" vertical="center"/>
    </xf>
    <xf numFmtId="0" fontId="24" fillId="6" borderId="7" xfId="0" applyFont="1" applyFill="1" applyBorder="1" applyAlignment="1" applyProtection="1">
      <alignment horizontal="center" vertical="center"/>
    </xf>
    <xf numFmtId="166" fontId="24" fillId="2" borderId="13" xfId="0" applyNumberFormat="1" applyFont="1" applyFill="1" applyBorder="1" applyAlignment="1" applyProtection="1">
      <alignment horizontal="center" vertical="center"/>
    </xf>
    <xf numFmtId="0" fontId="24" fillId="6" borderId="9" xfId="0" applyFont="1" applyFill="1" applyBorder="1" applyAlignment="1" applyProtection="1">
      <alignment horizontal="center" vertical="center"/>
    </xf>
    <xf numFmtId="0" fontId="25" fillId="2" borderId="21" xfId="0" applyFont="1" applyFill="1" applyBorder="1" applyAlignment="1" applyProtection="1">
      <alignment horizontal="center" vertical="center"/>
    </xf>
    <xf numFmtId="0" fontId="6" fillId="8" borderId="37" xfId="0" applyFont="1" applyFill="1" applyBorder="1" applyAlignment="1" applyProtection="1">
      <alignment horizontal="center" vertical="center"/>
    </xf>
    <xf numFmtId="0" fontId="5" fillId="7" borderId="38" xfId="0" applyFont="1" applyFill="1" applyBorder="1" applyAlignment="1" applyProtection="1">
      <alignment horizontal="center" vertical="center"/>
    </xf>
    <xf numFmtId="0" fontId="24" fillId="6" borderId="34" xfId="0" applyFont="1" applyFill="1" applyBorder="1" applyAlignment="1" applyProtection="1">
      <alignment horizontal="right" vertical="center"/>
    </xf>
    <xf numFmtId="0" fontId="30" fillId="3" borderId="35"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24" fillId="6" borderId="39" xfId="0" applyFont="1" applyFill="1" applyBorder="1" applyAlignment="1" applyProtection="1">
      <alignment horizontal="right" vertical="center"/>
    </xf>
    <xf numFmtId="0" fontId="31" fillId="3" borderId="40" xfId="0" applyFont="1" applyFill="1" applyBorder="1" applyAlignment="1" applyProtection="1">
      <alignment horizontal="center" vertical="center"/>
      <protection locked="0"/>
    </xf>
    <xf numFmtId="0" fontId="6" fillId="8" borderId="41" xfId="0" applyFont="1" applyFill="1" applyBorder="1" applyAlignment="1" applyProtection="1">
      <alignment horizontal="center" vertical="center"/>
    </xf>
    <xf numFmtId="0" fontId="6" fillId="6" borderId="17" xfId="0" applyFont="1" applyFill="1" applyBorder="1" applyAlignment="1" applyProtection="1">
      <alignment horizontal="center" vertical="center" wrapText="1"/>
    </xf>
    <xf numFmtId="0" fontId="3" fillId="0" borderId="0" xfId="0" applyFont="1" applyBorder="1" applyAlignment="1" applyProtection="1">
      <alignment horizontal="right" vertical="center" wrapText="1"/>
      <protection locked="0"/>
    </xf>
    <xf numFmtId="0" fontId="5" fillId="5" borderId="33" xfId="0" applyFont="1" applyFill="1" applyBorder="1" applyAlignment="1" applyProtection="1">
      <alignment horizontal="center"/>
    </xf>
    <xf numFmtId="0" fontId="5" fillId="5" borderId="33" xfId="0" applyFont="1" applyFill="1" applyBorder="1" applyAlignment="1" applyProtection="1">
      <alignment horizontal="center" vertical="center"/>
    </xf>
    <xf numFmtId="0" fontId="24" fillId="3" borderId="35" xfId="0" applyFont="1" applyFill="1" applyBorder="1" applyAlignment="1" applyProtection="1">
      <alignment horizontal="center" vertical="center"/>
      <protection locked="0"/>
    </xf>
    <xf numFmtId="0" fontId="24" fillId="6" borderId="17" xfId="0" applyFont="1" applyFill="1" applyBorder="1" applyAlignment="1" applyProtection="1">
      <alignment horizontal="center" vertical="center"/>
    </xf>
    <xf numFmtId="0" fontId="24" fillId="6" borderId="18" xfId="0" applyFont="1" applyFill="1" applyBorder="1" applyAlignment="1" applyProtection="1">
      <alignment horizontal="center" vertical="center" wrapText="1"/>
    </xf>
    <xf numFmtId="0" fontId="24" fillId="6" borderId="18" xfId="0" applyFont="1" applyFill="1" applyBorder="1" applyAlignment="1" applyProtection="1">
      <alignment horizontal="center" vertical="center"/>
    </xf>
    <xf numFmtId="164" fontId="6" fillId="3" borderId="13" xfId="0" applyNumberFormat="1" applyFont="1" applyFill="1" applyBorder="1" applyAlignment="1" applyProtection="1">
      <alignment horizontal="center" vertical="center"/>
      <protection locked="0"/>
    </xf>
    <xf numFmtId="0" fontId="24" fillId="6" borderId="34" xfId="0" applyFont="1" applyFill="1" applyBorder="1" applyAlignment="1" applyProtection="1">
      <alignment horizontal="center" vertical="center" wrapText="1"/>
    </xf>
    <xf numFmtId="0" fontId="30" fillId="3" borderId="36" xfId="0" applyFont="1" applyFill="1" applyBorder="1" applyAlignment="1" applyProtection="1">
      <alignment horizontal="center" vertical="center" wrapText="1"/>
      <protection locked="0"/>
    </xf>
    <xf numFmtId="0" fontId="3" fillId="0" borderId="1" xfId="0" applyFont="1" applyBorder="1" applyAlignment="1">
      <alignment horizontal="right" vertical="center" wrapText="1"/>
    </xf>
    <xf numFmtId="0" fontId="14" fillId="4" borderId="2" xfId="0" applyFont="1" applyFill="1" applyBorder="1" applyAlignment="1">
      <alignment horizontal="center" vertical="center"/>
    </xf>
    <xf numFmtId="0" fontId="14" fillId="4" borderId="33" xfId="0" applyFont="1" applyFill="1" applyBorder="1" applyAlignment="1">
      <alignment horizontal="center" vertical="center"/>
    </xf>
  </cellXfs>
  <cellStyles count="3">
    <cellStyle name="Normal" xfId="0" builtinId="0"/>
    <cellStyle name="Porcentagem" xfId="1" builtinId="5"/>
    <cellStyle name="Vírgula" xfId="2" builtinId="3"/>
  </cellStyles>
  <dxfs count="23">
    <dxf>
      <fill>
        <patternFill>
          <bgColor rgb="FFD7E4BD"/>
        </patternFill>
      </fill>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
      <fill>
        <patternFill>
          <bgColor theme="9" tint="0.59996337778862885"/>
        </patternFill>
      </fill>
    </dxf>
    <dxf>
      <fill>
        <patternFill>
          <bgColor rgb="FFD7E4BD"/>
        </patternFill>
      </fill>
    </dxf>
    <dxf>
      <font>
        <name val="Arial"/>
        <charset val="1"/>
        <scheme val="none"/>
      </font>
    </dxf>
    <dxf>
      <fill>
        <patternFill>
          <bgColor theme="9" tint="0.59996337778862885"/>
        </patternFill>
      </fill>
    </dxf>
    <dxf>
      <fill>
        <patternFill>
          <bgColor rgb="FFD7E4BD"/>
        </patternFill>
      </fill>
    </dxf>
    <dxf>
      <font>
        <name val="Arial"/>
        <charset val="1"/>
        <scheme val="none"/>
      </font>
    </dxf>
    <dxf>
      <fill>
        <patternFill>
          <bgColor rgb="FFD7E4BD"/>
        </patternFill>
      </fill>
    </dxf>
    <dxf>
      <font>
        <name val="Arial"/>
        <charset val="1"/>
        <scheme val="none"/>
      </font>
    </dxf>
    <dxf>
      <fill>
        <patternFill>
          <bgColor rgb="FFD7E4BD"/>
        </patternFill>
      </fill>
    </dxf>
    <dxf>
      <font>
        <name val="Arial"/>
        <charset val="1"/>
        <scheme val="none"/>
      </font>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9BBB59"/>
      <rgbColor rgb="00800080"/>
      <rgbColor rgb="00008080"/>
      <rgbColor rgb="00BFBFBF"/>
      <rgbColor rgb="00878787"/>
      <rgbColor rgb="00558ED5"/>
      <rgbColor rgb="00BE4B48"/>
      <rgbColor rgb="00F2F2F2"/>
      <rgbColor rgb="00CCFFFF"/>
      <rgbColor rgb="00660066"/>
      <rgbColor rgb="00FF8080"/>
      <rgbColor rgb="000070C0"/>
      <rgbColor rgb="00D9D9D9"/>
      <rgbColor rgb="00000080"/>
      <rgbColor rgb="00FF00FF"/>
      <rgbColor rgb="00FFFF00"/>
      <rgbColor rgb="0000FFFF"/>
      <rgbColor rgb="00800080"/>
      <rgbColor rgb="00800000"/>
      <rgbColor rgb="00008080"/>
      <rgbColor rgb="000000FF"/>
      <rgbColor rgb="0000CCFF"/>
      <rgbColor rgb="00CCFFFF"/>
      <rgbColor rgb="00D7E4BD"/>
      <rgbColor rgb="00FFFF99"/>
      <rgbColor rgb="0099CCFF"/>
      <rgbColor rgb="00FF99CC"/>
      <rgbColor rgb="00CC99FF"/>
      <rgbColor rgb="00C4BD97"/>
      <rgbColor rgb="004F81BD"/>
      <rgbColor rgb="0033CCCC"/>
      <rgbColor rgb="0098B855"/>
      <rgbColor rgb="00FFC000"/>
      <rgbColor rgb="00FF9900"/>
      <rgbColor rgb="00E46C0A"/>
      <rgbColor rgb="008064A2"/>
      <rgbColor rgb="00A6A6A6"/>
      <rgbColor rgb="00003366"/>
      <rgbColor rgb="00339966"/>
      <rgbColor rgb="00003300"/>
      <rgbColor rgb="00333300"/>
      <rgbColor rgb="00993300"/>
      <rgbColor rgb="00993366"/>
      <rgbColor rgb="00333399"/>
      <rgbColor rgb="00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2496421023928001E-2"/>
          <c:y val="4.9839088457858602E-2"/>
          <c:w val="0.90960529006748903"/>
          <c:h val="0.77472384100200098"/>
        </c:manualLayout>
      </c:layout>
      <c:lineChart>
        <c:grouping val="standard"/>
        <c:varyColors val="0"/>
        <c:ser>
          <c:idx val="0"/>
          <c:order val="0"/>
          <c:tx>
            <c:strRef>
              <c:f>'Redução de Prazo'!$R$26</c:f>
              <c:strCache>
                <c:ptCount val="1"/>
                <c:pt idx="0">
                  <c:v>SISP</c:v>
                </c:pt>
              </c:strCache>
            </c:strRef>
          </c:tx>
          <c:spPr>
            <a:ln w="12700">
              <a:solidFill>
                <a:srgbClr val="BE4B48"/>
              </a:solidFill>
              <a:prstDash val="solid"/>
            </a:ln>
          </c:spPr>
          <c:marker>
            <c:symbol val="none"/>
          </c:marker>
          <c:dLbls>
            <c:spPr>
              <a:noFill/>
              <a:ln w="25400">
                <a:noFill/>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FCDE-4B98-A5CC-6D0622ADC95D}"/>
            </c:ext>
          </c:extLst>
        </c:ser>
        <c:ser>
          <c:idx val="1"/>
          <c:order val="1"/>
          <c:tx>
            <c:strRef>
              <c:f>'Redução de Prazo'!$S$26</c:f>
              <c:strCache>
                <c:ptCount val="1"/>
                <c:pt idx="0">
                  <c:v>Curva
Linear</c:v>
                </c:pt>
              </c:strCache>
            </c:strRef>
          </c:tx>
          <c:spPr>
            <a:ln w="12700">
              <a:solidFill>
                <a:srgbClr val="98B855"/>
              </a:solidFill>
              <a:prstDash val="solid"/>
            </a:ln>
          </c:spPr>
          <c:marker>
            <c:symbol val="none"/>
          </c:marker>
          <c:dLbls>
            <c:spPr>
              <a:noFill/>
              <a:ln w="25400">
                <a:noFill/>
              </a:ln>
            </c:spPr>
            <c:dLblPos val="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FCDE-4B98-A5CC-6D0622ADC95D}"/>
            </c:ext>
          </c:extLst>
        </c:ser>
        <c:dLbls>
          <c:showLegendKey val="0"/>
          <c:showVal val="0"/>
          <c:showCatName val="0"/>
          <c:showSerName val="0"/>
          <c:showPercent val="0"/>
          <c:showBubbleSize val="0"/>
        </c:dLbls>
        <c:smooth val="0"/>
        <c:axId val="1206048143"/>
        <c:axId val="1"/>
      </c:lineChart>
      <c:catAx>
        <c:axId val="1206048143"/>
        <c:scaling>
          <c:orientation val="minMax"/>
        </c:scaling>
        <c:delete val="0"/>
        <c:axPos val="b"/>
        <c:majorGridlines>
          <c:spPr>
            <a:ln w="3175">
              <a:solidFill>
                <a:srgbClr val="878787"/>
              </a:solidFill>
              <a:prstDash val="solid"/>
            </a:ln>
          </c:spPr>
        </c:majorGridlines>
        <c:title>
          <c:tx>
            <c:rich>
              <a:bodyPr/>
              <a:lstStyle/>
              <a:p>
                <a:pPr>
                  <a:defRPr sz="1000" b="1" i="0" u="none" strike="noStrike" baseline="0">
                    <a:solidFill>
                      <a:srgbClr val="231F20"/>
                    </a:solidFill>
                    <a:latin typeface="Calibri"/>
                    <a:ea typeface="Calibri"/>
                    <a:cs typeface="Calibri"/>
                  </a:defRPr>
                </a:pPr>
                <a:r>
                  <a:rPr lang="pt-BR"/>
                  <a:t>Redução do Prazo</a:t>
                </a:r>
              </a:p>
            </c:rich>
          </c:tx>
          <c:overlay val="0"/>
          <c:spPr>
            <a:noFill/>
            <a:ln>
              <a:noFill/>
            </a:ln>
          </c:spPr>
        </c:title>
        <c:numFmt formatCode="General" sourceLinked="1"/>
        <c:majorTickMark val="none"/>
        <c:minorTickMark val="none"/>
        <c:tickLblPos val="nextTo"/>
        <c:spPr>
          <a:ln w="3175">
            <a:solidFill>
              <a:srgbClr val="878787"/>
            </a:solidFill>
            <a:prstDash val="solid"/>
          </a:ln>
        </c:spPr>
        <c:txPr>
          <a:bodyPr rot="-5400000"/>
          <a:lstStyle/>
          <a:p>
            <a:pPr>
              <a:defRPr sz="700" b="0" strike="noStrike" spc="-1">
                <a:solidFill>
                  <a:srgbClr val="000000"/>
                </a:solidFill>
                <a:latin typeface="Calibri"/>
              </a:defRPr>
            </a:pPr>
            <a:endParaRPr lang="pt-BR"/>
          </a:p>
        </c:txPr>
        <c:crossAx val="1"/>
        <c:crosses val="autoZero"/>
        <c:auto val="1"/>
        <c:lblAlgn val="ctr"/>
        <c:lblOffset val="100"/>
        <c:noMultiLvlLbl val="1"/>
      </c:catAx>
      <c:valAx>
        <c:axId val="1"/>
        <c:scaling>
          <c:orientation val="minMax"/>
        </c:scaling>
        <c:delete val="1"/>
        <c:axPos val="l"/>
        <c:title>
          <c:tx>
            <c:rich>
              <a:bodyPr/>
              <a:lstStyle/>
              <a:p>
                <a:pPr>
                  <a:defRPr sz="1000" b="1" i="0" u="none" strike="noStrike" baseline="0">
                    <a:solidFill>
                      <a:srgbClr val="231F20"/>
                    </a:solidFill>
                    <a:latin typeface="Calibri"/>
                    <a:ea typeface="Calibri"/>
                    <a:cs typeface="Calibri"/>
                  </a:defRPr>
                </a:pPr>
                <a:r>
                  <a:rPr lang="pt-BR"/>
                  <a:t>Aumento na contagem</a:t>
                </a:r>
              </a:p>
            </c:rich>
          </c:tx>
          <c:overlay val="0"/>
          <c:spPr>
            <a:noFill/>
            <a:ln>
              <a:noFill/>
            </a:ln>
          </c:spPr>
        </c:title>
        <c:numFmt formatCode="_-* #,##0_-;\-* #,##0_-;_-* \-??_-;_-@_-" sourceLinked="1"/>
        <c:majorTickMark val="out"/>
        <c:minorTickMark val="none"/>
        <c:tickLblPos val="nextTo"/>
        <c:crossAx val="1206048143"/>
        <c:crosses val="autoZero"/>
        <c:crossBetween val="midCat"/>
      </c:valAx>
      <c:spPr>
        <a:solidFill>
          <a:srgbClr val="FFFFFF"/>
        </a:solidFill>
        <a:ln>
          <a:solidFill>
            <a:srgbClr val="000000"/>
          </a:solidFill>
        </a:ln>
      </c:spPr>
    </c:plotArea>
    <c:legend>
      <c:legendPos val="r"/>
      <c:layout>
        <c:manualLayout>
          <c:xMode val="edge"/>
          <c:yMode val="edge"/>
          <c:x val="0.92879585662479203"/>
          <c:y val="0.33121967619216142"/>
          <c:w val="6.9914447716936112E-2"/>
          <c:h val="0.1836579079300481"/>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522000</xdr:colOff>
      <xdr:row>40</xdr:row>
      <xdr:rowOff>131400</xdr:rowOff>
    </xdr:to>
    <xdr:sp macro="" textlink="">
      <xdr:nvSpPr>
        <xdr:cNvPr id="2" name="CustomShape 1">
          <a:extLst>
            <a:ext uri="{FF2B5EF4-FFF2-40B4-BE49-F238E27FC236}">
              <a16:creationId xmlns:a16="http://schemas.microsoft.com/office/drawing/2014/main" id="{6F1CE406-EB0A-4FC6-BE4E-362E31B9F961}"/>
            </a:ext>
          </a:extLst>
        </xdr:cNvPr>
        <xdr:cNvSpPr/>
      </xdr:nvSpPr>
      <xdr:spPr>
        <a:xfrm>
          <a:off x="1222920" y="123840"/>
          <a:ext cx="9083160" cy="635724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gn="l" rtl="0">
            <a:lnSpc>
              <a:spcPts val="1300"/>
            </a:lnSpc>
            <a:defRPr sz="1000"/>
          </a:pPr>
          <a:endParaRPr lang="pt-BR" sz="1200" b="0" i="0" u="none" strike="noStrike" baseline="0">
            <a:solidFill>
              <a:srgbClr val="231F20"/>
            </a:solidFill>
            <a:latin typeface="Times New Roman"/>
            <a:cs typeface="Times New Roman"/>
          </a:endParaRPr>
        </a:p>
        <a:p>
          <a:pPr algn="l" rtl="0">
            <a:defRPr sz="1000"/>
          </a:pPr>
          <a:r>
            <a:rPr lang="pt-BR" sz="1100" b="1" i="0" u="none" strike="noStrike" baseline="0">
              <a:solidFill>
                <a:srgbClr val="231F20"/>
              </a:solidFill>
              <a:latin typeface="Calibri"/>
              <a:cs typeface="Calibri"/>
            </a:rPr>
            <a:t>Instrução para utilização da Planilha de Contagem</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1) Na aba "Resumo" indicar o tipo de contagem e o tipo de atividade a ser realizada através das opções pré listadas. Utilize as respectivas abas "AFP - Detalhada", "AFP - Estimativa" ou "Indicativa" dependendo da contagem. </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O tipo de atividade define qual a tabela de distribuição de esforço será utilizada no cálculo final.</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Propósito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Uma medição de tamanho funcional é feita para fornecer uma resposta a um problema do negócio, e é o problema de negócio que determina o propósito.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propósito é o objetivo pelo qual a contagem é realizada. Determina o tipo de contagem de ponto de função e o escopo da contagem necessária para obter a resposta ao problema de negócios sob investigação.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Escopo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2) Nas abas "AFP - Detalhada", "AFP - Estimativa" e "AFP - Indicativa", devem ser preenchidos os campos: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Release com o respectivo número da release correspondente ao Requisito; na coluna "Release"</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Módulo com o respectivo número do módulo correspondente ao Requisito ; na coluna "Módulo"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número do Requisito Ex: "UC01"; na coluna "Requisito"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detalhamento das ações do requisito; na coluna "Processos Elementares"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Selecionar o "tipo" entre a seleção pré listada</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preenchido os campos: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Preechimento após contagem da colunas "DER" e "AR/TR" com os respectivos valores</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5) Na aba "Fundamentação" será fundamentada a contagem a partir do link das telas, quando couber justificativa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6) Na aba " Esforço" será preenchido da coluna "A" "Requisitos" os mesmos UC's relacionados na coluna "Requisito" da aba utilizada na contagem Ex: UC01</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0</xdr:col>
      <xdr:colOff>1581150</xdr:colOff>
      <xdr:row>0</xdr:row>
      <xdr:rowOff>723900</xdr:rowOff>
    </xdr:to>
    <xdr:pic>
      <xdr:nvPicPr>
        <xdr:cNvPr id="2052" name="Imagem 1">
          <a:extLst>
            <a:ext uri="{FF2B5EF4-FFF2-40B4-BE49-F238E27FC236}">
              <a16:creationId xmlns:a16="http://schemas.microsoft.com/office/drawing/2014/main" id="{7641E613-B1C8-438E-B328-D7555757961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523875</xdr:colOff>
      <xdr:row>26</xdr:row>
      <xdr:rowOff>66675</xdr:rowOff>
    </xdr:to>
    <xdr:sp macro="" textlink="">
      <xdr:nvSpPr>
        <xdr:cNvPr id="2053" name="shapetype_202" hidden="1">
          <a:extLst>
            <a:ext uri="{FF2B5EF4-FFF2-40B4-BE49-F238E27FC236}">
              <a16:creationId xmlns:a16="http://schemas.microsoft.com/office/drawing/2014/main" id="{4AC8F266-33A9-421F-98E2-0D283FD6DAE6}"/>
            </a:ext>
          </a:extLst>
        </xdr:cNvPr>
        <xdr:cNvSpPr txBox="1">
          <a:spLocks noSelect="1" noChangeArrowheads="1"/>
        </xdr:cNvSpPr>
      </xdr:nvSpPr>
      <xdr:spPr bwMode="auto">
        <a:xfrm>
          <a:off x="0" y="0"/>
          <a:ext cx="6086475" cy="64389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523875</xdr:colOff>
      <xdr:row>26</xdr:row>
      <xdr:rowOff>66675</xdr:rowOff>
    </xdr:to>
    <xdr:sp macro="" textlink="">
      <xdr:nvSpPr>
        <xdr:cNvPr id="2054" name="shapetype_202" hidden="1">
          <a:extLst>
            <a:ext uri="{FF2B5EF4-FFF2-40B4-BE49-F238E27FC236}">
              <a16:creationId xmlns:a16="http://schemas.microsoft.com/office/drawing/2014/main" id="{84DF0B18-3367-4F09-8381-57751C40806B}"/>
            </a:ext>
          </a:extLst>
        </xdr:cNvPr>
        <xdr:cNvSpPr txBox="1">
          <a:spLocks noSelect="1" noChangeArrowheads="1"/>
        </xdr:cNvSpPr>
      </xdr:nvSpPr>
      <xdr:spPr bwMode="auto">
        <a:xfrm>
          <a:off x="0" y="0"/>
          <a:ext cx="6086475" cy="64389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3074" name="Imagem 1">
          <a:extLst>
            <a:ext uri="{FF2B5EF4-FFF2-40B4-BE49-F238E27FC236}">
              <a16:creationId xmlns:a16="http://schemas.microsoft.com/office/drawing/2014/main" id="{89A5CFF4-4DE0-44B7-8A93-DB501C391F6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4110" name="Imagem 1">
          <a:extLst>
            <a:ext uri="{FF2B5EF4-FFF2-40B4-BE49-F238E27FC236}">
              <a16:creationId xmlns:a16="http://schemas.microsoft.com/office/drawing/2014/main" id="{1AB39570-8BDF-40E3-9DA0-A9AFB20B98B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771525</xdr:colOff>
      <xdr:row>30</xdr:row>
      <xdr:rowOff>142875</xdr:rowOff>
    </xdr:to>
    <xdr:sp macro="" textlink="">
      <xdr:nvSpPr>
        <xdr:cNvPr id="4111" name="shapetype_202" hidden="1">
          <a:extLst>
            <a:ext uri="{FF2B5EF4-FFF2-40B4-BE49-F238E27FC236}">
              <a16:creationId xmlns:a16="http://schemas.microsoft.com/office/drawing/2014/main" id="{8A1FA4BE-5C9D-4755-AA5A-008123A7C377}"/>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771525</xdr:colOff>
      <xdr:row>30</xdr:row>
      <xdr:rowOff>142875</xdr:rowOff>
    </xdr:to>
    <xdr:sp macro="" textlink="">
      <xdr:nvSpPr>
        <xdr:cNvPr id="4112" name="shapetype_202" hidden="1">
          <a:extLst>
            <a:ext uri="{FF2B5EF4-FFF2-40B4-BE49-F238E27FC236}">
              <a16:creationId xmlns:a16="http://schemas.microsoft.com/office/drawing/2014/main" id="{C79A7321-9A54-4639-9A84-0BA36B812F95}"/>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771525</xdr:colOff>
      <xdr:row>30</xdr:row>
      <xdr:rowOff>142875</xdr:rowOff>
    </xdr:to>
    <xdr:sp macro="" textlink="">
      <xdr:nvSpPr>
        <xdr:cNvPr id="4113" name="shapetype_202" hidden="1">
          <a:extLst>
            <a:ext uri="{FF2B5EF4-FFF2-40B4-BE49-F238E27FC236}">
              <a16:creationId xmlns:a16="http://schemas.microsoft.com/office/drawing/2014/main" id="{1F293DFE-D6EE-4A80-805C-F0250CBC6A53}"/>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5121" name="Imagem 1">
          <a:extLst>
            <a:ext uri="{FF2B5EF4-FFF2-40B4-BE49-F238E27FC236}">
              <a16:creationId xmlns:a16="http://schemas.microsoft.com/office/drawing/2014/main" id="{8AECDF18-4DE6-41FE-AF3D-0B2C754C8BF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104775</xdr:colOff>
      <xdr:row>0</xdr:row>
      <xdr:rowOff>85725</xdr:rowOff>
    </xdr:from>
    <xdr:to>
      <xdr:col>2</xdr:col>
      <xdr:colOff>1295400</xdr:colOff>
      <xdr:row>0</xdr:row>
      <xdr:rowOff>723900</xdr:rowOff>
    </xdr:to>
    <xdr:pic>
      <xdr:nvPicPr>
        <xdr:cNvPr id="6148" name="Imagem 1">
          <a:extLst>
            <a:ext uri="{FF2B5EF4-FFF2-40B4-BE49-F238E27FC236}">
              <a16:creationId xmlns:a16="http://schemas.microsoft.com/office/drawing/2014/main" id="{769B9AA4-E7B3-46D7-AD31-DDC888374C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1925" y="85725"/>
          <a:ext cx="149542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49" name="shapetype_202" hidden="1">
          <a:extLst>
            <a:ext uri="{FF2B5EF4-FFF2-40B4-BE49-F238E27FC236}">
              <a16:creationId xmlns:a16="http://schemas.microsoft.com/office/drawing/2014/main" id="{F1ED841C-BC38-4E96-BE83-81F349638592}"/>
            </a:ext>
          </a:extLst>
        </xdr:cNvPr>
        <xdr:cNvSpPr txBox="1">
          <a:spLocks noSelect="1" noChangeArrowheads="1"/>
        </xdr:cNvSpPr>
      </xdr:nvSpPr>
      <xdr:spPr bwMode="auto">
        <a:xfrm>
          <a:off x="0" y="0"/>
          <a:ext cx="6134100" cy="638175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50" name="shapetype_202" hidden="1">
          <a:extLst>
            <a:ext uri="{FF2B5EF4-FFF2-40B4-BE49-F238E27FC236}">
              <a16:creationId xmlns:a16="http://schemas.microsoft.com/office/drawing/2014/main" id="{A5047146-2025-42E7-B8B4-3F8FBFA365FF}"/>
            </a:ext>
          </a:extLst>
        </xdr:cNvPr>
        <xdr:cNvSpPr txBox="1">
          <a:spLocks noSelect="1" noChangeArrowheads="1"/>
        </xdr:cNvSpPr>
      </xdr:nvSpPr>
      <xdr:spPr bwMode="auto">
        <a:xfrm>
          <a:off x="0" y="0"/>
          <a:ext cx="6134100" cy="638175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2</xdr:col>
      <xdr:colOff>571500</xdr:colOff>
      <xdr:row>0</xdr:row>
      <xdr:rowOff>723900</xdr:rowOff>
    </xdr:to>
    <xdr:pic>
      <xdr:nvPicPr>
        <xdr:cNvPr id="7169" name="Imagem 1">
          <a:extLst>
            <a:ext uri="{FF2B5EF4-FFF2-40B4-BE49-F238E27FC236}">
              <a16:creationId xmlns:a16="http://schemas.microsoft.com/office/drawing/2014/main" id="{4779EFFD-0E3A-4CD5-A6B6-68E410D113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1285875</xdr:colOff>
      <xdr:row>0</xdr:row>
      <xdr:rowOff>723900</xdr:rowOff>
    </xdr:to>
    <xdr:pic>
      <xdr:nvPicPr>
        <xdr:cNvPr id="8193" name="Imagem 1">
          <a:extLst>
            <a:ext uri="{FF2B5EF4-FFF2-40B4-BE49-F238E27FC236}">
              <a16:creationId xmlns:a16="http://schemas.microsoft.com/office/drawing/2014/main" id="{935CBC73-561E-4C2F-9E9E-04257D352C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85900"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247650</xdr:colOff>
      <xdr:row>18</xdr:row>
      <xdr:rowOff>114300</xdr:rowOff>
    </xdr:from>
    <xdr:to>
      <xdr:col>15</xdr:col>
      <xdr:colOff>171450</xdr:colOff>
      <xdr:row>41</xdr:row>
      <xdr:rowOff>76200</xdr:rowOff>
    </xdr:to>
    <xdr:graphicFrame macro="">
      <xdr:nvGraphicFramePr>
        <xdr:cNvPr id="9220" name="Gráfico 1">
          <a:extLst>
            <a:ext uri="{FF2B5EF4-FFF2-40B4-BE49-F238E27FC236}">
              <a16:creationId xmlns:a16="http://schemas.microsoft.com/office/drawing/2014/main" id="{6E790801-C08D-498F-9406-5BDC90A4A8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104775</xdr:colOff>
      <xdr:row>0</xdr:row>
      <xdr:rowOff>85725</xdr:rowOff>
    </xdr:from>
    <xdr:to>
      <xdr:col>2</xdr:col>
      <xdr:colOff>695325</xdr:colOff>
      <xdr:row>0</xdr:row>
      <xdr:rowOff>723900</xdr:rowOff>
    </xdr:to>
    <xdr:pic>
      <xdr:nvPicPr>
        <xdr:cNvPr id="9221" name="Imagem 1">
          <a:extLst>
            <a:ext uri="{FF2B5EF4-FFF2-40B4-BE49-F238E27FC236}">
              <a16:creationId xmlns:a16="http://schemas.microsoft.com/office/drawing/2014/main" id="{7B0BBB4B-C07D-445B-8B78-BBAEC6552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9</xdr:col>
      <xdr:colOff>1009650</xdr:colOff>
      <xdr:row>26</xdr:row>
      <xdr:rowOff>9525</xdr:rowOff>
    </xdr:to>
    <xdr:sp macro="" textlink="">
      <xdr:nvSpPr>
        <xdr:cNvPr id="9222" name="shapetype_202" hidden="1">
          <a:extLst>
            <a:ext uri="{FF2B5EF4-FFF2-40B4-BE49-F238E27FC236}">
              <a16:creationId xmlns:a16="http://schemas.microsoft.com/office/drawing/2014/main" id="{2B5E5A7C-A89F-4728-A6CB-952ADC56C06B}"/>
            </a:ext>
          </a:extLst>
        </xdr:cNvPr>
        <xdr:cNvSpPr txBox="1">
          <a:spLocks noSelect="1" noChangeArrowheads="1"/>
        </xdr:cNvSpPr>
      </xdr:nvSpPr>
      <xdr:spPr bwMode="auto">
        <a:xfrm>
          <a:off x="0" y="0"/>
          <a:ext cx="6115050" cy="644842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9525</xdr:rowOff>
    </xdr:to>
    <xdr:sp macro="" textlink="">
      <xdr:nvSpPr>
        <xdr:cNvPr id="9223" name="shapetype_202" hidden="1">
          <a:extLst>
            <a:ext uri="{FF2B5EF4-FFF2-40B4-BE49-F238E27FC236}">
              <a16:creationId xmlns:a16="http://schemas.microsoft.com/office/drawing/2014/main" id="{41904C1F-7921-49D0-9A9C-AAAA9531AB7C}"/>
            </a:ext>
          </a:extLst>
        </xdr:cNvPr>
        <xdr:cNvSpPr txBox="1">
          <a:spLocks noSelect="1" noChangeArrowheads="1"/>
        </xdr:cNvSpPr>
      </xdr:nvSpPr>
      <xdr:spPr bwMode="auto">
        <a:xfrm>
          <a:off x="0" y="0"/>
          <a:ext cx="6115050" cy="6448425"/>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38100</xdr:colOff>
      <xdr:row>0</xdr:row>
      <xdr:rowOff>723900</xdr:rowOff>
    </xdr:to>
    <xdr:pic>
      <xdr:nvPicPr>
        <xdr:cNvPr id="10241" name="Imagem 1">
          <a:extLst>
            <a:ext uri="{FF2B5EF4-FFF2-40B4-BE49-F238E27FC236}">
              <a16:creationId xmlns:a16="http://schemas.microsoft.com/office/drawing/2014/main" id="{CFB666AA-985F-412A-A0FE-D8C71EEC2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00"/>
  </sheetPr>
  <dimension ref="A1"/>
  <sheetViews>
    <sheetView zoomScaleNormal="100" workbookViewId="0">
      <selection activeCell="A15" sqref="A15"/>
    </sheetView>
  </sheetViews>
  <sheetFormatPr defaultColWidth="8.5703125" defaultRowHeight="12.75"/>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H30"/>
  <sheetViews>
    <sheetView showGridLines="0" tabSelected="1" zoomScaleNormal="100" workbookViewId="0">
      <selection activeCell="B4" sqref="B4:D4"/>
    </sheetView>
  </sheetViews>
  <sheetFormatPr defaultColWidth="8.85546875" defaultRowHeight="15"/>
  <cols>
    <col min="1" max="1" width="25.42578125" style="1" customWidth="1" collapsed="1"/>
    <col min="2" max="2" width="10" style="1" customWidth="1" collapsed="1"/>
    <col min="3" max="3" width="14.42578125" style="1" customWidth="1" collapsed="1"/>
    <col min="4" max="4" width="6.5703125" style="1" customWidth="1" collapsed="1"/>
    <col min="5" max="5" width="27" style="1" customWidth="1" collapsed="1"/>
    <col min="6" max="6" width="8.42578125" style="1" customWidth="1" collapsed="1"/>
    <col min="7" max="7" width="23.5703125" style="1" customWidth="1" collapsed="1"/>
    <col min="8" max="16384" width="8.85546875" style="1"/>
  </cols>
  <sheetData>
    <row r="1" spans="1:8" s="4" customFormat="1" ht="69" customHeight="1">
      <c r="A1" s="2" t="s">
        <v>0</v>
      </c>
      <c r="B1" s="216" t="s">
        <v>1</v>
      </c>
      <c r="C1" s="216"/>
      <c r="D1" s="216"/>
      <c r="E1" s="216"/>
      <c r="F1" s="216"/>
      <c r="G1" s="216"/>
      <c r="H1" s="3"/>
    </row>
    <row r="2" spans="1:8" ht="9" customHeight="1"/>
    <row r="3" spans="1:8" ht="15.75">
      <c r="A3" s="208" t="s">
        <v>2</v>
      </c>
      <c r="B3" s="208"/>
      <c r="C3" s="208"/>
      <c r="D3" s="208"/>
      <c r="E3" s="208"/>
      <c r="F3" s="208"/>
      <c r="G3" s="208"/>
    </row>
    <row r="4" spans="1:8">
      <c r="A4" s="5" t="s">
        <v>3</v>
      </c>
      <c r="B4" s="217"/>
      <c r="C4" s="217"/>
      <c r="D4" s="217"/>
      <c r="E4" s="5" t="s">
        <v>4</v>
      </c>
      <c r="F4" s="217" t="s">
        <v>241</v>
      </c>
      <c r="G4" s="217"/>
    </row>
    <row r="5" spans="1:8">
      <c r="A5" s="5" t="s">
        <v>5</v>
      </c>
      <c r="B5" s="217"/>
      <c r="C5" s="217"/>
      <c r="D5" s="217"/>
      <c r="E5" s="5" t="s">
        <v>6</v>
      </c>
      <c r="F5" s="217"/>
      <c r="G5" s="217"/>
    </row>
    <row r="6" spans="1:8">
      <c r="A6" s="5" t="s">
        <v>7</v>
      </c>
      <c r="B6" s="215"/>
      <c r="C6" s="215"/>
      <c r="D6" s="215"/>
      <c r="E6" s="5" t="s">
        <v>8</v>
      </c>
      <c r="F6" s="213" t="str">
        <f>IF($B$5="Detalhada",IF('AFP - Detalhada'!N4&lt;&gt;"",'AFP - Detalhada'!N4,""),IF($B$5="Estimativa",IF('AFP - Estimativa'!H4&lt;&gt;"",'AFP - Estimativa'!H4,""),IF($B$5="Indicativa",IF('AFP - Indicativa'!G4&lt;&gt;"",'AFP - Indicativa'!G4,""),"")))</f>
        <v/>
      </c>
      <c r="G6" s="213"/>
    </row>
    <row r="7" spans="1:8">
      <c r="A7" s="5" t="s">
        <v>9</v>
      </c>
      <c r="B7" s="215" t="str">
        <f>IF($B$5="Detalhada",IF('AFP - Detalhada'!N5&lt;&gt;"",'AFP - Detalhada'!N5,""),IF($B$5="Estimativa",IF('AFP - Estimativa'!H5&lt;&gt;"",'AFP - Estimativa'!H5,""),IF($B$5="Indicativa",IF('AFP - Indicativa'!G5&lt;&gt;"",'AFP - Indicativa'!G5,""),"")))</f>
        <v/>
      </c>
      <c r="C7" s="215"/>
      <c r="D7" s="215"/>
      <c r="E7" s="5" t="s">
        <v>10</v>
      </c>
      <c r="F7" s="213" t="str">
        <f>IF($B$5="Detalhada",IF('AFP - Detalhada'!N6&lt;&gt;"",'AFP - Detalhada'!N6,""),IF($B$5="Estimativa",IF('AFP - Estimativa'!H6&lt;&gt;"",'AFP - Estimativa'!H6,""),IF($B$5="Indicativa",IF('AFP - Indicativa'!G6&lt;&gt;"",'AFP - Indicativa'!G6,""),"")))</f>
        <v/>
      </c>
      <c r="G7" s="213"/>
    </row>
    <row r="9" spans="1:8" ht="15.75">
      <c r="A9" s="208" t="s">
        <v>11</v>
      </c>
      <c r="B9" s="208"/>
      <c r="C9" s="208"/>
      <c r="D9" s="208"/>
      <c r="E9" s="208"/>
      <c r="F9" s="208"/>
      <c r="G9" s="208"/>
    </row>
    <row r="10" spans="1:8" ht="42.6" customHeight="1">
      <c r="A10" s="214" t="str">
        <f>IF(Tipo_Contagem&lt;&gt;"","Obtenção do tamanho funcional (APF) "&amp;IF(Tipo_Contagem="Estimativa","Estimado", IF(Tipo_Contagem="Indicativa", "Indicativo", "Detalhado"))&amp;" das funcionalidades solicitadas/entregues na OS "&amp;IF(B4&lt;&gt;"",B4,"em questão"),"")</f>
        <v/>
      </c>
      <c r="B10" s="214"/>
      <c r="C10" s="214"/>
      <c r="D10" s="214"/>
      <c r="E10" s="214"/>
      <c r="F10" s="214"/>
      <c r="G10" s="214"/>
    </row>
    <row r="12" spans="1:8" ht="15.75">
      <c r="A12" s="208" t="s">
        <v>12</v>
      </c>
      <c r="B12" s="208"/>
      <c r="C12" s="208"/>
      <c r="D12" s="208"/>
      <c r="E12" s="208"/>
      <c r="F12" s="208"/>
      <c r="G12" s="208"/>
    </row>
    <row r="13" spans="1:8" ht="46.7" customHeight="1">
      <c r="A13" s="214"/>
      <c r="B13" s="214"/>
      <c r="C13" s="214"/>
      <c r="D13" s="214"/>
      <c r="E13" s="214"/>
      <c r="F13" s="214"/>
      <c r="G13" s="214"/>
    </row>
    <row r="15" spans="1:8" ht="15.75">
      <c r="A15" s="208" t="s">
        <v>13</v>
      </c>
      <c r="B15" s="208"/>
      <c r="C15" s="208"/>
      <c r="E15" s="208" t="s">
        <v>14</v>
      </c>
      <c r="F15" s="208"/>
      <c r="G15" s="208"/>
    </row>
    <row r="16" spans="1:8" ht="14.45" customHeight="1">
      <c r="A16" s="212" t="s">
        <v>15</v>
      </c>
      <c r="B16" s="212"/>
      <c r="C16" s="6" t="str">
        <f>IF((IF($B$5="Detalhada",SUMIF('AFP - Detalhada'!$G$10:$G$630,"ALI",'AFP - Detalhada'!$Q$10:$Q$630),IF($B$5="Estimativa",SUMIF('AFP - Estimativa'!$H$10:$H$383,"ALI",'AFP - Estimativa'!$I$10:$I$383)*(1+'AFP - Estimativa'!$C$6),IF($B$5="Indicativa",SUMIF('AFP - Indicativa'!$G$10:$G$108,"ALI",'AFP - Indicativa'!$H$10:$H$108)*(1+'AFP - Indicativa'!$E$6))))),IF($B$5="Detalhada",SUMIF('AFP - Detalhada'!$G$10:$G$630,"ALI",'AFP - Detalhada'!$Q$10:$Q$630),IF($B$5="Estimativa",SUMIF('AFP - Estimativa'!$H$10:$H$383,"ALI",'AFP - Estimativa'!$I$10:$I$383)*(1+'AFP - Estimativa'!$C$6),IF($B$5="Indicativa",SUMIF('AFP - Indicativa'!$G$10:$G$108,"ALI",'AFP - Indicativa'!$H$10:$H$108)*(1+'AFP - Indicativa'!$E$6)))),"")</f>
        <v/>
      </c>
      <c r="E16" s="210" t="s">
        <v>16</v>
      </c>
      <c r="F16" s="210"/>
      <c r="G16" s="210"/>
    </row>
    <row r="17" spans="1:7" ht="15" customHeight="1">
      <c r="A17" s="212" t="s">
        <v>17</v>
      </c>
      <c r="B17" s="212"/>
      <c r="C17" s="6" t="str">
        <f>IF((IF($B$5="Detalhada",SUMIF('AFP - Detalhada'!$G$10:$G$630,"AIE",'AFP - Detalhada'!$Q$10:$Q$630),IF($B$5="Estimativa",SUMIF('AFP - Estimativa'!$H$10:$H$383,"AIE",'AFP - Estimativa'!$I$10:$I$383)*(1+'AFP - Estimativa'!$C$6),IF($B$5="Indicativa",SUMIF('AFP - Indicativa'!$G$10:$G$108,"AIE",'AFP - Indicativa'!$H$10:$H$108)*(1+'AFP - Indicativa'!$E$6))))),(IF($B$5="Detalhada",SUMIF('AFP - Detalhada'!$G$10:$G$630,"AIE",'AFP - Detalhada'!$Q$10:$Q$630),IF($B$5="Estimativa",SUMIF('AFP - Estimativa'!$H$10:$H$383,"AIE",'AFP - Estimativa'!$I$10:$I$383)*(1+'AFP - Estimativa'!$C$6),IF($B$5="Indicativa",SUMIF('AFP - Indicativa'!$G$10:$G$108,"AIE",'AFP - Indicativa'!$H$10:$H$108)*(1+'AFP - Indicativa'!$E$6))))),"")</f>
        <v/>
      </c>
      <c r="E17" s="210"/>
      <c r="F17" s="210"/>
      <c r="G17" s="210"/>
    </row>
    <row r="18" spans="1:7">
      <c r="A18" s="212" t="s">
        <v>18</v>
      </c>
      <c r="B18" s="212"/>
      <c r="C18" s="6" t="str">
        <f>IF($B$5="Detalhada",SUMIF('AFP - Detalhada'!$G$10:$G$630,"CE",'AFP - Detalhada'!$Q$10:$Q$630),IF($B$5="Estimativa",SUMIF('AFP - Estimativa'!$H$10:$H$383,"CE",'AFP - Estimativa'!$I$10:$I$383)*(1+'AFP - Estimativa'!$C$6),""))</f>
        <v/>
      </c>
      <c r="E18" s="206" t="s">
        <v>19</v>
      </c>
      <c r="F18" s="206"/>
      <c r="G18" s="7">
        <v>0.25</v>
      </c>
    </row>
    <row r="19" spans="1:7">
      <c r="A19" s="212" t="s">
        <v>20</v>
      </c>
      <c r="B19" s="212"/>
      <c r="C19" s="6" t="str">
        <f>IF($B$5="Detalhada",SUMIF('AFP - Detalhada'!$G$10:$G$630,"EE",'AFP - Detalhada'!$Q$10:$Q$630),IF($B$5="Estimativa",SUMIF('AFP - Estimativa'!$H$10:$H$383,"EE",'AFP - Estimativa'!$I$10:$I$383)*(1+'AFP - Estimativa'!$C$6),""))</f>
        <v/>
      </c>
      <c r="E19" s="206" t="s">
        <v>21</v>
      </c>
      <c r="F19" s="206"/>
      <c r="G19" s="8">
        <v>0.1</v>
      </c>
    </row>
    <row r="20" spans="1:7">
      <c r="A20" s="212" t="s">
        <v>22</v>
      </c>
      <c r="B20" s="212"/>
      <c r="C20" s="6" t="str">
        <f>IF($B$5="Detalhada",SUMIF('AFP - Detalhada'!$G$10:$G$630,"SE",'AFP - Detalhada'!$Q$10:$Q$630),IF($B$5="Estimativa",SUMIF('AFP - Estimativa'!$H$10:$H$383,"SE",'AFP - Estimativa'!$I$10:$I$383)*(1+'AFP - Estimativa'!$C$6),""))</f>
        <v/>
      </c>
      <c r="E20" s="206" t="s">
        <v>23</v>
      </c>
      <c r="F20" s="206"/>
      <c r="G20" s="8">
        <v>0.4</v>
      </c>
    </row>
    <row r="21" spans="1:7">
      <c r="A21" s="212" t="s">
        <v>24</v>
      </c>
      <c r="B21" s="212"/>
      <c r="C21" s="9">
        <f>PF_INM</f>
        <v>0</v>
      </c>
      <c r="E21" s="206" t="s">
        <v>25</v>
      </c>
      <c r="F21" s="206"/>
      <c r="G21" s="8">
        <v>0.15</v>
      </c>
    </row>
    <row r="22" spans="1:7">
      <c r="A22" s="212" t="s">
        <v>26</v>
      </c>
      <c r="B22" s="212"/>
      <c r="C22" s="9">
        <f>UST!K404</f>
        <v>0</v>
      </c>
      <c r="E22" s="206" t="s">
        <v>27</v>
      </c>
      <c r="F22" s="206"/>
      <c r="G22" s="8">
        <v>0.05</v>
      </c>
    </row>
    <row r="23" spans="1:7" ht="15.75">
      <c r="A23" s="205" t="s">
        <v>28</v>
      </c>
      <c r="B23" s="205"/>
      <c r="C23" s="10">
        <f>SUM(C16:C22)</f>
        <v>0</v>
      </c>
      <c r="E23" s="206" t="s">
        <v>29</v>
      </c>
      <c r="F23" s="206"/>
      <c r="G23" s="8">
        <v>0.05</v>
      </c>
    </row>
    <row r="24" spans="1:7" ht="15.75" customHeight="1">
      <c r="E24" s="207" t="s">
        <v>30</v>
      </c>
      <c r="F24" s="207"/>
      <c r="G24" s="11">
        <f>SUM(G18:G23)</f>
        <v>1</v>
      </c>
    </row>
    <row r="25" spans="1:7" ht="15.75" customHeight="1">
      <c r="A25" s="208" t="s">
        <v>31</v>
      </c>
      <c r="B25" s="208"/>
      <c r="C25" s="208"/>
      <c r="E25" s="12"/>
      <c r="F25" s="12"/>
      <c r="G25" s="13"/>
    </row>
    <row r="26" spans="1:7" ht="15.75">
      <c r="A26" s="208"/>
      <c r="B26" s="208"/>
      <c r="C26" s="208"/>
      <c r="E26" s="209" t="str">
        <f>CONCATENATE("Quantidade Final (A) x ",IF(F4&lt;&gt;"",IF(F4="Desenvolvimento ou manutenção","(E1)","(E2)"),""))</f>
        <v>Quantidade Final (A) x (E1)</v>
      </c>
      <c r="F26" s="209"/>
      <c r="G26" s="10">
        <f>C23*IF(F4&lt;&gt;"",IF(F4="Desenvolvimento ou manutenção",G24,C30),0)</f>
        <v>0</v>
      </c>
    </row>
    <row r="27" spans="1:7" ht="15.6" customHeight="1">
      <c r="A27" s="210" t="s">
        <v>32</v>
      </c>
      <c r="B27" s="210"/>
      <c r="C27" s="210"/>
      <c r="E27" s="209" t="s">
        <v>33</v>
      </c>
      <c r="F27" s="209"/>
      <c r="G27" s="14">
        <v>1</v>
      </c>
    </row>
    <row r="28" spans="1:7" ht="15.75">
      <c r="A28" s="210"/>
      <c r="B28" s="210"/>
      <c r="C28" s="210"/>
      <c r="E28" s="211" t="s">
        <v>34</v>
      </c>
      <c r="F28" s="211"/>
      <c r="G28" s="10">
        <f>G26*G27</f>
        <v>0</v>
      </c>
    </row>
    <row r="29" spans="1:7">
      <c r="A29" s="206" t="s">
        <v>35</v>
      </c>
      <c r="B29" s="206"/>
      <c r="C29" s="7">
        <v>0.2</v>
      </c>
    </row>
    <row r="30" spans="1:7" ht="15.75">
      <c r="A30" s="207" t="s">
        <v>36</v>
      </c>
      <c r="B30" s="207"/>
      <c r="C30" s="11">
        <f>SUM(C29:C29)</f>
        <v>0.2</v>
      </c>
    </row>
  </sheetData>
  <mergeCells count="39">
    <mergeCell ref="B1:G1"/>
    <mergeCell ref="A3:G3"/>
    <mergeCell ref="B4:D4"/>
    <mergeCell ref="F4:G4"/>
    <mergeCell ref="B5:D5"/>
    <mergeCell ref="F5:G5"/>
    <mergeCell ref="E16:G17"/>
    <mergeCell ref="A17:B17"/>
    <mergeCell ref="A18:B18"/>
    <mergeCell ref="E18:F18"/>
    <mergeCell ref="B6:D6"/>
    <mergeCell ref="F6:G6"/>
    <mergeCell ref="B7:D7"/>
    <mergeCell ref="A19:B19"/>
    <mergeCell ref="E19:F19"/>
    <mergeCell ref="F7:G7"/>
    <mergeCell ref="A9:G9"/>
    <mergeCell ref="A12:G12"/>
    <mergeCell ref="A13:G13"/>
    <mergeCell ref="A15:C15"/>
    <mergeCell ref="E15:G15"/>
    <mergeCell ref="A10:G10"/>
    <mergeCell ref="A16:B16"/>
    <mergeCell ref="A20:B20"/>
    <mergeCell ref="E20:F20"/>
    <mergeCell ref="A21:B21"/>
    <mergeCell ref="E21:F21"/>
    <mergeCell ref="A22:B22"/>
    <mergeCell ref="E22:F22"/>
    <mergeCell ref="A23:B23"/>
    <mergeCell ref="E23:F23"/>
    <mergeCell ref="E24:F24"/>
    <mergeCell ref="A29:B29"/>
    <mergeCell ref="A30:B30"/>
    <mergeCell ref="A25:C26"/>
    <mergeCell ref="E26:F26"/>
    <mergeCell ref="A27:C28"/>
    <mergeCell ref="E27:F27"/>
    <mergeCell ref="E28:F28"/>
  </mergeCells>
  <dataValidations count="2">
    <dataValidation type="list" allowBlank="1" showInputMessage="1" showErrorMessage="1" sqref="B5:D5">
      <formula1>"Indicativa,Estimativa,Detalhada"</formula1>
      <formula2>0</formula2>
    </dataValidation>
    <dataValidation type="list" allowBlank="1" showInputMessage="1" showErrorMessage="1" sqref="F4:G4">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AM631"/>
  <sheetViews>
    <sheetView showGridLines="0" zoomScale="85" zoomScaleNormal="85" workbookViewId="0">
      <selection activeCell="B10" sqref="B10"/>
    </sheetView>
  </sheetViews>
  <sheetFormatPr defaultColWidth="8.85546875" defaultRowHeight="12.75"/>
  <cols>
    <col min="1" max="1" width="5.5703125" style="15" customWidth="1" collapsed="1"/>
    <col min="2" max="2" width="27.42578125" style="16" customWidth="1" collapsed="1"/>
    <col min="3" max="3" width="8.42578125" style="16" customWidth="1" collapsed="1"/>
    <col min="4" max="4" width="24.140625" style="17" customWidth="1" collapsed="1"/>
    <col min="5" max="5" width="27.7109375" style="17" customWidth="1" collapsed="1"/>
    <col min="6" max="6" width="38.42578125" style="18" customWidth="1" collapsed="1"/>
    <col min="7" max="7" width="12.42578125" style="15" customWidth="1" collapsed="1"/>
    <col min="8" max="8" width="5.85546875" style="15" customWidth="1" collapsed="1"/>
    <col min="9" max="9" width="16.140625" style="19" customWidth="1" collapsed="1"/>
    <col min="10" max="10" width="5.85546875" style="15" customWidth="1" collapsed="1"/>
    <col min="11" max="11" width="16.140625" style="19" customWidth="1" collapsed="1"/>
    <col min="12" max="13" width="15.5703125" style="16" hidden="1" customWidth="1" collapsed="1"/>
    <col min="14" max="14" width="15.140625" style="15" customWidth="1" collapsed="1"/>
    <col min="15" max="16" width="16.5703125" style="16" hidden="1" customWidth="1" collapsed="1"/>
    <col min="17" max="17" width="8.42578125" style="16" customWidth="1" collapsed="1"/>
    <col min="18" max="18" width="40.42578125" style="16" customWidth="1" collapsed="1"/>
    <col min="19" max="19" width="4.42578125" style="16" customWidth="1" collapsed="1"/>
    <col min="20" max="20" width="14" style="15" customWidth="1" collapsed="1"/>
    <col min="21" max="21" width="31.42578125" style="16" customWidth="1" collapsed="1"/>
    <col min="22" max="22" width="8.42578125" style="16" customWidth="1" collapsed="1"/>
    <col min="23" max="23" width="9.5703125" style="16" customWidth="1" collapsed="1"/>
    <col min="24" max="24" width="9.140625" style="16" customWidth="1" collapsed="1"/>
    <col min="25" max="25" width="11.42578125" style="16" customWidth="1" collapsed="1"/>
    <col min="26" max="26" width="9.140625" style="16" customWidth="1" collapsed="1"/>
    <col min="27" max="27" width="11.28515625" style="16" customWidth="1" collapsed="1"/>
    <col min="28" max="29" width="9.140625" style="16" hidden="1" customWidth="1" collapsed="1"/>
    <col min="30" max="30" width="14.42578125" style="16" customWidth="1" collapsed="1"/>
    <col min="31" max="32" width="9.140625" style="16" hidden="1" customWidth="1" collapsed="1"/>
    <col min="33" max="33" width="8.85546875" style="16" customWidth="1" collapsed="1"/>
    <col min="34" max="34" width="36.5703125" style="16" customWidth="1" collapsed="1"/>
    <col min="35" max="35" width="5.42578125" style="16" customWidth="1" collapsed="1"/>
    <col min="36" max="36" width="40.140625" style="16" customWidth="1" collapsed="1"/>
    <col min="37" max="37" width="5.42578125" style="16" customWidth="1" collapsed="1"/>
    <col min="38" max="38" width="45.5703125" style="16" customWidth="1" collapsed="1"/>
    <col min="39" max="39" width="12.140625" style="16" customWidth="1" collapsed="1"/>
    <col min="40" max="16384" width="8.85546875" style="16"/>
  </cols>
  <sheetData>
    <row r="1" spans="1:39" ht="69" customHeight="1">
      <c r="A1" s="2" t="str">
        <f>Resumo!A1</f>
        <v>Template V.2.0</v>
      </c>
      <c r="B1" s="20"/>
      <c r="C1" s="230" t="s">
        <v>37</v>
      </c>
      <c r="D1" s="230"/>
      <c r="E1" s="230"/>
      <c r="F1" s="230"/>
      <c r="G1" s="230"/>
      <c r="H1" s="230"/>
      <c r="I1" s="230"/>
      <c r="J1" s="230"/>
      <c r="K1" s="230"/>
      <c r="L1" s="230"/>
      <c r="M1" s="230"/>
      <c r="N1" s="230"/>
      <c r="O1" s="230"/>
      <c r="P1" s="230"/>
      <c r="Q1" s="230"/>
      <c r="R1" s="230"/>
    </row>
    <row r="2" spans="1:39" ht="9" customHeight="1">
      <c r="A2" s="21"/>
      <c r="B2" s="21"/>
      <c r="C2" s="22"/>
      <c r="D2" s="22"/>
      <c r="E2" s="22"/>
      <c r="F2" s="22"/>
      <c r="G2" s="22"/>
      <c r="H2" s="22"/>
      <c r="I2" s="23"/>
      <c r="J2" s="22"/>
      <c r="K2" s="23"/>
      <c r="L2" s="22"/>
      <c r="M2" s="22"/>
      <c r="N2" s="22"/>
      <c r="O2" s="22"/>
      <c r="P2" s="22"/>
      <c r="Q2" s="22"/>
      <c r="R2" s="22"/>
      <c r="V2" s="22"/>
    </row>
    <row r="3" spans="1:39" ht="18.600000000000001" customHeight="1">
      <c r="A3" s="16"/>
      <c r="B3" s="24"/>
      <c r="C3" s="22"/>
      <c r="D3" s="22"/>
      <c r="E3" s="22"/>
      <c r="F3" s="22"/>
      <c r="G3" s="228" t="s">
        <v>7</v>
      </c>
      <c r="H3" s="228"/>
      <c r="I3" s="228"/>
      <c r="J3" s="228"/>
      <c r="K3" s="228"/>
      <c r="L3" s="25"/>
      <c r="M3" s="25"/>
      <c r="N3" s="224"/>
      <c r="O3" s="224"/>
      <c r="P3" s="224"/>
      <c r="Q3" s="224"/>
      <c r="R3" s="224"/>
      <c r="T3" s="231" t="s">
        <v>38</v>
      </c>
      <c r="U3" s="231"/>
      <c r="V3" s="231"/>
      <c r="W3" s="228" t="s">
        <v>7</v>
      </c>
      <c r="X3" s="228"/>
      <c r="Y3" s="228"/>
      <c r="Z3" s="228"/>
      <c r="AA3" s="228"/>
      <c r="AB3" s="25"/>
      <c r="AC3" s="25"/>
      <c r="AD3" s="224" t="s">
        <v>39</v>
      </c>
      <c r="AE3" s="224"/>
      <c r="AF3" s="224"/>
      <c r="AG3" s="224"/>
      <c r="AH3" s="224"/>
    </row>
    <row r="4" spans="1:39" ht="18.600000000000001" customHeight="1">
      <c r="A4" s="16"/>
      <c r="B4" s="24"/>
      <c r="C4" s="22"/>
      <c r="D4" s="22"/>
      <c r="E4" s="26" t="s">
        <v>40</v>
      </c>
      <c r="F4" s="22"/>
      <c r="G4" s="228" t="s">
        <v>8</v>
      </c>
      <c r="H4" s="228"/>
      <c r="I4" s="228"/>
      <c r="J4" s="228"/>
      <c r="K4" s="228"/>
      <c r="L4" s="25"/>
      <c r="M4" s="25"/>
      <c r="N4" s="225"/>
      <c r="O4" s="225"/>
      <c r="P4" s="225"/>
      <c r="Q4" s="225"/>
      <c r="R4" s="225"/>
      <c r="T4" s="231"/>
      <c r="U4" s="231"/>
      <c r="V4" s="231"/>
      <c r="W4" s="228" t="s">
        <v>8</v>
      </c>
      <c r="X4" s="228"/>
      <c r="Y4" s="228"/>
      <c r="Z4" s="228"/>
      <c r="AA4" s="228"/>
      <c r="AB4" s="25"/>
      <c r="AC4" s="25"/>
      <c r="AD4" s="225"/>
      <c r="AE4" s="225"/>
      <c r="AF4" s="225"/>
      <c r="AG4" s="225"/>
      <c r="AH4" s="225"/>
    </row>
    <row r="5" spans="1:39" ht="18.600000000000001" customHeight="1">
      <c r="A5" s="227" t="s">
        <v>41</v>
      </c>
      <c r="B5" s="227"/>
      <c r="C5" s="227"/>
      <c r="D5" s="28">
        <f>$Q$631+PF_INM</f>
        <v>0</v>
      </c>
      <c r="E5" s="232" t="str">
        <f>IF(D6=0,"",IF(D5&lt;&gt;D6,"Em Divergência","Concluído"))</f>
        <v/>
      </c>
      <c r="F5" s="22"/>
      <c r="G5" s="228" t="s">
        <v>9</v>
      </c>
      <c r="H5" s="228"/>
      <c r="I5" s="228"/>
      <c r="J5" s="228"/>
      <c r="K5" s="228"/>
      <c r="L5" s="25"/>
      <c r="M5" s="25"/>
      <c r="N5" s="224"/>
      <c r="O5" s="224"/>
      <c r="P5" s="224"/>
      <c r="Q5" s="224"/>
      <c r="R5" s="224"/>
      <c r="T5" s="231"/>
      <c r="U5" s="231"/>
      <c r="V5" s="231"/>
      <c r="W5" s="228" t="s">
        <v>9</v>
      </c>
      <c r="X5" s="228"/>
      <c r="Y5" s="228"/>
      <c r="Z5" s="228"/>
      <c r="AA5" s="228"/>
      <c r="AB5" s="25"/>
      <c r="AC5" s="25"/>
      <c r="AD5" s="224"/>
      <c r="AE5" s="224"/>
      <c r="AF5" s="224"/>
      <c r="AG5" s="224"/>
      <c r="AH5" s="224"/>
    </row>
    <row r="6" spans="1:39" ht="18.600000000000001" customHeight="1">
      <c r="A6" s="227" t="s">
        <v>42</v>
      </c>
      <c r="B6" s="227"/>
      <c r="C6" s="227"/>
      <c r="D6" s="28">
        <f>$AG$631+'AFP - INM'!AI385</f>
        <v>0</v>
      </c>
      <c r="E6" s="232"/>
      <c r="F6" s="22"/>
      <c r="G6" s="228" t="s">
        <v>10</v>
      </c>
      <c r="H6" s="228"/>
      <c r="I6" s="228"/>
      <c r="J6" s="228"/>
      <c r="K6" s="228"/>
      <c r="L6" s="25"/>
      <c r="M6" s="25"/>
      <c r="N6" s="225"/>
      <c r="O6" s="225"/>
      <c r="P6" s="225"/>
      <c r="Q6" s="225"/>
      <c r="R6" s="225"/>
      <c r="T6" s="231"/>
      <c r="U6" s="231"/>
      <c r="V6" s="231"/>
      <c r="W6" s="228" t="s">
        <v>10</v>
      </c>
      <c r="X6" s="228"/>
      <c r="Y6" s="228"/>
      <c r="Z6" s="228"/>
      <c r="AA6" s="228"/>
      <c r="AB6" s="25"/>
      <c r="AC6" s="25"/>
      <c r="AD6" s="225"/>
      <c r="AE6" s="225"/>
      <c r="AF6" s="225"/>
      <c r="AG6" s="225"/>
      <c r="AH6" s="225"/>
    </row>
    <row r="7" spans="1:39" ht="9" customHeight="1">
      <c r="A7" s="29"/>
      <c r="B7" s="30"/>
      <c r="C7" s="30"/>
      <c r="D7" s="30"/>
      <c r="E7" s="30"/>
      <c r="F7" s="30"/>
      <c r="G7" s="30"/>
      <c r="H7" s="30"/>
      <c r="I7" s="31"/>
      <c r="J7" s="32"/>
      <c r="K7" s="33"/>
      <c r="L7" s="30"/>
      <c r="M7" s="30"/>
      <c r="N7" s="30"/>
      <c r="O7" s="30"/>
      <c r="P7" s="30"/>
      <c r="Q7" s="30"/>
      <c r="R7" s="30"/>
      <c r="V7" s="30"/>
    </row>
    <row r="8" spans="1:39" s="38" customFormat="1" ht="18.600000000000001" customHeight="1">
      <c r="A8" s="226" t="s">
        <v>43</v>
      </c>
      <c r="B8" s="223" t="s">
        <v>44</v>
      </c>
      <c r="C8" s="223" t="s">
        <v>45</v>
      </c>
      <c r="D8" s="223" t="s">
        <v>46</v>
      </c>
      <c r="E8" s="223" t="s">
        <v>47</v>
      </c>
      <c r="F8" s="229" t="s">
        <v>48</v>
      </c>
      <c r="G8" s="218" t="s">
        <v>49</v>
      </c>
      <c r="H8" s="221" t="s">
        <v>50</v>
      </c>
      <c r="I8" s="221"/>
      <c r="J8" s="222" t="s">
        <v>51</v>
      </c>
      <c r="K8" s="222"/>
      <c r="L8" s="37"/>
      <c r="M8" s="37"/>
      <c r="N8" s="221" t="s">
        <v>52</v>
      </c>
      <c r="O8" s="37"/>
      <c r="P8" s="37"/>
      <c r="Q8" s="218" t="s">
        <v>53</v>
      </c>
      <c r="R8" s="218" t="s">
        <v>54</v>
      </c>
      <c r="T8" s="223" t="s">
        <v>55</v>
      </c>
      <c r="U8" s="223" t="s">
        <v>44</v>
      </c>
      <c r="V8" s="223" t="s">
        <v>45</v>
      </c>
      <c r="W8" s="218" t="s">
        <v>49</v>
      </c>
      <c r="X8" s="221" t="s">
        <v>50</v>
      </c>
      <c r="Y8" s="221"/>
      <c r="Z8" s="222" t="s">
        <v>51</v>
      </c>
      <c r="AA8" s="222"/>
      <c r="AB8" s="37"/>
      <c r="AC8" s="37"/>
      <c r="AD8" s="221" t="s">
        <v>52</v>
      </c>
      <c r="AE8" s="37"/>
      <c r="AF8" s="37"/>
      <c r="AG8" s="218" t="s">
        <v>53</v>
      </c>
      <c r="AH8" s="218" t="s">
        <v>56</v>
      </c>
      <c r="AJ8" s="218" t="s">
        <v>57</v>
      </c>
      <c r="AL8" s="219" t="s">
        <v>58</v>
      </c>
      <c r="AM8" s="220" t="s">
        <v>59</v>
      </c>
    </row>
    <row r="9" spans="1:39" s="43" customFormat="1" ht="15.75">
      <c r="A9" s="226"/>
      <c r="B9" s="223"/>
      <c r="C9" s="223"/>
      <c r="D9" s="223"/>
      <c r="E9" s="223"/>
      <c r="F9" s="229"/>
      <c r="G9" s="218"/>
      <c r="H9" s="39" t="s">
        <v>60</v>
      </c>
      <c r="I9" s="40" t="s">
        <v>61</v>
      </c>
      <c r="J9" s="41" t="s">
        <v>60</v>
      </c>
      <c r="K9" s="39" t="s">
        <v>61</v>
      </c>
      <c r="L9" s="42" t="s">
        <v>62</v>
      </c>
      <c r="M9" s="36" t="s">
        <v>63</v>
      </c>
      <c r="N9" s="221"/>
      <c r="O9" s="35" t="s">
        <v>64</v>
      </c>
      <c r="P9" s="36" t="s">
        <v>65</v>
      </c>
      <c r="Q9" s="218"/>
      <c r="R9" s="218"/>
      <c r="T9" s="223"/>
      <c r="U9" s="223"/>
      <c r="V9" s="223"/>
      <c r="W9" s="218"/>
      <c r="X9" s="39" t="s">
        <v>60</v>
      </c>
      <c r="Y9" s="40" t="s">
        <v>61</v>
      </c>
      <c r="Z9" s="41" t="s">
        <v>60</v>
      </c>
      <c r="AA9" s="39" t="s">
        <v>61</v>
      </c>
      <c r="AB9" s="42" t="s">
        <v>62</v>
      </c>
      <c r="AC9" s="36" t="s">
        <v>63</v>
      </c>
      <c r="AD9" s="221"/>
      <c r="AE9" s="35" t="s">
        <v>64</v>
      </c>
      <c r="AF9" s="36" t="s">
        <v>65</v>
      </c>
      <c r="AG9" s="218"/>
      <c r="AH9" s="218"/>
      <c r="AJ9" s="218"/>
      <c r="AL9" s="219"/>
      <c r="AM9" s="220"/>
    </row>
    <row r="10" spans="1:39" s="56" customFormat="1" ht="14.25">
      <c r="A10" s="44"/>
      <c r="B10" s="45"/>
      <c r="C10" s="46">
        <f>IF(B10&lt;&gt;"",VLOOKUP(B10,'Tipo Projeto'!$A$3:$B$35,2,0),0)</f>
        <v>0</v>
      </c>
      <c r="D10" s="47"/>
      <c r="E10" s="47"/>
      <c r="F10" s="48"/>
      <c r="G10" s="47"/>
      <c r="H10" s="49"/>
      <c r="I10" s="50"/>
      <c r="J10" s="51"/>
      <c r="K10" s="52"/>
      <c r="L10" s="53"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8"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4" t="str">
        <f t="shared" ref="N10:N73" si="2">IF(L10="",M10,IF(M10="",L10,""))</f>
        <v/>
      </c>
      <c r="O10" s="55">
        <f t="shared" ref="O10:O73" si="3">IF(AND(OR(G10="EE",G10="CE"),N10="Simples"),3, IF(AND(OR(G10="EE",G10="CE"),N10="Médio"),4, IF(AND(OR(G10="EE",G10="CE"),N10="Complexo"),6, IF(AND(G10="SE",N10="Simples"),4, IF(AND(G10="SE",N10="Médio"),5, IF(AND(G10="SE",N10="Complexo"),7,0))))))</f>
        <v>0</v>
      </c>
      <c r="P10" s="55">
        <f t="shared" ref="P10:P73" si="4">IF(AND(G10="ALI",M10="Simples"),7, IF(AND(G10="ALI",M10="Médio"),10, IF(AND(G10="ALI",M10="Complexo"),15, IF(AND(G10="AIE",M10="Simples"),5, IF(AND(G10="AIE",M10="Médio"),7, IF(AND(G10="AIE",M10="Complexo"),10,0))))))</f>
        <v>0</v>
      </c>
      <c r="Q10" s="54">
        <f t="shared" ref="Q10:Q73" si="5">IF(B10&lt;&gt;"Manutenção em interface",IF(B10&lt;&gt;"Desenv., Manutenção e Publicação de Páginas Estáticas",(O10+P10)*C10,C10),C10)</f>
        <v>0</v>
      </c>
      <c r="R10" s="47"/>
      <c r="T10" s="57"/>
      <c r="U10" s="45"/>
      <c r="V10" s="46">
        <f>IF(U10&lt;&gt;"",VLOOKUP(U10,'Tipo Projeto'!$A$3:$B$35,2,0),0)</f>
        <v>0</v>
      </c>
      <c r="W10" s="47"/>
      <c r="X10" s="49"/>
      <c r="Y10" s="50"/>
      <c r="Z10" s="51"/>
      <c r="AA10" s="52"/>
      <c r="AB10" s="53"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8"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4" t="str">
        <f t="shared" ref="AD10:AD73" si="8">IF(AB10="",AC10,IF(AC10="",AB10,""))</f>
        <v/>
      </c>
      <c r="AE10" s="55">
        <f t="shared" ref="AE10:AE73" si="9">IF(AND(OR(W10="EE",W10="CE"),AD10="Simples"),3, IF(AND(OR(W10="EE",W10="CE"),AD10="Médio"),4, IF(AND(OR(W10="EE",W10="CE"),AD10="Complexo"),6, IF(AND(W10="SE",AD10="Simples"),4, IF(AND(W10="SE",AD10="Médio"),5, IF(AND(W10="SE",AD10="Complexo"),7,0))))))</f>
        <v>0</v>
      </c>
      <c r="AF10" s="55">
        <f t="shared" ref="AF10:AF73" si="10">IF(AND(W10="ALI",AC10="Simples"),7, IF(AND(W10="ALI",AC10="Médio"),10, IF(AND(W10="ALI",AC10="Complexo"),15, IF(AND(W10="AIE",AC10="Simples"),5, IF(AND(W10="AIE",AC10="Médio"),7, IF(AND(W10="AIE",AC10="Complexo"),10,0))))))</f>
        <v>0</v>
      </c>
      <c r="AG10" s="58">
        <f t="shared" ref="AG10:AG73" si="11">IF(T10="OK",Q10,( IF(U10&lt;&gt;"Manutenção em interface",IF(U10&lt;&gt;"Desenv., Manutenção e Publicação de Páginas Estáticas",(AE10+AF10)*V10,V10),V10)))</f>
        <v>0</v>
      </c>
      <c r="AH10" s="47"/>
      <c r="AJ10" s="47"/>
      <c r="AL10" s="47"/>
      <c r="AM10" s="47" t="str">
        <f t="shared" ref="AM10:AM73" si="12">IF(AG10=0,"",IF(AG10=Q10,"OK","Divergente"))</f>
        <v/>
      </c>
    </row>
    <row r="11" spans="1:39" s="56" customFormat="1" ht="14.25">
      <c r="A11" s="44"/>
      <c r="B11" s="45"/>
      <c r="C11" s="46">
        <f>IF(B11&lt;&gt;"",VLOOKUP(B11,'Tipo Projeto'!$A$3:$B$35,2,0),0)</f>
        <v>0</v>
      </c>
      <c r="D11" s="47"/>
      <c r="E11" s="47"/>
      <c r="F11" s="48"/>
      <c r="G11" s="47"/>
      <c r="H11" s="49"/>
      <c r="I11" s="50"/>
      <c r="J11" s="51"/>
      <c r="K11" s="52"/>
      <c r="L11" s="53" t="str">
        <f t="shared" si="0"/>
        <v/>
      </c>
      <c r="M11" s="48" t="str">
        <f t="shared" si="1"/>
        <v/>
      </c>
      <c r="N11" s="54" t="str">
        <f t="shared" si="2"/>
        <v/>
      </c>
      <c r="O11" s="55">
        <f t="shared" si="3"/>
        <v>0</v>
      </c>
      <c r="P11" s="55">
        <f t="shared" si="4"/>
        <v>0</v>
      </c>
      <c r="Q11" s="54">
        <f t="shared" si="5"/>
        <v>0</v>
      </c>
      <c r="R11" s="47"/>
      <c r="T11" s="57"/>
      <c r="U11" s="45"/>
      <c r="V11" s="46">
        <f>IF(U11&lt;&gt;"",VLOOKUP(U11,'Tipo Projeto'!$A$3:$B$35,2,0),0)</f>
        <v>0</v>
      </c>
      <c r="W11" s="203"/>
      <c r="X11" s="49"/>
      <c r="Y11" s="50"/>
      <c r="Z11" s="51"/>
      <c r="AA11" s="52"/>
      <c r="AB11" s="53" t="str">
        <f t="shared" si="6"/>
        <v/>
      </c>
      <c r="AC11" s="48" t="str">
        <f t="shared" si="7"/>
        <v/>
      </c>
      <c r="AD11" s="54" t="str">
        <f t="shared" si="8"/>
        <v/>
      </c>
      <c r="AE11" s="55">
        <f t="shared" si="9"/>
        <v>0</v>
      </c>
      <c r="AF11" s="55">
        <f t="shared" si="10"/>
        <v>0</v>
      </c>
      <c r="AG11" s="58">
        <f t="shared" si="11"/>
        <v>0</v>
      </c>
      <c r="AH11" s="47"/>
      <c r="AJ11" s="47"/>
      <c r="AL11" s="47"/>
      <c r="AM11" s="47" t="str">
        <f t="shared" si="12"/>
        <v/>
      </c>
    </row>
    <row r="12" spans="1:39" s="56" customFormat="1" ht="14.25">
      <c r="A12" s="44"/>
      <c r="B12" s="45"/>
      <c r="C12" s="46">
        <f>IF(B12&lt;&gt;"",VLOOKUP(B12,'Tipo Projeto'!$A$3:$B$35,2,0),0)</f>
        <v>0</v>
      </c>
      <c r="D12" s="47"/>
      <c r="E12" s="47"/>
      <c r="F12" s="48"/>
      <c r="G12" s="47"/>
      <c r="H12" s="49"/>
      <c r="I12" s="50"/>
      <c r="J12" s="51"/>
      <c r="K12" s="52"/>
      <c r="L12" s="53" t="str">
        <f t="shared" si="0"/>
        <v/>
      </c>
      <c r="M12" s="48" t="str">
        <f t="shared" si="1"/>
        <v/>
      </c>
      <c r="N12" s="54" t="str">
        <f t="shared" si="2"/>
        <v/>
      </c>
      <c r="O12" s="55">
        <f t="shared" si="3"/>
        <v>0</v>
      </c>
      <c r="P12" s="55">
        <f t="shared" si="4"/>
        <v>0</v>
      </c>
      <c r="Q12" s="54">
        <f t="shared" si="5"/>
        <v>0</v>
      </c>
      <c r="R12" s="47"/>
      <c r="T12" s="57"/>
      <c r="U12" s="45"/>
      <c r="V12" s="46">
        <f>IF(U12&lt;&gt;"",VLOOKUP(U12,'Tipo Projeto'!$A$3:$B$35,2,0),0)</f>
        <v>0</v>
      </c>
      <c r="W12" s="203"/>
      <c r="X12" s="49"/>
      <c r="Y12" s="50"/>
      <c r="Z12" s="51"/>
      <c r="AA12" s="52"/>
      <c r="AB12" s="53" t="str">
        <f t="shared" si="6"/>
        <v/>
      </c>
      <c r="AC12" s="48" t="str">
        <f t="shared" si="7"/>
        <v/>
      </c>
      <c r="AD12" s="54" t="str">
        <f t="shared" si="8"/>
        <v/>
      </c>
      <c r="AE12" s="55">
        <f t="shared" si="9"/>
        <v>0</v>
      </c>
      <c r="AF12" s="55">
        <f t="shared" si="10"/>
        <v>0</v>
      </c>
      <c r="AG12" s="58">
        <f t="shared" si="11"/>
        <v>0</v>
      </c>
      <c r="AH12" s="47"/>
      <c r="AJ12" s="47"/>
      <c r="AL12" s="47"/>
      <c r="AM12" s="47" t="str">
        <f t="shared" si="12"/>
        <v/>
      </c>
    </row>
    <row r="13" spans="1:39" s="56" customFormat="1" ht="14.25">
      <c r="A13" s="44"/>
      <c r="B13" s="45"/>
      <c r="C13" s="46">
        <f>IF(B13&lt;&gt;"",VLOOKUP(B13,'Tipo Projeto'!$A$3:$B$35,2,0),0)</f>
        <v>0</v>
      </c>
      <c r="D13" s="47"/>
      <c r="E13" s="47"/>
      <c r="F13" s="48"/>
      <c r="G13" s="47"/>
      <c r="H13" s="49"/>
      <c r="I13" s="50"/>
      <c r="J13" s="51"/>
      <c r="K13" s="52"/>
      <c r="L13" s="53" t="str">
        <f t="shared" si="0"/>
        <v/>
      </c>
      <c r="M13" s="48" t="str">
        <f t="shared" si="1"/>
        <v/>
      </c>
      <c r="N13" s="54" t="str">
        <f t="shared" si="2"/>
        <v/>
      </c>
      <c r="O13" s="55">
        <f t="shared" si="3"/>
        <v>0</v>
      </c>
      <c r="P13" s="55">
        <f t="shared" si="4"/>
        <v>0</v>
      </c>
      <c r="Q13" s="54">
        <f t="shared" si="5"/>
        <v>0</v>
      </c>
      <c r="R13" s="47"/>
      <c r="T13" s="57"/>
      <c r="U13" s="45"/>
      <c r="V13" s="46">
        <f>IF(U13&lt;&gt;"",VLOOKUP(U13,'Tipo Projeto'!$A$3:$B$35,2,0),0)</f>
        <v>0</v>
      </c>
      <c r="W13" s="203"/>
      <c r="X13" s="49"/>
      <c r="Y13" s="50"/>
      <c r="Z13" s="51"/>
      <c r="AA13" s="52"/>
      <c r="AB13" s="53" t="str">
        <f t="shared" si="6"/>
        <v/>
      </c>
      <c r="AC13" s="48" t="str">
        <f t="shared" si="7"/>
        <v/>
      </c>
      <c r="AD13" s="54" t="str">
        <f t="shared" si="8"/>
        <v/>
      </c>
      <c r="AE13" s="55">
        <f t="shared" si="9"/>
        <v>0</v>
      </c>
      <c r="AF13" s="55">
        <f t="shared" si="10"/>
        <v>0</v>
      </c>
      <c r="AG13" s="58">
        <f t="shared" si="11"/>
        <v>0</v>
      </c>
      <c r="AH13" s="47"/>
      <c r="AJ13" s="47"/>
      <c r="AL13" s="47"/>
      <c r="AM13" s="47" t="str">
        <f t="shared" si="12"/>
        <v/>
      </c>
    </row>
    <row r="14" spans="1:39" s="56" customFormat="1" ht="14.25">
      <c r="A14" s="44"/>
      <c r="B14" s="45"/>
      <c r="C14" s="46">
        <f>IF(B14&lt;&gt;"",VLOOKUP(B14,'Tipo Projeto'!$A$3:$B$35,2,0),0)</f>
        <v>0</v>
      </c>
      <c r="D14" s="47"/>
      <c r="E14" s="47"/>
      <c r="F14" s="48"/>
      <c r="G14" s="47"/>
      <c r="H14" s="49"/>
      <c r="I14" s="50"/>
      <c r="J14" s="51"/>
      <c r="K14" s="52"/>
      <c r="L14" s="53" t="str">
        <f t="shared" si="0"/>
        <v/>
      </c>
      <c r="M14" s="48" t="str">
        <f t="shared" si="1"/>
        <v/>
      </c>
      <c r="N14" s="54" t="str">
        <f t="shared" si="2"/>
        <v/>
      </c>
      <c r="O14" s="55">
        <f t="shared" si="3"/>
        <v>0</v>
      </c>
      <c r="P14" s="55">
        <f t="shared" si="4"/>
        <v>0</v>
      </c>
      <c r="Q14" s="54">
        <f t="shared" si="5"/>
        <v>0</v>
      </c>
      <c r="R14" s="47"/>
      <c r="T14" s="57"/>
      <c r="U14" s="45"/>
      <c r="V14" s="46">
        <f>IF(U14&lt;&gt;"",VLOOKUP(U14,'Tipo Projeto'!$A$3:$B$35,2,0),0)</f>
        <v>0</v>
      </c>
      <c r="W14" s="203"/>
      <c r="X14" s="49"/>
      <c r="Y14" s="50"/>
      <c r="Z14" s="51"/>
      <c r="AA14" s="52"/>
      <c r="AB14" s="53" t="str">
        <f t="shared" si="6"/>
        <v/>
      </c>
      <c r="AC14" s="48" t="str">
        <f t="shared" si="7"/>
        <v/>
      </c>
      <c r="AD14" s="54" t="str">
        <f t="shared" si="8"/>
        <v/>
      </c>
      <c r="AE14" s="55">
        <f t="shared" si="9"/>
        <v>0</v>
      </c>
      <c r="AF14" s="55">
        <f t="shared" si="10"/>
        <v>0</v>
      </c>
      <c r="AG14" s="58">
        <f t="shared" si="11"/>
        <v>0</v>
      </c>
      <c r="AH14" s="47"/>
      <c r="AJ14" s="47"/>
      <c r="AL14" s="47"/>
      <c r="AM14" s="47" t="str">
        <f t="shared" si="12"/>
        <v/>
      </c>
    </row>
    <row r="15" spans="1:39" s="56" customFormat="1" ht="14.25">
      <c r="A15" s="44"/>
      <c r="B15" s="45"/>
      <c r="C15" s="46">
        <f>IF(B15&lt;&gt;"",VLOOKUP(B15,'Tipo Projeto'!$A$3:$B$35,2,0),0)</f>
        <v>0</v>
      </c>
      <c r="D15" s="47"/>
      <c r="E15" s="47"/>
      <c r="F15" s="48"/>
      <c r="G15" s="47"/>
      <c r="H15" s="49"/>
      <c r="I15" s="50"/>
      <c r="J15" s="51"/>
      <c r="K15" s="52"/>
      <c r="L15" s="53" t="str">
        <f t="shared" si="0"/>
        <v/>
      </c>
      <c r="M15" s="48" t="str">
        <f t="shared" si="1"/>
        <v/>
      </c>
      <c r="N15" s="54" t="str">
        <f t="shared" si="2"/>
        <v/>
      </c>
      <c r="O15" s="55">
        <f t="shared" si="3"/>
        <v>0</v>
      </c>
      <c r="P15" s="55">
        <f t="shared" si="4"/>
        <v>0</v>
      </c>
      <c r="Q15" s="54">
        <f t="shared" si="5"/>
        <v>0</v>
      </c>
      <c r="R15" s="47"/>
      <c r="T15" s="57"/>
      <c r="U15" s="45"/>
      <c r="V15" s="46">
        <f>IF(U15&lt;&gt;"",VLOOKUP(U15,'Tipo Projeto'!$A$3:$B$35,2,0),0)</f>
        <v>0</v>
      </c>
      <c r="W15" s="203"/>
      <c r="X15" s="49"/>
      <c r="Y15" s="50"/>
      <c r="Z15" s="51"/>
      <c r="AA15" s="52"/>
      <c r="AB15" s="53" t="str">
        <f t="shared" si="6"/>
        <v/>
      </c>
      <c r="AC15" s="48" t="str">
        <f t="shared" si="7"/>
        <v/>
      </c>
      <c r="AD15" s="54" t="str">
        <f t="shared" si="8"/>
        <v/>
      </c>
      <c r="AE15" s="55">
        <f t="shared" si="9"/>
        <v>0</v>
      </c>
      <c r="AF15" s="55">
        <f t="shared" si="10"/>
        <v>0</v>
      </c>
      <c r="AG15" s="58">
        <f t="shared" si="11"/>
        <v>0</v>
      </c>
      <c r="AH15" s="47"/>
      <c r="AJ15" s="47"/>
      <c r="AL15" s="47"/>
      <c r="AM15" s="47" t="str">
        <f t="shared" si="12"/>
        <v/>
      </c>
    </row>
    <row r="16" spans="1:39" s="56" customFormat="1" ht="14.25">
      <c r="A16" s="44"/>
      <c r="B16" s="45"/>
      <c r="C16" s="46">
        <f>IF(B16&lt;&gt;"",VLOOKUP(B16,'Tipo Projeto'!$A$3:$B$35,2,0),0)</f>
        <v>0</v>
      </c>
      <c r="D16" s="47"/>
      <c r="E16" s="47"/>
      <c r="F16" s="48"/>
      <c r="G16" s="47"/>
      <c r="H16" s="49"/>
      <c r="I16" s="50"/>
      <c r="J16" s="51"/>
      <c r="K16" s="52"/>
      <c r="L16" s="53" t="str">
        <f t="shared" si="0"/>
        <v/>
      </c>
      <c r="M16" s="48" t="str">
        <f t="shared" si="1"/>
        <v/>
      </c>
      <c r="N16" s="54" t="str">
        <f t="shared" si="2"/>
        <v/>
      </c>
      <c r="O16" s="55">
        <f t="shared" si="3"/>
        <v>0</v>
      </c>
      <c r="P16" s="55">
        <f t="shared" si="4"/>
        <v>0</v>
      </c>
      <c r="Q16" s="54">
        <f t="shared" si="5"/>
        <v>0</v>
      </c>
      <c r="R16" s="47"/>
      <c r="T16" s="57"/>
      <c r="U16" s="45"/>
      <c r="V16" s="46">
        <f>IF(U16&lt;&gt;"",VLOOKUP(U16,'Tipo Projeto'!$A$3:$B$35,2,0),0)</f>
        <v>0</v>
      </c>
      <c r="W16" s="203"/>
      <c r="X16" s="49"/>
      <c r="Y16" s="50"/>
      <c r="Z16" s="51"/>
      <c r="AA16" s="52"/>
      <c r="AB16" s="53" t="str">
        <f t="shared" si="6"/>
        <v/>
      </c>
      <c r="AC16" s="48" t="str">
        <f t="shared" si="7"/>
        <v/>
      </c>
      <c r="AD16" s="54" t="str">
        <f t="shared" si="8"/>
        <v/>
      </c>
      <c r="AE16" s="55">
        <f t="shared" si="9"/>
        <v>0</v>
      </c>
      <c r="AF16" s="55">
        <f t="shared" si="10"/>
        <v>0</v>
      </c>
      <c r="AG16" s="58">
        <f t="shared" si="11"/>
        <v>0</v>
      </c>
      <c r="AH16" s="47"/>
      <c r="AJ16" s="47"/>
      <c r="AL16" s="47"/>
      <c r="AM16" s="47" t="str">
        <f t="shared" si="12"/>
        <v/>
      </c>
    </row>
    <row r="17" spans="1:39" s="56" customFormat="1" ht="14.25">
      <c r="A17" s="44"/>
      <c r="B17" s="45"/>
      <c r="C17" s="46">
        <f>IF(B17&lt;&gt;"",VLOOKUP(B17,'Tipo Projeto'!$A$3:$B$35,2,0),0)</f>
        <v>0</v>
      </c>
      <c r="D17" s="47"/>
      <c r="E17" s="47"/>
      <c r="F17" s="48"/>
      <c r="G17" s="47"/>
      <c r="H17" s="49"/>
      <c r="I17" s="50"/>
      <c r="J17" s="51"/>
      <c r="K17" s="52"/>
      <c r="L17" s="53" t="str">
        <f t="shared" si="0"/>
        <v/>
      </c>
      <c r="M17" s="48" t="str">
        <f t="shared" si="1"/>
        <v/>
      </c>
      <c r="N17" s="54" t="str">
        <f t="shared" si="2"/>
        <v/>
      </c>
      <c r="O17" s="55">
        <f t="shared" si="3"/>
        <v>0</v>
      </c>
      <c r="P17" s="55">
        <f t="shared" si="4"/>
        <v>0</v>
      </c>
      <c r="Q17" s="54">
        <f t="shared" si="5"/>
        <v>0</v>
      </c>
      <c r="R17" s="47"/>
      <c r="T17" s="57"/>
      <c r="U17" s="45"/>
      <c r="V17" s="46">
        <f>IF(U17&lt;&gt;"",VLOOKUP(U17,'Tipo Projeto'!$A$3:$B$35,2,0),0)</f>
        <v>0</v>
      </c>
      <c r="W17" s="203"/>
      <c r="X17" s="49"/>
      <c r="Y17" s="50"/>
      <c r="Z17" s="51"/>
      <c r="AA17" s="52"/>
      <c r="AB17" s="53" t="str">
        <f t="shared" si="6"/>
        <v/>
      </c>
      <c r="AC17" s="48" t="str">
        <f t="shared" si="7"/>
        <v/>
      </c>
      <c r="AD17" s="54" t="str">
        <f t="shared" si="8"/>
        <v/>
      </c>
      <c r="AE17" s="55">
        <f t="shared" si="9"/>
        <v>0</v>
      </c>
      <c r="AF17" s="55">
        <f t="shared" si="10"/>
        <v>0</v>
      </c>
      <c r="AG17" s="58">
        <f t="shared" si="11"/>
        <v>0</v>
      </c>
      <c r="AH17" s="47"/>
      <c r="AJ17" s="47"/>
      <c r="AL17" s="47"/>
      <c r="AM17" s="47" t="str">
        <f t="shared" si="12"/>
        <v/>
      </c>
    </row>
    <row r="18" spans="1:39" s="56" customFormat="1" ht="14.25">
      <c r="A18" s="44"/>
      <c r="B18" s="45"/>
      <c r="C18" s="46">
        <f>IF(B18&lt;&gt;"",VLOOKUP(B18,'Tipo Projeto'!$A$3:$B$35,2,0),0)</f>
        <v>0</v>
      </c>
      <c r="D18" s="47"/>
      <c r="E18" s="47"/>
      <c r="F18" s="48"/>
      <c r="G18" s="47"/>
      <c r="H18" s="49"/>
      <c r="I18" s="50"/>
      <c r="J18" s="51"/>
      <c r="K18" s="52"/>
      <c r="L18" s="53" t="str">
        <f t="shared" si="0"/>
        <v/>
      </c>
      <c r="M18" s="48" t="str">
        <f t="shared" si="1"/>
        <v/>
      </c>
      <c r="N18" s="54" t="str">
        <f t="shared" si="2"/>
        <v/>
      </c>
      <c r="O18" s="55">
        <f t="shared" si="3"/>
        <v>0</v>
      </c>
      <c r="P18" s="55">
        <f t="shared" si="4"/>
        <v>0</v>
      </c>
      <c r="Q18" s="54">
        <f t="shared" si="5"/>
        <v>0</v>
      </c>
      <c r="R18" s="47"/>
      <c r="T18" s="57"/>
      <c r="U18" s="45"/>
      <c r="V18" s="46">
        <f>IF(U18&lt;&gt;"",VLOOKUP(U18,'Tipo Projeto'!$A$3:$B$35,2,0),0)</f>
        <v>0</v>
      </c>
      <c r="W18" s="203"/>
      <c r="X18" s="49"/>
      <c r="Y18" s="50"/>
      <c r="Z18" s="51"/>
      <c r="AA18" s="52"/>
      <c r="AB18" s="53" t="str">
        <f t="shared" si="6"/>
        <v/>
      </c>
      <c r="AC18" s="48" t="str">
        <f t="shared" si="7"/>
        <v/>
      </c>
      <c r="AD18" s="54" t="str">
        <f t="shared" si="8"/>
        <v/>
      </c>
      <c r="AE18" s="55">
        <f t="shared" si="9"/>
        <v>0</v>
      </c>
      <c r="AF18" s="55">
        <f t="shared" si="10"/>
        <v>0</v>
      </c>
      <c r="AG18" s="58">
        <f t="shared" si="11"/>
        <v>0</v>
      </c>
      <c r="AH18" s="47"/>
      <c r="AJ18" s="47"/>
      <c r="AL18" s="47"/>
      <c r="AM18" s="47" t="str">
        <f t="shared" si="12"/>
        <v/>
      </c>
    </row>
    <row r="19" spans="1:39" s="56" customFormat="1" ht="14.25">
      <c r="A19" s="44"/>
      <c r="B19" s="45"/>
      <c r="C19" s="46">
        <f>IF(B19&lt;&gt;"",VLOOKUP(B19,'Tipo Projeto'!$A$3:$B$35,2,0),0)</f>
        <v>0</v>
      </c>
      <c r="D19" s="47"/>
      <c r="E19" s="47"/>
      <c r="F19" s="48"/>
      <c r="G19" s="47"/>
      <c r="H19" s="49"/>
      <c r="I19" s="50"/>
      <c r="J19" s="51"/>
      <c r="K19" s="52"/>
      <c r="L19" s="53" t="str">
        <f t="shared" si="0"/>
        <v/>
      </c>
      <c r="M19" s="48" t="str">
        <f t="shared" si="1"/>
        <v/>
      </c>
      <c r="N19" s="54" t="str">
        <f t="shared" si="2"/>
        <v/>
      </c>
      <c r="O19" s="55">
        <f t="shared" si="3"/>
        <v>0</v>
      </c>
      <c r="P19" s="55">
        <f t="shared" si="4"/>
        <v>0</v>
      </c>
      <c r="Q19" s="54">
        <f t="shared" si="5"/>
        <v>0</v>
      </c>
      <c r="R19" s="47"/>
      <c r="T19" s="57"/>
      <c r="U19" s="45"/>
      <c r="V19" s="46">
        <f>IF(U19&lt;&gt;"",VLOOKUP(U19,'Tipo Projeto'!$A$3:$B$35,2,0),0)</f>
        <v>0</v>
      </c>
      <c r="W19" s="203"/>
      <c r="X19" s="49"/>
      <c r="Y19" s="50"/>
      <c r="Z19" s="51"/>
      <c r="AA19" s="52"/>
      <c r="AB19" s="53" t="str">
        <f t="shared" si="6"/>
        <v/>
      </c>
      <c r="AC19" s="48" t="str">
        <f t="shared" si="7"/>
        <v/>
      </c>
      <c r="AD19" s="54" t="str">
        <f t="shared" si="8"/>
        <v/>
      </c>
      <c r="AE19" s="55">
        <f t="shared" si="9"/>
        <v>0</v>
      </c>
      <c r="AF19" s="55">
        <f t="shared" si="10"/>
        <v>0</v>
      </c>
      <c r="AG19" s="58">
        <f t="shared" si="11"/>
        <v>0</v>
      </c>
      <c r="AH19" s="47"/>
      <c r="AJ19" s="47"/>
      <c r="AL19" s="47"/>
      <c r="AM19" s="47" t="str">
        <f t="shared" si="12"/>
        <v/>
      </c>
    </row>
    <row r="20" spans="1:39" s="56" customFormat="1" ht="14.25">
      <c r="A20" s="44"/>
      <c r="B20" s="45"/>
      <c r="C20" s="46">
        <f>IF(B20&lt;&gt;"",VLOOKUP(B20,'Tipo Projeto'!$A$3:$B$35,2,0),0)</f>
        <v>0</v>
      </c>
      <c r="D20" s="47"/>
      <c r="E20" s="47"/>
      <c r="F20" s="48"/>
      <c r="G20" s="47"/>
      <c r="H20" s="49"/>
      <c r="I20" s="50"/>
      <c r="J20" s="51"/>
      <c r="K20" s="52"/>
      <c r="L20" s="53" t="str">
        <f t="shared" si="0"/>
        <v/>
      </c>
      <c r="M20" s="48" t="str">
        <f t="shared" si="1"/>
        <v/>
      </c>
      <c r="N20" s="54" t="str">
        <f t="shared" si="2"/>
        <v/>
      </c>
      <c r="O20" s="55">
        <f t="shared" si="3"/>
        <v>0</v>
      </c>
      <c r="P20" s="55">
        <f t="shared" si="4"/>
        <v>0</v>
      </c>
      <c r="Q20" s="54">
        <f t="shared" si="5"/>
        <v>0</v>
      </c>
      <c r="R20" s="47"/>
      <c r="T20" s="57"/>
      <c r="U20" s="45"/>
      <c r="V20" s="46">
        <f>IF(U20&lt;&gt;"",VLOOKUP(U20,'Tipo Projeto'!$A$3:$B$35,2,0),0)</f>
        <v>0</v>
      </c>
      <c r="W20" s="203"/>
      <c r="X20" s="49"/>
      <c r="Y20" s="50"/>
      <c r="Z20" s="51"/>
      <c r="AA20" s="52"/>
      <c r="AB20" s="53" t="str">
        <f t="shared" si="6"/>
        <v/>
      </c>
      <c r="AC20" s="48" t="str">
        <f t="shared" si="7"/>
        <v/>
      </c>
      <c r="AD20" s="54" t="str">
        <f t="shared" si="8"/>
        <v/>
      </c>
      <c r="AE20" s="55">
        <f t="shared" si="9"/>
        <v>0</v>
      </c>
      <c r="AF20" s="55">
        <f t="shared" si="10"/>
        <v>0</v>
      </c>
      <c r="AG20" s="58">
        <f t="shared" si="11"/>
        <v>0</v>
      </c>
      <c r="AH20" s="47"/>
      <c r="AJ20" s="47"/>
      <c r="AL20" s="47"/>
      <c r="AM20" s="47" t="str">
        <f t="shared" si="12"/>
        <v/>
      </c>
    </row>
    <row r="21" spans="1:39" s="56" customFormat="1" ht="14.25">
      <c r="A21" s="44"/>
      <c r="B21" s="45"/>
      <c r="C21" s="46">
        <f>IF(B21&lt;&gt;"",VLOOKUP(B21,'Tipo Projeto'!$A$3:$B$35,2,0),0)</f>
        <v>0</v>
      </c>
      <c r="D21" s="47"/>
      <c r="E21" s="47"/>
      <c r="F21" s="48"/>
      <c r="G21" s="47"/>
      <c r="H21" s="49"/>
      <c r="I21" s="50"/>
      <c r="J21" s="51"/>
      <c r="K21" s="52"/>
      <c r="L21" s="53" t="str">
        <f t="shared" si="0"/>
        <v/>
      </c>
      <c r="M21" s="48" t="str">
        <f t="shared" si="1"/>
        <v/>
      </c>
      <c r="N21" s="54" t="str">
        <f t="shared" si="2"/>
        <v/>
      </c>
      <c r="O21" s="55">
        <f t="shared" si="3"/>
        <v>0</v>
      </c>
      <c r="P21" s="55">
        <f t="shared" si="4"/>
        <v>0</v>
      </c>
      <c r="Q21" s="54">
        <f t="shared" si="5"/>
        <v>0</v>
      </c>
      <c r="R21" s="47"/>
      <c r="T21" s="57"/>
      <c r="U21" s="45"/>
      <c r="V21" s="46">
        <f>IF(U21&lt;&gt;"",VLOOKUP(U21,'Tipo Projeto'!$A$3:$B$35,2,0),0)</f>
        <v>0</v>
      </c>
      <c r="W21" s="203"/>
      <c r="X21" s="49"/>
      <c r="Y21" s="50"/>
      <c r="Z21" s="51"/>
      <c r="AA21" s="52"/>
      <c r="AB21" s="53" t="str">
        <f t="shared" si="6"/>
        <v/>
      </c>
      <c r="AC21" s="48" t="str">
        <f t="shared" si="7"/>
        <v/>
      </c>
      <c r="AD21" s="54" t="str">
        <f t="shared" si="8"/>
        <v/>
      </c>
      <c r="AE21" s="55">
        <f t="shared" si="9"/>
        <v>0</v>
      </c>
      <c r="AF21" s="55">
        <f t="shared" si="10"/>
        <v>0</v>
      </c>
      <c r="AG21" s="58">
        <f t="shared" si="11"/>
        <v>0</v>
      </c>
      <c r="AH21" s="47"/>
      <c r="AJ21" s="47"/>
      <c r="AL21" s="47"/>
      <c r="AM21" s="47" t="str">
        <f t="shared" si="12"/>
        <v/>
      </c>
    </row>
    <row r="22" spans="1:39" s="56" customFormat="1" ht="14.25">
      <c r="A22" s="44"/>
      <c r="B22" s="45"/>
      <c r="C22" s="46">
        <f>IF(B22&lt;&gt;"",VLOOKUP(B22,'Tipo Projeto'!$A$3:$B$35,2,0),0)</f>
        <v>0</v>
      </c>
      <c r="D22" s="47"/>
      <c r="E22" s="47"/>
      <c r="F22" s="48"/>
      <c r="G22" s="47"/>
      <c r="H22" s="49"/>
      <c r="I22" s="50"/>
      <c r="J22" s="51"/>
      <c r="K22" s="52"/>
      <c r="L22" s="53" t="str">
        <f t="shared" si="0"/>
        <v/>
      </c>
      <c r="M22" s="48" t="str">
        <f t="shared" si="1"/>
        <v/>
      </c>
      <c r="N22" s="54" t="str">
        <f t="shared" si="2"/>
        <v/>
      </c>
      <c r="O22" s="55">
        <f t="shared" si="3"/>
        <v>0</v>
      </c>
      <c r="P22" s="55">
        <f t="shared" si="4"/>
        <v>0</v>
      </c>
      <c r="Q22" s="54">
        <f t="shared" si="5"/>
        <v>0</v>
      </c>
      <c r="R22" s="47"/>
      <c r="T22" s="57"/>
      <c r="U22" s="45"/>
      <c r="V22" s="46">
        <f>IF(U22&lt;&gt;"",VLOOKUP(U22,'Tipo Projeto'!$A$3:$B$35,2,0),0)</f>
        <v>0</v>
      </c>
      <c r="W22" s="203"/>
      <c r="X22" s="49"/>
      <c r="Y22" s="50"/>
      <c r="Z22" s="51"/>
      <c r="AA22" s="52"/>
      <c r="AB22" s="53" t="str">
        <f t="shared" si="6"/>
        <v/>
      </c>
      <c r="AC22" s="48" t="str">
        <f t="shared" si="7"/>
        <v/>
      </c>
      <c r="AD22" s="54" t="str">
        <f t="shared" si="8"/>
        <v/>
      </c>
      <c r="AE22" s="55">
        <f t="shared" si="9"/>
        <v>0</v>
      </c>
      <c r="AF22" s="55">
        <f t="shared" si="10"/>
        <v>0</v>
      </c>
      <c r="AG22" s="58">
        <f t="shared" si="11"/>
        <v>0</v>
      </c>
      <c r="AH22" s="47"/>
      <c r="AJ22" s="47"/>
      <c r="AL22" s="47"/>
      <c r="AM22" s="47" t="str">
        <f t="shared" si="12"/>
        <v/>
      </c>
    </row>
    <row r="23" spans="1:39" s="56" customFormat="1" ht="14.25">
      <c r="A23" s="44"/>
      <c r="B23" s="45"/>
      <c r="C23" s="46">
        <f>IF(B23&lt;&gt;"",VLOOKUP(B23,'Tipo Projeto'!$A$3:$B$35,2,0),0)</f>
        <v>0</v>
      </c>
      <c r="D23" s="47"/>
      <c r="E23" s="47"/>
      <c r="F23" s="48"/>
      <c r="G23" s="47"/>
      <c r="H23" s="49"/>
      <c r="I23" s="50"/>
      <c r="J23" s="51"/>
      <c r="K23" s="52"/>
      <c r="L23" s="53" t="str">
        <f t="shared" si="0"/>
        <v/>
      </c>
      <c r="M23" s="48" t="str">
        <f t="shared" si="1"/>
        <v/>
      </c>
      <c r="N23" s="54" t="str">
        <f t="shared" si="2"/>
        <v/>
      </c>
      <c r="O23" s="55">
        <f t="shared" si="3"/>
        <v>0</v>
      </c>
      <c r="P23" s="55">
        <f t="shared" si="4"/>
        <v>0</v>
      </c>
      <c r="Q23" s="54">
        <f t="shared" si="5"/>
        <v>0</v>
      </c>
      <c r="R23" s="47"/>
      <c r="T23" s="57"/>
      <c r="U23" s="45"/>
      <c r="V23" s="46">
        <f>IF(U23&lt;&gt;"",VLOOKUP(U23,'Tipo Projeto'!$A$3:$B$35,2,0),0)</f>
        <v>0</v>
      </c>
      <c r="W23" s="203"/>
      <c r="X23" s="49"/>
      <c r="Y23" s="50"/>
      <c r="Z23" s="51"/>
      <c r="AA23" s="52"/>
      <c r="AB23" s="53" t="str">
        <f t="shared" si="6"/>
        <v/>
      </c>
      <c r="AC23" s="48" t="str">
        <f t="shared" si="7"/>
        <v/>
      </c>
      <c r="AD23" s="54" t="str">
        <f t="shared" si="8"/>
        <v/>
      </c>
      <c r="AE23" s="55">
        <f t="shared" si="9"/>
        <v>0</v>
      </c>
      <c r="AF23" s="55">
        <f t="shared" si="10"/>
        <v>0</v>
      </c>
      <c r="AG23" s="58">
        <f t="shared" si="11"/>
        <v>0</v>
      </c>
      <c r="AH23" s="47"/>
      <c r="AJ23" s="47"/>
      <c r="AL23" s="47"/>
      <c r="AM23" s="47" t="str">
        <f t="shared" si="12"/>
        <v/>
      </c>
    </row>
    <row r="24" spans="1:39" s="56" customFormat="1" ht="14.25">
      <c r="A24" s="44"/>
      <c r="B24" s="45"/>
      <c r="C24" s="46">
        <f>IF(B24&lt;&gt;"",VLOOKUP(B24,'Tipo Projeto'!$A$3:$B$35,2,0),0)</f>
        <v>0</v>
      </c>
      <c r="D24" s="47"/>
      <c r="E24" s="47"/>
      <c r="F24" s="48"/>
      <c r="G24" s="47"/>
      <c r="H24" s="49"/>
      <c r="I24" s="50"/>
      <c r="J24" s="51"/>
      <c r="K24" s="52"/>
      <c r="L24" s="53" t="str">
        <f t="shared" si="0"/>
        <v/>
      </c>
      <c r="M24" s="48" t="str">
        <f t="shared" si="1"/>
        <v/>
      </c>
      <c r="N24" s="54" t="str">
        <f t="shared" si="2"/>
        <v/>
      </c>
      <c r="O24" s="55">
        <f t="shared" si="3"/>
        <v>0</v>
      </c>
      <c r="P24" s="55">
        <f t="shared" si="4"/>
        <v>0</v>
      </c>
      <c r="Q24" s="54">
        <f t="shared" si="5"/>
        <v>0</v>
      </c>
      <c r="R24" s="47"/>
      <c r="T24" s="57"/>
      <c r="U24" s="45"/>
      <c r="V24" s="46">
        <f>IF(U24&lt;&gt;"",VLOOKUP(U24,'Tipo Projeto'!$A$3:$B$35,2,0),0)</f>
        <v>0</v>
      </c>
      <c r="W24" s="203"/>
      <c r="X24" s="49"/>
      <c r="Y24" s="50"/>
      <c r="Z24" s="51"/>
      <c r="AA24" s="52"/>
      <c r="AB24" s="53" t="str">
        <f t="shared" si="6"/>
        <v/>
      </c>
      <c r="AC24" s="48" t="str">
        <f t="shared" si="7"/>
        <v/>
      </c>
      <c r="AD24" s="54" t="str">
        <f t="shared" si="8"/>
        <v/>
      </c>
      <c r="AE24" s="55">
        <f t="shared" si="9"/>
        <v>0</v>
      </c>
      <c r="AF24" s="55">
        <f t="shared" si="10"/>
        <v>0</v>
      </c>
      <c r="AG24" s="58">
        <f t="shared" si="11"/>
        <v>0</v>
      </c>
      <c r="AH24" s="47"/>
      <c r="AJ24" s="47"/>
      <c r="AL24" s="47"/>
      <c r="AM24" s="47" t="str">
        <f t="shared" si="12"/>
        <v/>
      </c>
    </row>
    <row r="25" spans="1:39" s="56" customFormat="1" ht="14.25">
      <c r="A25" s="44"/>
      <c r="B25" s="45"/>
      <c r="C25" s="46">
        <f>IF(B25&lt;&gt;"",VLOOKUP(B25,'Tipo Projeto'!$A$3:$B$35,2,0),0)</f>
        <v>0</v>
      </c>
      <c r="D25" s="47"/>
      <c r="E25" s="47"/>
      <c r="F25" s="48"/>
      <c r="G25" s="47"/>
      <c r="H25" s="49"/>
      <c r="I25" s="50"/>
      <c r="J25" s="51"/>
      <c r="K25" s="52"/>
      <c r="L25" s="53" t="str">
        <f t="shared" si="0"/>
        <v/>
      </c>
      <c r="M25" s="48" t="str">
        <f t="shared" si="1"/>
        <v/>
      </c>
      <c r="N25" s="54" t="str">
        <f t="shared" si="2"/>
        <v/>
      </c>
      <c r="O25" s="55">
        <f t="shared" si="3"/>
        <v>0</v>
      </c>
      <c r="P25" s="55">
        <f t="shared" si="4"/>
        <v>0</v>
      </c>
      <c r="Q25" s="54">
        <f t="shared" si="5"/>
        <v>0</v>
      </c>
      <c r="R25" s="47"/>
      <c r="T25" s="57"/>
      <c r="U25" s="45"/>
      <c r="V25" s="46">
        <f>IF(U25&lt;&gt;"",VLOOKUP(U25,'Tipo Projeto'!$A$3:$B$35,2,0),0)</f>
        <v>0</v>
      </c>
      <c r="W25" s="203"/>
      <c r="X25" s="49"/>
      <c r="Y25" s="50"/>
      <c r="Z25" s="51"/>
      <c r="AA25" s="52"/>
      <c r="AB25" s="53" t="str">
        <f t="shared" si="6"/>
        <v/>
      </c>
      <c r="AC25" s="48" t="str">
        <f t="shared" si="7"/>
        <v/>
      </c>
      <c r="AD25" s="54" t="str">
        <f t="shared" si="8"/>
        <v/>
      </c>
      <c r="AE25" s="55">
        <f t="shared" si="9"/>
        <v>0</v>
      </c>
      <c r="AF25" s="55">
        <f t="shared" si="10"/>
        <v>0</v>
      </c>
      <c r="AG25" s="58">
        <f t="shared" si="11"/>
        <v>0</v>
      </c>
      <c r="AH25" s="47"/>
      <c r="AJ25" s="47"/>
      <c r="AL25" s="47"/>
      <c r="AM25" s="47" t="str">
        <f t="shared" si="12"/>
        <v/>
      </c>
    </row>
    <row r="26" spans="1:39" s="56" customFormat="1" ht="14.25">
      <c r="A26" s="44"/>
      <c r="B26" s="45"/>
      <c r="C26" s="46">
        <f>IF(B26&lt;&gt;"",VLOOKUP(B26,'Tipo Projeto'!$A$3:$B$35,2,0),0)</f>
        <v>0</v>
      </c>
      <c r="D26" s="47"/>
      <c r="E26" s="47"/>
      <c r="F26" s="48"/>
      <c r="G26" s="47"/>
      <c r="H26" s="49"/>
      <c r="I26" s="50"/>
      <c r="J26" s="51"/>
      <c r="K26" s="52"/>
      <c r="L26" s="53" t="str">
        <f t="shared" si="0"/>
        <v/>
      </c>
      <c r="M26" s="48" t="str">
        <f t="shared" si="1"/>
        <v/>
      </c>
      <c r="N26" s="54" t="str">
        <f t="shared" si="2"/>
        <v/>
      </c>
      <c r="O26" s="55">
        <f t="shared" si="3"/>
        <v>0</v>
      </c>
      <c r="P26" s="55">
        <f t="shared" si="4"/>
        <v>0</v>
      </c>
      <c r="Q26" s="54">
        <f t="shared" si="5"/>
        <v>0</v>
      </c>
      <c r="R26" s="47"/>
      <c r="T26" s="57"/>
      <c r="U26" s="45"/>
      <c r="V26" s="46">
        <f>IF(U26&lt;&gt;"",VLOOKUP(U26,'Tipo Projeto'!$A$3:$B$35,2,0),0)</f>
        <v>0</v>
      </c>
      <c r="W26" s="203"/>
      <c r="X26" s="49"/>
      <c r="Y26" s="50"/>
      <c r="Z26" s="51"/>
      <c r="AA26" s="52"/>
      <c r="AB26" s="53" t="str">
        <f t="shared" si="6"/>
        <v/>
      </c>
      <c r="AC26" s="48" t="str">
        <f t="shared" si="7"/>
        <v/>
      </c>
      <c r="AD26" s="54" t="str">
        <f t="shared" si="8"/>
        <v/>
      </c>
      <c r="AE26" s="55">
        <f t="shared" si="9"/>
        <v>0</v>
      </c>
      <c r="AF26" s="55">
        <f t="shared" si="10"/>
        <v>0</v>
      </c>
      <c r="AG26" s="58">
        <f t="shared" si="11"/>
        <v>0</v>
      </c>
      <c r="AH26" s="47"/>
      <c r="AJ26" s="47"/>
      <c r="AL26" s="47"/>
      <c r="AM26" s="47" t="str">
        <f t="shared" si="12"/>
        <v/>
      </c>
    </row>
    <row r="27" spans="1:39" s="56" customFormat="1" ht="14.25">
      <c r="A27" s="44"/>
      <c r="B27" s="45"/>
      <c r="C27" s="46">
        <f>IF(B27&lt;&gt;"",VLOOKUP(B27,'Tipo Projeto'!$A$3:$B$35,2,0),0)</f>
        <v>0</v>
      </c>
      <c r="D27" s="47"/>
      <c r="E27" s="47"/>
      <c r="F27" s="48"/>
      <c r="G27" s="47"/>
      <c r="H27" s="49"/>
      <c r="I27" s="50"/>
      <c r="J27" s="51"/>
      <c r="K27" s="52"/>
      <c r="L27" s="53" t="str">
        <f t="shared" si="0"/>
        <v/>
      </c>
      <c r="M27" s="48" t="str">
        <f t="shared" si="1"/>
        <v/>
      </c>
      <c r="N27" s="54" t="str">
        <f t="shared" si="2"/>
        <v/>
      </c>
      <c r="O27" s="55">
        <f t="shared" si="3"/>
        <v>0</v>
      </c>
      <c r="P27" s="55">
        <f t="shared" si="4"/>
        <v>0</v>
      </c>
      <c r="Q27" s="54">
        <f t="shared" si="5"/>
        <v>0</v>
      </c>
      <c r="R27" s="47"/>
      <c r="T27" s="57"/>
      <c r="U27" s="45"/>
      <c r="V27" s="46">
        <f>IF(U27&lt;&gt;"",VLOOKUP(U27,'Tipo Projeto'!$A$3:$B$35,2,0),0)</f>
        <v>0</v>
      </c>
      <c r="W27" s="203"/>
      <c r="X27" s="49"/>
      <c r="Y27" s="50"/>
      <c r="Z27" s="51"/>
      <c r="AA27" s="52"/>
      <c r="AB27" s="53" t="str">
        <f t="shared" si="6"/>
        <v/>
      </c>
      <c r="AC27" s="48" t="str">
        <f t="shared" si="7"/>
        <v/>
      </c>
      <c r="AD27" s="54" t="str">
        <f t="shared" si="8"/>
        <v/>
      </c>
      <c r="AE27" s="55">
        <f t="shared" si="9"/>
        <v>0</v>
      </c>
      <c r="AF27" s="55">
        <f t="shared" si="10"/>
        <v>0</v>
      </c>
      <c r="AG27" s="58">
        <f t="shared" si="11"/>
        <v>0</v>
      </c>
      <c r="AH27" s="47"/>
      <c r="AJ27" s="47"/>
      <c r="AL27" s="47"/>
      <c r="AM27" s="47" t="str">
        <f t="shared" si="12"/>
        <v/>
      </c>
    </row>
    <row r="28" spans="1:39" s="56" customFormat="1" ht="14.25">
      <c r="A28" s="44"/>
      <c r="B28" s="45"/>
      <c r="C28" s="46">
        <f>IF(B28&lt;&gt;"",VLOOKUP(B28,'Tipo Projeto'!$A$3:$B$35,2,0),0)</f>
        <v>0</v>
      </c>
      <c r="D28" s="47"/>
      <c r="E28" s="47"/>
      <c r="F28" s="48"/>
      <c r="G28" s="47"/>
      <c r="H28" s="49"/>
      <c r="I28" s="50"/>
      <c r="J28" s="51"/>
      <c r="K28" s="52"/>
      <c r="L28" s="53" t="str">
        <f t="shared" si="0"/>
        <v/>
      </c>
      <c r="M28" s="48" t="str">
        <f t="shared" si="1"/>
        <v/>
      </c>
      <c r="N28" s="54" t="str">
        <f t="shared" si="2"/>
        <v/>
      </c>
      <c r="O28" s="55">
        <f t="shared" si="3"/>
        <v>0</v>
      </c>
      <c r="P28" s="55">
        <f t="shared" si="4"/>
        <v>0</v>
      </c>
      <c r="Q28" s="54">
        <f t="shared" si="5"/>
        <v>0</v>
      </c>
      <c r="R28" s="47"/>
      <c r="T28" s="57"/>
      <c r="U28" s="45"/>
      <c r="V28" s="46">
        <f>IF(U28&lt;&gt;"",VLOOKUP(U28,'Tipo Projeto'!$A$3:$B$35,2,0),0)</f>
        <v>0</v>
      </c>
      <c r="W28" s="203"/>
      <c r="X28" s="49"/>
      <c r="Y28" s="50"/>
      <c r="Z28" s="51"/>
      <c r="AA28" s="52"/>
      <c r="AB28" s="53" t="str">
        <f t="shared" si="6"/>
        <v/>
      </c>
      <c r="AC28" s="48" t="str">
        <f t="shared" si="7"/>
        <v/>
      </c>
      <c r="AD28" s="54" t="str">
        <f t="shared" si="8"/>
        <v/>
      </c>
      <c r="AE28" s="55">
        <f t="shared" si="9"/>
        <v>0</v>
      </c>
      <c r="AF28" s="55">
        <f t="shared" si="10"/>
        <v>0</v>
      </c>
      <c r="AG28" s="58">
        <f t="shared" si="11"/>
        <v>0</v>
      </c>
      <c r="AH28" s="47"/>
      <c r="AJ28" s="47"/>
      <c r="AL28" s="47"/>
      <c r="AM28" s="47" t="str">
        <f t="shared" si="12"/>
        <v/>
      </c>
    </row>
    <row r="29" spans="1:39" s="56" customFormat="1" ht="14.25">
      <c r="A29" s="44"/>
      <c r="B29" s="45"/>
      <c r="C29" s="46">
        <f>IF(B29&lt;&gt;"",VLOOKUP(B29,'Tipo Projeto'!$A$3:$B$35,2,0),0)</f>
        <v>0</v>
      </c>
      <c r="D29" s="47"/>
      <c r="E29" s="47"/>
      <c r="F29" s="48"/>
      <c r="G29" s="47"/>
      <c r="H29" s="49"/>
      <c r="I29" s="50"/>
      <c r="J29" s="51"/>
      <c r="K29" s="52"/>
      <c r="L29" s="53" t="str">
        <f t="shared" si="0"/>
        <v/>
      </c>
      <c r="M29" s="48" t="str">
        <f t="shared" si="1"/>
        <v/>
      </c>
      <c r="N29" s="54" t="str">
        <f t="shared" si="2"/>
        <v/>
      </c>
      <c r="O29" s="55">
        <f t="shared" si="3"/>
        <v>0</v>
      </c>
      <c r="P29" s="55">
        <f t="shared" si="4"/>
        <v>0</v>
      </c>
      <c r="Q29" s="54">
        <f t="shared" si="5"/>
        <v>0</v>
      </c>
      <c r="R29" s="47"/>
      <c r="T29" s="57"/>
      <c r="U29" s="45"/>
      <c r="V29" s="46">
        <f>IF(U29&lt;&gt;"",VLOOKUP(U29,'Tipo Projeto'!$A$3:$B$35,2,0),0)</f>
        <v>0</v>
      </c>
      <c r="W29" s="203"/>
      <c r="X29" s="49"/>
      <c r="Y29" s="50"/>
      <c r="Z29" s="51"/>
      <c r="AA29" s="52"/>
      <c r="AB29" s="53" t="str">
        <f t="shared" si="6"/>
        <v/>
      </c>
      <c r="AC29" s="48" t="str">
        <f t="shared" si="7"/>
        <v/>
      </c>
      <c r="AD29" s="54" t="str">
        <f t="shared" si="8"/>
        <v/>
      </c>
      <c r="AE29" s="55">
        <f t="shared" si="9"/>
        <v>0</v>
      </c>
      <c r="AF29" s="55">
        <f t="shared" si="10"/>
        <v>0</v>
      </c>
      <c r="AG29" s="58">
        <f t="shared" si="11"/>
        <v>0</v>
      </c>
      <c r="AH29" s="47"/>
      <c r="AJ29" s="47"/>
      <c r="AL29" s="47"/>
      <c r="AM29" s="47" t="str">
        <f t="shared" si="12"/>
        <v/>
      </c>
    </row>
    <row r="30" spans="1:39" s="56" customFormat="1" ht="14.25">
      <c r="A30" s="44"/>
      <c r="B30" s="45"/>
      <c r="C30" s="46">
        <f>IF(B30&lt;&gt;"",VLOOKUP(B30,'Tipo Projeto'!$A$3:$B$35,2,0),0)</f>
        <v>0</v>
      </c>
      <c r="D30" s="47"/>
      <c r="E30" s="47"/>
      <c r="F30" s="48"/>
      <c r="G30" s="47"/>
      <c r="H30" s="49"/>
      <c r="I30" s="50"/>
      <c r="J30" s="51"/>
      <c r="K30" s="52"/>
      <c r="L30" s="53" t="str">
        <f t="shared" si="0"/>
        <v/>
      </c>
      <c r="M30" s="48" t="str">
        <f t="shared" si="1"/>
        <v/>
      </c>
      <c r="N30" s="54" t="str">
        <f t="shared" si="2"/>
        <v/>
      </c>
      <c r="O30" s="55">
        <f t="shared" si="3"/>
        <v>0</v>
      </c>
      <c r="P30" s="55">
        <f t="shared" si="4"/>
        <v>0</v>
      </c>
      <c r="Q30" s="54">
        <f t="shared" si="5"/>
        <v>0</v>
      </c>
      <c r="R30" s="47"/>
      <c r="T30" s="57"/>
      <c r="U30" s="45"/>
      <c r="V30" s="46">
        <f>IF(U30&lt;&gt;"",VLOOKUP(U30,'Tipo Projeto'!$A$3:$B$35,2,0),0)</f>
        <v>0</v>
      </c>
      <c r="W30" s="203"/>
      <c r="X30" s="49"/>
      <c r="Y30" s="50"/>
      <c r="Z30" s="51"/>
      <c r="AA30" s="52"/>
      <c r="AB30" s="53" t="str">
        <f t="shared" si="6"/>
        <v/>
      </c>
      <c r="AC30" s="48" t="str">
        <f t="shared" si="7"/>
        <v/>
      </c>
      <c r="AD30" s="54" t="str">
        <f t="shared" si="8"/>
        <v/>
      </c>
      <c r="AE30" s="55">
        <f t="shared" si="9"/>
        <v>0</v>
      </c>
      <c r="AF30" s="55">
        <f t="shared" si="10"/>
        <v>0</v>
      </c>
      <c r="AG30" s="58">
        <f t="shared" si="11"/>
        <v>0</v>
      </c>
      <c r="AH30" s="47"/>
      <c r="AJ30" s="47"/>
      <c r="AL30" s="47"/>
      <c r="AM30" s="47" t="str">
        <f t="shared" si="12"/>
        <v/>
      </c>
    </row>
    <row r="31" spans="1:39" s="56" customFormat="1" ht="14.25">
      <c r="A31" s="44"/>
      <c r="B31" s="45"/>
      <c r="C31" s="46">
        <f>IF(B31&lt;&gt;"",VLOOKUP(B31,'Tipo Projeto'!$A$3:$B$35,2,0),0)</f>
        <v>0</v>
      </c>
      <c r="D31" s="47"/>
      <c r="E31" s="47"/>
      <c r="F31" s="48"/>
      <c r="G31" s="47"/>
      <c r="H31" s="49"/>
      <c r="I31" s="50"/>
      <c r="J31" s="51"/>
      <c r="K31" s="52"/>
      <c r="L31" s="53" t="str">
        <f t="shared" si="0"/>
        <v/>
      </c>
      <c r="M31" s="48" t="str">
        <f t="shared" si="1"/>
        <v/>
      </c>
      <c r="N31" s="54" t="str">
        <f t="shared" si="2"/>
        <v/>
      </c>
      <c r="O31" s="55">
        <f t="shared" si="3"/>
        <v>0</v>
      </c>
      <c r="P31" s="55">
        <f t="shared" si="4"/>
        <v>0</v>
      </c>
      <c r="Q31" s="54">
        <f t="shared" si="5"/>
        <v>0</v>
      </c>
      <c r="R31" s="47"/>
      <c r="T31" s="57"/>
      <c r="U31" s="45"/>
      <c r="V31" s="46">
        <f>IF(U31&lt;&gt;"",VLOOKUP(U31,'Tipo Projeto'!$A$3:$B$35,2,0),0)</f>
        <v>0</v>
      </c>
      <c r="W31" s="203"/>
      <c r="X31" s="49"/>
      <c r="Y31" s="50"/>
      <c r="Z31" s="51"/>
      <c r="AA31" s="52"/>
      <c r="AB31" s="53" t="str">
        <f t="shared" si="6"/>
        <v/>
      </c>
      <c r="AC31" s="48" t="str">
        <f t="shared" si="7"/>
        <v/>
      </c>
      <c r="AD31" s="54" t="str">
        <f t="shared" si="8"/>
        <v/>
      </c>
      <c r="AE31" s="55">
        <f t="shared" si="9"/>
        <v>0</v>
      </c>
      <c r="AF31" s="55">
        <f t="shared" si="10"/>
        <v>0</v>
      </c>
      <c r="AG31" s="58">
        <f t="shared" si="11"/>
        <v>0</v>
      </c>
      <c r="AH31" s="47"/>
      <c r="AJ31" s="47"/>
      <c r="AL31" s="47"/>
      <c r="AM31" s="47" t="str">
        <f t="shared" si="12"/>
        <v/>
      </c>
    </row>
    <row r="32" spans="1:39" s="56" customFormat="1" ht="14.25">
      <c r="A32" s="44"/>
      <c r="B32" s="45"/>
      <c r="C32" s="46">
        <f>IF(B32&lt;&gt;"",VLOOKUP(B32,'Tipo Projeto'!$A$3:$B$35,2,0),0)</f>
        <v>0</v>
      </c>
      <c r="D32" s="47"/>
      <c r="E32" s="47"/>
      <c r="F32" s="48"/>
      <c r="G32" s="47"/>
      <c r="H32" s="49"/>
      <c r="I32" s="50"/>
      <c r="J32" s="51"/>
      <c r="K32" s="52"/>
      <c r="L32" s="53" t="str">
        <f t="shared" si="0"/>
        <v/>
      </c>
      <c r="M32" s="48" t="str">
        <f t="shared" si="1"/>
        <v/>
      </c>
      <c r="N32" s="54" t="str">
        <f t="shared" si="2"/>
        <v/>
      </c>
      <c r="O32" s="55">
        <f t="shared" si="3"/>
        <v>0</v>
      </c>
      <c r="P32" s="55">
        <f t="shared" si="4"/>
        <v>0</v>
      </c>
      <c r="Q32" s="54">
        <f t="shared" si="5"/>
        <v>0</v>
      </c>
      <c r="R32" s="47"/>
      <c r="T32" s="57"/>
      <c r="U32" s="45"/>
      <c r="V32" s="46">
        <f>IF(U32&lt;&gt;"",VLOOKUP(U32,'Tipo Projeto'!$A$3:$B$35,2,0),0)</f>
        <v>0</v>
      </c>
      <c r="W32" s="203"/>
      <c r="X32" s="49"/>
      <c r="Y32" s="50"/>
      <c r="Z32" s="51"/>
      <c r="AA32" s="52"/>
      <c r="AB32" s="53" t="str">
        <f t="shared" si="6"/>
        <v/>
      </c>
      <c r="AC32" s="48" t="str">
        <f t="shared" si="7"/>
        <v/>
      </c>
      <c r="AD32" s="54" t="str">
        <f t="shared" si="8"/>
        <v/>
      </c>
      <c r="AE32" s="55">
        <f t="shared" si="9"/>
        <v>0</v>
      </c>
      <c r="AF32" s="55">
        <f t="shared" si="10"/>
        <v>0</v>
      </c>
      <c r="AG32" s="58">
        <f t="shared" si="11"/>
        <v>0</v>
      </c>
      <c r="AH32" s="47"/>
      <c r="AJ32" s="47"/>
      <c r="AL32" s="47"/>
      <c r="AM32" s="47" t="str">
        <f t="shared" si="12"/>
        <v/>
      </c>
    </row>
    <row r="33" spans="1:39" s="56" customFormat="1" ht="14.25">
      <c r="A33" s="44"/>
      <c r="B33" s="45"/>
      <c r="C33" s="46">
        <f>IF(B33&lt;&gt;"",VLOOKUP(B33,'Tipo Projeto'!$A$3:$B$35,2,0),0)</f>
        <v>0</v>
      </c>
      <c r="D33" s="47"/>
      <c r="E33" s="47"/>
      <c r="F33" s="48"/>
      <c r="G33" s="47"/>
      <c r="H33" s="49"/>
      <c r="I33" s="50"/>
      <c r="J33" s="51"/>
      <c r="K33" s="52"/>
      <c r="L33" s="53" t="str">
        <f t="shared" si="0"/>
        <v/>
      </c>
      <c r="M33" s="48" t="str">
        <f t="shared" si="1"/>
        <v/>
      </c>
      <c r="N33" s="54" t="str">
        <f t="shared" si="2"/>
        <v/>
      </c>
      <c r="O33" s="55">
        <f t="shared" si="3"/>
        <v>0</v>
      </c>
      <c r="P33" s="55">
        <f t="shared" si="4"/>
        <v>0</v>
      </c>
      <c r="Q33" s="54">
        <f t="shared" si="5"/>
        <v>0</v>
      </c>
      <c r="R33" s="47"/>
      <c r="T33" s="57"/>
      <c r="U33" s="45"/>
      <c r="V33" s="46">
        <f>IF(U33&lt;&gt;"",VLOOKUP(U33,'Tipo Projeto'!$A$3:$B$35,2,0),0)</f>
        <v>0</v>
      </c>
      <c r="W33" s="203"/>
      <c r="X33" s="49"/>
      <c r="Y33" s="50"/>
      <c r="Z33" s="51"/>
      <c r="AA33" s="52"/>
      <c r="AB33" s="53" t="str">
        <f t="shared" si="6"/>
        <v/>
      </c>
      <c r="AC33" s="48" t="str">
        <f t="shared" si="7"/>
        <v/>
      </c>
      <c r="AD33" s="54" t="str">
        <f t="shared" si="8"/>
        <v/>
      </c>
      <c r="AE33" s="55">
        <f t="shared" si="9"/>
        <v>0</v>
      </c>
      <c r="AF33" s="55">
        <f t="shared" si="10"/>
        <v>0</v>
      </c>
      <c r="AG33" s="58">
        <f t="shared" si="11"/>
        <v>0</v>
      </c>
      <c r="AH33" s="47"/>
      <c r="AJ33" s="47"/>
      <c r="AL33" s="47"/>
      <c r="AM33" s="47" t="str">
        <f t="shared" si="12"/>
        <v/>
      </c>
    </row>
    <row r="34" spans="1:39" s="56" customFormat="1" ht="14.25">
      <c r="A34" s="44"/>
      <c r="B34" s="45"/>
      <c r="C34" s="46">
        <f>IF(B34&lt;&gt;"",VLOOKUP(B34,'Tipo Projeto'!$A$3:$B$35,2,0),0)</f>
        <v>0</v>
      </c>
      <c r="D34" s="47"/>
      <c r="E34" s="47"/>
      <c r="F34" s="48"/>
      <c r="G34" s="47"/>
      <c r="H34" s="49"/>
      <c r="I34" s="50"/>
      <c r="J34" s="51"/>
      <c r="K34" s="52"/>
      <c r="L34" s="53" t="str">
        <f t="shared" si="0"/>
        <v/>
      </c>
      <c r="M34" s="48" t="str">
        <f t="shared" si="1"/>
        <v/>
      </c>
      <c r="N34" s="54" t="str">
        <f t="shared" si="2"/>
        <v/>
      </c>
      <c r="O34" s="55">
        <f t="shared" si="3"/>
        <v>0</v>
      </c>
      <c r="P34" s="55">
        <f t="shared" si="4"/>
        <v>0</v>
      </c>
      <c r="Q34" s="54">
        <f t="shared" si="5"/>
        <v>0</v>
      </c>
      <c r="R34" s="47"/>
      <c r="T34" s="57"/>
      <c r="U34" s="45"/>
      <c r="V34" s="46">
        <f>IF(U34&lt;&gt;"",VLOOKUP(U34,'Tipo Projeto'!$A$3:$B$35,2,0),0)</f>
        <v>0</v>
      </c>
      <c r="W34" s="203"/>
      <c r="X34" s="49"/>
      <c r="Y34" s="50"/>
      <c r="Z34" s="51"/>
      <c r="AA34" s="52"/>
      <c r="AB34" s="53" t="str">
        <f t="shared" si="6"/>
        <v/>
      </c>
      <c r="AC34" s="48" t="str">
        <f t="shared" si="7"/>
        <v/>
      </c>
      <c r="AD34" s="54" t="str">
        <f t="shared" si="8"/>
        <v/>
      </c>
      <c r="AE34" s="55">
        <f t="shared" si="9"/>
        <v>0</v>
      </c>
      <c r="AF34" s="55">
        <f t="shared" si="10"/>
        <v>0</v>
      </c>
      <c r="AG34" s="58">
        <f t="shared" si="11"/>
        <v>0</v>
      </c>
      <c r="AH34" s="47"/>
      <c r="AJ34" s="47"/>
      <c r="AL34" s="47"/>
      <c r="AM34" s="47" t="str">
        <f t="shared" si="12"/>
        <v/>
      </c>
    </row>
    <row r="35" spans="1:39" s="56" customFormat="1" ht="14.25">
      <c r="A35" s="44"/>
      <c r="B35" s="45"/>
      <c r="C35" s="46">
        <f>IF(B35&lt;&gt;"",VLOOKUP(B35,'Tipo Projeto'!$A$3:$B$35,2,0),0)</f>
        <v>0</v>
      </c>
      <c r="D35" s="47"/>
      <c r="E35" s="47"/>
      <c r="F35" s="48"/>
      <c r="G35" s="47"/>
      <c r="H35" s="49"/>
      <c r="I35" s="50"/>
      <c r="J35" s="51"/>
      <c r="K35" s="52"/>
      <c r="L35" s="53" t="str">
        <f t="shared" si="0"/>
        <v/>
      </c>
      <c r="M35" s="48" t="str">
        <f t="shared" si="1"/>
        <v/>
      </c>
      <c r="N35" s="54" t="str">
        <f t="shared" si="2"/>
        <v/>
      </c>
      <c r="O35" s="55">
        <f t="shared" si="3"/>
        <v>0</v>
      </c>
      <c r="P35" s="55">
        <f t="shared" si="4"/>
        <v>0</v>
      </c>
      <c r="Q35" s="54">
        <f t="shared" si="5"/>
        <v>0</v>
      </c>
      <c r="R35" s="47"/>
      <c r="T35" s="57"/>
      <c r="U35" s="45"/>
      <c r="V35" s="46">
        <f>IF(U35&lt;&gt;"",VLOOKUP(U35,'Tipo Projeto'!$A$3:$B$35,2,0),0)</f>
        <v>0</v>
      </c>
      <c r="W35" s="203"/>
      <c r="X35" s="49"/>
      <c r="Y35" s="50"/>
      <c r="Z35" s="51"/>
      <c r="AA35" s="52"/>
      <c r="AB35" s="53" t="str">
        <f t="shared" si="6"/>
        <v/>
      </c>
      <c r="AC35" s="48" t="str">
        <f t="shared" si="7"/>
        <v/>
      </c>
      <c r="AD35" s="54" t="str">
        <f t="shared" si="8"/>
        <v/>
      </c>
      <c r="AE35" s="55">
        <f t="shared" si="9"/>
        <v>0</v>
      </c>
      <c r="AF35" s="55">
        <f t="shared" si="10"/>
        <v>0</v>
      </c>
      <c r="AG35" s="58">
        <f t="shared" si="11"/>
        <v>0</v>
      </c>
      <c r="AH35" s="47"/>
      <c r="AJ35" s="47"/>
      <c r="AL35" s="47"/>
      <c r="AM35" s="47" t="str">
        <f t="shared" si="12"/>
        <v/>
      </c>
    </row>
    <row r="36" spans="1:39" s="56" customFormat="1" ht="14.25">
      <c r="A36" s="44"/>
      <c r="B36" s="45"/>
      <c r="C36" s="46">
        <f>IF(B36&lt;&gt;"",VLOOKUP(B36,'Tipo Projeto'!$A$3:$B$35,2,0),0)</f>
        <v>0</v>
      </c>
      <c r="D36" s="47"/>
      <c r="E36" s="47"/>
      <c r="F36" s="48"/>
      <c r="G36" s="47"/>
      <c r="H36" s="49"/>
      <c r="I36" s="50"/>
      <c r="J36" s="51"/>
      <c r="K36" s="52"/>
      <c r="L36" s="53" t="str">
        <f t="shared" si="0"/>
        <v/>
      </c>
      <c r="M36" s="48" t="str">
        <f t="shared" si="1"/>
        <v/>
      </c>
      <c r="N36" s="54" t="str">
        <f t="shared" si="2"/>
        <v/>
      </c>
      <c r="O36" s="55">
        <f t="shared" si="3"/>
        <v>0</v>
      </c>
      <c r="P36" s="55">
        <f t="shared" si="4"/>
        <v>0</v>
      </c>
      <c r="Q36" s="54">
        <f t="shared" si="5"/>
        <v>0</v>
      </c>
      <c r="R36" s="47"/>
      <c r="T36" s="57"/>
      <c r="U36" s="45"/>
      <c r="V36" s="46">
        <f>IF(U36&lt;&gt;"",VLOOKUP(U36,'Tipo Projeto'!$A$3:$B$35,2,0),0)</f>
        <v>0</v>
      </c>
      <c r="W36" s="203"/>
      <c r="X36" s="49"/>
      <c r="Y36" s="50"/>
      <c r="Z36" s="51"/>
      <c r="AA36" s="52"/>
      <c r="AB36" s="53" t="str">
        <f t="shared" si="6"/>
        <v/>
      </c>
      <c r="AC36" s="48" t="str">
        <f t="shared" si="7"/>
        <v/>
      </c>
      <c r="AD36" s="54" t="str">
        <f t="shared" si="8"/>
        <v/>
      </c>
      <c r="AE36" s="55">
        <f t="shared" si="9"/>
        <v>0</v>
      </c>
      <c r="AF36" s="55">
        <f t="shared" si="10"/>
        <v>0</v>
      </c>
      <c r="AG36" s="58">
        <f t="shared" si="11"/>
        <v>0</v>
      </c>
      <c r="AH36" s="47"/>
      <c r="AJ36" s="47"/>
      <c r="AL36" s="47"/>
      <c r="AM36" s="47" t="str">
        <f t="shared" si="12"/>
        <v/>
      </c>
    </row>
    <row r="37" spans="1:39" s="56" customFormat="1" ht="14.25">
      <c r="A37" s="44"/>
      <c r="B37" s="45"/>
      <c r="C37" s="46">
        <f>IF(B37&lt;&gt;"",VLOOKUP(B37,'Tipo Projeto'!$A$3:$B$35,2,0),0)</f>
        <v>0</v>
      </c>
      <c r="D37" s="47"/>
      <c r="E37" s="47"/>
      <c r="F37" s="48"/>
      <c r="G37" s="47"/>
      <c r="H37" s="49"/>
      <c r="I37" s="50"/>
      <c r="J37" s="51"/>
      <c r="K37" s="52"/>
      <c r="L37" s="53" t="str">
        <f t="shared" si="0"/>
        <v/>
      </c>
      <c r="M37" s="48" t="str">
        <f t="shared" si="1"/>
        <v/>
      </c>
      <c r="N37" s="54" t="str">
        <f t="shared" si="2"/>
        <v/>
      </c>
      <c r="O37" s="55">
        <f t="shared" si="3"/>
        <v>0</v>
      </c>
      <c r="P37" s="55">
        <f t="shared" si="4"/>
        <v>0</v>
      </c>
      <c r="Q37" s="54">
        <f t="shared" si="5"/>
        <v>0</v>
      </c>
      <c r="R37" s="47"/>
      <c r="T37" s="57"/>
      <c r="U37" s="45"/>
      <c r="V37" s="46">
        <f>IF(U37&lt;&gt;"",VLOOKUP(U37,'Tipo Projeto'!$A$3:$B$35,2,0),0)</f>
        <v>0</v>
      </c>
      <c r="W37" s="203"/>
      <c r="X37" s="49"/>
      <c r="Y37" s="50"/>
      <c r="Z37" s="51"/>
      <c r="AA37" s="52"/>
      <c r="AB37" s="53" t="str">
        <f t="shared" si="6"/>
        <v/>
      </c>
      <c r="AC37" s="48" t="str">
        <f t="shared" si="7"/>
        <v/>
      </c>
      <c r="AD37" s="54" t="str">
        <f t="shared" si="8"/>
        <v/>
      </c>
      <c r="AE37" s="55">
        <f t="shared" si="9"/>
        <v>0</v>
      </c>
      <c r="AF37" s="55">
        <f t="shared" si="10"/>
        <v>0</v>
      </c>
      <c r="AG37" s="58">
        <f t="shared" si="11"/>
        <v>0</v>
      </c>
      <c r="AH37" s="47"/>
      <c r="AJ37" s="47"/>
      <c r="AL37" s="47"/>
      <c r="AM37" s="47" t="str">
        <f t="shared" si="12"/>
        <v/>
      </c>
    </row>
    <row r="38" spans="1:39" s="56" customFormat="1" ht="14.25">
      <c r="A38" s="44"/>
      <c r="B38" s="45"/>
      <c r="C38" s="46">
        <f>IF(B38&lt;&gt;"",VLOOKUP(B38,'Tipo Projeto'!$A$3:$B$35,2,0),0)</f>
        <v>0</v>
      </c>
      <c r="D38" s="47"/>
      <c r="E38" s="47"/>
      <c r="F38" s="48"/>
      <c r="G38" s="47"/>
      <c r="H38" s="49"/>
      <c r="I38" s="50"/>
      <c r="J38" s="51"/>
      <c r="K38" s="52"/>
      <c r="L38" s="53" t="str">
        <f t="shared" si="0"/>
        <v/>
      </c>
      <c r="M38" s="48" t="str">
        <f t="shared" si="1"/>
        <v/>
      </c>
      <c r="N38" s="54" t="str">
        <f t="shared" si="2"/>
        <v/>
      </c>
      <c r="O38" s="55">
        <f t="shared" si="3"/>
        <v>0</v>
      </c>
      <c r="P38" s="55">
        <f t="shared" si="4"/>
        <v>0</v>
      </c>
      <c r="Q38" s="54">
        <f t="shared" si="5"/>
        <v>0</v>
      </c>
      <c r="R38" s="47"/>
      <c r="T38" s="57"/>
      <c r="U38" s="45"/>
      <c r="V38" s="46">
        <f>IF(U38&lt;&gt;"",VLOOKUP(U38,'Tipo Projeto'!$A$3:$B$35,2,0),0)</f>
        <v>0</v>
      </c>
      <c r="W38" s="203"/>
      <c r="X38" s="49"/>
      <c r="Y38" s="50"/>
      <c r="Z38" s="51"/>
      <c r="AA38" s="52"/>
      <c r="AB38" s="53" t="str">
        <f t="shared" si="6"/>
        <v/>
      </c>
      <c r="AC38" s="48" t="str">
        <f t="shared" si="7"/>
        <v/>
      </c>
      <c r="AD38" s="54" t="str">
        <f t="shared" si="8"/>
        <v/>
      </c>
      <c r="AE38" s="55">
        <f t="shared" si="9"/>
        <v>0</v>
      </c>
      <c r="AF38" s="55">
        <f t="shared" si="10"/>
        <v>0</v>
      </c>
      <c r="AG38" s="58">
        <f t="shared" si="11"/>
        <v>0</v>
      </c>
      <c r="AH38" s="47"/>
      <c r="AJ38" s="47"/>
      <c r="AL38" s="47"/>
      <c r="AM38" s="47" t="str">
        <f t="shared" si="12"/>
        <v/>
      </c>
    </row>
    <row r="39" spans="1:39" s="56" customFormat="1" ht="14.25">
      <c r="A39" s="44"/>
      <c r="B39" s="45"/>
      <c r="C39" s="46">
        <f>IF(B39&lt;&gt;"",VLOOKUP(B39,'Tipo Projeto'!$A$3:$B$35,2,0),0)</f>
        <v>0</v>
      </c>
      <c r="D39" s="47"/>
      <c r="E39" s="47"/>
      <c r="F39" s="48"/>
      <c r="G39" s="47"/>
      <c r="H39" s="49"/>
      <c r="I39" s="50"/>
      <c r="J39" s="51"/>
      <c r="K39" s="52"/>
      <c r="L39" s="53" t="str">
        <f t="shared" si="0"/>
        <v/>
      </c>
      <c r="M39" s="48" t="str">
        <f t="shared" si="1"/>
        <v/>
      </c>
      <c r="N39" s="54" t="str">
        <f t="shared" si="2"/>
        <v/>
      </c>
      <c r="O39" s="55">
        <f t="shared" si="3"/>
        <v>0</v>
      </c>
      <c r="P39" s="55">
        <f t="shared" si="4"/>
        <v>0</v>
      </c>
      <c r="Q39" s="54">
        <f t="shared" si="5"/>
        <v>0</v>
      </c>
      <c r="R39" s="47"/>
      <c r="T39" s="57"/>
      <c r="U39" s="45"/>
      <c r="V39" s="46">
        <f>IF(U39&lt;&gt;"",VLOOKUP(U39,'Tipo Projeto'!$A$3:$B$35,2,0),0)</f>
        <v>0</v>
      </c>
      <c r="W39" s="203"/>
      <c r="X39" s="49"/>
      <c r="Y39" s="50"/>
      <c r="Z39" s="51"/>
      <c r="AA39" s="52"/>
      <c r="AB39" s="53" t="str">
        <f t="shared" si="6"/>
        <v/>
      </c>
      <c r="AC39" s="48" t="str">
        <f t="shared" si="7"/>
        <v/>
      </c>
      <c r="AD39" s="54" t="str">
        <f t="shared" si="8"/>
        <v/>
      </c>
      <c r="AE39" s="55">
        <f t="shared" si="9"/>
        <v>0</v>
      </c>
      <c r="AF39" s="55">
        <f t="shared" si="10"/>
        <v>0</v>
      </c>
      <c r="AG39" s="58">
        <f t="shared" si="11"/>
        <v>0</v>
      </c>
      <c r="AH39" s="47"/>
      <c r="AJ39" s="47"/>
      <c r="AL39" s="47"/>
      <c r="AM39" s="47" t="str">
        <f t="shared" si="12"/>
        <v/>
      </c>
    </row>
    <row r="40" spans="1:39" s="56" customFormat="1" ht="14.25">
      <c r="A40" s="44"/>
      <c r="B40" s="45"/>
      <c r="C40" s="46">
        <f>IF(B40&lt;&gt;"",VLOOKUP(B40,'Tipo Projeto'!$A$3:$B$35,2,0),0)</f>
        <v>0</v>
      </c>
      <c r="D40" s="47"/>
      <c r="E40" s="47"/>
      <c r="F40" s="48"/>
      <c r="G40" s="47"/>
      <c r="H40" s="49"/>
      <c r="I40" s="50"/>
      <c r="J40" s="51"/>
      <c r="K40" s="52"/>
      <c r="L40" s="53" t="str">
        <f t="shared" si="0"/>
        <v/>
      </c>
      <c r="M40" s="48" t="str">
        <f t="shared" si="1"/>
        <v/>
      </c>
      <c r="N40" s="54" t="str">
        <f t="shared" si="2"/>
        <v/>
      </c>
      <c r="O40" s="55">
        <f t="shared" si="3"/>
        <v>0</v>
      </c>
      <c r="P40" s="55">
        <f t="shared" si="4"/>
        <v>0</v>
      </c>
      <c r="Q40" s="54">
        <f t="shared" si="5"/>
        <v>0</v>
      </c>
      <c r="R40" s="47"/>
      <c r="T40" s="57"/>
      <c r="U40" s="45"/>
      <c r="V40" s="46">
        <f>IF(U40&lt;&gt;"",VLOOKUP(U40,'Tipo Projeto'!$A$3:$B$35,2,0),0)</f>
        <v>0</v>
      </c>
      <c r="W40" s="203"/>
      <c r="X40" s="49"/>
      <c r="Y40" s="50"/>
      <c r="Z40" s="51"/>
      <c r="AA40" s="52"/>
      <c r="AB40" s="53" t="str">
        <f t="shared" si="6"/>
        <v/>
      </c>
      <c r="AC40" s="48" t="str">
        <f t="shared" si="7"/>
        <v/>
      </c>
      <c r="AD40" s="54" t="str">
        <f t="shared" si="8"/>
        <v/>
      </c>
      <c r="AE40" s="55">
        <f t="shared" si="9"/>
        <v>0</v>
      </c>
      <c r="AF40" s="55">
        <f t="shared" si="10"/>
        <v>0</v>
      </c>
      <c r="AG40" s="58">
        <f t="shared" si="11"/>
        <v>0</v>
      </c>
      <c r="AH40" s="47"/>
      <c r="AJ40" s="47"/>
      <c r="AL40" s="47"/>
      <c r="AM40" s="47" t="str">
        <f t="shared" si="12"/>
        <v/>
      </c>
    </row>
    <row r="41" spans="1:39" s="56" customFormat="1" ht="14.25">
      <c r="A41" s="44"/>
      <c r="B41" s="45"/>
      <c r="C41" s="46">
        <f>IF(B41&lt;&gt;"",VLOOKUP(B41,'Tipo Projeto'!$A$3:$B$35,2,0),0)</f>
        <v>0</v>
      </c>
      <c r="D41" s="47"/>
      <c r="E41" s="47"/>
      <c r="F41" s="48"/>
      <c r="G41" s="47"/>
      <c r="H41" s="49"/>
      <c r="I41" s="50"/>
      <c r="J41" s="51"/>
      <c r="K41" s="52"/>
      <c r="L41" s="53" t="str">
        <f t="shared" si="0"/>
        <v/>
      </c>
      <c r="M41" s="48" t="str">
        <f t="shared" si="1"/>
        <v/>
      </c>
      <c r="N41" s="54" t="str">
        <f t="shared" si="2"/>
        <v/>
      </c>
      <c r="O41" s="55">
        <f t="shared" si="3"/>
        <v>0</v>
      </c>
      <c r="P41" s="55">
        <f t="shared" si="4"/>
        <v>0</v>
      </c>
      <c r="Q41" s="54">
        <f t="shared" si="5"/>
        <v>0</v>
      </c>
      <c r="R41" s="47"/>
      <c r="T41" s="57"/>
      <c r="U41" s="45"/>
      <c r="V41" s="46">
        <f>IF(U41&lt;&gt;"",VLOOKUP(U41,'Tipo Projeto'!$A$3:$B$35,2,0),0)</f>
        <v>0</v>
      </c>
      <c r="W41" s="203"/>
      <c r="X41" s="49"/>
      <c r="Y41" s="50"/>
      <c r="Z41" s="51"/>
      <c r="AA41" s="52"/>
      <c r="AB41" s="53" t="str">
        <f t="shared" si="6"/>
        <v/>
      </c>
      <c r="AC41" s="48" t="str">
        <f t="shared" si="7"/>
        <v/>
      </c>
      <c r="AD41" s="54" t="str">
        <f t="shared" si="8"/>
        <v/>
      </c>
      <c r="AE41" s="55">
        <f t="shared" si="9"/>
        <v>0</v>
      </c>
      <c r="AF41" s="55">
        <f t="shared" si="10"/>
        <v>0</v>
      </c>
      <c r="AG41" s="58">
        <f t="shared" si="11"/>
        <v>0</v>
      </c>
      <c r="AH41" s="47"/>
      <c r="AJ41" s="47"/>
      <c r="AL41" s="47"/>
      <c r="AM41" s="47" t="str">
        <f t="shared" si="12"/>
        <v/>
      </c>
    </row>
    <row r="42" spans="1:39" s="56" customFormat="1" ht="14.25">
      <c r="A42" s="44"/>
      <c r="B42" s="45"/>
      <c r="C42" s="46">
        <f>IF(B42&lt;&gt;"",VLOOKUP(B42,'Tipo Projeto'!$A$3:$B$35,2,0),0)</f>
        <v>0</v>
      </c>
      <c r="D42" s="47"/>
      <c r="E42" s="47"/>
      <c r="F42" s="48"/>
      <c r="G42" s="47"/>
      <c r="H42" s="49"/>
      <c r="I42" s="50"/>
      <c r="J42" s="51"/>
      <c r="K42" s="52"/>
      <c r="L42" s="53" t="str">
        <f t="shared" si="0"/>
        <v/>
      </c>
      <c r="M42" s="48" t="str">
        <f t="shared" si="1"/>
        <v/>
      </c>
      <c r="N42" s="54" t="str">
        <f t="shared" si="2"/>
        <v/>
      </c>
      <c r="O42" s="55">
        <f t="shared" si="3"/>
        <v>0</v>
      </c>
      <c r="P42" s="55">
        <f t="shared" si="4"/>
        <v>0</v>
      </c>
      <c r="Q42" s="54">
        <f t="shared" si="5"/>
        <v>0</v>
      </c>
      <c r="R42" s="47"/>
      <c r="T42" s="57"/>
      <c r="U42" s="45"/>
      <c r="V42" s="46">
        <f>IF(U42&lt;&gt;"",VLOOKUP(U42,'Tipo Projeto'!$A$3:$B$35,2,0),0)</f>
        <v>0</v>
      </c>
      <c r="W42" s="203"/>
      <c r="X42" s="49"/>
      <c r="Y42" s="50"/>
      <c r="Z42" s="51"/>
      <c r="AA42" s="52"/>
      <c r="AB42" s="53" t="str">
        <f t="shared" si="6"/>
        <v/>
      </c>
      <c r="AC42" s="48" t="str">
        <f t="shared" si="7"/>
        <v/>
      </c>
      <c r="AD42" s="54" t="str">
        <f t="shared" si="8"/>
        <v/>
      </c>
      <c r="AE42" s="55">
        <f t="shared" si="9"/>
        <v>0</v>
      </c>
      <c r="AF42" s="55">
        <f t="shared" si="10"/>
        <v>0</v>
      </c>
      <c r="AG42" s="58">
        <f t="shared" si="11"/>
        <v>0</v>
      </c>
      <c r="AH42" s="47"/>
      <c r="AJ42" s="47"/>
      <c r="AL42" s="47"/>
      <c r="AM42" s="47" t="str">
        <f t="shared" si="12"/>
        <v/>
      </c>
    </row>
    <row r="43" spans="1:39" s="56" customFormat="1" ht="14.25">
      <c r="A43" s="44"/>
      <c r="B43" s="45"/>
      <c r="C43" s="46">
        <f>IF(B43&lt;&gt;"",VLOOKUP(B43,'Tipo Projeto'!$A$3:$B$35,2,0),0)</f>
        <v>0</v>
      </c>
      <c r="D43" s="47"/>
      <c r="E43" s="47"/>
      <c r="F43" s="48"/>
      <c r="G43" s="47"/>
      <c r="H43" s="49"/>
      <c r="I43" s="50"/>
      <c r="J43" s="51"/>
      <c r="K43" s="52"/>
      <c r="L43" s="53" t="str">
        <f t="shared" si="0"/>
        <v/>
      </c>
      <c r="M43" s="48" t="str">
        <f t="shared" si="1"/>
        <v/>
      </c>
      <c r="N43" s="54" t="str">
        <f t="shared" si="2"/>
        <v/>
      </c>
      <c r="O43" s="55">
        <f t="shared" si="3"/>
        <v>0</v>
      </c>
      <c r="P43" s="55">
        <f t="shared" si="4"/>
        <v>0</v>
      </c>
      <c r="Q43" s="54">
        <f t="shared" si="5"/>
        <v>0</v>
      </c>
      <c r="R43" s="47"/>
      <c r="T43" s="57"/>
      <c r="U43" s="45"/>
      <c r="V43" s="46">
        <f>IF(U43&lt;&gt;"",VLOOKUP(U43,'Tipo Projeto'!$A$3:$B$35,2,0),0)</f>
        <v>0</v>
      </c>
      <c r="W43" s="203"/>
      <c r="X43" s="49"/>
      <c r="Y43" s="50"/>
      <c r="Z43" s="51"/>
      <c r="AA43" s="52"/>
      <c r="AB43" s="53" t="str">
        <f t="shared" si="6"/>
        <v/>
      </c>
      <c r="AC43" s="48" t="str">
        <f t="shared" si="7"/>
        <v/>
      </c>
      <c r="AD43" s="54" t="str">
        <f t="shared" si="8"/>
        <v/>
      </c>
      <c r="AE43" s="55">
        <f t="shared" si="9"/>
        <v>0</v>
      </c>
      <c r="AF43" s="55">
        <f t="shared" si="10"/>
        <v>0</v>
      </c>
      <c r="AG43" s="58">
        <f t="shared" si="11"/>
        <v>0</v>
      </c>
      <c r="AH43" s="47"/>
      <c r="AJ43" s="47"/>
      <c r="AL43" s="47"/>
      <c r="AM43" s="47" t="str">
        <f t="shared" si="12"/>
        <v/>
      </c>
    </row>
    <row r="44" spans="1:39" s="56" customFormat="1" ht="14.25">
      <c r="A44" s="44"/>
      <c r="B44" s="45"/>
      <c r="C44" s="46">
        <f>IF(B44&lt;&gt;"",VLOOKUP(B44,'Tipo Projeto'!$A$3:$B$35,2,0),0)</f>
        <v>0</v>
      </c>
      <c r="D44" s="47"/>
      <c r="E44" s="47"/>
      <c r="F44" s="48"/>
      <c r="G44" s="47"/>
      <c r="H44" s="49"/>
      <c r="I44" s="50"/>
      <c r="J44" s="51"/>
      <c r="K44" s="52"/>
      <c r="L44" s="53" t="str">
        <f t="shared" si="0"/>
        <v/>
      </c>
      <c r="M44" s="48" t="str">
        <f t="shared" si="1"/>
        <v/>
      </c>
      <c r="N44" s="54" t="str">
        <f t="shared" si="2"/>
        <v/>
      </c>
      <c r="O44" s="55">
        <f t="shared" si="3"/>
        <v>0</v>
      </c>
      <c r="P44" s="55">
        <f t="shared" si="4"/>
        <v>0</v>
      </c>
      <c r="Q44" s="54">
        <f t="shared" si="5"/>
        <v>0</v>
      </c>
      <c r="R44" s="47"/>
      <c r="T44" s="57"/>
      <c r="U44" s="45"/>
      <c r="V44" s="46">
        <f>IF(U44&lt;&gt;"",VLOOKUP(U44,'Tipo Projeto'!$A$3:$B$35,2,0),0)</f>
        <v>0</v>
      </c>
      <c r="W44" s="203"/>
      <c r="X44" s="49"/>
      <c r="Y44" s="50"/>
      <c r="Z44" s="51"/>
      <c r="AA44" s="52"/>
      <c r="AB44" s="53" t="str">
        <f t="shared" si="6"/>
        <v/>
      </c>
      <c r="AC44" s="48" t="str">
        <f t="shared" si="7"/>
        <v/>
      </c>
      <c r="AD44" s="54" t="str">
        <f t="shared" si="8"/>
        <v/>
      </c>
      <c r="AE44" s="55">
        <f t="shared" si="9"/>
        <v>0</v>
      </c>
      <c r="AF44" s="55">
        <f t="shared" si="10"/>
        <v>0</v>
      </c>
      <c r="AG44" s="58">
        <f t="shared" si="11"/>
        <v>0</v>
      </c>
      <c r="AH44" s="47"/>
      <c r="AJ44" s="47"/>
      <c r="AL44" s="47"/>
      <c r="AM44" s="47" t="str">
        <f t="shared" si="12"/>
        <v/>
      </c>
    </row>
    <row r="45" spans="1:39" s="56" customFormat="1" ht="14.25">
      <c r="A45" s="44"/>
      <c r="B45" s="45"/>
      <c r="C45" s="46">
        <f>IF(B45&lt;&gt;"",VLOOKUP(B45,'Tipo Projeto'!$A$3:$B$35,2,0),0)</f>
        <v>0</v>
      </c>
      <c r="D45" s="47"/>
      <c r="E45" s="47"/>
      <c r="F45" s="48"/>
      <c r="G45" s="47"/>
      <c r="H45" s="49"/>
      <c r="I45" s="50"/>
      <c r="J45" s="51"/>
      <c r="K45" s="52"/>
      <c r="L45" s="53" t="str">
        <f t="shared" si="0"/>
        <v/>
      </c>
      <c r="M45" s="48" t="str">
        <f t="shared" si="1"/>
        <v/>
      </c>
      <c r="N45" s="54" t="str">
        <f t="shared" si="2"/>
        <v/>
      </c>
      <c r="O45" s="55">
        <f t="shared" si="3"/>
        <v>0</v>
      </c>
      <c r="P45" s="55">
        <f t="shared" si="4"/>
        <v>0</v>
      </c>
      <c r="Q45" s="54">
        <f t="shared" si="5"/>
        <v>0</v>
      </c>
      <c r="R45" s="47"/>
      <c r="T45" s="57"/>
      <c r="U45" s="45"/>
      <c r="V45" s="46">
        <f>IF(U45&lt;&gt;"",VLOOKUP(U45,'Tipo Projeto'!$A$3:$B$35,2,0),0)</f>
        <v>0</v>
      </c>
      <c r="W45" s="203"/>
      <c r="X45" s="49"/>
      <c r="Y45" s="50"/>
      <c r="Z45" s="51"/>
      <c r="AA45" s="52"/>
      <c r="AB45" s="53" t="str">
        <f t="shared" si="6"/>
        <v/>
      </c>
      <c r="AC45" s="48" t="str">
        <f t="shared" si="7"/>
        <v/>
      </c>
      <c r="AD45" s="54" t="str">
        <f t="shared" si="8"/>
        <v/>
      </c>
      <c r="AE45" s="55">
        <f t="shared" si="9"/>
        <v>0</v>
      </c>
      <c r="AF45" s="55">
        <f t="shared" si="10"/>
        <v>0</v>
      </c>
      <c r="AG45" s="58">
        <f t="shared" si="11"/>
        <v>0</v>
      </c>
      <c r="AH45" s="47"/>
      <c r="AJ45" s="47"/>
      <c r="AL45" s="47"/>
      <c r="AM45" s="47" t="str">
        <f t="shared" si="12"/>
        <v/>
      </c>
    </row>
    <row r="46" spans="1:39" s="56" customFormat="1" ht="14.25">
      <c r="A46" s="44"/>
      <c r="B46" s="45"/>
      <c r="C46" s="46">
        <f>IF(B46&lt;&gt;"",VLOOKUP(B46,'Tipo Projeto'!$A$3:$B$35,2,0),0)</f>
        <v>0</v>
      </c>
      <c r="D46" s="47"/>
      <c r="E46" s="47"/>
      <c r="F46" s="48"/>
      <c r="G46" s="47"/>
      <c r="H46" s="49"/>
      <c r="I46" s="50"/>
      <c r="J46" s="51"/>
      <c r="K46" s="52"/>
      <c r="L46" s="53" t="str">
        <f t="shared" si="0"/>
        <v/>
      </c>
      <c r="M46" s="48" t="str">
        <f t="shared" si="1"/>
        <v/>
      </c>
      <c r="N46" s="54" t="str">
        <f t="shared" si="2"/>
        <v/>
      </c>
      <c r="O46" s="55">
        <f t="shared" si="3"/>
        <v>0</v>
      </c>
      <c r="P46" s="55">
        <f t="shared" si="4"/>
        <v>0</v>
      </c>
      <c r="Q46" s="54">
        <f t="shared" si="5"/>
        <v>0</v>
      </c>
      <c r="R46" s="47"/>
      <c r="T46" s="57"/>
      <c r="U46" s="45"/>
      <c r="V46" s="46">
        <f>IF(U46&lt;&gt;"",VLOOKUP(U46,'Tipo Projeto'!$A$3:$B$35,2,0),0)</f>
        <v>0</v>
      </c>
      <c r="W46" s="203"/>
      <c r="X46" s="49"/>
      <c r="Y46" s="50"/>
      <c r="Z46" s="51"/>
      <c r="AA46" s="52"/>
      <c r="AB46" s="53" t="str">
        <f t="shared" si="6"/>
        <v/>
      </c>
      <c r="AC46" s="48" t="str">
        <f t="shared" si="7"/>
        <v/>
      </c>
      <c r="AD46" s="54" t="str">
        <f t="shared" si="8"/>
        <v/>
      </c>
      <c r="AE46" s="55">
        <f t="shared" si="9"/>
        <v>0</v>
      </c>
      <c r="AF46" s="55">
        <f t="shared" si="10"/>
        <v>0</v>
      </c>
      <c r="AG46" s="58">
        <f t="shared" si="11"/>
        <v>0</v>
      </c>
      <c r="AH46" s="47"/>
      <c r="AJ46" s="47"/>
      <c r="AL46" s="47"/>
      <c r="AM46" s="47" t="str">
        <f t="shared" si="12"/>
        <v/>
      </c>
    </row>
    <row r="47" spans="1:39" s="56" customFormat="1" ht="14.25">
      <c r="A47" s="44"/>
      <c r="B47" s="45"/>
      <c r="C47" s="46">
        <f>IF(B47&lt;&gt;"",VLOOKUP(B47,'Tipo Projeto'!$A$3:$B$35,2,0),0)</f>
        <v>0</v>
      </c>
      <c r="D47" s="47"/>
      <c r="E47" s="47"/>
      <c r="F47" s="48"/>
      <c r="G47" s="47"/>
      <c r="H47" s="49"/>
      <c r="I47" s="50"/>
      <c r="J47" s="51"/>
      <c r="K47" s="52"/>
      <c r="L47" s="53" t="str">
        <f t="shared" si="0"/>
        <v/>
      </c>
      <c r="M47" s="48" t="str">
        <f t="shared" si="1"/>
        <v/>
      </c>
      <c r="N47" s="54" t="str">
        <f t="shared" si="2"/>
        <v/>
      </c>
      <c r="O47" s="55">
        <f t="shared" si="3"/>
        <v>0</v>
      </c>
      <c r="P47" s="55">
        <f t="shared" si="4"/>
        <v>0</v>
      </c>
      <c r="Q47" s="54">
        <f t="shared" si="5"/>
        <v>0</v>
      </c>
      <c r="R47" s="47"/>
      <c r="T47" s="57"/>
      <c r="U47" s="45"/>
      <c r="V47" s="46">
        <f>IF(U47&lt;&gt;"",VLOOKUP(U47,'Tipo Projeto'!$A$3:$B$35,2,0),0)</f>
        <v>0</v>
      </c>
      <c r="W47" s="203"/>
      <c r="X47" s="49"/>
      <c r="Y47" s="50"/>
      <c r="Z47" s="51"/>
      <c r="AA47" s="52"/>
      <c r="AB47" s="53" t="str">
        <f t="shared" si="6"/>
        <v/>
      </c>
      <c r="AC47" s="48" t="str">
        <f t="shared" si="7"/>
        <v/>
      </c>
      <c r="AD47" s="54" t="str">
        <f t="shared" si="8"/>
        <v/>
      </c>
      <c r="AE47" s="55">
        <f t="shared" si="9"/>
        <v>0</v>
      </c>
      <c r="AF47" s="55">
        <f t="shared" si="10"/>
        <v>0</v>
      </c>
      <c r="AG47" s="58">
        <f t="shared" si="11"/>
        <v>0</v>
      </c>
      <c r="AH47" s="47"/>
      <c r="AJ47" s="47"/>
      <c r="AL47" s="47"/>
      <c r="AM47" s="47" t="str">
        <f t="shared" si="12"/>
        <v/>
      </c>
    </row>
    <row r="48" spans="1:39" s="56" customFormat="1" ht="14.25">
      <c r="A48" s="44"/>
      <c r="B48" s="45"/>
      <c r="C48" s="46">
        <f>IF(B48&lt;&gt;"",VLOOKUP(B48,'Tipo Projeto'!$A$3:$B$35,2,0),0)</f>
        <v>0</v>
      </c>
      <c r="D48" s="47"/>
      <c r="E48" s="47"/>
      <c r="F48" s="48"/>
      <c r="G48" s="47"/>
      <c r="H48" s="49"/>
      <c r="I48" s="50"/>
      <c r="J48" s="51"/>
      <c r="K48" s="52"/>
      <c r="L48" s="53" t="str">
        <f t="shared" si="0"/>
        <v/>
      </c>
      <c r="M48" s="48" t="str">
        <f t="shared" si="1"/>
        <v/>
      </c>
      <c r="N48" s="54" t="str">
        <f t="shared" si="2"/>
        <v/>
      </c>
      <c r="O48" s="55">
        <f t="shared" si="3"/>
        <v>0</v>
      </c>
      <c r="P48" s="55">
        <f t="shared" si="4"/>
        <v>0</v>
      </c>
      <c r="Q48" s="54">
        <f t="shared" si="5"/>
        <v>0</v>
      </c>
      <c r="R48" s="47"/>
      <c r="T48" s="57"/>
      <c r="U48" s="45"/>
      <c r="V48" s="46">
        <f>IF(U48&lt;&gt;"",VLOOKUP(U48,'Tipo Projeto'!$A$3:$B$35,2,0),0)</f>
        <v>0</v>
      </c>
      <c r="W48" s="203"/>
      <c r="X48" s="49"/>
      <c r="Y48" s="50"/>
      <c r="Z48" s="51"/>
      <c r="AA48" s="52"/>
      <c r="AB48" s="53" t="str">
        <f t="shared" si="6"/>
        <v/>
      </c>
      <c r="AC48" s="48" t="str">
        <f t="shared" si="7"/>
        <v/>
      </c>
      <c r="AD48" s="54" t="str">
        <f t="shared" si="8"/>
        <v/>
      </c>
      <c r="AE48" s="55">
        <f t="shared" si="9"/>
        <v>0</v>
      </c>
      <c r="AF48" s="55">
        <f t="shared" si="10"/>
        <v>0</v>
      </c>
      <c r="AG48" s="58">
        <f t="shared" si="11"/>
        <v>0</v>
      </c>
      <c r="AH48" s="47"/>
      <c r="AJ48" s="47"/>
      <c r="AL48" s="47"/>
      <c r="AM48" s="47" t="str">
        <f t="shared" si="12"/>
        <v/>
      </c>
    </row>
    <row r="49" spans="1:39" s="56" customFormat="1" ht="14.25">
      <c r="A49" s="44"/>
      <c r="B49" s="45"/>
      <c r="C49" s="46">
        <f>IF(B49&lt;&gt;"",VLOOKUP(B49,'Tipo Projeto'!$A$3:$B$35,2,0),0)</f>
        <v>0</v>
      </c>
      <c r="D49" s="47"/>
      <c r="E49" s="47"/>
      <c r="F49" s="48"/>
      <c r="G49" s="47"/>
      <c r="H49" s="49"/>
      <c r="I49" s="50"/>
      <c r="J49" s="51"/>
      <c r="K49" s="52"/>
      <c r="L49" s="53" t="str">
        <f t="shared" si="0"/>
        <v/>
      </c>
      <c r="M49" s="48" t="str">
        <f t="shared" si="1"/>
        <v/>
      </c>
      <c r="N49" s="54" t="str">
        <f t="shared" si="2"/>
        <v/>
      </c>
      <c r="O49" s="55">
        <f t="shared" si="3"/>
        <v>0</v>
      </c>
      <c r="P49" s="55">
        <f t="shared" si="4"/>
        <v>0</v>
      </c>
      <c r="Q49" s="54">
        <f t="shared" si="5"/>
        <v>0</v>
      </c>
      <c r="R49" s="47"/>
      <c r="T49" s="57"/>
      <c r="U49" s="45"/>
      <c r="V49" s="46">
        <f>IF(U49&lt;&gt;"",VLOOKUP(U49,'Tipo Projeto'!$A$3:$B$35,2,0),0)</f>
        <v>0</v>
      </c>
      <c r="W49" s="203"/>
      <c r="X49" s="49"/>
      <c r="Y49" s="50"/>
      <c r="Z49" s="51"/>
      <c r="AA49" s="52"/>
      <c r="AB49" s="53" t="str">
        <f t="shared" si="6"/>
        <v/>
      </c>
      <c r="AC49" s="48" t="str">
        <f t="shared" si="7"/>
        <v/>
      </c>
      <c r="AD49" s="54" t="str">
        <f t="shared" si="8"/>
        <v/>
      </c>
      <c r="AE49" s="55">
        <f t="shared" si="9"/>
        <v>0</v>
      </c>
      <c r="AF49" s="55">
        <f t="shared" si="10"/>
        <v>0</v>
      </c>
      <c r="AG49" s="58">
        <f t="shared" si="11"/>
        <v>0</v>
      </c>
      <c r="AH49" s="47"/>
      <c r="AJ49" s="47"/>
      <c r="AL49" s="47"/>
      <c r="AM49" s="47" t="str">
        <f t="shared" si="12"/>
        <v/>
      </c>
    </row>
    <row r="50" spans="1:39" s="56" customFormat="1" ht="14.25">
      <c r="A50" s="44"/>
      <c r="B50" s="45"/>
      <c r="C50" s="46">
        <f>IF(B50&lt;&gt;"",VLOOKUP(B50,'Tipo Projeto'!$A$3:$B$35,2,0),0)</f>
        <v>0</v>
      </c>
      <c r="D50" s="47"/>
      <c r="E50" s="47"/>
      <c r="F50" s="48"/>
      <c r="G50" s="47"/>
      <c r="H50" s="49"/>
      <c r="I50" s="50"/>
      <c r="J50" s="51"/>
      <c r="K50" s="52"/>
      <c r="L50" s="53" t="str">
        <f t="shared" si="0"/>
        <v/>
      </c>
      <c r="M50" s="48" t="str">
        <f t="shared" si="1"/>
        <v/>
      </c>
      <c r="N50" s="54" t="str">
        <f t="shared" si="2"/>
        <v/>
      </c>
      <c r="O50" s="55">
        <f t="shared" si="3"/>
        <v>0</v>
      </c>
      <c r="P50" s="55">
        <f t="shared" si="4"/>
        <v>0</v>
      </c>
      <c r="Q50" s="54">
        <f t="shared" si="5"/>
        <v>0</v>
      </c>
      <c r="R50" s="47"/>
      <c r="T50" s="57"/>
      <c r="U50" s="45"/>
      <c r="V50" s="46">
        <f>IF(U50&lt;&gt;"",VLOOKUP(U50,'Tipo Projeto'!$A$3:$B$35,2,0),0)</f>
        <v>0</v>
      </c>
      <c r="W50" s="203"/>
      <c r="X50" s="49"/>
      <c r="Y50" s="50"/>
      <c r="Z50" s="51"/>
      <c r="AA50" s="52"/>
      <c r="AB50" s="53" t="str">
        <f t="shared" si="6"/>
        <v/>
      </c>
      <c r="AC50" s="48" t="str">
        <f t="shared" si="7"/>
        <v/>
      </c>
      <c r="AD50" s="54" t="str">
        <f t="shared" si="8"/>
        <v/>
      </c>
      <c r="AE50" s="55">
        <f t="shared" si="9"/>
        <v>0</v>
      </c>
      <c r="AF50" s="55">
        <f t="shared" si="10"/>
        <v>0</v>
      </c>
      <c r="AG50" s="58">
        <f t="shared" si="11"/>
        <v>0</v>
      </c>
      <c r="AH50" s="47"/>
      <c r="AJ50" s="47"/>
      <c r="AL50" s="47"/>
      <c r="AM50" s="47" t="str">
        <f t="shared" si="12"/>
        <v/>
      </c>
    </row>
    <row r="51" spans="1:39" s="56" customFormat="1" ht="14.25">
      <c r="A51" s="44"/>
      <c r="B51" s="45"/>
      <c r="C51" s="46">
        <f>IF(B51&lt;&gt;"",VLOOKUP(B51,'Tipo Projeto'!$A$3:$B$35,2,0),0)</f>
        <v>0</v>
      </c>
      <c r="D51" s="47"/>
      <c r="E51" s="47"/>
      <c r="F51" s="48"/>
      <c r="G51" s="47"/>
      <c r="H51" s="49"/>
      <c r="I51" s="50"/>
      <c r="J51" s="51"/>
      <c r="K51" s="52"/>
      <c r="L51" s="53" t="str">
        <f t="shared" si="0"/>
        <v/>
      </c>
      <c r="M51" s="48" t="str">
        <f t="shared" si="1"/>
        <v/>
      </c>
      <c r="N51" s="54" t="str">
        <f t="shared" si="2"/>
        <v/>
      </c>
      <c r="O51" s="55">
        <f t="shared" si="3"/>
        <v>0</v>
      </c>
      <c r="P51" s="55">
        <f t="shared" si="4"/>
        <v>0</v>
      </c>
      <c r="Q51" s="54">
        <f t="shared" si="5"/>
        <v>0</v>
      </c>
      <c r="R51" s="47"/>
      <c r="T51" s="57"/>
      <c r="U51" s="45"/>
      <c r="V51" s="46">
        <f>IF(U51&lt;&gt;"",VLOOKUP(U51,'Tipo Projeto'!$A$3:$B$35,2,0),0)</f>
        <v>0</v>
      </c>
      <c r="W51" s="203"/>
      <c r="X51" s="49"/>
      <c r="Y51" s="50"/>
      <c r="Z51" s="51"/>
      <c r="AA51" s="52"/>
      <c r="AB51" s="53" t="str">
        <f t="shared" si="6"/>
        <v/>
      </c>
      <c r="AC51" s="48" t="str">
        <f t="shared" si="7"/>
        <v/>
      </c>
      <c r="AD51" s="54" t="str">
        <f t="shared" si="8"/>
        <v/>
      </c>
      <c r="AE51" s="55">
        <f t="shared" si="9"/>
        <v>0</v>
      </c>
      <c r="AF51" s="55">
        <f t="shared" si="10"/>
        <v>0</v>
      </c>
      <c r="AG51" s="58">
        <f t="shared" si="11"/>
        <v>0</v>
      </c>
      <c r="AH51" s="47"/>
      <c r="AJ51" s="47"/>
      <c r="AL51" s="47"/>
      <c r="AM51" s="47" t="str">
        <f t="shared" si="12"/>
        <v/>
      </c>
    </row>
    <row r="52" spans="1:39" s="56" customFormat="1" ht="14.25">
      <c r="A52" s="44"/>
      <c r="B52" s="45"/>
      <c r="C52" s="46">
        <f>IF(B52&lt;&gt;"",VLOOKUP(B52,'Tipo Projeto'!$A$3:$B$35,2,0),0)</f>
        <v>0</v>
      </c>
      <c r="D52" s="47"/>
      <c r="E52" s="47"/>
      <c r="F52" s="48"/>
      <c r="G52" s="47"/>
      <c r="H52" s="49"/>
      <c r="I52" s="50"/>
      <c r="J52" s="51"/>
      <c r="K52" s="52"/>
      <c r="L52" s="53" t="str">
        <f t="shared" si="0"/>
        <v/>
      </c>
      <c r="M52" s="48" t="str">
        <f t="shared" si="1"/>
        <v/>
      </c>
      <c r="N52" s="54" t="str">
        <f t="shared" si="2"/>
        <v/>
      </c>
      <c r="O52" s="55">
        <f t="shared" si="3"/>
        <v>0</v>
      </c>
      <c r="P52" s="55">
        <f t="shared" si="4"/>
        <v>0</v>
      </c>
      <c r="Q52" s="54">
        <f t="shared" si="5"/>
        <v>0</v>
      </c>
      <c r="R52" s="47"/>
      <c r="T52" s="57"/>
      <c r="U52" s="45"/>
      <c r="V52" s="46">
        <f>IF(U52&lt;&gt;"",VLOOKUP(U52,'Tipo Projeto'!$A$3:$B$35,2,0),0)</f>
        <v>0</v>
      </c>
      <c r="W52" s="203"/>
      <c r="X52" s="49"/>
      <c r="Y52" s="50"/>
      <c r="Z52" s="51"/>
      <c r="AA52" s="52"/>
      <c r="AB52" s="53" t="str">
        <f t="shared" si="6"/>
        <v/>
      </c>
      <c r="AC52" s="48" t="str">
        <f t="shared" si="7"/>
        <v/>
      </c>
      <c r="AD52" s="54" t="str">
        <f t="shared" si="8"/>
        <v/>
      </c>
      <c r="AE52" s="55">
        <f t="shared" si="9"/>
        <v>0</v>
      </c>
      <c r="AF52" s="55">
        <f t="shared" si="10"/>
        <v>0</v>
      </c>
      <c r="AG52" s="58">
        <f t="shared" si="11"/>
        <v>0</v>
      </c>
      <c r="AH52" s="47"/>
      <c r="AJ52" s="47"/>
      <c r="AL52" s="47"/>
      <c r="AM52" s="47" t="str">
        <f t="shared" si="12"/>
        <v/>
      </c>
    </row>
    <row r="53" spans="1:39" s="56" customFormat="1" ht="14.25">
      <c r="A53" s="44"/>
      <c r="B53" s="45"/>
      <c r="C53" s="46">
        <f>IF(B53&lt;&gt;"",VLOOKUP(B53,'Tipo Projeto'!$A$3:$B$35,2,0),0)</f>
        <v>0</v>
      </c>
      <c r="D53" s="47"/>
      <c r="E53" s="47"/>
      <c r="F53" s="48"/>
      <c r="G53" s="47"/>
      <c r="H53" s="49"/>
      <c r="I53" s="50"/>
      <c r="J53" s="51"/>
      <c r="K53" s="52"/>
      <c r="L53" s="53" t="str">
        <f t="shared" si="0"/>
        <v/>
      </c>
      <c r="M53" s="48" t="str">
        <f t="shared" si="1"/>
        <v/>
      </c>
      <c r="N53" s="54" t="str">
        <f t="shared" si="2"/>
        <v/>
      </c>
      <c r="O53" s="55">
        <f t="shared" si="3"/>
        <v>0</v>
      </c>
      <c r="P53" s="55">
        <f t="shared" si="4"/>
        <v>0</v>
      </c>
      <c r="Q53" s="54">
        <f t="shared" si="5"/>
        <v>0</v>
      </c>
      <c r="R53" s="47"/>
      <c r="T53" s="57"/>
      <c r="U53" s="45"/>
      <c r="V53" s="46">
        <f>IF(U53&lt;&gt;"",VLOOKUP(U53,'Tipo Projeto'!$A$3:$B$35,2,0),0)</f>
        <v>0</v>
      </c>
      <c r="W53" s="203"/>
      <c r="X53" s="49"/>
      <c r="Y53" s="50"/>
      <c r="Z53" s="51"/>
      <c r="AA53" s="52"/>
      <c r="AB53" s="53" t="str">
        <f t="shared" si="6"/>
        <v/>
      </c>
      <c r="AC53" s="48" t="str">
        <f t="shared" si="7"/>
        <v/>
      </c>
      <c r="AD53" s="54" t="str">
        <f t="shared" si="8"/>
        <v/>
      </c>
      <c r="AE53" s="55">
        <f t="shared" si="9"/>
        <v>0</v>
      </c>
      <c r="AF53" s="55">
        <f t="shared" si="10"/>
        <v>0</v>
      </c>
      <c r="AG53" s="58">
        <f t="shared" si="11"/>
        <v>0</v>
      </c>
      <c r="AH53" s="47"/>
      <c r="AJ53" s="47"/>
      <c r="AL53" s="47"/>
      <c r="AM53" s="47" t="str">
        <f t="shared" si="12"/>
        <v/>
      </c>
    </row>
    <row r="54" spans="1:39" s="56" customFormat="1" ht="14.25">
      <c r="A54" s="44"/>
      <c r="B54" s="45"/>
      <c r="C54" s="46">
        <f>IF(B54&lt;&gt;"",VLOOKUP(B54,'Tipo Projeto'!$A$3:$B$35,2,0),0)</f>
        <v>0</v>
      </c>
      <c r="D54" s="47"/>
      <c r="E54" s="47"/>
      <c r="F54" s="48"/>
      <c r="G54" s="47"/>
      <c r="H54" s="49"/>
      <c r="I54" s="50"/>
      <c r="J54" s="51"/>
      <c r="K54" s="52"/>
      <c r="L54" s="53" t="str">
        <f t="shared" si="0"/>
        <v/>
      </c>
      <c r="M54" s="48" t="str">
        <f t="shared" si="1"/>
        <v/>
      </c>
      <c r="N54" s="54" t="str">
        <f t="shared" si="2"/>
        <v/>
      </c>
      <c r="O54" s="55">
        <f t="shared" si="3"/>
        <v>0</v>
      </c>
      <c r="P54" s="55">
        <f t="shared" si="4"/>
        <v>0</v>
      </c>
      <c r="Q54" s="54">
        <f t="shared" si="5"/>
        <v>0</v>
      </c>
      <c r="R54" s="47"/>
      <c r="T54" s="57"/>
      <c r="U54" s="45"/>
      <c r="V54" s="46">
        <f>IF(U54&lt;&gt;"",VLOOKUP(U54,'Tipo Projeto'!$A$3:$B$35,2,0),0)</f>
        <v>0</v>
      </c>
      <c r="W54" s="203"/>
      <c r="X54" s="49"/>
      <c r="Y54" s="50"/>
      <c r="Z54" s="51"/>
      <c r="AA54" s="52"/>
      <c r="AB54" s="53" t="str">
        <f t="shared" si="6"/>
        <v/>
      </c>
      <c r="AC54" s="48" t="str">
        <f t="shared" si="7"/>
        <v/>
      </c>
      <c r="AD54" s="54" t="str">
        <f t="shared" si="8"/>
        <v/>
      </c>
      <c r="AE54" s="55">
        <f t="shared" si="9"/>
        <v>0</v>
      </c>
      <c r="AF54" s="55">
        <f t="shared" si="10"/>
        <v>0</v>
      </c>
      <c r="AG54" s="58">
        <f t="shared" si="11"/>
        <v>0</v>
      </c>
      <c r="AH54" s="47"/>
      <c r="AJ54" s="47"/>
      <c r="AL54" s="47"/>
      <c r="AM54" s="47" t="str">
        <f t="shared" si="12"/>
        <v/>
      </c>
    </row>
    <row r="55" spans="1:39" s="56" customFormat="1" ht="14.25">
      <c r="A55" s="44"/>
      <c r="B55" s="45"/>
      <c r="C55" s="46">
        <f>IF(B55&lt;&gt;"",VLOOKUP(B55,'Tipo Projeto'!$A$3:$B$35,2,0),0)</f>
        <v>0</v>
      </c>
      <c r="D55" s="47"/>
      <c r="E55" s="47"/>
      <c r="F55" s="48"/>
      <c r="G55" s="47"/>
      <c r="H55" s="49"/>
      <c r="I55" s="50"/>
      <c r="J55" s="51"/>
      <c r="K55" s="52"/>
      <c r="L55" s="53" t="str">
        <f t="shared" si="0"/>
        <v/>
      </c>
      <c r="M55" s="48" t="str">
        <f t="shared" si="1"/>
        <v/>
      </c>
      <c r="N55" s="54" t="str">
        <f t="shared" si="2"/>
        <v/>
      </c>
      <c r="O55" s="55">
        <f t="shared" si="3"/>
        <v>0</v>
      </c>
      <c r="P55" s="55">
        <f t="shared" si="4"/>
        <v>0</v>
      </c>
      <c r="Q55" s="54">
        <f t="shared" si="5"/>
        <v>0</v>
      </c>
      <c r="R55" s="47"/>
      <c r="T55" s="57"/>
      <c r="U55" s="45"/>
      <c r="V55" s="46">
        <f>IF(U55&lt;&gt;"",VLOOKUP(U55,'Tipo Projeto'!$A$3:$B$35,2,0),0)</f>
        <v>0</v>
      </c>
      <c r="W55" s="203"/>
      <c r="X55" s="49"/>
      <c r="Y55" s="50"/>
      <c r="Z55" s="51"/>
      <c r="AA55" s="52"/>
      <c r="AB55" s="53" t="str">
        <f t="shared" si="6"/>
        <v/>
      </c>
      <c r="AC55" s="48" t="str">
        <f t="shared" si="7"/>
        <v/>
      </c>
      <c r="AD55" s="54" t="str">
        <f t="shared" si="8"/>
        <v/>
      </c>
      <c r="AE55" s="55">
        <f t="shared" si="9"/>
        <v>0</v>
      </c>
      <c r="AF55" s="55">
        <f t="shared" si="10"/>
        <v>0</v>
      </c>
      <c r="AG55" s="58">
        <f t="shared" si="11"/>
        <v>0</v>
      </c>
      <c r="AH55" s="47"/>
      <c r="AJ55" s="47"/>
      <c r="AL55" s="47"/>
      <c r="AM55" s="47" t="str">
        <f t="shared" si="12"/>
        <v/>
      </c>
    </row>
    <row r="56" spans="1:39" s="56" customFormat="1" ht="14.25">
      <c r="A56" s="44"/>
      <c r="B56" s="45"/>
      <c r="C56" s="46">
        <f>IF(B56&lt;&gt;"",VLOOKUP(B56,'Tipo Projeto'!$A$3:$B$35,2,0),0)</f>
        <v>0</v>
      </c>
      <c r="D56" s="47"/>
      <c r="E56" s="47"/>
      <c r="F56" s="48"/>
      <c r="G56" s="47"/>
      <c r="H56" s="49"/>
      <c r="I56" s="50"/>
      <c r="J56" s="51"/>
      <c r="K56" s="52"/>
      <c r="L56" s="53" t="str">
        <f t="shared" si="0"/>
        <v/>
      </c>
      <c r="M56" s="48" t="str">
        <f t="shared" si="1"/>
        <v/>
      </c>
      <c r="N56" s="54" t="str">
        <f t="shared" si="2"/>
        <v/>
      </c>
      <c r="O56" s="55">
        <f t="shared" si="3"/>
        <v>0</v>
      </c>
      <c r="P56" s="55">
        <f t="shared" si="4"/>
        <v>0</v>
      </c>
      <c r="Q56" s="54">
        <f t="shared" si="5"/>
        <v>0</v>
      </c>
      <c r="R56" s="47"/>
      <c r="T56" s="57"/>
      <c r="U56" s="45"/>
      <c r="V56" s="46">
        <f>IF(U56&lt;&gt;"",VLOOKUP(U56,'Tipo Projeto'!$A$3:$B$35,2,0),0)</f>
        <v>0</v>
      </c>
      <c r="W56" s="203"/>
      <c r="X56" s="49"/>
      <c r="Y56" s="50"/>
      <c r="Z56" s="51"/>
      <c r="AA56" s="52"/>
      <c r="AB56" s="53" t="str">
        <f t="shared" si="6"/>
        <v/>
      </c>
      <c r="AC56" s="48" t="str">
        <f t="shared" si="7"/>
        <v/>
      </c>
      <c r="AD56" s="54" t="str">
        <f t="shared" si="8"/>
        <v/>
      </c>
      <c r="AE56" s="55">
        <f t="shared" si="9"/>
        <v>0</v>
      </c>
      <c r="AF56" s="55">
        <f t="shared" si="10"/>
        <v>0</v>
      </c>
      <c r="AG56" s="58">
        <f t="shared" si="11"/>
        <v>0</v>
      </c>
      <c r="AH56" s="47"/>
      <c r="AJ56" s="47"/>
      <c r="AL56" s="47"/>
      <c r="AM56" s="47" t="str">
        <f t="shared" si="12"/>
        <v/>
      </c>
    </row>
    <row r="57" spans="1:39" s="56" customFormat="1" ht="14.25">
      <c r="A57" s="44"/>
      <c r="B57" s="45"/>
      <c r="C57" s="46">
        <f>IF(B57&lt;&gt;"",VLOOKUP(B57,'Tipo Projeto'!$A$3:$B$35,2,0),0)</f>
        <v>0</v>
      </c>
      <c r="D57" s="47"/>
      <c r="E57" s="47"/>
      <c r="F57" s="48"/>
      <c r="G57" s="47"/>
      <c r="H57" s="49"/>
      <c r="I57" s="50"/>
      <c r="J57" s="51"/>
      <c r="K57" s="52"/>
      <c r="L57" s="53" t="str">
        <f t="shared" si="0"/>
        <v/>
      </c>
      <c r="M57" s="48" t="str">
        <f t="shared" si="1"/>
        <v/>
      </c>
      <c r="N57" s="54" t="str">
        <f t="shared" si="2"/>
        <v/>
      </c>
      <c r="O57" s="55">
        <f t="shared" si="3"/>
        <v>0</v>
      </c>
      <c r="P57" s="55">
        <f t="shared" si="4"/>
        <v>0</v>
      </c>
      <c r="Q57" s="54">
        <f t="shared" si="5"/>
        <v>0</v>
      </c>
      <c r="R57" s="47"/>
      <c r="T57" s="57"/>
      <c r="U57" s="45"/>
      <c r="V57" s="46">
        <f>IF(U57&lt;&gt;"",VLOOKUP(U57,'Tipo Projeto'!$A$3:$B$35,2,0),0)</f>
        <v>0</v>
      </c>
      <c r="W57" s="203"/>
      <c r="X57" s="49"/>
      <c r="Y57" s="50"/>
      <c r="Z57" s="51"/>
      <c r="AA57" s="52"/>
      <c r="AB57" s="53" t="str">
        <f t="shared" si="6"/>
        <v/>
      </c>
      <c r="AC57" s="48" t="str">
        <f t="shared" si="7"/>
        <v/>
      </c>
      <c r="AD57" s="54" t="str">
        <f t="shared" si="8"/>
        <v/>
      </c>
      <c r="AE57" s="55">
        <f t="shared" si="9"/>
        <v>0</v>
      </c>
      <c r="AF57" s="55">
        <f t="shared" si="10"/>
        <v>0</v>
      </c>
      <c r="AG57" s="58">
        <f t="shared" si="11"/>
        <v>0</v>
      </c>
      <c r="AH57" s="47"/>
      <c r="AJ57" s="47"/>
      <c r="AL57" s="47"/>
      <c r="AM57" s="47" t="str">
        <f t="shared" si="12"/>
        <v/>
      </c>
    </row>
    <row r="58" spans="1:39" s="56" customFormat="1" ht="14.25">
      <c r="A58" s="44"/>
      <c r="B58" s="45"/>
      <c r="C58" s="46">
        <f>IF(B58&lt;&gt;"",VLOOKUP(B58,'Tipo Projeto'!$A$3:$B$35,2,0),0)</f>
        <v>0</v>
      </c>
      <c r="D58" s="47"/>
      <c r="E58" s="47"/>
      <c r="F58" s="48"/>
      <c r="G58" s="47"/>
      <c r="H58" s="49"/>
      <c r="I58" s="50"/>
      <c r="J58" s="51"/>
      <c r="K58" s="52"/>
      <c r="L58" s="53" t="str">
        <f t="shared" si="0"/>
        <v/>
      </c>
      <c r="M58" s="48" t="str">
        <f t="shared" si="1"/>
        <v/>
      </c>
      <c r="N58" s="54" t="str">
        <f t="shared" si="2"/>
        <v/>
      </c>
      <c r="O58" s="55">
        <f t="shared" si="3"/>
        <v>0</v>
      </c>
      <c r="P58" s="55">
        <f t="shared" si="4"/>
        <v>0</v>
      </c>
      <c r="Q58" s="54">
        <f t="shared" si="5"/>
        <v>0</v>
      </c>
      <c r="R58" s="47"/>
      <c r="T58" s="57"/>
      <c r="U58" s="45"/>
      <c r="V58" s="46">
        <f>IF(U58&lt;&gt;"",VLOOKUP(U58,'Tipo Projeto'!$A$3:$B$35,2,0),0)</f>
        <v>0</v>
      </c>
      <c r="W58" s="203"/>
      <c r="X58" s="49"/>
      <c r="Y58" s="50"/>
      <c r="Z58" s="51"/>
      <c r="AA58" s="52"/>
      <c r="AB58" s="53" t="str">
        <f t="shared" si="6"/>
        <v/>
      </c>
      <c r="AC58" s="48" t="str">
        <f t="shared" si="7"/>
        <v/>
      </c>
      <c r="AD58" s="54" t="str">
        <f t="shared" si="8"/>
        <v/>
      </c>
      <c r="AE58" s="55">
        <f t="shared" si="9"/>
        <v>0</v>
      </c>
      <c r="AF58" s="55">
        <f t="shared" si="10"/>
        <v>0</v>
      </c>
      <c r="AG58" s="58">
        <f t="shared" si="11"/>
        <v>0</v>
      </c>
      <c r="AH58" s="47"/>
      <c r="AJ58" s="47"/>
      <c r="AL58" s="47"/>
      <c r="AM58" s="47" t="str">
        <f t="shared" si="12"/>
        <v/>
      </c>
    </row>
    <row r="59" spans="1:39" s="56" customFormat="1" ht="14.25">
      <c r="A59" s="44"/>
      <c r="B59" s="45"/>
      <c r="C59" s="46">
        <f>IF(B59&lt;&gt;"",VLOOKUP(B59,'Tipo Projeto'!$A$3:$B$35,2,0),0)</f>
        <v>0</v>
      </c>
      <c r="D59" s="47"/>
      <c r="E59" s="47"/>
      <c r="F59" s="48"/>
      <c r="G59" s="47"/>
      <c r="H59" s="49"/>
      <c r="I59" s="50"/>
      <c r="J59" s="51"/>
      <c r="K59" s="52"/>
      <c r="L59" s="53" t="str">
        <f t="shared" si="0"/>
        <v/>
      </c>
      <c r="M59" s="48" t="str">
        <f t="shared" si="1"/>
        <v/>
      </c>
      <c r="N59" s="54" t="str">
        <f t="shared" si="2"/>
        <v/>
      </c>
      <c r="O59" s="55">
        <f t="shared" si="3"/>
        <v>0</v>
      </c>
      <c r="P59" s="55">
        <f t="shared" si="4"/>
        <v>0</v>
      </c>
      <c r="Q59" s="54">
        <f t="shared" si="5"/>
        <v>0</v>
      </c>
      <c r="R59" s="47"/>
      <c r="T59" s="57"/>
      <c r="U59" s="45"/>
      <c r="V59" s="46">
        <f>IF(U59&lt;&gt;"",VLOOKUP(U59,'Tipo Projeto'!$A$3:$B$35,2,0),0)</f>
        <v>0</v>
      </c>
      <c r="W59" s="203"/>
      <c r="X59" s="49"/>
      <c r="Y59" s="50"/>
      <c r="Z59" s="51"/>
      <c r="AA59" s="52"/>
      <c r="AB59" s="53" t="str">
        <f t="shared" si="6"/>
        <v/>
      </c>
      <c r="AC59" s="48" t="str">
        <f t="shared" si="7"/>
        <v/>
      </c>
      <c r="AD59" s="54" t="str">
        <f t="shared" si="8"/>
        <v/>
      </c>
      <c r="AE59" s="55">
        <f t="shared" si="9"/>
        <v>0</v>
      </c>
      <c r="AF59" s="55">
        <f t="shared" si="10"/>
        <v>0</v>
      </c>
      <c r="AG59" s="58">
        <f t="shared" si="11"/>
        <v>0</v>
      </c>
      <c r="AH59" s="47"/>
      <c r="AJ59" s="47"/>
      <c r="AL59" s="47"/>
      <c r="AM59" s="47" t="str">
        <f t="shared" si="12"/>
        <v/>
      </c>
    </row>
    <row r="60" spans="1:39" s="56" customFormat="1" ht="14.25">
      <c r="A60" s="44"/>
      <c r="B60" s="45"/>
      <c r="C60" s="46">
        <f>IF(B60&lt;&gt;"",VLOOKUP(B60,'Tipo Projeto'!$A$3:$B$35,2,0),0)</f>
        <v>0</v>
      </c>
      <c r="D60" s="47"/>
      <c r="E60" s="47"/>
      <c r="F60" s="48"/>
      <c r="G60" s="47"/>
      <c r="H60" s="49"/>
      <c r="I60" s="50"/>
      <c r="J60" s="51"/>
      <c r="K60" s="52"/>
      <c r="L60" s="53" t="str">
        <f t="shared" si="0"/>
        <v/>
      </c>
      <c r="M60" s="48" t="str">
        <f t="shared" si="1"/>
        <v/>
      </c>
      <c r="N60" s="54" t="str">
        <f t="shared" si="2"/>
        <v/>
      </c>
      <c r="O60" s="55">
        <f t="shared" si="3"/>
        <v>0</v>
      </c>
      <c r="P60" s="55">
        <f t="shared" si="4"/>
        <v>0</v>
      </c>
      <c r="Q60" s="54">
        <f t="shared" si="5"/>
        <v>0</v>
      </c>
      <c r="R60" s="47"/>
      <c r="T60" s="57"/>
      <c r="U60" s="45"/>
      <c r="V60" s="46">
        <f>IF(U60&lt;&gt;"",VLOOKUP(U60,'Tipo Projeto'!$A$3:$B$35,2,0),0)</f>
        <v>0</v>
      </c>
      <c r="W60" s="203"/>
      <c r="X60" s="49"/>
      <c r="Y60" s="50"/>
      <c r="Z60" s="51"/>
      <c r="AA60" s="52"/>
      <c r="AB60" s="53" t="str">
        <f t="shared" si="6"/>
        <v/>
      </c>
      <c r="AC60" s="48" t="str">
        <f t="shared" si="7"/>
        <v/>
      </c>
      <c r="AD60" s="54" t="str">
        <f t="shared" si="8"/>
        <v/>
      </c>
      <c r="AE60" s="55">
        <f t="shared" si="9"/>
        <v>0</v>
      </c>
      <c r="AF60" s="55">
        <f t="shared" si="10"/>
        <v>0</v>
      </c>
      <c r="AG60" s="58">
        <f t="shared" si="11"/>
        <v>0</v>
      </c>
      <c r="AH60" s="47"/>
      <c r="AJ60" s="47"/>
      <c r="AL60" s="47"/>
      <c r="AM60" s="47" t="str">
        <f t="shared" si="12"/>
        <v/>
      </c>
    </row>
    <row r="61" spans="1:39" s="56" customFormat="1" ht="14.25">
      <c r="A61" s="44"/>
      <c r="B61" s="45"/>
      <c r="C61" s="46">
        <f>IF(B61&lt;&gt;"",VLOOKUP(B61,'Tipo Projeto'!$A$3:$B$35,2,0),0)</f>
        <v>0</v>
      </c>
      <c r="D61" s="47"/>
      <c r="E61" s="47"/>
      <c r="F61" s="48"/>
      <c r="G61" s="47"/>
      <c r="H61" s="49"/>
      <c r="I61" s="50"/>
      <c r="J61" s="51"/>
      <c r="K61" s="52"/>
      <c r="L61" s="53" t="str">
        <f t="shared" si="0"/>
        <v/>
      </c>
      <c r="M61" s="48" t="str">
        <f t="shared" si="1"/>
        <v/>
      </c>
      <c r="N61" s="54" t="str">
        <f t="shared" si="2"/>
        <v/>
      </c>
      <c r="O61" s="55">
        <f t="shared" si="3"/>
        <v>0</v>
      </c>
      <c r="P61" s="55">
        <f t="shared" si="4"/>
        <v>0</v>
      </c>
      <c r="Q61" s="54">
        <f t="shared" si="5"/>
        <v>0</v>
      </c>
      <c r="R61" s="47"/>
      <c r="T61" s="57"/>
      <c r="U61" s="45"/>
      <c r="V61" s="46">
        <f>IF(U61&lt;&gt;"",VLOOKUP(U61,'Tipo Projeto'!$A$3:$B$35,2,0),0)</f>
        <v>0</v>
      </c>
      <c r="W61" s="203"/>
      <c r="X61" s="49"/>
      <c r="Y61" s="50"/>
      <c r="Z61" s="51"/>
      <c r="AA61" s="52"/>
      <c r="AB61" s="53" t="str">
        <f t="shared" si="6"/>
        <v/>
      </c>
      <c r="AC61" s="48" t="str">
        <f t="shared" si="7"/>
        <v/>
      </c>
      <c r="AD61" s="54" t="str">
        <f t="shared" si="8"/>
        <v/>
      </c>
      <c r="AE61" s="55">
        <f t="shared" si="9"/>
        <v>0</v>
      </c>
      <c r="AF61" s="55">
        <f t="shared" si="10"/>
        <v>0</v>
      </c>
      <c r="AG61" s="58">
        <f t="shared" si="11"/>
        <v>0</v>
      </c>
      <c r="AH61" s="47"/>
      <c r="AJ61" s="47"/>
      <c r="AL61" s="47"/>
      <c r="AM61" s="47" t="str">
        <f t="shared" si="12"/>
        <v/>
      </c>
    </row>
    <row r="62" spans="1:39" s="56" customFormat="1" ht="14.25">
      <c r="A62" s="44"/>
      <c r="B62" s="45"/>
      <c r="C62" s="46">
        <f>IF(B62&lt;&gt;"",VLOOKUP(B62,'Tipo Projeto'!$A$3:$B$35,2,0),0)</f>
        <v>0</v>
      </c>
      <c r="D62" s="47"/>
      <c r="E62" s="47"/>
      <c r="F62" s="48"/>
      <c r="G62" s="47"/>
      <c r="H62" s="49"/>
      <c r="I62" s="50"/>
      <c r="J62" s="51"/>
      <c r="K62" s="52"/>
      <c r="L62" s="53" t="str">
        <f t="shared" si="0"/>
        <v/>
      </c>
      <c r="M62" s="48" t="str">
        <f t="shared" si="1"/>
        <v/>
      </c>
      <c r="N62" s="54" t="str">
        <f t="shared" si="2"/>
        <v/>
      </c>
      <c r="O62" s="55">
        <f t="shared" si="3"/>
        <v>0</v>
      </c>
      <c r="P62" s="55">
        <f t="shared" si="4"/>
        <v>0</v>
      </c>
      <c r="Q62" s="54">
        <f t="shared" si="5"/>
        <v>0</v>
      </c>
      <c r="R62" s="47"/>
      <c r="T62" s="57"/>
      <c r="U62" s="45"/>
      <c r="V62" s="46">
        <f>IF(U62&lt;&gt;"",VLOOKUP(U62,'Tipo Projeto'!$A$3:$B$35,2,0),0)</f>
        <v>0</v>
      </c>
      <c r="W62" s="203"/>
      <c r="X62" s="49"/>
      <c r="Y62" s="50"/>
      <c r="Z62" s="51"/>
      <c r="AA62" s="52"/>
      <c r="AB62" s="53" t="str">
        <f t="shared" si="6"/>
        <v/>
      </c>
      <c r="AC62" s="48" t="str">
        <f t="shared" si="7"/>
        <v/>
      </c>
      <c r="AD62" s="54" t="str">
        <f t="shared" si="8"/>
        <v/>
      </c>
      <c r="AE62" s="55">
        <f t="shared" si="9"/>
        <v>0</v>
      </c>
      <c r="AF62" s="55">
        <f t="shared" si="10"/>
        <v>0</v>
      </c>
      <c r="AG62" s="58">
        <f t="shared" si="11"/>
        <v>0</v>
      </c>
      <c r="AH62" s="47"/>
      <c r="AJ62" s="47"/>
      <c r="AL62" s="47"/>
      <c r="AM62" s="47" t="str">
        <f t="shared" si="12"/>
        <v/>
      </c>
    </row>
    <row r="63" spans="1:39" s="56" customFormat="1" ht="14.25">
      <c r="A63" s="44"/>
      <c r="B63" s="45"/>
      <c r="C63" s="46">
        <f>IF(B63&lt;&gt;"",VLOOKUP(B63,'Tipo Projeto'!$A$3:$B$35,2,0),0)</f>
        <v>0</v>
      </c>
      <c r="D63" s="47"/>
      <c r="E63" s="47"/>
      <c r="F63" s="48"/>
      <c r="G63" s="47"/>
      <c r="H63" s="49"/>
      <c r="I63" s="50"/>
      <c r="J63" s="51"/>
      <c r="K63" s="52"/>
      <c r="L63" s="53" t="str">
        <f t="shared" si="0"/>
        <v/>
      </c>
      <c r="M63" s="48" t="str">
        <f t="shared" si="1"/>
        <v/>
      </c>
      <c r="N63" s="54" t="str">
        <f t="shared" si="2"/>
        <v/>
      </c>
      <c r="O63" s="55">
        <f t="shared" si="3"/>
        <v>0</v>
      </c>
      <c r="P63" s="55">
        <f t="shared" si="4"/>
        <v>0</v>
      </c>
      <c r="Q63" s="54">
        <f t="shared" si="5"/>
        <v>0</v>
      </c>
      <c r="R63" s="47"/>
      <c r="T63" s="57"/>
      <c r="U63" s="45"/>
      <c r="V63" s="46">
        <f>IF(U63&lt;&gt;"",VLOOKUP(U63,'Tipo Projeto'!$A$3:$B$35,2,0),0)</f>
        <v>0</v>
      </c>
      <c r="W63" s="203"/>
      <c r="X63" s="49"/>
      <c r="Y63" s="50"/>
      <c r="Z63" s="51"/>
      <c r="AA63" s="52"/>
      <c r="AB63" s="53" t="str">
        <f t="shared" si="6"/>
        <v/>
      </c>
      <c r="AC63" s="48" t="str">
        <f t="shared" si="7"/>
        <v/>
      </c>
      <c r="AD63" s="54" t="str">
        <f t="shared" si="8"/>
        <v/>
      </c>
      <c r="AE63" s="55">
        <f t="shared" si="9"/>
        <v>0</v>
      </c>
      <c r="AF63" s="55">
        <f t="shared" si="10"/>
        <v>0</v>
      </c>
      <c r="AG63" s="58">
        <f t="shared" si="11"/>
        <v>0</v>
      </c>
      <c r="AH63" s="47"/>
      <c r="AJ63" s="47"/>
      <c r="AL63" s="47"/>
      <c r="AM63" s="47" t="str">
        <f t="shared" si="12"/>
        <v/>
      </c>
    </row>
    <row r="64" spans="1:39" s="56" customFormat="1" ht="14.25">
      <c r="A64" s="44"/>
      <c r="B64" s="45"/>
      <c r="C64" s="46">
        <f>IF(B64&lt;&gt;"",VLOOKUP(B64,'Tipo Projeto'!$A$3:$B$35,2,0),0)</f>
        <v>0</v>
      </c>
      <c r="D64" s="47"/>
      <c r="E64" s="47"/>
      <c r="F64" s="48"/>
      <c r="G64" s="47"/>
      <c r="H64" s="49"/>
      <c r="I64" s="50"/>
      <c r="J64" s="51"/>
      <c r="K64" s="52"/>
      <c r="L64" s="53" t="str">
        <f t="shared" si="0"/>
        <v/>
      </c>
      <c r="M64" s="48" t="str">
        <f t="shared" si="1"/>
        <v/>
      </c>
      <c r="N64" s="54" t="str">
        <f t="shared" si="2"/>
        <v/>
      </c>
      <c r="O64" s="55">
        <f t="shared" si="3"/>
        <v>0</v>
      </c>
      <c r="P64" s="55">
        <f t="shared" si="4"/>
        <v>0</v>
      </c>
      <c r="Q64" s="54">
        <f t="shared" si="5"/>
        <v>0</v>
      </c>
      <c r="R64" s="47"/>
      <c r="T64" s="57"/>
      <c r="U64" s="45"/>
      <c r="V64" s="46">
        <f>IF(U64&lt;&gt;"",VLOOKUP(U64,'Tipo Projeto'!$A$3:$B$35,2,0),0)</f>
        <v>0</v>
      </c>
      <c r="W64" s="203"/>
      <c r="X64" s="49"/>
      <c r="Y64" s="50"/>
      <c r="Z64" s="51"/>
      <c r="AA64" s="52"/>
      <c r="AB64" s="53" t="str">
        <f t="shared" si="6"/>
        <v/>
      </c>
      <c r="AC64" s="48" t="str">
        <f t="shared" si="7"/>
        <v/>
      </c>
      <c r="AD64" s="54" t="str">
        <f t="shared" si="8"/>
        <v/>
      </c>
      <c r="AE64" s="55">
        <f t="shared" si="9"/>
        <v>0</v>
      </c>
      <c r="AF64" s="55">
        <f t="shared" si="10"/>
        <v>0</v>
      </c>
      <c r="AG64" s="58">
        <f t="shared" si="11"/>
        <v>0</v>
      </c>
      <c r="AH64" s="47"/>
      <c r="AJ64" s="47"/>
      <c r="AL64" s="47"/>
      <c r="AM64" s="47" t="str">
        <f t="shared" si="12"/>
        <v/>
      </c>
    </row>
    <row r="65" spans="1:39" s="56" customFormat="1" ht="14.25">
      <c r="A65" s="44"/>
      <c r="B65" s="45"/>
      <c r="C65" s="46">
        <f>IF(B65&lt;&gt;"",VLOOKUP(B65,'Tipo Projeto'!$A$3:$B$35,2,0),0)</f>
        <v>0</v>
      </c>
      <c r="D65" s="47"/>
      <c r="E65" s="47"/>
      <c r="F65" s="48"/>
      <c r="G65" s="47"/>
      <c r="H65" s="49"/>
      <c r="I65" s="50"/>
      <c r="J65" s="51"/>
      <c r="K65" s="52"/>
      <c r="L65" s="53" t="str">
        <f t="shared" si="0"/>
        <v/>
      </c>
      <c r="M65" s="48" t="str">
        <f t="shared" si="1"/>
        <v/>
      </c>
      <c r="N65" s="54" t="str">
        <f t="shared" si="2"/>
        <v/>
      </c>
      <c r="O65" s="55">
        <f t="shared" si="3"/>
        <v>0</v>
      </c>
      <c r="P65" s="55">
        <f t="shared" si="4"/>
        <v>0</v>
      </c>
      <c r="Q65" s="54">
        <f t="shared" si="5"/>
        <v>0</v>
      </c>
      <c r="R65" s="47"/>
      <c r="T65" s="57"/>
      <c r="U65" s="45"/>
      <c r="V65" s="46">
        <f>IF(U65&lt;&gt;"",VLOOKUP(U65,'Tipo Projeto'!$A$3:$B$35,2,0),0)</f>
        <v>0</v>
      </c>
      <c r="W65" s="203"/>
      <c r="X65" s="49"/>
      <c r="Y65" s="50"/>
      <c r="Z65" s="51"/>
      <c r="AA65" s="52"/>
      <c r="AB65" s="53" t="str">
        <f t="shared" si="6"/>
        <v/>
      </c>
      <c r="AC65" s="48" t="str">
        <f t="shared" si="7"/>
        <v/>
      </c>
      <c r="AD65" s="54" t="str">
        <f t="shared" si="8"/>
        <v/>
      </c>
      <c r="AE65" s="55">
        <f t="shared" si="9"/>
        <v>0</v>
      </c>
      <c r="AF65" s="55">
        <f t="shared" si="10"/>
        <v>0</v>
      </c>
      <c r="AG65" s="58">
        <f t="shared" si="11"/>
        <v>0</v>
      </c>
      <c r="AH65" s="47"/>
      <c r="AJ65" s="47"/>
      <c r="AL65" s="47"/>
      <c r="AM65" s="47" t="str">
        <f t="shared" si="12"/>
        <v/>
      </c>
    </row>
    <row r="66" spans="1:39" s="56" customFormat="1" ht="14.25">
      <c r="A66" s="44"/>
      <c r="B66" s="45"/>
      <c r="C66" s="46">
        <f>IF(B66&lt;&gt;"",VLOOKUP(B66,'Tipo Projeto'!$A$3:$B$35,2,0),0)</f>
        <v>0</v>
      </c>
      <c r="D66" s="47"/>
      <c r="E66" s="47"/>
      <c r="F66" s="48"/>
      <c r="G66" s="47"/>
      <c r="H66" s="49"/>
      <c r="I66" s="50"/>
      <c r="J66" s="51"/>
      <c r="K66" s="52"/>
      <c r="L66" s="53" t="str">
        <f t="shared" si="0"/>
        <v/>
      </c>
      <c r="M66" s="48" t="str">
        <f t="shared" si="1"/>
        <v/>
      </c>
      <c r="N66" s="54" t="str">
        <f t="shared" si="2"/>
        <v/>
      </c>
      <c r="O66" s="55">
        <f t="shared" si="3"/>
        <v>0</v>
      </c>
      <c r="P66" s="55">
        <f t="shared" si="4"/>
        <v>0</v>
      </c>
      <c r="Q66" s="54">
        <f t="shared" si="5"/>
        <v>0</v>
      </c>
      <c r="R66" s="47"/>
      <c r="T66" s="57"/>
      <c r="U66" s="45"/>
      <c r="V66" s="46">
        <f>IF(U66&lt;&gt;"",VLOOKUP(U66,'Tipo Projeto'!$A$3:$B$35,2,0),0)</f>
        <v>0</v>
      </c>
      <c r="W66" s="203"/>
      <c r="X66" s="49"/>
      <c r="Y66" s="50"/>
      <c r="Z66" s="51"/>
      <c r="AA66" s="52"/>
      <c r="AB66" s="53" t="str">
        <f t="shared" si="6"/>
        <v/>
      </c>
      <c r="AC66" s="48" t="str">
        <f t="shared" si="7"/>
        <v/>
      </c>
      <c r="AD66" s="54" t="str">
        <f t="shared" si="8"/>
        <v/>
      </c>
      <c r="AE66" s="55">
        <f t="shared" si="9"/>
        <v>0</v>
      </c>
      <c r="AF66" s="55">
        <f t="shared" si="10"/>
        <v>0</v>
      </c>
      <c r="AG66" s="58">
        <f t="shared" si="11"/>
        <v>0</v>
      </c>
      <c r="AH66" s="47"/>
      <c r="AJ66" s="47"/>
      <c r="AL66" s="47"/>
      <c r="AM66" s="47" t="str">
        <f t="shared" si="12"/>
        <v/>
      </c>
    </row>
    <row r="67" spans="1:39" s="56" customFormat="1" ht="14.25">
      <c r="A67" s="44"/>
      <c r="B67" s="45"/>
      <c r="C67" s="46">
        <f>IF(B67&lt;&gt;"",VLOOKUP(B67,'Tipo Projeto'!$A$3:$B$35,2,0),0)</f>
        <v>0</v>
      </c>
      <c r="D67" s="47"/>
      <c r="E67" s="47"/>
      <c r="F67" s="48"/>
      <c r="G67" s="47"/>
      <c r="H67" s="49"/>
      <c r="I67" s="50"/>
      <c r="J67" s="51"/>
      <c r="K67" s="52"/>
      <c r="L67" s="53" t="str">
        <f t="shared" si="0"/>
        <v/>
      </c>
      <c r="M67" s="48" t="str">
        <f t="shared" si="1"/>
        <v/>
      </c>
      <c r="N67" s="54" t="str">
        <f t="shared" si="2"/>
        <v/>
      </c>
      <c r="O67" s="55">
        <f t="shared" si="3"/>
        <v>0</v>
      </c>
      <c r="P67" s="55">
        <f t="shared" si="4"/>
        <v>0</v>
      </c>
      <c r="Q67" s="54">
        <f t="shared" si="5"/>
        <v>0</v>
      </c>
      <c r="R67" s="47"/>
      <c r="T67" s="57"/>
      <c r="U67" s="45"/>
      <c r="V67" s="46">
        <f>IF(U67&lt;&gt;"",VLOOKUP(U67,'Tipo Projeto'!$A$3:$B$35,2,0),0)</f>
        <v>0</v>
      </c>
      <c r="W67" s="203"/>
      <c r="X67" s="49"/>
      <c r="Y67" s="50"/>
      <c r="Z67" s="51"/>
      <c r="AA67" s="52"/>
      <c r="AB67" s="53" t="str">
        <f t="shared" si="6"/>
        <v/>
      </c>
      <c r="AC67" s="48" t="str">
        <f t="shared" si="7"/>
        <v/>
      </c>
      <c r="AD67" s="54" t="str">
        <f t="shared" si="8"/>
        <v/>
      </c>
      <c r="AE67" s="55">
        <f t="shared" si="9"/>
        <v>0</v>
      </c>
      <c r="AF67" s="55">
        <f t="shared" si="10"/>
        <v>0</v>
      </c>
      <c r="AG67" s="58">
        <f t="shared" si="11"/>
        <v>0</v>
      </c>
      <c r="AH67" s="47"/>
      <c r="AJ67" s="47"/>
      <c r="AL67" s="47"/>
      <c r="AM67" s="47" t="str">
        <f t="shared" si="12"/>
        <v/>
      </c>
    </row>
    <row r="68" spans="1:39" s="56" customFormat="1" ht="14.25">
      <c r="A68" s="44"/>
      <c r="B68" s="45"/>
      <c r="C68" s="46">
        <f>IF(B68&lt;&gt;"",VLOOKUP(B68,'Tipo Projeto'!$A$3:$B$35,2,0),0)</f>
        <v>0</v>
      </c>
      <c r="D68" s="47"/>
      <c r="E68" s="47"/>
      <c r="F68" s="48"/>
      <c r="G68" s="47"/>
      <c r="H68" s="49"/>
      <c r="I68" s="50"/>
      <c r="J68" s="51"/>
      <c r="K68" s="52"/>
      <c r="L68" s="53" t="str">
        <f t="shared" si="0"/>
        <v/>
      </c>
      <c r="M68" s="48" t="str">
        <f t="shared" si="1"/>
        <v/>
      </c>
      <c r="N68" s="54" t="str">
        <f t="shared" si="2"/>
        <v/>
      </c>
      <c r="O68" s="55">
        <f t="shared" si="3"/>
        <v>0</v>
      </c>
      <c r="P68" s="55">
        <f t="shared" si="4"/>
        <v>0</v>
      </c>
      <c r="Q68" s="54">
        <f t="shared" si="5"/>
        <v>0</v>
      </c>
      <c r="R68" s="47"/>
      <c r="T68" s="57"/>
      <c r="U68" s="45"/>
      <c r="V68" s="46">
        <f>IF(U68&lt;&gt;"",VLOOKUP(U68,'Tipo Projeto'!$A$3:$B$35,2,0),0)</f>
        <v>0</v>
      </c>
      <c r="W68" s="203"/>
      <c r="X68" s="49"/>
      <c r="Y68" s="50"/>
      <c r="Z68" s="51"/>
      <c r="AA68" s="52"/>
      <c r="AB68" s="53" t="str">
        <f t="shared" si="6"/>
        <v/>
      </c>
      <c r="AC68" s="48" t="str">
        <f t="shared" si="7"/>
        <v/>
      </c>
      <c r="AD68" s="54" t="str">
        <f t="shared" si="8"/>
        <v/>
      </c>
      <c r="AE68" s="55">
        <f t="shared" si="9"/>
        <v>0</v>
      </c>
      <c r="AF68" s="55">
        <f t="shared" si="10"/>
        <v>0</v>
      </c>
      <c r="AG68" s="58">
        <f t="shared" si="11"/>
        <v>0</v>
      </c>
      <c r="AH68" s="47"/>
      <c r="AJ68" s="47"/>
      <c r="AL68" s="47"/>
      <c r="AM68" s="47" t="str">
        <f t="shared" si="12"/>
        <v/>
      </c>
    </row>
    <row r="69" spans="1:39" s="56" customFormat="1" ht="14.25">
      <c r="A69" s="44"/>
      <c r="B69" s="45"/>
      <c r="C69" s="46">
        <f>IF(B69&lt;&gt;"",VLOOKUP(B69,'Tipo Projeto'!$A$3:$B$35,2,0),0)</f>
        <v>0</v>
      </c>
      <c r="D69" s="47"/>
      <c r="E69" s="47"/>
      <c r="F69" s="48"/>
      <c r="G69" s="47"/>
      <c r="H69" s="49"/>
      <c r="I69" s="50"/>
      <c r="J69" s="51"/>
      <c r="K69" s="52"/>
      <c r="L69" s="53" t="str">
        <f t="shared" si="0"/>
        <v/>
      </c>
      <c r="M69" s="48" t="str">
        <f t="shared" si="1"/>
        <v/>
      </c>
      <c r="N69" s="54" t="str">
        <f t="shared" si="2"/>
        <v/>
      </c>
      <c r="O69" s="55">
        <f t="shared" si="3"/>
        <v>0</v>
      </c>
      <c r="P69" s="55">
        <f t="shared" si="4"/>
        <v>0</v>
      </c>
      <c r="Q69" s="54">
        <f t="shared" si="5"/>
        <v>0</v>
      </c>
      <c r="R69" s="47"/>
      <c r="T69" s="57"/>
      <c r="U69" s="45"/>
      <c r="V69" s="46">
        <f>IF(U69&lt;&gt;"",VLOOKUP(U69,'Tipo Projeto'!$A$3:$B$35,2,0),0)</f>
        <v>0</v>
      </c>
      <c r="W69" s="203"/>
      <c r="X69" s="49"/>
      <c r="Y69" s="50"/>
      <c r="Z69" s="51"/>
      <c r="AA69" s="52"/>
      <c r="AB69" s="53" t="str">
        <f t="shared" si="6"/>
        <v/>
      </c>
      <c r="AC69" s="48" t="str">
        <f t="shared" si="7"/>
        <v/>
      </c>
      <c r="AD69" s="54" t="str">
        <f t="shared" si="8"/>
        <v/>
      </c>
      <c r="AE69" s="55">
        <f t="shared" si="9"/>
        <v>0</v>
      </c>
      <c r="AF69" s="55">
        <f t="shared" si="10"/>
        <v>0</v>
      </c>
      <c r="AG69" s="58">
        <f t="shared" si="11"/>
        <v>0</v>
      </c>
      <c r="AH69" s="47"/>
      <c r="AJ69" s="47"/>
      <c r="AL69" s="47"/>
      <c r="AM69" s="47" t="str">
        <f t="shared" si="12"/>
        <v/>
      </c>
    </row>
    <row r="70" spans="1:39" s="56" customFormat="1" ht="14.25">
      <c r="A70" s="44"/>
      <c r="B70" s="45"/>
      <c r="C70" s="46">
        <f>IF(B70&lt;&gt;"",VLOOKUP(B70,'Tipo Projeto'!$A$3:$B$35,2,0),0)</f>
        <v>0</v>
      </c>
      <c r="D70" s="47"/>
      <c r="E70" s="47"/>
      <c r="F70" s="48"/>
      <c r="G70" s="47"/>
      <c r="H70" s="49"/>
      <c r="I70" s="50"/>
      <c r="J70" s="51"/>
      <c r="K70" s="52"/>
      <c r="L70" s="53" t="str">
        <f t="shared" si="0"/>
        <v/>
      </c>
      <c r="M70" s="48" t="str">
        <f t="shared" si="1"/>
        <v/>
      </c>
      <c r="N70" s="54" t="str">
        <f t="shared" si="2"/>
        <v/>
      </c>
      <c r="O70" s="55">
        <f t="shared" si="3"/>
        <v>0</v>
      </c>
      <c r="P70" s="55">
        <f t="shared" si="4"/>
        <v>0</v>
      </c>
      <c r="Q70" s="54">
        <f t="shared" si="5"/>
        <v>0</v>
      </c>
      <c r="R70" s="47"/>
      <c r="T70" s="57"/>
      <c r="U70" s="45"/>
      <c r="V70" s="46">
        <f>IF(U70&lt;&gt;"",VLOOKUP(U70,'Tipo Projeto'!$A$3:$B$35,2,0),0)</f>
        <v>0</v>
      </c>
      <c r="W70" s="203"/>
      <c r="X70" s="49"/>
      <c r="Y70" s="50"/>
      <c r="Z70" s="51"/>
      <c r="AA70" s="52"/>
      <c r="AB70" s="53" t="str">
        <f t="shared" si="6"/>
        <v/>
      </c>
      <c r="AC70" s="48" t="str">
        <f t="shared" si="7"/>
        <v/>
      </c>
      <c r="AD70" s="54" t="str">
        <f t="shared" si="8"/>
        <v/>
      </c>
      <c r="AE70" s="55">
        <f t="shared" si="9"/>
        <v>0</v>
      </c>
      <c r="AF70" s="55">
        <f t="shared" si="10"/>
        <v>0</v>
      </c>
      <c r="AG70" s="58">
        <f t="shared" si="11"/>
        <v>0</v>
      </c>
      <c r="AH70" s="47"/>
      <c r="AJ70" s="47"/>
      <c r="AL70" s="47"/>
      <c r="AM70" s="47" t="str">
        <f t="shared" si="12"/>
        <v/>
      </c>
    </row>
    <row r="71" spans="1:39" s="56" customFormat="1" ht="14.25">
      <c r="A71" s="44"/>
      <c r="B71" s="45"/>
      <c r="C71" s="46">
        <f>IF(B71&lt;&gt;"",VLOOKUP(B71,'Tipo Projeto'!$A$3:$B$35,2,0),0)</f>
        <v>0</v>
      </c>
      <c r="D71" s="47"/>
      <c r="E71" s="47"/>
      <c r="F71" s="48"/>
      <c r="G71" s="47"/>
      <c r="H71" s="49"/>
      <c r="I71" s="50"/>
      <c r="J71" s="51"/>
      <c r="K71" s="52"/>
      <c r="L71" s="53" t="str">
        <f t="shared" si="0"/>
        <v/>
      </c>
      <c r="M71" s="48" t="str">
        <f t="shared" si="1"/>
        <v/>
      </c>
      <c r="N71" s="54" t="str">
        <f t="shared" si="2"/>
        <v/>
      </c>
      <c r="O71" s="55">
        <f t="shared" si="3"/>
        <v>0</v>
      </c>
      <c r="P71" s="55">
        <f t="shared" si="4"/>
        <v>0</v>
      </c>
      <c r="Q71" s="54">
        <f t="shared" si="5"/>
        <v>0</v>
      </c>
      <c r="R71" s="47"/>
      <c r="T71" s="57"/>
      <c r="U71" s="45"/>
      <c r="V71" s="46">
        <f>IF(U71&lt;&gt;"",VLOOKUP(U71,'Tipo Projeto'!$A$3:$B$35,2,0),0)</f>
        <v>0</v>
      </c>
      <c r="W71" s="203"/>
      <c r="X71" s="49"/>
      <c r="Y71" s="50"/>
      <c r="Z71" s="51"/>
      <c r="AA71" s="52"/>
      <c r="AB71" s="53" t="str">
        <f t="shared" si="6"/>
        <v/>
      </c>
      <c r="AC71" s="48" t="str">
        <f t="shared" si="7"/>
        <v/>
      </c>
      <c r="AD71" s="54" t="str">
        <f t="shared" si="8"/>
        <v/>
      </c>
      <c r="AE71" s="55">
        <f t="shared" si="9"/>
        <v>0</v>
      </c>
      <c r="AF71" s="55">
        <f t="shared" si="10"/>
        <v>0</v>
      </c>
      <c r="AG71" s="58">
        <f t="shared" si="11"/>
        <v>0</v>
      </c>
      <c r="AH71" s="47"/>
      <c r="AJ71" s="47"/>
      <c r="AL71" s="47"/>
      <c r="AM71" s="47" t="str">
        <f t="shared" si="12"/>
        <v/>
      </c>
    </row>
    <row r="72" spans="1:39" s="56" customFormat="1" ht="14.25">
      <c r="A72" s="44"/>
      <c r="B72" s="45"/>
      <c r="C72" s="46">
        <f>IF(B72&lt;&gt;"",VLOOKUP(B72,'Tipo Projeto'!$A$3:$B$35,2,0),0)</f>
        <v>0</v>
      </c>
      <c r="D72" s="47"/>
      <c r="E72" s="47"/>
      <c r="F72" s="48"/>
      <c r="G72" s="47"/>
      <c r="H72" s="49"/>
      <c r="I72" s="50"/>
      <c r="J72" s="51"/>
      <c r="K72" s="52"/>
      <c r="L72" s="53" t="str">
        <f t="shared" si="0"/>
        <v/>
      </c>
      <c r="M72" s="48" t="str">
        <f t="shared" si="1"/>
        <v/>
      </c>
      <c r="N72" s="54" t="str">
        <f t="shared" si="2"/>
        <v/>
      </c>
      <c r="O72" s="55">
        <f t="shared" si="3"/>
        <v>0</v>
      </c>
      <c r="P72" s="55">
        <f t="shared" si="4"/>
        <v>0</v>
      </c>
      <c r="Q72" s="54">
        <f t="shared" si="5"/>
        <v>0</v>
      </c>
      <c r="R72" s="47"/>
      <c r="T72" s="57"/>
      <c r="U72" s="45"/>
      <c r="V72" s="46">
        <f>IF(U72&lt;&gt;"",VLOOKUP(U72,'Tipo Projeto'!$A$3:$B$35,2,0),0)</f>
        <v>0</v>
      </c>
      <c r="W72" s="203"/>
      <c r="X72" s="49"/>
      <c r="Y72" s="50"/>
      <c r="Z72" s="51"/>
      <c r="AA72" s="52"/>
      <c r="AB72" s="53" t="str">
        <f t="shared" si="6"/>
        <v/>
      </c>
      <c r="AC72" s="48" t="str">
        <f t="shared" si="7"/>
        <v/>
      </c>
      <c r="AD72" s="54" t="str">
        <f t="shared" si="8"/>
        <v/>
      </c>
      <c r="AE72" s="55">
        <f t="shared" si="9"/>
        <v>0</v>
      </c>
      <c r="AF72" s="55">
        <f t="shared" si="10"/>
        <v>0</v>
      </c>
      <c r="AG72" s="58">
        <f t="shared" si="11"/>
        <v>0</v>
      </c>
      <c r="AH72" s="47"/>
      <c r="AJ72" s="47"/>
      <c r="AL72" s="47"/>
      <c r="AM72" s="47" t="str">
        <f t="shared" si="12"/>
        <v/>
      </c>
    </row>
    <row r="73" spans="1:39" s="56" customFormat="1" ht="14.25">
      <c r="A73" s="44"/>
      <c r="B73" s="45"/>
      <c r="C73" s="46">
        <f>IF(B73&lt;&gt;"",VLOOKUP(B73,'Tipo Projeto'!$A$3:$B$35,2,0),0)</f>
        <v>0</v>
      </c>
      <c r="D73" s="47"/>
      <c r="E73" s="47"/>
      <c r="F73" s="48"/>
      <c r="G73" s="47"/>
      <c r="H73" s="49"/>
      <c r="I73" s="50"/>
      <c r="J73" s="51"/>
      <c r="K73" s="52"/>
      <c r="L73" s="53" t="str">
        <f t="shared" si="0"/>
        <v/>
      </c>
      <c r="M73" s="48" t="str">
        <f t="shared" si="1"/>
        <v/>
      </c>
      <c r="N73" s="54" t="str">
        <f t="shared" si="2"/>
        <v/>
      </c>
      <c r="O73" s="55">
        <f t="shared" si="3"/>
        <v>0</v>
      </c>
      <c r="P73" s="55">
        <f t="shared" si="4"/>
        <v>0</v>
      </c>
      <c r="Q73" s="54">
        <f t="shared" si="5"/>
        <v>0</v>
      </c>
      <c r="R73" s="47"/>
      <c r="T73" s="57"/>
      <c r="U73" s="45"/>
      <c r="V73" s="46">
        <f>IF(U73&lt;&gt;"",VLOOKUP(U73,'Tipo Projeto'!$A$3:$B$35,2,0),0)</f>
        <v>0</v>
      </c>
      <c r="W73" s="203"/>
      <c r="X73" s="49"/>
      <c r="Y73" s="50"/>
      <c r="Z73" s="51"/>
      <c r="AA73" s="52"/>
      <c r="AB73" s="53" t="str">
        <f t="shared" si="6"/>
        <v/>
      </c>
      <c r="AC73" s="48" t="str">
        <f t="shared" si="7"/>
        <v/>
      </c>
      <c r="AD73" s="54" t="str">
        <f t="shared" si="8"/>
        <v/>
      </c>
      <c r="AE73" s="55">
        <f t="shared" si="9"/>
        <v>0</v>
      </c>
      <c r="AF73" s="55">
        <f t="shared" si="10"/>
        <v>0</v>
      </c>
      <c r="AG73" s="58">
        <f t="shared" si="11"/>
        <v>0</v>
      </c>
      <c r="AH73" s="47"/>
      <c r="AJ73" s="47"/>
      <c r="AL73" s="47"/>
      <c r="AM73" s="47" t="str">
        <f t="shared" si="12"/>
        <v/>
      </c>
    </row>
    <row r="74" spans="1:39" s="56" customFormat="1" ht="14.25">
      <c r="A74" s="44"/>
      <c r="B74" s="45"/>
      <c r="C74" s="46">
        <f>IF(B74&lt;&gt;"",VLOOKUP(B74,'Tipo Projeto'!$A$3:$B$35,2,0),0)</f>
        <v>0</v>
      </c>
      <c r="D74" s="47"/>
      <c r="E74" s="47"/>
      <c r="F74" s="48"/>
      <c r="G74" s="47"/>
      <c r="H74" s="49"/>
      <c r="I74" s="50"/>
      <c r="J74" s="51"/>
      <c r="K74" s="52"/>
      <c r="L74" s="53"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8"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4" t="str">
        <f t="shared" ref="N74:N137" si="15">IF(L74="",M74,IF(M74="",L74,""))</f>
        <v/>
      </c>
      <c r="O74" s="55">
        <f t="shared" ref="O74:O137" si="16">IF(AND(OR(G74="EE",G74="CE"),N74="Simples"),3, IF(AND(OR(G74="EE",G74="CE"),N74="Médio"),4, IF(AND(OR(G74="EE",G74="CE"),N74="Complexo"),6, IF(AND(G74="SE",N74="Simples"),4, IF(AND(G74="SE",N74="Médio"),5, IF(AND(G74="SE",N74="Complexo"),7,0))))))</f>
        <v>0</v>
      </c>
      <c r="P74" s="55">
        <f t="shared" ref="P74:P137" si="17">IF(AND(G74="ALI",M74="Simples"),7, IF(AND(G74="ALI",M74="Médio"),10, IF(AND(G74="ALI",M74="Complexo"),15, IF(AND(G74="AIE",M74="Simples"),5, IF(AND(G74="AIE",M74="Médio"),7, IF(AND(G74="AIE",M74="Complexo"),10,0))))))</f>
        <v>0</v>
      </c>
      <c r="Q74" s="54">
        <f t="shared" ref="Q74:Q137" si="18">IF(B74&lt;&gt;"Manutenção em interface",IF(B74&lt;&gt;"Desenv., Manutenção e Publicação de Páginas Estáticas",(O74+P74)*C74,C74),C74)</f>
        <v>0</v>
      </c>
      <c r="R74" s="47"/>
      <c r="T74" s="57"/>
      <c r="U74" s="45"/>
      <c r="V74" s="46">
        <f>IF(U74&lt;&gt;"",VLOOKUP(U74,'Tipo Projeto'!$A$3:$B$35,2,0),0)</f>
        <v>0</v>
      </c>
      <c r="W74" s="203"/>
      <c r="X74" s="49"/>
      <c r="Y74" s="50"/>
      <c r="Z74" s="51"/>
      <c r="AA74" s="52"/>
      <c r="AB74" s="53"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8"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4" t="str">
        <f t="shared" ref="AD74:AD137" si="21">IF(AB74="",AC74,IF(AC74="",AB74,""))</f>
        <v/>
      </c>
      <c r="AE74" s="55">
        <f t="shared" ref="AE74:AE137" si="22">IF(AND(OR(W74="EE",W74="CE"),AD74="Simples"),3, IF(AND(OR(W74="EE",W74="CE"),AD74="Médio"),4, IF(AND(OR(W74="EE",W74="CE"),AD74="Complexo"),6, IF(AND(W74="SE",AD74="Simples"),4, IF(AND(W74="SE",AD74="Médio"),5, IF(AND(W74="SE",AD74="Complexo"),7,0))))))</f>
        <v>0</v>
      </c>
      <c r="AF74" s="55">
        <f t="shared" ref="AF74:AF137" si="23">IF(AND(W74="ALI",AC74="Simples"),7, IF(AND(W74="ALI",AC74="Médio"),10, IF(AND(W74="ALI",AC74="Complexo"),15, IF(AND(W74="AIE",AC74="Simples"),5, IF(AND(W74="AIE",AC74="Médio"),7, IF(AND(W74="AIE",AC74="Complexo"),10,0))))))</f>
        <v>0</v>
      </c>
      <c r="AG74" s="58">
        <f t="shared" ref="AG74:AG137" si="24">IF(T74="OK",Q74,( IF(U74&lt;&gt;"Manutenção em interface",IF(U74&lt;&gt;"Desenv., Manutenção e Publicação de Páginas Estáticas",(AE74+AF74)*V74,V74),V74)))</f>
        <v>0</v>
      </c>
      <c r="AH74" s="47"/>
      <c r="AJ74" s="47"/>
      <c r="AL74" s="47"/>
      <c r="AM74" s="47" t="str">
        <f t="shared" ref="AM74:AM137" si="25">IF(AG74=0,"",IF(AG74=Q74,"OK","Divergente"))</f>
        <v/>
      </c>
    </row>
    <row r="75" spans="1:39" s="56" customFormat="1" ht="14.25">
      <c r="A75" s="44"/>
      <c r="B75" s="45"/>
      <c r="C75" s="46">
        <f>IF(B75&lt;&gt;"",VLOOKUP(B75,'Tipo Projeto'!$A$3:$B$35,2,0),0)</f>
        <v>0</v>
      </c>
      <c r="D75" s="47"/>
      <c r="E75" s="47"/>
      <c r="F75" s="48"/>
      <c r="G75" s="47"/>
      <c r="H75" s="49"/>
      <c r="I75" s="50"/>
      <c r="J75" s="51"/>
      <c r="K75" s="52"/>
      <c r="L75" s="53" t="str">
        <f t="shared" si="13"/>
        <v/>
      </c>
      <c r="M75" s="48" t="str">
        <f t="shared" si="14"/>
        <v/>
      </c>
      <c r="N75" s="54" t="str">
        <f t="shared" si="15"/>
        <v/>
      </c>
      <c r="O75" s="55">
        <f t="shared" si="16"/>
        <v>0</v>
      </c>
      <c r="P75" s="55">
        <f t="shared" si="17"/>
        <v>0</v>
      </c>
      <c r="Q75" s="54">
        <f t="shared" si="18"/>
        <v>0</v>
      </c>
      <c r="R75" s="47"/>
      <c r="T75" s="57"/>
      <c r="U75" s="45"/>
      <c r="V75" s="46">
        <f>IF(U75&lt;&gt;"",VLOOKUP(U75,'Tipo Projeto'!$A$3:$B$35,2,0),0)</f>
        <v>0</v>
      </c>
      <c r="W75" s="203"/>
      <c r="X75" s="49"/>
      <c r="Y75" s="50"/>
      <c r="Z75" s="51"/>
      <c r="AA75" s="52"/>
      <c r="AB75" s="53" t="str">
        <f t="shared" si="19"/>
        <v/>
      </c>
      <c r="AC75" s="48" t="str">
        <f t="shared" si="20"/>
        <v/>
      </c>
      <c r="AD75" s="54" t="str">
        <f t="shared" si="21"/>
        <v/>
      </c>
      <c r="AE75" s="55">
        <f t="shared" si="22"/>
        <v>0</v>
      </c>
      <c r="AF75" s="55">
        <f t="shared" si="23"/>
        <v>0</v>
      </c>
      <c r="AG75" s="58">
        <f t="shared" si="24"/>
        <v>0</v>
      </c>
      <c r="AH75" s="47"/>
      <c r="AJ75" s="47"/>
      <c r="AL75" s="47"/>
      <c r="AM75" s="47" t="str">
        <f t="shared" si="25"/>
        <v/>
      </c>
    </row>
    <row r="76" spans="1:39" s="56" customFormat="1" ht="14.25">
      <c r="A76" s="44"/>
      <c r="B76" s="45"/>
      <c r="C76" s="46">
        <f>IF(B76&lt;&gt;"",VLOOKUP(B76,'Tipo Projeto'!$A$3:$B$35,2,0),0)</f>
        <v>0</v>
      </c>
      <c r="D76" s="47"/>
      <c r="E76" s="47"/>
      <c r="F76" s="48"/>
      <c r="G76" s="47"/>
      <c r="H76" s="49"/>
      <c r="I76" s="50"/>
      <c r="J76" s="51"/>
      <c r="K76" s="52"/>
      <c r="L76" s="53" t="str">
        <f t="shared" si="13"/>
        <v/>
      </c>
      <c r="M76" s="48" t="str">
        <f t="shared" si="14"/>
        <v/>
      </c>
      <c r="N76" s="54" t="str">
        <f t="shared" si="15"/>
        <v/>
      </c>
      <c r="O76" s="55">
        <f t="shared" si="16"/>
        <v>0</v>
      </c>
      <c r="P76" s="55">
        <f t="shared" si="17"/>
        <v>0</v>
      </c>
      <c r="Q76" s="54">
        <f t="shared" si="18"/>
        <v>0</v>
      </c>
      <c r="R76" s="47"/>
      <c r="T76" s="57"/>
      <c r="U76" s="45"/>
      <c r="V76" s="46">
        <f>IF(U76&lt;&gt;"",VLOOKUP(U76,'Tipo Projeto'!$A$3:$B$35,2,0),0)</f>
        <v>0</v>
      </c>
      <c r="W76" s="203"/>
      <c r="X76" s="49"/>
      <c r="Y76" s="50"/>
      <c r="Z76" s="51"/>
      <c r="AA76" s="52"/>
      <c r="AB76" s="53" t="str">
        <f t="shared" si="19"/>
        <v/>
      </c>
      <c r="AC76" s="48" t="str">
        <f t="shared" si="20"/>
        <v/>
      </c>
      <c r="AD76" s="54" t="str">
        <f t="shared" si="21"/>
        <v/>
      </c>
      <c r="AE76" s="55">
        <f t="shared" si="22"/>
        <v>0</v>
      </c>
      <c r="AF76" s="55">
        <f t="shared" si="23"/>
        <v>0</v>
      </c>
      <c r="AG76" s="58">
        <f t="shared" si="24"/>
        <v>0</v>
      </c>
      <c r="AH76" s="47"/>
      <c r="AJ76" s="47"/>
      <c r="AL76" s="47"/>
      <c r="AM76" s="47" t="str">
        <f t="shared" si="25"/>
        <v/>
      </c>
    </row>
    <row r="77" spans="1:39" s="56" customFormat="1" ht="14.25">
      <c r="A77" s="44"/>
      <c r="B77" s="45"/>
      <c r="C77" s="46">
        <f>IF(B77&lt;&gt;"",VLOOKUP(B77,'Tipo Projeto'!$A$3:$B$35,2,0),0)</f>
        <v>0</v>
      </c>
      <c r="D77" s="47"/>
      <c r="E77" s="47"/>
      <c r="F77" s="48"/>
      <c r="G77" s="47"/>
      <c r="H77" s="49"/>
      <c r="I77" s="50"/>
      <c r="J77" s="51"/>
      <c r="K77" s="52"/>
      <c r="L77" s="53" t="str">
        <f t="shared" si="13"/>
        <v/>
      </c>
      <c r="M77" s="48" t="str">
        <f t="shared" si="14"/>
        <v/>
      </c>
      <c r="N77" s="54" t="str">
        <f t="shared" si="15"/>
        <v/>
      </c>
      <c r="O77" s="55">
        <f t="shared" si="16"/>
        <v>0</v>
      </c>
      <c r="P77" s="55">
        <f t="shared" si="17"/>
        <v>0</v>
      </c>
      <c r="Q77" s="54">
        <f t="shared" si="18"/>
        <v>0</v>
      </c>
      <c r="R77" s="47"/>
      <c r="T77" s="57"/>
      <c r="U77" s="45"/>
      <c r="V77" s="46">
        <f>IF(U77&lt;&gt;"",VLOOKUP(U77,'Tipo Projeto'!$A$3:$B$35,2,0),0)</f>
        <v>0</v>
      </c>
      <c r="W77" s="203"/>
      <c r="X77" s="49"/>
      <c r="Y77" s="50"/>
      <c r="Z77" s="51"/>
      <c r="AA77" s="52"/>
      <c r="AB77" s="53" t="str">
        <f t="shared" si="19"/>
        <v/>
      </c>
      <c r="AC77" s="48" t="str">
        <f t="shared" si="20"/>
        <v/>
      </c>
      <c r="AD77" s="54" t="str">
        <f t="shared" si="21"/>
        <v/>
      </c>
      <c r="AE77" s="55">
        <f t="shared" si="22"/>
        <v>0</v>
      </c>
      <c r="AF77" s="55">
        <f t="shared" si="23"/>
        <v>0</v>
      </c>
      <c r="AG77" s="58">
        <f t="shared" si="24"/>
        <v>0</v>
      </c>
      <c r="AH77" s="47"/>
      <c r="AJ77" s="47"/>
      <c r="AL77" s="47"/>
      <c r="AM77" s="47" t="str">
        <f t="shared" si="25"/>
        <v/>
      </c>
    </row>
    <row r="78" spans="1:39" s="56" customFormat="1" ht="14.25">
      <c r="A78" s="44"/>
      <c r="B78" s="45"/>
      <c r="C78" s="46">
        <f>IF(B78&lt;&gt;"",VLOOKUP(B78,'Tipo Projeto'!$A$3:$B$35,2,0),0)</f>
        <v>0</v>
      </c>
      <c r="D78" s="47"/>
      <c r="E78" s="47"/>
      <c r="F78" s="48"/>
      <c r="G78" s="47"/>
      <c r="H78" s="49"/>
      <c r="I78" s="50"/>
      <c r="J78" s="51"/>
      <c r="K78" s="52"/>
      <c r="L78" s="53" t="str">
        <f t="shared" si="13"/>
        <v/>
      </c>
      <c r="M78" s="48" t="str">
        <f t="shared" si="14"/>
        <v/>
      </c>
      <c r="N78" s="54" t="str">
        <f t="shared" si="15"/>
        <v/>
      </c>
      <c r="O78" s="55">
        <f t="shared" si="16"/>
        <v>0</v>
      </c>
      <c r="P78" s="55">
        <f t="shared" si="17"/>
        <v>0</v>
      </c>
      <c r="Q78" s="54">
        <f t="shared" si="18"/>
        <v>0</v>
      </c>
      <c r="R78" s="47"/>
      <c r="T78" s="57"/>
      <c r="U78" s="45"/>
      <c r="V78" s="46">
        <f>IF(U78&lt;&gt;"",VLOOKUP(U78,'Tipo Projeto'!$A$3:$B$35,2,0),0)</f>
        <v>0</v>
      </c>
      <c r="W78" s="203"/>
      <c r="X78" s="49"/>
      <c r="Y78" s="50"/>
      <c r="Z78" s="51"/>
      <c r="AA78" s="52"/>
      <c r="AB78" s="53" t="str">
        <f t="shared" si="19"/>
        <v/>
      </c>
      <c r="AC78" s="48" t="str">
        <f t="shared" si="20"/>
        <v/>
      </c>
      <c r="AD78" s="54" t="str">
        <f t="shared" si="21"/>
        <v/>
      </c>
      <c r="AE78" s="55">
        <f t="shared" si="22"/>
        <v>0</v>
      </c>
      <c r="AF78" s="55">
        <f t="shared" si="23"/>
        <v>0</v>
      </c>
      <c r="AG78" s="58">
        <f t="shared" si="24"/>
        <v>0</v>
      </c>
      <c r="AH78" s="47"/>
      <c r="AJ78" s="47"/>
      <c r="AL78" s="47"/>
      <c r="AM78" s="47" t="str">
        <f t="shared" si="25"/>
        <v/>
      </c>
    </row>
    <row r="79" spans="1:39" s="56" customFormat="1" ht="14.25">
      <c r="A79" s="44"/>
      <c r="B79" s="45"/>
      <c r="C79" s="46">
        <f>IF(B79&lt;&gt;"",VLOOKUP(B79,'Tipo Projeto'!$A$3:$B$35,2,0),0)</f>
        <v>0</v>
      </c>
      <c r="D79" s="47"/>
      <c r="E79" s="47"/>
      <c r="F79" s="48"/>
      <c r="G79" s="47"/>
      <c r="H79" s="49"/>
      <c r="I79" s="50"/>
      <c r="J79" s="51"/>
      <c r="K79" s="52"/>
      <c r="L79" s="53" t="str">
        <f t="shared" si="13"/>
        <v/>
      </c>
      <c r="M79" s="48" t="str">
        <f t="shared" si="14"/>
        <v/>
      </c>
      <c r="N79" s="54" t="str">
        <f t="shared" si="15"/>
        <v/>
      </c>
      <c r="O79" s="55">
        <f t="shared" si="16"/>
        <v>0</v>
      </c>
      <c r="P79" s="55">
        <f t="shared" si="17"/>
        <v>0</v>
      </c>
      <c r="Q79" s="54">
        <f t="shared" si="18"/>
        <v>0</v>
      </c>
      <c r="R79" s="47"/>
      <c r="T79" s="57"/>
      <c r="U79" s="45"/>
      <c r="V79" s="46">
        <f>IF(U79&lt;&gt;"",VLOOKUP(U79,'Tipo Projeto'!$A$3:$B$35,2,0),0)</f>
        <v>0</v>
      </c>
      <c r="W79" s="203"/>
      <c r="X79" s="49"/>
      <c r="Y79" s="50"/>
      <c r="Z79" s="51"/>
      <c r="AA79" s="52"/>
      <c r="AB79" s="53" t="str">
        <f t="shared" si="19"/>
        <v/>
      </c>
      <c r="AC79" s="48" t="str">
        <f t="shared" si="20"/>
        <v/>
      </c>
      <c r="AD79" s="54" t="str">
        <f t="shared" si="21"/>
        <v/>
      </c>
      <c r="AE79" s="55">
        <f t="shared" si="22"/>
        <v>0</v>
      </c>
      <c r="AF79" s="55">
        <f t="shared" si="23"/>
        <v>0</v>
      </c>
      <c r="AG79" s="58">
        <f t="shared" si="24"/>
        <v>0</v>
      </c>
      <c r="AH79" s="47"/>
      <c r="AJ79" s="47"/>
      <c r="AL79" s="47"/>
      <c r="AM79" s="47" t="str">
        <f t="shared" si="25"/>
        <v/>
      </c>
    </row>
    <row r="80" spans="1:39" s="56" customFormat="1" ht="14.25">
      <c r="A80" s="44"/>
      <c r="B80" s="45"/>
      <c r="C80" s="46">
        <f>IF(B80&lt;&gt;"",VLOOKUP(B80,'Tipo Projeto'!$A$3:$B$35,2,0),0)</f>
        <v>0</v>
      </c>
      <c r="D80" s="47"/>
      <c r="E80" s="47"/>
      <c r="F80" s="48"/>
      <c r="G80" s="47"/>
      <c r="H80" s="49"/>
      <c r="I80" s="50"/>
      <c r="J80" s="51"/>
      <c r="K80" s="52"/>
      <c r="L80" s="53" t="str">
        <f t="shared" si="13"/>
        <v/>
      </c>
      <c r="M80" s="48" t="str">
        <f t="shared" si="14"/>
        <v/>
      </c>
      <c r="N80" s="54" t="str">
        <f t="shared" si="15"/>
        <v/>
      </c>
      <c r="O80" s="55">
        <f t="shared" si="16"/>
        <v>0</v>
      </c>
      <c r="P80" s="55">
        <f t="shared" si="17"/>
        <v>0</v>
      </c>
      <c r="Q80" s="54">
        <f t="shared" si="18"/>
        <v>0</v>
      </c>
      <c r="R80" s="47"/>
      <c r="T80" s="57"/>
      <c r="U80" s="45"/>
      <c r="V80" s="46">
        <f>IF(U80&lt;&gt;"",VLOOKUP(U80,'Tipo Projeto'!$A$3:$B$35,2,0),0)</f>
        <v>0</v>
      </c>
      <c r="W80" s="203"/>
      <c r="X80" s="49"/>
      <c r="Y80" s="50"/>
      <c r="Z80" s="51"/>
      <c r="AA80" s="52"/>
      <c r="AB80" s="53" t="str">
        <f t="shared" si="19"/>
        <v/>
      </c>
      <c r="AC80" s="48" t="str">
        <f t="shared" si="20"/>
        <v/>
      </c>
      <c r="AD80" s="54" t="str">
        <f t="shared" si="21"/>
        <v/>
      </c>
      <c r="AE80" s="55">
        <f t="shared" si="22"/>
        <v>0</v>
      </c>
      <c r="AF80" s="55">
        <f t="shared" si="23"/>
        <v>0</v>
      </c>
      <c r="AG80" s="58">
        <f t="shared" si="24"/>
        <v>0</v>
      </c>
      <c r="AH80" s="47"/>
      <c r="AJ80" s="47"/>
      <c r="AL80" s="47"/>
      <c r="AM80" s="47" t="str">
        <f t="shared" si="25"/>
        <v/>
      </c>
    </row>
    <row r="81" spans="1:39" s="56" customFormat="1" ht="14.25">
      <c r="A81" s="44"/>
      <c r="B81" s="45"/>
      <c r="C81" s="46">
        <f>IF(B81&lt;&gt;"",VLOOKUP(B81,'Tipo Projeto'!$A$3:$B$35,2,0),0)</f>
        <v>0</v>
      </c>
      <c r="D81" s="47"/>
      <c r="E81" s="47"/>
      <c r="F81" s="48"/>
      <c r="G81" s="47"/>
      <c r="H81" s="49"/>
      <c r="I81" s="50"/>
      <c r="J81" s="51"/>
      <c r="K81" s="52"/>
      <c r="L81" s="53" t="str">
        <f t="shared" si="13"/>
        <v/>
      </c>
      <c r="M81" s="48" t="str">
        <f t="shared" si="14"/>
        <v/>
      </c>
      <c r="N81" s="54" t="str">
        <f t="shared" si="15"/>
        <v/>
      </c>
      <c r="O81" s="55">
        <f t="shared" si="16"/>
        <v>0</v>
      </c>
      <c r="P81" s="55">
        <f t="shared" si="17"/>
        <v>0</v>
      </c>
      <c r="Q81" s="54">
        <f t="shared" si="18"/>
        <v>0</v>
      </c>
      <c r="R81" s="47"/>
      <c r="T81" s="57"/>
      <c r="U81" s="45"/>
      <c r="V81" s="46">
        <f>IF(U81&lt;&gt;"",VLOOKUP(U81,'Tipo Projeto'!$A$3:$B$35,2,0),0)</f>
        <v>0</v>
      </c>
      <c r="W81" s="203"/>
      <c r="X81" s="49"/>
      <c r="Y81" s="50"/>
      <c r="Z81" s="51"/>
      <c r="AA81" s="52"/>
      <c r="AB81" s="53" t="str">
        <f t="shared" si="19"/>
        <v/>
      </c>
      <c r="AC81" s="48" t="str">
        <f t="shared" si="20"/>
        <v/>
      </c>
      <c r="AD81" s="54" t="str">
        <f t="shared" si="21"/>
        <v/>
      </c>
      <c r="AE81" s="55">
        <f t="shared" si="22"/>
        <v>0</v>
      </c>
      <c r="AF81" s="55">
        <f t="shared" si="23"/>
        <v>0</v>
      </c>
      <c r="AG81" s="58">
        <f t="shared" si="24"/>
        <v>0</v>
      </c>
      <c r="AH81" s="47"/>
      <c r="AJ81" s="47"/>
      <c r="AL81" s="47"/>
      <c r="AM81" s="47" t="str">
        <f t="shared" si="25"/>
        <v/>
      </c>
    </row>
    <row r="82" spans="1:39" s="56" customFormat="1" ht="14.25">
      <c r="A82" s="44"/>
      <c r="B82" s="45"/>
      <c r="C82" s="46">
        <f>IF(B82&lt;&gt;"",VLOOKUP(B82,'Tipo Projeto'!$A$3:$B$35,2,0),0)</f>
        <v>0</v>
      </c>
      <c r="D82" s="47"/>
      <c r="E82" s="47"/>
      <c r="F82" s="48"/>
      <c r="G82" s="47"/>
      <c r="H82" s="49"/>
      <c r="I82" s="50"/>
      <c r="J82" s="51"/>
      <c r="K82" s="52"/>
      <c r="L82" s="53" t="str">
        <f t="shared" si="13"/>
        <v/>
      </c>
      <c r="M82" s="48" t="str">
        <f t="shared" si="14"/>
        <v/>
      </c>
      <c r="N82" s="54" t="str">
        <f t="shared" si="15"/>
        <v/>
      </c>
      <c r="O82" s="55">
        <f t="shared" si="16"/>
        <v>0</v>
      </c>
      <c r="P82" s="55">
        <f t="shared" si="17"/>
        <v>0</v>
      </c>
      <c r="Q82" s="54">
        <f t="shared" si="18"/>
        <v>0</v>
      </c>
      <c r="R82" s="47"/>
      <c r="T82" s="57"/>
      <c r="U82" s="45"/>
      <c r="V82" s="46">
        <f>IF(U82&lt;&gt;"",VLOOKUP(U82,'Tipo Projeto'!$A$3:$B$35,2,0),0)</f>
        <v>0</v>
      </c>
      <c r="W82" s="203"/>
      <c r="X82" s="49"/>
      <c r="Y82" s="50"/>
      <c r="Z82" s="51"/>
      <c r="AA82" s="52"/>
      <c r="AB82" s="53" t="str">
        <f t="shared" si="19"/>
        <v/>
      </c>
      <c r="AC82" s="48" t="str">
        <f t="shared" si="20"/>
        <v/>
      </c>
      <c r="AD82" s="54" t="str">
        <f t="shared" si="21"/>
        <v/>
      </c>
      <c r="AE82" s="55">
        <f t="shared" si="22"/>
        <v>0</v>
      </c>
      <c r="AF82" s="55">
        <f t="shared" si="23"/>
        <v>0</v>
      </c>
      <c r="AG82" s="58">
        <f t="shared" si="24"/>
        <v>0</v>
      </c>
      <c r="AH82" s="47"/>
      <c r="AJ82" s="47"/>
      <c r="AL82" s="47"/>
      <c r="AM82" s="47" t="str">
        <f t="shared" si="25"/>
        <v/>
      </c>
    </row>
    <row r="83" spans="1:39" s="56" customFormat="1" ht="14.25">
      <c r="A83" s="44"/>
      <c r="B83" s="45"/>
      <c r="C83" s="46">
        <f>IF(B83&lt;&gt;"",VLOOKUP(B83,'Tipo Projeto'!$A$3:$B$35,2,0),0)</f>
        <v>0</v>
      </c>
      <c r="D83" s="47"/>
      <c r="E83" s="47"/>
      <c r="F83" s="48"/>
      <c r="G83" s="47"/>
      <c r="H83" s="49"/>
      <c r="I83" s="50"/>
      <c r="J83" s="51"/>
      <c r="K83" s="52"/>
      <c r="L83" s="53" t="str">
        <f t="shared" si="13"/>
        <v/>
      </c>
      <c r="M83" s="48" t="str">
        <f t="shared" si="14"/>
        <v/>
      </c>
      <c r="N83" s="54" t="str">
        <f t="shared" si="15"/>
        <v/>
      </c>
      <c r="O83" s="55">
        <f t="shared" si="16"/>
        <v>0</v>
      </c>
      <c r="P83" s="55">
        <f t="shared" si="17"/>
        <v>0</v>
      </c>
      <c r="Q83" s="54">
        <f t="shared" si="18"/>
        <v>0</v>
      </c>
      <c r="R83" s="47"/>
      <c r="T83" s="57"/>
      <c r="U83" s="45"/>
      <c r="V83" s="46">
        <f>IF(U83&lt;&gt;"",VLOOKUP(U83,'Tipo Projeto'!$A$3:$B$35,2,0),0)</f>
        <v>0</v>
      </c>
      <c r="W83" s="203"/>
      <c r="X83" s="49"/>
      <c r="Y83" s="50"/>
      <c r="Z83" s="51"/>
      <c r="AA83" s="52"/>
      <c r="AB83" s="53" t="str">
        <f t="shared" si="19"/>
        <v/>
      </c>
      <c r="AC83" s="48" t="str">
        <f t="shared" si="20"/>
        <v/>
      </c>
      <c r="AD83" s="54" t="str">
        <f t="shared" si="21"/>
        <v/>
      </c>
      <c r="AE83" s="55">
        <f t="shared" si="22"/>
        <v>0</v>
      </c>
      <c r="AF83" s="55">
        <f t="shared" si="23"/>
        <v>0</v>
      </c>
      <c r="AG83" s="58">
        <f t="shared" si="24"/>
        <v>0</v>
      </c>
      <c r="AH83" s="47"/>
      <c r="AJ83" s="47"/>
      <c r="AL83" s="47"/>
      <c r="AM83" s="47" t="str">
        <f t="shared" si="25"/>
        <v/>
      </c>
    </row>
    <row r="84" spans="1:39" s="56" customFormat="1" ht="14.25">
      <c r="A84" s="44"/>
      <c r="B84" s="45"/>
      <c r="C84" s="46">
        <f>IF(B84&lt;&gt;"",VLOOKUP(B84,'Tipo Projeto'!$A$3:$B$35,2,0),0)</f>
        <v>0</v>
      </c>
      <c r="D84" s="47"/>
      <c r="E84" s="47"/>
      <c r="F84" s="48"/>
      <c r="G84" s="47"/>
      <c r="H84" s="49"/>
      <c r="I84" s="50"/>
      <c r="J84" s="51"/>
      <c r="K84" s="52"/>
      <c r="L84" s="53" t="str">
        <f t="shared" si="13"/>
        <v/>
      </c>
      <c r="M84" s="48" t="str">
        <f t="shared" si="14"/>
        <v/>
      </c>
      <c r="N84" s="54" t="str">
        <f t="shared" si="15"/>
        <v/>
      </c>
      <c r="O84" s="55">
        <f t="shared" si="16"/>
        <v>0</v>
      </c>
      <c r="P84" s="55">
        <f t="shared" si="17"/>
        <v>0</v>
      </c>
      <c r="Q84" s="54">
        <f t="shared" si="18"/>
        <v>0</v>
      </c>
      <c r="R84" s="47"/>
      <c r="T84" s="57"/>
      <c r="U84" s="45"/>
      <c r="V84" s="46">
        <f>IF(U84&lt;&gt;"",VLOOKUP(U84,'Tipo Projeto'!$A$3:$B$35,2,0),0)</f>
        <v>0</v>
      </c>
      <c r="W84" s="203"/>
      <c r="X84" s="49"/>
      <c r="Y84" s="50"/>
      <c r="Z84" s="51"/>
      <c r="AA84" s="52"/>
      <c r="AB84" s="53" t="str">
        <f t="shared" si="19"/>
        <v/>
      </c>
      <c r="AC84" s="48" t="str">
        <f t="shared" si="20"/>
        <v/>
      </c>
      <c r="AD84" s="54" t="str">
        <f t="shared" si="21"/>
        <v/>
      </c>
      <c r="AE84" s="55">
        <f t="shared" si="22"/>
        <v>0</v>
      </c>
      <c r="AF84" s="55">
        <f t="shared" si="23"/>
        <v>0</v>
      </c>
      <c r="AG84" s="58">
        <f t="shared" si="24"/>
        <v>0</v>
      </c>
      <c r="AH84" s="47"/>
      <c r="AJ84" s="47"/>
      <c r="AL84" s="47"/>
      <c r="AM84" s="47" t="str">
        <f t="shared" si="25"/>
        <v/>
      </c>
    </row>
    <row r="85" spans="1:39" s="56" customFormat="1" ht="14.25">
      <c r="A85" s="44"/>
      <c r="B85" s="45"/>
      <c r="C85" s="46">
        <f>IF(B85&lt;&gt;"",VLOOKUP(B85,'Tipo Projeto'!$A$3:$B$35,2,0),0)</f>
        <v>0</v>
      </c>
      <c r="D85" s="47"/>
      <c r="E85" s="47"/>
      <c r="F85" s="48"/>
      <c r="G85" s="47"/>
      <c r="H85" s="49"/>
      <c r="I85" s="50"/>
      <c r="J85" s="51"/>
      <c r="K85" s="52"/>
      <c r="L85" s="53" t="str">
        <f t="shared" si="13"/>
        <v/>
      </c>
      <c r="M85" s="48" t="str">
        <f t="shared" si="14"/>
        <v/>
      </c>
      <c r="N85" s="54" t="str">
        <f t="shared" si="15"/>
        <v/>
      </c>
      <c r="O85" s="55">
        <f t="shared" si="16"/>
        <v>0</v>
      </c>
      <c r="P85" s="55">
        <f t="shared" si="17"/>
        <v>0</v>
      </c>
      <c r="Q85" s="54">
        <f t="shared" si="18"/>
        <v>0</v>
      </c>
      <c r="R85" s="47"/>
      <c r="T85" s="57"/>
      <c r="U85" s="45"/>
      <c r="V85" s="46">
        <f>IF(U85&lt;&gt;"",VLOOKUP(U85,'Tipo Projeto'!$A$3:$B$35,2,0),0)</f>
        <v>0</v>
      </c>
      <c r="W85" s="203"/>
      <c r="X85" s="49"/>
      <c r="Y85" s="50"/>
      <c r="Z85" s="51"/>
      <c r="AA85" s="52"/>
      <c r="AB85" s="53" t="str">
        <f t="shared" si="19"/>
        <v/>
      </c>
      <c r="AC85" s="48" t="str">
        <f t="shared" si="20"/>
        <v/>
      </c>
      <c r="AD85" s="54" t="str">
        <f t="shared" si="21"/>
        <v/>
      </c>
      <c r="AE85" s="55">
        <f t="shared" si="22"/>
        <v>0</v>
      </c>
      <c r="AF85" s="55">
        <f t="shared" si="23"/>
        <v>0</v>
      </c>
      <c r="AG85" s="58">
        <f t="shared" si="24"/>
        <v>0</v>
      </c>
      <c r="AH85" s="47"/>
      <c r="AJ85" s="47"/>
      <c r="AL85" s="47"/>
      <c r="AM85" s="47" t="str">
        <f t="shared" si="25"/>
        <v/>
      </c>
    </row>
    <row r="86" spans="1:39" s="56" customFormat="1" ht="14.25">
      <c r="A86" s="44"/>
      <c r="B86" s="45"/>
      <c r="C86" s="46">
        <f>IF(B86&lt;&gt;"",VLOOKUP(B86,'Tipo Projeto'!$A$3:$B$35,2,0),0)</f>
        <v>0</v>
      </c>
      <c r="D86" s="47"/>
      <c r="E86" s="47"/>
      <c r="F86" s="48"/>
      <c r="G86" s="47"/>
      <c r="H86" s="49"/>
      <c r="I86" s="50"/>
      <c r="J86" s="51"/>
      <c r="K86" s="52"/>
      <c r="L86" s="53" t="str">
        <f t="shared" si="13"/>
        <v/>
      </c>
      <c r="M86" s="48" t="str">
        <f t="shared" si="14"/>
        <v/>
      </c>
      <c r="N86" s="54" t="str">
        <f t="shared" si="15"/>
        <v/>
      </c>
      <c r="O86" s="55">
        <f t="shared" si="16"/>
        <v>0</v>
      </c>
      <c r="P86" s="55">
        <f t="shared" si="17"/>
        <v>0</v>
      </c>
      <c r="Q86" s="54">
        <f t="shared" si="18"/>
        <v>0</v>
      </c>
      <c r="R86" s="47"/>
      <c r="T86" s="57"/>
      <c r="U86" s="45"/>
      <c r="V86" s="46">
        <f>IF(U86&lt;&gt;"",VLOOKUP(U86,'Tipo Projeto'!$A$3:$B$35,2,0),0)</f>
        <v>0</v>
      </c>
      <c r="W86" s="203"/>
      <c r="X86" s="49"/>
      <c r="Y86" s="50"/>
      <c r="Z86" s="51"/>
      <c r="AA86" s="52"/>
      <c r="AB86" s="53" t="str">
        <f t="shared" si="19"/>
        <v/>
      </c>
      <c r="AC86" s="48" t="str">
        <f t="shared" si="20"/>
        <v/>
      </c>
      <c r="AD86" s="54" t="str">
        <f t="shared" si="21"/>
        <v/>
      </c>
      <c r="AE86" s="55">
        <f t="shared" si="22"/>
        <v>0</v>
      </c>
      <c r="AF86" s="55">
        <f t="shared" si="23"/>
        <v>0</v>
      </c>
      <c r="AG86" s="58">
        <f t="shared" si="24"/>
        <v>0</v>
      </c>
      <c r="AH86" s="47"/>
      <c r="AJ86" s="47"/>
      <c r="AL86" s="47"/>
      <c r="AM86" s="47" t="str">
        <f t="shared" si="25"/>
        <v/>
      </c>
    </row>
    <row r="87" spans="1:39" s="56" customFormat="1" ht="14.25">
      <c r="A87" s="44"/>
      <c r="B87" s="45"/>
      <c r="C87" s="46">
        <f>IF(B87&lt;&gt;"",VLOOKUP(B87,'Tipo Projeto'!$A$3:$B$35,2,0),0)</f>
        <v>0</v>
      </c>
      <c r="D87" s="47"/>
      <c r="E87" s="47"/>
      <c r="F87" s="48"/>
      <c r="G87" s="47"/>
      <c r="H87" s="49"/>
      <c r="I87" s="50"/>
      <c r="J87" s="51"/>
      <c r="K87" s="52"/>
      <c r="L87" s="53" t="str">
        <f t="shared" si="13"/>
        <v/>
      </c>
      <c r="M87" s="48" t="str">
        <f t="shared" si="14"/>
        <v/>
      </c>
      <c r="N87" s="54" t="str">
        <f t="shared" si="15"/>
        <v/>
      </c>
      <c r="O87" s="55">
        <f t="shared" si="16"/>
        <v>0</v>
      </c>
      <c r="P87" s="55">
        <f t="shared" si="17"/>
        <v>0</v>
      </c>
      <c r="Q87" s="54">
        <f t="shared" si="18"/>
        <v>0</v>
      </c>
      <c r="R87" s="47"/>
      <c r="T87" s="57"/>
      <c r="U87" s="45"/>
      <c r="V87" s="46">
        <f>IF(U87&lt;&gt;"",VLOOKUP(U87,'Tipo Projeto'!$A$3:$B$35,2,0),0)</f>
        <v>0</v>
      </c>
      <c r="W87" s="203"/>
      <c r="X87" s="49"/>
      <c r="Y87" s="50"/>
      <c r="Z87" s="51"/>
      <c r="AA87" s="52"/>
      <c r="AB87" s="53" t="str">
        <f t="shared" si="19"/>
        <v/>
      </c>
      <c r="AC87" s="48" t="str">
        <f t="shared" si="20"/>
        <v/>
      </c>
      <c r="AD87" s="54" t="str">
        <f t="shared" si="21"/>
        <v/>
      </c>
      <c r="AE87" s="55">
        <f t="shared" si="22"/>
        <v>0</v>
      </c>
      <c r="AF87" s="55">
        <f t="shared" si="23"/>
        <v>0</v>
      </c>
      <c r="AG87" s="58">
        <f t="shared" si="24"/>
        <v>0</v>
      </c>
      <c r="AH87" s="47"/>
      <c r="AJ87" s="47"/>
      <c r="AL87" s="47"/>
      <c r="AM87" s="47" t="str">
        <f t="shared" si="25"/>
        <v/>
      </c>
    </row>
    <row r="88" spans="1:39" s="56" customFormat="1" ht="14.25">
      <c r="A88" s="44"/>
      <c r="B88" s="45"/>
      <c r="C88" s="46">
        <f>IF(B88&lt;&gt;"",VLOOKUP(B88,'Tipo Projeto'!$A$3:$B$35,2,0),0)</f>
        <v>0</v>
      </c>
      <c r="D88" s="47"/>
      <c r="E88" s="47"/>
      <c r="F88" s="48"/>
      <c r="G88" s="47"/>
      <c r="H88" s="49"/>
      <c r="I88" s="50"/>
      <c r="J88" s="51"/>
      <c r="K88" s="52"/>
      <c r="L88" s="53" t="str">
        <f t="shared" si="13"/>
        <v/>
      </c>
      <c r="M88" s="48" t="str">
        <f t="shared" si="14"/>
        <v/>
      </c>
      <c r="N88" s="54" t="str">
        <f t="shared" si="15"/>
        <v/>
      </c>
      <c r="O88" s="55">
        <f t="shared" si="16"/>
        <v>0</v>
      </c>
      <c r="P88" s="55">
        <f t="shared" si="17"/>
        <v>0</v>
      </c>
      <c r="Q88" s="54">
        <f t="shared" si="18"/>
        <v>0</v>
      </c>
      <c r="R88" s="47"/>
      <c r="T88" s="57"/>
      <c r="U88" s="45"/>
      <c r="V88" s="46">
        <f>IF(U88&lt;&gt;"",VLOOKUP(U88,'Tipo Projeto'!$A$3:$B$35,2,0),0)</f>
        <v>0</v>
      </c>
      <c r="W88" s="203"/>
      <c r="X88" s="49"/>
      <c r="Y88" s="50"/>
      <c r="Z88" s="51"/>
      <c r="AA88" s="52"/>
      <c r="AB88" s="53" t="str">
        <f t="shared" si="19"/>
        <v/>
      </c>
      <c r="AC88" s="48" t="str">
        <f t="shared" si="20"/>
        <v/>
      </c>
      <c r="AD88" s="54" t="str">
        <f t="shared" si="21"/>
        <v/>
      </c>
      <c r="AE88" s="55">
        <f t="shared" si="22"/>
        <v>0</v>
      </c>
      <c r="AF88" s="55">
        <f t="shared" si="23"/>
        <v>0</v>
      </c>
      <c r="AG88" s="58">
        <f t="shared" si="24"/>
        <v>0</v>
      </c>
      <c r="AH88" s="47"/>
      <c r="AJ88" s="47"/>
      <c r="AL88" s="47"/>
      <c r="AM88" s="47" t="str">
        <f t="shared" si="25"/>
        <v/>
      </c>
    </row>
    <row r="89" spans="1:39" s="56" customFormat="1" ht="14.25">
      <c r="A89" s="44"/>
      <c r="B89" s="45"/>
      <c r="C89" s="46">
        <f>IF(B89&lt;&gt;"",VLOOKUP(B89,'Tipo Projeto'!$A$3:$B$35,2,0),0)</f>
        <v>0</v>
      </c>
      <c r="D89" s="47"/>
      <c r="E89" s="47"/>
      <c r="F89" s="48"/>
      <c r="G89" s="47"/>
      <c r="H89" s="49"/>
      <c r="I89" s="50"/>
      <c r="J89" s="51"/>
      <c r="K89" s="52"/>
      <c r="L89" s="53" t="str">
        <f t="shared" si="13"/>
        <v/>
      </c>
      <c r="M89" s="48" t="str">
        <f t="shared" si="14"/>
        <v/>
      </c>
      <c r="N89" s="54" t="str">
        <f t="shared" si="15"/>
        <v/>
      </c>
      <c r="O89" s="55">
        <f t="shared" si="16"/>
        <v>0</v>
      </c>
      <c r="P89" s="55">
        <f t="shared" si="17"/>
        <v>0</v>
      </c>
      <c r="Q89" s="54">
        <f t="shared" si="18"/>
        <v>0</v>
      </c>
      <c r="R89" s="47"/>
      <c r="T89" s="57"/>
      <c r="U89" s="45"/>
      <c r="V89" s="46">
        <f>IF(U89&lt;&gt;"",VLOOKUP(U89,'Tipo Projeto'!$A$3:$B$35,2,0),0)</f>
        <v>0</v>
      </c>
      <c r="W89" s="203"/>
      <c r="X89" s="49"/>
      <c r="Y89" s="50"/>
      <c r="Z89" s="51"/>
      <c r="AA89" s="52"/>
      <c r="AB89" s="53" t="str">
        <f t="shared" si="19"/>
        <v/>
      </c>
      <c r="AC89" s="48" t="str">
        <f t="shared" si="20"/>
        <v/>
      </c>
      <c r="AD89" s="54" t="str">
        <f t="shared" si="21"/>
        <v/>
      </c>
      <c r="AE89" s="55">
        <f t="shared" si="22"/>
        <v>0</v>
      </c>
      <c r="AF89" s="55">
        <f t="shared" si="23"/>
        <v>0</v>
      </c>
      <c r="AG89" s="58">
        <f t="shared" si="24"/>
        <v>0</v>
      </c>
      <c r="AH89" s="47"/>
      <c r="AJ89" s="47"/>
      <c r="AL89" s="47"/>
      <c r="AM89" s="47" t="str">
        <f t="shared" si="25"/>
        <v/>
      </c>
    </row>
    <row r="90" spans="1:39" s="56" customFormat="1" ht="14.25">
      <c r="A90" s="44"/>
      <c r="B90" s="45"/>
      <c r="C90" s="46">
        <f>IF(B90&lt;&gt;"",VLOOKUP(B90,'Tipo Projeto'!$A$3:$B$35,2,0),0)</f>
        <v>0</v>
      </c>
      <c r="D90" s="47"/>
      <c r="E90" s="47"/>
      <c r="F90" s="48"/>
      <c r="G90" s="47"/>
      <c r="H90" s="49"/>
      <c r="I90" s="50"/>
      <c r="J90" s="51"/>
      <c r="K90" s="52"/>
      <c r="L90" s="53" t="str">
        <f t="shared" si="13"/>
        <v/>
      </c>
      <c r="M90" s="48" t="str">
        <f t="shared" si="14"/>
        <v/>
      </c>
      <c r="N90" s="54" t="str">
        <f t="shared" si="15"/>
        <v/>
      </c>
      <c r="O90" s="55">
        <f t="shared" si="16"/>
        <v>0</v>
      </c>
      <c r="P90" s="55">
        <f t="shared" si="17"/>
        <v>0</v>
      </c>
      <c r="Q90" s="54">
        <f t="shared" si="18"/>
        <v>0</v>
      </c>
      <c r="R90" s="47"/>
      <c r="T90" s="57"/>
      <c r="U90" s="45"/>
      <c r="V90" s="46">
        <f>IF(U90&lt;&gt;"",VLOOKUP(U90,'Tipo Projeto'!$A$3:$B$35,2,0),0)</f>
        <v>0</v>
      </c>
      <c r="W90" s="203"/>
      <c r="X90" s="49"/>
      <c r="Y90" s="50"/>
      <c r="Z90" s="51"/>
      <c r="AA90" s="52"/>
      <c r="AB90" s="53" t="str">
        <f t="shared" si="19"/>
        <v/>
      </c>
      <c r="AC90" s="48" t="str">
        <f t="shared" si="20"/>
        <v/>
      </c>
      <c r="AD90" s="54" t="str">
        <f t="shared" si="21"/>
        <v/>
      </c>
      <c r="AE90" s="55">
        <f t="shared" si="22"/>
        <v>0</v>
      </c>
      <c r="AF90" s="55">
        <f t="shared" si="23"/>
        <v>0</v>
      </c>
      <c r="AG90" s="58">
        <f t="shared" si="24"/>
        <v>0</v>
      </c>
      <c r="AH90" s="47"/>
      <c r="AJ90" s="47"/>
      <c r="AL90" s="47"/>
      <c r="AM90" s="47" t="str">
        <f t="shared" si="25"/>
        <v/>
      </c>
    </row>
    <row r="91" spans="1:39" s="56" customFormat="1" ht="14.25">
      <c r="A91" s="44"/>
      <c r="B91" s="45"/>
      <c r="C91" s="46">
        <f>IF(B91&lt;&gt;"",VLOOKUP(B91,'Tipo Projeto'!$A$3:$B$35,2,0),0)</f>
        <v>0</v>
      </c>
      <c r="D91" s="47"/>
      <c r="E91" s="47"/>
      <c r="F91" s="48"/>
      <c r="G91" s="47"/>
      <c r="H91" s="49"/>
      <c r="I91" s="50"/>
      <c r="J91" s="51"/>
      <c r="K91" s="52"/>
      <c r="L91" s="53" t="str">
        <f t="shared" si="13"/>
        <v/>
      </c>
      <c r="M91" s="48" t="str">
        <f t="shared" si="14"/>
        <v/>
      </c>
      <c r="N91" s="54" t="str">
        <f t="shared" si="15"/>
        <v/>
      </c>
      <c r="O91" s="55">
        <f t="shared" si="16"/>
        <v>0</v>
      </c>
      <c r="P91" s="55">
        <f t="shared" si="17"/>
        <v>0</v>
      </c>
      <c r="Q91" s="54">
        <f t="shared" si="18"/>
        <v>0</v>
      </c>
      <c r="R91" s="47"/>
      <c r="T91" s="57"/>
      <c r="U91" s="45"/>
      <c r="V91" s="46">
        <f>IF(U91&lt;&gt;"",VLOOKUP(U91,'Tipo Projeto'!$A$3:$B$35,2,0),0)</f>
        <v>0</v>
      </c>
      <c r="W91" s="203"/>
      <c r="X91" s="49"/>
      <c r="Y91" s="50"/>
      <c r="Z91" s="51"/>
      <c r="AA91" s="52"/>
      <c r="AB91" s="53" t="str">
        <f t="shared" si="19"/>
        <v/>
      </c>
      <c r="AC91" s="48" t="str">
        <f t="shared" si="20"/>
        <v/>
      </c>
      <c r="AD91" s="54" t="str">
        <f t="shared" si="21"/>
        <v/>
      </c>
      <c r="AE91" s="55">
        <f t="shared" si="22"/>
        <v>0</v>
      </c>
      <c r="AF91" s="55">
        <f t="shared" si="23"/>
        <v>0</v>
      </c>
      <c r="AG91" s="58">
        <f t="shared" si="24"/>
        <v>0</v>
      </c>
      <c r="AH91" s="47"/>
      <c r="AJ91" s="47"/>
      <c r="AL91" s="47"/>
      <c r="AM91" s="47" t="str">
        <f t="shared" si="25"/>
        <v/>
      </c>
    </row>
    <row r="92" spans="1:39" s="56" customFormat="1" ht="14.25">
      <c r="A92" s="44"/>
      <c r="B92" s="45"/>
      <c r="C92" s="46">
        <f>IF(B92&lt;&gt;"",VLOOKUP(B92,'Tipo Projeto'!$A$3:$B$35,2,0),0)</f>
        <v>0</v>
      </c>
      <c r="D92" s="47"/>
      <c r="E92" s="47"/>
      <c r="F92" s="48"/>
      <c r="G92" s="47"/>
      <c r="H92" s="49"/>
      <c r="I92" s="50"/>
      <c r="J92" s="51"/>
      <c r="K92" s="52"/>
      <c r="L92" s="53" t="str">
        <f t="shared" si="13"/>
        <v/>
      </c>
      <c r="M92" s="48" t="str">
        <f t="shared" si="14"/>
        <v/>
      </c>
      <c r="N92" s="54" t="str">
        <f t="shared" si="15"/>
        <v/>
      </c>
      <c r="O92" s="55">
        <f t="shared" si="16"/>
        <v>0</v>
      </c>
      <c r="P92" s="55">
        <f t="shared" si="17"/>
        <v>0</v>
      </c>
      <c r="Q92" s="54">
        <f t="shared" si="18"/>
        <v>0</v>
      </c>
      <c r="R92" s="47"/>
      <c r="T92" s="57"/>
      <c r="U92" s="45"/>
      <c r="V92" s="46">
        <f>IF(U92&lt;&gt;"",VLOOKUP(U92,'Tipo Projeto'!$A$3:$B$35,2,0),0)</f>
        <v>0</v>
      </c>
      <c r="W92" s="203"/>
      <c r="X92" s="49"/>
      <c r="Y92" s="50"/>
      <c r="Z92" s="51"/>
      <c r="AA92" s="52"/>
      <c r="AB92" s="53" t="str">
        <f t="shared" si="19"/>
        <v/>
      </c>
      <c r="AC92" s="48" t="str">
        <f t="shared" si="20"/>
        <v/>
      </c>
      <c r="AD92" s="54" t="str">
        <f t="shared" si="21"/>
        <v/>
      </c>
      <c r="AE92" s="55">
        <f t="shared" si="22"/>
        <v>0</v>
      </c>
      <c r="AF92" s="55">
        <f t="shared" si="23"/>
        <v>0</v>
      </c>
      <c r="AG92" s="58">
        <f t="shared" si="24"/>
        <v>0</v>
      </c>
      <c r="AH92" s="47"/>
      <c r="AJ92" s="47"/>
      <c r="AL92" s="47"/>
      <c r="AM92" s="47" t="str">
        <f t="shared" si="25"/>
        <v/>
      </c>
    </row>
    <row r="93" spans="1:39" s="56" customFormat="1" ht="14.25">
      <c r="A93" s="44"/>
      <c r="B93" s="45"/>
      <c r="C93" s="46">
        <f>IF(B93&lt;&gt;"",VLOOKUP(B93,'Tipo Projeto'!$A$3:$B$35,2,0),0)</f>
        <v>0</v>
      </c>
      <c r="D93" s="47"/>
      <c r="E93" s="47"/>
      <c r="F93" s="48"/>
      <c r="G93" s="47"/>
      <c r="H93" s="49"/>
      <c r="I93" s="50"/>
      <c r="J93" s="51"/>
      <c r="K93" s="52"/>
      <c r="L93" s="53" t="str">
        <f t="shared" si="13"/>
        <v/>
      </c>
      <c r="M93" s="48" t="str">
        <f t="shared" si="14"/>
        <v/>
      </c>
      <c r="N93" s="54" t="str">
        <f t="shared" si="15"/>
        <v/>
      </c>
      <c r="O93" s="55">
        <f t="shared" si="16"/>
        <v>0</v>
      </c>
      <c r="P93" s="55">
        <f t="shared" si="17"/>
        <v>0</v>
      </c>
      <c r="Q93" s="54">
        <f t="shared" si="18"/>
        <v>0</v>
      </c>
      <c r="R93" s="47"/>
      <c r="T93" s="57"/>
      <c r="U93" s="45"/>
      <c r="V93" s="46">
        <f>IF(U93&lt;&gt;"",VLOOKUP(U93,'Tipo Projeto'!$A$3:$B$35,2,0),0)</f>
        <v>0</v>
      </c>
      <c r="W93" s="203"/>
      <c r="X93" s="49"/>
      <c r="Y93" s="50"/>
      <c r="Z93" s="51"/>
      <c r="AA93" s="52"/>
      <c r="AB93" s="53" t="str">
        <f t="shared" si="19"/>
        <v/>
      </c>
      <c r="AC93" s="48" t="str">
        <f t="shared" si="20"/>
        <v/>
      </c>
      <c r="AD93" s="54" t="str">
        <f t="shared" si="21"/>
        <v/>
      </c>
      <c r="AE93" s="55">
        <f t="shared" si="22"/>
        <v>0</v>
      </c>
      <c r="AF93" s="55">
        <f t="shared" si="23"/>
        <v>0</v>
      </c>
      <c r="AG93" s="58">
        <f t="shared" si="24"/>
        <v>0</v>
      </c>
      <c r="AH93" s="47"/>
      <c r="AJ93" s="47"/>
      <c r="AL93" s="47"/>
      <c r="AM93" s="47" t="str">
        <f t="shared" si="25"/>
        <v/>
      </c>
    </row>
    <row r="94" spans="1:39" s="56" customFormat="1" ht="14.25">
      <c r="A94" s="44"/>
      <c r="B94" s="45"/>
      <c r="C94" s="46">
        <f>IF(B94&lt;&gt;"",VLOOKUP(B94,'Tipo Projeto'!$A$3:$B$35,2,0),0)</f>
        <v>0</v>
      </c>
      <c r="D94" s="47"/>
      <c r="E94" s="47"/>
      <c r="F94" s="48"/>
      <c r="G94" s="47"/>
      <c r="H94" s="49"/>
      <c r="I94" s="50"/>
      <c r="J94" s="51"/>
      <c r="K94" s="52"/>
      <c r="L94" s="53" t="str">
        <f t="shared" si="13"/>
        <v/>
      </c>
      <c r="M94" s="48" t="str">
        <f t="shared" si="14"/>
        <v/>
      </c>
      <c r="N94" s="54" t="str">
        <f t="shared" si="15"/>
        <v/>
      </c>
      <c r="O94" s="55">
        <f t="shared" si="16"/>
        <v>0</v>
      </c>
      <c r="P94" s="55">
        <f t="shared" si="17"/>
        <v>0</v>
      </c>
      <c r="Q94" s="54">
        <f t="shared" si="18"/>
        <v>0</v>
      </c>
      <c r="R94" s="47"/>
      <c r="T94" s="57"/>
      <c r="U94" s="45"/>
      <c r="V94" s="46">
        <f>IF(U94&lt;&gt;"",VLOOKUP(U94,'Tipo Projeto'!$A$3:$B$35,2,0),0)</f>
        <v>0</v>
      </c>
      <c r="W94" s="203"/>
      <c r="X94" s="49"/>
      <c r="Y94" s="50"/>
      <c r="Z94" s="51"/>
      <c r="AA94" s="52"/>
      <c r="AB94" s="53" t="str">
        <f t="shared" si="19"/>
        <v/>
      </c>
      <c r="AC94" s="48" t="str">
        <f t="shared" si="20"/>
        <v/>
      </c>
      <c r="AD94" s="54" t="str">
        <f t="shared" si="21"/>
        <v/>
      </c>
      <c r="AE94" s="55">
        <f t="shared" si="22"/>
        <v>0</v>
      </c>
      <c r="AF94" s="55">
        <f t="shared" si="23"/>
        <v>0</v>
      </c>
      <c r="AG94" s="58">
        <f t="shared" si="24"/>
        <v>0</v>
      </c>
      <c r="AH94" s="47"/>
      <c r="AJ94" s="47"/>
      <c r="AL94" s="47"/>
      <c r="AM94" s="47" t="str">
        <f t="shared" si="25"/>
        <v/>
      </c>
    </row>
    <row r="95" spans="1:39" s="56" customFormat="1" ht="14.25">
      <c r="A95" s="44"/>
      <c r="B95" s="45"/>
      <c r="C95" s="46">
        <f>IF(B95&lt;&gt;"",VLOOKUP(B95,'Tipo Projeto'!$A$3:$B$35,2,0),0)</f>
        <v>0</v>
      </c>
      <c r="D95" s="47"/>
      <c r="E95" s="47"/>
      <c r="F95" s="48"/>
      <c r="G95" s="47"/>
      <c r="H95" s="49"/>
      <c r="I95" s="50"/>
      <c r="J95" s="51"/>
      <c r="K95" s="52"/>
      <c r="L95" s="53" t="str">
        <f t="shared" si="13"/>
        <v/>
      </c>
      <c r="M95" s="48" t="str">
        <f t="shared" si="14"/>
        <v/>
      </c>
      <c r="N95" s="54" t="str">
        <f t="shared" si="15"/>
        <v/>
      </c>
      <c r="O95" s="55">
        <f t="shared" si="16"/>
        <v>0</v>
      </c>
      <c r="P95" s="55">
        <f t="shared" si="17"/>
        <v>0</v>
      </c>
      <c r="Q95" s="54">
        <f t="shared" si="18"/>
        <v>0</v>
      </c>
      <c r="R95" s="47"/>
      <c r="T95" s="57"/>
      <c r="U95" s="45"/>
      <c r="V95" s="46">
        <f>IF(U95&lt;&gt;"",VLOOKUP(U95,'Tipo Projeto'!$A$3:$B$35,2,0),0)</f>
        <v>0</v>
      </c>
      <c r="W95" s="203"/>
      <c r="X95" s="49"/>
      <c r="Y95" s="50"/>
      <c r="Z95" s="51"/>
      <c r="AA95" s="52"/>
      <c r="AB95" s="53" t="str">
        <f t="shared" si="19"/>
        <v/>
      </c>
      <c r="AC95" s="48" t="str">
        <f t="shared" si="20"/>
        <v/>
      </c>
      <c r="AD95" s="54" t="str">
        <f t="shared" si="21"/>
        <v/>
      </c>
      <c r="AE95" s="55">
        <f t="shared" si="22"/>
        <v>0</v>
      </c>
      <c r="AF95" s="55">
        <f t="shared" si="23"/>
        <v>0</v>
      </c>
      <c r="AG95" s="58">
        <f t="shared" si="24"/>
        <v>0</v>
      </c>
      <c r="AH95" s="47"/>
      <c r="AJ95" s="47"/>
      <c r="AL95" s="47"/>
      <c r="AM95" s="47" t="str">
        <f t="shared" si="25"/>
        <v/>
      </c>
    </row>
    <row r="96" spans="1:39" s="56" customFormat="1" ht="14.25">
      <c r="A96" s="44"/>
      <c r="B96" s="45"/>
      <c r="C96" s="46">
        <f>IF(B96&lt;&gt;"",VLOOKUP(B96,'Tipo Projeto'!$A$3:$B$35,2,0),0)</f>
        <v>0</v>
      </c>
      <c r="D96" s="47"/>
      <c r="E96" s="47"/>
      <c r="F96" s="48"/>
      <c r="G96" s="47"/>
      <c r="H96" s="49"/>
      <c r="I96" s="50"/>
      <c r="J96" s="51"/>
      <c r="K96" s="52"/>
      <c r="L96" s="53" t="str">
        <f t="shared" si="13"/>
        <v/>
      </c>
      <c r="M96" s="48" t="str">
        <f t="shared" si="14"/>
        <v/>
      </c>
      <c r="N96" s="54" t="str">
        <f t="shared" si="15"/>
        <v/>
      </c>
      <c r="O96" s="55">
        <f t="shared" si="16"/>
        <v>0</v>
      </c>
      <c r="P96" s="55">
        <f t="shared" si="17"/>
        <v>0</v>
      </c>
      <c r="Q96" s="54">
        <f t="shared" si="18"/>
        <v>0</v>
      </c>
      <c r="R96" s="47"/>
      <c r="T96" s="57"/>
      <c r="U96" s="45"/>
      <c r="V96" s="46">
        <f>IF(U96&lt;&gt;"",VLOOKUP(U96,'Tipo Projeto'!$A$3:$B$35,2,0),0)</f>
        <v>0</v>
      </c>
      <c r="W96" s="203"/>
      <c r="X96" s="49"/>
      <c r="Y96" s="50"/>
      <c r="Z96" s="51"/>
      <c r="AA96" s="52"/>
      <c r="AB96" s="53" t="str">
        <f t="shared" si="19"/>
        <v/>
      </c>
      <c r="AC96" s="48" t="str">
        <f t="shared" si="20"/>
        <v/>
      </c>
      <c r="AD96" s="54" t="str">
        <f t="shared" si="21"/>
        <v/>
      </c>
      <c r="AE96" s="55">
        <f t="shared" si="22"/>
        <v>0</v>
      </c>
      <c r="AF96" s="55">
        <f t="shared" si="23"/>
        <v>0</v>
      </c>
      <c r="AG96" s="58">
        <f t="shared" si="24"/>
        <v>0</v>
      </c>
      <c r="AH96" s="47"/>
      <c r="AJ96" s="47"/>
      <c r="AL96" s="47"/>
      <c r="AM96" s="47" t="str">
        <f t="shared" si="25"/>
        <v/>
      </c>
    </row>
    <row r="97" spans="1:39" s="56" customFormat="1" ht="14.25">
      <c r="A97" s="44"/>
      <c r="B97" s="45"/>
      <c r="C97" s="46">
        <f>IF(B97&lt;&gt;"",VLOOKUP(B97,'Tipo Projeto'!$A$3:$B$35,2,0),0)</f>
        <v>0</v>
      </c>
      <c r="D97" s="47"/>
      <c r="E97" s="47"/>
      <c r="F97" s="48"/>
      <c r="G97" s="47"/>
      <c r="H97" s="49"/>
      <c r="I97" s="50"/>
      <c r="J97" s="51"/>
      <c r="K97" s="52"/>
      <c r="L97" s="53" t="str">
        <f t="shared" si="13"/>
        <v/>
      </c>
      <c r="M97" s="48" t="str">
        <f t="shared" si="14"/>
        <v/>
      </c>
      <c r="N97" s="54" t="str">
        <f t="shared" si="15"/>
        <v/>
      </c>
      <c r="O97" s="55">
        <f t="shared" si="16"/>
        <v>0</v>
      </c>
      <c r="P97" s="55">
        <f t="shared" si="17"/>
        <v>0</v>
      </c>
      <c r="Q97" s="54">
        <f t="shared" si="18"/>
        <v>0</v>
      </c>
      <c r="R97" s="47"/>
      <c r="T97" s="57"/>
      <c r="U97" s="45"/>
      <c r="V97" s="46">
        <f>IF(U97&lt;&gt;"",VLOOKUP(U97,'Tipo Projeto'!$A$3:$B$35,2,0),0)</f>
        <v>0</v>
      </c>
      <c r="W97" s="203"/>
      <c r="X97" s="49"/>
      <c r="Y97" s="50"/>
      <c r="Z97" s="51"/>
      <c r="AA97" s="52"/>
      <c r="AB97" s="53" t="str">
        <f t="shared" si="19"/>
        <v/>
      </c>
      <c r="AC97" s="48" t="str">
        <f t="shared" si="20"/>
        <v/>
      </c>
      <c r="AD97" s="54" t="str">
        <f t="shared" si="21"/>
        <v/>
      </c>
      <c r="AE97" s="55">
        <f t="shared" si="22"/>
        <v>0</v>
      </c>
      <c r="AF97" s="55">
        <f t="shared" si="23"/>
        <v>0</v>
      </c>
      <c r="AG97" s="58">
        <f t="shared" si="24"/>
        <v>0</v>
      </c>
      <c r="AH97" s="47"/>
      <c r="AJ97" s="47"/>
      <c r="AL97" s="47"/>
      <c r="AM97" s="47" t="str">
        <f t="shared" si="25"/>
        <v/>
      </c>
    </row>
    <row r="98" spans="1:39" s="56" customFormat="1" ht="14.25">
      <c r="A98" s="44"/>
      <c r="B98" s="45"/>
      <c r="C98" s="46">
        <f>IF(B98&lt;&gt;"",VLOOKUP(B98,'Tipo Projeto'!$A$3:$B$35,2,0),0)</f>
        <v>0</v>
      </c>
      <c r="D98" s="47"/>
      <c r="E98" s="47"/>
      <c r="F98" s="48"/>
      <c r="G98" s="47"/>
      <c r="H98" s="49"/>
      <c r="I98" s="50"/>
      <c r="J98" s="51"/>
      <c r="K98" s="52"/>
      <c r="L98" s="53" t="str">
        <f t="shared" si="13"/>
        <v/>
      </c>
      <c r="M98" s="48" t="str">
        <f t="shared" si="14"/>
        <v/>
      </c>
      <c r="N98" s="54" t="str">
        <f t="shared" si="15"/>
        <v/>
      </c>
      <c r="O98" s="55">
        <f t="shared" si="16"/>
        <v>0</v>
      </c>
      <c r="P98" s="55">
        <f t="shared" si="17"/>
        <v>0</v>
      </c>
      <c r="Q98" s="54">
        <f t="shared" si="18"/>
        <v>0</v>
      </c>
      <c r="R98" s="47"/>
      <c r="T98" s="57"/>
      <c r="U98" s="45"/>
      <c r="V98" s="46">
        <f>IF(U98&lt;&gt;"",VLOOKUP(U98,'Tipo Projeto'!$A$3:$B$35,2,0),0)</f>
        <v>0</v>
      </c>
      <c r="W98" s="203"/>
      <c r="X98" s="49"/>
      <c r="Y98" s="50"/>
      <c r="Z98" s="51"/>
      <c r="AA98" s="52"/>
      <c r="AB98" s="53" t="str">
        <f t="shared" si="19"/>
        <v/>
      </c>
      <c r="AC98" s="48" t="str">
        <f t="shared" si="20"/>
        <v/>
      </c>
      <c r="AD98" s="54" t="str">
        <f t="shared" si="21"/>
        <v/>
      </c>
      <c r="AE98" s="55">
        <f t="shared" si="22"/>
        <v>0</v>
      </c>
      <c r="AF98" s="55">
        <f t="shared" si="23"/>
        <v>0</v>
      </c>
      <c r="AG98" s="58">
        <f t="shared" si="24"/>
        <v>0</v>
      </c>
      <c r="AH98" s="47"/>
      <c r="AJ98" s="47"/>
      <c r="AL98" s="47"/>
      <c r="AM98" s="47" t="str">
        <f t="shared" si="25"/>
        <v/>
      </c>
    </row>
    <row r="99" spans="1:39" s="56" customFormat="1" ht="14.25">
      <c r="A99" s="44"/>
      <c r="B99" s="45"/>
      <c r="C99" s="46">
        <f>IF(B99&lt;&gt;"",VLOOKUP(B99,'Tipo Projeto'!$A$3:$B$35,2,0),0)</f>
        <v>0</v>
      </c>
      <c r="D99" s="47"/>
      <c r="E99" s="47"/>
      <c r="F99" s="48"/>
      <c r="G99" s="47"/>
      <c r="H99" s="49"/>
      <c r="I99" s="50"/>
      <c r="J99" s="51"/>
      <c r="K99" s="52"/>
      <c r="L99" s="53" t="str">
        <f t="shared" si="13"/>
        <v/>
      </c>
      <c r="M99" s="48" t="str">
        <f t="shared" si="14"/>
        <v/>
      </c>
      <c r="N99" s="54" t="str">
        <f t="shared" si="15"/>
        <v/>
      </c>
      <c r="O99" s="55">
        <f t="shared" si="16"/>
        <v>0</v>
      </c>
      <c r="P99" s="55">
        <f t="shared" si="17"/>
        <v>0</v>
      </c>
      <c r="Q99" s="54">
        <f t="shared" si="18"/>
        <v>0</v>
      </c>
      <c r="R99" s="47"/>
      <c r="T99" s="57"/>
      <c r="U99" s="45"/>
      <c r="V99" s="46">
        <f>IF(U99&lt;&gt;"",VLOOKUP(U99,'Tipo Projeto'!$A$3:$B$35,2,0),0)</f>
        <v>0</v>
      </c>
      <c r="W99" s="203"/>
      <c r="X99" s="49"/>
      <c r="Y99" s="50"/>
      <c r="Z99" s="51"/>
      <c r="AA99" s="52"/>
      <c r="AB99" s="53" t="str">
        <f t="shared" si="19"/>
        <v/>
      </c>
      <c r="AC99" s="48" t="str">
        <f t="shared" si="20"/>
        <v/>
      </c>
      <c r="AD99" s="54" t="str">
        <f t="shared" si="21"/>
        <v/>
      </c>
      <c r="AE99" s="55">
        <f t="shared" si="22"/>
        <v>0</v>
      </c>
      <c r="AF99" s="55">
        <f t="shared" si="23"/>
        <v>0</v>
      </c>
      <c r="AG99" s="58">
        <f t="shared" si="24"/>
        <v>0</v>
      </c>
      <c r="AH99" s="47"/>
      <c r="AJ99" s="47"/>
      <c r="AL99" s="47"/>
      <c r="AM99" s="47" t="str">
        <f t="shared" si="25"/>
        <v/>
      </c>
    </row>
    <row r="100" spans="1:39" s="56" customFormat="1" ht="14.25">
      <c r="A100" s="44"/>
      <c r="B100" s="45"/>
      <c r="C100" s="46">
        <f>IF(B100&lt;&gt;"",VLOOKUP(B100,'Tipo Projeto'!$A$3:$B$35,2,0),0)</f>
        <v>0</v>
      </c>
      <c r="D100" s="47"/>
      <c r="E100" s="47"/>
      <c r="F100" s="48"/>
      <c r="G100" s="47"/>
      <c r="H100" s="49"/>
      <c r="I100" s="50"/>
      <c r="J100" s="51"/>
      <c r="K100" s="52"/>
      <c r="L100" s="53" t="str">
        <f t="shared" si="13"/>
        <v/>
      </c>
      <c r="M100" s="48" t="str">
        <f t="shared" si="14"/>
        <v/>
      </c>
      <c r="N100" s="54" t="str">
        <f t="shared" si="15"/>
        <v/>
      </c>
      <c r="O100" s="55">
        <f t="shared" si="16"/>
        <v>0</v>
      </c>
      <c r="P100" s="55">
        <f t="shared" si="17"/>
        <v>0</v>
      </c>
      <c r="Q100" s="54">
        <f t="shared" si="18"/>
        <v>0</v>
      </c>
      <c r="R100" s="47"/>
      <c r="T100" s="57"/>
      <c r="U100" s="45"/>
      <c r="V100" s="46">
        <f>IF(U100&lt;&gt;"",VLOOKUP(U100,'Tipo Projeto'!$A$3:$B$35,2,0),0)</f>
        <v>0</v>
      </c>
      <c r="W100" s="203"/>
      <c r="X100" s="49"/>
      <c r="Y100" s="50"/>
      <c r="Z100" s="51"/>
      <c r="AA100" s="52"/>
      <c r="AB100" s="53" t="str">
        <f t="shared" si="19"/>
        <v/>
      </c>
      <c r="AC100" s="48" t="str">
        <f t="shared" si="20"/>
        <v/>
      </c>
      <c r="AD100" s="54" t="str">
        <f t="shared" si="21"/>
        <v/>
      </c>
      <c r="AE100" s="55">
        <f t="shared" si="22"/>
        <v>0</v>
      </c>
      <c r="AF100" s="55">
        <f t="shared" si="23"/>
        <v>0</v>
      </c>
      <c r="AG100" s="58">
        <f t="shared" si="24"/>
        <v>0</v>
      </c>
      <c r="AH100" s="47"/>
      <c r="AJ100" s="47"/>
      <c r="AL100" s="47"/>
      <c r="AM100" s="47" t="str">
        <f t="shared" si="25"/>
        <v/>
      </c>
    </row>
    <row r="101" spans="1:39" s="56" customFormat="1" ht="14.25">
      <c r="A101" s="44"/>
      <c r="B101" s="45"/>
      <c r="C101" s="46">
        <f>IF(B101&lt;&gt;"",VLOOKUP(B101,'Tipo Projeto'!$A$3:$B$35,2,0),0)</f>
        <v>0</v>
      </c>
      <c r="D101" s="47"/>
      <c r="E101" s="47"/>
      <c r="F101" s="48"/>
      <c r="G101" s="47"/>
      <c r="H101" s="49"/>
      <c r="I101" s="50"/>
      <c r="J101" s="51"/>
      <c r="K101" s="52"/>
      <c r="L101" s="53" t="str">
        <f t="shared" si="13"/>
        <v/>
      </c>
      <c r="M101" s="48" t="str">
        <f t="shared" si="14"/>
        <v/>
      </c>
      <c r="N101" s="54" t="str">
        <f t="shared" si="15"/>
        <v/>
      </c>
      <c r="O101" s="55">
        <f t="shared" si="16"/>
        <v>0</v>
      </c>
      <c r="P101" s="55">
        <f t="shared" si="17"/>
        <v>0</v>
      </c>
      <c r="Q101" s="54">
        <f t="shared" si="18"/>
        <v>0</v>
      </c>
      <c r="R101" s="47"/>
      <c r="T101" s="57"/>
      <c r="U101" s="45"/>
      <c r="V101" s="46">
        <f>IF(U101&lt;&gt;"",VLOOKUP(U101,'Tipo Projeto'!$A$3:$B$35,2,0),0)</f>
        <v>0</v>
      </c>
      <c r="W101" s="203"/>
      <c r="X101" s="49"/>
      <c r="Y101" s="50"/>
      <c r="Z101" s="51"/>
      <c r="AA101" s="52"/>
      <c r="AB101" s="53" t="str">
        <f t="shared" si="19"/>
        <v/>
      </c>
      <c r="AC101" s="48" t="str">
        <f t="shared" si="20"/>
        <v/>
      </c>
      <c r="AD101" s="54" t="str">
        <f t="shared" si="21"/>
        <v/>
      </c>
      <c r="AE101" s="55">
        <f t="shared" si="22"/>
        <v>0</v>
      </c>
      <c r="AF101" s="55">
        <f t="shared" si="23"/>
        <v>0</v>
      </c>
      <c r="AG101" s="58">
        <f t="shared" si="24"/>
        <v>0</v>
      </c>
      <c r="AH101" s="47"/>
      <c r="AJ101" s="47"/>
      <c r="AL101" s="47"/>
      <c r="AM101" s="47" t="str">
        <f t="shared" si="25"/>
        <v/>
      </c>
    </row>
    <row r="102" spans="1:39" s="56" customFormat="1" ht="14.25">
      <c r="A102" s="44"/>
      <c r="B102" s="45"/>
      <c r="C102" s="46">
        <f>IF(B102&lt;&gt;"",VLOOKUP(B102,'Tipo Projeto'!$A$3:$B$35,2,0),0)</f>
        <v>0</v>
      </c>
      <c r="D102" s="47"/>
      <c r="E102" s="47"/>
      <c r="F102" s="48"/>
      <c r="G102" s="47"/>
      <c r="H102" s="49"/>
      <c r="I102" s="50"/>
      <c r="J102" s="51"/>
      <c r="K102" s="52"/>
      <c r="L102" s="53" t="str">
        <f t="shared" si="13"/>
        <v/>
      </c>
      <c r="M102" s="48" t="str">
        <f t="shared" si="14"/>
        <v/>
      </c>
      <c r="N102" s="54" t="str">
        <f t="shared" si="15"/>
        <v/>
      </c>
      <c r="O102" s="55">
        <f t="shared" si="16"/>
        <v>0</v>
      </c>
      <c r="P102" s="55">
        <f t="shared" si="17"/>
        <v>0</v>
      </c>
      <c r="Q102" s="54">
        <f t="shared" si="18"/>
        <v>0</v>
      </c>
      <c r="R102" s="47"/>
      <c r="T102" s="57"/>
      <c r="U102" s="45"/>
      <c r="V102" s="46">
        <f>IF(U102&lt;&gt;"",VLOOKUP(U102,'Tipo Projeto'!$A$3:$B$35,2,0),0)</f>
        <v>0</v>
      </c>
      <c r="W102" s="203"/>
      <c r="X102" s="49"/>
      <c r="Y102" s="50"/>
      <c r="Z102" s="51"/>
      <c r="AA102" s="52"/>
      <c r="AB102" s="53" t="str">
        <f t="shared" si="19"/>
        <v/>
      </c>
      <c r="AC102" s="48" t="str">
        <f t="shared" si="20"/>
        <v/>
      </c>
      <c r="AD102" s="54" t="str">
        <f t="shared" si="21"/>
        <v/>
      </c>
      <c r="AE102" s="55">
        <f t="shared" si="22"/>
        <v>0</v>
      </c>
      <c r="AF102" s="55">
        <f t="shared" si="23"/>
        <v>0</v>
      </c>
      <c r="AG102" s="58">
        <f t="shared" si="24"/>
        <v>0</v>
      </c>
      <c r="AH102" s="47"/>
      <c r="AJ102" s="47"/>
      <c r="AL102" s="47"/>
      <c r="AM102" s="47" t="str">
        <f t="shared" si="25"/>
        <v/>
      </c>
    </row>
    <row r="103" spans="1:39" s="56" customFormat="1" ht="14.25">
      <c r="A103" s="44"/>
      <c r="B103" s="45"/>
      <c r="C103" s="46">
        <f>IF(B103&lt;&gt;"",VLOOKUP(B103,'Tipo Projeto'!$A$3:$B$35,2,0),0)</f>
        <v>0</v>
      </c>
      <c r="D103" s="47"/>
      <c r="E103" s="47"/>
      <c r="F103" s="48"/>
      <c r="G103" s="47"/>
      <c r="H103" s="49"/>
      <c r="I103" s="50"/>
      <c r="J103" s="51"/>
      <c r="K103" s="52"/>
      <c r="L103" s="53" t="str">
        <f t="shared" si="13"/>
        <v/>
      </c>
      <c r="M103" s="48" t="str">
        <f t="shared" si="14"/>
        <v/>
      </c>
      <c r="N103" s="54" t="str">
        <f t="shared" si="15"/>
        <v/>
      </c>
      <c r="O103" s="55">
        <f t="shared" si="16"/>
        <v>0</v>
      </c>
      <c r="P103" s="55">
        <f t="shared" si="17"/>
        <v>0</v>
      </c>
      <c r="Q103" s="54">
        <f t="shared" si="18"/>
        <v>0</v>
      </c>
      <c r="R103" s="47"/>
      <c r="T103" s="57"/>
      <c r="U103" s="45"/>
      <c r="V103" s="46">
        <f>IF(U103&lt;&gt;"",VLOOKUP(U103,'Tipo Projeto'!$A$3:$B$35,2,0),0)</f>
        <v>0</v>
      </c>
      <c r="W103" s="203"/>
      <c r="X103" s="49"/>
      <c r="Y103" s="50"/>
      <c r="Z103" s="51"/>
      <c r="AA103" s="52"/>
      <c r="AB103" s="53" t="str">
        <f t="shared" si="19"/>
        <v/>
      </c>
      <c r="AC103" s="48" t="str">
        <f t="shared" si="20"/>
        <v/>
      </c>
      <c r="AD103" s="54" t="str">
        <f t="shared" si="21"/>
        <v/>
      </c>
      <c r="AE103" s="55">
        <f t="shared" si="22"/>
        <v>0</v>
      </c>
      <c r="AF103" s="55">
        <f t="shared" si="23"/>
        <v>0</v>
      </c>
      <c r="AG103" s="58">
        <f t="shared" si="24"/>
        <v>0</v>
      </c>
      <c r="AH103" s="47"/>
      <c r="AJ103" s="47"/>
      <c r="AL103" s="47"/>
      <c r="AM103" s="47" t="str">
        <f t="shared" si="25"/>
        <v/>
      </c>
    </row>
    <row r="104" spans="1:39" s="56" customFormat="1" ht="14.25">
      <c r="A104" s="44"/>
      <c r="B104" s="45"/>
      <c r="C104" s="46">
        <f>IF(B104&lt;&gt;"",VLOOKUP(B104,'Tipo Projeto'!$A$3:$B$35,2,0),0)</f>
        <v>0</v>
      </c>
      <c r="D104" s="47"/>
      <c r="E104" s="47"/>
      <c r="F104" s="48"/>
      <c r="G104" s="47"/>
      <c r="H104" s="49"/>
      <c r="I104" s="50"/>
      <c r="J104" s="51"/>
      <c r="K104" s="52"/>
      <c r="L104" s="53" t="str">
        <f t="shared" si="13"/>
        <v/>
      </c>
      <c r="M104" s="48" t="str">
        <f t="shared" si="14"/>
        <v/>
      </c>
      <c r="N104" s="54" t="str">
        <f t="shared" si="15"/>
        <v/>
      </c>
      <c r="O104" s="55">
        <f t="shared" si="16"/>
        <v>0</v>
      </c>
      <c r="P104" s="55">
        <f t="shared" si="17"/>
        <v>0</v>
      </c>
      <c r="Q104" s="54">
        <f t="shared" si="18"/>
        <v>0</v>
      </c>
      <c r="R104" s="47"/>
      <c r="T104" s="57"/>
      <c r="U104" s="45"/>
      <c r="V104" s="46">
        <f>IF(U104&lt;&gt;"",VLOOKUP(U104,'Tipo Projeto'!$A$3:$B$35,2,0),0)</f>
        <v>0</v>
      </c>
      <c r="W104" s="203"/>
      <c r="X104" s="49"/>
      <c r="Y104" s="50"/>
      <c r="Z104" s="51"/>
      <c r="AA104" s="52"/>
      <c r="AB104" s="53" t="str">
        <f t="shared" si="19"/>
        <v/>
      </c>
      <c r="AC104" s="48" t="str">
        <f t="shared" si="20"/>
        <v/>
      </c>
      <c r="AD104" s="54" t="str">
        <f t="shared" si="21"/>
        <v/>
      </c>
      <c r="AE104" s="55">
        <f t="shared" si="22"/>
        <v>0</v>
      </c>
      <c r="AF104" s="55">
        <f t="shared" si="23"/>
        <v>0</v>
      </c>
      <c r="AG104" s="58">
        <f t="shared" si="24"/>
        <v>0</v>
      </c>
      <c r="AH104" s="47"/>
      <c r="AJ104" s="47"/>
      <c r="AL104" s="47"/>
      <c r="AM104" s="47" t="str">
        <f t="shared" si="25"/>
        <v/>
      </c>
    </row>
    <row r="105" spans="1:39" s="56" customFormat="1" ht="14.25">
      <c r="A105" s="44"/>
      <c r="B105" s="45"/>
      <c r="C105" s="46">
        <f>IF(B105&lt;&gt;"",VLOOKUP(B105,'Tipo Projeto'!$A$3:$B$35,2,0),0)</f>
        <v>0</v>
      </c>
      <c r="D105" s="47"/>
      <c r="E105" s="47"/>
      <c r="F105" s="48"/>
      <c r="G105" s="47"/>
      <c r="H105" s="49"/>
      <c r="I105" s="50"/>
      <c r="J105" s="51"/>
      <c r="K105" s="52"/>
      <c r="L105" s="53" t="str">
        <f t="shared" si="13"/>
        <v/>
      </c>
      <c r="M105" s="48" t="str">
        <f t="shared" si="14"/>
        <v/>
      </c>
      <c r="N105" s="54" t="str">
        <f t="shared" si="15"/>
        <v/>
      </c>
      <c r="O105" s="55">
        <f t="shared" si="16"/>
        <v>0</v>
      </c>
      <c r="P105" s="55">
        <f t="shared" si="17"/>
        <v>0</v>
      </c>
      <c r="Q105" s="54">
        <f t="shared" si="18"/>
        <v>0</v>
      </c>
      <c r="R105" s="47"/>
      <c r="T105" s="57"/>
      <c r="U105" s="45"/>
      <c r="V105" s="46">
        <f>IF(U105&lt;&gt;"",VLOOKUP(U105,'Tipo Projeto'!$A$3:$B$35,2,0),0)</f>
        <v>0</v>
      </c>
      <c r="W105" s="203"/>
      <c r="X105" s="49"/>
      <c r="Y105" s="50"/>
      <c r="Z105" s="51"/>
      <c r="AA105" s="52"/>
      <c r="AB105" s="53" t="str">
        <f t="shared" si="19"/>
        <v/>
      </c>
      <c r="AC105" s="48" t="str">
        <f t="shared" si="20"/>
        <v/>
      </c>
      <c r="AD105" s="54" t="str">
        <f t="shared" si="21"/>
        <v/>
      </c>
      <c r="AE105" s="55">
        <f t="shared" si="22"/>
        <v>0</v>
      </c>
      <c r="AF105" s="55">
        <f t="shared" si="23"/>
        <v>0</v>
      </c>
      <c r="AG105" s="58">
        <f t="shared" si="24"/>
        <v>0</v>
      </c>
      <c r="AH105" s="47"/>
      <c r="AJ105" s="47"/>
      <c r="AL105" s="47"/>
      <c r="AM105" s="47" t="str">
        <f t="shared" si="25"/>
        <v/>
      </c>
    </row>
    <row r="106" spans="1:39" s="56" customFormat="1" ht="14.25">
      <c r="A106" s="44"/>
      <c r="B106" s="45"/>
      <c r="C106" s="46">
        <f>IF(B106&lt;&gt;"",VLOOKUP(B106,'Tipo Projeto'!$A$3:$B$35,2,0),0)</f>
        <v>0</v>
      </c>
      <c r="D106" s="47"/>
      <c r="E106" s="47"/>
      <c r="F106" s="48"/>
      <c r="G106" s="47"/>
      <c r="H106" s="49"/>
      <c r="I106" s="50"/>
      <c r="J106" s="51"/>
      <c r="K106" s="52"/>
      <c r="L106" s="53" t="str">
        <f t="shared" si="13"/>
        <v/>
      </c>
      <c r="M106" s="48" t="str">
        <f t="shared" si="14"/>
        <v/>
      </c>
      <c r="N106" s="54" t="str">
        <f t="shared" si="15"/>
        <v/>
      </c>
      <c r="O106" s="55">
        <f t="shared" si="16"/>
        <v>0</v>
      </c>
      <c r="P106" s="55">
        <f t="shared" si="17"/>
        <v>0</v>
      </c>
      <c r="Q106" s="54">
        <f t="shared" si="18"/>
        <v>0</v>
      </c>
      <c r="R106" s="47"/>
      <c r="T106" s="57"/>
      <c r="U106" s="45"/>
      <c r="V106" s="46">
        <f>IF(U106&lt;&gt;"",VLOOKUP(U106,'Tipo Projeto'!$A$3:$B$35,2,0),0)</f>
        <v>0</v>
      </c>
      <c r="W106" s="203"/>
      <c r="X106" s="49"/>
      <c r="Y106" s="50"/>
      <c r="Z106" s="51"/>
      <c r="AA106" s="52"/>
      <c r="AB106" s="53" t="str">
        <f t="shared" si="19"/>
        <v/>
      </c>
      <c r="AC106" s="48" t="str">
        <f t="shared" si="20"/>
        <v/>
      </c>
      <c r="AD106" s="54" t="str">
        <f t="shared" si="21"/>
        <v/>
      </c>
      <c r="AE106" s="55">
        <f t="shared" si="22"/>
        <v>0</v>
      </c>
      <c r="AF106" s="55">
        <f t="shared" si="23"/>
        <v>0</v>
      </c>
      <c r="AG106" s="58">
        <f t="shared" si="24"/>
        <v>0</v>
      </c>
      <c r="AH106" s="47"/>
      <c r="AJ106" s="47"/>
      <c r="AL106" s="47"/>
      <c r="AM106" s="47" t="str">
        <f t="shared" si="25"/>
        <v/>
      </c>
    </row>
    <row r="107" spans="1:39" s="56" customFormat="1" ht="14.25">
      <c r="A107" s="44"/>
      <c r="B107" s="45"/>
      <c r="C107" s="46">
        <f>IF(B107&lt;&gt;"",VLOOKUP(B107,'Tipo Projeto'!$A$3:$B$35,2,0),0)</f>
        <v>0</v>
      </c>
      <c r="D107" s="47"/>
      <c r="E107" s="47"/>
      <c r="F107" s="48"/>
      <c r="G107" s="47"/>
      <c r="H107" s="49"/>
      <c r="I107" s="50"/>
      <c r="J107" s="51"/>
      <c r="K107" s="52"/>
      <c r="L107" s="53" t="str">
        <f t="shared" si="13"/>
        <v/>
      </c>
      <c r="M107" s="48" t="str">
        <f t="shared" si="14"/>
        <v/>
      </c>
      <c r="N107" s="54" t="str">
        <f t="shared" si="15"/>
        <v/>
      </c>
      <c r="O107" s="55">
        <f t="shared" si="16"/>
        <v>0</v>
      </c>
      <c r="P107" s="55">
        <f t="shared" si="17"/>
        <v>0</v>
      </c>
      <c r="Q107" s="54">
        <f t="shared" si="18"/>
        <v>0</v>
      </c>
      <c r="R107" s="47"/>
      <c r="T107" s="57"/>
      <c r="U107" s="45"/>
      <c r="V107" s="46">
        <f>IF(U107&lt;&gt;"",VLOOKUP(U107,'Tipo Projeto'!$A$3:$B$35,2,0),0)</f>
        <v>0</v>
      </c>
      <c r="W107" s="203"/>
      <c r="X107" s="49"/>
      <c r="Y107" s="50"/>
      <c r="Z107" s="51"/>
      <c r="AA107" s="52"/>
      <c r="AB107" s="53" t="str">
        <f t="shared" si="19"/>
        <v/>
      </c>
      <c r="AC107" s="48" t="str">
        <f t="shared" si="20"/>
        <v/>
      </c>
      <c r="AD107" s="54" t="str">
        <f t="shared" si="21"/>
        <v/>
      </c>
      <c r="AE107" s="55">
        <f t="shared" si="22"/>
        <v>0</v>
      </c>
      <c r="AF107" s="55">
        <f t="shared" si="23"/>
        <v>0</v>
      </c>
      <c r="AG107" s="58">
        <f t="shared" si="24"/>
        <v>0</v>
      </c>
      <c r="AH107" s="47"/>
      <c r="AJ107" s="47"/>
      <c r="AL107" s="47"/>
      <c r="AM107" s="47" t="str">
        <f t="shared" si="25"/>
        <v/>
      </c>
    </row>
    <row r="108" spans="1:39" s="56" customFormat="1" ht="14.25">
      <c r="A108" s="44"/>
      <c r="B108" s="45"/>
      <c r="C108" s="46">
        <f>IF(B108&lt;&gt;"",VLOOKUP(B108,'Tipo Projeto'!$A$3:$B$35,2,0),0)</f>
        <v>0</v>
      </c>
      <c r="D108" s="47"/>
      <c r="E108" s="47"/>
      <c r="F108" s="48"/>
      <c r="G108" s="47"/>
      <c r="H108" s="49"/>
      <c r="I108" s="50"/>
      <c r="J108" s="51"/>
      <c r="K108" s="52"/>
      <c r="L108" s="53" t="str">
        <f t="shared" si="13"/>
        <v/>
      </c>
      <c r="M108" s="48" t="str">
        <f t="shared" si="14"/>
        <v/>
      </c>
      <c r="N108" s="54" t="str">
        <f t="shared" si="15"/>
        <v/>
      </c>
      <c r="O108" s="55">
        <f t="shared" si="16"/>
        <v>0</v>
      </c>
      <c r="P108" s="55">
        <f t="shared" si="17"/>
        <v>0</v>
      </c>
      <c r="Q108" s="54">
        <f t="shared" si="18"/>
        <v>0</v>
      </c>
      <c r="R108" s="47"/>
      <c r="T108" s="57"/>
      <c r="U108" s="45"/>
      <c r="V108" s="46">
        <f>IF(U108&lt;&gt;"",VLOOKUP(U108,'Tipo Projeto'!$A$3:$B$35,2,0),0)</f>
        <v>0</v>
      </c>
      <c r="W108" s="203"/>
      <c r="X108" s="49"/>
      <c r="Y108" s="50"/>
      <c r="Z108" s="51"/>
      <c r="AA108" s="52"/>
      <c r="AB108" s="53" t="str">
        <f t="shared" si="19"/>
        <v/>
      </c>
      <c r="AC108" s="48" t="str">
        <f t="shared" si="20"/>
        <v/>
      </c>
      <c r="AD108" s="54" t="str">
        <f t="shared" si="21"/>
        <v/>
      </c>
      <c r="AE108" s="55">
        <f t="shared" si="22"/>
        <v>0</v>
      </c>
      <c r="AF108" s="55">
        <f t="shared" si="23"/>
        <v>0</v>
      </c>
      <c r="AG108" s="58">
        <f t="shared" si="24"/>
        <v>0</v>
      </c>
      <c r="AH108" s="47"/>
      <c r="AJ108" s="47"/>
      <c r="AL108" s="47"/>
      <c r="AM108" s="47" t="str">
        <f t="shared" si="25"/>
        <v/>
      </c>
    </row>
    <row r="109" spans="1:39" s="56" customFormat="1" ht="14.25">
      <c r="A109" s="44"/>
      <c r="B109" s="45"/>
      <c r="C109" s="46">
        <f>IF(B109&lt;&gt;"",VLOOKUP(B109,'Tipo Projeto'!$A$3:$B$35,2,0),0)</f>
        <v>0</v>
      </c>
      <c r="D109" s="47"/>
      <c r="E109" s="47"/>
      <c r="F109" s="48"/>
      <c r="G109" s="47"/>
      <c r="H109" s="49"/>
      <c r="I109" s="50"/>
      <c r="J109" s="51"/>
      <c r="K109" s="52"/>
      <c r="L109" s="53" t="str">
        <f t="shared" si="13"/>
        <v/>
      </c>
      <c r="M109" s="48" t="str">
        <f t="shared" si="14"/>
        <v/>
      </c>
      <c r="N109" s="54" t="str">
        <f t="shared" si="15"/>
        <v/>
      </c>
      <c r="O109" s="55">
        <f t="shared" si="16"/>
        <v>0</v>
      </c>
      <c r="P109" s="55">
        <f t="shared" si="17"/>
        <v>0</v>
      </c>
      <c r="Q109" s="54">
        <f t="shared" si="18"/>
        <v>0</v>
      </c>
      <c r="R109" s="47"/>
      <c r="T109" s="57"/>
      <c r="U109" s="45"/>
      <c r="V109" s="46">
        <f>IF(U109&lt;&gt;"",VLOOKUP(U109,'Tipo Projeto'!$A$3:$B$35,2,0),0)</f>
        <v>0</v>
      </c>
      <c r="W109" s="203"/>
      <c r="X109" s="49"/>
      <c r="Y109" s="50"/>
      <c r="Z109" s="51"/>
      <c r="AA109" s="52"/>
      <c r="AB109" s="53" t="str">
        <f t="shared" si="19"/>
        <v/>
      </c>
      <c r="AC109" s="48" t="str">
        <f t="shared" si="20"/>
        <v/>
      </c>
      <c r="AD109" s="54" t="str">
        <f t="shared" si="21"/>
        <v/>
      </c>
      <c r="AE109" s="55">
        <f t="shared" si="22"/>
        <v>0</v>
      </c>
      <c r="AF109" s="55">
        <f t="shared" si="23"/>
        <v>0</v>
      </c>
      <c r="AG109" s="58">
        <f t="shared" si="24"/>
        <v>0</v>
      </c>
      <c r="AH109" s="47"/>
      <c r="AJ109" s="47"/>
      <c r="AL109" s="47"/>
      <c r="AM109" s="47" t="str">
        <f t="shared" si="25"/>
        <v/>
      </c>
    </row>
    <row r="110" spans="1:39" s="56" customFormat="1" ht="14.25">
      <c r="A110" s="44"/>
      <c r="B110" s="45"/>
      <c r="C110" s="46">
        <f>IF(B110&lt;&gt;"",VLOOKUP(B110,'Tipo Projeto'!$A$3:$B$35,2,0),0)</f>
        <v>0</v>
      </c>
      <c r="D110" s="47"/>
      <c r="E110" s="47"/>
      <c r="F110" s="48"/>
      <c r="G110" s="47"/>
      <c r="H110" s="49"/>
      <c r="I110" s="50"/>
      <c r="J110" s="51"/>
      <c r="K110" s="52"/>
      <c r="L110" s="53" t="str">
        <f t="shared" si="13"/>
        <v/>
      </c>
      <c r="M110" s="48" t="str">
        <f t="shared" si="14"/>
        <v/>
      </c>
      <c r="N110" s="54" t="str">
        <f t="shared" si="15"/>
        <v/>
      </c>
      <c r="O110" s="55">
        <f t="shared" si="16"/>
        <v>0</v>
      </c>
      <c r="P110" s="55">
        <f t="shared" si="17"/>
        <v>0</v>
      </c>
      <c r="Q110" s="54">
        <f t="shared" si="18"/>
        <v>0</v>
      </c>
      <c r="R110" s="47"/>
      <c r="T110" s="57"/>
      <c r="U110" s="45"/>
      <c r="V110" s="46">
        <f>IF(U110&lt;&gt;"",VLOOKUP(U110,'Tipo Projeto'!$A$3:$B$35,2,0),0)</f>
        <v>0</v>
      </c>
      <c r="W110" s="203"/>
      <c r="X110" s="49"/>
      <c r="Y110" s="50"/>
      <c r="Z110" s="51"/>
      <c r="AA110" s="52"/>
      <c r="AB110" s="53" t="str">
        <f t="shared" si="19"/>
        <v/>
      </c>
      <c r="AC110" s="48" t="str">
        <f t="shared" si="20"/>
        <v/>
      </c>
      <c r="AD110" s="54" t="str">
        <f t="shared" si="21"/>
        <v/>
      </c>
      <c r="AE110" s="55">
        <f t="shared" si="22"/>
        <v>0</v>
      </c>
      <c r="AF110" s="55">
        <f t="shared" si="23"/>
        <v>0</v>
      </c>
      <c r="AG110" s="58">
        <f t="shared" si="24"/>
        <v>0</v>
      </c>
      <c r="AH110" s="47"/>
      <c r="AJ110" s="47"/>
      <c r="AL110" s="47"/>
      <c r="AM110" s="47" t="str">
        <f t="shared" si="25"/>
        <v/>
      </c>
    </row>
    <row r="111" spans="1:39" s="56" customFormat="1" ht="14.25">
      <c r="A111" s="44"/>
      <c r="B111" s="45"/>
      <c r="C111" s="46">
        <f>IF(B111&lt;&gt;"",VLOOKUP(B111,'Tipo Projeto'!$A$3:$B$35,2,0),0)</f>
        <v>0</v>
      </c>
      <c r="D111" s="47"/>
      <c r="E111" s="47"/>
      <c r="F111" s="48"/>
      <c r="G111" s="47"/>
      <c r="H111" s="49"/>
      <c r="I111" s="50"/>
      <c r="J111" s="51"/>
      <c r="K111" s="52"/>
      <c r="L111" s="53" t="str">
        <f t="shared" si="13"/>
        <v/>
      </c>
      <c r="M111" s="48" t="str">
        <f t="shared" si="14"/>
        <v/>
      </c>
      <c r="N111" s="54" t="str">
        <f t="shared" si="15"/>
        <v/>
      </c>
      <c r="O111" s="55">
        <f t="shared" si="16"/>
        <v>0</v>
      </c>
      <c r="P111" s="55">
        <f t="shared" si="17"/>
        <v>0</v>
      </c>
      <c r="Q111" s="54">
        <f t="shared" si="18"/>
        <v>0</v>
      </c>
      <c r="R111" s="47"/>
      <c r="T111" s="57"/>
      <c r="U111" s="45"/>
      <c r="V111" s="46">
        <f>IF(U111&lt;&gt;"",VLOOKUP(U111,'Tipo Projeto'!$A$3:$B$35,2,0),0)</f>
        <v>0</v>
      </c>
      <c r="W111" s="203"/>
      <c r="X111" s="49"/>
      <c r="Y111" s="50"/>
      <c r="Z111" s="51"/>
      <c r="AA111" s="52"/>
      <c r="AB111" s="53" t="str">
        <f t="shared" si="19"/>
        <v/>
      </c>
      <c r="AC111" s="48" t="str">
        <f t="shared" si="20"/>
        <v/>
      </c>
      <c r="AD111" s="54" t="str">
        <f t="shared" si="21"/>
        <v/>
      </c>
      <c r="AE111" s="55">
        <f t="shared" si="22"/>
        <v>0</v>
      </c>
      <c r="AF111" s="55">
        <f t="shared" si="23"/>
        <v>0</v>
      </c>
      <c r="AG111" s="58">
        <f t="shared" si="24"/>
        <v>0</v>
      </c>
      <c r="AH111" s="47"/>
      <c r="AJ111" s="47"/>
      <c r="AL111" s="47"/>
      <c r="AM111" s="47" t="str">
        <f t="shared" si="25"/>
        <v/>
      </c>
    </row>
    <row r="112" spans="1:39" s="56" customFormat="1" ht="14.25">
      <c r="A112" s="44"/>
      <c r="B112" s="45"/>
      <c r="C112" s="46">
        <f>IF(B112&lt;&gt;"",VLOOKUP(B112,'Tipo Projeto'!$A$3:$B$35,2,0),0)</f>
        <v>0</v>
      </c>
      <c r="D112" s="47"/>
      <c r="E112" s="47"/>
      <c r="F112" s="48"/>
      <c r="G112" s="47"/>
      <c r="H112" s="49"/>
      <c r="I112" s="50"/>
      <c r="J112" s="51"/>
      <c r="K112" s="52"/>
      <c r="L112" s="53" t="str">
        <f t="shared" si="13"/>
        <v/>
      </c>
      <c r="M112" s="48" t="str">
        <f t="shared" si="14"/>
        <v/>
      </c>
      <c r="N112" s="54" t="str">
        <f t="shared" si="15"/>
        <v/>
      </c>
      <c r="O112" s="55">
        <f t="shared" si="16"/>
        <v>0</v>
      </c>
      <c r="P112" s="55">
        <f t="shared" si="17"/>
        <v>0</v>
      </c>
      <c r="Q112" s="54">
        <f t="shared" si="18"/>
        <v>0</v>
      </c>
      <c r="R112" s="47"/>
      <c r="T112" s="57"/>
      <c r="U112" s="45"/>
      <c r="V112" s="46">
        <f>IF(U112&lt;&gt;"",VLOOKUP(U112,'Tipo Projeto'!$A$3:$B$35,2,0),0)</f>
        <v>0</v>
      </c>
      <c r="W112" s="203"/>
      <c r="X112" s="49"/>
      <c r="Y112" s="50"/>
      <c r="Z112" s="51"/>
      <c r="AA112" s="52"/>
      <c r="AB112" s="53" t="str">
        <f t="shared" si="19"/>
        <v/>
      </c>
      <c r="AC112" s="48" t="str">
        <f t="shared" si="20"/>
        <v/>
      </c>
      <c r="AD112" s="54" t="str">
        <f t="shared" si="21"/>
        <v/>
      </c>
      <c r="AE112" s="55">
        <f t="shared" si="22"/>
        <v>0</v>
      </c>
      <c r="AF112" s="55">
        <f t="shared" si="23"/>
        <v>0</v>
      </c>
      <c r="AG112" s="58">
        <f t="shared" si="24"/>
        <v>0</v>
      </c>
      <c r="AH112" s="47"/>
      <c r="AJ112" s="47"/>
      <c r="AL112" s="47"/>
      <c r="AM112" s="47" t="str">
        <f t="shared" si="25"/>
        <v/>
      </c>
    </row>
    <row r="113" spans="1:39" s="56" customFormat="1" ht="14.25">
      <c r="A113" s="44"/>
      <c r="B113" s="45"/>
      <c r="C113" s="46">
        <f>IF(B113&lt;&gt;"",VLOOKUP(B113,'Tipo Projeto'!$A$3:$B$35,2,0),0)</f>
        <v>0</v>
      </c>
      <c r="D113" s="47"/>
      <c r="E113" s="47"/>
      <c r="F113" s="48"/>
      <c r="G113" s="47"/>
      <c r="H113" s="49"/>
      <c r="I113" s="50"/>
      <c r="J113" s="51"/>
      <c r="K113" s="52"/>
      <c r="L113" s="53" t="str">
        <f t="shared" si="13"/>
        <v/>
      </c>
      <c r="M113" s="48" t="str">
        <f t="shared" si="14"/>
        <v/>
      </c>
      <c r="N113" s="54" t="str">
        <f t="shared" si="15"/>
        <v/>
      </c>
      <c r="O113" s="55">
        <f t="shared" si="16"/>
        <v>0</v>
      </c>
      <c r="P113" s="55">
        <f t="shared" si="17"/>
        <v>0</v>
      </c>
      <c r="Q113" s="54">
        <f t="shared" si="18"/>
        <v>0</v>
      </c>
      <c r="R113" s="47"/>
      <c r="T113" s="57"/>
      <c r="U113" s="45"/>
      <c r="V113" s="46">
        <f>IF(U113&lt;&gt;"",VLOOKUP(U113,'Tipo Projeto'!$A$3:$B$35,2,0),0)</f>
        <v>0</v>
      </c>
      <c r="W113" s="203"/>
      <c r="X113" s="49"/>
      <c r="Y113" s="50"/>
      <c r="Z113" s="51"/>
      <c r="AA113" s="52"/>
      <c r="AB113" s="53" t="str">
        <f t="shared" si="19"/>
        <v/>
      </c>
      <c r="AC113" s="48" t="str">
        <f t="shared" si="20"/>
        <v/>
      </c>
      <c r="AD113" s="54" t="str">
        <f t="shared" si="21"/>
        <v/>
      </c>
      <c r="AE113" s="55">
        <f t="shared" si="22"/>
        <v>0</v>
      </c>
      <c r="AF113" s="55">
        <f t="shared" si="23"/>
        <v>0</v>
      </c>
      <c r="AG113" s="58">
        <f t="shared" si="24"/>
        <v>0</v>
      </c>
      <c r="AH113" s="47"/>
      <c r="AJ113" s="47"/>
      <c r="AL113" s="47"/>
      <c r="AM113" s="47" t="str">
        <f t="shared" si="25"/>
        <v/>
      </c>
    </row>
    <row r="114" spans="1:39" s="56" customFormat="1" ht="14.25">
      <c r="A114" s="44"/>
      <c r="B114" s="45"/>
      <c r="C114" s="46">
        <f>IF(B114&lt;&gt;"",VLOOKUP(B114,'Tipo Projeto'!$A$3:$B$35,2,0),0)</f>
        <v>0</v>
      </c>
      <c r="D114" s="47"/>
      <c r="E114" s="47"/>
      <c r="F114" s="48"/>
      <c r="G114" s="47"/>
      <c r="H114" s="49"/>
      <c r="I114" s="50"/>
      <c r="J114" s="51"/>
      <c r="K114" s="52"/>
      <c r="L114" s="53" t="str">
        <f t="shared" si="13"/>
        <v/>
      </c>
      <c r="M114" s="48" t="str">
        <f t="shared" si="14"/>
        <v/>
      </c>
      <c r="N114" s="54" t="str">
        <f t="shared" si="15"/>
        <v/>
      </c>
      <c r="O114" s="55">
        <f t="shared" si="16"/>
        <v>0</v>
      </c>
      <c r="P114" s="55">
        <f t="shared" si="17"/>
        <v>0</v>
      </c>
      <c r="Q114" s="54">
        <f t="shared" si="18"/>
        <v>0</v>
      </c>
      <c r="R114" s="47"/>
      <c r="T114" s="57"/>
      <c r="U114" s="45"/>
      <c r="V114" s="46">
        <f>IF(U114&lt;&gt;"",VLOOKUP(U114,'Tipo Projeto'!$A$3:$B$35,2,0),0)</f>
        <v>0</v>
      </c>
      <c r="W114" s="203"/>
      <c r="X114" s="49"/>
      <c r="Y114" s="50"/>
      <c r="Z114" s="51"/>
      <c r="AA114" s="52"/>
      <c r="AB114" s="53" t="str">
        <f t="shared" si="19"/>
        <v/>
      </c>
      <c r="AC114" s="48" t="str">
        <f t="shared" si="20"/>
        <v/>
      </c>
      <c r="AD114" s="54" t="str">
        <f t="shared" si="21"/>
        <v/>
      </c>
      <c r="AE114" s="55">
        <f t="shared" si="22"/>
        <v>0</v>
      </c>
      <c r="AF114" s="55">
        <f t="shared" si="23"/>
        <v>0</v>
      </c>
      <c r="AG114" s="58">
        <f t="shared" si="24"/>
        <v>0</v>
      </c>
      <c r="AH114" s="47"/>
      <c r="AJ114" s="47"/>
      <c r="AL114" s="47"/>
      <c r="AM114" s="47" t="str">
        <f t="shared" si="25"/>
        <v/>
      </c>
    </row>
    <row r="115" spans="1:39" s="56" customFormat="1" ht="14.25">
      <c r="A115" s="44"/>
      <c r="B115" s="45"/>
      <c r="C115" s="46">
        <f>IF(B115&lt;&gt;"",VLOOKUP(B115,'Tipo Projeto'!$A$3:$B$35,2,0),0)</f>
        <v>0</v>
      </c>
      <c r="D115" s="47"/>
      <c r="E115" s="47"/>
      <c r="F115" s="48"/>
      <c r="G115" s="47"/>
      <c r="H115" s="49"/>
      <c r="I115" s="50"/>
      <c r="J115" s="51"/>
      <c r="K115" s="52"/>
      <c r="L115" s="53" t="str">
        <f t="shared" si="13"/>
        <v/>
      </c>
      <c r="M115" s="48" t="str">
        <f t="shared" si="14"/>
        <v/>
      </c>
      <c r="N115" s="54" t="str">
        <f t="shared" si="15"/>
        <v/>
      </c>
      <c r="O115" s="55">
        <f t="shared" si="16"/>
        <v>0</v>
      </c>
      <c r="P115" s="55">
        <f t="shared" si="17"/>
        <v>0</v>
      </c>
      <c r="Q115" s="54">
        <f t="shared" si="18"/>
        <v>0</v>
      </c>
      <c r="R115" s="47"/>
      <c r="T115" s="57"/>
      <c r="U115" s="45"/>
      <c r="V115" s="46">
        <f>IF(U115&lt;&gt;"",VLOOKUP(U115,'Tipo Projeto'!$A$3:$B$35,2,0),0)</f>
        <v>0</v>
      </c>
      <c r="W115" s="203"/>
      <c r="X115" s="49"/>
      <c r="Y115" s="50"/>
      <c r="Z115" s="51"/>
      <c r="AA115" s="52"/>
      <c r="AB115" s="53" t="str">
        <f t="shared" si="19"/>
        <v/>
      </c>
      <c r="AC115" s="48" t="str">
        <f t="shared" si="20"/>
        <v/>
      </c>
      <c r="AD115" s="54" t="str">
        <f t="shared" si="21"/>
        <v/>
      </c>
      <c r="AE115" s="55">
        <f t="shared" si="22"/>
        <v>0</v>
      </c>
      <c r="AF115" s="55">
        <f t="shared" si="23"/>
        <v>0</v>
      </c>
      <c r="AG115" s="58">
        <f t="shared" si="24"/>
        <v>0</v>
      </c>
      <c r="AH115" s="47"/>
      <c r="AJ115" s="47"/>
      <c r="AL115" s="47"/>
      <c r="AM115" s="47" t="str">
        <f t="shared" si="25"/>
        <v/>
      </c>
    </row>
    <row r="116" spans="1:39" s="56" customFormat="1" ht="14.25">
      <c r="A116" s="44"/>
      <c r="B116" s="45"/>
      <c r="C116" s="46">
        <f>IF(B116&lt;&gt;"",VLOOKUP(B116,'Tipo Projeto'!$A$3:$B$35,2,0),0)</f>
        <v>0</v>
      </c>
      <c r="D116" s="47"/>
      <c r="E116" s="47"/>
      <c r="F116" s="48"/>
      <c r="G116" s="47"/>
      <c r="H116" s="49"/>
      <c r="I116" s="50"/>
      <c r="J116" s="51"/>
      <c r="K116" s="52"/>
      <c r="L116" s="53" t="str">
        <f t="shared" si="13"/>
        <v/>
      </c>
      <c r="M116" s="48" t="str">
        <f t="shared" si="14"/>
        <v/>
      </c>
      <c r="N116" s="54" t="str">
        <f t="shared" si="15"/>
        <v/>
      </c>
      <c r="O116" s="55">
        <f t="shared" si="16"/>
        <v>0</v>
      </c>
      <c r="P116" s="55">
        <f t="shared" si="17"/>
        <v>0</v>
      </c>
      <c r="Q116" s="54">
        <f t="shared" si="18"/>
        <v>0</v>
      </c>
      <c r="R116" s="47"/>
      <c r="T116" s="57"/>
      <c r="U116" s="45"/>
      <c r="V116" s="46">
        <f>IF(U116&lt;&gt;"",VLOOKUP(U116,'Tipo Projeto'!$A$3:$B$35,2,0),0)</f>
        <v>0</v>
      </c>
      <c r="W116" s="203"/>
      <c r="X116" s="49"/>
      <c r="Y116" s="50"/>
      <c r="Z116" s="51"/>
      <c r="AA116" s="52"/>
      <c r="AB116" s="53" t="str">
        <f t="shared" si="19"/>
        <v/>
      </c>
      <c r="AC116" s="48" t="str">
        <f t="shared" si="20"/>
        <v/>
      </c>
      <c r="AD116" s="54" t="str">
        <f t="shared" si="21"/>
        <v/>
      </c>
      <c r="AE116" s="55">
        <f t="shared" si="22"/>
        <v>0</v>
      </c>
      <c r="AF116" s="55">
        <f t="shared" si="23"/>
        <v>0</v>
      </c>
      <c r="AG116" s="58">
        <f t="shared" si="24"/>
        <v>0</v>
      </c>
      <c r="AH116" s="47"/>
      <c r="AJ116" s="47"/>
      <c r="AL116" s="47"/>
      <c r="AM116" s="47" t="str">
        <f t="shared" si="25"/>
        <v/>
      </c>
    </row>
    <row r="117" spans="1:39" s="56" customFormat="1" ht="14.25">
      <c r="A117" s="44"/>
      <c r="B117" s="45"/>
      <c r="C117" s="46">
        <f>IF(B117&lt;&gt;"",VLOOKUP(B117,'Tipo Projeto'!$A$3:$B$35,2,0),0)</f>
        <v>0</v>
      </c>
      <c r="D117" s="47"/>
      <c r="E117" s="47"/>
      <c r="F117" s="48"/>
      <c r="G117" s="47"/>
      <c r="H117" s="49"/>
      <c r="I117" s="50"/>
      <c r="J117" s="51"/>
      <c r="K117" s="52"/>
      <c r="L117" s="53" t="str">
        <f t="shared" si="13"/>
        <v/>
      </c>
      <c r="M117" s="48" t="str">
        <f t="shared" si="14"/>
        <v/>
      </c>
      <c r="N117" s="54" t="str">
        <f t="shared" si="15"/>
        <v/>
      </c>
      <c r="O117" s="55">
        <f t="shared" si="16"/>
        <v>0</v>
      </c>
      <c r="P117" s="55">
        <f t="shared" si="17"/>
        <v>0</v>
      </c>
      <c r="Q117" s="54">
        <f t="shared" si="18"/>
        <v>0</v>
      </c>
      <c r="R117" s="47"/>
      <c r="T117" s="57"/>
      <c r="U117" s="45"/>
      <c r="V117" s="46">
        <f>IF(U117&lt;&gt;"",VLOOKUP(U117,'Tipo Projeto'!$A$3:$B$35,2,0),0)</f>
        <v>0</v>
      </c>
      <c r="W117" s="203"/>
      <c r="X117" s="49"/>
      <c r="Y117" s="50"/>
      <c r="Z117" s="51"/>
      <c r="AA117" s="52"/>
      <c r="AB117" s="53" t="str">
        <f t="shared" si="19"/>
        <v/>
      </c>
      <c r="AC117" s="48" t="str">
        <f t="shared" si="20"/>
        <v/>
      </c>
      <c r="AD117" s="54" t="str">
        <f t="shared" si="21"/>
        <v/>
      </c>
      <c r="AE117" s="55">
        <f t="shared" si="22"/>
        <v>0</v>
      </c>
      <c r="AF117" s="55">
        <f t="shared" si="23"/>
        <v>0</v>
      </c>
      <c r="AG117" s="58">
        <f t="shared" si="24"/>
        <v>0</v>
      </c>
      <c r="AH117" s="47"/>
      <c r="AJ117" s="47"/>
      <c r="AL117" s="47"/>
      <c r="AM117" s="47" t="str">
        <f t="shared" si="25"/>
        <v/>
      </c>
    </row>
    <row r="118" spans="1:39" s="56" customFormat="1" ht="14.25">
      <c r="A118" s="44"/>
      <c r="B118" s="45"/>
      <c r="C118" s="46">
        <f>IF(B118&lt;&gt;"",VLOOKUP(B118,'Tipo Projeto'!$A$3:$B$35,2,0),0)</f>
        <v>0</v>
      </c>
      <c r="D118" s="47"/>
      <c r="E118" s="47"/>
      <c r="F118" s="48"/>
      <c r="G118" s="47"/>
      <c r="H118" s="49"/>
      <c r="I118" s="50"/>
      <c r="J118" s="51"/>
      <c r="K118" s="52"/>
      <c r="L118" s="53" t="str">
        <f t="shared" si="13"/>
        <v/>
      </c>
      <c r="M118" s="48" t="str">
        <f t="shared" si="14"/>
        <v/>
      </c>
      <c r="N118" s="54" t="str">
        <f t="shared" si="15"/>
        <v/>
      </c>
      <c r="O118" s="55">
        <f t="shared" si="16"/>
        <v>0</v>
      </c>
      <c r="P118" s="55">
        <f t="shared" si="17"/>
        <v>0</v>
      </c>
      <c r="Q118" s="54">
        <f t="shared" si="18"/>
        <v>0</v>
      </c>
      <c r="R118" s="47"/>
      <c r="T118" s="57"/>
      <c r="U118" s="45"/>
      <c r="V118" s="46">
        <f>IF(U118&lt;&gt;"",VLOOKUP(U118,'Tipo Projeto'!$A$3:$B$35,2,0),0)</f>
        <v>0</v>
      </c>
      <c r="W118" s="203"/>
      <c r="X118" s="49"/>
      <c r="Y118" s="50"/>
      <c r="Z118" s="51"/>
      <c r="AA118" s="52"/>
      <c r="AB118" s="53" t="str">
        <f t="shared" si="19"/>
        <v/>
      </c>
      <c r="AC118" s="48" t="str">
        <f t="shared" si="20"/>
        <v/>
      </c>
      <c r="AD118" s="54" t="str">
        <f t="shared" si="21"/>
        <v/>
      </c>
      <c r="AE118" s="55">
        <f t="shared" si="22"/>
        <v>0</v>
      </c>
      <c r="AF118" s="55">
        <f t="shared" si="23"/>
        <v>0</v>
      </c>
      <c r="AG118" s="58">
        <f t="shared" si="24"/>
        <v>0</v>
      </c>
      <c r="AH118" s="47"/>
      <c r="AJ118" s="47"/>
      <c r="AL118" s="47"/>
      <c r="AM118" s="47" t="str">
        <f t="shared" si="25"/>
        <v/>
      </c>
    </row>
    <row r="119" spans="1:39" s="56" customFormat="1" ht="14.25">
      <c r="A119" s="44"/>
      <c r="B119" s="45"/>
      <c r="C119" s="46">
        <f>IF(B119&lt;&gt;"",VLOOKUP(B119,'Tipo Projeto'!$A$3:$B$35,2,0),0)</f>
        <v>0</v>
      </c>
      <c r="D119" s="47"/>
      <c r="E119" s="47"/>
      <c r="F119" s="48"/>
      <c r="G119" s="47"/>
      <c r="H119" s="49"/>
      <c r="I119" s="50"/>
      <c r="J119" s="51"/>
      <c r="K119" s="52"/>
      <c r="L119" s="53" t="str">
        <f t="shared" si="13"/>
        <v/>
      </c>
      <c r="M119" s="48" t="str">
        <f t="shared" si="14"/>
        <v/>
      </c>
      <c r="N119" s="54" t="str">
        <f t="shared" si="15"/>
        <v/>
      </c>
      <c r="O119" s="55">
        <f t="shared" si="16"/>
        <v>0</v>
      </c>
      <c r="P119" s="55">
        <f t="shared" si="17"/>
        <v>0</v>
      </c>
      <c r="Q119" s="54">
        <f t="shared" si="18"/>
        <v>0</v>
      </c>
      <c r="R119" s="47"/>
      <c r="T119" s="57"/>
      <c r="U119" s="45"/>
      <c r="V119" s="46">
        <f>IF(U119&lt;&gt;"",VLOOKUP(U119,'Tipo Projeto'!$A$3:$B$35,2,0),0)</f>
        <v>0</v>
      </c>
      <c r="W119" s="203"/>
      <c r="X119" s="49"/>
      <c r="Y119" s="50"/>
      <c r="Z119" s="51"/>
      <c r="AA119" s="52"/>
      <c r="AB119" s="53" t="str">
        <f t="shared" si="19"/>
        <v/>
      </c>
      <c r="AC119" s="48" t="str">
        <f t="shared" si="20"/>
        <v/>
      </c>
      <c r="AD119" s="54" t="str">
        <f t="shared" si="21"/>
        <v/>
      </c>
      <c r="AE119" s="55">
        <f t="shared" si="22"/>
        <v>0</v>
      </c>
      <c r="AF119" s="55">
        <f t="shared" si="23"/>
        <v>0</v>
      </c>
      <c r="AG119" s="58">
        <f t="shared" si="24"/>
        <v>0</v>
      </c>
      <c r="AH119" s="47"/>
      <c r="AJ119" s="47"/>
      <c r="AL119" s="47"/>
      <c r="AM119" s="47" t="str">
        <f t="shared" si="25"/>
        <v/>
      </c>
    </row>
    <row r="120" spans="1:39" s="56" customFormat="1" ht="14.25">
      <c r="A120" s="44"/>
      <c r="B120" s="45"/>
      <c r="C120" s="46">
        <f>IF(B120&lt;&gt;"",VLOOKUP(B120,'Tipo Projeto'!$A$3:$B$35,2,0),0)</f>
        <v>0</v>
      </c>
      <c r="D120" s="47"/>
      <c r="E120" s="47"/>
      <c r="F120" s="48"/>
      <c r="G120" s="47"/>
      <c r="H120" s="49"/>
      <c r="I120" s="50"/>
      <c r="J120" s="51"/>
      <c r="K120" s="52"/>
      <c r="L120" s="53" t="str">
        <f t="shared" si="13"/>
        <v/>
      </c>
      <c r="M120" s="48" t="str">
        <f t="shared" si="14"/>
        <v/>
      </c>
      <c r="N120" s="54" t="str">
        <f t="shared" si="15"/>
        <v/>
      </c>
      <c r="O120" s="55">
        <f t="shared" si="16"/>
        <v>0</v>
      </c>
      <c r="P120" s="55">
        <f t="shared" si="17"/>
        <v>0</v>
      </c>
      <c r="Q120" s="54">
        <f t="shared" si="18"/>
        <v>0</v>
      </c>
      <c r="R120" s="47"/>
      <c r="T120" s="57"/>
      <c r="U120" s="45"/>
      <c r="V120" s="46">
        <f>IF(U120&lt;&gt;"",VLOOKUP(U120,'Tipo Projeto'!$A$3:$B$35,2,0),0)</f>
        <v>0</v>
      </c>
      <c r="W120" s="203"/>
      <c r="X120" s="49"/>
      <c r="Y120" s="50"/>
      <c r="Z120" s="51"/>
      <c r="AA120" s="52"/>
      <c r="AB120" s="53" t="str">
        <f t="shared" si="19"/>
        <v/>
      </c>
      <c r="AC120" s="48" t="str">
        <f t="shared" si="20"/>
        <v/>
      </c>
      <c r="AD120" s="54" t="str">
        <f t="shared" si="21"/>
        <v/>
      </c>
      <c r="AE120" s="55">
        <f t="shared" si="22"/>
        <v>0</v>
      </c>
      <c r="AF120" s="55">
        <f t="shared" si="23"/>
        <v>0</v>
      </c>
      <c r="AG120" s="58">
        <f t="shared" si="24"/>
        <v>0</v>
      </c>
      <c r="AH120" s="47"/>
      <c r="AJ120" s="47"/>
      <c r="AL120" s="47"/>
      <c r="AM120" s="47" t="str">
        <f t="shared" si="25"/>
        <v/>
      </c>
    </row>
    <row r="121" spans="1:39" s="56" customFormat="1" ht="14.25">
      <c r="A121" s="44"/>
      <c r="B121" s="45"/>
      <c r="C121" s="46">
        <f>IF(B121&lt;&gt;"",VLOOKUP(B121,'Tipo Projeto'!$A$3:$B$35,2,0),0)</f>
        <v>0</v>
      </c>
      <c r="D121" s="47"/>
      <c r="E121" s="47"/>
      <c r="F121" s="48"/>
      <c r="G121" s="47"/>
      <c r="H121" s="49"/>
      <c r="I121" s="50"/>
      <c r="J121" s="51"/>
      <c r="K121" s="52"/>
      <c r="L121" s="53" t="str">
        <f t="shared" si="13"/>
        <v/>
      </c>
      <c r="M121" s="48" t="str">
        <f t="shared" si="14"/>
        <v/>
      </c>
      <c r="N121" s="54" t="str">
        <f t="shared" si="15"/>
        <v/>
      </c>
      <c r="O121" s="55">
        <f t="shared" si="16"/>
        <v>0</v>
      </c>
      <c r="P121" s="55">
        <f t="shared" si="17"/>
        <v>0</v>
      </c>
      <c r="Q121" s="54">
        <f t="shared" si="18"/>
        <v>0</v>
      </c>
      <c r="R121" s="47"/>
      <c r="T121" s="57"/>
      <c r="U121" s="45"/>
      <c r="V121" s="46">
        <f>IF(U121&lt;&gt;"",VLOOKUP(U121,'Tipo Projeto'!$A$3:$B$35,2,0),0)</f>
        <v>0</v>
      </c>
      <c r="W121" s="203"/>
      <c r="X121" s="49"/>
      <c r="Y121" s="50"/>
      <c r="Z121" s="51"/>
      <c r="AA121" s="52"/>
      <c r="AB121" s="53" t="str">
        <f t="shared" si="19"/>
        <v/>
      </c>
      <c r="AC121" s="48" t="str">
        <f t="shared" si="20"/>
        <v/>
      </c>
      <c r="AD121" s="54" t="str">
        <f t="shared" si="21"/>
        <v/>
      </c>
      <c r="AE121" s="55">
        <f t="shared" si="22"/>
        <v>0</v>
      </c>
      <c r="AF121" s="55">
        <f t="shared" si="23"/>
        <v>0</v>
      </c>
      <c r="AG121" s="58">
        <f t="shared" si="24"/>
        <v>0</v>
      </c>
      <c r="AH121" s="47"/>
      <c r="AJ121" s="47"/>
      <c r="AL121" s="47"/>
      <c r="AM121" s="47" t="str">
        <f t="shared" si="25"/>
        <v/>
      </c>
    </row>
    <row r="122" spans="1:39" s="56" customFormat="1" ht="14.25">
      <c r="A122" s="44"/>
      <c r="B122" s="45"/>
      <c r="C122" s="46">
        <f>IF(B122&lt;&gt;"",VLOOKUP(B122,'Tipo Projeto'!$A$3:$B$35,2,0),0)</f>
        <v>0</v>
      </c>
      <c r="D122" s="47"/>
      <c r="E122" s="47"/>
      <c r="F122" s="48"/>
      <c r="G122" s="47"/>
      <c r="H122" s="49"/>
      <c r="I122" s="50"/>
      <c r="J122" s="51"/>
      <c r="K122" s="52"/>
      <c r="L122" s="53" t="str">
        <f t="shared" si="13"/>
        <v/>
      </c>
      <c r="M122" s="48" t="str">
        <f t="shared" si="14"/>
        <v/>
      </c>
      <c r="N122" s="54" t="str">
        <f t="shared" si="15"/>
        <v/>
      </c>
      <c r="O122" s="55">
        <f t="shared" si="16"/>
        <v>0</v>
      </c>
      <c r="P122" s="55">
        <f t="shared" si="17"/>
        <v>0</v>
      </c>
      <c r="Q122" s="54">
        <f t="shared" si="18"/>
        <v>0</v>
      </c>
      <c r="R122" s="47"/>
      <c r="T122" s="57"/>
      <c r="U122" s="45"/>
      <c r="V122" s="46">
        <f>IF(U122&lt;&gt;"",VLOOKUP(U122,'Tipo Projeto'!$A$3:$B$35,2,0),0)</f>
        <v>0</v>
      </c>
      <c r="W122" s="203"/>
      <c r="X122" s="49"/>
      <c r="Y122" s="50"/>
      <c r="Z122" s="51"/>
      <c r="AA122" s="52"/>
      <c r="AB122" s="53" t="str">
        <f t="shared" si="19"/>
        <v/>
      </c>
      <c r="AC122" s="48" t="str">
        <f t="shared" si="20"/>
        <v/>
      </c>
      <c r="AD122" s="54" t="str">
        <f t="shared" si="21"/>
        <v/>
      </c>
      <c r="AE122" s="55">
        <f t="shared" si="22"/>
        <v>0</v>
      </c>
      <c r="AF122" s="55">
        <f t="shared" si="23"/>
        <v>0</v>
      </c>
      <c r="AG122" s="58">
        <f t="shared" si="24"/>
        <v>0</v>
      </c>
      <c r="AH122" s="47"/>
      <c r="AJ122" s="47"/>
      <c r="AL122" s="47"/>
      <c r="AM122" s="47" t="str">
        <f t="shared" si="25"/>
        <v/>
      </c>
    </row>
    <row r="123" spans="1:39" s="56" customFormat="1" ht="14.25">
      <c r="A123" s="44"/>
      <c r="B123" s="45"/>
      <c r="C123" s="46">
        <f>IF(B123&lt;&gt;"",VLOOKUP(B123,'Tipo Projeto'!$A$3:$B$35,2,0),0)</f>
        <v>0</v>
      </c>
      <c r="D123" s="47"/>
      <c r="E123" s="47"/>
      <c r="F123" s="48"/>
      <c r="G123" s="47"/>
      <c r="H123" s="49"/>
      <c r="I123" s="50"/>
      <c r="J123" s="51"/>
      <c r="K123" s="52"/>
      <c r="L123" s="53" t="str">
        <f t="shared" si="13"/>
        <v/>
      </c>
      <c r="M123" s="48" t="str">
        <f t="shared" si="14"/>
        <v/>
      </c>
      <c r="N123" s="54" t="str">
        <f t="shared" si="15"/>
        <v/>
      </c>
      <c r="O123" s="55">
        <f t="shared" si="16"/>
        <v>0</v>
      </c>
      <c r="P123" s="55">
        <f t="shared" si="17"/>
        <v>0</v>
      </c>
      <c r="Q123" s="54">
        <f t="shared" si="18"/>
        <v>0</v>
      </c>
      <c r="R123" s="47"/>
      <c r="T123" s="57"/>
      <c r="U123" s="45"/>
      <c r="V123" s="46">
        <f>IF(U123&lt;&gt;"",VLOOKUP(U123,'Tipo Projeto'!$A$3:$B$35,2,0),0)</f>
        <v>0</v>
      </c>
      <c r="W123" s="203"/>
      <c r="X123" s="49"/>
      <c r="Y123" s="50"/>
      <c r="Z123" s="51"/>
      <c r="AA123" s="52"/>
      <c r="AB123" s="53" t="str">
        <f t="shared" si="19"/>
        <v/>
      </c>
      <c r="AC123" s="48" t="str">
        <f t="shared" si="20"/>
        <v/>
      </c>
      <c r="AD123" s="54" t="str">
        <f t="shared" si="21"/>
        <v/>
      </c>
      <c r="AE123" s="55">
        <f t="shared" si="22"/>
        <v>0</v>
      </c>
      <c r="AF123" s="55">
        <f t="shared" si="23"/>
        <v>0</v>
      </c>
      <c r="AG123" s="58">
        <f t="shared" si="24"/>
        <v>0</v>
      </c>
      <c r="AH123" s="47"/>
      <c r="AJ123" s="47"/>
      <c r="AL123" s="47"/>
      <c r="AM123" s="47" t="str">
        <f t="shared" si="25"/>
        <v/>
      </c>
    </row>
    <row r="124" spans="1:39" s="56" customFormat="1" ht="14.25">
      <c r="A124" s="44"/>
      <c r="B124" s="45"/>
      <c r="C124" s="46">
        <f>IF(B124&lt;&gt;"",VLOOKUP(B124,'Tipo Projeto'!$A$3:$B$35,2,0),0)</f>
        <v>0</v>
      </c>
      <c r="D124" s="47"/>
      <c r="E124" s="47"/>
      <c r="F124" s="48"/>
      <c r="G124" s="47"/>
      <c r="H124" s="49"/>
      <c r="I124" s="50"/>
      <c r="J124" s="51"/>
      <c r="K124" s="52"/>
      <c r="L124" s="53" t="str">
        <f t="shared" si="13"/>
        <v/>
      </c>
      <c r="M124" s="48" t="str">
        <f t="shared" si="14"/>
        <v/>
      </c>
      <c r="N124" s="54" t="str">
        <f t="shared" si="15"/>
        <v/>
      </c>
      <c r="O124" s="55">
        <f t="shared" si="16"/>
        <v>0</v>
      </c>
      <c r="P124" s="55">
        <f t="shared" si="17"/>
        <v>0</v>
      </c>
      <c r="Q124" s="54">
        <f t="shared" si="18"/>
        <v>0</v>
      </c>
      <c r="R124" s="47"/>
      <c r="T124" s="57"/>
      <c r="U124" s="45"/>
      <c r="V124" s="46">
        <f>IF(U124&lt;&gt;"",VLOOKUP(U124,'Tipo Projeto'!$A$3:$B$35,2,0),0)</f>
        <v>0</v>
      </c>
      <c r="W124" s="203"/>
      <c r="X124" s="49"/>
      <c r="Y124" s="50"/>
      <c r="Z124" s="51"/>
      <c r="AA124" s="52"/>
      <c r="AB124" s="53" t="str">
        <f t="shared" si="19"/>
        <v/>
      </c>
      <c r="AC124" s="48" t="str">
        <f t="shared" si="20"/>
        <v/>
      </c>
      <c r="AD124" s="54" t="str">
        <f t="shared" si="21"/>
        <v/>
      </c>
      <c r="AE124" s="55">
        <f t="shared" si="22"/>
        <v>0</v>
      </c>
      <c r="AF124" s="55">
        <f t="shared" si="23"/>
        <v>0</v>
      </c>
      <c r="AG124" s="58">
        <f t="shared" si="24"/>
        <v>0</v>
      </c>
      <c r="AH124" s="47"/>
      <c r="AJ124" s="47"/>
      <c r="AL124" s="47"/>
      <c r="AM124" s="47" t="str">
        <f t="shared" si="25"/>
        <v/>
      </c>
    </row>
    <row r="125" spans="1:39" s="56" customFormat="1" ht="14.25">
      <c r="A125" s="44"/>
      <c r="B125" s="45"/>
      <c r="C125" s="46">
        <f>IF(B125&lt;&gt;"",VLOOKUP(B125,'Tipo Projeto'!$A$3:$B$35,2,0),0)</f>
        <v>0</v>
      </c>
      <c r="D125" s="47"/>
      <c r="E125" s="47"/>
      <c r="F125" s="48"/>
      <c r="G125" s="47"/>
      <c r="H125" s="49"/>
      <c r="I125" s="50"/>
      <c r="J125" s="51"/>
      <c r="K125" s="52"/>
      <c r="L125" s="53" t="str">
        <f t="shared" si="13"/>
        <v/>
      </c>
      <c r="M125" s="48" t="str">
        <f t="shared" si="14"/>
        <v/>
      </c>
      <c r="N125" s="54" t="str">
        <f t="shared" si="15"/>
        <v/>
      </c>
      <c r="O125" s="55">
        <f t="shared" si="16"/>
        <v>0</v>
      </c>
      <c r="P125" s="55">
        <f t="shared" si="17"/>
        <v>0</v>
      </c>
      <c r="Q125" s="54">
        <f t="shared" si="18"/>
        <v>0</v>
      </c>
      <c r="R125" s="47"/>
      <c r="T125" s="57"/>
      <c r="U125" s="45"/>
      <c r="V125" s="46">
        <f>IF(U125&lt;&gt;"",VLOOKUP(U125,'Tipo Projeto'!$A$3:$B$35,2,0),0)</f>
        <v>0</v>
      </c>
      <c r="W125" s="203"/>
      <c r="X125" s="49"/>
      <c r="Y125" s="50"/>
      <c r="Z125" s="51"/>
      <c r="AA125" s="52"/>
      <c r="AB125" s="53" t="str">
        <f t="shared" si="19"/>
        <v/>
      </c>
      <c r="AC125" s="48" t="str">
        <f t="shared" si="20"/>
        <v/>
      </c>
      <c r="AD125" s="54" t="str">
        <f t="shared" si="21"/>
        <v/>
      </c>
      <c r="AE125" s="55">
        <f t="shared" si="22"/>
        <v>0</v>
      </c>
      <c r="AF125" s="55">
        <f t="shared" si="23"/>
        <v>0</v>
      </c>
      <c r="AG125" s="58">
        <f t="shared" si="24"/>
        <v>0</v>
      </c>
      <c r="AH125" s="47"/>
      <c r="AJ125" s="47"/>
      <c r="AL125" s="47"/>
      <c r="AM125" s="47" t="str">
        <f t="shared" si="25"/>
        <v/>
      </c>
    </row>
    <row r="126" spans="1:39" s="56" customFormat="1" ht="14.25">
      <c r="A126" s="44"/>
      <c r="B126" s="45"/>
      <c r="C126" s="46">
        <f>IF(B126&lt;&gt;"",VLOOKUP(B126,'Tipo Projeto'!$A$3:$B$35,2,0),0)</f>
        <v>0</v>
      </c>
      <c r="D126" s="47"/>
      <c r="E126" s="47"/>
      <c r="F126" s="48"/>
      <c r="G126" s="47"/>
      <c r="H126" s="49"/>
      <c r="I126" s="50"/>
      <c r="J126" s="51"/>
      <c r="K126" s="52"/>
      <c r="L126" s="53" t="str">
        <f t="shared" si="13"/>
        <v/>
      </c>
      <c r="M126" s="48" t="str">
        <f t="shared" si="14"/>
        <v/>
      </c>
      <c r="N126" s="54" t="str">
        <f t="shared" si="15"/>
        <v/>
      </c>
      <c r="O126" s="55">
        <f t="shared" si="16"/>
        <v>0</v>
      </c>
      <c r="P126" s="55">
        <f t="shared" si="17"/>
        <v>0</v>
      </c>
      <c r="Q126" s="54">
        <f t="shared" si="18"/>
        <v>0</v>
      </c>
      <c r="R126" s="47"/>
      <c r="T126" s="57"/>
      <c r="U126" s="45"/>
      <c r="V126" s="46">
        <f>IF(U126&lt;&gt;"",VLOOKUP(U126,'Tipo Projeto'!$A$3:$B$35,2,0),0)</f>
        <v>0</v>
      </c>
      <c r="W126" s="203"/>
      <c r="X126" s="49"/>
      <c r="Y126" s="50"/>
      <c r="Z126" s="51"/>
      <c r="AA126" s="52"/>
      <c r="AB126" s="53" t="str">
        <f t="shared" si="19"/>
        <v/>
      </c>
      <c r="AC126" s="48" t="str">
        <f t="shared" si="20"/>
        <v/>
      </c>
      <c r="AD126" s="54" t="str">
        <f t="shared" si="21"/>
        <v/>
      </c>
      <c r="AE126" s="55">
        <f t="shared" si="22"/>
        <v>0</v>
      </c>
      <c r="AF126" s="55">
        <f t="shared" si="23"/>
        <v>0</v>
      </c>
      <c r="AG126" s="58">
        <f t="shared" si="24"/>
        <v>0</v>
      </c>
      <c r="AH126" s="47"/>
      <c r="AJ126" s="47"/>
      <c r="AL126" s="47"/>
      <c r="AM126" s="47" t="str">
        <f t="shared" si="25"/>
        <v/>
      </c>
    </row>
    <row r="127" spans="1:39" s="56" customFormat="1" ht="14.25">
      <c r="A127" s="44"/>
      <c r="B127" s="45"/>
      <c r="C127" s="46">
        <f>IF(B127&lt;&gt;"",VLOOKUP(B127,'Tipo Projeto'!$A$3:$B$35,2,0),0)</f>
        <v>0</v>
      </c>
      <c r="D127" s="47"/>
      <c r="E127" s="47"/>
      <c r="F127" s="48"/>
      <c r="G127" s="47"/>
      <c r="H127" s="49"/>
      <c r="I127" s="50"/>
      <c r="J127" s="51"/>
      <c r="K127" s="52"/>
      <c r="L127" s="53" t="str">
        <f t="shared" si="13"/>
        <v/>
      </c>
      <c r="M127" s="48" t="str">
        <f t="shared" si="14"/>
        <v/>
      </c>
      <c r="N127" s="54" t="str">
        <f t="shared" si="15"/>
        <v/>
      </c>
      <c r="O127" s="55">
        <f t="shared" si="16"/>
        <v>0</v>
      </c>
      <c r="P127" s="55">
        <f t="shared" si="17"/>
        <v>0</v>
      </c>
      <c r="Q127" s="54">
        <f t="shared" si="18"/>
        <v>0</v>
      </c>
      <c r="R127" s="47"/>
      <c r="T127" s="57"/>
      <c r="U127" s="45"/>
      <c r="V127" s="46">
        <f>IF(U127&lt;&gt;"",VLOOKUP(U127,'Tipo Projeto'!$A$3:$B$35,2,0),0)</f>
        <v>0</v>
      </c>
      <c r="W127" s="203"/>
      <c r="X127" s="49"/>
      <c r="Y127" s="50"/>
      <c r="Z127" s="51"/>
      <c r="AA127" s="52"/>
      <c r="AB127" s="53" t="str">
        <f t="shared" si="19"/>
        <v/>
      </c>
      <c r="AC127" s="48" t="str">
        <f t="shared" si="20"/>
        <v/>
      </c>
      <c r="AD127" s="54" t="str">
        <f t="shared" si="21"/>
        <v/>
      </c>
      <c r="AE127" s="55">
        <f t="shared" si="22"/>
        <v>0</v>
      </c>
      <c r="AF127" s="55">
        <f t="shared" si="23"/>
        <v>0</v>
      </c>
      <c r="AG127" s="58">
        <f t="shared" si="24"/>
        <v>0</v>
      </c>
      <c r="AH127" s="47"/>
      <c r="AJ127" s="47"/>
      <c r="AL127" s="47"/>
      <c r="AM127" s="47" t="str">
        <f t="shared" si="25"/>
        <v/>
      </c>
    </row>
    <row r="128" spans="1:39" s="56" customFormat="1" ht="14.25">
      <c r="A128" s="44"/>
      <c r="B128" s="45"/>
      <c r="C128" s="46">
        <f>IF(B128&lt;&gt;"",VLOOKUP(B128,'Tipo Projeto'!$A$3:$B$35,2,0),0)</f>
        <v>0</v>
      </c>
      <c r="D128" s="47"/>
      <c r="E128" s="47"/>
      <c r="F128" s="48"/>
      <c r="G128" s="47"/>
      <c r="H128" s="49"/>
      <c r="I128" s="50"/>
      <c r="J128" s="51"/>
      <c r="K128" s="52"/>
      <c r="L128" s="53" t="str">
        <f t="shared" si="13"/>
        <v/>
      </c>
      <c r="M128" s="48" t="str">
        <f t="shared" si="14"/>
        <v/>
      </c>
      <c r="N128" s="54" t="str">
        <f t="shared" si="15"/>
        <v/>
      </c>
      <c r="O128" s="55">
        <f t="shared" si="16"/>
        <v>0</v>
      </c>
      <c r="P128" s="55">
        <f t="shared" si="17"/>
        <v>0</v>
      </c>
      <c r="Q128" s="54">
        <f t="shared" si="18"/>
        <v>0</v>
      </c>
      <c r="R128" s="47"/>
      <c r="T128" s="57"/>
      <c r="U128" s="45"/>
      <c r="V128" s="46">
        <f>IF(U128&lt;&gt;"",VLOOKUP(U128,'Tipo Projeto'!$A$3:$B$35,2,0),0)</f>
        <v>0</v>
      </c>
      <c r="W128" s="203"/>
      <c r="X128" s="49"/>
      <c r="Y128" s="50"/>
      <c r="Z128" s="51"/>
      <c r="AA128" s="52"/>
      <c r="AB128" s="53" t="str">
        <f t="shared" si="19"/>
        <v/>
      </c>
      <c r="AC128" s="48" t="str">
        <f t="shared" si="20"/>
        <v/>
      </c>
      <c r="AD128" s="54" t="str">
        <f t="shared" si="21"/>
        <v/>
      </c>
      <c r="AE128" s="55">
        <f t="shared" si="22"/>
        <v>0</v>
      </c>
      <c r="AF128" s="55">
        <f t="shared" si="23"/>
        <v>0</v>
      </c>
      <c r="AG128" s="58">
        <f t="shared" si="24"/>
        <v>0</v>
      </c>
      <c r="AH128" s="47"/>
      <c r="AJ128" s="47"/>
      <c r="AL128" s="47"/>
      <c r="AM128" s="47" t="str">
        <f t="shared" si="25"/>
        <v/>
      </c>
    </row>
    <row r="129" spans="1:39" s="56" customFormat="1" ht="14.25">
      <c r="A129" s="44"/>
      <c r="B129" s="45"/>
      <c r="C129" s="46">
        <f>IF(B129&lt;&gt;"",VLOOKUP(B129,'Tipo Projeto'!$A$3:$B$35,2,0),0)</f>
        <v>0</v>
      </c>
      <c r="D129" s="47"/>
      <c r="E129" s="47"/>
      <c r="F129" s="48"/>
      <c r="G129" s="47"/>
      <c r="H129" s="49"/>
      <c r="I129" s="50"/>
      <c r="J129" s="51"/>
      <c r="K129" s="52"/>
      <c r="L129" s="53" t="str">
        <f t="shared" si="13"/>
        <v/>
      </c>
      <c r="M129" s="48" t="str">
        <f t="shared" si="14"/>
        <v/>
      </c>
      <c r="N129" s="54" t="str">
        <f t="shared" si="15"/>
        <v/>
      </c>
      <c r="O129" s="55">
        <f t="shared" si="16"/>
        <v>0</v>
      </c>
      <c r="P129" s="55">
        <f t="shared" si="17"/>
        <v>0</v>
      </c>
      <c r="Q129" s="54">
        <f t="shared" si="18"/>
        <v>0</v>
      </c>
      <c r="R129" s="47"/>
      <c r="T129" s="57"/>
      <c r="U129" s="45"/>
      <c r="V129" s="46">
        <f>IF(U129&lt;&gt;"",VLOOKUP(U129,'Tipo Projeto'!$A$3:$B$35,2,0),0)</f>
        <v>0</v>
      </c>
      <c r="W129" s="203"/>
      <c r="X129" s="49"/>
      <c r="Y129" s="50"/>
      <c r="Z129" s="51"/>
      <c r="AA129" s="52"/>
      <c r="AB129" s="53" t="str">
        <f t="shared" si="19"/>
        <v/>
      </c>
      <c r="AC129" s="48" t="str">
        <f t="shared" si="20"/>
        <v/>
      </c>
      <c r="AD129" s="54" t="str">
        <f t="shared" si="21"/>
        <v/>
      </c>
      <c r="AE129" s="55">
        <f t="shared" si="22"/>
        <v>0</v>
      </c>
      <c r="AF129" s="55">
        <f t="shared" si="23"/>
        <v>0</v>
      </c>
      <c r="AG129" s="58">
        <f t="shared" si="24"/>
        <v>0</v>
      </c>
      <c r="AH129" s="47"/>
      <c r="AJ129" s="47"/>
      <c r="AL129" s="47"/>
      <c r="AM129" s="47" t="str">
        <f t="shared" si="25"/>
        <v/>
      </c>
    </row>
    <row r="130" spans="1:39" s="56" customFormat="1" ht="14.25">
      <c r="A130" s="44"/>
      <c r="B130" s="45"/>
      <c r="C130" s="46">
        <f>IF(B130&lt;&gt;"",VLOOKUP(B130,'Tipo Projeto'!$A$3:$B$35,2,0),0)</f>
        <v>0</v>
      </c>
      <c r="D130" s="47"/>
      <c r="E130" s="47"/>
      <c r="F130" s="48"/>
      <c r="G130" s="47"/>
      <c r="H130" s="49"/>
      <c r="I130" s="50"/>
      <c r="J130" s="51"/>
      <c r="K130" s="52"/>
      <c r="L130" s="53" t="str">
        <f t="shared" si="13"/>
        <v/>
      </c>
      <c r="M130" s="48" t="str">
        <f t="shared" si="14"/>
        <v/>
      </c>
      <c r="N130" s="54" t="str">
        <f t="shared" si="15"/>
        <v/>
      </c>
      <c r="O130" s="55">
        <f t="shared" si="16"/>
        <v>0</v>
      </c>
      <c r="P130" s="55">
        <f t="shared" si="17"/>
        <v>0</v>
      </c>
      <c r="Q130" s="54">
        <f t="shared" si="18"/>
        <v>0</v>
      </c>
      <c r="R130" s="47"/>
      <c r="T130" s="57"/>
      <c r="U130" s="45"/>
      <c r="V130" s="46">
        <f>IF(U130&lt;&gt;"",VLOOKUP(U130,'Tipo Projeto'!$A$3:$B$35,2,0),0)</f>
        <v>0</v>
      </c>
      <c r="W130" s="203"/>
      <c r="X130" s="49"/>
      <c r="Y130" s="50"/>
      <c r="Z130" s="51"/>
      <c r="AA130" s="52"/>
      <c r="AB130" s="53" t="str">
        <f t="shared" si="19"/>
        <v/>
      </c>
      <c r="AC130" s="48" t="str">
        <f t="shared" si="20"/>
        <v/>
      </c>
      <c r="AD130" s="54" t="str">
        <f t="shared" si="21"/>
        <v/>
      </c>
      <c r="AE130" s="55">
        <f t="shared" si="22"/>
        <v>0</v>
      </c>
      <c r="AF130" s="55">
        <f t="shared" si="23"/>
        <v>0</v>
      </c>
      <c r="AG130" s="58">
        <f t="shared" si="24"/>
        <v>0</v>
      </c>
      <c r="AH130" s="47"/>
      <c r="AJ130" s="47"/>
      <c r="AL130" s="47"/>
      <c r="AM130" s="47" t="str">
        <f t="shared" si="25"/>
        <v/>
      </c>
    </row>
    <row r="131" spans="1:39" s="56" customFormat="1" ht="14.25">
      <c r="A131" s="44"/>
      <c r="B131" s="45"/>
      <c r="C131" s="46">
        <f>IF(B131&lt;&gt;"",VLOOKUP(B131,'Tipo Projeto'!$A$3:$B$35,2,0),0)</f>
        <v>0</v>
      </c>
      <c r="D131" s="47"/>
      <c r="E131" s="47"/>
      <c r="F131" s="48"/>
      <c r="G131" s="47"/>
      <c r="H131" s="49"/>
      <c r="I131" s="50"/>
      <c r="J131" s="51"/>
      <c r="K131" s="52"/>
      <c r="L131" s="53" t="str">
        <f t="shared" si="13"/>
        <v/>
      </c>
      <c r="M131" s="48" t="str">
        <f t="shared" si="14"/>
        <v/>
      </c>
      <c r="N131" s="54" t="str">
        <f t="shared" si="15"/>
        <v/>
      </c>
      <c r="O131" s="55">
        <f t="shared" si="16"/>
        <v>0</v>
      </c>
      <c r="P131" s="55">
        <f t="shared" si="17"/>
        <v>0</v>
      </c>
      <c r="Q131" s="54">
        <f t="shared" si="18"/>
        <v>0</v>
      </c>
      <c r="R131" s="47"/>
      <c r="T131" s="57"/>
      <c r="U131" s="45"/>
      <c r="V131" s="46">
        <f>IF(U131&lt;&gt;"",VLOOKUP(U131,'Tipo Projeto'!$A$3:$B$35,2,0),0)</f>
        <v>0</v>
      </c>
      <c r="W131" s="203"/>
      <c r="X131" s="49"/>
      <c r="Y131" s="50"/>
      <c r="Z131" s="51"/>
      <c r="AA131" s="52"/>
      <c r="AB131" s="53" t="str">
        <f t="shared" si="19"/>
        <v/>
      </c>
      <c r="AC131" s="48" t="str">
        <f t="shared" si="20"/>
        <v/>
      </c>
      <c r="AD131" s="54" t="str">
        <f t="shared" si="21"/>
        <v/>
      </c>
      <c r="AE131" s="55">
        <f t="shared" si="22"/>
        <v>0</v>
      </c>
      <c r="AF131" s="55">
        <f t="shared" si="23"/>
        <v>0</v>
      </c>
      <c r="AG131" s="58">
        <f t="shared" si="24"/>
        <v>0</v>
      </c>
      <c r="AH131" s="47"/>
      <c r="AJ131" s="47"/>
      <c r="AL131" s="47"/>
      <c r="AM131" s="47" t="str">
        <f t="shared" si="25"/>
        <v/>
      </c>
    </row>
    <row r="132" spans="1:39" s="56" customFormat="1" ht="14.25">
      <c r="A132" s="44"/>
      <c r="B132" s="45"/>
      <c r="C132" s="46">
        <f>IF(B132&lt;&gt;"",VLOOKUP(B132,'Tipo Projeto'!$A$3:$B$35,2,0),0)</f>
        <v>0</v>
      </c>
      <c r="D132" s="47"/>
      <c r="E132" s="47"/>
      <c r="F132" s="48"/>
      <c r="G132" s="47"/>
      <c r="H132" s="49"/>
      <c r="I132" s="50"/>
      <c r="J132" s="51"/>
      <c r="K132" s="52"/>
      <c r="L132" s="53" t="str">
        <f t="shared" si="13"/>
        <v/>
      </c>
      <c r="M132" s="48" t="str">
        <f t="shared" si="14"/>
        <v/>
      </c>
      <c r="N132" s="54" t="str">
        <f t="shared" si="15"/>
        <v/>
      </c>
      <c r="O132" s="55">
        <f t="shared" si="16"/>
        <v>0</v>
      </c>
      <c r="P132" s="55">
        <f t="shared" si="17"/>
        <v>0</v>
      </c>
      <c r="Q132" s="54">
        <f t="shared" si="18"/>
        <v>0</v>
      </c>
      <c r="R132" s="47"/>
      <c r="T132" s="57"/>
      <c r="U132" s="45"/>
      <c r="V132" s="46">
        <f>IF(U132&lt;&gt;"",VLOOKUP(U132,'Tipo Projeto'!$A$3:$B$35,2,0),0)</f>
        <v>0</v>
      </c>
      <c r="W132" s="203"/>
      <c r="X132" s="49"/>
      <c r="Y132" s="50"/>
      <c r="Z132" s="51"/>
      <c r="AA132" s="52"/>
      <c r="AB132" s="53" t="str">
        <f t="shared" si="19"/>
        <v/>
      </c>
      <c r="AC132" s="48" t="str">
        <f t="shared" si="20"/>
        <v/>
      </c>
      <c r="AD132" s="54" t="str">
        <f t="shared" si="21"/>
        <v/>
      </c>
      <c r="AE132" s="55">
        <f t="shared" si="22"/>
        <v>0</v>
      </c>
      <c r="AF132" s="55">
        <f t="shared" si="23"/>
        <v>0</v>
      </c>
      <c r="AG132" s="58">
        <f t="shared" si="24"/>
        <v>0</v>
      </c>
      <c r="AH132" s="47"/>
      <c r="AJ132" s="47"/>
      <c r="AL132" s="47"/>
      <c r="AM132" s="47" t="str">
        <f t="shared" si="25"/>
        <v/>
      </c>
    </row>
    <row r="133" spans="1:39" s="56" customFormat="1" ht="14.25">
      <c r="A133" s="44"/>
      <c r="B133" s="45"/>
      <c r="C133" s="46">
        <f>IF(B133&lt;&gt;"",VLOOKUP(B133,'Tipo Projeto'!$A$3:$B$35,2,0),0)</f>
        <v>0</v>
      </c>
      <c r="D133" s="47"/>
      <c r="E133" s="47"/>
      <c r="F133" s="48"/>
      <c r="G133" s="47"/>
      <c r="H133" s="49"/>
      <c r="I133" s="50"/>
      <c r="J133" s="51"/>
      <c r="K133" s="52"/>
      <c r="L133" s="53" t="str">
        <f t="shared" si="13"/>
        <v/>
      </c>
      <c r="M133" s="48" t="str">
        <f t="shared" si="14"/>
        <v/>
      </c>
      <c r="N133" s="54" t="str">
        <f t="shared" si="15"/>
        <v/>
      </c>
      <c r="O133" s="55">
        <f t="shared" si="16"/>
        <v>0</v>
      </c>
      <c r="P133" s="55">
        <f t="shared" si="17"/>
        <v>0</v>
      </c>
      <c r="Q133" s="54">
        <f t="shared" si="18"/>
        <v>0</v>
      </c>
      <c r="R133" s="47"/>
      <c r="T133" s="57"/>
      <c r="U133" s="45"/>
      <c r="V133" s="46">
        <f>IF(U133&lt;&gt;"",VLOOKUP(U133,'Tipo Projeto'!$A$3:$B$35,2,0),0)</f>
        <v>0</v>
      </c>
      <c r="W133" s="203"/>
      <c r="X133" s="49"/>
      <c r="Y133" s="50"/>
      <c r="Z133" s="51"/>
      <c r="AA133" s="52"/>
      <c r="AB133" s="53" t="str">
        <f t="shared" si="19"/>
        <v/>
      </c>
      <c r="AC133" s="48" t="str">
        <f t="shared" si="20"/>
        <v/>
      </c>
      <c r="AD133" s="54" t="str">
        <f t="shared" si="21"/>
        <v/>
      </c>
      <c r="AE133" s="55">
        <f t="shared" si="22"/>
        <v>0</v>
      </c>
      <c r="AF133" s="55">
        <f t="shared" si="23"/>
        <v>0</v>
      </c>
      <c r="AG133" s="58">
        <f t="shared" si="24"/>
        <v>0</v>
      </c>
      <c r="AH133" s="47"/>
      <c r="AJ133" s="47"/>
      <c r="AL133" s="47"/>
      <c r="AM133" s="47" t="str">
        <f t="shared" si="25"/>
        <v/>
      </c>
    </row>
    <row r="134" spans="1:39" s="56" customFormat="1" ht="14.25">
      <c r="A134" s="44"/>
      <c r="B134" s="45"/>
      <c r="C134" s="46">
        <f>IF(B134&lt;&gt;"",VLOOKUP(B134,'Tipo Projeto'!$A$3:$B$35,2,0),0)</f>
        <v>0</v>
      </c>
      <c r="D134" s="47"/>
      <c r="E134" s="47"/>
      <c r="F134" s="48"/>
      <c r="G134" s="47"/>
      <c r="H134" s="49"/>
      <c r="I134" s="50"/>
      <c r="J134" s="51"/>
      <c r="K134" s="52"/>
      <c r="L134" s="53" t="str">
        <f t="shared" si="13"/>
        <v/>
      </c>
      <c r="M134" s="48" t="str">
        <f t="shared" si="14"/>
        <v/>
      </c>
      <c r="N134" s="54" t="str">
        <f t="shared" si="15"/>
        <v/>
      </c>
      <c r="O134" s="55">
        <f t="shared" si="16"/>
        <v>0</v>
      </c>
      <c r="P134" s="55">
        <f t="shared" si="17"/>
        <v>0</v>
      </c>
      <c r="Q134" s="54">
        <f t="shared" si="18"/>
        <v>0</v>
      </c>
      <c r="R134" s="47"/>
      <c r="T134" s="57"/>
      <c r="U134" s="45"/>
      <c r="V134" s="46">
        <f>IF(U134&lt;&gt;"",VLOOKUP(U134,'Tipo Projeto'!$A$3:$B$35,2,0),0)</f>
        <v>0</v>
      </c>
      <c r="W134" s="203"/>
      <c r="X134" s="49"/>
      <c r="Y134" s="50"/>
      <c r="Z134" s="51"/>
      <c r="AA134" s="52"/>
      <c r="AB134" s="53" t="str">
        <f t="shared" si="19"/>
        <v/>
      </c>
      <c r="AC134" s="48" t="str">
        <f t="shared" si="20"/>
        <v/>
      </c>
      <c r="AD134" s="54" t="str">
        <f t="shared" si="21"/>
        <v/>
      </c>
      <c r="AE134" s="55">
        <f t="shared" si="22"/>
        <v>0</v>
      </c>
      <c r="AF134" s="55">
        <f t="shared" si="23"/>
        <v>0</v>
      </c>
      <c r="AG134" s="58">
        <f t="shared" si="24"/>
        <v>0</v>
      </c>
      <c r="AH134" s="47"/>
      <c r="AJ134" s="47"/>
      <c r="AL134" s="47"/>
      <c r="AM134" s="47" t="str">
        <f t="shared" si="25"/>
        <v/>
      </c>
    </row>
    <row r="135" spans="1:39" s="56" customFormat="1" ht="14.25">
      <c r="A135" s="44"/>
      <c r="B135" s="45"/>
      <c r="C135" s="46">
        <f>IF(B135&lt;&gt;"",VLOOKUP(B135,'Tipo Projeto'!$A$3:$B$35,2,0),0)</f>
        <v>0</v>
      </c>
      <c r="D135" s="47"/>
      <c r="E135" s="47"/>
      <c r="F135" s="48"/>
      <c r="G135" s="47"/>
      <c r="H135" s="49"/>
      <c r="I135" s="50"/>
      <c r="J135" s="51"/>
      <c r="K135" s="52"/>
      <c r="L135" s="53" t="str">
        <f t="shared" si="13"/>
        <v/>
      </c>
      <c r="M135" s="48" t="str">
        <f t="shared" si="14"/>
        <v/>
      </c>
      <c r="N135" s="54" t="str">
        <f t="shared" si="15"/>
        <v/>
      </c>
      <c r="O135" s="55">
        <f t="shared" si="16"/>
        <v>0</v>
      </c>
      <c r="P135" s="55">
        <f t="shared" si="17"/>
        <v>0</v>
      </c>
      <c r="Q135" s="54">
        <f t="shared" si="18"/>
        <v>0</v>
      </c>
      <c r="R135" s="47"/>
      <c r="T135" s="57"/>
      <c r="U135" s="45"/>
      <c r="V135" s="46">
        <f>IF(U135&lt;&gt;"",VLOOKUP(U135,'Tipo Projeto'!$A$3:$B$35,2,0),0)</f>
        <v>0</v>
      </c>
      <c r="W135" s="203"/>
      <c r="X135" s="49"/>
      <c r="Y135" s="50"/>
      <c r="Z135" s="51"/>
      <c r="AA135" s="52"/>
      <c r="AB135" s="53" t="str">
        <f t="shared" si="19"/>
        <v/>
      </c>
      <c r="AC135" s="48" t="str">
        <f t="shared" si="20"/>
        <v/>
      </c>
      <c r="AD135" s="54" t="str">
        <f t="shared" si="21"/>
        <v/>
      </c>
      <c r="AE135" s="55">
        <f t="shared" si="22"/>
        <v>0</v>
      </c>
      <c r="AF135" s="55">
        <f t="shared" si="23"/>
        <v>0</v>
      </c>
      <c r="AG135" s="58">
        <f t="shared" si="24"/>
        <v>0</v>
      </c>
      <c r="AH135" s="47"/>
      <c r="AJ135" s="47"/>
      <c r="AL135" s="47"/>
      <c r="AM135" s="47" t="str">
        <f t="shared" si="25"/>
        <v/>
      </c>
    </row>
    <row r="136" spans="1:39" s="56" customFormat="1" ht="14.25">
      <c r="A136" s="44"/>
      <c r="B136" s="45"/>
      <c r="C136" s="46">
        <f>IF(B136&lt;&gt;"",VLOOKUP(B136,'Tipo Projeto'!$A$3:$B$35,2,0),0)</f>
        <v>0</v>
      </c>
      <c r="D136" s="47"/>
      <c r="E136" s="47"/>
      <c r="F136" s="48"/>
      <c r="G136" s="47"/>
      <c r="H136" s="49"/>
      <c r="I136" s="50"/>
      <c r="J136" s="51"/>
      <c r="K136" s="52"/>
      <c r="L136" s="53" t="str">
        <f t="shared" si="13"/>
        <v/>
      </c>
      <c r="M136" s="48" t="str">
        <f t="shared" si="14"/>
        <v/>
      </c>
      <c r="N136" s="54" t="str">
        <f t="shared" si="15"/>
        <v/>
      </c>
      <c r="O136" s="55">
        <f t="shared" si="16"/>
        <v>0</v>
      </c>
      <c r="P136" s="55">
        <f t="shared" si="17"/>
        <v>0</v>
      </c>
      <c r="Q136" s="54">
        <f t="shared" si="18"/>
        <v>0</v>
      </c>
      <c r="R136" s="47"/>
      <c r="T136" s="57"/>
      <c r="U136" s="45"/>
      <c r="V136" s="46">
        <f>IF(U136&lt;&gt;"",VLOOKUP(U136,'Tipo Projeto'!$A$3:$B$35,2,0),0)</f>
        <v>0</v>
      </c>
      <c r="W136" s="203"/>
      <c r="X136" s="49"/>
      <c r="Y136" s="50"/>
      <c r="Z136" s="51"/>
      <c r="AA136" s="52"/>
      <c r="AB136" s="53" t="str">
        <f t="shared" si="19"/>
        <v/>
      </c>
      <c r="AC136" s="48" t="str">
        <f t="shared" si="20"/>
        <v/>
      </c>
      <c r="AD136" s="54" t="str">
        <f t="shared" si="21"/>
        <v/>
      </c>
      <c r="AE136" s="55">
        <f t="shared" si="22"/>
        <v>0</v>
      </c>
      <c r="AF136" s="55">
        <f t="shared" si="23"/>
        <v>0</v>
      </c>
      <c r="AG136" s="58">
        <f t="shared" si="24"/>
        <v>0</v>
      </c>
      <c r="AH136" s="47"/>
      <c r="AJ136" s="47"/>
      <c r="AL136" s="47"/>
      <c r="AM136" s="47" t="str">
        <f t="shared" si="25"/>
        <v/>
      </c>
    </row>
    <row r="137" spans="1:39" s="56" customFormat="1" ht="14.25">
      <c r="A137" s="44"/>
      <c r="B137" s="45"/>
      <c r="C137" s="46">
        <f>IF(B137&lt;&gt;"",VLOOKUP(B137,'Tipo Projeto'!$A$3:$B$35,2,0),0)</f>
        <v>0</v>
      </c>
      <c r="D137" s="47"/>
      <c r="E137" s="47"/>
      <c r="F137" s="48"/>
      <c r="G137" s="47"/>
      <c r="H137" s="49"/>
      <c r="I137" s="50"/>
      <c r="J137" s="51"/>
      <c r="K137" s="52"/>
      <c r="L137" s="53" t="str">
        <f t="shared" si="13"/>
        <v/>
      </c>
      <c r="M137" s="48" t="str">
        <f t="shared" si="14"/>
        <v/>
      </c>
      <c r="N137" s="54" t="str">
        <f t="shared" si="15"/>
        <v/>
      </c>
      <c r="O137" s="55">
        <f t="shared" si="16"/>
        <v>0</v>
      </c>
      <c r="P137" s="55">
        <f t="shared" si="17"/>
        <v>0</v>
      </c>
      <c r="Q137" s="54">
        <f t="shared" si="18"/>
        <v>0</v>
      </c>
      <c r="R137" s="47"/>
      <c r="T137" s="57"/>
      <c r="U137" s="45"/>
      <c r="V137" s="46">
        <f>IF(U137&lt;&gt;"",VLOOKUP(U137,'Tipo Projeto'!$A$3:$B$35,2,0),0)</f>
        <v>0</v>
      </c>
      <c r="W137" s="203"/>
      <c r="X137" s="49"/>
      <c r="Y137" s="50"/>
      <c r="Z137" s="51"/>
      <c r="AA137" s="52"/>
      <c r="AB137" s="53" t="str">
        <f t="shared" si="19"/>
        <v/>
      </c>
      <c r="AC137" s="48" t="str">
        <f t="shared" si="20"/>
        <v/>
      </c>
      <c r="AD137" s="54" t="str">
        <f t="shared" si="21"/>
        <v/>
      </c>
      <c r="AE137" s="55">
        <f t="shared" si="22"/>
        <v>0</v>
      </c>
      <c r="AF137" s="55">
        <f t="shared" si="23"/>
        <v>0</v>
      </c>
      <c r="AG137" s="58">
        <f t="shared" si="24"/>
        <v>0</v>
      </c>
      <c r="AH137" s="47"/>
      <c r="AJ137" s="47"/>
      <c r="AL137" s="47"/>
      <c r="AM137" s="47" t="str">
        <f t="shared" si="25"/>
        <v/>
      </c>
    </row>
    <row r="138" spans="1:39" s="56" customFormat="1" ht="14.25">
      <c r="A138" s="44"/>
      <c r="B138" s="45"/>
      <c r="C138" s="46">
        <f>IF(B138&lt;&gt;"",VLOOKUP(B138,'Tipo Projeto'!$A$3:$B$35,2,0),0)</f>
        <v>0</v>
      </c>
      <c r="D138" s="47"/>
      <c r="E138" s="47"/>
      <c r="F138" s="48"/>
      <c r="G138" s="47"/>
      <c r="H138" s="49"/>
      <c r="I138" s="50"/>
      <c r="J138" s="51"/>
      <c r="K138" s="52"/>
      <c r="L138" s="53"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8"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4" t="str">
        <f t="shared" ref="N138:N201" si="28">IF(L138="",M138,IF(M138="",L138,""))</f>
        <v/>
      </c>
      <c r="O138" s="55">
        <f t="shared" ref="O138:O201" si="29">IF(AND(OR(G138="EE",G138="CE"),N138="Simples"),3, IF(AND(OR(G138="EE",G138="CE"),N138="Médio"),4, IF(AND(OR(G138="EE",G138="CE"),N138="Complexo"),6, IF(AND(G138="SE",N138="Simples"),4, IF(AND(G138="SE",N138="Médio"),5, IF(AND(G138="SE",N138="Complexo"),7,0))))))</f>
        <v>0</v>
      </c>
      <c r="P138" s="55">
        <f t="shared" ref="P138:P201" si="30">IF(AND(G138="ALI",M138="Simples"),7, IF(AND(G138="ALI",M138="Médio"),10, IF(AND(G138="ALI",M138="Complexo"),15, IF(AND(G138="AIE",M138="Simples"),5, IF(AND(G138="AIE",M138="Médio"),7, IF(AND(G138="AIE",M138="Complexo"),10,0))))))</f>
        <v>0</v>
      </c>
      <c r="Q138" s="54">
        <f t="shared" ref="Q138:Q201" si="31">IF(B138&lt;&gt;"Manutenção em interface",IF(B138&lt;&gt;"Desenv., Manutenção e Publicação de Páginas Estáticas",(O138+P138)*C138,C138),C138)</f>
        <v>0</v>
      </c>
      <c r="R138" s="47"/>
      <c r="T138" s="57"/>
      <c r="U138" s="45"/>
      <c r="V138" s="46">
        <f>IF(U138&lt;&gt;"",VLOOKUP(U138,'Tipo Projeto'!$A$3:$B$35,2,0),0)</f>
        <v>0</v>
      </c>
      <c r="W138" s="203"/>
      <c r="X138" s="49"/>
      <c r="Y138" s="50"/>
      <c r="Z138" s="51"/>
      <c r="AA138" s="52"/>
      <c r="AB138" s="53"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8"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4" t="str">
        <f t="shared" ref="AD138:AD201" si="34">IF(AB138="",AC138,IF(AC138="",AB138,""))</f>
        <v/>
      </c>
      <c r="AE138" s="55">
        <f t="shared" ref="AE138:AE201" si="35">IF(AND(OR(W138="EE",W138="CE"),AD138="Simples"),3, IF(AND(OR(W138="EE",W138="CE"),AD138="Médio"),4, IF(AND(OR(W138="EE",W138="CE"),AD138="Complexo"),6, IF(AND(W138="SE",AD138="Simples"),4, IF(AND(W138="SE",AD138="Médio"),5, IF(AND(W138="SE",AD138="Complexo"),7,0))))))</f>
        <v>0</v>
      </c>
      <c r="AF138" s="55">
        <f t="shared" ref="AF138:AF201" si="36">IF(AND(W138="ALI",AC138="Simples"),7, IF(AND(W138="ALI",AC138="Médio"),10, IF(AND(W138="ALI",AC138="Complexo"),15, IF(AND(W138="AIE",AC138="Simples"),5, IF(AND(W138="AIE",AC138="Médio"),7, IF(AND(W138="AIE",AC138="Complexo"),10,0))))))</f>
        <v>0</v>
      </c>
      <c r="AG138" s="58">
        <f t="shared" ref="AG138:AG201" si="37">IF(T138="OK",Q138,( IF(U138&lt;&gt;"Manutenção em interface",IF(U138&lt;&gt;"Desenv., Manutenção e Publicação de Páginas Estáticas",(AE138+AF138)*V138,V138),V138)))</f>
        <v>0</v>
      </c>
      <c r="AH138" s="47"/>
      <c r="AJ138" s="47"/>
      <c r="AL138" s="47"/>
      <c r="AM138" s="47" t="str">
        <f t="shared" ref="AM138:AM201" si="38">IF(AG138=0,"",IF(AG138=Q138,"OK","Divergente"))</f>
        <v/>
      </c>
    </row>
    <row r="139" spans="1:39" s="56" customFormat="1" ht="14.25">
      <c r="A139" s="44"/>
      <c r="B139" s="45"/>
      <c r="C139" s="46">
        <f>IF(B139&lt;&gt;"",VLOOKUP(B139,'Tipo Projeto'!$A$3:$B$35,2,0),0)</f>
        <v>0</v>
      </c>
      <c r="D139" s="47"/>
      <c r="E139" s="47"/>
      <c r="F139" s="48"/>
      <c r="G139" s="47"/>
      <c r="H139" s="49"/>
      <c r="I139" s="50"/>
      <c r="J139" s="51"/>
      <c r="K139" s="52"/>
      <c r="L139" s="53" t="str">
        <f t="shared" si="26"/>
        <v/>
      </c>
      <c r="M139" s="48" t="str">
        <f t="shared" si="27"/>
        <v/>
      </c>
      <c r="N139" s="54" t="str">
        <f t="shared" si="28"/>
        <v/>
      </c>
      <c r="O139" s="55">
        <f t="shared" si="29"/>
        <v>0</v>
      </c>
      <c r="P139" s="55">
        <f t="shared" si="30"/>
        <v>0</v>
      </c>
      <c r="Q139" s="54">
        <f t="shared" si="31"/>
        <v>0</v>
      </c>
      <c r="R139" s="47"/>
      <c r="T139" s="57"/>
      <c r="U139" s="45"/>
      <c r="V139" s="46">
        <f>IF(U139&lt;&gt;"",VLOOKUP(U139,'Tipo Projeto'!$A$3:$B$35,2,0),0)</f>
        <v>0</v>
      </c>
      <c r="W139" s="203"/>
      <c r="X139" s="49"/>
      <c r="Y139" s="50"/>
      <c r="Z139" s="51"/>
      <c r="AA139" s="52"/>
      <c r="AB139" s="53" t="str">
        <f t="shared" si="32"/>
        <v/>
      </c>
      <c r="AC139" s="48" t="str">
        <f t="shared" si="33"/>
        <v/>
      </c>
      <c r="AD139" s="54" t="str">
        <f t="shared" si="34"/>
        <v/>
      </c>
      <c r="AE139" s="55">
        <f t="shared" si="35"/>
        <v>0</v>
      </c>
      <c r="AF139" s="55">
        <f t="shared" si="36"/>
        <v>0</v>
      </c>
      <c r="AG139" s="58">
        <f t="shared" si="37"/>
        <v>0</v>
      </c>
      <c r="AH139" s="47"/>
      <c r="AJ139" s="47"/>
      <c r="AL139" s="47"/>
      <c r="AM139" s="47" t="str">
        <f t="shared" si="38"/>
        <v/>
      </c>
    </row>
    <row r="140" spans="1:39" s="56" customFormat="1" ht="14.25">
      <c r="A140" s="44"/>
      <c r="B140" s="45"/>
      <c r="C140" s="46">
        <f>IF(B140&lt;&gt;"",VLOOKUP(B140,'Tipo Projeto'!$A$3:$B$35,2,0),0)</f>
        <v>0</v>
      </c>
      <c r="D140" s="47"/>
      <c r="E140" s="47"/>
      <c r="F140" s="48"/>
      <c r="G140" s="47"/>
      <c r="H140" s="49"/>
      <c r="I140" s="50"/>
      <c r="J140" s="51"/>
      <c r="K140" s="52"/>
      <c r="L140" s="53" t="str">
        <f t="shared" si="26"/>
        <v/>
      </c>
      <c r="M140" s="48" t="str">
        <f t="shared" si="27"/>
        <v/>
      </c>
      <c r="N140" s="54" t="str">
        <f t="shared" si="28"/>
        <v/>
      </c>
      <c r="O140" s="55">
        <f t="shared" si="29"/>
        <v>0</v>
      </c>
      <c r="P140" s="55">
        <f t="shared" si="30"/>
        <v>0</v>
      </c>
      <c r="Q140" s="54">
        <f t="shared" si="31"/>
        <v>0</v>
      </c>
      <c r="R140" s="47"/>
      <c r="T140" s="57"/>
      <c r="U140" s="45"/>
      <c r="V140" s="46">
        <f>IF(U140&lt;&gt;"",VLOOKUP(U140,'Tipo Projeto'!$A$3:$B$35,2,0),0)</f>
        <v>0</v>
      </c>
      <c r="W140" s="203"/>
      <c r="X140" s="49"/>
      <c r="Y140" s="50"/>
      <c r="Z140" s="51"/>
      <c r="AA140" s="52"/>
      <c r="AB140" s="53" t="str">
        <f t="shared" si="32"/>
        <v/>
      </c>
      <c r="AC140" s="48" t="str">
        <f t="shared" si="33"/>
        <v/>
      </c>
      <c r="AD140" s="54" t="str">
        <f t="shared" si="34"/>
        <v/>
      </c>
      <c r="AE140" s="55">
        <f t="shared" si="35"/>
        <v>0</v>
      </c>
      <c r="AF140" s="55">
        <f t="shared" si="36"/>
        <v>0</v>
      </c>
      <c r="AG140" s="58">
        <f t="shared" si="37"/>
        <v>0</v>
      </c>
      <c r="AH140" s="47"/>
      <c r="AJ140" s="47"/>
      <c r="AL140" s="47"/>
      <c r="AM140" s="47" t="str">
        <f t="shared" si="38"/>
        <v/>
      </c>
    </row>
    <row r="141" spans="1:39" s="56" customFormat="1" ht="14.25">
      <c r="A141" s="44"/>
      <c r="B141" s="45"/>
      <c r="C141" s="46">
        <f>IF(B141&lt;&gt;"",VLOOKUP(B141,'Tipo Projeto'!$A$3:$B$35,2,0),0)</f>
        <v>0</v>
      </c>
      <c r="D141" s="47"/>
      <c r="E141" s="47"/>
      <c r="F141" s="48"/>
      <c r="G141" s="47"/>
      <c r="H141" s="49"/>
      <c r="I141" s="50"/>
      <c r="J141" s="51"/>
      <c r="K141" s="52"/>
      <c r="L141" s="53" t="str">
        <f t="shared" si="26"/>
        <v/>
      </c>
      <c r="M141" s="48" t="str">
        <f t="shared" si="27"/>
        <v/>
      </c>
      <c r="N141" s="54" t="str">
        <f t="shared" si="28"/>
        <v/>
      </c>
      <c r="O141" s="55">
        <f t="shared" si="29"/>
        <v>0</v>
      </c>
      <c r="P141" s="55">
        <f t="shared" si="30"/>
        <v>0</v>
      </c>
      <c r="Q141" s="54">
        <f t="shared" si="31"/>
        <v>0</v>
      </c>
      <c r="R141" s="47"/>
      <c r="T141" s="57"/>
      <c r="U141" s="45"/>
      <c r="V141" s="46">
        <f>IF(U141&lt;&gt;"",VLOOKUP(U141,'Tipo Projeto'!$A$3:$B$35,2,0),0)</f>
        <v>0</v>
      </c>
      <c r="W141" s="203"/>
      <c r="X141" s="49"/>
      <c r="Y141" s="50"/>
      <c r="Z141" s="51"/>
      <c r="AA141" s="52"/>
      <c r="AB141" s="53" t="str">
        <f t="shared" si="32"/>
        <v/>
      </c>
      <c r="AC141" s="48" t="str">
        <f t="shared" si="33"/>
        <v/>
      </c>
      <c r="AD141" s="54" t="str">
        <f t="shared" si="34"/>
        <v/>
      </c>
      <c r="AE141" s="55">
        <f t="shared" si="35"/>
        <v>0</v>
      </c>
      <c r="AF141" s="55">
        <f t="shared" si="36"/>
        <v>0</v>
      </c>
      <c r="AG141" s="58">
        <f t="shared" si="37"/>
        <v>0</v>
      </c>
      <c r="AH141" s="47"/>
      <c r="AJ141" s="47"/>
      <c r="AL141" s="47"/>
      <c r="AM141" s="47" t="str">
        <f t="shared" si="38"/>
        <v/>
      </c>
    </row>
    <row r="142" spans="1:39" s="56" customFormat="1" ht="14.25">
      <c r="A142" s="44"/>
      <c r="B142" s="45"/>
      <c r="C142" s="46">
        <f>IF(B142&lt;&gt;"",VLOOKUP(B142,'Tipo Projeto'!$A$3:$B$35,2,0),0)</f>
        <v>0</v>
      </c>
      <c r="D142" s="47"/>
      <c r="E142" s="47"/>
      <c r="F142" s="48"/>
      <c r="G142" s="47"/>
      <c r="H142" s="49"/>
      <c r="I142" s="50"/>
      <c r="J142" s="51"/>
      <c r="K142" s="52"/>
      <c r="L142" s="53" t="str">
        <f t="shared" si="26"/>
        <v/>
      </c>
      <c r="M142" s="48" t="str">
        <f t="shared" si="27"/>
        <v/>
      </c>
      <c r="N142" s="54" t="str">
        <f t="shared" si="28"/>
        <v/>
      </c>
      <c r="O142" s="55">
        <f t="shared" si="29"/>
        <v>0</v>
      </c>
      <c r="P142" s="55">
        <f t="shared" si="30"/>
        <v>0</v>
      </c>
      <c r="Q142" s="54">
        <f t="shared" si="31"/>
        <v>0</v>
      </c>
      <c r="R142" s="47"/>
      <c r="T142" s="57"/>
      <c r="U142" s="45"/>
      <c r="V142" s="46">
        <f>IF(U142&lt;&gt;"",VLOOKUP(U142,'Tipo Projeto'!$A$3:$B$35,2,0),0)</f>
        <v>0</v>
      </c>
      <c r="W142" s="203"/>
      <c r="X142" s="49"/>
      <c r="Y142" s="50"/>
      <c r="Z142" s="51"/>
      <c r="AA142" s="52"/>
      <c r="AB142" s="53" t="str">
        <f t="shared" si="32"/>
        <v/>
      </c>
      <c r="AC142" s="48" t="str">
        <f t="shared" si="33"/>
        <v/>
      </c>
      <c r="AD142" s="54" t="str">
        <f t="shared" si="34"/>
        <v/>
      </c>
      <c r="AE142" s="55">
        <f t="shared" si="35"/>
        <v>0</v>
      </c>
      <c r="AF142" s="55">
        <f t="shared" si="36"/>
        <v>0</v>
      </c>
      <c r="AG142" s="58">
        <f t="shared" si="37"/>
        <v>0</v>
      </c>
      <c r="AH142" s="47"/>
      <c r="AJ142" s="47"/>
      <c r="AL142" s="47"/>
      <c r="AM142" s="47" t="str">
        <f t="shared" si="38"/>
        <v/>
      </c>
    </row>
    <row r="143" spans="1:39" s="56" customFormat="1" ht="14.25">
      <c r="A143" s="44"/>
      <c r="B143" s="45"/>
      <c r="C143" s="46">
        <f>IF(B143&lt;&gt;"",VLOOKUP(B143,'Tipo Projeto'!$A$3:$B$35,2,0),0)</f>
        <v>0</v>
      </c>
      <c r="D143" s="47"/>
      <c r="E143" s="47"/>
      <c r="F143" s="48"/>
      <c r="G143" s="47"/>
      <c r="H143" s="49"/>
      <c r="I143" s="50"/>
      <c r="J143" s="51"/>
      <c r="K143" s="52"/>
      <c r="L143" s="53" t="str">
        <f t="shared" si="26"/>
        <v/>
      </c>
      <c r="M143" s="48" t="str">
        <f t="shared" si="27"/>
        <v/>
      </c>
      <c r="N143" s="54" t="str">
        <f t="shared" si="28"/>
        <v/>
      </c>
      <c r="O143" s="55">
        <f t="shared" si="29"/>
        <v>0</v>
      </c>
      <c r="P143" s="55">
        <f t="shared" si="30"/>
        <v>0</v>
      </c>
      <c r="Q143" s="54">
        <f t="shared" si="31"/>
        <v>0</v>
      </c>
      <c r="R143" s="47"/>
      <c r="T143" s="57"/>
      <c r="U143" s="45"/>
      <c r="V143" s="46">
        <f>IF(U143&lt;&gt;"",VLOOKUP(U143,'Tipo Projeto'!$A$3:$B$35,2,0),0)</f>
        <v>0</v>
      </c>
      <c r="W143" s="203"/>
      <c r="X143" s="49"/>
      <c r="Y143" s="50"/>
      <c r="Z143" s="51"/>
      <c r="AA143" s="52"/>
      <c r="AB143" s="53" t="str">
        <f t="shared" si="32"/>
        <v/>
      </c>
      <c r="AC143" s="48" t="str">
        <f t="shared" si="33"/>
        <v/>
      </c>
      <c r="AD143" s="54" t="str">
        <f t="shared" si="34"/>
        <v/>
      </c>
      <c r="AE143" s="55">
        <f t="shared" si="35"/>
        <v>0</v>
      </c>
      <c r="AF143" s="55">
        <f t="shared" si="36"/>
        <v>0</v>
      </c>
      <c r="AG143" s="58">
        <f t="shared" si="37"/>
        <v>0</v>
      </c>
      <c r="AH143" s="47"/>
      <c r="AJ143" s="47"/>
      <c r="AL143" s="47"/>
      <c r="AM143" s="47" t="str">
        <f t="shared" si="38"/>
        <v/>
      </c>
    </row>
    <row r="144" spans="1:39" s="56" customFormat="1" ht="14.25">
      <c r="A144" s="44"/>
      <c r="B144" s="45"/>
      <c r="C144" s="46">
        <f>IF(B144&lt;&gt;"",VLOOKUP(B144,'Tipo Projeto'!$A$3:$B$35,2,0),0)</f>
        <v>0</v>
      </c>
      <c r="D144" s="47"/>
      <c r="E144" s="47"/>
      <c r="F144" s="48"/>
      <c r="G144" s="47"/>
      <c r="H144" s="49"/>
      <c r="I144" s="50"/>
      <c r="J144" s="51"/>
      <c r="K144" s="52"/>
      <c r="L144" s="53" t="str">
        <f t="shared" si="26"/>
        <v/>
      </c>
      <c r="M144" s="48" t="str">
        <f t="shared" si="27"/>
        <v/>
      </c>
      <c r="N144" s="54" t="str">
        <f t="shared" si="28"/>
        <v/>
      </c>
      <c r="O144" s="55">
        <f t="shared" si="29"/>
        <v>0</v>
      </c>
      <c r="P144" s="55">
        <f t="shared" si="30"/>
        <v>0</v>
      </c>
      <c r="Q144" s="54">
        <f t="shared" si="31"/>
        <v>0</v>
      </c>
      <c r="R144" s="47"/>
      <c r="T144" s="57"/>
      <c r="U144" s="45"/>
      <c r="V144" s="46">
        <f>IF(U144&lt;&gt;"",VLOOKUP(U144,'Tipo Projeto'!$A$3:$B$35,2,0),0)</f>
        <v>0</v>
      </c>
      <c r="W144" s="203"/>
      <c r="X144" s="49"/>
      <c r="Y144" s="50"/>
      <c r="Z144" s="51"/>
      <c r="AA144" s="52"/>
      <c r="AB144" s="53" t="str">
        <f t="shared" si="32"/>
        <v/>
      </c>
      <c r="AC144" s="48" t="str">
        <f t="shared" si="33"/>
        <v/>
      </c>
      <c r="AD144" s="54" t="str">
        <f t="shared" si="34"/>
        <v/>
      </c>
      <c r="AE144" s="55">
        <f t="shared" si="35"/>
        <v>0</v>
      </c>
      <c r="AF144" s="55">
        <f t="shared" si="36"/>
        <v>0</v>
      </c>
      <c r="AG144" s="58">
        <f t="shared" si="37"/>
        <v>0</v>
      </c>
      <c r="AH144" s="47"/>
      <c r="AJ144" s="47"/>
      <c r="AL144" s="47"/>
      <c r="AM144" s="47" t="str">
        <f t="shared" si="38"/>
        <v/>
      </c>
    </row>
    <row r="145" spans="1:39" s="56" customFormat="1" ht="14.25">
      <c r="A145" s="44"/>
      <c r="B145" s="45"/>
      <c r="C145" s="46">
        <f>IF(B145&lt;&gt;"",VLOOKUP(B145,'Tipo Projeto'!$A$3:$B$35,2,0),0)</f>
        <v>0</v>
      </c>
      <c r="D145" s="47"/>
      <c r="E145" s="47"/>
      <c r="F145" s="48"/>
      <c r="G145" s="47"/>
      <c r="H145" s="49"/>
      <c r="I145" s="50"/>
      <c r="J145" s="51"/>
      <c r="K145" s="52"/>
      <c r="L145" s="53" t="str">
        <f t="shared" si="26"/>
        <v/>
      </c>
      <c r="M145" s="48" t="str">
        <f t="shared" si="27"/>
        <v/>
      </c>
      <c r="N145" s="54" t="str">
        <f t="shared" si="28"/>
        <v/>
      </c>
      <c r="O145" s="55">
        <f t="shared" si="29"/>
        <v>0</v>
      </c>
      <c r="P145" s="55">
        <f t="shared" si="30"/>
        <v>0</v>
      </c>
      <c r="Q145" s="54">
        <f t="shared" si="31"/>
        <v>0</v>
      </c>
      <c r="R145" s="47"/>
      <c r="T145" s="57"/>
      <c r="U145" s="45"/>
      <c r="V145" s="46">
        <f>IF(U145&lt;&gt;"",VLOOKUP(U145,'Tipo Projeto'!$A$3:$B$35,2,0),0)</f>
        <v>0</v>
      </c>
      <c r="W145" s="203"/>
      <c r="X145" s="49"/>
      <c r="Y145" s="50"/>
      <c r="Z145" s="51"/>
      <c r="AA145" s="52"/>
      <c r="AB145" s="53" t="str">
        <f t="shared" si="32"/>
        <v/>
      </c>
      <c r="AC145" s="48" t="str">
        <f t="shared" si="33"/>
        <v/>
      </c>
      <c r="AD145" s="54" t="str">
        <f t="shared" si="34"/>
        <v/>
      </c>
      <c r="AE145" s="55">
        <f t="shared" si="35"/>
        <v>0</v>
      </c>
      <c r="AF145" s="55">
        <f t="shared" si="36"/>
        <v>0</v>
      </c>
      <c r="AG145" s="58">
        <f t="shared" si="37"/>
        <v>0</v>
      </c>
      <c r="AH145" s="47"/>
      <c r="AJ145" s="47"/>
      <c r="AL145" s="47"/>
      <c r="AM145" s="47" t="str">
        <f t="shared" si="38"/>
        <v/>
      </c>
    </row>
    <row r="146" spans="1:39" s="56" customFormat="1" ht="14.25">
      <c r="A146" s="44"/>
      <c r="B146" s="45"/>
      <c r="C146" s="46">
        <f>IF(B146&lt;&gt;"",VLOOKUP(B146,'Tipo Projeto'!$A$3:$B$35,2,0),0)</f>
        <v>0</v>
      </c>
      <c r="D146" s="47"/>
      <c r="E146" s="47"/>
      <c r="F146" s="48"/>
      <c r="G146" s="47"/>
      <c r="H146" s="49"/>
      <c r="I146" s="50"/>
      <c r="J146" s="51"/>
      <c r="K146" s="52"/>
      <c r="L146" s="53" t="str">
        <f t="shared" si="26"/>
        <v/>
      </c>
      <c r="M146" s="48" t="str">
        <f t="shared" si="27"/>
        <v/>
      </c>
      <c r="N146" s="54" t="str">
        <f t="shared" si="28"/>
        <v/>
      </c>
      <c r="O146" s="55">
        <f t="shared" si="29"/>
        <v>0</v>
      </c>
      <c r="P146" s="55">
        <f t="shared" si="30"/>
        <v>0</v>
      </c>
      <c r="Q146" s="54">
        <f t="shared" si="31"/>
        <v>0</v>
      </c>
      <c r="R146" s="47"/>
      <c r="T146" s="57"/>
      <c r="U146" s="45"/>
      <c r="V146" s="46">
        <f>IF(U146&lt;&gt;"",VLOOKUP(U146,'Tipo Projeto'!$A$3:$B$35,2,0),0)</f>
        <v>0</v>
      </c>
      <c r="W146" s="203"/>
      <c r="X146" s="49"/>
      <c r="Y146" s="50"/>
      <c r="Z146" s="51"/>
      <c r="AA146" s="52"/>
      <c r="AB146" s="53" t="str">
        <f t="shared" si="32"/>
        <v/>
      </c>
      <c r="AC146" s="48" t="str">
        <f t="shared" si="33"/>
        <v/>
      </c>
      <c r="AD146" s="54" t="str">
        <f t="shared" si="34"/>
        <v/>
      </c>
      <c r="AE146" s="55">
        <f t="shared" si="35"/>
        <v>0</v>
      </c>
      <c r="AF146" s="55">
        <f t="shared" si="36"/>
        <v>0</v>
      </c>
      <c r="AG146" s="58">
        <f t="shared" si="37"/>
        <v>0</v>
      </c>
      <c r="AH146" s="47"/>
      <c r="AJ146" s="47"/>
      <c r="AL146" s="47"/>
      <c r="AM146" s="47" t="str">
        <f t="shared" si="38"/>
        <v/>
      </c>
    </row>
    <row r="147" spans="1:39" s="56" customFormat="1" ht="14.25">
      <c r="A147" s="44"/>
      <c r="B147" s="45"/>
      <c r="C147" s="46">
        <f>IF(B147&lt;&gt;"",VLOOKUP(B147,'Tipo Projeto'!$A$3:$B$35,2,0),0)</f>
        <v>0</v>
      </c>
      <c r="D147" s="47"/>
      <c r="E147" s="47"/>
      <c r="F147" s="48"/>
      <c r="G147" s="47"/>
      <c r="H147" s="49"/>
      <c r="I147" s="50"/>
      <c r="J147" s="51"/>
      <c r="K147" s="52"/>
      <c r="L147" s="53" t="str">
        <f t="shared" si="26"/>
        <v/>
      </c>
      <c r="M147" s="48" t="str">
        <f t="shared" si="27"/>
        <v/>
      </c>
      <c r="N147" s="54" t="str">
        <f t="shared" si="28"/>
        <v/>
      </c>
      <c r="O147" s="55">
        <f t="shared" si="29"/>
        <v>0</v>
      </c>
      <c r="P147" s="55">
        <f t="shared" si="30"/>
        <v>0</v>
      </c>
      <c r="Q147" s="54">
        <f t="shared" si="31"/>
        <v>0</v>
      </c>
      <c r="R147" s="47"/>
      <c r="T147" s="57"/>
      <c r="U147" s="45"/>
      <c r="V147" s="46">
        <f>IF(U147&lt;&gt;"",VLOOKUP(U147,'Tipo Projeto'!$A$3:$B$35,2,0),0)</f>
        <v>0</v>
      </c>
      <c r="W147" s="203"/>
      <c r="X147" s="49"/>
      <c r="Y147" s="50"/>
      <c r="Z147" s="51"/>
      <c r="AA147" s="52"/>
      <c r="AB147" s="53" t="str">
        <f t="shared" si="32"/>
        <v/>
      </c>
      <c r="AC147" s="48" t="str">
        <f t="shared" si="33"/>
        <v/>
      </c>
      <c r="AD147" s="54" t="str">
        <f t="shared" si="34"/>
        <v/>
      </c>
      <c r="AE147" s="55">
        <f t="shared" si="35"/>
        <v>0</v>
      </c>
      <c r="AF147" s="55">
        <f t="shared" si="36"/>
        <v>0</v>
      </c>
      <c r="AG147" s="58">
        <f t="shared" si="37"/>
        <v>0</v>
      </c>
      <c r="AH147" s="47"/>
      <c r="AJ147" s="47"/>
      <c r="AL147" s="47"/>
      <c r="AM147" s="47" t="str">
        <f t="shared" si="38"/>
        <v/>
      </c>
    </row>
    <row r="148" spans="1:39" s="56" customFormat="1" ht="14.25">
      <c r="A148" s="44"/>
      <c r="B148" s="45"/>
      <c r="C148" s="46">
        <f>IF(B148&lt;&gt;"",VLOOKUP(B148,'Tipo Projeto'!$A$3:$B$35,2,0),0)</f>
        <v>0</v>
      </c>
      <c r="D148" s="47"/>
      <c r="E148" s="47"/>
      <c r="F148" s="48"/>
      <c r="G148" s="47"/>
      <c r="H148" s="49"/>
      <c r="I148" s="50"/>
      <c r="J148" s="51"/>
      <c r="K148" s="52"/>
      <c r="L148" s="53" t="str">
        <f t="shared" si="26"/>
        <v/>
      </c>
      <c r="M148" s="48" t="str">
        <f t="shared" si="27"/>
        <v/>
      </c>
      <c r="N148" s="54" t="str">
        <f t="shared" si="28"/>
        <v/>
      </c>
      <c r="O148" s="55">
        <f t="shared" si="29"/>
        <v>0</v>
      </c>
      <c r="P148" s="55">
        <f t="shared" si="30"/>
        <v>0</v>
      </c>
      <c r="Q148" s="54">
        <f t="shared" si="31"/>
        <v>0</v>
      </c>
      <c r="R148" s="47"/>
      <c r="T148" s="57"/>
      <c r="U148" s="45"/>
      <c r="V148" s="46">
        <f>IF(U148&lt;&gt;"",VLOOKUP(U148,'Tipo Projeto'!$A$3:$B$35,2,0),0)</f>
        <v>0</v>
      </c>
      <c r="W148" s="203"/>
      <c r="X148" s="49"/>
      <c r="Y148" s="50"/>
      <c r="Z148" s="51"/>
      <c r="AA148" s="52"/>
      <c r="AB148" s="53" t="str">
        <f t="shared" si="32"/>
        <v/>
      </c>
      <c r="AC148" s="48" t="str">
        <f t="shared" si="33"/>
        <v/>
      </c>
      <c r="AD148" s="54" t="str">
        <f t="shared" si="34"/>
        <v/>
      </c>
      <c r="AE148" s="55">
        <f t="shared" si="35"/>
        <v>0</v>
      </c>
      <c r="AF148" s="55">
        <f t="shared" si="36"/>
        <v>0</v>
      </c>
      <c r="AG148" s="58">
        <f t="shared" si="37"/>
        <v>0</v>
      </c>
      <c r="AH148" s="47"/>
      <c r="AJ148" s="47"/>
      <c r="AL148" s="47"/>
      <c r="AM148" s="47" t="str">
        <f t="shared" si="38"/>
        <v/>
      </c>
    </row>
    <row r="149" spans="1:39" s="56" customFormat="1" ht="14.25">
      <c r="A149" s="44"/>
      <c r="B149" s="45"/>
      <c r="C149" s="46">
        <f>IF(B149&lt;&gt;"",VLOOKUP(B149,'Tipo Projeto'!$A$3:$B$35,2,0),0)</f>
        <v>0</v>
      </c>
      <c r="D149" s="47"/>
      <c r="E149" s="47"/>
      <c r="F149" s="48"/>
      <c r="G149" s="47"/>
      <c r="H149" s="49"/>
      <c r="I149" s="50"/>
      <c r="J149" s="51"/>
      <c r="K149" s="52"/>
      <c r="L149" s="53" t="str">
        <f t="shared" si="26"/>
        <v/>
      </c>
      <c r="M149" s="48" t="str">
        <f t="shared" si="27"/>
        <v/>
      </c>
      <c r="N149" s="54" t="str">
        <f t="shared" si="28"/>
        <v/>
      </c>
      <c r="O149" s="55">
        <f t="shared" si="29"/>
        <v>0</v>
      </c>
      <c r="P149" s="55">
        <f t="shared" si="30"/>
        <v>0</v>
      </c>
      <c r="Q149" s="54">
        <f t="shared" si="31"/>
        <v>0</v>
      </c>
      <c r="R149" s="47"/>
      <c r="T149" s="57"/>
      <c r="U149" s="45"/>
      <c r="V149" s="46">
        <f>IF(U149&lt;&gt;"",VLOOKUP(U149,'Tipo Projeto'!$A$3:$B$35,2,0),0)</f>
        <v>0</v>
      </c>
      <c r="W149" s="203"/>
      <c r="X149" s="49"/>
      <c r="Y149" s="50"/>
      <c r="Z149" s="51"/>
      <c r="AA149" s="52"/>
      <c r="AB149" s="53" t="str">
        <f t="shared" si="32"/>
        <v/>
      </c>
      <c r="AC149" s="48" t="str">
        <f t="shared" si="33"/>
        <v/>
      </c>
      <c r="AD149" s="54" t="str">
        <f t="shared" si="34"/>
        <v/>
      </c>
      <c r="AE149" s="55">
        <f t="shared" si="35"/>
        <v>0</v>
      </c>
      <c r="AF149" s="55">
        <f t="shared" si="36"/>
        <v>0</v>
      </c>
      <c r="AG149" s="58">
        <f t="shared" si="37"/>
        <v>0</v>
      </c>
      <c r="AH149" s="47"/>
      <c r="AJ149" s="47"/>
      <c r="AL149" s="47"/>
      <c r="AM149" s="47" t="str">
        <f t="shared" si="38"/>
        <v/>
      </c>
    </row>
    <row r="150" spans="1:39" s="56" customFormat="1" ht="14.25">
      <c r="A150" s="44"/>
      <c r="B150" s="45"/>
      <c r="C150" s="46">
        <f>IF(B150&lt;&gt;"",VLOOKUP(B150,'Tipo Projeto'!$A$3:$B$35,2,0),0)</f>
        <v>0</v>
      </c>
      <c r="D150" s="47"/>
      <c r="E150" s="47"/>
      <c r="F150" s="48"/>
      <c r="G150" s="47"/>
      <c r="H150" s="49"/>
      <c r="I150" s="50"/>
      <c r="J150" s="51"/>
      <c r="K150" s="52"/>
      <c r="L150" s="53" t="str">
        <f t="shared" si="26"/>
        <v/>
      </c>
      <c r="M150" s="48" t="str">
        <f t="shared" si="27"/>
        <v/>
      </c>
      <c r="N150" s="54" t="str">
        <f t="shared" si="28"/>
        <v/>
      </c>
      <c r="O150" s="55">
        <f t="shared" si="29"/>
        <v>0</v>
      </c>
      <c r="P150" s="55">
        <f t="shared" si="30"/>
        <v>0</v>
      </c>
      <c r="Q150" s="54">
        <f t="shared" si="31"/>
        <v>0</v>
      </c>
      <c r="R150" s="47"/>
      <c r="T150" s="57"/>
      <c r="U150" s="45"/>
      <c r="V150" s="46">
        <f>IF(U150&lt;&gt;"",VLOOKUP(U150,'Tipo Projeto'!$A$3:$B$35,2,0),0)</f>
        <v>0</v>
      </c>
      <c r="W150" s="203"/>
      <c r="X150" s="49"/>
      <c r="Y150" s="50"/>
      <c r="Z150" s="51"/>
      <c r="AA150" s="52"/>
      <c r="AB150" s="53" t="str">
        <f t="shared" si="32"/>
        <v/>
      </c>
      <c r="AC150" s="48" t="str">
        <f t="shared" si="33"/>
        <v/>
      </c>
      <c r="AD150" s="54" t="str">
        <f t="shared" si="34"/>
        <v/>
      </c>
      <c r="AE150" s="55">
        <f t="shared" si="35"/>
        <v>0</v>
      </c>
      <c r="AF150" s="55">
        <f t="shared" si="36"/>
        <v>0</v>
      </c>
      <c r="AG150" s="58">
        <f t="shared" si="37"/>
        <v>0</v>
      </c>
      <c r="AH150" s="47"/>
      <c r="AJ150" s="47"/>
      <c r="AL150" s="47"/>
      <c r="AM150" s="47" t="str">
        <f t="shared" si="38"/>
        <v/>
      </c>
    </row>
    <row r="151" spans="1:39" s="56" customFormat="1" ht="14.25">
      <c r="A151" s="44"/>
      <c r="B151" s="45"/>
      <c r="C151" s="46">
        <f>IF(B151&lt;&gt;"",VLOOKUP(B151,'Tipo Projeto'!$A$3:$B$35,2,0),0)</f>
        <v>0</v>
      </c>
      <c r="D151" s="47"/>
      <c r="E151" s="47"/>
      <c r="F151" s="48"/>
      <c r="G151" s="47"/>
      <c r="H151" s="49"/>
      <c r="I151" s="50"/>
      <c r="J151" s="51"/>
      <c r="K151" s="52"/>
      <c r="L151" s="53" t="str">
        <f t="shared" si="26"/>
        <v/>
      </c>
      <c r="M151" s="48" t="str">
        <f t="shared" si="27"/>
        <v/>
      </c>
      <c r="N151" s="54" t="str">
        <f t="shared" si="28"/>
        <v/>
      </c>
      <c r="O151" s="55">
        <f t="shared" si="29"/>
        <v>0</v>
      </c>
      <c r="P151" s="55">
        <f t="shared" si="30"/>
        <v>0</v>
      </c>
      <c r="Q151" s="54">
        <f t="shared" si="31"/>
        <v>0</v>
      </c>
      <c r="R151" s="47"/>
      <c r="T151" s="57"/>
      <c r="U151" s="45"/>
      <c r="V151" s="46">
        <f>IF(U151&lt;&gt;"",VLOOKUP(U151,'Tipo Projeto'!$A$3:$B$35,2,0),0)</f>
        <v>0</v>
      </c>
      <c r="W151" s="203"/>
      <c r="X151" s="49"/>
      <c r="Y151" s="50"/>
      <c r="Z151" s="51"/>
      <c r="AA151" s="52"/>
      <c r="AB151" s="53" t="str">
        <f t="shared" si="32"/>
        <v/>
      </c>
      <c r="AC151" s="48" t="str">
        <f t="shared" si="33"/>
        <v/>
      </c>
      <c r="AD151" s="54" t="str">
        <f t="shared" si="34"/>
        <v/>
      </c>
      <c r="AE151" s="55">
        <f t="shared" si="35"/>
        <v>0</v>
      </c>
      <c r="AF151" s="55">
        <f t="shared" si="36"/>
        <v>0</v>
      </c>
      <c r="AG151" s="58">
        <f t="shared" si="37"/>
        <v>0</v>
      </c>
      <c r="AH151" s="47"/>
      <c r="AJ151" s="47"/>
      <c r="AL151" s="47"/>
      <c r="AM151" s="47" t="str">
        <f t="shared" si="38"/>
        <v/>
      </c>
    </row>
    <row r="152" spans="1:39" s="56" customFormat="1" ht="14.25">
      <c r="A152" s="44"/>
      <c r="B152" s="45"/>
      <c r="C152" s="46">
        <f>IF(B152&lt;&gt;"",VLOOKUP(B152,'Tipo Projeto'!$A$3:$B$35,2,0),0)</f>
        <v>0</v>
      </c>
      <c r="D152" s="47"/>
      <c r="E152" s="47"/>
      <c r="F152" s="48"/>
      <c r="G152" s="47"/>
      <c r="H152" s="49"/>
      <c r="I152" s="50"/>
      <c r="J152" s="51"/>
      <c r="K152" s="52"/>
      <c r="L152" s="53" t="str">
        <f t="shared" si="26"/>
        <v/>
      </c>
      <c r="M152" s="48" t="str">
        <f t="shared" si="27"/>
        <v/>
      </c>
      <c r="N152" s="54" t="str">
        <f t="shared" si="28"/>
        <v/>
      </c>
      <c r="O152" s="55">
        <f t="shared" si="29"/>
        <v>0</v>
      </c>
      <c r="P152" s="55">
        <f t="shared" si="30"/>
        <v>0</v>
      </c>
      <c r="Q152" s="54">
        <f t="shared" si="31"/>
        <v>0</v>
      </c>
      <c r="R152" s="47"/>
      <c r="T152" s="57"/>
      <c r="U152" s="45"/>
      <c r="V152" s="46">
        <f>IF(U152&lt;&gt;"",VLOOKUP(U152,'Tipo Projeto'!$A$3:$B$35,2,0),0)</f>
        <v>0</v>
      </c>
      <c r="W152" s="203"/>
      <c r="X152" s="49"/>
      <c r="Y152" s="50"/>
      <c r="Z152" s="51"/>
      <c r="AA152" s="52"/>
      <c r="AB152" s="53" t="str">
        <f t="shared" si="32"/>
        <v/>
      </c>
      <c r="AC152" s="48" t="str">
        <f t="shared" si="33"/>
        <v/>
      </c>
      <c r="AD152" s="54" t="str">
        <f t="shared" si="34"/>
        <v/>
      </c>
      <c r="AE152" s="55">
        <f t="shared" si="35"/>
        <v>0</v>
      </c>
      <c r="AF152" s="55">
        <f t="shared" si="36"/>
        <v>0</v>
      </c>
      <c r="AG152" s="58">
        <f t="shared" si="37"/>
        <v>0</v>
      </c>
      <c r="AH152" s="47"/>
      <c r="AJ152" s="47"/>
      <c r="AL152" s="47"/>
      <c r="AM152" s="47" t="str">
        <f t="shared" si="38"/>
        <v/>
      </c>
    </row>
    <row r="153" spans="1:39" s="56" customFormat="1" ht="14.25">
      <c r="A153" s="44"/>
      <c r="B153" s="45"/>
      <c r="C153" s="46">
        <f>IF(B153&lt;&gt;"",VLOOKUP(B153,'Tipo Projeto'!$A$3:$B$35,2,0),0)</f>
        <v>0</v>
      </c>
      <c r="D153" s="47"/>
      <c r="E153" s="47"/>
      <c r="F153" s="48"/>
      <c r="G153" s="47"/>
      <c r="H153" s="49"/>
      <c r="I153" s="50"/>
      <c r="J153" s="51"/>
      <c r="K153" s="52"/>
      <c r="L153" s="53" t="str">
        <f t="shared" si="26"/>
        <v/>
      </c>
      <c r="M153" s="48" t="str">
        <f t="shared" si="27"/>
        <v/>
      </c>
      <c r="N153" s="54" t="str">
        <f t="shared" si="28"/>
        <v/>
      </c>
      <c r="O153" s="55">
        <f t="shared" si="29"/>
        <v>0</v>
      </c>
      <c r="P153" s="55">
        <f t="shared" si="30"/>
        <v>0</v>
      </c>
      <c r="Q153" s="54">
        <f t="shared" si="31"/>
        <v>0</v>
      </c>
      <c r="R153" s="47"/>
      <c r="T153" s="57"/>
      <c r="U153" s="45"/>
      <c r="V153" s="46">
        <f>IF(U153&lt;&gt;"",VLOOKUP(U153,'Tipo Projeto'!$A$3:$B$35,2,0),0)</f>
        <v>0</v>
      </c>
      <c r="W153" s="203"/>
      <c r="X153" s="49"/>
      <c r="Y153" s="50"/>
      <c r="Z153" s="51"/>
      <c r="AA153" s="52"/>
      <c r="AB153" s="53" t="str">
        <f t="shared" si="32"/>
        <v/>
      </c>
      <c r="AC153" s="48" t="str">
        <f t="shared" si="33"/>
        <v/>
      </c>
      <c r="AD153" s="54" t="str">
        <f t="shared" si="34"/>
        <v/>
      </c>
      <c r="AE153" s="55">
        <f t="shared" si="35"/>
        <v>0</v>
      </c>
      <c r="AF153" s="55">
        <f t="shared" si="36"/>
        <v>0</v>
      </c>
      <c r="AG153" s="58">
        <f t="shared" si="37"/>
        <v>0</v>
      </c>
      <c r="AH153" s="47"/>
      <c r="AJ153" s="47"/>
      <c r="AL153" s="47"/>
      <c r="AM153" s="47" t="str">
        <f t="shared" si="38"/>
        <v/>
      </c>
    </row>
    <row r="154" spans="1:39" s="56" customFormat="1" ht="14.25">
      <c r="A154" s="44"/>
      <c r="B154" s="45"/>
      <c r="C154" s="46">
        <f>IF(B154&lt;&gt;"",VLOOKUP(B154,'Tipo Projeto'!$A$3:$B$35,2,0),0)</f>
        <v>0</v>
      </c>
      <c r="D154" s="47"/>
      <c r="E154" s="47"/>
      <c r="F154" s="48"/>
      <c r="G154" s="47"/>
      <c r="H154" s="49"/>
      <c r="I154" s="50"/>
      <c r="J154" s="51"/>
      <c r="K154" s="52"/>
      <c r="L154" s="53" t="str">
        <f t="shared" si="26"/>
        <v/>
      </c>
      <c r="M154" s="48" t="str">
        <f t="shared" si="27"/>
        <v/>
      </c>
      <c r="N154" s="54" t="str">
        <f t="shared" si="28"/>
        <v/>
      </c>
      <c r="O154" s="55">
        <f t="shared" si="29"/>
        <v>0</v>
      </c>
      <c r="P154" s="55">
        <f t="shared" si="30"/>
        <v>0</v>
      </c>
      <c r="Q154" s="54">
        <f t="shared" si="31"/>
        <v>0</v>
      </c>
      <c r="R154" s="47"/>
      <c r="T154" s="57"/>
      <c r="U154" s="45"/>
      <c r="V154" s="46">
        <f>IF(U154&lt;&gt;"",VLOOKUP(U154,'Tipo Projeto'!$A$3:$B$35,2,0),0)</f>
        <v>0</v>
      </c>
      <c r="W154" s="203"/>
      <c r="X154" s="49"/>
      <c r="Y154" s="50"/>
      <c r="Z154" s="51"/>
      <c r="AA154" s="52"/>
      <c r="AB154" s="53" t="str">
        <f t="shared" si="32"/>
        <v/>
      </c>
      <c r="AC154" s="48" t="str">
        <f t="shared" si="33"/>
        <v/>
      </c>
      <c r="AD154" s="54" t="str">
        <f t="shared" si="34"/>
        <v/>
      </c>
      <c r="AE154" s="55">
        <f t="shared" si="35"/>
        <v>0</v>
      </c>
      <c r="AF154" s="55">
        <f t="shared" si="36"/>
        <v>0</v>
      </c>
      <c r="AG154" s="58">
        <f t="shared" si="37"/>
        <v>0</v>
      </c>
      <c r="AH154" s="47"/>
      <c r="AJ154" s="47"/>
      <c r="AL154" s="47"/>
      <c r="AM154" s="47" t="str">
        <f t="shared" si="38"/>
        <v/>
      </c>
    </row>
    <row r="155" spans="1:39" s="56" customFormat="1" ht="14.25">
      <c r="A155" s="44"/>
      <c r="B155" s="45"/>
      <c r="C155" s="46">
        <f>IF(B155&lt;&gt;"",VLOOKUP(B155,'Tipo Projeto'!$A$3:$B$35,2,0),0)</f>
        <v>0</v>
      </c>
      <c r="D155" s="47"/>
      <c r="E155" s="47"/>
      <c r="F155" s="48"/>
      <c r="G155" s="47"/>
      <c r="H155" s="49"/>
      <c r="I155" s="50"/>
      <c r="J155" s="51"/>
      <c r="K155" s="52"/>
      <c r="L155" s="53" t="str">
        <f t="shared" si="26"/>
        <v/>
      </c>
      <c r="M155" s="48" t="str">
        <f t="shared" si="27"/>
        <v/>
      </c>
      <c r="N155" s="54" t="str">
        <f t="shared" si="28"/>
        <v/>
      </c>
      <c r="O155" s="55">
        <f t="shared" si="29"/>
        <v>0</v>
      </c>
      <c r="P155" s="55">
        <f t="shared" si="30"/>
        <v>0</v>
      </c>
      <c r="Q155" s="54">
        <f t="shared" si="31"/>
        <v>0</v>
      </c>
      <c r="R155" s="47"/>
      <c r="T155" s="57"/>
      <c r="U155" s="45"/>
      <c r="V155" s="46">
        <f>IF(U155&lt;&gt;"",VLOOKUP(U155,'Tipo Projeto'!$A$3:$B$35,2,0),0)</f>
        <v>0</v>
      </c>
      <c r="W155" s="203"/>
      <c r="X155" s="49"/>
      <c r="Y155" s="50"/>
      <c r="Z155" s="51"/>
      <c r="AA155" s="52"/>
      <c r="AB155" s="53" t="str">
        <f t="shared" si="32"/>
        <v/>
      </c>
      <c r="AC155" s="48" t="str">
        <f t="shared" si="33"/>
        <v/>
      </c>
      <c r="AD155" s="54" t="str">
        <f t="shared" si="34"/>
        <v/>
      </c>
      <c r="AE155" s="55">
        <f t="shared" si="35"/>
        <v>0</v>
      </c>
      <c r="AF155" s="55">
        <f t="shared" si="36"/>
        <v>0</v>
      </c>
      <c r="AG155" s="58">
        <f t="shared" si="37"/>
        <v>0</v>
      </c>
      <c r="AH155" s="47"/>
      <c r="AJ155" s="47"/>
      <c r="AL155" s="47"/>
      <c r="AM155" s="47" t="str">
        <f t="shared" si="38"/>
        <v/>
      </c>
    </row>
    <row r="156" spans="1:39" s="56" customFormat="1" ht="14.25">
      <c r="A156" s="44"/>
      <c r="B156" s="45"/>
      <c r="C156" s="46">
        <f>IF(B156&lt;&gt;"",VLOOKUP(B156,'Tipo Projeto'!$A$3:$B$35,2,0),0)</f>
        <v>0</v>
      </c>
      <c r="D156" s="47"/>
      <c r="E156" s="47"/>
      <c r="F156" s="48"/>
      <c r="G156" s="47"/>
      <c r="H156" s="49"/>
      <c r="I156" s="50"/>
      <c r="J156" s="51"/>
      <c r="K156" s="52"/>
      <c r="L156" s="53" t="str">
        <f t="shared" si="26"/>
        <v/>
      </c>
      <c r="M156" s="48" t="str">
        <f t="shared" si="27"/>
        <v/>
      </c>
      <c r="N156" s="54" t="str">
        <f t="shared" si="28"/>
        <v/>
      </c>
      <c r="O156" s="55">
        <f t="shared" si="29"/>
        <v>0</v>
      </c>
      <c r="P156" s="55">
        <f t="shared" si="30"/>
        <v>0</v>
      </c>
      <c r="Q156" s="54">
        <f t="shared" si="31"/>
        <v>0</v>
      </c>
      <c r="R156" s="47"/>
      <c r="T156" s="57"/>
      <c r="U156" s="45"/>
      <c r="V156" s="46">
        <f>IF(U156&lt;&gt;"",VLOOKUP(U156,'Tipo Projeto'!$A$3:$B$35,2,0),0)</f>
        <v>0</v>
      </c>
      <c r="W156" s="203"/>
      <c r="X156" s="49"/>
      <c r="Y156" s="50"/>
      <c r="Z156" s="51"/>
      <c r="AA156" s="52"/>
      <c r="AB156" s="53" t="str">
        <f t="shared" si="32"/>
        <v/>
      </c>
      <c r="AC156" s="48" t="str">
        <f t="shared" si="33"/>
        <v/>
      </c>
      <c r="AD156" s="54" t="str">
        <f t="shared" si="34"/>
        <v/>
      </c>
      <c r="AE156" s="55">
        <f t="shared" si="35"/>
        <v>0</v>
      </c>
      <c r="AF156" s="55">
        <f t="shared" si="36"/>
        <v>0</v>
      </c>
      <c r="AG156" s="58">
        <f t="shared" si="37"/>
        <v>0</v>
      </c>
      <c r="AH156" s="47"/>
      <c r="AJ156" s="47"/>
      <c r="AL156" s="47"/>
      <c r="AM156" s="47" t="str">
        <f t="shared" si="38"/>
        <v/>
      </c>
    </row>
    <row r="157" spans="1:39" s="56" customFormat="1" ht="14.25">
      <c r="A157" s="44"/>
      <c r="B157" s="45"/>
      <c r="C157" s="46">
        <f>IF(B157&lt;&gt;"",VLOOKUP(B157,'Tipo Projeto'!$A$3:$B$35,2,0),0)</f>
        <v>0</v>
      </c>
      <c r="D157" s="47"/>
      <c r="E157" s="47"/>
      <c r="F157" s="48"/>
      <c r="G157" s="47"/>
      <c r="H157" s="49"/>
      <c r="I157" s="50"/>
      <c r="J157" s="51"/>
      <c r="K157" s="52"/>
      <c r="L157" s="53" t="str">
        <f t="shared" si="26"/>
        <v/>
      </c>
      <c r="M157" s="48" t="str">
        <f t="shared" si="27"/>
        <v/>
      </c>
      <c r="N157" s="54" t="str">
        <f t="shared" si="28"/>
        <v/>
      </c>
      <c r="O157" s="55">
        <f t="shared" si="29"/>
        <v>0</v>
      </c>
      <c r="P157" s="55">
        <f t="shared" si="30"/>
        <v>0</v>
      </c>
      <c r="Q157" s="54">
        <f t="shared" si="31"/>
        <v>0</v>
      </c>
      <c r="R157" s="47"/>
      <c r="T157" s="57"/>
      <c r="U157" s="45"/>
      <c r="V157" s="46">
        <f>IF(U157&lt;&gt;"",VLOOKUP(U157,'Tipo Projeto'!$A$3:$B$35,2,0),0)</f>
        <v>0</v>
      </c>
      <c r="W157" s="203"/>
      <c r="X157" s="49"/>
      <c r="Y157" s="50"/>
      <c r="Z157" s="51"/>
      <c r="AA157" s="52"/>
      <c r="AB157" s="53" t="str">
        <f t="shared" si="32"/>
        <v/>
      </c>
      <c r="AC157" s="48" t="str">
        <f t="shared" si="33"/>
        <v/>
      </c>
      <c r="AD157" s="54" t="str">
        <f t="shared" si="34"/>
        <v/>
      </c>
      <c r="AE157" s="55">
        <f t="shared" si="35"/>
        <v>0</v>
      </c>
      <c r="AF157" s="55">
        <f t="shared" si="36"/>
        <v>0</v>
      </c>
      <c r="AG157" s="58">
        <f t="shared" si="37"/>
        <v>0</v>
      </c>
      <c r="AH157" s="47"/>
      <c r="AJ157" s="47"/>
      <c r="AL157" s="47"/>
      <c r="AM157" s="47" t="str">
        <f t="shared" si="38"/>
        <v/>
      </c>
    </row>
    <row r="158" spans="1:39" s="56" customFormat="1" ht="14.25">
      <c r="A158" s="44"/>
      <c r="B158" s="45"/>
      <c r="C158" s="46">
        <f>IF(B158&lt;&gt;"",VLOOKUP(B158,'Tipo Projeto'!$A$3:$B$35,2,0),0)</f>
        <v>0</v>
      </c>
      <c r="D158" s="47"/>
      <c r="E158" s="47"/>
      <c r="F158" s="48"/>
      <c r="G158" s="47"/>
      <c r="H158" s="49"/>
      <c r="I158" s="50"/>
      <c r="J158" s="51"/>
      <c r="K158" s="52"/>
      <c r="L158" s="53" t="str">
        <f t="shared" si="26"/>
        <v/>
      </c>
      <c r="M158" s="48" t="str">
        <f t="shared" si="27"/>
        <v/>
      </c>
      <c r="N158" s="54" t="str">
        <f t="shared" si="28"/>
        <v/>
      </c>
      <c r="O158" s="55">
        <f t="shared" si="29"/>
        <v>0</v>
      </c>
      <c r="P158" s="55">
        <f t="shared" si="30"/>
        <v>0</v>
      </c>
      <c r="Q158" s="54">
        <f t="shared" si="31"/>
        <v>0</v>
      </c>
      <c r="R158" s="47"/>
      <c r="T158" s="57"/>
      <c r="U158" s="45"/>
      <c r="V158" s="46">
        <f>IF(U158&lt;&gt;"",VLOOKUP(U158,'Tipo Projeto'!$A$3:$B$35,2,0),0)</f>
        <v>0</v>
      </c>
      <c r="W158" s="203"/>
      <c r="X158" s="49"/>
      <c r="Y158" s="50"/>
      <c r="Z158" s="51"/>
      <c r="AA158" s="52"/>
      <c r="AB158" s="53" t="str">
        <f t="shared" si="32"/>
        <v/>
      </c>
      <c r="AC158" s="48" t="str">
        <f t="shared" si="33"/>
        <v/>
      </c>
      <c r="AD158" s="54" t="str">
        <f t="shared" si="34"/>
        <v/>
      </c>
      <c r="AE158" s="55">
        <f t="shared" si="35"/>
        <v>0</v>
      </c>
      <c r="AF158" s="55">
        <f t="shared" si="36"/>
        <v>0</v>
      </c>
      <c r="AG158" s="58">
        <f t="shared" si="37"/>
        <v>0</v>
      </c>
      <c r="AH158" s="47"/>
      <c r="AJ158" s="47"/>
      <c r="AL158" s="47"/>
      <c r="AM158" s="47" t="str">
        <f t="shared" si="38"/>
        <v/>
      </c>
    </row>
    <row r="159" spans="1:39" s="56" customFormat="1" ht="14.25">
      <c r="A159" s="44"/>
      <c r="B159" s="45"/>
      <c r="C159" s="46">
        <f>IF(B159&lt;&gt;"",VLOOKUP(B159,'Tipo Projeto'!$A$3:$B$35,2,0),0)</f>
        <v>0</v>
      </c>
      <c r="D159" s="47"/>
      <c r="E159" s="47"/>
      <c r="F159" s="48"/>
      <c r="G159" s="47"/>
      <c r="H159" s="49"/>
      <c r="I159" s="50"/>
      <c r="J159" s="51"/>
      <c r="K159" s="52"/>
      <c r="L159" s="53" t="str">
        <f t="shared" si="26"/>
        <v/>
      </c>
      <c r="M159" s="48" t="str">
        <f t="shared" si="27"/>
        <v/>
      </c>
      <c r="N159" s="54" t="str">
        <f t="shared" si="28"/>
        <v/>
      </c>
      <c r="O159" s="55">
        <f t="shared" si="29"/>
        <v>0</v>
      </c>
      <c r="P159" s="55">
        <f t="shared" si="30"/>
        <v>0</v>
      </c>
      <c r="Q159" s="54">
        <f t="shared" si="31"/>
        <v>0</v>
      </c>
      <c r="R159" s="47"/>
      <c r="T159" s="57"/>
      <c r="U159" s="45"/>
      <c r="V159" s="46">
        <f>IF(U159&lt;&gt;"",VLOOKUP(U159,'Tipo Projeto'!$A$3:$B$35,2,0),0)</f>
        <v>0</v>
      </c>
      <c r="W159" s="203"/>
      <c r="X159" s="49"/>
      <c r="Y159" s="50"/>
      <c r="Z159" s="51"/>
      <c r="AA159" s="52"/>
      <c r="AB159" s="53" t="str">
        <f t="shared" si="32"/>
        <v/>
      </c>
      <c r="AC159" s="48" t="str">
        <f t="shared" si="33"/>
        <v/>
      </c>
      <c r="AD159" s="54" t="str">
        <f t="shared" si="34"/>
        <v/>
      </c>
      <c r="AE159" s="55">
        <f t="shared" si="35"/>
        <v>0</v>
      </c>
      <c r="AF159" s="55">
        <f t="shared" si="36"/>
        <v>0</v>
      </c>
      <c r="AG159" s="58">
        <f t="shared" si="37"/>
        <v>0</v>
      </c>
      <c r="AH159" s="47"/>
      <c r="AJ159" s="47"/>
      <c r="AL159" s="47"/>
      <c r="AM159" s="47" t="str">
        <f t="shared" si="38"/>
        <v/>
      </c>
    </row>
    <row r="160" spans="1:39" s="56" customFormat="1" ht="14.25">
      <c r="A160" s="44"/>
      <c r="B160" s="45"/>
      <c r="C160" s="46">
        <f>IF(B160&lt;&gt;"",VLOOKUP(B160,'Tipo Projeto'!$A$3:$B$35,2,0),0)</f>
        <v>0</v>
      </c>
      <c r="D160" s="47"/>
      <c r="E160" s="47"/>
      <c r="F160" s="48"/>
      <c r="G160" s="47"/>
      <c r="H160" s="49"/>
      <c r="I160" s="50"/>
      <c r="J160" s="51"/>
      <c r="K160" s="52"/>
      <c r="L160" s="53" t="str">
        <f t="shared" si="26"/>
        <v/>
      </c>
      <c r="M160" s="48" t="str">
        <f t="shared" si="27"/>
        <v/>
      </c>
      <c r="N160" s="54" t="str">
        <f t="shared" si="28"/>
        <v/>
      </c>
      <c r="O160" s="55">
        <f t="shared" si="29"/>
        <v>0</v>
      </c>
      <c r="P160" s="55">
        <f t="shared" si="30"/>
        <v>0</v>
      </c>
      <c r="Q160" s="54">
        <f t="shared" si="31"/>
        <v>0</v>
      </c>
      <c r="R160" s="47"/>
      <c r="T160" s="57"/>
      <c r="U160" s="45"/>
      <c r="V160" s="46">
        <f>IF(U160&lt;&gt;"",VLOOKUP(U160,'Tipo Projeto'!$A$3:$B$35,2,0),0)</f>
        <v>0</v>
      </c>
      <c r="W160" s="203"/>
      <c r="X160" s="49"/>
      <c r="Y160" s="50"/>
      <c r="Z160" s="51"/>
      <c r="AA160" s="52"/>
      <c r="AB160" s="53" t="str">
        <f t="shared" si="32"/>
        <v/>
      </c>
      <c r="AC160" s="48" t="str">
        <f t="shared" si="33"/>
        <v/>
      </c>
      <c r="AD160" s="54" t="str">
        <f t="shared" si="34"/>
        <v/>
      </c>
      <c r="AE160" s="55">
        <f t="shared" si="35"/>
        <v>0</v>
      </c>
      <c r="AF160" s="55">
        <f t="shared" si="36"/>
        <v>0</v>
      </c>
      <c r="AG160" s="58">
        <f t="shared" si="37"/>
        <v>0</v>
      </c>
      <c r="AH160" s="47"/>
      <c r="AJ160" s="47"/>
      <c r="AL160" s="47"/>
      <c r="AM160" s="47" t="str">
        <f t="shared" si="38"/>
        <v/>
      </c>
    </row>
    <row r="161" spans="1:39" s="56" customFormat="1" ht="14.25">
      <c r="A161" s="44"/>
      <c r="B161" s="45"/>
      <c r="C161" s="46">
        <f>IF(B161&lt;&gt;"",VLOOKUP(B161,'Tipo Projeto'!$A$3:$B$35,2,0),0)</f>
        <v>0</v>
      </c>
      <c r="D161" s="47"/>
      <c r="E161" s="47"/>
      <c r="F161" s="48"/>
      <c r="G161" s="47"/>
      <c r="H161" s="49"/>
      <c r="I161" s="50"/>
      <c r="J161" s="51"/>
      <c r="K161" s="52"/>
      <c r="L161" s="53" t="str">
        <f t="shared" si="26"/>
        <v/>
      </c>
      <c r="M161" s="48" t="str">
        <f t="shared" si="27"/>
        <v/>
      </c>
      <c r="N161" s="54" t="str">
        <f t="shared" si="28"/>
        <v/>
      </c>
      <c r="O161" s="55">
        <f t="shared" si="29"/>
        <v>0</v>
      </c>
      <c r="P161" s="55">
        <f t="shared" si="30"/>
        <v>0</v>
      </c>
      <c r="Q161" s="54">
        <f t="shared" si="31"/>
        <v>0</v>
      </c>
      <c r="R161" s="47"/>
      <c r="T161" s="57"/>
      <c r="U161" s="45"/>
      <c r="V161" s="46">
        <f>IF(U161&lt;&gt;"",VLOOKUP(U161,'Tipo Projeto'!$A$3:$B$35,2,0),0)</f>
        <v>0</v>
      </c>
      <c r="W161" s="203"/>
      <c r="X161" s="49"/>
      <c r="Y161" s="50"/>
      <c r="Z161" s="51"/>
      <c r="AA161" s="52"/>
      <c r="AB161" s="53" t="str">
        <f t="shared" si="32"/>
        <v/>
      </c>
      <c r="AC161" s="48" t="str">
        <f t="shared" si="33"/>
        <v/>
      </c>
      <c r="AD161" s="54" t="str">
        <f t="shared" si="34"/>
        <v/>
      </c>
      <c r="AE161" s="55">
        <f t="shared" si="35"/>
        <v>0</v>
      </c>
      <c r="AF161" s="55">
        <f t="shared" si="36"/>
        <v>0</v>
      </c>
      <c r="AG161" s="58">
        <f t="shared" si="37"/>
        <v>0</v>
      </c>
      <c r="AH161" s="47"/>
      <c r="AJ161" s="47"/>
      <c r="AL161" s="47"/>
      <c r="AM161" s="47" t="str">
        <f t="shared" si="38"/>
        <v/>
      </c>
    </row>
    <row r="162" spans="1:39" s="56" customFormat="1" ht="14.25">
      <c r="A162" s="44"/>
      <c r="B162" s="45"/>
      <c r="C162" s="46">
        <f>IF(B162&lt;&gt;"",VLOOKUP(B162,'Tipo Projeto'!$A$3:$B$35,2,0),0)</f>
        <v>0</v>
      </c>
      <c r="D162" s="47"/>
      <c r="E162" s="47"/>
      <c r="F162" s="48"/>
      <c r="G162" s="47"/>
      <c r="H162" s="49"/>
      <c r="I162" s="50"/>
      <c r="J162" s="51"/>
      <c r="K162" s="52"/>
      <c r="L162" s="53" t="str">
        <f t="shared" si="26"/>
        <v/>
      </c>
      <c r="M162" s="48" t="str">
        <f t="shared" si="27"/>
        <v/>
      </c>
      <c r="N162" s="54" t="str">
        <f t="shared" si="28"/>
        <v/>
      </c>
      <c r="O162" s="55">
        <f t="shared" si="29"/>
        <v>0</v>
      </c>
      <c r="P162" s="55">
        <f t="shared" si="30"/>
        <v>0</v>
      </c>
      <c r="Q162" s="54">
        <f t="shared" si="31"/>
        <v>0</v>
      </c>
      <c r="R162" s="47"/>
      <c r="T162" s="57"/>
      <c r="U162" s="45"/>
      <c r="V162" s="46">
        <f>IF(U162&lt;&gt;"",VLOOKUP(U162,'Tipo Projeto'!$A$3:$B$35,2,0),0)</f>
        <v>0</v>
      </c>
      <c r="W162" s="203"/>
      <c r="X162" s="49"/>
      <c r="Y162" s="50"/>
      <c r="Z162" s="51"/>
      <c r="AA162" s="52"/>
      <c r="AB162" s="53" t="str">
        <f t="shared" si="32"/>
        <v/>
      </c>
      <c r="AC162" s="48" t="str">
        <f t="shared" si="33"/>
        <v/>
      </c>
      <c r="AD162" s="54" t="str">
        <f t="shared" si="34"/>
        <v/>
      </c>
      <c r="AE162" s="55">
        <f t="shared" si="35"/>
        <v>0</v>
      </c>
      <c r="AF162" s="55">
        <f t="shared" si="36"/>
        <v>0</v>
      </c>
      <c r="AG162" s="58">
        <f t="shared" si="37"/>
        <v>0</v>
      </c>
      <c r="AH162" s="47"/>
      <c r="AJ162" s="47"/>
      <c r="AL162" s="47"/>
      <c r="AM162" s="47" t="str">
        <f t="shared" si="38"/>
        <v/>
      </c>
    </row>
    <row r="163" spans="1:39" s="56" customFormat="1" ht="14.25">
      <c r="A163" s="44"/>
      <c r="B163" s="45"/>
      <c r="C163" s="46">
        <f>IF(B163&lt;&gt;"",VLOOKUP(B163,'Tipo Projeto'!$A$3:$B$35,2,0),0)</f>
        <v>0</v>
      </c>
      <c r="D163" s="47"/>
      <c r="E163" s="47"/>
      <c r="F163" s="48"/>
      <c r="G163" s="47"/>
      <c r="H163" s="49"/>
      <c r="I163" s="50"/>
      <c r="J163" s="51"/>
      <c r="K163" s="52"/>
      <c r="L163" s="53" t="str">
        <f t="shared" si="26"/>
        <v/>
      </c>
      <c r="M163" s="48" t="str">
        <f t="shared" si="27"/>
        <v/>
      </c>
      <c r="N163" s="54" t="str">
        <f t="shared" si="28"/>
        <v/>
      </c>
      <c r="O163" s="55">
        <f t="shared" si="29"/>
        <v>0</v>
      </c>
      <c r="P163" s="55">
        <f t="shared" si="30"/>
        <v>0</v>
      </c>
      <c r="Q163" s="54">
        <f t="shared" si="31"/>
        <v>0</v>
      </c>
      <c r="R163" s="47"/>
      <c r="T163" s="57"/>
      <c r="U163" s="45"/>
      <c r="V163" s="46">
        <f>IF(U163&lt;&gt;"",VLOOKUP(U163,'Tipo Projeto'!$A$3:$B$35,2,0),0)</f>
        <v>0</v>
      </c>
      <c r="W163" s="203"/>
      <c r="X163" s="49"/>
      <c r="Y163" s="50"/>
      <c r="Z163" s="51"/>
      <c r="AA163" s="52"/>
      <c r="AB163" s="53" t="str">
        <f t="shared" si="32"/>
        <v/>
      </c>
      <c r="AC163" s="48" t="str">
        <f t="shared" si="33"/>
        <v/>
      </c>
      <c r="AD163" s="54" t="str">
        <f t="shared" si="34"/>
        <v/>
      </c>
      <c r="AE163" s="55">
        <f t="shared" si="35"/>
        <v>0</v>
      </c>
      <c r="AF163" s="55">
        <f t="shared" si="36"/>
        <v>0</v>
      </c>
      <c r="AG163" s="58">
        <f t="shared" si="37"/>
        <v>0</v>
      </c>
      <c r="AH163" s="47"/>
      <c r="AJ163" s="47"/>
      <c r="AL163" s="47"/>
      <c r="AM163" s="47" t="str">
        <f t="shared" si="38"/>
        <v/>
      </c>
    </row>
    <row r="164" spans="1:39" s="56" customFormat="1" ht="14.25">
      <c r="A164" s="44"/>
      <c r="B164" s="45"/>
      <c r="C164" s="46">
        <f>IF(B164&lt;&gt;"",VLOOKUP(B164,'Tipo Projeto'!$A$3:$B$35,2,0),0)</f>
        <v>0</v>
      </c>
      <c r="D164" s="47"/>
      <c r="E164" s="47"/>
      <c r="F164" s="48"/>
      <c r="G164" s="47"/>
      <c r="H164" s="49"/>
      <c r="I164" s="50"/>
      <c r="J164" s="51"/>
      <c r="K164" s="52"/>
      <c r="L164" s="53" t="str">
        <f t="shared" si="26"/>
        <v/>
      </c>
      <c r="M164" s="48" t="str">
        <f t="shared" si="27"/>
        <v/>
      </c>
      <c r="N164" s="54" t="str">
        <f t="shared" si="28"/>
        <v/>
      </c>
      <c r="O164" s="55">
        <f t="shared" si="29"/>
        <v>0</v>
      </c>
      <c r="P164" s="55">
        <f t="shared" si="30"/>
        <v>0</v>
      </c>
      <c r="Q164" s="54">
        <f t="shared" si="31"/>
        <v>0</v>
      </c>
      <c r="R164" s="47"/>
      <c r="T164" s="57"/>
      <c r="U164" s="45"/>
      <c r="V164" s="46">
        <f>IF(U164&lt;&gt;"",VLOOKUP(U164,'Tipo Projeto'!$A$3:$B$35,2,0),0)</f>
        <v>0</v>
      </c>
      <c r="W164" s="203"/>
      <c r="X164" s="49"/>
      <c r="Y164" s="50"/>
      <c r="Z164" s="51"/>
      <c r="AA164" s="52"/>
      <c r="AB164" s="53" t="str">
        <f t="shared" si="32"/>
        <v/>
      </c>
      <c r="AC164" s="48" t="str">
        <f t="shared" si="33"/>
        <v/>
      </c>
      <c r="AD164" s="54" t="str">
        <f t="shared" si="34"/>
        <v/>
      </c>
      <c r="AE164" s="55">
        <f t="shared" si="35"/>
        <v>0</v>
      </c>
      <c r="AF164" s="55">
        <f t="shared" si="36"/>
        <v>0</v>
      </c>
      <c r="AG164" s="58">
        <f t="shared" si="37"/>
        <v>0</v>
      </c>
      <c r="AH164" s="47"/>
      <c r="AJ164" s="47"/>
      <c r="AL164" s="47"/>
      <c r="AM164" s="47" t="str">
        <f t="shared" si="38"/>
        <v/>
      </c>
    </row>
    <row r="165" spans="1:39" s="56" customFormat="1" ht="14.25">
      <c r="A165" s="44"/>
      <c r="B165" s="45"/>
      <c r="C165" s="46">
        <f>IF(B165&lt;&gt;"",VLOOKUP(B165,'Tipo Projeto'!$A$3:$B$35,2,0),0)</f>
        <v>0</v>
      </c>
      <c r="D165" s="47"/>
      <c r="E165" s="47"/>
      <c r="F165" s="48"/>
      <c r="G165" s="47"/>
      <c r="H165" s="49"/>
      <c r="I165" s="50"/>
      <c r="J165" s="51"/>
      <c r="K165" s="52"/>
      <c r="L165" s="53" t="str">
        <f t="shared" si="26"/>
        <v/>
      </c>
      <c r="M165" s="48" t="str">
        <f t="shared" si="27"/>
        <v/>
      </c>
      <c r="N165" s="54" t="str">
        <f t="shared" si="28"/>
        <v/>
      </c>
      <c r="O165" s="55">
        <f t="shared" si="29"/>
        <v>0</v>
      </c>
      <c r="P165" s="55">
        <f t="shared" si="30"/>
        <v>0</v>
      </c>
      <c r="Q165" s="54">
        <f t="shared" si="31"/>
        <v>0</v>
      </c>
      <c r="R165" s="47"/>
      <c r="T165" s="57"/>
      <c r="U165" s="45"/>
      <c r="V165" s="46">
        <f>IF(U165&lt;&gt;"",VLOOKUP(U165,'Tipo Projeto'!$A$3:$B$35,2,0),0)</f>
        <v>0</v>
      </c>
      <c r="W165" s="203"/>
      <c r="X165" s="49"/>
      <c r="Y165" s="50"/>
      <c r="Z165" s="51"/>
      <c r="AA165" s="52"/>
      <c r="AB165" s="53" t="str">
        <f t="shared" si="32"/>
        <v/>
      </c>
      <c r="AC165" s="48" t="str">
        <f t="shared" si="33"/>
        <v/>
      </c>
      <c r="AD165" s="54" t="str">
        <f t="shared" si="34"/>
        <v/>
      </c>
      <c r="AE165" s="55">
        <f t="shared" si="35"/>
        <v>0</v>
      </c>
      <c r="AF165" s="55">
        <f t="shared" si="36"/>
        <v>0</v>
      </c>
      <c r="AG165" s="58">
        <f t="shared" si="37"/>
        <v>0</v>
      </c>
      <c r="AH165" s="47"/>
      <c r="AJ165" s="47"/>
      <c r="AL165" s="47"/>
      <c r="AM165" s="47" t="str">
        <f t="shared" si="38"/>
        <v/>
      </c>
    </row>
    <row r="166" spans="1:39" s="56" customFormat="1" ht="14.25">
      <c r="A166" s="44"/>
      <c r="B166" s="45"/>
      <c r="C166" s="46">
        <f>IF(B166&lt;&gt;"",VLOOKUP(B166,'Tipo Projeto'!$A$3:$B$35,2,0),0)</f>
        <v>0</v>
      </c>
      <c r="D166" s="47"/>
      <c r="E166" s="47"/>
      <c r="F166" s="48"/>
      <c r="G166" s="47"/>
      <c r="H166" s="49"/>
      <c r="I166" s="50"/>
      <c r="J166" s="51"/>
      <c r="K166" s="52"/>
      <c r="L166" s="53" t="str">
        <f t="shared" si="26"/>
        <v/>
      </c>
      <c r="M166" s="48" t="str">
        <f t="shared" si="27"/>
        <v/>
      </c>
      <c r="N166" s="54" t="str">
        <f t="shared" si="28"/>
        <v/>
      </c>
      <c r="O166" s="55">
        <f t="shared" si="29"/>
        <v>0</v>
      </c>
      <c r="P166" s="55">
        <f t="shared" si="30"/>
        <v>0</v>
      </c>
      <c r="Q166" s="54">
        <f t="shared" si="31"/>
        <v>0</v>
      </c>
      <c r="R166" s="47"/>
      <c r="T166" s="57"/>
      <c r="U166" s="45"/>
      <c r="V166" s="46">
        <f>IF(U166&lt;&gt;"",VLOOKUP(U166,'Tipo Projeto'!$A$3:$B$35,2,0),0)</f>
        <v>0</v>
      </c>
      <c r="W166" s="203"/>
      <c r="X166" s="49"/>
      <c r="Y166" s="50"/>
      <c r="Z166" s="51"/>
      <c r="AA166" s="52"/>
      <c r="AB166" s="53" t="str">
        <f t="shared" si="32"/>
        <v/>
      </c>
      <c r="AC166" s="48" t="str">
        <f t="shared" si="33"/>
        <v/>
      </c>
      <c r="AD166" s="54" t="str">
        <f t="shared" si="34"/>
        <v/>
      </c>
      <c r="AE166" s="55">
        <f t="shared" si="35"/>
        <v>0</v>
      </c>
      <c r="AF166" s="55">
        <f t="shared" si="36"/>
        <v>0</v>
      </c>
      <c r="AG166" s="58">
        <f t="shared" si="37"/>
        <v>0</v>
      </c>
      <c r="AH166" s="47"/>
      <c r="AJ166" s="47"/>
      <c r="AL166" s="47"/>
      <c r="AM166" s="47" t="str">
        <f t="shared" si="38"/>
        <v/>
      </c>
    </row>
    <row r="167" spans="1:39" s="56" customFormat="1" ht="14.25">
      <c r="A167" s="44"/>
      <c r="B167" s="45"/>
      <c r="C167" s="46">
        <f>IF(B167&lt;&gt;"",VLOOKUP(B167,'Tipo Projeto'!$A$3:$B$35,2,0),0)</f>
        <v>0</v>
      </c>
      <c r="D167" s="47"/>
      <c r="E167" s="47"/>
      <c r="F167" s="48"/>
      <c r="G167" s="47"/>
      <c r="H167" s="49"/>
      <c r="I167" s="50"/>
      <c r="J167" s="51"/>
      <c r="K167" s="52"/>
      <c r="L167" s="53" t="str">
        <f t="shared" si="26"/>
        <v/>
      </c>
      <c r="M167" s="48" t="str">
        <f t="shared" si="27"/>
        <v/>
      </c>
      <c r="N167" s="54" t="str">
        <f t="shared" si="28"/>
        <v/>
      </c>
      <c r="O167" s="55">
        <f t="shared" si="29"/>
        <v>0</v>
      </c>
      <c r="P167" s="55">
        <f t="shared" si="30"/>
        <v>0</v>
      </c>
      <c r="Q167" s="54">
        <f t="shared" si="31"/>
        <v>0</v>
      </c>
      <c r="R167" s="47"/>
      <c r="T167" s="57"/>
      <c r="U167" s="45"/>
      <c r="V167" s="46">
        <f>IF(U167&lt;&gt;"",VLOOKUP(U167,'Tipo Projeto'!$A$3:$B$35,2,0),0)</f>
        <v>0</v>
      </c>
      <c r="W167" s="203"/>
      <c r="X167" s="49"/>
      <c r="Y167" s="50"/>
      <c r="Z167" s="51"/>
      <c r="AA167" s="52"/>
      <c r="AB167" s="53" t="str">
        <f t="shared" si="32"/>
        <v/>
      </c>
      <c r="AC167" s="48" t="str">
        <f t="shared" si="33"/>
        <v/>
      </c>
      <c r="AD167" s="54" t="str">
        <f t="shared" si="34"/>
        <v/>
      </c>
      <c r="AE167" s="55">
        <f t="shared" si="35"/>
        <v>0</v>
      </c>
      <c r="AF167" s="55">
        <f t="shared" si="36"/>
        <v>0</v>
      </c>
      <c r="AG167" s="58">
        <f t="shared" si="37"/>
        <v>0</v>
      </c>
      <c r="AH167" s="47"/>
      <c r="AJ167" s="47"/>
      <c r="AL167" s="47"/>
      <c r="AM167" s="47" t="str">
        <f t="shared" si="38"/>
        <v/>
      </c>
    </row>
    <row r="168" spans="1:39" s="56" customFormat="1" ht="14.25">
      <c r="A168" s="44"/>
      <c r="B168" s="45"/>
      <c r="C168" s="46">
        <f>IF(B168&lt;&gt;"",VLOOKUP(B168,'Tipo Projeto'!$A$3:$B$35,2,0),0)</f>
        <v>0</v>
      </c>
      <c r="D168" s="47"/>
      <c r="E168" s="47"/>
      <c r="F168" s="48"/>
      <c r="G168" s="47"/>
      <c r="H168" s="49"/>
      <c r="I168" s="50"/>
      <c r="J168" s="51"/>
      <c r="K168" s="52"/>
      <c r="L168" s="53" t="str">
        <f t="shared" si="26"/>
        <v/>
      </c>
      <c r="M168" s="48" t="str">
        <f t="shared" si="27"/>
        <v/>
      </c>
      <c r="N168" s="54" t="str">
        <f t="shared" si="28"/>
        <v/>
      </c>
      <c r="O168" s="55">
        <f t="shared" si="29"/>
        <v>0</v>
      </c>
      <c r="P168" s="55">
        <f t="shared" si="30"/>
        <v>0</v>
      </c>
      <c r="Q168" s="54">
        <f t="shared" si="31"/>
        <v>0</v>
      </c>
      <c r="R168" s="47"/>
      <c r="T168" s="57"/>
      <c r="U168" s="45"/>
      <c r="V168" s="46">
        <f>IF(U168&lt;&gt;"",VLOOKUP(U168,'Tipo Projeto'!$A$3:$B$35,2,0),0)</f>
        <v>0</v>
      </c>
      <c r="W168" s="203"/>
      <c r="X168" s="49"/>
      <c r="Y168" s="50"/>
      <c r="Z168" s="51"/>
      <c r="AA168" s="52"/>
      <c r="AB168" s="53" t="str">
        <f t="shared" si="32"/>
        <v/>
      </c>
      <c r="AC168" s="48" t="str">
        <f t="shared" si="33"/>
        <v/>
      </c>
      <c r="AD168" s="54" t="str">
        <f t="shared" si="34"/>
        <v/>
      </c>
      <c r="AE168" s="55">
        <f t="shared" si="35"/>
        <v>0</v>
      </c>
      <c r="AF168" s="55">
        <f t="shared" si="36"/>
        <v>0</v>
      </c>
      <c r="AG168" s="58">
        <f t="shared" si="37"/>
        <v>0</v>
      </c>
      <c r="AH168" s="47"/>
      <c r="AJ168" s="47"/>
      <c r="AL168" s="47"/>
      <c r="AM168" s="47" t="str">
        <f t="shared" si="38"/>
        <v/>
      </c>
    </row>
    <row r="169" spans="1:39" s="56" customFormat="1" ht="14.25">
      <c r="A169" s="44"/>
      <c r="B169" s="45"/>
      <c r="C169" s="46">
        <f>IF(B169&lt;&gt;"",VLOOKUP(B169,'Tipo Projeto'!$A$3:$B$35,2,0),0)</f>
        <v>0</v>
      </c>
      <c r="D169" s="47"/>
      <c r="E169" s="47"/>
      <c r="F169" s="48"/>
      <c r="G169" s="47"/>
      <c r="H169" s="49"/>
      <c r="I169" s="50"/>
      <c r="J169" s="51"/>
      <c r="K169" s="52"/>
      <c r="L169" s="53" t="str">
        <f t="shared" si="26"/>
        <v/>
      </c>
      <c r="M169" s="48" t="str">
        <f t="shared" si="27"/>
        <v/>
      </c>
      <c r="N169" s="54" t="str">
        <f t="shared" si="28"/>
        <v/>
      </c>
      <c r="O169" s="55">
        <f t="shared" si="29"/>
        <v>0</v>
      </c>
      <c r="P169" s="55">
        <f t="shared" si="30"/>
        <v>0</v>
      </c>
      <c r="Q169" s="54">
        <f t="shared" si="31"/>
        <v>0</v>
      </c>
      <c r="R169" s="47"/>
      <c r="T169" s="57"/>
      <c r="U169" s="45"/>
      <c r="V169" s="46">
        <f>IF(U169&lt;&gt;"",VLOOKUP(U169,'Tipo Projeto'!$A$3:$B$35,2,0),0)</f>
        <v>0</v>
      </c>
      <c r="W169" s="203"/>
      <c r="X169" s="49"/>
      <c r="Y169" s="50"/>
      <c r="Z169" s="51"/>
      <c r="AA169" s="52"/>
      <c r="AB169" s="53" t="str">
        <f t="shared" si="32"/>
        <v/>
      </c>
      <c r="AC169" s="48" t="str">
        <f t="shared" si="33"/>
        <v/>
      </c>
      <c r="AD169" s="54" t="str">
        <f t="shared" si="34"/>
        <v/>
      </c>
      <c r="AE169" s="55">
        <f t="shared" si="35"/>
        <v>0</v>
      </c>
      <c r="AF169" s="55">
        <f t="shared" si="36"/>
        <v>0</v>
      </c>
      <c r="AG169" s="58">
        <f t="shared" si="37"/>
        <v>0</v>
      </c>
      <c r="AH169" s="47"/>
      <c r="AJ169" s="47"/>
      <c r="AL169" s="47"/>
      <c r="AM169" s="47" t="str">
        <f t="shared" si="38"/>
        <v/>
      </c>
    </row>
    <row r="170" spans="1:39" s="56" customFormat="1" ht="14.25">
      <c r="A170" s="44"/>
      <c r="B170" s="45"/>
      <c r="C170" s="46">
        <f>IF(B170&lt;&gt;"",VLOOKUP(B170,'Tipo Projeto'!$A$3:$B$35,2,0),0)</f>
        <v>0</v>
      </c>
      <c r="D170" s="47"/>
      <c r="E170" s="47"/>
      <c r="F170" s="48"/>
      <c r="G170" s="47"/>
      <c r="H170" s="49"/>
      <c r="I170" s="50"/>
      <c r="J170" s="51"/>
      <c r="K170" s="52"/>
      <c r="L170" s="53" t="str">
        <f t="shared" si="26"/>
        <v/>
      </c>
      <c r="M170" s="48" t="str">
        <f t="shared" si="27"/>
        <v/>
      </c>
      <c r="N170" s="54" t="str">
        <f t="shared" si="28"/>
        <v/>
      </c>
      <c r="O170" s="55">
        <f t="shared" si="29"/>
        <v>0</v>
      </c>
      <c r="P170" s="55">
        <f t="shared" si="30"/>
        <v>0</v>
      </c>
      <c r="Q170" s="54">
        <f t="shared" si="31"/>
        <v>0</v>
      </c>
      <c r="R170" s="47"/>
      <c r="T170" s="57"/>
      <c r="U170" s="45"/>
      <c r="V170" s="46">
        <f>IF(U170&lt;&gt;"",VLOOKUP(U170,'Tipo Projeto'!$A$3:$B$35,2,0),0)</f>
        <v>0</v>
      </c>
      <c r="W170" s="203"/>
      <c r="X170" s="49"/>
      <c r="Y170" s="50"/>
      <c r="Z170" s="51"/>
      <c r="AA170" s="52"/>
      <c r="AB170" s="53" t="str">
        <f t="shared" si="32"/>
        <v/>
      </c>
      <c r="AC170" s="48" t="str">
        <f t="shared" si="33"/>
        <v/>
      </c>
      <c r="AD170" s="54" t="str">
        <f t="shared" si="34"/>
        <v/>
      </c>
      <c r="AE170" s="55">
        <f t="shared" si="35"/>
        <v>0</v>
      </c>
      <c r="AF170" s="55">
        <f t="shared" si="36"/>
        <v>0</v>
      </c>
      <c r="AG170" s="58">
        <f t="shared" si="37"/>
        <v>0</v>
      </c>
      <c r="AH170" s="47"/>
      <c r="AJ170" s="47"/>
      <c r="AL170" s="47"/>
      <c r="AM170" s="47" t="str">
        <f t="shared" si="38"/>
        <v/>
      </c>
    </row>
    <row r="171" spans="1:39" s="56" customFormat="1" ht="14.25">
      <c r="A171" s="44"/>
      <c r="B171" s="45"/>
      <c r="C171" s="46">
        <f>IF(B171&lt;&gt;"",VLOOKUP(B171,'Tipo Projeto'!$A$3:$B$35,2,0),0)</f>
        <v>0</v>
      </c>
      <c r="D171" s="47"/>
      <c r="E171" s="47"/>
      <c r="F171" s="48"/>
      <c r="G171" s="47"/>
      <c r="H171" s="49"/>
      <c r="I171" s="50"/>
      <c r="J171" s="51"/>
      <c r="K171" s="52"/>
      <c r="L171" s="53" t="str">
        <f t="shared" si="26"/>
        <v/>
      </c>
      <c r="M171" s="48" t="str">
        <f t="shared" si="27"/>
        <v/>
      </c>
      <c r="N171" s="54" t="str">
        <f t="shared" si="28"/>
        <v/>
      </c>
      <c r="O171" s="55">
        <f t="shared" si="29"/>
        <v>0</v>
      </c>
      <c r="P171" s="55">
        <f t="shared" si="30"/>
        <v>0</v>
      </c>
      <c r="Q171" s="54">
        <f t="shared" si="31"/>
        <v>0</v>
      </c>
      <c r="R171" s="47"/>
      <c r="T171" s="57"/>
      <c r="U171" s="45"/>
      <c r="V171" s="46">
        <f>IF(U171&lt;&gt;"",VLOOKUP(U171,'Tipo Projeto'!$A$3:$B$35,2,0),0)</f>
        <v>0</v>
      </c>
      <c r="W171" s="203"/>
      <c r="X171" s="49"/>
      <c r="Y171" s="50"/>
      <c r="Z171" s="51"/>
      <c r="AA171" s="52"/>
      <c r="AB171" s="53" t="str">
        <f t="shared" si="32"/>
        <v/>
      </c>
      <c r="AC171" s="48" t="str">
        <f t="shared" si="33"/>
        <v/>
      </c>
      <c r="AD171" s="54" t="str">
        <f t="shared" si="34"/>
        <v/>
      </c>
      <c r="AE171" s="55">
        <f t="shared" si="35"/>
        <v>0</v>
      </c>
      <c r="AF171" s="55">
        <f t="shared" si="36"/>
        <v>0</v>
      </c>
      <c r="AG171" s="58">
        <f t="shared" si="37"/>
        <v>0</v>
      </c>
      <c r="AH171" s="47"/>
      <c r="AJ171" s="47"/>
      <c r="AL171" s="47"/>
      <c r="AM171" s="47" t="str">
        <f t="shared" si="38"/>
        <v/>
      </c>
    </row>
    <row r="172" spans="1:39" s="56" customFormat="1" ht="14.25">
      <c r="A172" s="44"/>
      <c r="B172" s="45"/>
      <c r="C172" s="46">
        <f>IF(B172&lt;&gt;"",VLOOKUP(B172,'Tipo Projeto'!$A$3:$B$35,2,0),0)</f>
        <v>0</v>
      </c>
      <c r="D172" s="47"/>
      <c r="E172" s="47"/>
      <c r="F172" s="48"/>
      <c r="G172" s="47"/>
      <c r="H172" s="49"/>
      <c r="I172" s="50"/>
      <c r="J172" s="51"/>
      <c r="K172" s="52"/>
      <c r="L172" s="53" t="str">
        <f t="shared" si="26"/>
        <v/>
      </c>
      <c r="M172" s="48" t="str">
        <f t="shared" si="27"/>
        <v/>
      </c>
      <c r="N172" s="54" t="str">
        <f t="shared" si="28"/>
        <v/>
      </c>
      <c r="O172" s="55">
        <f t="shared" si="29"/>
        <v>0</v>
      </c>
      <c r="P172" s="55">
        <f t="shared" si="30"/>
        <v>0</v>
      </c>
      <c r="Q172" s="54">
        <f t="shared" si="31"/>
        <v>0</v>
      </c>
      <c r="R172" s="47"/>
      <c r="T172" s="57"/>
      <c r="U172" s="45"/>
      <c r="V172" s="46">
        <f>IF(U172&lt;&gt;"",VLOOKUP(U172,'Tipo Projeto'!$A$3:$B$35,2,0),0)</f>
        <v>0</v>
      </c>
      <c r="W172" s="203"/>
      <c r="X172" s="49"/>
      <c r="Y172" s="50"/>
      <c r="Z172" s="51"/>
      <c r="AA172" s="52"/>
      <c r="AB172" s="53" t="str">
        <f t="shared" si="32"/>
        <v/>
      </c>
      <c r="AC172" s="48" t="str">
        <f t="shared" si="33"/>
        <v/>
      </c>
      <c r="AD172" s="54" t="str">
        <f t="shared" si="34"/>
        <v/>
      </c>
      <c r="AE172" s="55">
        <f t="shared" si="35"/>
        <v>0</v>
      </c>
      <c r="AF172" s="55">
        <f t="shared" si="36"/>
        <v>0</v>
      </c>
      <c r="AG172" s="58">
        <f t="shared" si="37"/>
        <v>0</v>
      </c>
      <c r="AH172" s="47"/>
      <c r="AJ172" s="47"/>
      <c r="AL172" s="47"/>
      <c r="AM172" s="47" t="str">
        <f t="shared" si="38"/>
        <v/>
      </c>
    </row>
    <row r="173" spans="1:39" s="56" customFormat="1" ht="14.25">
      <c r="A173" s="44"/>
      <c r="B173" s="45"/>
      <c r="C173" s="46">
        <f>IF(B173&lt;&gt;"",VLOOKUP(B173,'Tipo Projeto'!$A$3:$B$35,2,0),0)</f>
        <v>0</v>
      </c>
      <c r="D173" s="47"/>
      <c r="E173" s="47"/>
      <c r="F173" s="48"/>
      <c r="G173" s="47"/>
      <c r="H173" s="49"/>
      <c r="I173" s="50"/>
      <c r="J173" s="51"/>
      <c r="K173" s="52"/>
      <c r="L173" s="53" t="str">
        <f t="shared" si="26"/>
        <v/>
      </c>
      <c r="M173" s="48" t="str">
        <f t="shared" si="27"/>
        <v/>
      </c>
      <c r="N173" s="54" t="str">
        <f t="shared" si="28"/>
        <v/>
      </c>
      <c r="O173" s="55">
        <f t="shared" si="29"/>
        <v>0</v>
      </c>
      <c r="P173" s="55">
        <f t="shared" si="30"/>
        <v>0</v>
      </c>
      <c r="Q173" s="54">
        <f t="shared" si="31"/>
        <v>0</v>
      </c>
      <c r="R173" s="47"/>
      <c r="T173" s="57"/>
      <c r="U173" s="45"/>
      <c r="V173" s="46">
        <f>IF(U173&lt;&gt;"",VLOOKUP(U173,'Tipo Projeto'!$A$3:$B$35,2,0),0)</f>
        <v>0</v>
      </c>
      <c r="W173" s="203"/>
      <c r="X173" s="49"/>
      <c r="Y173" s="50"/>
      <c r="Z173" s="51"/>
      <c r="AA173" s="52"/>
      <c r="AB173" s="53" t="str">
        <f t="shared" si="32"/>
        <v/>
      </c>
      <c r="AC173" s="48" t="str">
        <f t="shared" si="33"/>
        <v/>
      </c>
      <c r="AD173" s="54" t="str">
        <f t="shared" si="34"/>
        <v/>
      </c>
      <c r="AE173" s="55">
        <f t="shared" si="35"/>
        <v>0</v>
      </c>
      <c r="AF173" s="55">
        <f t="shared" si="36"/>
        <v>0</v>
      </c>
      <c r="AG173" s="58">
        <f t="shared" si="37"/>
        <v>0</v>
      </c>
      <c r="AH173" s="47"/>
      <c r="AJ173" s="47"/>
      <c r="AL173" s="47"/>
      <c r="AM173" s="47" t="str">
        <f t="shared" si="38"/>
        <v/>
      </c>
    </row>
    <row r="174" spans="1:39" s="56" customFormat="1" ht="14.25">
      <c r="A174" s="44"/>
      <c r="B174" s="45"/>
      <c r="C174" s="46">
        <f>IF(B174&lt;&gt;"",VLOOKUP(B174,'Tipo Projeto'!$A$3:$B$35,2,0),0)</f>
        <v>0</v>
      </c>
      <c r="D174" s="47"/>
      <c r="E174" s="47"/>
      <c r="F174" s="48"/>
      <c r="G174" s="47"/>
      <c r="H174" s="49"/>
      <c r="I174" s="50"/>
      <c r="J174" s="51"/>
      <c r="K174" s="52"/>
      <c r="L174" s="53" t="str">
        <f t="shared" si="26"/>
        <v/>
      </c>
      <c r="M174" s="48" t="str">
        <f t="shared" si="27"/>
        <v/>
      </c>
      <c r="N174" s="54" t="str">
        <f t="shared" si="28"/>
        <v/>
      </c>
      <c r="O174" s="55">
        <f t="shared" si="29"/>
        <v>0</v>
      </c>
      <c r="P174" s="55">
        <f t="shared" si="30"/>
        <v>0</v>
      </c>
      <c r="Q174" s="54">
        <f t="shared" si="31"/>
        <v>0</v>
      </c>
      <c r="R174" s="47"/>
      <c r="T174" s="57"/>
      <c r="U174" s="45"/>
      <c r="V174" s="46">
        <f>IF(U174&lt;&gt;"",VLOOKUP(U174,'Tipo Projeto'!$A$3:$B$35,2,0),0)</f>
        <v>0</v>
      </c>
      <c r="W174" s="203"/>
      <c r="X174" s="49"/>
      <c r="Y174" s="50"/>
      <c r="Z174" s="51"/>
      <c r="AA174" s="52"/>
      <c r="AB174" s="53" t="str">
        <f t="shared" si="32"/>
        <v/>
      </c>
      <c r="AC174" s="48" t="str">
        <f t="shared" si="33"/>
        <v/>
      </c>
      <c r="AD174" s="54" t="str">
        <f t="shared" si="34"/>
        <v/>
      </c>
      <c r="AE174" s="55">
        <f t="shared" si="35"/>
        <v>0</v>
      </c>
      <c r="AF174" s="55">
        <f t="shared" si="36"/>
        <v>0</v>
      </c>
      <c r="AG174" s="58">
        <f t="shared" si="37"/>
        <v>0</v>
      </c>
      <c r="AH174" s="47"/>
      <c r="AJ174" s="47"/>
      <c r="AL174" s="47"/>
      <c r="AM174" s="47" t="str">
        <f t="shared" si="38"/>
        <v/>
      </c>
    </row>
    <row r="175" spans="1:39" s="56" customFormat="1" ht="14.25">
      <c r="A175" s="44"/>
      <c r="B175" s="45"/>
      <c r="C175" s="46">
        <f>IF(B175&lt;&gt;"",VLOOKUP(B175,'Tipo Projeto'!$A$3:$B$35,2,0),0)</f>
        <v>0</v>
      </c>
      <c r="D175" s="47"/>
      <c r="E175" s="47"/>
      <c r="F175" s="48"/>
      <c r="G175" s="47"/>
      <c r="H175" s="49"/>
      <c r="I175" s="50"/>
      <c r="J175" s="51"/>
      <c r="K175" s="52"/>
      <c r="L175" s="53" t="str">
        <f t="shared" si="26"/>
        <v/>
      </c>
      <c r="M175" s="48" t="str">
        <f t="shared" si="27"/>
        <v/>
      </c>
      <c r="N175" s="54" t="str">
        <f t="shared" si="28"/>
        <v/>
      </c>
      <c r="O175" s="55">
        <f t="shared" si="29"/>
        <v>0</v>
      </c>
      <c r="P175" s="55">
        <f t="shared" si="30"/>
        <v>0</v>
      </c>
      <c r="Q175" s="54">
        <f t="shared" si="31"/>
        <v>0</v>
      </c>
      <c r="R175" s="47"/>
      <c r="T175" s="57"/>
      <c r="U175" s="45"/>
      <c r="V175" s="46">
        <f>IF(U175&lt;&gt;"",VLOOKUP(U175,'Tipo Projeto'!$A$3:$B$35,2,0),0)</f>
        <v>0</v>
      </c>
      <c r="W175" s="203"/>
      <c r="X175" s="49"/>
      <c r="Y175" s="50"/>
      <c r="Z175" s="51"/>
      <c r="AA175" s="52"/>
      <c r="AB175" s="53" t="str">
        <f t="shared" si="32"/>
        <v/>
      </c>
      <c r="AC175" s="48" t="str">
        <f t="shared" si="33"/>
        <v/>
      </c>
      <c r="AD175" s="54" t="str">
        <f t="shared" si="34"/>
        <v/>
      </c>
      <c r="AE175" s="55">
        <f t="shared" si="35"/>
        <v>0</v>
      </c>
      <c r="AF175" s="55">
        <f t="shared" si="36"/>
        <v>0</v>
      </c>
      <c r="AG175" s="58">
        <f t="shared" si="37"/>
        <v>0</v>
      </c>
      <c r="AH175" s="47"/>
      <c r="AJ175" s="47"/>
      <c r="AL175" s="47"/>
      <c r="AM175" s="47" t="str">
        <f t="shared" si="38"/>
        <v/>
      </c>
    </row>
    <row r="176" spans="1:39" s="56" customFormat="1" ht="14.25">
      <c r="A176" s="44"/>
      <c r="B176" s="45"/>
      <c r="C176" s="46">
        <f>IF(B176&lt;&gt;"",VLOOKUP(B176,'Tipo Projeto'!$A$3:$B$35,2,0),0)</f>
        <v>0</v>
      </c>
      <c r="D176" s="47"/>
      <c r="E176" s="47"/>
      <c r="F176" s="48"/>
      <c r="G176" s="47"/>
      <c r="H176" s="49"/>
      <c r="I176" s="50"/>
      <c r="J176" s="51"/>
      <c r="K176" s="52"/>
      <c r="L176" s="53" t="str">
        <f t="shared" si="26"/>
        <v/>
      </c>
      <c r="M176" s="48" t="str">
        <f t="shared" si="27"/>
        <v/>
      </c>
      <c r="N176" s="54" t="str">
        <f t="shared" si="28"/>
        <v/>
      </c>
      <c r="O176" s="55">
        <f t="shared" si="29"/>
        <v>0</v>
      </c>
      <c r="P176" s="55">
        <f t="shared" si="30"/>
        <v>0</v>
      </c>
      <c r="Q176" s="54">
        <f t="shared" si="31"/>
        <v>0</v>
      </c>
      <c r="R176" s="47"/>
      <c r="T176" s="57"/>
      <c r="U176" s="45"/>
      <c r="V176" s="46">
        <f>IF(U176&lt;&gt;"",VLOOKUP(U176,'Tipo Projeto'!$A$3:$B$35,2,0),0)</f>
        <v>0</v>
      </c>
      <c r="W176" s="203"/>
      <c r="X176" s="49"/>
      <c r="Y176" s="50"/>
      <c r="Z176" s="51"/>
      <c r="AA176" s="52"/>
      <c r="AB176" s="53" t="str">
        <f t="shared" si="32"/>
        <v/>
      </c>
      <c r="AC176" s="48" t="str">
        <f t="shared" si="33"/>
        <v/>
      </c>
      <c r="AD176" s="54" t="str">
        <f t="shared" si="34"/>
        <v/>
      </c>
      <c r="AE176" s="55">
        <f t="shared" si="35"/>
        <v>0</v>
      </c>
      <c r="AF176" s="55">
        <f t="shared" si="36"/>
        <v>0</v>
      </c>
      <c r="AG176" s="58">
        <f t="shared" si="37"/>
        <v>0</v>
      </c>
      <c r="AH176" s="47"/>
      <c r="AJ176" s="47"/>
      <c r="AL176" s="47"/>
      <c r="AM176" s="47" t="str">
        <f t="shared" si="38"/>
        <v/>
      </c>
    </row>
    <row r="177" spans="1:39" s="56" customFormat="1" ht="14.25">
      <c r="A177" s="44"/>
      <c r="B177" s="45"/>
      <c r="C177" s="46">
        <f>IF(B177&lt;&gt;"",VLOOKUP(B177,'Tipo Projeto'!$A$3:$B$35,2,0),0)</f>
        <v>0</v>
      </c>
      <c r="D177" s="47"/>
      <c r="E177" s="47"/>
      <c r="F177" s="48"/>
      <c r="G177" s="47"/>
      <c r="H177" s="49"/>
      <c r="I177" s="50"/>
      <c r="J177" s="51"/>
      <c r="K177" s="52"/>
      <c r="L177" s="53" t="str">
        <f t="shared" si="26"/>
        <v/>
      </c>
      <c r="M177" s="48" t="str">
        <f t="shared" si="27"/>
        <v/>
      </c>
      <c r="N177" s="54" t="str">
        <f t="shared" si="28"/>
        <v/>
      </c>
      <c r="O177" s="55">
        <f t="shared" si="29"/>
        <v>0</v>
      </c>
      <c r="P177" s="55">
        <f t="shared" si="30"/>
        <v>0</v>
      </c>
      <c r="Q177" s="54">
        <f t="shared" si="31"/>
        <v>0</v>
      </c>
      <c r="R177" s="47"/>
      <c r="T177" s="57"/>
      <c r="U177" s="45"/>
      <c r="V177" s="46">
        <f>IF(U177&lt;&gt;"",VLOOKUP(U177,'Tipo Projeto'!$A$3:$B$35,2,0),0)</f>
        <v>0</v>
      </c>
      <c r="W177" s="203"/>
      <c r="X177" s="49"/>
      <c r="Y177" s="50"/>
      <c r="Z177" s="51"/>
      <c r="AA177" s="52"/>
      <c r="AB177" s="53" t="str">
        <f t="shared" si="32"/>
        <v/>
      </c>
      <c r="AC177" s="48" t="str">
        <f t="shared" si="33"/>
        <v/>
      </c>
      <c r="AD177" s="54" t="str">
        <f t="shared" si="34"/>
        <v/>
      </c>
      <c r="AE177" s="55">
        <f t="shared" si="35"/>
        <v>0</v>
      </c>
      <c r="AF177" s="55">
        <f t="shared" si="36"/>
        <v>0</v>
      </c>
      <c r="AG177" s="58">
        <f t="shared" si="37"/>
        <v>0</v>
      </c>
      <c r="AH177" s="47"/>
      <c r="AJ177" s="47"/>
      <c r="AL177" s="47"/>
      <c r="AM177" s="47" t="str">
        <f t="shared" si="38"/>
        <v/>
      </c>
    </row>
    <row r="178" spans="1:39" s="56" customFormat="1" ht="14.25">
      <c r="A178" s="44"/>
      <c r="B178" s="45"/>
      <c r="C178" s="46">
        <f>IF(B178&lt;&gt;"",VLOOKUP(B178,'Tipo Projeto'!$A$3:$B$35,2,0),0)</f>
        <v>0</v>
      </c>
      <c r="D178" s="47"/>
      <c r="E178" s="47"/>
      <c r="F178" s="48"/>
      <c r="G178" s="47"/>
      <c r="H178" s="49"/>
      <c r="I178" s="50"/>
      <c r="J178" s="51"/>
      <c r="K178" s="52"/>
      <c r="L178" s="53" t="str">
        <f t="shared" si="26"/>
        <v/>
      </c>
      <c r="M178" s="48" t="str">
        <f t="shared" si="27"/>
        <v/>
      </c>
      <c r="N178" s="54" t="str">
        <f t="shared" si="28"/>
        <v/>
      </c>
      <c r="O178" s="55">
        <f t="shared" si="29"/>
        <v>0</v>
      </c>
      <c r="P178" s="55">
        <f t="shared" si="30"/>
        <v>0</v>
      </c>
      <c r="Q178" s="54">
        <f t="shared" si="31"/>
        <v>0</v>
      </c>
      <c r="R178" s="47"/>
      <c r="T178" s="57"/>
      <c r="U178" s="45"/>
      <c r="V178" s="46">
        <f>IF(U178&lt;&gt;"",VLOOKUP(U178,'Tipo Projeto'!$A$3:$B$35,2,0),0)</f>
        <v>0</v>
      </c>
      <c r="W178" s="203"/>
      <c r="X178" s="49"/>
      <c r="Y178" s="50"/>
      <c r="Z178" s="51"/>
      <c r="AA178" s="52"/>
      <c r="AB178" s="53" t="str">
        <f t="shared" si="32"/>
        <v/>
      </c>
      <c r="AC178" s="48" t="str">
        <f t="shared" si="33"/>
        <v/>
      </c>
      <c r="AD178" s="54" t="str">
        <f t="shared" si="34"/>
        <v/>
      </c>
      <c r="AE178" s="55">
        <f t="shared" si="35"/>
        <v>0</v>
      </c>
      <c r="AF178" s="55">
        <f t="shared" si="36"/>
        <v>0</v>
      </c>
      <c r="AG178" s="58">
        <f t="shared" si="37"/>
        <v>0</v>
      </c>
      <c r="AH178" s="47"/>
      <c r="AJ178" s="47"/>
      <c r="AL178" s="47"/>
      <c r="AM178" s="47" t="str">
        <f t="shared" si="38"/>
        <v/>
      </c>
    </row>
    <row r="179" spans="1:39" s="56" customFormat="1" ht="14.25">
      <c r="A179" s="44"/>
      <c r="B179" s="45"/>
      <c r="C179" s="46">
        <f>IF(B179&lt;&gt;"",VLOOKUP(B179,'Tipo Projeto'!$A$3:$B$35,2,0),0)</f>
        <v>0</v>
      </c>
      <c r="D179" s="47"/>
      <c r="E179" s="47"/>
      <c r="F179" s="48"/>
      <c r="G179" s="47"/>
      <c r="H179" s="49"/>
      <c r="I179" s="50"/>
      <c r="J179" s="51"/>
      <c r="K179" s="52"/>
      <c r="L179" s="53" t="str">
        <f t="shared" si="26"/>
        <v/>
      </c>
      <c r="M179" s="48" t="str">
        <f t="shared" si="27"/>
        <v/>
      </c>
      <c r="N179" s="54" t="str">
        <f t="shared" si="28"/>
        <v/>
      </c>
      <c r="O179" s="55">
        <f t="shared" si="29"/>
        <v>0</v>
      </c>
      <c r="P179" s="55">
        <f t="shared" si="30"/>
        <v>0</v>
      </c>
      <c r="Q179" s="54">
        <f t="shared" si="31"/>
        <v>0</v>
      </c>
      <c r="R179" s="47"/>
      <c r="T179" s="57"/>
      <c r="U179" s="45"/>
      <c r="V179" s="46">
        <f>IF(U179&lt;&gt;"",VLOOKUP(U179,'Tipo Projeto'!$A$3:$B$35,2,0),0)</f>
        <v>0</v>
      </c>
      <c r="W179" s="203"/>
      <c r="X179" s="49"/>
      <c r="Y179" s="50"/>
      <c r="Z179" s="51"/>
      <c r="AA179" s="52"/>
      <c r="AB179" s="53" t="str">
        <f t="shared" si="32"/>
        <v/>
      </c>
      <c r="AC179" s="48" t="str">
        <f t="shared" si="33"/>
        <v/>
      </c>
      <c r="AD179" s="54" t="str">
        <f t="shared" si="34"/>
        <v/>
      </c>
      <c r="AE179" s="55">
        <f t="shared" si="35"/>
        <v>0</v>
      </c>
      <c r="AF179" s="55">
        <f t="shared" si="36"/>
        <v>0</v>
      </c>
      <c r="AG179" s="58">
        <f t="shared" si="37"/>
        <v>0</v>
      </c>
      <c r="AH179" s="47"/>
      <c r="AJ179" s="47"/>
      <c r="AL179" s="47"/>
      <c r="AM179" s="47" t="str">
        <f t="shared" si="38"/>
        <v/>
      </c>
    </row>
    <row r="180" spans="1:39" s="56" customFormat="1" ht="14.25">
      <c r="A180" s="44"/>
      <c r="B180" s="45"/>
      <c r="C180" s="46">
        <f>IF(B180&lt;&gt;"",VLOOKUP(B180,'Tipo Projeto'!$A$3:$B$35,2,0),0)</f>
        <v>0</v>
      </c>
      <c r="D180" s="47"/>
      <c r="E180" s="47"/>
      <c r="F180" s="48"/>
      <c r="G180" s="47"/>
      <c r="H180" s="49"/>
      <c r="I180" s="50"/>
      <c r="J180" s="51"/>
      <c r="K180" s="52"/>
      <c r="L180" s="53" t="str">
        <f t="shared" si="26"/>
        <v/>
      </c>
      <c r="M180" s="48" t="str">
        <f t="shared" si="27"/>
        <v/>
      </c>
      <c r="N180" s="54" t="str">
        <f t="shared" si="28"/>
        <v/>
      </c>
      <c r="O180" s="55">
        <f t="shared" si="29"/>
        <v>0</v>
      </c>
      <c r="P180" s="55">
        <f t="shared" si="30"/>
        <v>0</v>
      </c>
      <c r="Q180" s="54">
        <f t="shared" si="31"/>
        <v>0</v>
      </c>
      <c r="R180" s="47"/>
      <c r="T180" s="57"/>
      <c r="U180" s="45"/>
      <c r="V180" s="46">
        <f>IF(U180&lt;&gt;"",VLOOKUP(U180,'Tipo Projeto'!$A$3:$B$35,2,0),0)</f>
        <v>0</v>
      </c>
      <c r="W180" s="203"/>
      <c r="X180" s="49"/>
      <c r="Y180" s="50"/>
      <c r="Z180" s="51"/>
      <c r="AA180" s="52"/>
      <c r="AB180" s="53" t="str">
        <f t="shared" si="32"/>
        <v/>
      </c>
      <c r="AC180" s="48" t="str">
        <f t="shared" si="33"/>
        <v/>
      </c>
      <c r="AD180" s="54" t="str">
        <f t="shared" si="34"/>
        <v/>
      </c>
      <c r="AE180" s="55">
        <f t="shared" si="35"/>
        <v>0</v>
      </c>
      <c r="AF180" s="55">
        <f t="shared" si="36"/>
        <v>0</v>
      </c>
      <c r="AG180" s="58">
        <f t="shared" si="37"/>
        <v>0</v>
      </c>
      <c r="AH180" s="47"/>
      <c r="AJ180" s="47"/>
      <c r="AL180" s="47"/>
      <c r="AM180" s="47" t="str">
        <f t="shared" si="38"/>
        <v/>
      </c>
    </row>
    <row r="181" spans="1:39" s="56" customFormat="1" ht="14.25">
      <c r="A181" s="44"/>
      <c r="B181" s="45"/>
      <c r="C181" s="46">
        <f>IF(B181&lt;&gt;"",VLOOKUP(B181,'Tipo Projeto'!$A$3:$B$35,2,0),0)</f>
        <v>0</v>
      </c>
      <c r="D181" s="47"/>
      <c r="E181" s="47"/>
      <c r="F181" s="48"/>
      <c r="G181" s="47"/>
      <c r="H181" s="49"/>
      <c r="I181" s="50"/>
      <c r="J181" s="51"/>
      <c r="K181" s="52"/>
      <c r="L181" s="53" t="str">
        <f t="shared" si="26"/>
        <v/>
      </c>
      <c r="M181" s="48" t="str">
        <f t="shared" si="27"/>
        <v/>
      </c>
      <c r="N181" s="54" t="str">
        <f t="shared" si="28"/>
        <v/>
      </c>
      <c r="O181" s="55">
        <f t="shared" si="29"/>
        <v>0</v>
      </c>
      <c r="P181" s="55">
        <f t="shared" si="30"/>
        <v>0</v>
      </c>
      <c r="Q181" s="54">
        <f t="shared" si="31"/>
        <v>0</v>
      </c>
      <c r="R181" s="47"/>
      <c r="T181" s="57"/>
      <c r="U181" s="45"/>
      <c r="V181" s="46">
        <f>IF(U181&lt;&gt;"",VLOOKUP(U181,'Tipo Projeto'!$A$3:$B$35,2,0),0)</f>
        <v>0</v>
      </c>
      <c r="W181" s="203"/>
      <c r="X181" s="49"/>
      <c r="Y181" s="50"/>
      <c r="Z181" s="51"/>
      <c r="AA181" s="52"/>
      <c r="AB181" s="53" t="str">
        <f t="shared" si="32"/>
        <v/>
      </c>
      <c r="AC181" s="48" t="str">
        <f t="shared" si="33"/>
        <v/>
      </c>
      <c r="AD181" s="54" t="str">
        <f t="shared" si="34"/>
        <v/>
      </c>
      <c r="AE181" s="55">
        <f t="shared" si="35"/>
        <v>0</v>
      </c>
      <c r="AF181" s="55">
        <f t="shared" si="36"/>
        <v>0</v>
      </c>
      <c r="AG181" s="58">
        <f t="shared" si="37"/>
        <v>0</v>
      </c>
      <c r="AH181" s="47"/>
      <c r="AJ181" s="47"/>
      <c r="AL181" s="47"/>
      <c r="AM181" s="47" t="str">
        <f t="shared" si="38"/>
        <v/>
      </c>
    </row>
    <row r="182" spans="1:39" s="56" customFormat="1" ht="14.25">
      <c r="A182" s="44"/>
      <c r="B182" s="45"/>
      <c r="C182" s="46">
        <f>IF(B182&lt;&gt;"",VLOOKUP(B182,'Tipo Projeto'!$A$3:$B$35,2,0),0)</f>
        <v>0</v>
      </c>
      <c r="D182" s="47"/>
      <c r="E182" s="47"/>
      <c r="F182" s="48"/>
      <c r="G182" s="47"/>
      <c r="H182" s="49"/>
      <c r="I182" s="50"/>
      <c r="J182" s="51"/>
      <c r="K182" s="52"/>
      <c r="L182" s="53" t="str">
        <f t="shared" si="26"/>
        <v/>
      </c>
      <c r="M182" s="48" t="str">
        <f t="shared" si="27"/>
        <v/>
      </c>
      <c r="N182" s="54" t="str">
        <f t="shared" si="28"/>
        <v/>
      </c>
      <c r="O182" s="55">
        <f t="shared" si="29"/>
        <v>0</v>
      </c>
      <c r="P182" s="55">
        <f t="shared" si="30"/>
        <v>0</v>
      </c>
      <c r="Q182" s="54">
        <f t="shared" si="31"/>
        <v>0</v>
      </c>
      <c r="R182" s="47"/>
      <c r="T182" s="57"/>
      <c r="U182" s="45"/>
      <c r="V182" s="46">
        <f>IF(U182&lt;&gt;"",VLOOKUP(U182,'Tipo Projeto'!$A$3:$B$35,2,0),0)</f>
        <v>0</v>
      </c>
      <c r="W182" s="203"/>
      <c r="X182" s="49"/>
      <c r="Y182" s="50"/>
      <c r="Z182" s="51"/>
      <c r="AA182" s="52"/>
      <c r="AB182" s="53" t="str">
        <f t="shared" si="32"/>
        <v/>
      </c>
      <c r="AC182" s="48" t="str">
        <f t="shared" si="33"/>
        <v/>
      </c>
      <c r="AD182" s="54" t="str">
        <f t="shared" si="34"/>
        <v/>
      </c>
      <c r="AE182" s="55">
        <f t="shared" si="35"/>
        <v>0</v>
      </c>
      <c r="AF182" s="55">
        <f t="shared" si="36"/>
        <v>0</v>
      </c>
      <c r="AG182" s="58">
        <f t="shared" si="37"/>
        <v>0</v>
      </c>
      <c r="AH182" s="47"/>
      <c r="AJ182" s="47"/>
      <c r="AL182" s="47"/>
      <c r="AM182" s="47" t="str">
        <f t="shared" si="38"/>
        <v/>
      </c>
    </row>
    <row r="183" spans="1:39" s="56" customFormat="1" ht="14.25">
      <c r="A183" s="44"/>
      <c r="B183" s="45"/>
      <c r="C183" s="46">
        <f>IF(B183&lt;&gt;"",VLOOKUP(B183,'Tipo Projeto'!$A$3:$B$35,2,0),0)</f>
        <v>0</v>
      </c>
      <c r="D183" s="47"/>
      <c r="E183" s="47"/>
      <c r="F183" s="48"/>
      <c r="G183" s="47"/>
      <c r="H183" s="49"/>
      <c r="I183" s="50"/>
      <c r="J183" s="51"/>
      <c r="K183" s="52"/>
      <c r="L183" s="53" t="str">
        <f t="shared" si="26"/>
        <v/>
      </c>
      <c r="M183" s="48" t="str">
        <f t="shared" si="27"/>
        <v/>
      </c>
      <c r="N183" s="54" t="str">
        <f t="shared" si="28"/>
        <v/>
      </c>
      <c r="O183" s="55">
        <f t="shared" si="29"/>
        <v>0</v>
      </c>
      <c r="P183" s="55">
        <f t="shared" si="30"/>
        <v>0</v>
      </c>
      <c r="Q183" s="54">
        <f t="shared" si="31"/>
        <v>0</v>
      </c>
      <c r="R183" s="47"/>
      <c r="T183" s="57"/>
      <c r="U183" s="45"/>
      <c r="V183" s="46">
        <f>IF(U183&lt;&gt;"",VLOOKUP(U183,'Tipo Projeto'!$A$3:$B$35,2,0),0)</f>
        <v>0</v>
      </c>
      <c r="W183" s="203"/>
      <c r="X183" s="49"/>
      <c r="Y183" s="50"/>
      <c r="Z183" s="51"/>
      <c r="AA183" s="52"/>
      <c r="AB183" s="53" t="str">
        <f t="shared" si="32"/>
        <v/>
      </c>
      <c r="AC183" s="48" t="str">
        <f t="shared" si="33"/>
        <v/>
      </c>
      <c r="AD183" s="54" t="str">
        <f t="shared" si="34"/>
        <v/>
      </c>
      <c r="AE183" s="55">
        <f t="shared" si="35"/>
        <v>0</v>
      </c>
      <c r="AF183" s="55">
        <f t="shared" si="36"/>
        <v>0</v>
      </c>
      <c r="AG183" s="58">
        <f t="shared" si="37"/>
        <v>0</v>
      </c>
      <c r="AH183" s="47"/>
      <c r="AJ183" s="47"/>
      <c r="AL183" s="47"/>
      <c r="AM183" s="47" t="str">
        <f t="shared" si="38"/>
        <v/>
      </c>
    </row>
    <row r="184" spans="1:39" s="56" customFormat="1" ht="14.25">
      <c r="A184" s="44"/>
      <c r="B184" s="45"/>
      <c r="C184" s="46">
        <f>IF(B184&lt;&gt;"",VLOOKUP(B184,'Tipo Projeto'!$A$3:$B$35,2,0),0)</f>
        <v>0</v>
      </c>
      <c r="D184" s="47"/>
      <c r="E184" s="47"/>
      <c r="F184" s="48"/>
      <c r="G184" s="47"/>
      <c r="H184" s="49"/>
      <c r="I184" s="50"/>
      <c r="J184" s="51"/>
      <c r="K184" s="52"/>
      <c r="L184" s="53" t="str">
        <f t="shared" si="26"/>
        <v/>
      </c>
      <c r="M184" s="48" t="str">
        <f t="shared" si="27"/>
        <v/>
      </c>
      <c r="N184" s="54" t="str">
        <f t="shared" si="28"/>
        <v/>
      </c>
      <c r="O184" s="55">
        <f t="shared" si="29"/>
        <v>0</v>
      </c>
      <c r="P184" s="55">
        <f t="shared" si="30"/>
        <v>0</v>
      </c>
      <c r="Q184" s="54">
        <f t="shared" si="31"/>
        <v>0</v>
      </c>
      <c r="R184" s="47"/>
      <c r="T184" s="57"/>
      <c r="U184" s="45"/>
      <c r="V184" s="46">
        <f>IF(U184&lt;&gt;"",VLOOKUP(U184,'Tipo Projeto'!$A$3:$B$35,2,0),0)</f>
        <v>0</v>
      </c>
      <c r="W184" s="203"/>
      <c r="X184" s="49"/>
      <c r="Y184" s="50"/>
      <c r="Z184" s="51"/>
      <c r="AA184" s="52"/>
      <c r="AB184" s="53" t="str">
        <f t="shared" si="32"/>
        <v/>
      </c>
      <c r="AC184" s="48" t="str">
        <f t="shared" si="33"/>
        <v/>
      </c>
      <c r="AD184" s="54" t="str">
        <f t="shared" si="34"/>
        <v/>
      </c>
      <c r="AE184" s="55">
        <f t="shared" si="35"/>
        <v>0</v>
      </c>
      <c r="AF184" s="55">
        <f t="shared" si="36"/>
        <v>0</v>
      </c>
      <c r="AG184" s="58">
        <f t="shared" si="37"/>
        <v>0</v>
      </c>
      <c r="AH184" s="47"/>
      <c r="AJ184" s="47"/>
      <c r="AL184" s="47"/>
      <c r="AM184" s="47" t="str">
        <f t="shared" si="38"/>
        <v/>
      </c>
    </row>
    <row r="185" spans="1:39" s="56" customFormat="1" ht="14.25">
      <c r="A185" s="44"/>
      <c r="B185" s="45"/>
      <c r="C185" s="46">
        <f>IF(B185&lt;&gt;"",VLOOKUP(B185,'Tipo Projeto'!$A$3:$B$35,2,0),0)</f>
        <v>0</v>
      </c>
      <c r="D185" s="47"/>
      <c r="E185" s="47"/>
      <c r="F185" s="48"/>
      <c r="G185" s="47"/>
      <c r="H185" s="49"/>
      <c r="I185" s="50"/>
      <c r="J185" s="51"/>
      <c r="K185" s="52"/>
      <c r="L185" s="53" t="str">
        <f t="shared" si="26"/>
        <v/>
      </c>
      <c r="M185" s="48" t="str">
        <f t="shared" si="27"/>
        <v/>
      </c>
      <c r="N185" s="54" t="str">
        <f t="shared" si="28"/>
        <v/>
      </c>
      <c r="O185" s="55">
        <f t="shared" si="29"/>
        <v>0</v>
      </c>
      <c r="P185" s="55">
        <f t="shared" si="30"/>
        <v>0</v>
      </c>
      <c r="Q185" s="54">
        <f t="shared" si="31"/>
        <v>0</v>
      </c>
      <c r="R185" s="47"/>
      <c r="T185" s="57"/>
      <c r="U185" s="45"/>
      <c r="V185" s="46">
        <f>IF(U185&lt;&gt;"",VLOOKUP(U185,'Tipo Projeto'!$A$3:$B$35,2,0),0)</f>
        <v>0</v>
      </c>
      <c r="W185" s="203"/>
      <c r="X185" s="49"/>
      <c r="Y185" s="50"/>
      <c r="Z185" s="51"/>
      <c r="AA185" s="52"/>
      <c r="AB185" s="53" t="str">
        <f t="shared" si="32"/>
        <v/>
      </c>
      <c r="AC185" s="48" t="str">
        <f t="shared" si="33"/>
        <v/>
      </c>
      <c r="AD185" s="54" t="str">
        <f t="shared" si="34"/>
        <v/>
      </c>
      <c r="AE185" s="55">
        <f t="shared" si="35"/>
        <v>0</v>
      </c>
      <c r="AF185" s="55">
        <f t="shared" si="36"/>
        <v>0</v>
      </c>
      <c r="AG185" s="58">
        <f t="shared" si="37"/>
        <v>0</v>
      </c>
      <c r="AH185" s="47"/>
      <c r="AJ185" s="47"/>
      <c r="AL185" s="47"/>
      <c r="AM185" s="47" t="str">
        <f t="shared" si="38"/>
        <v/>
      </c>
    </row>
    <row r="186" spans="1:39" s="56" customFormat="1" ht="14.25">
      <c r="A186" s="44"/>
      <c r="B186" s="45"/>
      <c r="C186" s="46">
        <f>IF(B186&lt;&gt;"",VLOOKUP(B186,'Tipo Projeto'!$A$3:$B$35,2,0),0)</f>
        <v>0</v>
      </c>
      <c r="D186" s="47"/>
      <c r="E186" s="47"/>
      <c r="F186" s="48"/>
      <c r="G186" s="47"/>
      <c r="H186" s="49"/>
      <c r="I186" s="50"/>
      <c r="J186" s="51"/>
      <c r="K186" s="52"/>
      <c r="L186" s="53" t="str">
        <f t="shared" si="26"/>
        <v/>
      </c>
      <c r="M186" s="48" t="str">
        <f t="shared" si="27"/>
        <v/>
      </c>
      <c r="N186" s="54" t="str">
        <f t="shared" si="28"/>
        <v/>
      </c>
      <c r="O186" s="55">
        <f t="shared" si="29"/>
        <v>0</v>
      </c>
      <c r="P186" s="55">
        <f t="shared" si="30"/>
        <v>0</v>
      </c>
      <c r="Q186" s="54">
        <f t="shared" si="31"/>
        <v>0</v>
      </c>
      <c r="R186" s="47"/>
      <c r="T186" s="57"/>
      <c r="U186" s="45"/>
      <c r="V186" s="46">
        <f>IF(U186&lt;&gt;"",VLOOKUP(U186,'Tipo Projeto'!$A$3:$B$35,2,0),0)</f>
        <v>0</v>
      </c>
      <c r="W186" s="203"/>
      <c r="X186" s="49"/>
      <c r="Y186" s="50"/>
      <c r="Z186" s="51"/>
      <c r="AA186" s="52"/>
      <c r="AB186" s="53" t="str">
        <f t="shared" si="32"/>
        <v/>
      </c>
      <c r="AC186" s="48" t="str">
        <f t="shared" si="33"/>
        <v/>
      </c>
      <c r="AD186" s="54" t="str">
        <f t="shared" si="34"/>
        <v/>
      </c>
      <c r="AE186" s="55">
        <f t="shared" si="35"/>
        <v>0</v>
      </c>
      <c r="AF186" s="55">
        <f t="shared" si="36"/>
        <v>0</v>
      </c>
      <c r="AG186" s="58">
        <f t="shared" si="37"/>
        <v>0</v>
      </c>
      <c r="AH186" s="47"/>
      <c r="AJ186" s="47"/>
      <c r="AL186" s="47"/>
      <c r="AM186" s="47" t="str">
        <f t="shared" si="38"/>
        <v/>
      </c>
    </row>
    <row r="187" spans="1:39" s="56" customFormat="1" ht="14.25">
      <c r="A187" s="44"/>
      <c r="B187" s="45"/>
      <c r="C187" s="46">
        <f>IF(B187&lt;&gt;"",VLOOKUP(B187,'Tipo Projeto'!$A$3:$B$35,2,0),0)</f>
        <v>0</v>
      </c>
      <c r="D187" s="47"/>
      <c r="E187" s="47"/>
      <c r="F187" s="48"/>
      <c r="G187" s="47"/>
      <c r="H187" s="49"/>
      <c r="I187" s="50"/>
      <c r="J187" s="51"/>
      <c r="K187" s="52"/>
      <c r="L187" s="53" t="str">
        <f t="shared" si="26"/>
        <v/>
      </c>
      <c r="M187" s="48" t="str">
        <f t="shared" si="27"/>
        <v/>
      </c>
      <c r="N187" s="54" t="str">
        <f t="shared" si="28"/>
        <v/>
      </c>
      <c r="O187" s="55">
        <f t="shared" si="29"/>
        <v>0</v>
      </c>
      <c r="P187" s="55">
        <f t="shared" si="30"/>
        <v>0</v>
      </c>
      <c r="Q187" s="54">
        <f t="shared" si="31"/>
        <v>0</v>
      </c>
      <c r="R187" s="47"/>
      <c r="T187" s="57"/>
      <c r="U187" s="45"/>
      <c r="V187" s="46">
        <f>IF(U187&lt;&gt;"",VLOOKUP(U187,'Tipo Projeto'!$A$3:$B$35,2,0),0)</f>
        <v>0</v>
      </c>
      <c r="W187" s="203"/>
      <c r="X187" s="49"/>
      <c r="Y187" s="50"/>
      <c r="Z187" s="51"/>
      <c r="AA187" s="52"/>
      <c r="AB187" s="53" t="str">
        <f t="shared" si="32"/>
        <v/>
      </c>
      <c r="AC187" s="48" t="str">
        <f t="shared" si="33"/>
        <v/>
      </c>
      <c r="AD187" s="54" t="str">
        <f t="shared" si="34"/>
        <v/>
      </c>
      <c r="AE187" s="55">
        <f t="shared" si="35"/>
        <v>0</v>
      </c>
      <c r="AF187" s="55">
        <f t="shared" si="36"/>
        <v>0</v>
      </c>
      <c r="AG187" s="58">
        <f t="shared" si="37"/>
        <v>0</v>
      </c>
      <c r="AH187" s="47"/>
      <c r="AJ187" s="47"/>
      <c r="AL187" s="47"/>
      <c r="AM187" s="47" t="str">
        <f t="shared" si="38"/>
        <v/>
      </c>
    </row>
    <row r="188" spans="1:39" s="56" customFormat="1" ht="14.25">
      <c r="A188" s="44"/>
      <c r="B188" s="45"/>
      <c r="C188" s="46">
        <f>IF(B188&lt;&gt;"",VLOOKUP(B188,'Tipo Projeto'!$A$3:$B$35,2,0),0)</f>
        <v>0</v>
      </c>
      <c r="D188" s="47"/>
      <c r="E188" s="47"/>
      <c r="F188" s="48"/>
      <c r="G188" s="47"/>
      <c r="H188" s="49"/>
      <c r="I188" s="50"/>
      <c r="J188" s="51"/>
      <c r="K188" s="52"/>
      <c r="L188" s="53" t="str">
        <f t="shared" si="26"/>
        <v/>
      </c>
      <c r="M188" s="48" t="str">
        <f t="shared" si="27"/>
        <v/>
      </c>
      <c r="N188" s="54" t="str">
        <f t="shared" si="28"/>
        <v/>
      </c>
      <c r="O188" s="55">
        <f t="shared" si="29"/>
        <v>0</v>
      </c>
      <c r="P188" s="55">
        <f t="shared" si="30"/>
        <v>0</v>
      </c>
      <c r="Q188" s="54">
        <f t="shared" si="31"/>
        <v>0</v>
      </c>
      <c r="R188" s="47"/>
      <c r="T188" s="57"/>
      <c r="U188" s="45"/>
      <c r="V188" s="46">
        <f>IF(U188&lt;&gt;"",VLOOKUP(U188,'Tipo Projeto'!$A$3:$B$35,2,0),0)</f>
        <v>0</v>
      </c>
      <c r="W188" s="203"/>
      <c r="X188" s="49"/>
      <c r="Y188" s="50"/>
      <c r="Z188" s="51"/>
      <c r="AA188" s="52"/>
      <c r="AB188" s="53" t="str">
        <f t="shared" si="32"/>
        <v/>
      </c>
      <c r="AC188" s="48" t="str">
        <f t="shared" si="33"/>
        <v/>
      </c>
      <c r="AD188" s="54" t="str">
        <f t="shared" si="34"/>
        <v/>
      </c>
      <c r="AE188" s="55">
        <f t="shared" si="35"/>
        <v>0</v>
      </c>
      <c r="AF188" s="55">
        <f t="shared" si="36"/>
        <v>0</v>
      </c>
      <c r="AG188" s="58">
        <f t="shared" si="37"/>
        <v>0</v>
      </c>
      <c r="AH188" s="47"/>
      <c r="AJ188" s="47"/>
      <c r="AL188" s="47"/>
      <c r="AM188" s="47" t="str">
        <f t="shared" si="38"/>
        <v/>
      </c>
    </row>
    <row r="189" spans="1:39" s="56" customFormat="1" ht="14.25">
      <c r="A189" s="44"/>
      <c r="B189" s="45"/>
      <c r="C189" s="46">
        <f>IF(B189&lt;&gt;"",VLOOKUP(B189,'Tipo Projeto'!$A$3:$B$35,2,0),0)</f>
        <v>0</v>
      </c>
      <c r="D189" s="47"/>
      <c r="E189" s="47"/>
      <c r="F189" s="48"/>
      <c r="G189" s="47"/>
      <c r="H189" s="49"/>
      <c r="I189" s="50"/>
      <c r="J189" s="51"/>
      <c r="K189" s="52"/>
      <c r="L189" s="53" t="str">
        <f t="shared" si="26"/>
        <v/>
      </c>
      <c r="M189" s="48" t="str">
        <f t="shared" si="27"/>
        <v/>
      </c>
      <c r="N189" s="54" t="str">
        <f t="shared" si="28"/>
        <v/>
      </c>
      <c r="O189" s="55">
        <f t="shared" si="29"/>
        <v>0</v>
      </c>
      <c r="P189" s="55">
        <f t="shared" si="30"/>
        <v>0</v>
      </c>
      <c r="Q189" s="54">
        <f t="shared" si="31"/>
        <v>0</v>
      </c>
      <c r="R189" s="47"/>
      <c r="T189" s="57"/>
      <c r="U189" s="45"/>
      <c r="V189" s="46">
        <f>IF(U189&lt;&gt;"",VLOOKUP(U189,'Tipo Projeto'!$A$3:$B$35,2,0),0)</f>
        <v>0</v>
      </c>
      <c r="W189" s="203"/>
      <c r="X189" s="49"/>
      <c r="Y189" s="50"/>
      <c r="Z189" s="51"/>
      <c r="AA189" s="52"/>
      <c r="AB189" s="53" t="str">
        <f t="shared" si="32"/>
        <v/>
      </c>
      <c r="AC189" s="48" t="str">
        <f t="shared" si="33"/>
        <v/>
      </c>
      <c r="AD189" s="54" t="str">
        <f t="shared" si="34"/>
        <v/>
      </c>
      <c r="AE189" s="55">
        <f t="shared" si="35"/>
        <v>0</v>
      </c>
      <c r="AF189" s="55">
        <f t="shared" si="36"/>
        <v>0</v>
      </c>
      <c r="AG189" s="58">
        <f t="shared" si="37"/>
        <v>0</v>
      </c>
      <c r="AH189" s="47"/>
      <c r="AJ189" s="47"/>
      <c r="AL189" s="47"/>
      <c r="AM189" s="47" t="str">
        <f t="shared" si="38"/>
        <v/>
      </c>
    </row>
    <row r="190" spans="1:39" s="56" customFormat="1" ht="14.25">
      <c r="A190" s="44"/>
      <c r="B190" s="45"/>
      <c r="C190" s="46">
        <f>IF(B190&lt;&gt;"",VLOOKUP(B190,'Tipo Projeto'!$A$3:$B$35,2,0),0)</f>
        <v>0</v>
      </c>
      <c r="D190" s="47"/>
      <c r="E190" s="47"/>
      <c r="F190" s="48"/>
      <c r="G190" s="47"/>
      <c r="H190" s="49"/>
      <c r="I190" s="50"/>
      <c r="J190" s="51"/>
      <c r="K190" s="52"/>
      <c r="L190" s="53" t="str">
        <f t="shared" si="26"/>
        <v/>
      </c>
      <c r="M190" s="48" t="str">
        <f t="shared" si="27"/>
        <v/>
      </c>
      <c r="N190" s="54" t="str">
        <f t="shared" si="28"/>
        <v/>
      </c>
      <c r="O190" s="55">
        <f t="shared" si="29"/>
        <v>0</v>
      </c>
      <c r="P190" s="55">
        <f t="shared" si="30"/>
        <v>0</v>
      </c>
      <c r="Q190" s="54">
        <f t="shared" si="31"/>
        <v>0</v>
      </c>
      <c r="R190" s="47"/>
      <c r="T190" s="57"/>
      <c r="U190" s="45"/>
      <c r="V190" s="46">
        <f>IF(U190&lt;&gt;"",VLOOKUP(U190,'Tipo Projeto'!$A$3:$B$35,2,0),0)</f>
        <v>0</v>
      </c>
      <c r="W190" s="203"/>
      <c r="X190" s="49"/>
      <c r="Y190" s="50"/>
      <c r="Z190" s="51"/>
      <c r="AA190" s="52"/>
      <c r="AB190" s="53" t="str">
        <f t="shared" si="32"/>
        <v/>
      </c>
      <c r="AC190" s="48" t="str">
        <f t="shared" si="33"/>
        <v/>
      </c>
      <c r="AD190" s="54" t="str">
        <f t="shared" si="34"/>
        <v/>
      </c>
      <c r="AE190" s="55">
        <f t="shared" si="35"/>
        <v>0</v>
      </c>
      <c r="AF190" s="55">
        <f t="shared" si="36"/>
        <v>0</v>
      </c>
      <c r="AG190" s="58">
        <f t="shared" si="37"/>
        <v>0</v>
      </c>
      <c r="AH190" s="47"/>
      <c r="AJ190" s="47"/>
      <c r="AL190" s="47"/>
      <c r="AM190" s="47" t="str">
        <f t="shared" si="38"/>
        <v/>
      </c>
    </row>
    <row r="191" spans="1:39" s="56" customFormat="1" ht="14.25">
      <c r="A191" s="44"/>
      <c r="B191" s="45"/>
      <c r="C191" s="46">
        <f>IF(B191&lt;&gt;"",VLOOKUP(B191,'Tipo Projeto'!$A$3:$B$35,2,0),0)</f>
        <v>0</v>
      </c>
      <c r="D191" s="47"/>
      <c r="E191" s="47"/>
      <c r="F191" s="48"/>
      <c r="G191" s="47"/>
      <c r="H191" s="49"/>
      <c r="I191" s="50"/>
      <c r="J191" s="51"/>
      <c r="K191" s="52"/>
      <c r="L191" s="53" t="str">
        <f t="shared" si="26"/>
        <v/>
      </c>
      <c r="M191" s="48" t="str">
        <f t="shared" si="27"/>
        <v/>
      </c>
      <c r="N191" s="54" t="str">
        <f t="shared" si="28"/>
        <v/>
      </c>
      <c r="O191" s="55">
        <f t="shared" si="29"/>
        <v>0</v>
      </c>
      <c r="P191" s="55">
        <f t="shared" si="30"/>
        <v>0</v>
      </c>
      <c r="Q191" s="54">
        <f t="shared" si="31"/>
        <v>0</v>
      </c>
      <c r="R191" s="47"/>
      <c r="T191" s="57"/>
      <c r="U191" s="45"/>
      <c r="V191" s="46">
        <f>IF(U191&lt;&gt;"",VLOOKUP(U191,'Tipo Projeto'!$A$3:$B$35,2,0),0)</f>
        <v>0</v>
      </c>
      <c r="W191" s="203"/>
      <c r="X191" s="49"/>
      <c r="Y191" s="50"/>
      <c r="Z191" s="51"/>
      <c r="AA191" s="52"/>
      <c r="AB191" s="53" t="str">
        <f t="shared" si="32"/>
        <v/>
      </c>
      <c r="AC191" s="48" t="str">
        <f t="shared" si="33"/>
        <v/>
      </c>
      <c r="AD191" s="54" t="str">
        <f t="shared" si="34"/>
        <v/>
      </c>
      <c r="AE191" s="55">
        <f t="shared" si="35"/>
        <v>0</v>
      </c>
      <c r="AF191" s="55">
        <f t="shared" si="36"/>
        <v>0</v>
      </c>
      <c r="AG191" s="58">
        <f t="shared" si="37"/>
        <v>0</v>
      </c>
      <c r="AH191" s="47"/>
      <c r="AJ191" s="47"/>
      <c r="AL191" s="47"/>
      <c r="AM191" s="47" t="str">
        <f t="shared" si="38"/>
        <v/>
      </c>
    </row>
    <row r="192" spans="1:39" s="56" customFormat="1" ht="14.25">
      <c r="A192" s="44"/>
      <c r="B192" s="45"/>
      <c r="C192" s="46">
        <f>IF(B192&lt;&gt;"",VLOOKUP(B192,'Tipo Projeto'!$A$3:$B$35,2,0),0)</f>
        <v>0</v>
      </c>
      <c r="D192" s="47"/>
      <c r="E192" s="47"/>
      <c r="F192" s="48"/>
      <c r="G192" s="47"/>
      <c r="H192" s="49"/>
      <c r="I192" s="50"/>
      <c r="J192" s="51"/>
      <c r="K192" s="52"/>
      <c r="L192" s="53" t="str">
        <f t="shared" si="26"/>
        <v/>
      </c>
      <c r="M192" s="48" t="str">
        <f t="shared" si="27"/>
        <v/>
      </c>
      <c r="N192" s="54" t="str">
        <f t="shared" si="28"/>
        <v/>
      </c>
      <c r="O192" s="55">
        <f t="shared" si="29"/>
        <v>0</v>
      </c>
      <c r="P192" s="55">
        <f t="shared" si="30"/>
        <v>0</v>
      </c>
      <c r="Q192" s="54">
        <f t="shared" si="31"/>
        <v>0</v>
      </c>
      <c r="R192" s="47"/>
      <c r="T192" s="57"/>
      <c r="U192" s="45"/>
      <c r="V192" s="46">
        <f>IF(U192&lt;&gt;"",VLOOKUP(U192,'Tipo Projeto'!$A$3:$B$35,2,0),0)</f>
        <v>0</v>
      </c>
      <c r="W192" s="203"/>
      <c r="X192" s="49"/>
      <c r="Y192" s="50"/>
      <c r="Z192" s="51"/>
      <c r="AA192" s="52"/>
      <c r="AB192" s="53" t="str">
        <f t="shared" si="32"/>
        <v/>
      </c>
      <c r="AC192" s="48" t="str">
        <f t="shared" si="33"/>
        <v/>
      </c>
      <c r="AD192" s="54" t="str">
        <f t="shared" si="34"/>
        <v/>
      </c>
      <c r="AE192" s="55">
        <f t="shared" si="35"/>
        <v>0</v>
      </c>
      <c r="AF192" s="55">
        <f t="shared" si="36"/>
        <v>0</v>
      </c>
      <c r="AG192" s="58">
        <f t="shared" si="37"/>
        <v>0</v>
      </c>
      <c r="AH192" s="47"/>
      <c r="AJ192" s="47"/>
      <c r="AL192" s="47"/>
      <c r="AM192" s="47" t="str">
        <f t="shared" si="38"/>
        <v/>
      </c>
    </row>
    <row r="193" spans="1:39" s="56" customFormat="1" ht="14.25">
      <c r="A193" s="44"/>
      <c r="B193" s="45"/>
      <c r="C193" s="46">
        <f>IF(B193&lt;&gt;"",VLOOKUP(B193,'Tipo Projeto'!$A$3:$B$35,2,0),0)</f>
        <v>0</v>
      </c>
      <c r="D193" s="47"/>
      <c r="E193" s="47"/>
      <c r="F193" s="48"/>
      <c r="G193" s="47"/>
      <c r="H193" s="49"/>
      <c r="I193" s="50"/>
      <c r="J193" s="51"/>
      <c r="K193" s="52"/>
      <c r="L193" s="53" t="str">
        <f t="shared" si="26"/>
        <v/>
      </c>
      <c r="M193" s="48" t="str">
        <f t="shared" si="27"/>
        <v/>
      </c>
      <c r="N193" s="54" t="str">
        <f t="shared" si="28"/>
        <v/>
      </c>
      <c r="O193" s="55">
        <f t="shared" si="29"/>
        <v>0</v>
      </c>
      <c r="P193" s="55">
        <f t="shared" si="30"/>
        <v>0</v>
      </c>
      <c r="Q193" s="54">
        <f t="shared" si="31"/>
        <v>0</v>
      </c>
      <c r="R193" s="47"/>
      <c r="T193" s="57"/>
      <c r="U193" s="45"/>
      <c r="V193" s="46">
        <f>IF(U193&lt;&gt;"",VLOOKUP(U193,'Tipo Projeto'!$A$3:$B$35,2,0),0)</f>
        <v>0</v>
      </c>
      <c r="W193" s="203"/>
      <c r="X193" s="49"/>
      <c r="Y193" s="50"/>
      <c r="Z193" s="51"/>
      <c r="AA193" s="52"/>
      <c r="AB193" s="53" t="str">
        <f t="shared" si="32"/>
        <v/>
      </c>
      <c r="AC193" s="48" t="str">
        <f t="shared" si="33"/>
        <v/>
      </c>
      <c r="AD193" s="54" t="str">
        <f t="shared" si="34"/>
        <v/>
      </c>
      <c r="AE193" s="55">
        <f t="shared" si="35"/>
        <v>0</v>
      </c>
      <c r="AF193" s="55">
        <f t="shared" si="36"/>
        <v>0</v>
      </c>
      <c r="AG193" s="58">
        <f t="shared" si="37"/>
        <v>0</v>
      </c>
      <c r="AH193" s="47"/>
      <c r="AJ193" s="47"/>
      <c r="AL193" s="47"/>
      <c r="AM193" s="47" t="str">
        <f t="shared" si="38"/>
        <v/>
      </c>
    </row>
    <row r="194" spans="1:39" s="56" customFormat="1" ht="14.25">
      <c r="A194" s="44"/>
      <c r="B194" s="45"/>
      <c r="C194" s="46">
        <f>IF(B194&lt;&gt;"",VLOOKUP(B194,'Tipo Projeto'!$A$3:$B$35,2,0),0)</f>
        <v>0</v>
      </c>
      <c r="D194" s="47"/>
      <c r="E194" s="47"/>
      <c r="F194" s="48"/>
      <c r="G194" s="47"/>
      <c r="H194" s="49"/>
      <c r="I194" s="50"/>
      <c r="J194" s="51"/>
      <c r="K194" s="52"/>
      <c r="L194" s="53" t="str">
        <f t="shared" si="26"/>
        <v/>
      </c>
      <c r="M194" s="48" t="str">
        <f t="shared" si="27"/>
        <v/>
      </c>
      <c r="N194" s="54" t="str">
        <f t="shared" si="28"/>
        <v/>
      </c>
      <c r="O194" s="55">
        <f t="shared" si="29"/>
        <v>0</v>
      </c>
      <c r="P194" s="55">
        <f t="shared" si="30"/>
        <v>0</v>
      </c>
      <c r="Q194" s="54">
        <f t="shared" si="31"/>
        <v>0</v>
      </c>
      <c r="R194" s="47"/>
      <c r="T194" s="57"/>
      <c r="U194" s="45"/>
      <c r="V194" s="46">
        <f>IF(U194&lt;&gt;"",VLOOKUP(U194,'Tipo Projeto'!$A$3:$B$35,2,0),0)</f>
        <v>0</v>
      </c>
      <c r="W194" s="203"/>
      <c r="X194" s="49"/>
      <c r="Y194" s="50"/>
      <c r="Z194" s="51"/>
      <c r="AA194" s="52"/>
      <c r="AB194" s="53" t="str">
        <f t="shared" si="32"/>
        <v/>
      </c>
      <c r="AC194" s="48" t="str">
        <f t="shared" si="33"/>
        <v/>
      </c>
      <c r="AD194" s="54" t="str">
        <f t="shared" si="34"/>
        <v/>
      </c>
      <c r="AE194" s="55">
        <f t="shared" si="35"/>
        <v>0</v>
      </c>
      <c r="AF194" s="55">
        <f t="shared" si="36"/>
        <v>0</v>
      </c>
      <c r="AG194" s="58">
        <f t="shared" si="37"/>
        <v>0</v>
      </c>
      <c r="AH194" s="47"/>
      <c r="AJ194" s="47"/>
      <c r="AL194" s="47"/>
      <c r="AM194" s="47" t="str">
        <f t="shared" si="38"/>
        <v/>
      </c>
    </row>
    <row r="195" spans="1:39" s="56" customFormat="1" ht="14.25">
      <c r="A195" s="44"/>
      <c r="B195" s="45"/>
      <c r="C195" s="46">
        <f>IF(B195&lt;&gt;"",VLOOKUP(B195,'Tipo Projeto'!$A$3:$B$35,2,0),0)</f>
        <v>0</v>
      </c>
      <c r="D195" s="47"/>
      <c r="E195" s="47"/>
      <c r="F195" s="48"/>
      <c r="G195" s="47"/>
      <c r="H195" s="49"/>
      <c r="I195" s="50"/>
      <c r="J195" s="51"/>
      <c r="K195" s="52"/>
      <c r="L195" s="53" t="str">
        <f t="shared" si="26"/>
        <v/>
      </c>
      <c r="M195" s="48" t="str">
        <f t="shared" si="27"/>
        <v/>
      </c>
      <c r="N195" s="54" t="str">
        <f t="shared" si="28"/>
        <v/>
      </c>
      <c r="O195" s="55">
        <f t="shared" si="29"/>
        <v>0</v>
      </c>
      <c r="P195" s="55">
        <f t="shared" si="30"/>
        <v>0</v>
      </c>
      <c r="Q195" s="54">
        <f t="shared" si="31"/>
        <v>0</v>
      </c>
      <c r="R195" s="47"/>
      <c r="T195" s="57"/>
      <c r="U195" s="45"/>
      <c r="V195" s="46">
        <f>IF(U195&lt;&gt;"",VLOOKUP(U195,'Tipo Projeto'!$A$3:$B$35,2,0),0)</f>
        <v>0</v>
      </c>
      <c r="W195" s="203"/>
      <c r="X195" s="49"/>
      <c r="Y195" s="50"/>
      <c r="Z195" s="51"/>
      <c r="AA195" s="52"/>
      <c r="AB195" s="53" t="str">
        <f t="shared" si="32"/>
        <v/>
      </c>
      <c r="AC195" s="48" t="str">
        <f t="shared" si="33"/>
        <v/>
      </c>
      <c r="AD195" s="54" t="str">
        <f t="shared" si="34"/>
        <v/>
      </c>
      <c r="AE195" s="55">
        <f t="shared" si="35"/>
        <v>0</v>
      </c>
      <c r="AF195" s="55">
        <f t="shared" si="36"/>
        <v>0</v>
      </c>
      <c r="AG195" s="58">
        <f t="shared" si="37"/>
        <v>0</v>
      </c>
      <c r="AH195" s="47"/>
      <c r="AJ195" s="47"/>
      <c r="AL195" s="47"/>
      <c r="AM195" s="47" t="str">
        <f t="shared" si="38"/>
        <v/>
      </c>
    </row>
    <row r="196" spans="1:39" s="56" customFormat="1" ht="14.25">
      <c r="A196" s="44"/>
      <c r="B196" s="45"/>
      <c r="C196" s="46">
        <f>IF(B196&lt;&gt;"",VLOOKUP(B196,'Tipo Projeto'!$A$3:$B$35,2,0),0)</f>
        <v>0</v>
      </c>
      <c r="D196" s="47"/>
      <c r="E196" s="47"/>
      <c r="F196" s="48"/>
      <c r="G196" s="47"/>
      <c r="H196" s="49"/>
      <c r="I196" s="50"/>
      <c r="J196" s="51"/>
      <c r="K196" s="52"/>
      <c r="L196" s="53" t="str">
        <f t="shared" si="26"/>
        <v/>
      </c>
      <c r="M196" s="48" t="str">
        <f t="shared" si="27"/>
        <v/>
      </c>
      <c r="N196" s="54" t="str">
        <f t="shared" si="28"/>
        <v/>
      </c>
      <c r="O196" s="55">
        <f t="shared" si="29"/>
        <v>0</v>
      </c>
      <c r="P196" s="55">
        <f t="shared" si="30"/>
        <v>0</v>
      </c>
      <c r="Q196" s="54">
        <f t="shared" si="31"/>
        <v>0</v>
      </c>
      <c r="R196" s="47"/>
      <c r="T196" s="57"/>
      <c r="U196" s="45"/>
      <c r="V196" s="46">
        <f>IF(U196&lt;&gt;"",VLOOKUP(U196,'Tipo Projeto'!$A$3:$B$35,2,0),0)</f>
        <v>0</v>
      </c>
      <c r="W196" s="203"/>
      <c r="X196" s="49"/>
      <c r="Y196" s="50"/>
      <c r="Z196" s="51"/>
      <c r="AA196" s="52"/>
      <c r="AB196" s="53" t="str">
        <f t="shared" si="32"/>
        <v/>
      </c>
      <c r="AC196" s="48" t="str">
        <f t="shared" si="33"/>
        <v/>
      </c>
      <c r="AD196" s="54" t="str">
        <f t="shared" si="34"/>
        <v/>
      </c>
      <c r="AE196" s="55">
        <f t="shared" si="35"/>
        <v>0</v>
      </c>
      <c r="AF196" s="55">
        <f t="shared" si="36"/>
        <v>0</v>
      </c>
      <c r="AG196" s="58">
        <f t="shared" si="37"/>
        <v>0</v>
      </c>
      <c r="AH196" s="47"/>
      <c r="AJ196" s="47"/>
      <c r="AL196" s="47"/>
      <c r="AM196" s="47" t="str">
        <f t="shared" si="38"/>
        <v/>
      </c>
    </row>
    <row r="197" spans="1:39" s="56" customFormat="1" ht="14.25">
      <c r="A197" s="44"/>
      <c r="B197" s="45"/>
      <c r="C197" s="46">
        <f>IF(B197&lt;&gt;"",VLOOKUP(B197,'Tipo Projeto'!$A$3:$B$35,2,0),0)</f>
        <v>0</v>
      </c>
      <c r="D197" s="47"/>
      <c r="E197" s="47"/>
      <c r="F197" s="48"/>
      <c r="G197" s="47"/>
      <c r="H197" s="49"/>
      <c r="I197" s="50"/>
      <c r="J197" s="51"/>
      <c r="K197" s="52"/>
      <c r="L197" s="53" t="str">
        <f t="shared" si="26"/>
        <v/>
      </c>
      <c r="M197" s="48" t="str">
        <f t="shared" si="27"/>
        <v/>
      </c>
      <c r="N197" s="54" t="str">
        <f t="shared" si="28"/>
        <v/>
      </c>
      <c r="O197" s="55">
        <f t="shared" si="29"/>
        <v>0</v>
      </c>
      <c r="P197" s="55">
        <f t="shared" si="30"/>
        <v>0</v>
      </c>
      <c r="Q197" s="54">
        <f t="shared" si="31"/>
        <v>0</v>
      </c>
      <c r="R197" s="47"/>
      <c r="T197" s="57"/>
      <c r="U197" s="45"/>
      <c r="V197" s="46">
        <f>IF(U197&lt;&gt;"",VLOOKUP(U197,'Tipo Projeto'!$A$3:$B$35,2,0),0)</f>
        <v>0</v>
      </c>
      <c r="W197" s="203"/>
      <c r="X197" s="49"/>
      <c r="Y197" s="50"/>
      <c r="Z197" s="51"/>
      <c r="AA197" s="52"/>
      <c r="AB197" s="53" t="str">
        <f t="shared" si="32"/>
        <v/>
      </c>
      <c r="AC197" s="48" t="str">
        <f t="shared" si="33"/>
        <v/>
      </c>
      <c r="AD197" s="54" t="str">
        <f t="shared" si="34"/>
        <v/>
      </c>
      <c r="AE197" s="55">
        <f t="shared" si="35"/>
        <v>0</v>
      </c>
      <c r="AF197" s="55">
        <f t="shared" si="36"/>
        <v>0</v>
      </c>
      <c r="AG197" s="58">
        <f t="shared" si="37"/>
        <v>0</v>
      </c>
      <c r="AH197" s="47"/>
      <c r="AJ197" s="47"/>
      <c r="AL197" s="47"/>
      <c r="AM197" s="47" t="str">
        <f t="shared" si="38"/>
        <v/>
      </c>
    </row>
    <row r="198" spans="1:39" s="56" customFormat="1" ht="14.25">
      <c r="A198" s="44"/>
      <c r="B198" s="45"/>
      <c r="C198" s="46">
        <f>IF(B198&lt;&gt;"",VLOOKUP(B198,'Tipo Projeto'!$A$3:$B$35,2,0),0)</f>
        <v>0</v>
      </c>
      <c r="D198" s="47"/>
      <c r="E198" s="47"/>
      <c r="F198" s="48"/>
      <c r="G198" s="47"/>
      <c r="H198" s="49"/>
      <c r="I198" s="50"/>
      <c r="J198" s="51"/>
      <c r="K198" s="52"/>
      <c r="L198" s="53" t="str">
        <f t="shared" si="26"/>
        <v/>
      </c>
      <c r="M198" s="48" t="str">
        <f t="shared" si="27"/>
        <v/>
      </c>
      <c r="N198" s="54" t="str">
        <f t="shared" si="28"/>
        <v/>
      </c>
      <c r="O198" s="55">
        <f t="shared" si="29"/>
        <v>0</v>
      </c>
      <c r="P198" s="55">
        <f t="shared" si="30"/>
        <v>0</v>
      </c>
      <c r="Q198" s="54">
        <f t="shared" si="31"/>
        <v>0</v>
      </c>
      <c r="R198" s="47"/>
      <c r="T198" s="57"/>
      <c r="U198" s="45"/>
      <c r="V198" s="46">
        <f>IF(U198&lt;&gt;"",VLOOKUP(U198,'Tipo Projeto'!$A$3:$B$35,2,0),0)</f>
        <v>0</v>
      </c>
      <c r="W198" s="203"/>
      <c r="X198" s="49"/>
      <c r="Y198" s="50"/>
      <c r="Z198" s="51"/>
      <c r="AA198" s="52"/>
      <c r="AB198" s="53" t="str">
        <f t="shared" si="32"/>
        <v/>
      </c>
      <c r="AC198" s="48" t="str">
        <f t="shared" si="33"/>
        <v/>
      </c>
      <c r="AD198" s="54" t="str">
        <f t="shared" si="34"/>
        <v/>
      </c>
      <c r="AE198" s="55">
        <f t="shared" si="35"/>
        <v>0</v>
      </c>
      <c r="AF198" s="55">
        <f t="shared" si="36"/>
        <v>0</v>
      </c>
      <c r="AG198" s="58">
        <f t="shared" si="37"/>
        <v>0</v>
      </c>
      <c r="AH198" s="47"/>
      <c r="AJ198" s="47"/>
      <c r="AL198" s="47"/>
      <c r="AM198" s="47" t="str">
        <f t="shared" si="38"/>
        <v/>
      </c>
    </row>
    <row r="199" spans="1:39" s="56" customFormat="1" ht="14.25">
      <c r="A199" s="44"/>
      <c r="B199" s="45"/>
      <c r="C199" s="46">
        <f>IF(B199&lt;&gt;"",VLOOKUP(B199,'Tipo Projeto'!$A$3:$B$35,2,0),0)</f>
        <v>0</v>
      </c>
      <c r="D199" s="47"/>
      <c r="E199" s="47"/>
      <c r="F199" s="48"/>
      <c r="G199" s="47"/>
      <c r="H199" s="49"/>
      <c r="I199" s="50"/>
      <c r="J199" s="51"/>
      <c r="K199" s="52"/>
      <c r="L199" s="53" t="str">
        <f t="shared" si="26"/>
        <v/>
      </c>
      <c r="M199" s="48" t="str">
        <f t="shared" si="27"/>
        <v/>
      </c>
      <c r="N199" s="54" t="str">
        <f t="shared" si="28"/>
        <v/>
      </c>
      <c r="O199" s="55">
        <f t="shared" si="29"/>
        <v>0</v>
      </c>
      <c r="P199" s="55">
        <f t="shared" si="30"/>
        <v>0</v>
      </c>
      <c r="Q199" s="54">
        <f t="shared" si="31"/>
        <v>0</v>
      </c>
      <c r="R199" s="47"/>
      <c r="T199" s="57"/>
      <c r="U199" s="45"/>
      <c r="V199" s="46">
        <f>IF(U199&lt;&gt;"",VLOOKUP(U199,'Tipo Projeto'!$A$3:$B$35,2,0),0)</f>
        <v>0</v>
      </c>
      <c r="W199" s="203"/>
      <c r="X199" s="49"/>
      <c r="Y199" s="50"/>
      <c r="Z199" s="51"/>
      <c r="AA199" s="52"/>
      <c r="AB199" s="53" t="str">
        <f t="shared" si="32"/>
        <v/>
      </c>
      <c r="AC199" s="48" t="str">
        <f t="shared" si="33"/>
        <v/>
      </c>
      <c r="AD199" s="54" t="str">
        <f t="shared" si="34"/>
        <v/>
      </c>
      <c r="AE199" s="55">
        <f t="shared" si="35"/>
        <v>0</v>
      </c>
      <c r="AF199" s="55">
        <f t="shared" si="36"/>
        <v>0</v>
      </c>
      <c r="AG199" s="58">
        <f t="shared" si="37"/>
        <v>0</v>
      </c>
      <c r="AH199" s="47"/>
      <c r="AJ199" s="47"/>
      <c r="AL199" s="47"/>
      <c r="AM199" s="47" t="str">
        <f t="shared" si="38"/>
        <v/>
      </c>
    </row>
    <row r="200" spans="1:39" s="56" customFormat="1" ht="14.25">
      <c r="A200" s="44"/>
      <c r="B200" s="45"/>
      <c r="C200" s="46">
        <f>IF(B200&lt;&gt;"",VLOOKUP(B200,'Tipo Projeto'!$A$3:$B$35,2,0),0)</f>
        <v>0</v>
      </c>
      <c r="D200" s="47"/>
      <c r="E200" s="47"/>
      <c r="F200" s="48"/>
      <c r="G200" s="47"/>
      <c r="H200" s="49"/>
      <c r="I200" s="50"/>
      <c r="J200" s="51"/>
      <c r="K200" s="52"/>
      <c r="L200" s="53" t="str">
        <f t="shared" si="26"/>
        <v/>
      </c>
      <c r="M200" s="48" t="str">
        <f t="shared" si="27"/>
        <v/>
      </c>
      <c r="N200" s="54" t="str">
        <f t="shared" si="28"/>
        <v/>
      </c>
      <c r="O200" s="55">
        <f t="shared" si="29"/>
        <v>0</v>
      </c>
      <c r="P200" s="55">
        <f t="shared" si="30"/>
        <v>0</v>
      </c>
      <c r="Q200" s="54">
        <f t="shared" si="31"/>
        <v>0</v>
      </c>
      <c r="R200" s="47"/>
      <c r="T200" s="57"/>
      <c r="U200" s="45"/>
      <c r="V200" s="46">
        <f>IF(U200&lt;&gt;"",VLOOKUP(U200,'Tipo Projeto'!$A$3:$B$35,2,0),0)</f>
        <v>0</v>
      </c>
      <c r="W200" s="203"/>
      <c r="X200" s="49"/>
      <c r="Y200" s="50"/>
      <c r="Z200" s="51"/>
      <c r="AA200" s="52"/>
      <c r="AB200" s="53" t="str">
        <f t="shared" si="32"/>
        <v/>
      </c>
      <c r="AC200" s="48" t="str">
        <f t="shared" si="33"/>
        <v/>
      </c>
      <c r="AD200" s="54" t="str">
        <f t="shared" si="34"/>
        <v/>
      </c>
      <c r="AE200" s="55">
        <f t="shared" si="35"/>
        <v>0</v>
      </c>
      <c r="AF200" s="55">
        <f t="shared" si="36"/>
        <v>0</v>
      </c>
      <c r="AG200" s="58">
        <f t="shared" si="37"/>
        <v>0</v>
      </c>
      <c r="AH200" s="47"/>
      <c r="AJ200" s="47"/>
      <c r="AL200" s="47"/>
      <c r="AM200" s="47" t="str">
        <f t="shared" si="38"/>
        <v/>
      </c>
    </row>
    <row r="201" spans="1:39" s="56" customFormat="1" ht="14.25">
      <c r="A201" s="44"/>
      <c r="B201" s="45"/>
      <c r="C201" s="46">
        <f>IF(B201&lt;&gt;"",VLOOKUP(B201,'Tipo Projeto'!$A$3:$B$35,2,0),0)</f>
        <v>0</v>
      </c>
      <c r="D201" s="47"/>
      <c r="E201" s="47"/>
      <c r="F201" s="48"/>
      <c r="G201" s="47"/>
      <c r="H201" s="49"/>
      <c r="I201" s="50"/>
      <c r="J201" s="51"/>
      <c r="K201" s="52"/>
      <c r="L201" s="53" t="str">
        <f t="shared" si="26"/>
        <v/>
      </c>
      <c r="M201" s="48" t="str">
        <f t="shared" si="27"/>
        <v/>
      </c>
      <c r="N201" s="54" t="str">
        <f t="shared" si="28"/>
        <v/>
      </c>
      <c r="O201" s="55">
        <f t="shared" si="29"/>
        <v>0</v>
      </c>
      <c r="P201" s="55">
        <f t="shared" si="30"/>
        <v>0</v>
      </c>
      <c r="Q201" s="54">
        <f t="shared" si="31"/>
        <v>0</v>
      </c>
      <c r="R201" s="47"/>
      <c r="T201" s="57"/>
      <c r="U201" s="45"/>
      <c r="V201" s="46">
        <f>IF(U201&lt;&gt;"",VLOOKUP(U201,'Tipo Projeto'!$A$3:$B$35,2,0),0)</f>
        <v>0</v>
      </c>
      <c r="W201" s="203"/>
      <c r="X201" s="49"/>
      <c r="Y201" s="50"/>
      <c r="Z201" s="51"/>
      <c r="AA201" s="52"/>
      <c r="AB201" s="53" t="str">
        <f t="shared" si="32"/>
        <v/>
      </c>
      <c r="AC201" s="48" t="str">
        <f t="shared" si="33"/>
        <v/>
      </c>
      <c r="AD201" s="54" t="str">
        <f t="shared" si="34"/>
        <v/>
      </c>
      <c r="AE201" s="55">
        <f t="shared" si="35"/>
        <v>0</v>
      </c>
      <c r="AF201" s="55">
        <f t="shared" si="36"/>
        <v>0</v>
      </c>
      <c r="AG201" s="58">
        <f t="shared" si="37"/>
        <v>0</v>
      </c>
      <c r="AH201" s="47"/>
      <c r="AJ201" s="47"/>
      <c r="AL201" s="47"/>
      <c r="AM201" s="47" t="str">
        <f t="shared" si="38"/>
        <v/>
      </c>
    </row>
    <row r="202" spans="1:39" s="56" customFormat="1" ht="14.25">
      <c r="A202" s="44"/>
      <c r="B202" s="45"/>
      <c r="C202" s="46">
        <f>IF(B202&lt;&gt;"",VLOOKUP(B202,'Tipo Projeto'!$A$3:$B$35,2,0),0)</f>
        <v>0</v>
      </c>
      <c r="D202" s="47"/>
      <c r="E202" s="47"/>
      <c r="F202" s="48"/>
      <c r="G202" s="47"/>
      <c r="H202" s="49"/>
      <c r="I202" s="50"/>
      <c r="J202" s="51"/>
      <c r="K202" s="52"/>
      <c r="L202" s="53"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8"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4" t="str">
        <f t="shared" ref="N202:N265" si="41">IF(L202="",M202,IF(M202="",L202,""))</f>
        <v/>
      </c>
      <c r="O202" s="55">
        <f t="shared" ref="O202:O265" si="42">IF(AND(OR(G202="EE",G202="CE"),N202="Simples"),3, IF(AND(OR(G202="EE",G202="CE"),N202="Médio"),4, IF(AND(OR(G202="EE",G202="CE"),N202="Complexo"),6, IF(AND(G202="SE",N202="Simples"),4, IF(AND(G202="SE",N202="Médio"),5, IF(AND(G202="SE",N202="Complexo"),7,0))))))</f>
        <v>0</v>
      </c>
      <c r="P202" s="55">
        <f t="shared" ref="P202:P265" si="43">IF(AND(G202="ALI",M202="Simples"),7, IF(AND(G202="ALI",M202="Médio"),10, IF(AND(G202="ALI",M202="Complexo"),15, IF(AND(G202="AIE",M202="Simples"),5, IF(AND(G202="AIE",M202="Médio"),7, IF(AND(G202="AIE",M202="Complexo"),10,0))))))</f>
        <v>0</v>
      </c>
      <c r="Q202" s="54">
        <f t="shared" ref="Q202:Q265" si="44">IF(B202&lt;&gt;"Manutenção em interface",IF(B202&lt;&gt;"Desenv., Manutenção e Publicação de Páginas Estáticas",(O202+P202)*C202,C202),C202)</f>
        <v>0</v>
      </c>
      <c r="R202" s="47"/>
      <c r="T202" s="57"/>
      <c r="U202" s="45"/>
      <c r="V202" s="46">
        <f>IF(U202&lt;&gt;"",VLOOKUP(U202,'Tipo Projeto'!$A$3:$B$35,2,0),0)</f>
        <v>0</v>
      </c>
      <c r="W202" s="203"/>
      <c r="X202" s="49"/>
      <c r="Y202" s="50"/>
      <c r="Z202" s="51"/>
      <c r="AA202" s="52"/>
      <c r="AB202" s="53"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8"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4" t="str">
        <f t="shared" ref="AD202:AD265" si="47">IF(AB202="",AC202,IF(AC202="",AB202,""))</f>
        <v/>
      </c>
      <c r="AE202" s="55">
        <f t="shared" ref="AE202:AE265" si="48">IF(AND(OR(W202="EE",W202="CE"),AD202="Simples"),3, IF(AND(OR(W202="EE",W202="CE"),AD202="Médio"),4, IF(AND(OR(W202="EE",W202="CE"),AD202="Complexo"),6, IF(AND(W202="SE",AD202="Simples"),4, IF(AND(W202="SE",AD202="Médio"),5, IF(AND(W202="SE",AD202="Complexo"),7,0))))))</f>
        <v>0</v>
      </c>
      <c r="AF202" s="55">
        <f t="shared" ref="AF202:AF265" si="49">IF(AND(W202="ALI",AC202="Simples"),7, IF(AND(W202="ALI",AC202="Médio"),10, IF(AND(W202="ALI",AC202="Complexo"),15, IF(AND(W202="AIE",AC202="Simples"),5, IF(AND(W202="AIE",AC202="Médio"),7, IF(AND(W202="AIE",AC202="Complexo"),10,0))))))</f>
        <v>0</v>
      </c>
      <c r="AG202" s="58">
        <f t="shared" ref="AG202:AG265" si="50">IF(T202="OK",Q202,( IF(U202&lt;&gt;"Manutenção em interface",IF(U202&lt;&gt;"Desenv., Manutenção e Publicação de Páginas Estáticas",(AE202+AF202)*V202,V202),V202)))</f>
        <v>0</v>
      </c>
      <c r="AH202" s="47"/>
      <c r="AJ202" s="47"/>
      <c r="AL202" s="47"/>
      <c r="AM202" s="47" t="str">
        <f t="shared" ref="AM202:AM265" si="51">IF(AG202=0,"",IF(AG202=Q202,"OK","Divergente"))</f>
        <v/>
      </c>
    </row>
    <row r="203" spans="1:39" s="56" customFormat="1" ht="14.25">
      <c r="A203" s="44"/>
      <c r="B203" s="45"/>
      <c r="C203" s="46">
        <f>IF(B203&lt;&gt;"",VLOOKUP(B203,'Tipo Projeto'!$A$3:$B$35,2,0),0)</f>
        <v>0</v>
      </c>
      <c r="D203" s="47"/>
      <c r="E203" s="47"/>
      <c r="F203" s="48"/>
      <c r="G203" s="47"/>
      <c r="H203" s="49"/>
      <c r="I203" s="50"/>
      <c r="J203" s="51"/>
      <c r="K203" s="52"/>
      <c r="L203" s="53" t="str">
        <f t="shared" si="39"/>
        <v/>
      </c>
      <c r="M203" s="48" t="str">
        <f t="shared" si="40"/>
        <v/>
      </c>
      <c r="N203" s="54" t="str">
        <f t="shared" si="41"/>
        <v/>
      </c>
      <c r="O203" s="55">
        <f t="shared" si="42"/>
        <v>0</v>
      </c>
      <c r="P203" s="55">
        <f t="shared" si="43"/>
        <v>0</v>
      </c>
      <c r="Q203" s="54">
        <f t="shared" si="44"/>
        <v>0</v>
      </c>
      <c r="R203" s="47"/>
      <c r="T203" s="57"/>
      <c r="U203" s="45"/>
      <c r="V203" s="46">
        <f>IF(U203&lt;&gt;"",VLOOKUP(U203,'Tipo Projeto'!$A$3:$B$35,2,0),0)</f>
        <v>0</v>
      </c>
      <c r="W203" s="203"/>
      <c r="X203" s="49"/>
      <c r="Y203" s="50"/>
      <c r="Z203" s="51"/>
      <c r="AA203" s="52"/>
      <c r="AB203" s="53" t="str">
        <f t="shared" si="45"/>
        <v/>
      </c>
      <c r="AC203" s="48" t="str">
        <f t="shared" si="46"/>
        <v/>
      </c>
      <c r="AD203" s="54" t="str">
        <f t="shared" si="47"/>
        <v/>
      </c>
      <c r="AE203" s="55">
        <f t="shared" si="48"/>
        <v>0</v>
      </c>
      <c r="AF203" s="55">
        <f t="shared" si="49"/>
        <v>0</v>
      </c>
      <c r="AG203" s="58">
        <f t="shared" si="50"/>
        <v>0</v>
      </c>
      <c r="AH203" s="47"/>
      <c r="AJ203" s="47"/>
      <c r="AL203" s="47"/>
      <c r="AM203" s="47" t="str">
        <f t="shared" si="51"/>
        <v/>
      </c>
    </row>
    <row r="204" spans="1:39" s="56" customFormat="1" ht="14.25">
      <c r="A204" s="44"/>
      <c r="B204" s="45"/>
      <c r="C204" s="46">
        <f>IF(B204&lt;&gt;"",VLOOKUP(B204,'Tipo Projeto'!$A$3:$B$35,2,0),0)</f>
        <v>0</v>
      </c>
      <c r="D204" s="47"/>
      <c r="E204" s="47"/>
      <c r="F204" s="48"/>
      <c r="G204" s="47"/>
      <c r="H204" s="49"/>
      <c r="I204" s="50"/>
      <c r="J204" s="51"/>
      <c r="K204" s="52"/>
      <c r="L204" s="53" t="str">
        <f t="shared" si="39"/>
        <v/>
      </c>
      <c r="M204" s="48" t="str">
        <f t="shared" si="40"/>
        <v/>
      </c>
      <c r="N204" s="54" t="str">
        <f t="shared" si="41"/>
        <v/>
      </c>
      <c r="O204" s="55">
        <f t="shared" si="42"/>
        <v>0</v>
      </c>
      <c r="P204" s="55">
        <f t="shared" si="43"/>
        <v>0</v>
      </c>
      <c r="Q204" s="54">
        <f t="shared" si="44"/>
        <v>0</v>
      </c>
      <c r="R204" s="47"/>
      <c r="T204" s="57"/>
      <c r="U204" s="45"/>
      <c r="V204" s="46">
        <f>IF(U204&lt;&gt;"",VLOOKUP(U204,'Tipo Projeto'!$A$3:$B$35,2,0),0)</f>
        <v>0</v>
      </c>
      <c r="W204" s="203"/>
      <c r="X204" s="49"/>
      <c r="Y204" s="50"/>
      <c r="Z204" s="51"/>
      <c r="AA204" s="52"/>
      <c r="AB204" s="53" t="str">
        <f t="shared" si="45"/>
        <v/>
      </c>
      <c r="AC204" s="48" t="str">
        <f t="shared" si="46"/>
        <v/>
      </c>
      <c r="AD204" s="54" t="str">
        <f t="shared" si="47"/>
        <v/>
      </c>
      <c r="AE204" s="55">
        <f t="shared" si="48"/>
        <v>0</v>
      </c>
      <c r="AF204" s="55">
        <f t="shared" si="49"/>
        <v>0</v>
      </c>
      <c r="AG204" s="58">
        <f t="shared" si="50"/>
        <v>0</v>
      </c>
      <c r="AH204" s="47"/>
      <c r="AJ204" s="47"/>
      <c r="AL204" s="47"/>
      <c r="AM204" s="47" t="str">
        <f t="shared" si="51"/>
        <v/>
      </c>
    </row>
    <row r="205" spans="1:39" s="56" customFormat="1" ht="14.25">
      <c r="A205" s="44"/>
      <c r="B205" s="45"/>
      <c r="C205" s="46">
        <f>IF(B205&lt;&gt;"",VLOOKUP(B205,'Tipo Projeto'!$A$3:$B$35,2,0),0)</f>
        <v>0</v>
      </c>
      <c r="D205" s="47"/>
      <c r="E205" s="47"/>
      <c r="F205" s="48"/>
      <c r="G205" s="47"/>
      <c r="H205" s="49"/>
      <c r="I205" s="50"/>
      <c r="J205" s="51"/>
      <c r="K205" s="52"/>
      <c r="L205" s="53" t="str">
        <f t="shared" si="39"/>
        <v/>
      </c>
      <c r="M205" s="48" t="str">
        <f t="shared" si="40"/>
        <v/>
      </c>
      <c r="N205" s="54" t="str">
        <f t="shared" si="41"/>
        <v/>
      </c>
      <c r="O205" s="55">
        <f t="shared" si="42"/>
        <v>0</v>
      </c>
      <c r="P205" s="55">
        <f t="shared" si="43"/>
        <v>0</v>
      </c>
      <c r="Q205" s="54">
        <f t="shared" si="44"/>
        <v>0</v>
      </c>
      <c r="R205" s="47"/>
      <c r="T205" s="57"/>
      <c r="U205" s="45"/>
      <c r="V205" s="46">
        <f>IF(U205&lt;&gt;"",VLOOKUP(U205,'Tipo Projeto'!$A$3:$B$35,2,0),0)</f>
        <v>0</v>
      </c>
      <c r="W205" s="203"/>
      <c r="X205" s="49"/>
      <c r="Y205" s="50"/>
      <c r="Z205" s="51"/>
      <c r="AA205" s="52"/>
      <c r="AB205" s="53" t="str">
        <f t="shared" si="45"/>
        <v/>
      </c>
      <c r="AC205" s="48" t="str">
        <f t="shared" si="46"/>
        <v/>
      </c>
      <c r="AD205" s="54" t="str">
        <f t="shared" si="47"/>
        <v/>
      </c>
      <c r="AE205" s="55">
        <f t="shared" si="48"/>
        <v>0</v>
      </c>
      <c r="AF205" s="55">
        <f t="shared" si="49"/>
        <v>0</v>
      </c>
      <c r="AG205" s="58">
        <f t="shared" si="50"/>
        <v>0</v>
      </c>
      <c r="AH205" s="47"/>
      <c r="AJ205" s="47"/>
      <c r="AL205" s="47"/>
      <c r="AM205" s="47" t="str">
        <f t="shared" si="51"/>
        <v/>
      </c>
    </row>
    <row r="206" spans="1:39" s="56" customFormat="1" ht="14.25">
      <c r="A206" s="44"/>
      <c r="B206" s="45"/>
      <c r="C206" s="46">
        <f>IF(B206&lt;&gt;"",VLOOKUP(B206,'Tipo Projeto'!$A$3:$B$35,2,0),0)</f>
        <v>0</v>
      </c>
      <c r="D206" s="47"/>
      <c r="E206" s="47"/>
      <c r="F206" s="48"/>
      <c r="G206" s="47"/>
      <c r="H206" s="49"/>
      <c r="I206" s="50"/>
      <c r="J206" s="51"/>
      <c r="K206" s="52"/>
      <c r="L206" s="53" t="str">
        <f t="shared" si="39"/>
        <v/>
      </c>
      <c r="M206" s="48" t="str">
        <f t="shared" si="40"/>
        <v/>
      </c>
      <c r="N206" s="54" t="str">
        <f t="shared" si="41"/>
        <v/>
      </c>
      <c r="O206" s="55">
        <f t="shared" si="42"/>
        <v>0</v>
      </c>
      <c r="P206" s="55">
        <f t="shared" si="43"/>
        <v>0</v>
      </c>
      <c r="Q206" s="54">
        <f t="shared" si="44"/>
        <v>0</v>
      </c>
      <c r="R206" s="47"/>
      <c r="T206" s="57"/>
      <c r="U206" s="45"/>
      <c r="V206" s="46">
        <f>IF(U206&lt;&gt;"",VLOOKUP(U206,'Tipo Projeto'!$A$3:$B$35,2,0),0)</f>
        <v>0</v>
      </c>
      <c r="W206" s="203"/>
      <c r="X206" s="49"/>
      <c r="Y206" s="50"/>
      <c r="Z206" s="51"/>
      <c r="AA206" s="52"/>
      <c r="AB206" s="53" t="str">
        <f t="shared" si="45"/>
        <v/>
      </c>
      <c r="AC206" s="48" t="str">
        <f t="shared" si="46"/>
        <v/>
      </c>
      <c r="AD206" s="54" t="str">
        <f t="shared" si="47"/>
        <v/>
      </c>
      <c r="AE206" s="55">
        <f t="shared" si="48"/>
        <v>0</v>
      </c>
      <c r="AF206" s="55">
        <f t="shared" si="49"/>
        <v>0</v>
      </c>
      <c r="AG206" s="58">
        <f t="shared" si="50"/>
        <v>0</v>
      </c>
      <c r="AH206" s="47"/>
      <c r="AJ206" s="47"/>
      <c r="AL206" s="47"/>
      <c r="AM206" s="47" t="str">
        <f t="shared" si="51"/>
        <v/>
      </c>
    </row>
    <row r="207" spans="1:39" s="56" customFormat="1" ht="14.25">
      <c r="A207" s="44"/>
      <c r="B207" s="45"/>
      <c r="C207" s="46">
        <f>IF(B207&lt;&gt;"",VLOOKUP(B207,'Tipo Projeto'!$A$3:$B$35,2,0),0)</f>
        <v>0</v>
      </c>
      <c r="D207" s="47"/>
      <c r="E207" s="47"/>
      <c r="F207" s="48"/>
      <c r="G207" s="47"/>
      <c r="H207" s="49"/>
      <c r="I207" s="50"/>
      <c r="J207" s="51"/>
      <c r="K207" s="52"/>
      <c r="L207" s="53" t="str">
        <f t="shared" si="39"/>
        <v/>
      </c>
      <c r="M207" s="48" t="str">
        <f t="shared" si="40"/>
        <v/>
      </c>
      <c r="N207" s="54" t="str">
        <f t="shared" si="41"/>
        <v/>
      </c>
      <c r="O207" s="55">
        <f t="shared" si="42"/>
        <v>0</v>
      </c>
      <c r="P207" s="55">
        <f t="shared" si="43"/>
        <v>0</v>
      </c>
      <c r="Q207" s="54">
        <f t="shared" si="44"/>
        <v>0</v>
      </c>
      <c r="R207" s="47"/>
      <c r="T207" s="57"/>
      <c r="U207" s="45"/>
      <c r="V207" s="46">
        <f>IF(U207&lt;&gt;"",VLOOKUP(U207,'Tipo Projeto'!$A$3:$B$35,2,0),0)</f>
        <v>0</v>
      </c>
      <c r="W207" s="203"/>
      <c r="X207" s="49"/>
      <c r="Y207" s="50"/>
      <c r="Z207" s="51"/>
      <c r="AA207" s="52"/>
      <c r="AB207" s="53" t="str">
        <f t="shared" si="45"/>
        <v/>
      </c>
      <c r="AC207" s="48" t="str">
        <f t="shared" si="46"/>
        <v/>
      </c>
      <c r="AD207" s="54" t="str">
        <f t="shared" si="47"/>
        <v/>
      </c>
      <c r="AE207" s="55">
        <f t="shared" si="48"/>
        <v>0</v>
      </c>
      <c r="AF207" s="55">
        <f t="shared" si="49"/>
        <v>0</v>
      </c>
      <c r="AG207" s="58">
        <f t="shared" si="50"/>
        <v>0</v>
      </c>
      <c r="AH207" s="47"/>
      <c r="AJ207" s="47"/>
      <c r="AL207" s="47"/>
      <c r="AM207" s="47" t="str">
        <f t="shared" si="51"/>
        <v/>
      </c>
    </row>
    <row r="208" spans="1:39" s="56" customFormat="1" ht="14.25">
      <c r="A208" s="44"/>
      <c r="B208" s="45"/>
      <c r="C208" s="46">
        <f>IF(B208&lt;&gt;"",VLOOKUP(B208,'Tipo Projeto'!$A$3:$B$35,2,0),0)</f>
        <v>0</v>
      </c>
      <c r="D208" s="47"/>
      <c r="E208" s="47"/>
      <c r="F208" s="48"/>
      <c r="G208" s="47"/>
      <c r="H208" s="49"/>
      <c r="I208" s="50"/>
      <c r="J208" s="51"/>
      <c r="K208" s="52"/>
      <c r="L208" s="53" t="str">
        <f t="shared" si="39"/>
        <v/>
      </c>
      <c r="M208" s="48" t="str">
        <f t="shared" si="40"/>
        <v/>
      </c>
      <c r="N208" s="54" t="str">
        <f t="shared" si="41"/>
        <v/>
      </c>
      <c r="O208" s="55">
        <f t="shared" si="42"/>
        <v>0</v>
      </c>
      <c r="P208" s="55">
        <f t="shared" si="43"/>
        <v>0</v>
      </c>
      <c r="Q208" s="54">
        <f t="shared" si="44"/>
        <v>0</v>
      </c>
      <c r="R208" s="47"/>
      <c r="T208" s="57"/>
      <c r="U208" s="45"/>
      <c r="V208" s="46">
        <f>IF(U208&lt;&gt;"",VLOOKUP(U208,'Tipo Projeto'!$A$3:$B$35,2,0),0)</f>
        <v>0</v>
      </c>
      <c r="W208" s="203"/>
      <c r="X208" s="49"/>
      <c r="Y208" s="50"/>
      <c r="Z208" s="51"/>
      <c r="AA208" s="52"/>
      <c r="AB208" s="53" t="str">
        <f t="shared" si="45"/>
        <v/>
      </c>
      <c r="AC208" s="48" t="str">
        <f t="shared" si="46"/>
        <v/>
      </c>
      <c r="AD208" s="54" t="str">
        <f t="shared" si="47"/>
        <v/>
      </c>
      <c r="AE208" s="55">
        <f t="shared" si="48"/>
        <v>0</v>
      </c>
      <c r="AF208" s="55">
        <f t="shared" si="49"/>
        <v>0</v>
      </c>
      <c r="AG208" s="58">
        <f t="shared" si="50"/>
        <v>0</v>
      </c>
      <c r="AH208" s="47"/>
      <c r="AJ208" s="47"/>
      <c r="AL208" s="47"/>
      <c r="AM208" s="47" t="str">
        <f t="shared" si="51"/>
        <v/>
      </c>
    </row>
    <row r="209" spans="1:39" s="56" customFormat="1" ht="14.25">
      <c r="A209" s="44"/>
      <c r="B209" s="45"/>
      <c r="C209" s="46">
        <f>IF(B209&lt;&gt;"",VLOOKUP(B209,'Tipo Projeto'!$A$3:$B$35,2,0),0)</f>
        <v>0</v>
      </c>
      <c r="D209" s="47"/>
      <c r="E209" s="47"/>
      <c r="F209" s="48"/>
      <c r="G209" s="47"/>
      <c r="H209" s="49"/>
      <c r="I209" s="50"/>
      <c r="J209" s="51"/>
      <c r="K209" s="52"/>
      <c r="L209" s="53" t="str">
        <f t="shared" si="39"/>
        <v/>
      </c>
      <c r="M209" s="48" t="str">
        <f t="shared" si="40"/>
        <v/>
      </c>
      <c r="N209" s="54" t="str">
        <f t="shared" si="41"/>
        <v/>
      </c>
      <c r="O209" s="55">
        <f t="shared" si="42"/>
        <v>0</v>
      </c>
      <c r="P209" s="55">
        <f t="shared" si="43"/>
        <v>0</v>
      </c>
      <c r="Q209" s="54">
        <f t="shared" si="44"/>
        <v>0</v>
      </c>
      <c r="R209" s="47"/>
      <c r="T209" s="57"/>
      <c r="U209" s="45"/>
      <c r="V209" s="46">
        <f>IF(U209&lt;&gt;"",VLOOKUP(U209,'Tipo Projeto'!$A$3:$B$35,2,0),0)</f>
        <v>0</v>
      </c>
      <c r="W209" s="203"/>
      <c r="X209" s="49"/>
      <c r="Y209" s="50"/>
      <c r="Z209" s="51"/>
      <c r="AA209" s="52"/>
      <c r="AB209" s="53" t="str">
        <f t="shared" si="45"/>
        <v/>
      </c>
      <c r="AC209" s="48" t="str">
        <f t="shared" si="46"/>
        <v/>
      </c>
      <c r="AD209" s="54" t="str">
        <f t="shared" si="47"/>
        <v/>
      </c>
      <c r="AE209" s="55">
        <f t="shared" si="48"/>
        <v>0</v>
      </c>
      <c r="AF209" s="55">
        <f t="shared" si="49"/>
        <v>0</v>
      </c>
      <c r="AG209" s="58">
        <f t="shared" si="50"/>
        <v>0</v>
      </c>
      <c r="AH209" s="47"/>
      <c r="AJ209" s="47"/>
      <c r="AL209" s="47"/>
      <c r="AM209" s="47" t="str">
        <f t="shared" si="51"/>
        <v/>
      </c>
    </row>
    <row r="210" spans="1:39" s="56" customFormat="1" ht="14.25">
      <c r="A210" s="44"/>
      <c r="B210" s="45"/>
      <c r="C210" s="46">
        <f>IF(B210&lt;&gt;"",VLOOKUP(B210,'Tipo Projeto'!$A$3:$B$35,2,0),0)</f>
        <v>0</v>
      </c>
      <c r="D210" s="47"/>
      <c r="E210" s="47"/>
      <c r="F210" s="48"/>
      <c r="G210" s="47"/>
      <c r="H210" s="49"/>
      <c r="I210" s="50"/>
      <c r="J210" s="51"/>
      <c r="K210" s="52"/>
      <c r="L210" s="53" t="str">
        <f t="shared" si="39"/>
        <v/>
      </c>
      <c r="M210" s="48" t="str">
        <f t="shared" si="40"/>
        <v/>
      </c>
      <c r="N210" s="54" t="str">
        <f t="shared" si="41"/>
        <v/>
      </c>
      <c r="O210" s="55">
        <f t="shared" si="42"/>
        <v>0</v>
      </c>
      <c r="P210" s="55">
        <f t="shared" si="43"/>
        <v>0</v>
      </c>
      <c r="Q210" s="54">
        <f t="shared" si="44"/>
        <v>0</v>
      </c>
      <c r="R210" s="47"/>
      <c r="T210" s="57"/>
      <c r="U210" s="45"/>
      <c r="V210" s="46">
        <f>IF(U210&lt;&gt;"",VLOOKUP(U210,'Tipo Projeto'!$A$3:$B$35,2,0),0)</f>
        <v>0</v>
      </c>
      <c r="W210" s="203"/>
      <c r="X210" s="49"/>
      <c r="Y210" s="50"/>
      <c r="Z210" s="51"/>
      <c r="AA210" s="52"/>
      <c r="AB210" s="53" t="str">
        <f t="shared" si="45"/>
        <v/>
      </c>
      <c r="AC210" s="48" t="str">
        <f t="shared" si="46"/>
        <v/>
      </c>
      <c r="AD210" s="54" t="str">
        <f t="shared" si="47"/>
        <v/>
      </c>
      <c r="AE210" s="55">
        <f t="shared" si="48"/>
        <v>0</v>
      </c>
      <c r="AF210" s="55">
        <f t="shared" si="49"/>
        <v>0</v>
      </c>
      <c r="AG210" s="58">
        <f t="shared" si="50"/>
        <v>0</v>
      </c>
      <c r="AH210" s="47"/>
      <c r="AJ210" s="47"/>
      <c r="AL210" s="47"/>
      <c r="AM210" s="47" t="str">
        <f t="shared" si="51"/>
        <v/>
      </c>
    </row>
    <row r="211" spans="1:39" s="56" customFormat="1" ht="14.25">
      <c r="A211" s="44"/>
      <c r="B211" s="45"/>
      <c r="C211" s="46">
        <f>IF(B211&lt;&gt;"",VLOOKUP(B211,'Tipo Projeto'!$A$3:$B$35,2,0),0)</f>
        <v>0</v>
      </c>
      <c r="D211" s="47"/>
      <c r="E211" s="47"/>
      <c r="F211" s="48"/>
      <c r="G211" s="47"/>
      <c r="H211" s="49"/>
      <c r="I211" s="50"/>
      <c r="J211" s="51"/>
      <c r="K211" s="52"/>
      <c r="L211" s="53" t="str">
        <f t="shared" si="39"/>
        <v/>
      </c>
      <c r="M211" s="48" t="str">
        <f t="shared" si="40"/>
        <v/>
      </c>
      <c r="N211" s="54" t="str">
        <f t="shared" si="41"/>
        <v/>
      </c>
      <c r="O211" s="55">
        <f t="shared" si="42"/>
        <v>0</v>
      </c>
      <c r="P211" s="55">
        <f t="shared" si="43"/>
        <v>0</v>
      </c>
      <c r="Q211" s="54">
        <f t="shared" si="44"/>
        <v>0</v>
      </c>
      <c r="R211" s="47"/>
      <c r="T211" s="57"/>
      <c r="U211" s="45"/>
      <c r="V211" s="46">
        <f>IF(U211&lt;&gt;"",VLOOKUP(U211,'Tipo Projeto'!$A$3:$B$35,2,0),0)</f>
        <v>0</v>
      </c>
      <c r="W211" s="203"/>
      <c r="X211" s="49"/>
      <c r="Y211" s="50"/>
      <c r="Z211" s="51"/>
      <c r="AA211" s="52"/>
      <c r="AB211" s="53" t="str">
        <f t="shared" si="45"/>
        <v/>
      </c>
      <c r="AC211" s="48" t="str">
        <f t="shared" si="46"/>
        <v/>
      </c>
      <c r="AD211" s="54" t="str">
        <f t="shared" si="47"/>
        <v/>
      </c>
      <c r="AE211" s="55">
        <f t="shared" si="48"/>
        <v>0</v>
      </c>
      <c r="AF211" s="55">
        <f t="shared" si="49"/>
        <v>0</v>
      </c>
      <c r="AG211" s="58">
        <f t="shared" si="50"/>
        <v>0</v>
      </c>
      <c r="AH211" s="47"/>
      <c r="AJ211" s="47"/>
      <c r="AL211" s="47"/>
      <c r="AM211" s="47" t="str">
        <f t="shared" si="51"/>
        <v/>
      </c>
    </row>
    <row r="212" spans="1:39" s="56" customFormat="1" ht="14.25">
      <c r="A212" s="44"/>
      <c r="B212" s="45"/>
      <c r="C212" s="46">
        <f>IF(B212&lt;&gt;"",VLOOKUP(B212,'Tipo Projeto'!$A$3:$B$35,2,0),0)</f>
        <v>0</v>
      </c>
      <c r="D212" s="47"/>
      <c r="E212" s="47"/>
      <c r="F212" s="48"/>
      <c r="G212" s="47"/>
      <c r="H212" s="49"/>
      <c r="I212" s="50"/>
      <c r="J212" s="51"/>
      <c r="K212" s="52"/>
      <c r="L212" s="53" t="str">
        <f t="shared" si="39"/>
        <v/>
      </c>
      <c r="M212" s="48" t="str">
        <f t="shared" si="40"/>
        <v/>
      </c>
      <c r="N212" s="54" t="str">
        <f t="shared" si="41"/>
        <v/>
      </c>
      <c r="O212" s="55">
        <f t="shared" si="42"/>
        <v>0</v>
      </c>
      <c r="P212" s="55">
        <f t="shared" si="43"/>
        <v>0</v>
      </c>
      <c r="Q212" s="54">
        <f t="shared" si="44"/>
        <v>0</v>
      </c>
      <c r="R212" s="47"/>
      <c r="T212" s="57"/>
      <c r="U212" s="45"/>
      <c r="V212" s="46">
        <f>IF(U212&lt;&gt;"",VLOOKUP(U212,'Tipo Projeto'!$A$3:$B$35,2,0),0)</f>
        <v>0</v>
      </c>
      <c r="W212" s="203"/>
      <c r="X212" s="49"/>
      <c r="Y212" s="50"/>
      <c r="Z212" s="51"/>
      <c r="AA212" s="52"/>
      <c r="AB212" s="53" t="str">
        <f t="shared" si="45"/>
        <v/>
      </c>
      <c r="AC212" s="48" t="str">
        <f t="shared" si="46"/>
        <v/>
      </c>
      <c r="AD212" s="54" t="str">
        <f t="shared" si="47"/>
        <v/>
      </c>
      <c r="AE212" s="55">
        <f t="shared" si="48"/>
        <v>0</v>
      </c>
      <c r="AF212" s="55">
        <f t="shared" si="49"/>
        <v>0</v>
      </c>
      <c r="AG212" s="58">
        <f t="shared" si="50"/>
        <v>0</v>
      </c>
      <c r="AH212" s="47"/>
      <c r="AJ212" s="47"/>
      <c r="AL212" s="47"/>
      <c r="AM212" s="47" t="str">
        <f t="shared" si="51"/>
        <v/>
      </c>
    </row>
    <row r="213" spans="1:39" s="56" customFormat="1" ht="14.25">
      <c r="A213" s="44"/>
      <c r="B213" s="45"/>
      <c r="C213" s="46">
        <f>IF(B213&lt;&gt;"",VLOOKUP(B213,'Tipo Projeto'!$A$3:$B$35,2,0),0)</f>
        <v>0</v>
      </c>
      <c r="D213" s="47"/>
      <c r="E213" s="47"/>
      <c r="F213" s="48"/>
      <c r="G213" s="47"/>
      <c r="H213" s="49"/>
      <c r="I213" s="50"/>
      <c r="J213" s="51"/>
      <c r="K213" s="52"/>
      <c r="L213" s="53" t="str">
        <f t="shared" si="39"/>
        <v/>
      </c>
      <c r="M213" s="48" t="str">
        <f t="shared" si="40"/>
        <v/>
      </c>
      <c r="N213" s="54" t="str">
        <f t="shared" si="41"/>
        <v/>
      </c>
      <c r="O213" s="55">
        <f t="shared" si="42"/>
        <v>0</v>
      </c>
      <c r="P213" s="55">
        <f t="shared" si="43"/>
        <v>0</v>
      </c>
      <c r="Q213" s="54">
        <f t="shared" si="44"/>
        <v>0</v>
      </c>
      <c r="R213" s="47"/>
      <c r="T213" s="57"/>
      <c r="U213" s="45"/>
      <c r="V213" s="46">
        <f>IF(U213&lt;&gt;"",VLOOKUP(U213,'Tipo Projeto'!$A$3:$B$35,2,0),0)</f>
        <v>0</v>
      </c>
      <c r="W213" s="203"/>
      <c r="X213" s="49"/>
      <c r="Y213" s="50"/>
      <c r="Z213" s="51"/>
      <c r="AA213" s="52"/>
      <c r="AB213" s="53" t="str">
        <f t="shared" si="45"/>
        <v/>
      </c>
      <c r="AC213" s="48" t="str">
        <f t="shared" si="46"/>
        <v/>
      </c>
      <c r="AD213" s="54" t="str">
        <f t="shared" si="47"/>
        <v/>
      </c>
      <c r="AE213" s="55">
        <f t="shared" si="48"/>
        <v>0</v>
      </c>
      <c r="AF213" s="55">
        <f t="shared" si="49"/>
        <v>0</v>
      </c>
      <c r="AG213" s="58">
        <f t="shared" si="50"/>
        <v>0</v>
      </c>
      <c r="AH213" s="47"/>
      <c r="AJ213" s="47"/>
      <c r="AL213" s="47"/>
      <c r="AM213" s="47" t="str">
        <f t="shared" si="51"/>
        <v/>
      </c>
    </row>
    <row r="214" spans="1:39" s="56" customFormat="1" ht="14.25">
      <c r="A214" s="44"/>
      <c r="B214" s="45"/>
      <c r="C214" s="46">
        <f>IF(B214&lt;&gt;"",VLOOKUP(B214,'Tipo Projeto'!$A$3:$B$35,2,0),0)</f>
        <v>0</v>
      </c>
      <c r="D214" s="47"/>
      <c r="E214" s="47"/>
      <c r="F214" s="48"/>
      <c r="G214" s="47"/>
      <c r="H214" s="49"/>
      <c r="I214" s="50"/>
      <c r="J214" s="51"/>
      <c r="K214" s="52"/>
      <c r="L214" s="53" t="str">
        <f t="shared" si="39"/>
        <v/>
      </c>
      <c r="M214" s="48" t="str">
        <f t="shared" si="40"/>
        <v/>
      </c>
      <c r="N214" s="54" t="str">
        <f t="shared" si="41"/>
        <v/>
      </c>
      <c r="O214" s="55">
        <f t="shared" si="42"/>
        <v>0</v>
      </c>
      <c r="P214" s="55">
        <f t="shared" si="43"/>
        <v>0</v>
      </c>
      <c r="Q214" s="54">
        <f t="shared" si="44"/>
        <v>0</v>
      </c>
      <c r="R214" s="47"/>
      <c r="T214" s="57"/>
      <c r="U214" s="45"/>
      <c r="V214" s="46">
        <f>IF(U214&lt;&gt;"",VLOOKUP(U214,'Tipo Projeto'!$A$3:$B$35,2,0),0)</f>
        <v>0</v>
      </c>
      <c r="W214" s="203"/>
      <c r="X214" s="49"/>
      <c r="Y214" s="50"/>
      <c r="Z214" s="51"/>
      <c r="AA214" s="52"/>
      <c r="AB214" s="53" t="str">
        <f t="shared" si="45"/>
        <v/>
      </c>
      <c r="AC214" s="48" t="str">
        <f t="shared" si="46"/>
        <v/>
      </c>
      <c r="AD214" s="54" t="str">
        <f t="shared" si="47"/>
        <v/>
      </c>
      <c r="AE214" s="55">
        <f t="shared" si="48"/>
        <v>0</v>
      </c>
      <c r="AF214" s="55">
        <f t="shared" si="49"/>
        <v>0</v>
      </c>
      <c r="AG214" s="58">
        <f t="shared" si="50"/>
        <v>0</v>
      </c>
      <c r="AH214" s="47"/>
      <c r="AJ214" s="47"/>
      <c r="AL214" s="47"/>
      <c r="AM214" s="47" t="str">
        <f t="shared" si="51"/>
        <v/>
      </c>
    </row>
    <row r="215" spans="1:39" s="56" customFormat="1" ht="14.25">
      <c r="A215" s="44"/>
      <c r="B215" s="45"/>
      <c r="C215" s="46">
        <f>IF(B215&lt;&gt;"",VLOOKUP(B215,'Tipo Projeto'!$A$3:$B$35,2,0),0)</f>
        <v>0</v>
      </c>
      <c r="D215" s="47"/>
      <c r="E215" s="47"/>
      <c r="F215" s="48"/>
      <c r="G215" s="47"/>
      <c r="H215" s="49"/>
      <c r="I215" s="50"/>
      <c r="J215" s="51"/>
      <c r="K215" s="52"/>
      <c r="L215" s="53" t="str">
        <f t="shared" si="39"/>
        <v/>
      </c>
      <c r="M215" s="48" t="str">
        <f t="shared" si="40"/>
        <v/>
      </c>
      <c r="N215" s="54" t="str">
        <f t="shared" si="41"/>
        <v/>
      </c>
      <c r="O215" s="55">
        <f t="shared" si="42"/>
        <v>0</v>
      </c>
      <c r="P215" s="55">
        <f t="shared" si="43"/>
        <v>0</v>
      </c>
      <c r="Q215" s="54">
        <f t="shared" si="44"/>
        <v>0</v>
      </c>
      <c r="R215" s="47"/>
      <c r="T215" s="57"/>
      <c r="U215" s="45"/>
      <c r="V215" s="46">
        <f>IF(U215&lt;&gt;"",VLOOKUP(U215,'Tipo Projeto'!$A$3:$B$35,2,0),0)</f>
        <v>0</v>
      </c>
      <c r="W215" s="203"/>
      <c r="X215" s="49"/>
      <c r="Y215" s="50"/>
      <c r="Z215" s="51"/>
      <c r="AA215" s="52"/>
      <c r="AB215" s="53" t="str">
        <f t="shared" si="45"/>
        <v/>
      </c>
      <c r="AC215" s="48" t="str">
        <f t="shared" si="46"/>
        <v/>
      </c>
      <c r="AD215" s="54" t="str">
        <f t="shared" si="47"/>
        <v/>
      </c>
      <c r="AE215" s="55">
        <f t="shared" si="48"/>
        <v>0</v>
      </c>
      <c r="AF215" s="55">
        <f t="shared" si="49"/>
        <v>0</v>
      </c>
      <c r="AG215" s="58">
        <f t="shared" si="50"/>
        <v>0</v>
      </c>
      <c r="AH215" s="47"/>
      <c r="AJ215" s="47"/>
      <c r="AL215" s="47"/>
      <c r="AM215" s="47" t="str">
        <f t="shared" si="51"/>
        <v/>
      </c>
    </row>
    <row r="216" spans="1:39" s="56" customFormat="1" ht="14.25">
      <c r="A216" s="44"/>
      <c r="B216" s="45"/>
      <c r="C216" s="46">
        <f>IF(B216&lt;&gt;"",VLOOKUP(B216,'Tipo Projeto'!$A$3:$B$35,2,0),0)</f>
        <v>0</v>
      </c>
      <c r="D216" s="47"/>
      <c r="E216" s="47"/>
      <c r="F216" s="48"/>
      <c r="G216" s="47"/>
      <c r="H216" s="49"/>
      <c r="I216" s="50"/>
      <c r="J216" s="51"/>
      <c r="K216" s="52"/>
      <c r="L216" s="53" t="str">
        <f t="shared" si="39"/>
        <v/>
      </c>
      <c r="M216" s="48" t="str">
        <f t="shared" si="40"/>
        <v/>
      </c>
      <c r="N216" s="54" t="str">
        <f t="shared" si="41"/>
        <v/>
      </c>
      <c r="O216" s="55">
        <f t="shared" si="42"/>
        <v>0</v>
      </c>
      <c r="P216" s="55">
        <f t="shared" si="43"/>
        <v>0</v>
      </c>
      <c r="Q216" s="54">
        <f t="shared" si="44"/>
        <v>0</v>
      </c>
      <c r="R216" s="47"/>
      <c r="T216" s="57"/>
      <c r="U216" s="45"/>
      <c r="V216" s="46">
        <f>IF(U216&lt;&gt;"",VLOOKUP(U216,'Tipo Projeto'!$A$3:$B$35,2,0),0)</f>
        <v>0</v>
      </c>
      <c r="W216" s="203"/>
      <c r="X216" s="49"/>
      <c r="Y216" s="50"/>
      <c r="Z216" s="51"/>
      <c r="AA216" s="52"/>
      <c r="AB216" s="53" t="str">
        <f t="shared" si="45"/>
        <v/>
      </c>
      <c r="AC216" s="48" t="str">
        <f t="shared" si="46"/>
        <v/>
      </c>
      <c r="AD216" s="54" t="str">
        <f t="shared" si="47"/>
        <v/>
      </c>
      <c r="AE216" s="55">
        <f t="shared" si="48"/>
        <v>0</v>
      </c>
      <c r="AF216" s="55">
        <f t="shared" si="49"/>
        <v>0</v>
      </c>
      <c r="AG216" s="58">
        <f t="shared" si="50"/>
        <v>0</v>
      </c>
      <c r="AH216" s="47"/>
      <c r="AJ216" s="47"/>
      <c r="AL216" s="47"/>
      <c r="AM216" s="47" t="str">
        <f t="shared" si="51"/>
        <v/>
      </c>
    </row>
    <row r="217" spans="1:39" s="56" customFormat="1" ht="14.25">
      <c r="A217" s="44"/>
      <c r="B217" s="45"/>
      <c r="C217" s="46">
        <f>IF(B217&lt;&gt;"",VLOOKUP(B217,'Tipo Projeto'!$A$3:$B$35,2,0),0)</f>
        <v>0</v>
      </c>
      <c r="D217" s="47"/>
      <c r="E217" s="47"/>
      <c r="F217" s="48"/>
      <c r="G217" s="47"/>
      <c r="H217" s="49"/>
      <c r="I217" s="50"/>
      <c r="J217" s="51"/>
      <c r="K217" s="52"/>
      <c r="L217" s="53" t="str">
        <f t="shared" si="39"/>
        <v/>
      </c>
      <c r="M217" s="48" t="str">
        <f t="shared" si="40"/>
        <v/>
      </c>
      <c r="N217" s="54" t="str">
        <f t="shared" si="41"/>
        <v/>
      </c>
      <c r="O217" s="55">
        <f t="shared" si="42"/>
        <v>0</v>
      </c>
      <c r="P217" s="55">
        <f t="shared" si="43"/>
        <v>0</v>
      </c>
      <c r="Q217" s="54">
        <f t="shared" si="44"/>
        <v>0</v>
      </c>
      <c r="R217" s="47"/>
      <c r="T217" s="57"/>
      <c r="U217" s="45"/>
      <c r="V217" s="46">
        <f>IF(U217&lt;&gt;"",VLOOKUP(U217,'Tipo Projeto'!$A$3:$B$35,2,0),0)</f>
        <v>0</v>
      </c>
      <c r="W217" s="203"/>
      <c r="X217" s="49"/>
      <c r="Y217" s="50"/>
      <c r="Z217" s="51"/>
      <c r="AA217" s="52"/>
      <c r="AB217" s="53" t="str">
        <f t="shared" si="45"/>
        <v/>
      </c>
      <c r="AC217" s="48" t="str">
        <f t="shared" si="46"/>
        <v/>
      </c>
      <c r="AD217" s="54" t="str">
        <f t="shared" si="47"/>
        <v/>
      </c>
      <c r="AE217" s="55">
        <f t="shared" si="48"/>
        <v>0</v>
      </c>
      <c r="AF217" s="55">
        <f t="shared" si="49"/>
        <v>0</v>
      </c>
      <c r="AG217" s="58">
        <f t="shared" si="50"/>
        <v>0</v>
      </c>
      <c r="AH217" s="47"/>
      <c r="AJ217" s="47"/>
      <c r="AL217" s="47"/>
      <c r="AM217" s="47" t="str">
        <f t="shared" si="51"/>
        <v/>
      </c>
    </row>
    <row r="218" spans="1:39" s="56" customFormat="1" ht="14.25">
      <c r="A218" s="44"/>
      <c r="B218" s="45"/>
      <c r="C218" s="46">
        <f>IF(B218&lt;&gt;"",VLOOKUP(B218,'Tipo Projeto'!$A$3:$B$35,2,0),0)</f>
        <v>0</v>
      </c>
      <c r="D218" s="47"/>
      <c r="E218" s="47"/>
      <c r="F218" s="48"/>
      <c r="G218" s="47"/>
      <c r="H218" s="49"/>
      <c r="I218" s="50"/>
      <c r="J218" s="51"/>
      <c r="K218" s="52"/>
      <c r="L218" s="53" t="str">
        <f t="shared" si="39"/>
        <v/>
      </c>
      <c r="M218" s="48" t="str">
        <f t="shared" si="40"/>
        <v/>
      </c>
      <c r="N218" s="54" t="str">
        <f t="shared" si="41"/>
        <v/>
      </c>
      <c r="O218" s="55">
        <f t="shared" si="42"/>
        <v>0</v>
      </c>
      <c r="P218" s="55">
        <f t="shared" si="43"/>
        <v>0</v>
      </c>
      <c r="Q218" s="54">
        <f t="shared" si="44"/>
        <v>0</v>
      </c>
      <c r="R218" s="47"/>
      <c r="T218" s="57"/>
      <c r="U218" s="45"/>
      <c r="V218" s="46">
        <f>IF(U218&lt;&gt;"",VLOOKUP(U218,'Tipo Projeto'!$A$3:$B$35,2,0),0)</f>
        <v>0</v>
      </c>
      <c r="W218" s="203"/>
      <c r="X218" s="49"/>
      <c r="Y218" s="50"/>
      <c r="Z218" s="51"/>
      <c r="AA218" s="52"/>
      <c r="AB218" s="53" t="str">
        <f t="shared" si="45"/>
        <v/>
      </c>
      <c r="AC218" s="48" t="str">
        <f t="shared" si="46"/>
        <v/>
      </c>
      <c r="AD218" s="54" t="str">
        <f t="shared" si="47"/>
        <v/>
      </c>
      <c r="AE218" s="55">
        <f t="shared" si="48"/>
        <v>0</v>
      </c>
      <c r="AF218" s="55">
        <f t="shared" si="49"/>
        <v>0</v>
      </c>
      <c r="AG218" s="58">
        <f t="shared" si="50"/>
        <v>0</v>
      </c>
      <c r="AH218" s="47"/>
      <c r="AJ218" s="47"/>
      <c r="AL218" s="47"/>
      <c r="AM218" s="47" t="str">
        <f t="shared" si="51"/>
        <v/>
      </c>
    </row>
    <row r="219" spans="1:39" s="56" customFormat="1" ht="14.25">
      <c r="A219" s="44"/>
      <c r="B219" s="45"/>
      <c r="C219" s="46">
        <f>IF(B219&lt;&gt;"",VLOOKUP(B219,'Tipo Projeto'!$A$3:$B$35,2,0),0)</f>
        <v>0</v>
      </c>
      <c r="D219" s="47"/>
      <c r="E219" s="47"/>
      <c r="F219" s="48"/>
      <c r="G219" s="47"/>
      <c r="H219" s="49"/>
      <c r="I219" s="50"/>
      <c r="J219" s="51"/>
      <c r="K219" s="52"/>
      <c r="L219" s="53" t="str">
        <f t="shared" si="39"/>
        <v/>
      </c>
      <c r="M219" s="48" t="str">
        <f t="shared" si="40"/>
        <v/>
      </c>
      <c r="N219" s="54" t="str">
        <f t="shared" si="41"/>
        <v/>
      </c>
      <c r="O219" s="55">
        <f t="shared" si="42"/>
        <v>0</v>
      </c>
      <c r="P219" s="55">
        <f t="shared" si="43"/>
        <v>0</v>
      </c>
      <c r="Q219" s="54">
        <f t="shared" si="44"/>
        <v>0</v>
      </c>
      <c r="R219" s="47"/>
      <c r="T219" s="57"/>
      <c r="U219" s="45"/>
      <c r="V219" s="46">
        <f>IF(U219&lt;&gt;"",VLOOKUP(U219,'Tipo Projeto'!$A$3:$B$35,2,0),0)</f>
        <v>0</v>
      </c>
      <c r="W219" s="203"/>
      <c r="X219" s="49"/>
      <c r="Y219" s="50"/>
      <c r="Z219" s="51"/>
      <c r="AA219" s="52"/>
      <c r="AB219" s="53" t="str">
        <f t="shared" si="45"/>
        <v/>
      </c>
      <c r="AC219" s="48" t="str">
        <f t="shared" si="46"/>
        <v/>
      </c>
      <c r="AD219" s="54" t="str">
        <f t="shared" si="47"/>
        <v/>
      </c>
      <c r="AE219" s="55">
        <f t="shared" si="48"/>
        <v>0</v>
      </c>
      <c r="AF219" s="55">
        <f t="shared" si="49"/>
        <v>0</v>
      </c>
      <c r="AG219" s="58">
        <f t="shared" si="50"/>
        <v>0</v>
      </c>
      <c r="AH219" s="47"/>
      <c r="AJ219" s="47"/>
      <c r="AL219" s="47"/>
      <c r="AM219" s="47" t="str">
        <f t="shared" si="51"/>
        <v/>
      </c>
    </row>
    <row r="220" spans="1:39" s="56" customFormat="1" ht="14.25">
      <c r="A220" s="44"/>
      <c r="B220" s="45"/>
      <c r="C220" s="46">
        <f>IF(B220&lt;&gt;"",VLOOKUP(B220,'Tipo Projeto'!$A$3:$B$35,2,0),0)</f>
        <v>0</v>
      </c>
      <c r="D220" s="47"/>
      <c r="E220" s="47"/>
      <c r="F220" s="48"/>
      <c r="G220" s="47"/>
      <c r="H220" s="49"/>
      <c r="I220" s="50"/>
      <c r="J220" s="51"/>
      <c r="K220" s="52"/>
      <c r="L220" s="53" t="str">
        <f t="shared" si="39"/>
        <v/>
      </c>
      <c r="M220" s="48" t="str">
        <f t="shared" si="40"/>
        <v/>
      </c>
      <c r="N220" s="54" t="str">
        <f t="shared" si="41"/>
        <v/>
      </c>
      <c r="O220" s="55">
        <f t="shared" si="42"/>
        <v>0</v>
      </c>
      <c r="P220" s="55">
        <f t="shared" si="43"/>
        <v>0</v>
      </c>
      <c r="Q220" s="54">
        <f t="shared" si="44"/>
        <v>0</v>
      </c>
      <c r="R220" s="47"/>
      <c r="T220" s="57"/>
      <c r="U220" s="45"/>
      <c r="V220" s="46">
        <f>IF(U220&lt;&gt;"",VLOOKUP(U220,'Tipo Projeto'!$A$3:$B$35,2,0),0)</f>
        <v>0</v>
      </c>
      <c r="W220" s="203"/>
      <c r="X220" s="49"/>
      <c r="Y220" s="50"/>
      <c r="Z220" s="51"/>
      <c r="AA220" s="52"/>
      <c r="AB220" s="53" t="str">
        <f t="shared" si="45"/>
        <v/>
      </c>
      <c r="AC220" s="48" t="str">
        <f t="shared" si="46"/>
        <v/>
      </c>
      <c r="AD220" s="54" t="str">
        <f t="shared" si="47"/>
        <v/>
      </c>
      <c r="AE220" s="55">
        <f t="shared" si="48"/>
        <v>0</v>
      </c>
      <c r="AF220" s="55">
        <f t="shared" si="49"/>
        <v>0</v>
      </c>
      <c r="AG220" s="58">
        <f t="shared" si="50"/>
        <v>0</v>
      </c>
      <c r="AH220" s="47"/>
      <c r="AJ220" s="47"/>
      <c r="AL220" s="47"/>
      <c r="AM220" s="47" t="str">
        <f t="shared" si="51"/>
        <v/>
      </c>
    </row>
    <row r="221" spans="1:39" s="56" customFormat="1" ht="14.25">
      <c r="A221" s="44"/>
      <c r="B221" s="45"/>
      <c r="C221" s="46">
        <f>IF(B221&lt;&gt;"",VLOOKUP(B221,'Tipo Projeto'!$A$3:$B$35,2,0),0)</f>
        <v>0</v>
      </c>
      <c r="D221" s="47"/>
      <c r="E221" s="47"/>
      <c r="F221" s="48"/>
      <c r="G221" s="47"/>
      <c r="H221" s="49"/>
      <c r="I221" s="50"/>
      <c r="J221" s="51"/>
      <c r="K221" s="52"/>
      <c r="L221" s="53" t="str">
        <f t="shared" si="39"/>
        <v/>
      </c>
      <c r="M221" s="48" t="str">
        <f t="shared" si="40"/>
        <v/>
      </c>
      <c r="N221" s="54" t="str">
        <f t="shared" si="41"/>
        <v/>
      </c>
      <c r="O221" s="55">
        <f t="shared" si="42"/>
        <v>0</v>
      </c>
      <c r="P221" s="55">
        <f t="shared" si="43"/>
        <v>0</v>
      </c>
      <c r="Q221" s="54">
        <f t="shared" si="44"/>
        <v>0</v>
      </c>
      <c r="R221" s="47"/>
      <c r="T221" s="57"/>
      <c r="U221" s="45"/>
      <c r="V221" s="46">
        <f>IF(U221&lt;&gt;"",VLOOKUP(U221,'Tipo Projeto'!$A$3:$B$35,2,0),0)</f>
        <v>0</v>
      </c>
      <c r="W221" s="203"/>
      <c r="X221" s="49"/>
      <c r="Y221" s="50"/>
      <c r="Z221" s="51"/>
      <c r="AA221" s="52"/>
      <c r="AB221" s="53" t="str">
        <f t="shared" si="45"/>
        <v/>
      </c>
      <c r="AC221" s="48" t="str">
        <f t="shared" si="46"/>
        <v/>
      </c>
      <c r="AD221" s="54" t="str">
        <f t="shared" si="47"/>
        <v/>
      </c>
      <c r="AE221" s="55">
        <f t="shared" si="48"/>
        <v>0</v>
      </c>
      <c r="AF221" s="55">
        <f t="shared" si="49"/>
        <v>0</v>
      </c>
      <c r="AG221" s="58">
        <f t="shared" si="50"/>
        <v>0</v>
      </c>
      <c r="AH221" s="47"/>
      <c r="AJ221" s="47"/>
      <c r="AL221" s="47"/>
      <c r="AM221" s="47" t="str">
        <f t="shared" si="51"/>
        <v/>
      </c>
    </row>
    <row r="222" spans="1:39" s="56" customFormat="1" ht="14.25">
      <c r="A222" s="44"/>
      <c r="B222" s="45"/>
      <c r="C222" s="46">
        <f>IF(B222&lt;&gt;"",VLOOKUP(B222,'Tipo Projeto'!$A$3:$B$35,2,0),0)</f>
        <v>0</v>
      </c>
      <c r="D222" s="47"/>
      <c r="E222" s="47"/>
      <c r="F222" s="48"/>
      <c r="G222" s="47"/>
      <c r="H222" s="49"/>
      <c r="I222" s="50"/>
      <c r="J222" s="51"/>
      <c r="K222" s="52"/>
      <c r="L222" s="53" t="str">
        <f t="shared" si="39"/>
        <v/>
      </c>
      <c r="M222" s="48" t="str">
        <f t="shared" si="40"/>
        <v/>
      </c>
      <c r="N222" s="54" t="str">
        <f t="shared" si="41"/>
        <v/>
      </c>
      <c r="O222" s="55">
        <f t="shared" si="42"/>
        <v>0</v>
      </c>
      <c r="P222" s="55">
        <f t="shared" si="43"/>
        <v>0</v>
      </c>
      <c r="Q222" s="54">
        <f t="shared" si="44"/>
        <v>0</v>
      </c>
      <c r="R222" s="47"/>
      <c r="T222" s="57"/>
      <c r="U222" s="45"/>
      <c r="V222" s="46">
        <f>IF(U222&lt;&gt;"",VLOOKUP(U222,'Tipo Projeto'!$A$3:$B$35,2,0),0)</f>
        <v>0</v>
      </c>
      <c r="W222" s="203"/>
      <c r="X222" s="49"/>
      <c r="Y222" s="50"/>
      <c r="Z222" s="51"/>
      <c r="AA222" s="52"/>
      <c r="AB222" s="53" t="str">
        <f t="shared" si="45"/>
        <v/>
      </c>
      <c r="AC222" s="48" t="str">
        <f t="shared" si="46"/>
        <v/>
      </c>
      <c r="AD222" s="54" t="str">
        <f t="shared" si="47"/>
        <v/>
      </c>
      <c r="AE222" s="55">
        <f t="shared" si="48"/>
        <v>0</v>
      </c>
      <c r="AF222" s="55">
        <f t="shared" si="49"/>
        <v>0</v>
      </c>
      <c r="AG222" s="58">
        <f t="shared" si="50"/>
        <v>0</v>
      </c>
      <c r="AH222" s="47"/>
      <c r="AJ222" s="47"/>
      <c r="AL222" s="47"/>
      <c r="AM222" s="47" t="str">
        <f t="shared" si="51"/>
        <v/>
      </c>
    </row>
    <row r="223" spans="1:39" s="56" customFormat="1" ht="14.25">
      <c r="A223" s="44"/>
      <c r="B223" s="45"/>
      <c r="C223" s="46">
        <f>IF(B223&lt;&gt;"",VLOOKUP(B223,'Tipo Projeto'!$A$3:$B$35,2,0),0)</f>
        <v>0</v>
      </c>
      <c r="D223" s="47"/>
      <c r="E223" s="47"/>
      <c r="F223" s="48"/>
      <c r="G223" s="47"/>
      <c r="H223" s="49"/>
      <c r="I223" s="50"/>
      <c r="J223" s="51"/>
      <c r="K223" s="52"/>
      <c r="L223" s="53" t="str">
        <f t="shared" si="39"/>
        <v/>
      </c>
      <c r="M223" s="48" t="str">
        <f t="shared" si="40"/>
        <v/>
      </c>
      <c r="N223" s="54" t="str">
        <f t="shared" si="41"/>
        <v/>
      </c>
      <c r="O223" s="55">
        <f t="shared" si="42"/>
        <v>0</v>
      </c>
      <c r="P223" s="55">
        <f t="shared" si="43"/>
        <v>0</v>
      </c>
      <c r="Q223" s="54">
        <f t="shared" si="44"/>
        <v>0</v>
      </c>
      <c r="R223" s="47"/>
      <c r="T223" s="57"/>
      <c r="U223" s="45"/>
      <c r="V223" s="46">
        <f>IF(U223&lt;&gt;"",VLOOKUP(U223,'Tipo Projeto'!$A$3:$B$35,2,0),0)</f>
        <v>0</v>
      </c>
      <c r="W223" s="203"/>
      <c r="X223" s="49"/>
      <c r="Y223" s="50"/>
      <c r="Z223" s="51"/>
      <c r="AA223" s="52"/>
      <c r="AB223" s="53" t="str">
        <f t="shared" si="45"/>
        <v/>
      </c>
      <c r="AC223" s="48" t="str">
        <f t="shared" si="46"/>
        <v/>
      </c>
      <c r="AD223" s="54" t="str">
        <f t="shared" si="47"/>
        <v/>
      </c>
      <c r="AE223" s="55">
        <f t="shared" si="48"/>
        <v>0</v>
      </c>
      <c r="AF223" s="55">
        <f t="shared" si="49"/>
        <v>0</v>
      </c>
      <c r="AG223" s="58">
        <f t="shared" si="50"/>
        <v>0</v>
      </c>
      <c r="AH223" s="47"/>
      <c r="AJ223" s="47"/>
      <c r="AL223" s="47"/>
      <c r="AM223" s="47" t="str">
        <f t="shared" si="51"/>
        <v/>
      </c>
    </row>
    <row r="224" spans="1:39" s="56" customFormat="1" ht="14.25">
      <c r="A224" s="44"/>
      <c r="B224" s="45"/>
      <c r="C224" s="46">
        <f>IF(B224&lt;&gt;"",VLOOKUP(B224,'Tipo Projeto'!$A$3:$B$35,2,0),0)</f>
        <v>0</v>
      </c>
      <c r="D224" s="47"/>
      <c r="E224" s="47"/>
      <c r="F224" s="48"/>
      <c r="G224" s="47"/>
      <c r="H224" s="49"/>
      <c r="I224" s="50"/>
      <c r="J224" s="51"/>
      <c r="K224" s="52"/>
      <c r="L224" s="53" t="str">
        <f t="shared" si="39"/>
        <v/>
      </c>
      <c r="M224" s="48" t="str">
        <f t="shared" si="40"/>
        <v/>
      </c>
      <c r="N224" s="54" t="str">
        <f t="shared" si="41"/>
        <v/>
      </c>
      <c r="O224" s="55">
        <f t="shared" si="42"/>
        <v>0</v>
      </c>
      <c r="P224" s="55">
        <f t="shared" si="43"/>
        <v>0</v>
      </c>
      <c r="Q224" s="54">
        <f t="shared" si="44"/>
        <v>0</v>
      </c>
      <c r="R224" s="47"/>
      <c r="T224" s="57"/>
      <c r="U224" s="45"/>
      <c r="V224" s="46">
        <f>IF(U224&lt;&gt;"",VLOOKUP(U224,'Tipo Projeto'!$A$3:$B$35,2,0),0)</f>
        <v>0</v>
      </c>
      <c r="W224" s="203"/>
      <c r="X224" s="49"/>
      <c r="Y224" s="50"/>
      <c r="Z224" s="51"/>
      <c r="AA224" s="52"/>
      <c r="AB224" s="53" t="str">
        <f t="shared" si="45"/>
        <v/>
      </c>
      <c r="AC224" s="48" t="str">
        <f t="shared" si="46"/>
        <v/>
      </c>
      <c r="AD224" s="54" t="str">
        <f t="shared" si="47"/>
        <v/>
      </c>
      <c r="AE224" s="55">
        <f t="shared" si="48"/>
        <v>0</v>
      </c>
      <c r="AF224" s="55">
        <f t="shared" si="49"/>
        <v>0</v>
      </c>
      <c r="AG224" s="58">
        <f t="shared" si="50"/>
        <v>0</v>
      </c>
      <c r="AH224" s="47"/>
      <c r="AJ224" s="47"/>
      <c r="AL224" s="47"/>
      <c r="AM224" s="47" t="str">
        <f t="shared" si="51"/>
        <v/>
      </c>
    </row>
    <row r="225" spans="1:39" s="56" customFormat="1" ht="14.25">
      <c r="A225" s="44"/>
      <c r="B225" s="45"/>
      <c r="C225" s="46">
        <f>IF(B225&lt;&gt;"",VLOOKUP(B225,'Tipo Projeto'!$A$3:$B$35,2,0),0)</f>
        <v>0</v>
      </c>
      <c r="D225" s="47"/>
      <c r="E225" s="47"/>
      <c r="F225" s="48"/>
      <c r="G225" s="47"/>
      <c r="H225" s="49"/>
      <c r="I225" s="50"/>
      <c r="J225" s="51"/>
      <c r="K225" s="52"/>
      <c r="L225" s="53" t="str">
        <f t="shared" si="39"/>
        <v/>
      </c>
      <c r="M225" s="48" t="str">
        <f t="shared" si="40"/>
        <v/>
      </c>
      <c r="N225" s="54" t="str">
        <f t="shared" si="41"/>
        <v/>
      </c>
      <c r="O225" s="55">
        <f t="shared" si="42"/>
        <v>0</v>
      </c>
      <c r="P225" s="55">
        <f t="shared" si="43"/>
        <v>0</v>
      </c>
      <c r="Q225" s="54">
        <f t="shared" si="44"/>
        <v>0</v>
      </c>
      <c r="R225" s="47"/>
      <c r="T225" s="57"/>
      <c r="U225" s="45"/>
      <c r="V225" s="46">
        <f>IF(U225&lt;&gt;"",VLOOKUP(U225,'Tipo Projeto'!$A$3:$B$35,2,0),0)</f>
        <v>0</v>
      </c>
      <c r="W225" s="203"/>
      <c r="X225" s="49"/>
      <c r="Y225" s="50"/>
      <c r="Z225" s="51"/>
      <c r="AA225" s="52"/>
      <c r="AB225" s="53" t="str">
        <f t="shared" si="45"/>
        <v/>
      </c>
      <c r="AC225" s="48" t="str">
        <f t="shared" si="46"/>
        <v/>
      </c>
      <c r="AD225" s="54" t="str">
        <f t="shared" si="47"/>
        <v/>
      </c>
      <c r="AE225" s="55">
        <f t="shared" si="48"/>
        <v>0</v>
      </c>
      <c r="AF225" s="55">
        <f t="shared" si="49"/>
        <v>0</v>
      </c>
      <c r="AG225" s="58">
        <f t="shared" si="50"/>
        <v>0</v>
      </c>
      <c r="AH225" s="47"/>
      <c r="AJ225" s="47"/>
      <c r="AL225" s="47"/>
      <c r="AM225" s="47" t="str">
        <f t="shared" si="51"/>
        <v/>
      </c>
    </row>
    <row r="226" spans="1:39" s="56" customFormat="1" ht="14.25">
      <c r="A226" s="44"/>
      <c r="B226" s="45"/>
      <c r="C226" s="46">
        <f>IF(B226&lt;&gt;"",VLOOKUP(B226,'Tipo Projeto'!$A$3:$B$35,2,0),0)</f>
        <v>0</v>
      </c>
      <c r="D226" s="47"/>
      <c r="E226" s="47"/>
      <c r="F226" s="48"/>
      <c r="G226" s="47"/>
      <c r="H226" s="49"/>
      <c r="I226" s="50"/>
      <c r="J226" s="51"/>
      <c r="K226" s="52"/>
      <c r="L226" s="53" t="str">
        <f t="shared" si="39"/>
        <v/>
      </c>
      <c r="M226" s="48" t="str">
        <f t="shared" si="40"/>
        <v/>
      </c>
      <c r="N226" s="54" t="str">
        <f t="shared" si="41"/>
        <v/>
      </c>
      <c r="O226" s="55">
        <f t="shared" si="42"/>
        <v>0</v>
      </c>
      <c r="P226" s="55">
        <f t="shared" si="43"/>
        <v>0</v>
      </c>
      <c r="Q226" s="54">
        <f t="shared" si="44"/>
        <v>0</v>
      </c>
      <c r="R226" s="47"/>
      <c r="T226" s="57"/>
      <c r="U226" s="45"/>
      <c r="V226" s="46">
        <f>IF(U226&lt;&gt;"",VLOOKUP(U226,'Tipo Projeto'!$A$3:$B$35,2,0),0)</f>
        <v>0</v>
      </c>
      <c r="W226" s="203"/>
      <c r="X226" s="49"/>
      <c r="Y226" s="50"/>
      <c r="Z226" s="51"/>
      <c r="AA226" s="52"/>
      <c r="AB226" s="53" t="str">
        <f t="shared" si="45"/>
        <v/>
      </c>
      <c r="AC226" s="48" t="str">
        <f t="shared" si="46"/>
        <v/>
      </c>
      <c r="AD226" s="54" t="str">
        <f t="shared" si="47"/>
        <v/>
      </c>
      <c r="AE226" s="55">
        <f t="shared" si="48"/>
        <v>0</v>
      </c>
      <c r="AF226" s="55">
        <f t="shared" si="49"/>
        <v>0</v>
      </c>
      <c r="AG226" s="58">
        <f t="shared" si="50"/>
        <v>0</v>
      </c>
      <c r="AH226" s="47"/>
      <c r="AJ226" s="47"/>
      <c r="AL226" s="47"/>
      <c r="AM226" s="47" t="str">
        <f t="shared" si="51"/>
        <v/>
      </c>
    </row>
    <row r="227" spans="1:39" s="56" customFormat="1" ht="14.25">
      <c r="A227" s="44"/>
      <c r="B227" s="45"/>
      <c r="C227" s="46">
        <f>IF(B227&lt;&gt;"",VLOOKUP(B227,'Tipo Projeto'!$A$3:$B$35,2,0),0)</f>
        <v>0</v>
      </c>
      <c r="D227" s="47"/>
      <c r="E227" s="47"/>
      <c r="F227" s="48"/>
      <c r="G227" s="47"/>
      <c r="H227" s="49"/>
      <c r="I227" s="50"/>
      <c r="J227" s="51"/>
      <c r="K227" s="52"/>
      <c r="L227" s="53" t="str">
        <f t="shared" si="39"/>
        <v/>
      </c>
      <c r="M227" s="48" t="str">
        <f t="shared" si="40"/>
        <v/>
      </c>
      <c r="N227" s="54" t="str">
        <f t="shared" si="41"/>
        <v/>
      </c>
      <c r="O227" s="55">
        <f t="shared" si="42"/>
        <v>0</v>
      </c>
      <c r="P227" s="55">
        <f t="shared" si="43"/>
        <v>0</v>
      </c>
      <c r="Q227" s="54">
        <f t="shared" si="44"/>
        <v>0</v>
      </c>
      <c r="R227" s="47"/>
      <c r="T227" s="57"/>
      <c r="U227" s="45"/>
      <c r="V227" s="46">
        <f>IF(U227&lt;&gt;"",VLOOKUP(U227,'Tipo Projeto'!$A$3:$B$35,2,0),0)</f>
        <v>0</v>
      </c>
      <c r="W227" s="203"/>
      <c r="X227" s="49"/>
      <c r="Y227" s="50"/>
      <c r="Z227" s="51"/>
      <c r="AA227" s="52"/>
      <c r="AB227" s="53" t="str">
        <f t="shared" si="45"/>
        <v/>
      </c>
      <c r="AC227" s="48" t="str">
        <f t="shared" si="46"/>
        <v/>
      </c>
      <c r="AD227" s="54" t="str">
        <f t="shared" si="47"/>
        <v/>
      </c>
      <c r="AE227" s="55">
        <f t="shared" si="48"/>
        <v>0</v>
      </c>
      <c r="AF227" s="55">
        <f t="shared" si="49"/>
        <v>0</v>
      </c>
      <c r="AG227" s="58">
        <f t="shared" si="50"/>
        <v>0</v>
      </c>
      <c r="AH227" s="47"/>
      <c r="AJ227" s="47"/>
      <c r="AL227" s="47"/>
      <c r="AM227" s="47" t="str">
        <f t="shared" si="51"/>
        <v/>
      </c>
    </row>
    <row r="228" spans="1:39" s="56" customFormat="1" ht="14.25">
      <c r="A228" s="44"/>
      <c r="B228" s="45"/>
      <c r="C228" s="46">
        <f>IF(B228&lt;&gt;"",VLOOKUP(B228,'Tipo Projeto'!$A$3:$B$35,2,0),0)</f>
        <v>0</v>
      </c>
      <c r="D228" s="47"/>
      <c r="E228" s="47"/>
      <c r="F228" s="48"/>
      <c r="G228" s="47"/>
      <c r="H228" s="49"/>
      <c r="I228" s="50"/>
      <c r="J228" s="51"/>
      <c r="K228" s="52"/>
      <c r="L228" s="53" t="str">
        <f t="shared" si="39"/>
        <v/>
      </c>
      <c r="M228" s="48" t="str">
        <f t="shared" si="40"/>
        <v/>
      </c>
      <c r="N228" s="54" t="str">
        <f t="shared" si="41"/>
        <v/>
      </c>
      <c r="O228" s="55">
        <f t="shared" si="42"/>
        <v>0</v>
      </c>
      <c r="P228" s="55">
        <f t="shared" si="43"/>
        <v>0</v>
      </c>
      <c r="Q228" s="54">
        <f t="shared" si="44"/>
        <v>0</v>
      </c>
      <c r="R228" s="47"/>
      <c r="T228" s="57"/>
      <c r="U228" s="45"/>
      <c r="V228" s="46">
        <f>IF(U228&lt;&gt;"",VLOOKUP(U228,'Tipo Projeto'!$A$3:$B$35,2,0),0)</f>
        <v>0</v>
      </c>
      <c r="W228" s="203"/>
      <c r="X228" s="49"/>
      <c r="Y228" s="50"/>
      <c r="Z228" s="51"/>
      <c r="AA228" s="52"/>
      <c r="AB228" s="53" t="str">
        <f t="shared" si="45"/>
        <v/>
      </c>
      <c r="AC228" s="48" t="str">
        <f t="shared" si="46"/>
        <v/>
      </c>
      <c r="AD228" s="54" t="str">
        <f t="shared" si="47"/>
        <v/>
      </c>
      <c r="AE228" s="55">
        <f t="shared" si="48"/>
        <v>0</v>
      </c>
      <c r="AF228" s="55">
        <f t="shared" si="49"/>
        <v>0</v>
      </c>
      <c r="AG228" s="58">
        <f t="shared" si="50"/>
        <v>0</v>
      </c>
      <c r="AH228" s="47"/>
      <c r="AJ228" s="47"/>
      <c r="AL228" s="47"/>
      <c r="AM228" s="47" t="str">
        <f t="shared" si="51"/>
        <v/>
      </c>
    </row>
    <row r="229" spans="1:39" s="56" customFormat="1" ht="14.25">
      <c r="A229" s="44"/>
      <c r="B229" s="45"/>
      <c r="C229" s="46">
        <f>IF(B229&lt;&gt;"",VLOOKUP(B229,'Tipo Projeto'!$A$3:$B$35,2,0),0)</f>
        <v>0</v>
      </c>
      <c r="D229" s="47"/>
      <c r="E229" s="47"/>
      <c r="F229" s="48"/>
      <c r="G229" s="47"/>
      <c r="H229" s="49"/>
      <c r="I229" s="50"/>
      <c r="J229" s="51"/>
      <c r="K229" s="52"/>
      <c r="L229" s="53" t="str">
        <f t="shared" si="39"/>
        <v/>
      </c>
      <c r="M229" s="48" t="str">
        <f t="shared" si="40"/>
        <v/>
      </c>
      <c r="N229" s="54" t="str">
        <f t="shared" si="41"/>
        <v/>
      </c>
      <c r="O229" s="55">
        <f t="shared" si="42"/>
        <v>0</v>
      </c>
      <c r="P229" s="55">
        <f t="shared" si="43"/>
        <v>0</v>
      </c>
      <c r="Q229" s="54">
        <f t="shared" si="44"/>
        <v>0</v>
      </c>
      <c r="R229" s="47"/>
      <c r="T229" s="57"/>
      <c r="U229" s="45"/>
      <c r="V229" s="46">
        <f>IF(U229&lt;&gt;"",VLOOKUP(U229,'Tipo Projeto'!$A$3:$B$35,2,0),0)</f>
        <v>0</v>
      </c>
      <c r="W229" s="203"/>
      <c r="X229" s="49"/>
      <c r="Y229" s="50"/>
      <c r="Z229" s="51"/>
      <c r="AA229" s="52"/>
      <c r="AB229" s="53" t="str">
        <f t="shared" si="45"/>
        <v/>
      </c>
      <c r="AC229" s="48" t="str">
        <f t="shared" si="46"/>
        <v/>
      </c>
      <c r="AD229" s="54" t="str">
        <f t="shared" si="47"/>
        <v/>
      </c>
      <c r="AE229" s="55">
        <f t="shared" si="48"/>
        <v>0</v>
      </c>
      <c r="AF229" s="55">
        <f t="shared" si="49"/>
        <v>0</v>
      </c>
      <c r="AG229" s="58">
        <f t="shared" si="50"/>
        <v>0</v>
      </c>
      <c r="AH229" s="47"/>
      <c r="AJ229" s="47"/>
      <c r="AL229" s="47"/>
      <c r="AM229" s="47" t="str">
        <f t="shared" si="51"/>
        <v/>
      </c>
    </row>
    <row r="230" spans="1:39" s="56" customFormat="1" ht="14.25">
      <c r="A230" s="44"/>
      <c r="B230" s="45"/>
      <c r="C230" s="46">
        <f>IF(B230&lt;&gt;"",VLOOKUP(B230,'Tipo Projeto'!$A$3:$B$35,2,0),0)</f>
        <v>0</v>
      </c>
      <c r="D230" s="47"/>
      <c r="E230" s="47"/>
      <c r="F230" s="48"/>
      <c r="G230" s="47"/>
      <c r="H230" s="49"/>
      <c r="I230" s="50"/>
      <c r="J230" s="51"/>
      <c r="K230" s="52"/>
      <c r="L230" s="53" t="str">
        <f t="shared" si="39"/>
        <v/>
      </c>
      <c r="M230" s="48" t="str">
        <f t="shared" si="40"/>
        <v/>
      </c>
      <c r="N230" s="54" t="str">
        <f t="shared" si="41"/>
        <v/>
      </c>
      <c r="O230" s="55">
        <f t="shared" si="42"/>
        <v>0</v>
      </c>
      <c r="P230" s="55">
        <f t="shared" si="43"/>
        <v>0</v>
      </c>
      <c r="Q230" s="54">
        <f t="shared" si="44"/>
        <v>0</v>
      </c>
      <c r="R230" s="47"/>
      <c r="T230" s="57"/>
      <c r="U230" s="45"/>
      <c r="V230" s="46">
        <f>IF(U230&lt;&gt;"",VLOOKUP(U230,'Tipo Projeto'!$A$3:$B$35,2,0),0)</f>
        <v>0</v>
      </c>
      <c r="W230" s="203"/>
      <c r="X230" s="49"/>
      <c r="Y230" s="50"/>
      <c r="Z230" s="51"/>
      <c r="AA230" s="52"/>
      <c r="AB230" s="53" t="str">
        <f t="shared" si="45"/>
        <v/>
      </c>
      <c r="AC230" s="48" t="str">
        <f t="shared" si="46"/>
        <v/>
      </c>
      <c r="AD230" s="54" t="str">
        <f t="shared" si="47"/>
        <v/>
      </c>
      <c r="AE230" s="55">
        <f t="shared" si="48"/>
        <v>0</v>
      </c>
      <c r="AF230" s="55">
        <f t="shared" si="49"/>
        <v>0</v>
      </c>
      <c r="AG230" s="58">
        <f t="shared" si="50"/>
        <v>0</v>
      </c>
      <c r="AH230" s="47"/>
      <c r="AJ230" s="47"/>
      <c r="AL230" s="47"/>
      <c r="AM230" s="47" t="str">
        <f t="shared" si="51"/>
        <v/>
      </c>
    </row>
    <row r="231" spans="1:39" s="56" customFormat="1" ht="14.25">
      <c r="A231" s="44"/>
      <c r="B231" s="45"/>
      <c r="C231" s="46">
        <f>IF(B231&lt;&gt;"",VLOOKUP(B231,'Tipo Projeto'!$A$3:$B$35,2,0),0)</f>
        <v>0</v>
      </c>
      <c r="D231" s="47"/>
      <c r="E231" s="47"/>
      <c r="F231" s="48"/>
      <c r="G231" s="47"/>
      <c r="H231" s="49"/>
      <c r="I231" s="50"/>
      <c r="J231" s="51"/>
      <c r="K231" s="52"/>
      <c r="L231" s="53" t="str">
        <f t="shared" si="39"/>
        <v/>
      </c>
      <c r="M231" s="48" t="str">
        <f t="shared" si="40"/>
        <v/>
      </c>
      <c r="N231" s="54" t="str">
        <f t="shared" si="41"/>
        <v/>
      </c>
      <c r="O231" s="55">
        <f t="shared" si="42"/>
        <v>0</v>
      </c>
      <c r="P231" s="55">
        <f t="shared" si="43"/>
        <v>0</v>
      </c>
      <c r="Q231" s="54">
        <f t="shared" si="44"/>
        <v>0</v>
      </c>
      <c r="R231" s="47"/>
      <c r="T231" s="57"/>
      <c r="U231" s="45"/>
      <c r="V231" s="46">
        <f>IF(U231&lt;&gt;"",VLOOKUP(U231,'Tipo Projeto'!$A$3:$B$35,2,0),0)</f>
        <v>0</v>
      </c>
      <c r="W231" s="203"/>
      <c r="X231" s="49"/>
      <c r="Y231" s="50"/>
      <c r="Z231" s="51"/>
      <c r="AA231" s="52"/>
      <c r="AB231" s="53" t="str">
        <f t="shared" si="45"/>
        <v/>
      </c>
      <c r="AC231" s="48" t="str">
        <f t="shared" si="46"/>
        <v/>
      </c>
      <c r="AD231" s="54" t="str">
        <f t="shared" si="47"/>
        <v/>
      </c>
      <c r="AE231" s="55">
        <f t="shared" si="48"/>
        <v>0</v>
      </c>
      <c r="AF231" s="55">
        <f t="shared" si="49"/>
        <v>0</v>
      </c>
      <c r="AG231" s="58">
        <f t="shared" si="50"/>
        <v>0</v>
      </c>
      <c r="AH231" s="47"/>
      <c r="AJ231" s="47"/>
      <c r="AL231" s="47"/>
      <c r="AM231" s="47" t="str">
        <f t="shared" si="51"/>
        <v/>
      </c>
    </row>
    <row r="232" spans="1:39" s="56" customFormat="1" ht="14.25">
      <c r="A232" s="44"/>
      <c r="B232" s="45"/>
      <c r="C232" s="46">
        <f>IF(B232&lt;&gt;"",VLOOKUP(B232,'Tipo Projeto'!$A$3:$B$35,2,0),0)</f>
        <v>0</v>
      </c>
      <c r="D232" s="47"/>
      <c r="E232" s="47"/>
      <c r="F232" s="48"/>
      <c r="G232" s="47"/>
      <c r="H232" s="49"/>
      <c r="I232" s="50"/>
      <c r="J232" s="51"/>
      <c r="K232" s="52"/>
      <c r="L232" s="53" t="str">
        <f t="shared" si="39"/>
        <v/>
      </c>
      <c r="M232" s="48" t="str">
        <f t="shared" si="40"/>
        <v/>
      </c>
      <c r="N232" s="54" t="str">
        <f t="shared" si="41"/>
        <v/>
      </c>
      <c r="O232" s="55">
        <f t="shared" si="42"/>
        <v>0</v>
      </c>
      <c r="P232" s="55">
        <f t="shared" si="43"/>
        <v>0</v>
      </c>
      <c r="Q232" s="54">
        <f t="shared" si="44"/>
        <v>0</v>
      </c>
      <c r="R232" s="47"/>
      <c r="T232" s="57"/>
      <c r="U232" s="45"/>
      <c r="V232" s="46">
        <f>IF(U232&lt;&gt;"",VLOOKUP(U232,'Tipo Projeto'!$A$3:$B$35,2,0),0)</f>
        <v>0</v>
      </c>
      <c r="W232" s="203"/>
      <c r="X232" s="49"/>
      <c r="Y232" s="50"/>
      <c r="Z232" s="51"/>
      <c r="AA232" s="52"/>
      <c r="AB232" s="53" t="str">
        <f t="shared" si="45"/>
        <v/>
      </c>
      <c r="AC232" s="48" t="str">
        <f t="shared" si="46"/>
        <v/>
      </c>
      <c r="AD232" s="54" t="str">
        <f t="shared" si="47"/>
        <v/>
      </c>
      <c r="AE232" s="55">
        <f t="shared" si="48"/>
        <v>0</v>
      </c>
      <c r="AF232" s="55">
        <f t="shared" si="49"/>
        <v>0</v>
      </c>
      <c r="AG232" s="58">
        <f t="shared" si="50"/>
        <v>0</v>
      </c>
      <c r="AH232" s="47"/>
      <c r="AJ232" s="47"/>
      <c r="AL232" s="47"/>
      <c r="AM232" s="47" t="str">
        <f t="shared" si="51"/>
        <v/>
      </c>
    </row>
    <row r="233" spans="1:39" s="56" customFormat="1" ht="14.25">
      <c r="A233" s="44"/>
      <c r="B233" s="45"/>
      <c r="C233" s="46">
        <f>IF(B233&lt;&gt;"",VLOOKUP(B233,'Tipo Projeto'!$A$3:$B$35,2,0),0)</f>
        <v>0</v>
      </c>
      <c r="D233" s="47"/>
      <c r="E233" s="47"/>
      <c r="F233" s="48"/>
      <c r="G233" s="47"/>
      <c r="H233" s="49"/>
      <c r="I233" s="50"/>
      <c r="J233" s="51"/>
      <c r="K233" s="52"/>
      <c r="L233" s="53" t="str">
        <f t="shared" si="39"/>
        <v/>
      </c>
      <c r="M233" s="48" t="str">
        <f t="shared" si="40"/>
        <v/>
      </c>
      <c r="N233" s="54" t="str">
        <f t="shared" si="41"/>
        <v/>
      </c>
      <c r="O233" s="55">
        <f t="shared" si="42"/>
        <v>0</v>
      </c>
      <c r="P233" s="55">
        <f t="shared" si="43"/>
        <v>0</v>
      </c>
      <c r="Q233" s="54">
        <f t="shared" si="44"/>
        <v>0</v>
      </c>
      <c r="R233" s="47"/>
      <c r="T233" s="57"/>
      <c r="U233" s="45"/>
      <c r="V233" s="46">
        <f>IF(U233&lt;&gt;"",VLOOKUP(U233,'Tipo Projeto'!$A$3:$B$35,2,0),0)</f>
        <v>0</v>
      </c>
      <c r="W233" s="203"/>
      <c r="X233" s="49"/>
      <c r="Y233" s="50"/>
      <c r="Z233" s="51"/>
      <c r="AA233" s="52"/>
      <c r="AB233" s="53" t="str">
        <f t="shared" si="45"/>
        <v/>
      </c>
      <c r="AC233" s="48" t="str">
        <f t="shared" si="46"/>
        <v/>
      </c>
      <c r="AD233" s="54" t="str">
        <f t="shared" si="47"/>
        <v/>
      </c>
      <c r="AE233" s="55">
        <f t="shared" si="48"/>
        <v>0</v>
      </c>
      <c r="AF233" s="55">
        <f t="shared" si="49"/>
        <v>0</v>
      </c>
      <c r="AG233" s="58">
        <f t="shared" si="50"/>
        <v>0</v>
      </c>
      <c r="AH233" s="47"/>
      <c r="AJ233" s="47"/>
      <c r="AL233" s="47"/>
      <c r="AM233" s="47" t="str">
        <f t="shared" si="51"/>
        <v/>
      </c>
    </row>
    <row r="234" spans="1:39" s="56" customFormat="1" ht="14.25">
      <c r="A234" s="44"/>
      <c r="B234" s="45"/>
      <c r="C234" s="46">
        <f>IF(B234&lt;&gt;"",VLOOKUP(B234,'Tipo Projeto'!$A$3:$B$35,2,0),0)</f>
        <v>0</v>
      </c>
      <c r="D234" s="47"/>
      <c r="E234" s="47"/>
      <c r="F234" s="48"/>
      <c r="G234" s="47"/>
      <c r="H234" s="49"/>
      <c r="I234" s="50"/>
      <c r="J234" s="51"/>
      <c r="K234" s="52"/>
      <c r="L234" s="53" t="str">
        <f t="shared" si="39"/>
        <v/>
      </c>
      <c r="M234" s="48" t="str">
        <f t="shared" si="40"/>
        <v/>
      </c>
      <c r="N234" s="54" t="str">
        <f t="shared" si="41"/>
        <v/>
      </c>
      <c r="O234" s="55">
        <f t="shared" si="42"/>
        <v>0</v>
      </c>
      <c r="P234" s="55">
        <f t="shared" si="43"/>
        <v>0</v>
      </c>
      <c r="Q234" s="54">
        <f t="shared" si="44"/>
        <v>0</v>
      </c>
      <c r="R234" s="47"/>
      <c r="T234" s="57"/>
      <c r="U234" s="45"/>
      <c r="V234" s="46">
        <f>IF(U234&lt;&gt;"",VLOOKUP(U234,'Tipo Projeto'!$A$3:$B$35,2,0),0)</f>
        <v>0</v>
      </c>
      <c r="W234" s="203"/>
      <c r="X234" s="49"/>
      <c r="Y234" s="50"/>
      <c r="Z234" s="51"/>
      <c r="AA234" s="52"/>
      <c r="AB234" s="53" t="str">
        <f t="shared" si="45"/>
        <v/>
      </c>
      <c r="AC234" s="48" t="str">
        <f t="shared" si="46"/>
        <v/>
      </c>
      <c r="AD234" s="54" t="str">
        <f t="shared" si="47"/>
        <v/>
      </c>
      <c r="AE234" s="55">
        <f t="shared" si="48"/>
        <v>0</v>
      </c>
      <c r="AF234" s="55">
        <f t="shared" si="49"/>
        <v>0</v>
      </c>
      <c r="AG234" s="58">
        <f t="shared" si="50"/>
        <v>0</v>
      </c>
      <c r="AH234" s="47"/>
      <c r="AJ234" s="47"/>
      <c r="AL234" s="47"/>
      <c r="AM234" s="47" t="str">
        <f t="shared" si="51"/>
        <v/>
      </c>
    </row>
    <row r="235" spans="1:39" s="56" customFormat="1" ht="14.25">
      <c r="A235" s="44"/>
      <c r="B235" s="45"/>
      <c r="C235" s="46">
        <f>IF(B235&lt;&gt;"",VLOOKUP(B235,'Tipo Projeto'!$A$3:$B$35,2,0),0)</f>
        <v>0</v>
      </c>
      <c r="D235" s="47"/>
      <c r="E235" s="47"/>
      <c r="F235" s="48"/>
      <c r="G235" s="47"/>
      <c r="H235" s="49"/>
      <c r="I235" s="50"/>
      <c r="J235" s="51"/>
      <c r="K235" s="52"/>
      <c r="L235" s="53" t="str">
        <f t="shared" si="39"/>
        <v/>
      </c>
      <c r="M235" s="48" t="str">
        <f t="shared" si="40"/>
        <v/>
      </c>
      <c r="N235" s="54" t="str">
        <f t="shared" si="41"/>
        <v/>
      </c>
      <c r="O235" s="55">
        <f t="shared" si="42"/>
        <v>0</v>
      </c>
      <c r="P235" s="55">
        <f t="shared" si="43"/>
        <v>0</v>
      </c>
      <c r="Q235" s="54">
        <f t="shared" si="44"/>
        <v>0</v>
      </c>
      <c r="R235" s="47"/>
      <c r="T235" s="57"/>
      <c r="U235" s="45"/>
      <c r="V235" s="46">
        <f>IF(U235&lt;&gt;"",VLOOKUP(U235,'Tipo Projeto'!$A$3:$B$35,2,0),0)</f>
        <v>0</v>
      </c>
      <c r="W235" s="203"/>
      <c r="X235" s="49"/>
      <c r="Y235" s="50"/>
      <c r="Z235" s="51"/>
      <c r="AA235" s="52"/>
      <c r="AB235" s="53" t="str">
        <f t="shared" si="45"/>
        <v/>
      </c>
      <c r="AC235" s="48" t="str">
        <f t="shared" si="46"/>
        <v/>
      </c>
      <c r="AD235" s="54" t="str">
        <f t="shared" si="47"/>
        <v/>
      </c>
      <c r="AE235" s="55">
        <f t="shared" si="48"/>
        <v>0</v>
      </c>
      <c r="AF235" s="55">
        <f t="shared" si="49"/>
        <v>0</v>
      </c>
      <c r="AG235" s="58">
        <f t="shared" si="50"/>
        <v>0</v>
      </c>
      <c r="AH235" s="47"/>
      <c r="AJ235" s="47"/>
      <c r="AL235" s="47"/>
      <c r="AM235" s="47" t="str">
        <f t="shared" si="51"/>
        <v/>
      </c>
    </row>
    <row r="236" spans="1:39" s="56" customFormat="1" ht="14.25">
      <c r="A236" s="44"/>
      <c r="B236" s="45"/>
      <c r="C236" s="46">
        <f>IF(B236&lt;&gt;"",VLOOKUP(B236,'Tipo Projeto'!$A$3:$B$35,2,0),0)</f>
        <v>0</v>
      </c>
      <c r="D236" s="47"/>
      <c r="E236" s="47"/>
      <c r="F236" s="48"/>
      <c r="G236" s="47"/>
      <c r="H236" s="49"/>
      <c r="I236" s="50"/>
      <c r="J236" s="51"/>
      <c r="K236" s="52"/>
      <c r="L236" s="53" t="str">
        <f t="shared" si="39"/>
        <v/>
      </c>
      <c r="M236" s="48" t="str">
        <f t="shared" si="40"/>
        <v/>
      </c>
      <c r="N236" s="54" t="str">
        <f t="shared" si="41"/>
        <v/>
      </c>
      <c r="O236" s="55">
        <f t="shared" si="42"/>
        <v>0</v>
      </c>
      <c r="P236" s="55">
        <f t="shared" si="43"/>
        <v>0</v>
      </c>
      <c r="Q236" s="54">
        <f t="shared" si="44"/>
        <v>0</v>
      </c>
      <c r="R236" s="47"/>
      <c r="T236" s="57"/>
      <c r="U236" s="45"/>
      <c r="V236" s="46">
        <f>IF(U236&lt;&gt;"",VLOOKUP(U236,'Tipo Projeto'!$A$3:$B$35,2,0),0)</f>
        <v>0</v>
      </c>
      <c r="W236" s="203"/>
      <c r="X236" s="49"/>
      <c r="Y236" s="50"/>
      <c r="Z236" s="51"/>
      <c r="AA236" s="52"/>
      <c r="AB236" s="53" t="str">
        <f t="shared" si="45"/>
        <v/>
      </c>
      <c r="AC236" s="48" t="str">
        <f t="shared" si="46"/>
        <v/>
      </c>
      <c r="AD236" s="54" t="str">
        <f t="shared" si="47"/>
        <v/>
      </c>
      <c r="AE236" s="55">
        <f t="shared" si="48"/>
        <v>0</v>
      </c>
      <c r="AF236" s="55">
        <f t="shared" si="49"/>
        <v>0</v>
      </c>
      <c r="AG236" s="58">
        <f t="shared" si="50"/>
        <v>0</v>
      </c>
      <c r="AH236" s="47"/>
      <c r="AJ236" s="47"/>
      <c r="AL236" s="47"/>
      <c r="AM236" s="47" t="str">
        <f t="shared" si="51"/>
        <v/>
      </c>
    </row>
    <row r="237" spans="1:39" s="56" customFormat="1" ht="14.25">
      <c r="A237" s="44"/>
      <c r="B237" s="45"/>
      <c r="C237" s="46">
        <f>IF(B237&lt;&gt;"",VLOOKUP(B237,'Tipo Projeto'!$A$3:$B$35,2,0),0)</f>
        <v>0</v>
      </c>
      <c r="D237" s="47"/>
      <c r="E237" s="47"/>
      <c r="F237" s="48"/>
      <c r="G237" s="47"/>
      <c r="H237" s="49"/>
      <c r="I237" s="50"/>
      <c r="J237" s="51"/>
      <c r="K237" s="52"/>
      <c r="L237" s="53" t="str">
        <f t="shared" si="39"/>
        <v/>
      </c>
      <c r="M237" s="48" t="str">
        <f t="shared" si="40"/>
        <v/>
      </c>
      <c r="N237" s="54" t="str">
        <f t="shared" si="41"/>
        <v/>
      </c>
      <c r="O237" s="55">
        <f t="shared" si="42"/>
        <v>0</v>
      </c>
      <c r="P237" s="55">
        <f t="shared" si="43"/>
        <v>0</v>
      </c>
      <c r="Q237" s="54">
        <f t="shared" si="44"/>
        <v>0</v>
      </c>
      <c r="R237" s="47"/>
      <c r="T237" s="57"/>
      <c r="U237" s="45"/>
      <c r="V237" s="46">
        <f>IF(U237&lt;&gt;"",VLOOKUP(U237,'Tipo Projeto'!$A$3:$B$35,2,0),0)</f>
        <v>0</v>
      </c>
      <c r="W237" s="203"/>
      <c r="X237" s="49"/>
      <c r="Y237" s="50"/>
      <c r="Z237" s="51"/>
      <c r="AA237" s="52"/>
      <c r="AB237" s="53" t="str">
        <f t="shared" si="45"/>
        <v/>
      </c>
      <c r="AC237" s="48" t="str">
        <f t="shared" si="46"/>
        <v/>
      </c>
      <c r="AD237" s="54" t="str">
        <f t="shared" si="47"/>
        <v/>
      </c>
      <c r="AE237" s="55">
        <f t="shared" si="48"/>
        <v>0</v>
      </c>
      <c r="AF237" s="55">
        <f t="shared" si="49"/>
        <v>0</v>
      </c>
      <c r="AG237" s="58">
        <f t="shared" si="50"/>
        <v>0</v>
      </c>
      <c r="AH237" s="47"/>
      <c r="AJ237" s="47"/>
      <c r="AL237" s="47"/>
      <c r="AM237" s="47" t="str">
        <f t="shared" si="51"/>
        <v/>
      </c>
    </row>
    <row r="238" spans="1:39" s="56" customFormat="1" ht="14.25">
      <c r="A238" s="44"/>
      <c r="B238" s="45"/>
      <c r="C238" s="46">
        <f>IF(B238&lt;&gt;"",VLOOKUP(B238,'Tipo Projeto'!$A$3:$B$35,2,0),0)</f>
        <v>0</v>
      </c>
      <c r="D238" s="47"/>
      <c r="E238" s="47"/>
      <c r="F238" s="48"/>
      <c r="G238" s="47"/>
      <c r="H238" s="49"/>
      <c r="I238" s="50"/>
      <c r="J238" s="51"/>
      <c r="K238" s="52"/>
      <c r="L238" s="53" t="str">
        <f t="shared" si="39"/>
        <v/>
      </c>
      <c r="M238" s="48" t="str">
        <f t="shared" si="40"/>
        <v/>
      </c>
      <c r="N238" s="54" t="str">
        <f t="shared" si="41"/>
        <v/>
      </c>
      <c r="O238" s="55">
        <f t="shared" si="42"/>
        <v>0</v>
      </c>
      <c r="P238" s="55">
        <f t="shared" si="43"/>
        <v>0</v>
      </c>
      <c r="Q238" s="54">
        <f t="shared" si="44"/>
        <v>0</v>
      </c>
      <c r="R238" s="47"/>
      <c r="T238" s="57"/>
      <c r="U238" s="45"/>
      <c r="V238" s="46">
        <f>IF(U238&lt;&gt;"",VLOOKUP(U238,'Tipo Projeto'!$A$3:$B$35,2,0),0)</f>
        <v>0</v>
      </c>
      <c r="W238" s="203"/>
      <c r="X238" s="49"/>
      <c r="Y238" s="50"/>
      <c r="Z238" s="51"/>
      <c r="AA238" s="52"/>
      <c r="AB238" s="53" t="str">
        <f t="shared" si="45"/>
        <v/>
      </c>
      <c r="AC238" s="48" t="str">
        <f t="shared" si="46"/>
        <v/>
      </c>
      <c r="AD238" s="54" t="str">
        <f t="shared" si="47"/>
        <v/>
      </c>
      <c r="AE238" s="55">
        <f t="shared" si="48"/>
        <v>0</v>
      </c>
      <c r="AF238" s="55">
        <f t="shared" si="49"/>
        <v>0</v>
      </c>
      <c r="AG238" s="58">
        <f t="shared" si="50"/>
        <v>0</v>
      </c>
      <c r="AH238" s="47"/>
      <c r="AJ238" s="47"/>
      <c r="AL238" s="47"/>
      <c r="AM238" s="47" t="str">
        <f t="shared" si="51"/>
        <v/>
      </c>
    </row>
    <row r="239" spans="1:39" s="56" customFormat="1" ht="14.25">
      <c r="A239" s="44"/>
      <c r="B239" s="45"/>
      <c r="C239" s="46">
        <f>IF(B239&lt;&gt;"",VLOOKUP(B239,'Tipo Projeto'!$A$3:$B$35,2,0),0)</f>
        <v>0</v>
      </c>
      <c r="D239" s="47"/>
      <c r="E239" s="47"/>
      <c r="F239" s="48"/>
      <c r="G239" s="47"/>
      <c r="H239" s="49"/>
      <c r="I239" s="50"/>
      <c r="J239" s="51"/>
      <c r="K239" s="52"/>
      <c r="L239" s="53" t="str">
        <f t="shared" si="39"/>
        <v/>
      </c>
      <c r="M239" s="48" t="str">
        <f t="shared" si="40"/>
        <v/>
      </c>
      <c r="N239" s="54" t="str">
        <f t="shared" si="41"/>
        <v/>
      </c>
      <c r="O239" s="55">
        <f t="shared" si="42"/>
        <v>0</v>
      </c>
      <c r="P239" s="55">
        <f t="shared" si="43"/>
        <v>0</v>
      </c>
      <c r="Q239" s="54">
        <f t="shared" si="44"/>
        <v>0</v>
      </c>
      <c r="R239" s="47"/>
      <c r="T239" s="57"/>
      <c r="U239" s="45"/>
      <c r="V239" s="46">
        <f>IF(U239&lt;&gt;"",VLOOKUP(U239,'Tipo Projeto'!$A$3:$B$35,2,0),0)</f>
        <v>0</v>
      </c>
      <c r="W239" s="203"/>
      <c r="X239" s="49"/>
      <c r="Y239" s="50"/>
      <c r="Z239" s="51"/>
      <c r="AA239" s="52"/>
      <c r="AB239" s="53" t="str">
        <f t="shared" si="45"/>
        <v/>
      </c>
      <c r="AC239" s="48" t="str">
        <f t="shared" si="46"/>
        <v/>
      </c>
      <c r="AD239" s="54" t="str">
        <f t="shared" si="47"/>
        <v/>
      </c>
      <c r="AE239" s="55">
        <f t="shared" si="48"/>
        <v>0</v>
      </c>
      <c r="AF239" s="55">
        <f t="shared" si="49"/>
        <v>0</v>
      </c>
      <c r="AG239" s="58">
        <f t="shared" si="50"/>
        <v>0</v>
      </c>
      <c r="AH239" s="47"/>
      <c r="AJ239" s="47"/>
      <c r="AL239" s="47"/>
      <c r="AM239" s="47" t="str">
        <f t="shared" si="51"/>
        <v/>
      </c>
    </row>
    <row r="240" spans="1:39" s="56" customFormat="1" ht="14.25">
      <c r="A240" s="44"/>
      <c r="B240" s="45"/>
      <c r="C240" s="46">
        <f>IF(B240&lt;&gt;"",VLOOKUP(B240,'Tipo Projeto'!$A$3:$B$35,2,0),0)</f>
        <v>0</v>
      </c>
      <c r="D240" s="47"/>
      <c r="E240" s="47"/>
      <c r="F240" s="48"/>
      <c r="G240" s="47"/>
      <c r="H240" s="49"/>
      <c r="I240" s="50"/>
      <c r="J240" s="51"/>
      <c r="K240" s="52"/>
      <c r="L240" s="53" t="str">
        <f t="shared" si="39"/>
        <v/>
      </c>
      <c r="M240" s="48" t="str">
        <f t="shared" si="40"/>
        <v/>
      </c>
      <c r="N240" s="54" t="str">
        <f t="shared" si="41"/>
        <v/>
      </c>
      <c r="O240" s="55">
        <f t="shared" si="42"/>
        <v>0</v>
      </c>
      <c r="P240" s="55">
        <f t="shared" si="43"/>
        <v>0</v>
      </c>
      <c r="Q240" s="54">
        <f t="shared" si="44"/>
        <v>0</v>
      </c>
      <c r="R240" s="47"/>
      <c r="T240" s="57"/>
      <c r="U240" s="45"/>
      <c r="V240" s="46">
        <f>IF(U240&lt;&gt;"",VLOOKUP(U240,'Tipo Projeto'!$A$3:$B$35,2,0),0)</f>
        <v>0</v>
      </c>
      <c r="W240" s="203"/>
      <c r="X240" s="49"/>
      <c r="Y240" s="50"/>
      <c r="Z240" s="51"/>
      <c r="AA240" s="52"/>
      <c r="AB240" s="53" t="str">
        <f t="shared" si="45"/>
        <v/>
      </c>
      <c r="AC240" s="48" t="str">
        <f t="shared" si="46"/>
        <v/>
      </c>
      <c r="AD240" s="54" t="str">
        <f t="shared" si="47"/>
        <v/>
      </c>
      <c r="AE240" s="55">
        <f t="shared" si="48"/>
        <v>0</v>
      </c>
      <c r="AF240" s="55">
        <f t="shared" si="49"/>
        <v>0</v>
      </c>
      <c r="AG240" s="58">
        <f t="shared" si="50"/>
        <v>0</v>
      </c>
      <c r="AH240" s="47"/>
      <c r="AJ240" s="47"/>
      <c r="AL240" s="47"/>
      <c r="AM240" s="47" t="str">
        <f t="shared" si="51"/>
        <v/>
      </c>
    </row>
    <row r="241" spans="1:39" s="56" customFormat="1" ht="14.25">
      <c r="A241" s="44"/>
      <c r="B241" s="45"/>
      <c r="C241" s="46">
        <f>IF(B241&lt;&gt;"",VLOOKUP(B241,'Tipo Projeto'!$A$3:$B$35,2,0),0)</f>
        <v>0</v>
      </c>
      <c r="D241" s="47"/>
      <c r="E241" s="47"/>
      <c r="F241" s="48"/>
      <c r="G241" s="47"/>
      <c r="H241" s="49"/>
      <c r="I241" s="50"/>
      <c r="J241" s="51"/>
      <c r="K241" s="52"/>
      <c r="L241" s="53" t="str">
        <f t="shared" si="39"/>
        <v/>
      </c>
      <c r="M241" s="48" t="str">
        <f t="shared" si="40"/>
        <v/>
      </c>
      <c r="N241" s="54" t="str">
        <f t="shared" si="41"/>
        <v/>
      </c>
      <c r="O241" s="55">
        <f t="shared" si="42"/>
        <v>0</v>
      </c>
      <c r="P241" s="55">
        <f t="shared" si="43"/>
        <v>0</v>
      </c>
      <c r="Q241" s="54">
        <f t="shared" si="44"/>
        <v>0</v>
      </c>
      <c r="R241" s="47"/>
      <c r="T241" s="57"/>
      <c r="U241" s="45"/>
      <c r="V241" s="46">
        <f>IF(U241&lt;&gt;"",VLOOKUP(U241,'Tipo Projeto'!$A$3:$B$35,2,0),0)</f>
        <v>0</v>
      </c>
      <c r="W241" s="203"/>
      <c r="X241" s="49"/>
      <c r="Y241" s="50"/>
      <c r="Z241" s="51"/>
      <c r="AA241" s="52"/>
      <c r="AB241" s="53" t="str">
        <f t="shared" si="45"/>
        <v/>
      </c>
      <c r="AC241" s="48" t="str">
        <f t="shared" si="46"/>
        <v/>
      </c>
      <c r="AD241" s="54" t="str">
        <f t="shared" si="47"/>
        <v/>
      </c>
      <c r="AE241" s="55">
        <f t="shared" si="48"/>
        <v>0</v>
      </c>
      <c r="AF241" s="55">
        <f t="shared" si="49"/>
        <v>0</v>
      </c>
      <c r="AG241" s="58">
        <f t="shared" si="50"/>
        <v>0</v>
      </c>
      <c r="AH241" s="47"/>
      <c r="AJ241" s="47"/>
      <c r="AL241" s="47"/>
      <c r="AM241" s="47" t="str">
        <f t="shared" si="51"/>
        <v/>
      </c>
    </row>
    <row r="242" spans="1:39" s="56" customFormat="1" ht="14.25">
      <c r="A242" s="44"/>
      <c r="B242" s="45"/>
      <c r="C242" s="46">
        <f>IF(B242&lt;&gt;"",VLOOKUP(B242,'Tipo Projeto'!$A$3:$B$35,2,0),0)</f>
        <v>0</v>
      </c>
      <c r="D242" s="47"/>
      <c r="E242" s="47"/>
      <c r="F242" s="48"/>
      <c r="G242" s="47"/>
      <c r="H242" s="49"/>
      <c r="I242" s="50"/>
      <c r="J242" s="51"/>
      <c r="K242" s="52"/>
      <c r="L242" s="53" t="str">
        <f t="shared" si="39"/>
        <v/>
      </c>
      <c r="M242" s="48" t="str">
        <f t="shared" si="40"/>
        <v/>
      </c>
      <c r="N242" s="54" t="str">
        <f t="shared" si="41"/>
        <v/>
      </c>
      <c r="O242" s="55">
        <f t="shared" si="42"/>
        <v>0</v>
      </c>
      <c r="P242" s="55">
        <f t="shared" si="43"/>
        <v>0</v>
      </c>
      <c r="Q242" s="54">
        <f t="shared" si="44"/>
        <v>0</v>
      </c>
      <c r="R242" s="47"/>
      <c r="T242" s="57"/>
      <c r="U242" s="45"/>
      <c r="V242" s="46">
        <f>IF(U242&lt;&gt;"",VLOOKUP(U242,'Tipo Projeto'!$A$3:$B$35,2,0),0)</f>
        <v>0</v>
      </c>
      <c r="W242" s="203"/>
      <c r="X242" s="49"/>
      <c r="Y242" s="50"/>
      <c r="Z242" s="51"/>
      <c r="AA242" s="52"/>
      <c r="AB242" s="53" t="str">
        <f t="shared" si="45"/>
        <v/>
      </c>
      <c r="AC242" s="48" t="str">
        <f t="shared" si="46"/>
        <v/>
      </c>
      <c r="AD242" s="54" t="str">
        <f t="shared" si="47"/>
        <v/>
      </c>
      <c r="AE242" s="55">
        <f t="shared" si="48"/>
        <v>0</v>
      </c>
      <c r="AF242" s="55">
        <f t="shared" si="49"/>
        <v>0</v>
      </c>
      <c r="AG242" s="58">
        <f t="shared" si="50"/>
        <v>0</v>
      </c>
      <c r="AH242" s="47"/>
      <c r="AJ242" s="47"/>
      <c r="AL242" s="47"/>
      <c r="AM242" s="47" t="str">
        <f t="shared" si="51"/>
        <v/>
      </c>
    </row>
    <row r="243" spans="1:39" s="56" customFormat="1" ht="14.25">
      <c r="A243" s="44"/>
      <c r="B243" s="45"/>
      <c r="C243" s="46">
        <f>IF(B243&lt;&gt;"",VLOOKUP(B243,'Tipo Projeto'!$A$3:$B$35,2,0),0)</f>
        <v>0</v>
      </c>
      <c r="D243" s="47"/>
      <c r="E243" s="47"/>
      <c r="F243" s="48"/>
      <c r="G243" s="47"/>
      <c r="H243" s="49"/>
      <c r="I243" s="50"/>
      <c r="J243" s="51"/>
      <c r="K243" s="52"/>
      <c r="L243" s="53" t="str">
        <f t="shared" si="39"/>
        <v/>
      </c>
      <c r="M243" s="48" t="str">
        <f t="shared" si="40"/>
        <v/>
      </c>
      <c r="N243" s="54" t="str">
        <f t="shared" si="41"/>
        <v/>
      </c>
      <c r="O243" s="55">
        <f t="shared" si="42"/>
        <v>0</v>
      </c>
      <c r="P243" s="55">
        <f t="shared" si="43"/>
        <v>0</v>
      </c>
      <c r="Q243" s="54">
        <f t="shared" si="44"/>
        <v>0</v>
      </c>
      <c r="R243" s="47"/>
      <c r="T243" s="57"/>
      <c r="U243" s="45"/>
      <c r="V243" s="46">
        <f>IF(U243&lt;&gt;"",VLOOKUP(U243,'Tipo Projeto'!$A$3:$B$35,2,0),0)</f>
        <v>0</v>
      </c>
      <c r="W243" s="203"/>
      <c r="X243" s="49"/>
      <c r="Y243" s="50"/>
      <c r="Z243" s="51"/>
      <c r="AA243" s="52"/>
      <c r="AB243" s="53" t="str">
        <f t="shared" si="45"/>
        <v/>
      </c>
      <c r="AC243" s="48" t="str">
        <f t="shared" si="46"/>
        <v/>
      </c>
      <c r="AD243" s="54" t="str">
        <f t="shared" si="47"/>
        <v/>
      </c>
      <c r="AE243" s="55">
        <f t="shared" si="48"/>
        <v>0</v>
      </c>
      <c r="AF243" s="55">
        <f t="shared" si="49"/>
        <v>0</v>
      </c>
      <c r="AG243" s="58">
        <f t="shared" si="50"/>
        <v>0</v>
      </c>
      <c r="AH243" s="47"/>
      <c r="AJ243" s="47"/>
      <c r="AL243" s="47"/>
      <c r="AM243" s="47" t="str">
        <f t="shared" si="51"/>
        <v/>
      </c>
    </row>
    <row r="244" spans="1:39" s="56" customFormat="1" ht="14.25">
      <c r="A244" s="44"/>
      <c r="B244" s="45"/>
      <c r="C244" s="46">
        <f>IF(B244&lt;&gt;"",VLOOKUP(B244,'Tipo Projeto'!$A$3:$B$35,2,0),0)</f>
        <v>0</v>
      </c>
      <c r="D244" s="47"/>
      <c r="E244" s="47"/>
      <c r="F244" s="48"/>
      <c r="G244" s="47"/>
      <c r="H244" s="49"/>
      <c r="I244" s="50"/>
      <c r="J244" s="51"/>
      <c r="K244" s="52"/>
      <c r="L244" s="53" t="str">
        <f t="shared" si="39"/>
        <v/>
      </c>
      <c r="M244" s="48" t="str">
        <f t="shared" si="40"/>
        <v/>
      </c>
      <c r="N244" s="54" t="str">
        <f t="shared" si="41"/>
        <v/>
      </c>
      <c r="O244" s="55">
        <f t="shared" si="42"/>
        <v>0</v>
      </c>
      <c r="P244" s="55">
        <f t="shared" si="43"/>
        <v>0</v>
      </c>
      <c r="Q244" s="54">
        <f t="shared" si="44"/>
        <v>0</v>
      </c>
      <c r="R244" s="47"/>
      <c r="T244" s="57"/>
      <c r="U244" s="45"/>
      <c r="V244" s="46">
        <f>IF(U244&lt;&gt;"",VLOOKUP(U244,'Tipo Projeto'!$A$3:$B$35,2,0),0)</f>
        <v>0</v>
      </c>
      <c r="W244" s="203"/>
      <c r="X244" s="49"/>
      <c r="Y244" s="50"/>
      <c r="Z244" s="51"/>
      <c r="AA244" s="52"/>
      <c r="AB244" s="53" t="str">
        <f t="shared" si="45"/>
        <v/>
      </c>
      <c r="AC244" s="48" t="str">
        <f t="shared" si="46"/>
        <v/>
      </c>
      <c r="AD244" s="54" t="str">
        <f t="shared" si="47"/>
        <v/>
      </c>
      <c r="AE244" s="55">
        <f t="shared" si="48"/>
        <v>0</v>
      </c>
      <c r="AF244" s="55">
        <f t="shared" si="49"/>
        <v>0</v>
      </c>
      <c r="AG244" s="58">
        <f t="shared" si="50"/>
        <v>0</v>
      </c>
      <c r="AH244" s="47"/>
      <c r="AJ244" s="47"/>
      <c r="AL244" s="47"/>
      <c r="AM244" s="47" t="str">
        <f t="shared" si="51"/>
        <v/>
      </c>
    </row>
    <row r="245" spans="1:39" s="56" customFormat="1" ht="14.25">
      <c r="A245" s="44"/>
      <c r="B245" s="45"/>
      <c r="C245" s="46">
        <f>IF(B245&lt;&gt;"",VLOOKUP(B245,'Tipo Projeto'!$A$3:$B$35,2,0),0)</f>
        <v>0</v>
      </c>
      <c r="D245" s="47"/>
      <c r="E245" s="47"/>
      <c r="F245" s="48"/>
      <c r="G245" s="47"/>
      <c r="H245" s="49"/>
      <c r="I245" s="50"/>
      <c r="J245" s="51"/>
      <c r="K245" s="52"/>
      <c r="L245" s="53" t="str">
        <f t="shared" si="39"/>
        <v/>
      </c>
      <c r="M245" s="48" t="str">
        <f t="shared" si="40"/>
        <v/>
      </c>
      <c r="N245" s="54" t="str">
        <f t="shared" si="41"/>
        <v/>
      </c>
      <c r="O245" s="55">
        <f t="shared" si="42"/>
        <v>0</v>
      </c>
      <c r="P245" s="55">
        <f t="shared" si="43"/>
        <v>0</v>
      </c>
      <c r="Q245" s="54">
        <f t="shared" si="44"/>
        <v>0</v>
      </c>
      <c r="R245" s="47"/>
      <c r="T245" s="57"/>
      <c r="U245" s="45"/>
      <c r="V245" s="46">
        <f>IF(U245&lt;&gt;"",VLOOKUP(U245,'Tipo Projeto'!$A$3:$B$35,2,0),0)</f>
        <v>0</v>
      </c>
      <c r="W245" s="203"/>
      <c r="X245" s="49"/>
      <c r="Y245" s="50"/>
      <c r="Z245" s="51"/>
      <c r="AA245" s="52"/>
      <c r="AB245" s="53" t="str">
        <f t="shared" si="45"/>
        <v/>
      </c>
      <c r="AC245" s="48" t="str">
        <f t="shared" si="46"/>
        <v/>
      </c>
      <c r="AD245" s="54" t="str">
        <f t="shared" si="47"/>
        <v/>
      </c>
      <c r="AE245" s="55">
        <f t="shared" si="48"/>
        <v>0</v>
      </c>
      <c r="AF245" s="55">
        <f t="shared" si="49"/>
        <v>0</v>
      </c>
      <c r="AG245" s="58">
        <f t="shared" si="50"/>
        <v>0</v>
      </c>
      <c r="AH245" s="47"/>
      <c r="AJ245" s="47"/>
      <c r="AL245" s="47"/>
      <c r="AM245" s="47" t="str">
        <f t="shared" si="51"/>
        <v/>
      </c>
    </row>
    <row r="246" spans="1:39" s="56" customFormat="1" ht="14.25">
      <c r="A246" s="44"/>
      <c r="B246" s="45"/>
      <c r="C246" s="46">
        <f>IF(B246&lt;&gt;"",VLOOKUP(B246,'Tipo Projeto'!$A$3:$B$35,2,0),0)</f>
        <v>0</v>
      </c>
      <c r="D246" s="47"/>
      <c r="E246" s="47"/>
      <c r="F246" s="48"/>
      <c r="G246" s="47"/>
      <c r="H246" s="49"/>
      <c r="I246" s="50"/>
      <c r="J246" s="51"/>
      <c r="K246" s="52"/>
      <c r="L246" s="53" t="str">
        <f t="shared" si="39"/>
        <v/>
      </c>
      <c r="M246" s="48" t="str">
        <f t="shared" si="40"/>
        <v/>
      </c>
      <c r="N246" s="54" t="str">
        <f t="shared" si="41"/>
        <v/>
      </c>
      <c r="O246" s="55">
        <f t="shared" si="42"/>
        <v>0</v>
      </c>
      <c r="P246" s="55">
        <f t="shared" si="43"/>
        <v>0</v>
      </c>
      <c r="Q246" s="54">
        <f t="shared" si="44"/>
        <v>0</v>
      </c>
      <c r="R246" s="47"/>
      <c r="T246" s="57"/>
      <c r="U246" s="45"/>
      <c r="V246" s="46">
        <f>IF(U246&lt;&gt;"",VLOOKUP(U246,'Tipo Projeto'!$A$3:$B$35,2,0),0)</f>
        <v>0</v>
      </c>
      <c r="W246" s="203"/>
      <c r="X246" s="49"/>
      <c r="Y246" s="50"/>
      <c r="Z246" s="51"/>
      <c r="AA246" s="52"/>
      <c r="AB246" s="53" t="str">
        <f t="shared" si="45"/>
        <v/>
      </c>
      <c r="AC246" s="48" t="str">
        <f t="shared" si="46"/>
        <v/>
      </c>
      <c r="AD246" s="54" t="str">
        <f t="shared" si="47"/>
        <v/>
      </c>
      <c r="AE246" s="55">
        <f t="shared" si="48"/>
        <v>0</v>
      </c>
      <c r="AF246" s="55">
        <f t="shared" si="49"/>
        <v>0</v>
      </c>
      <c r="AG246" s="58">
        <f t="shared" si="50"/>
        <v>0</v>
      </c>
      <c r="AH246" s="47"/>
      <c r="AJ246" s="47"/>
      <c r="AL246" s="47"/>
      <c r="AM246" s="47" t="str">
        <f t="shared" si="51"/>
        <v/>
      </c>
    </row>
    <row r="247" spans="1:39" s="56" customFormat="1" ht="14.25">
      <c r="A247" s="44"/>
      <c r="B247" s="45"/>
      <c r="C247" s="46">
        <f>IF(B247&lt;&gt;"",VLOOKUP(B247,'Tipo Projeto'!$A$3:$B$35,2,0),0)</f>
        <v>0</v>
      </c>
      <c r="D247" s="47"/>
      <c r="E247" s="47"/>
      <c r="F247" s="48"/>
      <c r="G247" s="47"/>
      <c r="H247" s="49"/>
      <c r="I247" s="50"/>
      <c r="J247" s="51"/>
      <c r="K247" s="52"/>
      <c r="L247" s="53" t="str">
        <f t="shared" si="39"/>
        <v/>
      </c>
      <c r="M247" s="48" t="str">
        <f t="shared" si="40"/>
        <v/>
      </c>
      <c r="N247" s="54" t="str">
        <f t="shared" si="41"/>
        <v/>
      </c>
      <c r="O247" s="55">
        <f t="shared" si="42"/>
        <v>0</v>
      </c>
      <c r="P247" s="55">
        <f t="shared" si="43"/>
        <v>0</v>
      </c>
      <c r="Q247" s="54">
        <f t="shared" si="44"/>
        <v>0</v>
      </c>
      <c r="R247" s="47"/>
      <c r="T247" s="57"/>
      <c r="U247" s="45"/>
      <c r="V247" s="46">
        <f>IF(U247&lt;&gt;"",VLOOKUP(U247,'Tipo Projeto'!$A$3:$B$35,2,0),0)</f>
        <v>0</v>
      </c>
      <c r="W247" s="203"/>
      <c r="X247" s="49"/>
      <c r="Y247" s="50"/>
      <c r="Z247" s="51"/>
      <c r="AA247" s="52"/>
      <c r="AB247" s="53" t="str">
        <f t="shared" si="45"/>
        <v/>
      </c>
      <c r="AC247" s="48" t="str">
        <f t="shared" si="46"/>
        <v/>
      </c>
      <c r="AD247" s="54" t="str">
        <f t="shared" si="47"/>
        <v/>
      </c>
      <c r="AE247" s="55">
        <f t="shared" si="48"/>
        <v>0</v>
      </c>
      <c r="AF247" s="55">
        <f t="shared" si="49"/>
        <v>0</v>
      </c>
      <c r="AG247" s="58">
        <f t="shared" si="50"/>
        <v>0</v>
      </c>
      <c r="AH247" s="47"/>
      <c r="AJ247" s="47"/>
      <c r="AL247" s="47"/>
      <c r="AM247" s="47" t="str">
        <f t="shared" si="51"/>
        <v/>
      </c>
    </row>
    <row r="248" spans="1:39" s="56" customFormat="1" ht="14.25">
      <c r="A248" s="44"/>
      <c r="B248" s="45"/>
      <c r="C248" s="46">
        <f>IF(B248&lt;&gt;"",VLOOKUP(B248,'Tipo Projeto'!$A$3:$B$35,2,0),0)</f>
        <v>0</v>
      </c>
      <c r="D248" s="47"/>
      <c r="E248" s="47"/>
      <c r="F248" s="48"/>
      <c r="G248" s="47"/>
      <c r="H248" s="49"/>
      <c r="I248" s="50"/>
      <c r="J248" s="51"/>
      <c r="K248" s="52"/>
      <c r="L248" s="53" t="str">
        <f t="shared" si="39"/>
        <v/>
      </c>
      <c r="M248" s="48" t="str">
        <f t="shared" si="40"/>
        <v/>
      </c>
      <c r="N248" s="54" t="str">
        <f t="shared" si="41"/>
        <v/>
      </c>
      <c r="O248" s="55">
        <f t="shared" si="42"/>
        <v>0</v>
      </c>
      <c r="P248" s="55">
        <f t="shared" si="43"/>
        <v>0</v>
      </c>
      <c r="Q248" s="54">
        <f t="shared" si="44"/>
        <v>0</v>
      </c>
      <c r="R248" s="47"/>
      <c r="T248" s="57"/>
      <c r="U248" s="45"/>
      <c r="V248" s="46">
        <f>IF(U248&lt;&gt;"",VLOOKUP(U248,'Tipo Projeto'!$A$3:$B$35,2,0),0)</f>
        <v>0</v>
      </c>
      <c r="W248" s="203"/>
      <c r="X248" s="49"/>
      <c r="Y248" s="50"/>
      <c r="Z248" s="51"/>
      <c r="AA248" s="52"/>
      <c r="AB248" s="53" t="str">
        <f t="shared" si="45"/>
        <v/>
      </c>
      <c r="AC248" s="48" t="str">
        <f t="shared" si="46"/>
        <v/>
      </c>
      <c r="AD248" s="54" t="str">
        <f t="shared" si="47"/>
        <v/>
      </c>
      <c r="AE248" s="55">
        <f t="shared" si="48"/>
        <v>0</v>
      </c>
      <c r="AF248" s="55">
        <f t="shared" si="49"/>
        <v>0</v>
      </c>
      <c r="AG248" s="58">
        <f t="shared" si="50"/>
        <v>0</v>
      </c>
      <c r="AH248" s="47"/>
      <c r="AJ248" s="47"/>
      <c r="AL248" s="47"/>
      <c r="AM248" s="47" t="str">
        <f t="shared" si="51"/>
        <v/>
      </c>
    </row>
    <row r="249" spans="1:39" s="56" customFormat="1" ht="14.25">
      <c r="A249" s="44"/>
      <c r="B249" s="45"/>
      <c r="C249" s="46">
        <f>IF(B249&lt;&gt;"",VLOOKUP(B249,'Tipo Projeto'!$A$3:$B$35,2,0),0)</f>
        <v>0</v>
      </c>
      <c r="D249" s="47"/>
      <c r="E249" s="47"/>
      <c r="F249" s="48"/>
      <c r="G249" s="47"/>
      <c r="H249" s="49"/>
      <c r="I249" s="50"/>
      <c r="J249" s="51"/>
      <c r="K249" s="52"/>
      <c r="L249" s="53" t="str">
        <f t="shared" si="39"/>
        <v/>
      </c>
      <c r="M249" s="48" t="str">
        <f t="shared" si="40"/>
        <v/>
      </c>
      <c r="N249" s="54" t="str">
        <f t="shared" si="41"/>
        <v/>
      </c>
      <c r="O249" s="55">
        <f t="shared" si="42"/>
        <v>0</v>
      </c>
      <c r="P249" s="55">
        <f t="shared" si="43"/>
        <v>0</v>
      </c>
      <c r="Q249" s="54">
        <f t="shared" si="44"/>
        <v>0</v>
      </c>
      <c r="R249" s="47"/>
      <c r="T249" s="57"/>
      <c r="U249" s="45"/>
      <c r="V249" s="46">
        <f>IF(U249&lt;&gt;"",VLOOKUP(U249,'Tipo Projeto'!$A$3:$B$35,2,0),0)</f>
        <v>0</v>
      </c>
      <c r="W249" s="203"/>
      <c r="X249" s="49"/>
      <c r="Y249" s="50"/>
      <c r="Z249" s="51"/>
      <c r="AA249" s="52"/>
      <c r="AB249" s="53" t="str">
        <f t="shared" si="45"/>
        <v/>
      </c>
      <c r="AC249" s="48" t="str">
        <f t="shared" si="46"/>
        <v/>
      </c>
      <c r="AD249" s="54" t="str">
        <f t="shared" si="47"/>
        <v/>
      </c>
      <c r="AE249" s="55">
        <f t="shared" si="48"/>
        <v>0</v>
      </c>
      <c r="AF249" s="55">
        <f t="shared" si="49"/>
        <v>0</v>
      </c>
      <c r="AG249" s="58">
        <f t="shared" si="50"/>
        <v>0</v>
      </c>
      <c r="AH249" s="47"/>
      <c r="AJ249" s="47"/>
      <c r="AL249" s="47"/>
      <c r="AM249" s="47" t="str">
        <f t="shared" si="51"/>
        <v/>
      </c>
    </row>
    <row r="250" spans="1:39" s="56" customFormat="1" ht="14.25">
      <c r="A250" s="44"/>
      <c r="B250" s="45"/>
      <c r="C250" s="46">
        <f>IF(B250&lt;&gt;"",VLOOKUP(B250,'Tipo Projeto'!$A$3:$B$35,2,0),0)</f>
        <v>0</v>
      </c>
      <c r="D250" s="47"/>
      <c r="E250" s="47"/>
      <c r="F250" s="48"/>
      <c r="G250" s="47"/>
      <c r="H250" s="49"/>
      <c r="I250" s="50"/>
      <c r="J250" s="51"/>
      <c r="K250" s="52"/>
      <c r="L250" s="53" t="str">
        <f t="shared" si="39"/>
        <v/>
      </c>
      <c r="M250" s="48" t="str">
        <f t="shared" si="40"/>
        <v/>
      </c>
      <c r="N250" s="54" t="str">
        <f t="shared" si="41"/>
        <v/>
      </c>
      <c r="O250" s="55">
        <f t="shared" si="42"/>
        <v>0</v>
      </c>
      <c r="P250" s="55">
        <f t="shared" si="43"/>
        <v>0</v>
      </c>
      <c r="Q250" s="54">
        <f t="shared" si="44"/>
        <v>0</v>
      </c>
      <c r="R250" s="47"/>
      <c r="T250" s="57"/>
      <c r="U250" s="45"/>
      <c r="V250" s="46">
        <f>IF(U250&lt;&gt;"",VLOOKUP(U250,'Tipo Projeto'!$A$3:$B$35,2,0),0)</f>
        <v>0</v>
      </c>
      <c r="W250" s="203"/>
      <c r="X250" s="49"/>
      <c r="Y250" s="50"/>
      <c r="Z250" s="51"/>
      <c r="AA250" s="52"/>
      <c r="AB250" s="53" t="str">
        <f t="shared" si="45"/>
        <v/>
      </c>
      <c r="AC250" s="48" t="str">
        <f t="shared" si="46"/>
        <v/>
      </c>
      <c r="AD250" s="54" t="str">
        <f t="shared" si="47"/>
        <v/>
      </c>
      <c r="AE250" s="55">
        <f t="shared" si="48"/>
        <v>0</v>
      </c>
      <c r="AF250" s="55">
        <f t="shared" si="49"/>
        <v>0</v>
      </c>
      <c r="AG250" s="58">
        <f t="shared" si="50"/>
        <v>0</v>
      </c>
      <c r="AH250" s="47"/>
      <c r="AJ250" s="47"/>
      <c r="AL250" s="47"/>
      <c r="AM250" s="47" t="str">
        <f t="shared" si="51"/>
        <v/>
      </c>
    </row>
    <row r="251" spans="1:39" s="56" customFormat="1" ht="14.25">
      <c r="A251" s="44"/>
      <c r="B251" s="45"/>
      <c r="C251" s="46">
        <f>IF(B251&lt;&gt;"",VLOOKUP(B251,'Tipo Projeto'!$A$3:$B$35,2,0),0)</f>
        <v>0</v>
      </c>
      <c r="D251" s="47"/>
      <c r="E251" s="47"/>
      <c r="F251" s="48"/>
      <c r="G251" s="47"/>
      <c r="H251" s="49"/>
      <c r="I251" s="50"/>
      <c r="J251" s="51"/>
      <c r="K251" s="52"/>
      <c r="L251" s="53" t="str">
        <f t="shared" si="39"/>
        <v/>
      </c>
      <c r="M251" s="48" t="str">
        <f t="shared" si="40"/>
        <v/>
      </c>
      <c r="N251" s="54" t="str">
        <f t="shared" si="41"/>
        <v/>
      </c>
      <c r="O251" s="55">
        <f t="shared" si="42"/>
        <v>0</v>
      </c>
      <c r="P251" s="55">
        <f t="shared" si="43"/>
        <v>0</v>
      </c>
      <c r="Q251" s="54">
        <f t="shared" si="44"/>
        <v>0</v>
      </c>
      <c r="R251" s="47"/>
      <c r="T251" s="57"/>
      <c r="U251" s="45"/>
      <c r="V251" s="46">
        <f>IF(U251&lt;&gt;"",VLOOKUP(U251,'Tipo Projeto'!$A$3:$B$35,2,0),0)</f>
        <v>0</v>
      </c>
      <c r="W251" s="203"/>
      <c r="X251" s="49"/>
      <c r="Y251" s="50"/>
      <c r="Z251" s="51"/>
      <c r="AA251" s="52"/>
      <c r="AB251" s="53" t="str">
        <f t="shared" si="45"/>
        <v/>
      </c>
      <c r="AC251" s="48" t="str">
        <f t="shared" si="46"/>
        <v/>
      </c>
      <c r="AD251" s="54" t="str">
        <f t="shared" si="47"/>
        <v/>
      </c>
      <c r="AE251" s="55">
        <f t="shared" si="48"/>
        <v>0</v>
      </c>
      <c r="AF251" s="55">
        <f t="shared" si="49"/>
        <v>0</v>
      </c>
      <c r="AG251" s="58">
        <f t="shared" si="50"/>
        <v>0</v>
      </c>
      <c r="AH251" s="47"/>
      <c r="AJ251" s="47"/>
      <c r="AL251" s="47"/>
      <c r="AM251" s="47" t="str">
        <f t="shared" si="51"/>
        <v/>
      </c>
    </row>
    <row r="252" spans="1:39" s="56" customFormat="1" ht="14.25">
      <c r="A252" s="44"/>
      <c r="B252" s="45"/>
      <c r="C252" s="46">
        <f>IF(B252&lt;&gt;"",VLOOKUP(B252,'Tipo Projeto'!$A$3:$B$35,2,0),0)</f>
        <v>0</v>
      </c>
      <c r="D252" s="47"/>
      <c r="E252" s="47"/>
      <c r="F252" s="48"/>
      <c r="G252" s="47"/>
      <c r="H252" s="49"/>
      <c r="I252" s="50"/>
      <c r="J252" s="51"/>
      <c r="K252" s="52"/>
      <c r="L252" s="53" t="str">
        <f t="shared" si="39"/>
        <v/>
      </c>
      <c r="M252" s="48" t="str">
        <f t="shared" si="40"/>
        <v/>
      </c>
      <c r="N252" s="54" t="str">
        <f t="shared" si="41"/>
        <v/>
      </c>
      <c r="O252" s="55">
        <f t="shared" si="42"/>
        <v>0</v>
      </c>
      <c r="P252" s="55">
        <f t="shared" si="43"/>
        <v>0</v>
      </c>
      <c r="Q252" s="54">
        <f t="shared" si="44"/>
        <v>0</v>
      </c>
      <c r="R252" s="47"/>
      <c r="T252" s="57"/>
      <c r="U252" s="45"/>
      <c r="V252" s="46">
        <f>IF(U252&lt;&gt;"",VLOOKUP(U252,'Tipo Projeto'!$A$3:$B$35,2,0),0)</f>
        <v>0</v>
      </c>
      <c r="W252" s="203"/>
      <c r="X252" s="49"/>
      <c r="Y252" s="50"/>
      <c r="Z252" s="51"/>
      <c r="AA252" s="52"/>
      <c r="AB252" s="53" t="str">
        <f t="shared" si="45"/>
        <v/>
      </c>
      <c r="AC252" s="48" t="str">
        <f t="shared" si="46"/>
        <v/>
      </c>
      <c r="AD252" s="54" t="str">
        <f t="shared" si="47"/>
        <v/>
      </c>
      <c r="AE252" s="55">
        <f t="shared" si="48"/>
        <v>0</v>
      </c>
      <c r="AF252" s="55">
        <f t="shared" si="49"/>
        <v>0</v>
      </c>
      <c r="AG252" s="58">
        <f t="shared" si="50"/>
        <v>0</v>
      </c>
      <c r="AH252" s="47"/>
      <c r="AJ252" s="47"/>
      <c r="AL252" s="47"/>
      <c r="AM252" s="47" t="str">
        <f t="shared" si="51"/>
        <v/>
      </c>
    </row>
    <row r="253" spans="1:39" s="56" customFormat="1" ht="14.25">
      <c r="A253" s="44"/>
      <c r="B253" s="45"/>
      <c r="C253" s="46">
        <f>IF(B253&lt;&gt;"",VLOOKUP(B253,'Tipo Projeto'!$A$3:$B$35,2,0),0)</f>
        <v>0</v>
      </c>
      <c r="D253" s="47"/>
      <c r="E253" s="47"/>
      <c r="F253" s="48"/>
      <c r="G253" s="47"/>
      <c r="H253" s="49"/>
      <c r="I253" s="50"/>
      <c r="J253" s="51"/>
      <c r="K253" s="52"/>
      <c r="L253" s="53" t="str">
        <f t="shared" si="39"/>
        <v/>
      </c>
      <c r="M253" s="48" t="str">
        <f t="shared" si="40"/>
        <v/>
      </c>
      <c r="N253" s="54" t="str">
        <f t="shared" si="41"/>
        <v/>
      </c>
      <c r="O253" s="55">
        <f t="shared" si="42"/>
        <v>0</v>
      </c>
      <c r="P253" s="55">
        <f t="shared" si="43"/>
        <v>0</v>
      </c>
      <c r="Q253" s="54">
        <f t="shared" si="44"/>
        <v>0</v>
      </c>
      <c r="R253" s="47"/>
      <c r="T253" s="57"/>
      <c r="U253" s="45"/>
      <c r="V253" s="46">
        <f>IF(U253&lt;&gt;"",VLOOKUP(U253,'Tipo Projeto'!$A$3:$B$35,2,0),0)</f>
        <v>0</v>
      </c>
      <c r="W253" s="203"/>
      <c r="X253" s="49"/>
      <c r="Y253" s="50"/>
      <c r="Z253" s="51"/>
      <c r="AA253" s="52"/>
      <c r="AB253" s="53" t="str">
        <f t="shared" si="45"/>
        <v/>
      </c>
      <c r="AC253" s="48" t="str">
        <f t="shared" si="46"/>
        <v/>
      </c>
      <c r="AD253" s="54" t="str">
        <f t="shared" si="47"/>
        <v/>
      </c>
      <c r="AE253" s="55">
        <f t="shared" si="48"/>
        <v>0</v>
      </c>
      <c r="AF253" s="55">
        <f t="shared" si="49"/>
        <v>0</v>
      </c>
      <c r="AG253" s="58">
        <f t="shared" si="50"/>
        <v>0</v>
      </c>
      <c r="AH253" s="47"/>
      <c r="AJ253" s="47"/>
      <c r="AL253" s="47"/>
      <c r="AM253" s="47" t="str">
        <f t="shared" si="51"/>
        <v/>
      </c>
    </row>
    <row r="254" spans="1:39" s="56" customFormat="1" ht="14.25">
      <c r="A254" s="44"/>
      <c r="B254" s="45"/>
      <c r="C254" s="46">
        <f>IF(B254&lt;&gt;"",VLOOKUP(B254,'Tipo Projeto'!$A$3:$B$35,2,0),0)</f>
        <v>0</v>
      </c>
      <c r="D254" s="47"/>
      <c r="E254" s="47"/>
      <c r="F254" s="48"/>
      <c r="G254" s="47"/>
      <c r="H254" s="49"/>
      <c r="I254" s="50"/>
      <c r="J254" s="51"/>
      <c r="K254" s="52"/>
      <c r="L254" s="53" t="str">
        <f t="shared" si="39"/>
        <v/>
      </c>
      <c r="M254" s="48" t="str">
        <f t="shared" si="40"/>
        <v/>
      </c>
      <c r="N254" s="54" t="str">
        <f t="shared" si="41"/>
        <v/>
      </c>
      <c r="O254" s="55">
        <f t="shared" si="42"/>
        <v>0</v>
      </c>
      <c r="P254" s="55">
        <f t="shared" si="43"/>
        <v>0</v>
      </c>
      <c r="Q254" s="54">
        <f t="shared" si="44"/>
        <v>0</v>
      </c>
      <c r="R254" s="47"/>
      <c r="T254" s="57"/>
      <c r="U254" s="45"/>
      <c r="V254" s="46">
        <f>IF(U254&lt;&gt;"",VLOOKUP(U254,'Tipo Projeto'!$A$3:$B$35,2,0),0)</f>
        <v>0</v>
      </c>
      <c r="W254" s="203"/>
      <c r="X254" s="49"/>
      <c r="Y254" s="50"/>
      <c r="Z254" s="51"/>
      <c r="AA254" s="52"/>
      <c r="AB254" s="53" t="str">
        <f t="shared" si="45"/>
        <v/>
      </c>
      <c r="AC254" s="48" t="str">
        <f t="shared" si="46"/>
        <v/>
      </c>
      <c r="AD254" s="54" t="str">
        <f t="shared" si="47"/>
        <v/>
      </c>
      <c r="AE254" s="55">
        <f t="shared" si="48"/>
        <v>0</v>
      </c>
      <c r="AF254" s="55">
        <f t="shared" si="49"/>
        <v>0</v>
      </c>
      <c r="AG254" s="58">
        <f t="shared" si="50"/>
        <v>0</v>
      </c>
      <c r="AH254" s="47"/>
      <c r="AJ254" s="47"/>
      <c r="AL254" s="47"/>
      <c r="AM254" s="47" t="str">
        <f t="shared" si="51"/>
        <v/>
      </c>
    </row>
    <row r="255" spans="1:39" s="56" customFormat="1" ht="14.25">
      <c r="A255" s="44"/>
      <c r="B255" s="45"/>
      <c r="C255" s="46">
        <f>IF(B255&lt;&gt;"",VLOOKUP(B255,'Tipo Projeto'!$A$3:$B$35,2,0),0)</f>
        <v>0</v>
      </c>
      <c r="D255" s="47"/>
      <c r="E255" s="47"/>
      <c r="F255" s="48"/>
      <c r="G255" s="47"/>
      <c r="H255" s="49"/>
      <c r="I255" s="50"/>
      <c r="J255" s="51"/>
      <c r="K255" s="52"/>
      <c r="L255" s="53" t="str">
        <f t="shared" si="39"/>
        <v/>
      </c>
      <c r="M255" s="48" t="str">
        <f t="shared" si="40"/>
        <v/>
      </c>
      <c r="N255" s="54" t="str">
        <f t="shared" si="41"/>
        <v/>
      </c>
      <c r="O255" s="55">
        <f t="shared" si="42"/>
        <v>0</v>
      </c>
      <c r="P255" s="55">
        <f t="shared" si="43"/>
        <v>0</v>
      </c>
      <c r="Q255" s="54">
        <f t="shared" si="44"/>
        <v>0</v>
      </c>
      <c r="R255" s="47"/>
      <c r="T255" s="57"/>
      <c r="U255" s="45"/>
      <c r="V255" s="46">
        <f>IF(U255&lt;&gt;"",VLOOKUP(U255,'Tipo Projeto'!$A$3:$B$35,2,0),0)</f>
        <v>0</v>
      </c>
      <c r="W255" s="203"/>
      <c r="X255" s="49"/>
      <c r="Y255" s="50"/>
      <c r="Z255" s="51"/>
      <c r="AA255" s="52"/>
      <c r="AB255" s="53" t="str">
        <f t="shared" si="45"/>
        <v/>
      </c>
      <c r="AC255" s="48" t="str">
        <f t="shared" si="46"/>
        <v/>
      </c>
      <c r="AD255" s="54" t="str">
        <f t="shared" si="47"/>
        <v/>
      </c>
      <c r="AE255" s="55">
        <f t="shared" si="48"/>
        <v>0</v>
      </c>
      <c r="AF255" s="55">
        <f t="shared" si="49"/>
        <v>0</v>
      </c>
      <c r="AG255" s="58">
        <f t="shared" si="50"/>
        <v>0</v>
      </c>
      <c r="AH255" s="47"/>
      <c r="AJ255" s="47"/>
      <c r="AL255" s="47"/>
      <c r="AM255" s="47" t="str">
        <f t="shared" si="51"/>
        <v/>
      </c>
    </row>
    <row r="256" spans="1:39" s="56" customFormat="1" ht="14.25">
      <c r="A256" s="44"/>
      <c r="B256" s="45"/>
      <c r="C256" s="46">
        <f>IF(B256&lt;&gt;"",VLOOKUP(B256,'Tipo Projeto'!$A$3:$B$35,2,0),0)</f>
        <v>0</v>
      </c>
      <c r="D256" s="47"/>
      <c r="E256" s="47"/>
      <c r="F256" s="48"/>
      <c r="G256" s="47"/>
      <c r="H256" s="49"/>
      <c r="I256" s="50"/>
      <c r="J256" s="51"/>
      <c r="K256" s="52"/>
      <c r="L256" s="53" t="str">
        <f t="shared" si="39"/>
        <v/>
      </c>
      <c r="M256" s="48" t="str">
        <f t="shared" si="40"/>
        <v/>
      </c>
      <c r="N256" s="54" t="str">
        <f t="shared" si="41"/>
        <v/>
      </c>
      <c r="O256" s="55">
        <f t="shared" si="42"/>
        <v>0</v>
      </c>
      <c r="P256" s="55">
        <f t="shared" si="43"/>
        <v>0</v>
      </c>
      <c r="Q256" s="54">
        <f t="shared" si="44"/>
        <v>0</v>
      </c>
      <c r="R256" s="47"/>
      <c r="T256" s="57"/>
      <c r="U256" s="45"/>
      <c r="V256" s="46">
        <f>IF(U256&lt;&gt;"",VLOOKUP(U256,'Tipo Projeto'!$A$3:$B$35,2,0),0)</f>
        <v>0</v>
      </c>
      <c r="W256" s="203"/>
      <c r="X256" s="49"/>
      <c r="Y256" s="50"/>
      <c r="Z256" s="51"/>
      <c r="AA256" s="52"/>
      <c r="AB256" s="53" t="str">
        <f t="shared" si="45"/>
        <v/>
      </c>
      <c r="AC256" s="48" t="str">
        <f t="shared" si="46"/>
        <v/>
      </c>
      <c r="AD256" s="54" t="str">
        <f t="shared" si="47"/>
        <v/>
      </c>
      <c r="AE256" s="55">
        <f t="shared" si="48"/>
        <v>0</v>
      </c>
      <c r="AF256" s="55">
        <f t="shared" si="49"/>
        <v>0</v>
      </c>
      <c r="AG256" s="58">
        <f t="shared" si="50"/>
        <v>0</v>
      </c>
      <c r="AH256" s="47"/>
      <c r="AJ256" s="47"/>
      <c r="AL256" s="47"/>
      <c r="AM256" s="47" t="str">
        <f t="shared" si="51"/>
        <v/>
      </c>
    </row>
    <row r="257" spans="1:39" s="56" customFormat="1" ht="14.25">
      <c r="A257" s="44"/>
      <c r="B257" s="45"/>
      <c r="C257" s="46">
        <f>IF(B257&lt;&gt;"",VLOOKUP(B257,'Tipo Projeto'!$A$3:$B$35,2,0),0)</f>
        <v>0</v>
      </c>
      <c r="D257" s="47"/>
      <c r="E257" s="47"/>
      <c r="F257" s="48"/>
      <c r="G257" s="47"/>
      <c r="H257" s="49"/>
      <c r="I257" s="50"/>
      <c r="J257" s="51"/>
      <c r="K257" s="52"/>
      <c r="L257" s="53" t="str">
        <f t="shared" si="39"/>
        <v/>
      </c>
      <c r="M257" s="48" t="str">
        <f t="shared" si="40"/>
        <v/>
      </c>
      <c r="N257" s="54" t="str">
        <f t="shared" si="41"/>
        <v/>
      </c>
      <c r="O257" s="55">
        <f t="shared" si="42"/>
        <v>0</v>
      </c>
      <c r="P257" s="55">
        <f t="shared" si="43"/>
        <v>0</v>
      </c>
      <c r="Q257" s="54">
        <f t="shared" si="44"/>
        <v>0</v>
      </c>
      <c r="R257" s="47"/>
      <c r="T257" s="57"/>
      <c r="U257" s="45"/>
      <c r="V257" s="46">
        <f>IF(U257&lt;&gt;"",VLOOKUP(U257,'Tipo Projeto'!$A$3:$B$35,2,0),0)</f>
        <v>0</v>
      </c>
      <c r="W257" s="203"/>
      <c r="X257" s="49"/>
      <c r="Y257" s="50"/>
      <c r="Z257" s="51"/>
      <c r="AA257" s="52"/>
      <c r="AB257" s="53" t="str">
        <f t="shared" si="45"/>
        <v/>
      </c>
      <c r="AC257" s="48" t="str">
        <f t="shared" si="46"/>
        <v/>
      </c>
      <c r="AD257" s="54" t="str">
        <f t="shared" si="47"/>
        <v/>
      </c>
      <c r="AE257" s="55">
        <f t="shared" si="48"/>
        <v>0</v>
      </c>
      <c r="AF257" s="55">
        <f t="shared" si="49"/>
        <v>0</v>
      </c>
      <c r="AG257" s="58">
        <f t="shared" si="50"/>
        <v>0</v>
      </c>
      <c r="AH257" s="47"/>
      <c r="AJ257" s="47"/>
      <c r="AL257" s="47"/>
      <c r="AM257" s="47" t="str">
        <f t="shared" si="51"/>
        <v/>
      </c>
    </row>
    <row r="258" spans="1:39" s="56" customFormat="1" ht="14.25">
      <c r="A258" s="44"/>
      <c r="B258" s="45"/>
      <c r="C258" s="46">
        <f>IF(B258&lt;&gt;"",VLOOKUP(B258,'Tipo Projeto'!$A$3:$B$35,2,0),0)</f>
        <v>0</v>
      </c>
      <c r="D258" s="47"/>
      <c r="E258" s="47"/>
      <c r="F258" s="48"/>
      <c r="G258" s="47"/>
      <c r="H258" s="49"/>
      <c r="I258" s="50"/>
      <c r="J258" s="51"/>
      <c r="K258" s="52"/>
      <c r="L258" s="53" t="str">
        <f t="shared" si="39"/>
        <v/>
      </c>
      <c r="M258" s="48" t="str">
        <f t="shared" si="40"/>
        <v/>
      </c>
      <c r="N258" s="54" t="str">
        <f t="shared" si="41"/>
        <v/>
      </c>
      <c r="O258" s="55">
        <f t="shared" si="42"/>
        <v>0</v>
      </c>
      <c r="P258" s="55">
        <f t="shared" si="43"/>
        <v>0</v>
      </c>
      <c r="Q258" s="54">
        <f t="shared" si="44"/>
        <v>0</v>
      </c>
      <c r="R258" s="47"/>
      <c r="T258" s="57"/>
      <c r="U258" s="45"/>
      <c r="V258" s="46">
        <f>IF(U258&lt;&gt;"",VLOOKUP(U258,'Tipo Projeto'!$A$3:$B$35,2,0),0)</f>
        <v>0</v>
      </c>
      <c r="W258" s="203"/>
      <c r="X258" s="49"/>
      <c r="Y258" s="50"/>
      <c r="Z258" s="51"/>
      <c r="AA258" s="52"/>
      <c r="AB258" s="53" t="str">
        <f t="shared" si="45"/>
        <v/>
      </c>
      <c r="AC258" s="48" t="str">
        <f t="shared" si="46"/>
        <v/>
      </c>
      <c r="AD258" s="54" t="str">
        <f t="shared" si="47"/>
        <v/>
      </c>
      <c r="AE258" s="55">
        <f t="shared" si="48"/>
        <v>0</v>
      </c>
      <c r="AF258" s="55">
        <f t="shared" si="49"/>
        <v>0</v>
      </c>
      <c r="AG258" s="58">
        <f t="shared" si="50"/>
        <v>0</v>
      </c>
      <c r="AH258" s="47"/>
      <c r="AJ258" s="47"/>
      <c r="AL258" s="47"/>
      <c r="AM258" s="47" t="str">
        <f t="shared" si="51"/>
        <v/>
      </c>
    </row>
    <row r="259" spans="1:39" s="56" customFormat="1" ht="14.25">
      <c r="A259" s="44"/>
      <c r="B259" s="45"/>
      <c r="C259" s="46">
        <f>IF(B259&lt;&gt;"",VLOOKUP(B259,'Tipo Projeto'!$A$3:$B$35,2,0),0)</f>
        <v>0</v>
      </c>
      <c r="D259" s="47"/>
      <c r="E259" s="47"/>
      <c r="F259" s="48"/>
      <c r="G259" s="47"/>
      <c r="H259" s="49"/>
      <c r="I259" s="50"/>
      <c r="J259" s="51"/>
      <c r="K259" s="52"/>
      <c r="L259" s="53" t="str">
        <f t="shared" si="39"/>
        <v/>
      </c>
      <c r="M259" s="48" t="str">
        <f t="shared" si="40"/>
        <v/>
      </c>
      <c r="N259" s="54" t="str">
        <f t="shared" si="41"/>
        <v/>
      </c>
      <c r="O259" s="55">
        <f t="shared" si="42"/>
        <v>0</v>
      </c>
      <c r="P259" s="55">
        <f t="shared" si="43"/>
        <v>0</v>
      </c>
      <c r="Q259" s="54">
        <f t="shared" si="44"/>
        <v>0</v>
      </c>
      <c r="R259" s="47"/>
      <c r="T259" s="57"/>
      <c r="U259" s="45"/>
      <c r="V259" s="46">
        <f>IF(U259&lt;&gt;"",VLOOKUP(U259,'Tipo Projeto'!$A$3:$B$35,2,0),0)</f>
        <v>0</v>
      </c>
      <c r="W259" s="203"/>
      <c r="X259" s="49"/>
      <c r="Y259" s="50"/>
      <c r="Z259" s="51"/>
      <c r="AA259" s="52"/>
      <c r="AB259" s="53" t="str">
        <f t="shared" si="45"/>
        <v/>
      </c>
      <c r="AC259" s="48" t="str">
        <f t="shared" si="46"/>
        <v/>
      </c>
      <c r="AD259" s="54" t="str">
        <f t="shared" si="47"/>
        <v/>
      </c>
      <c r="AE259" s="55">
        <f t="shared" si="48"/>
        <v>0</v>
      </c>
      <c r="AF259" s="55">
        <f t="shared" si="49"/>
        <v>0</v>
      </c>
      <c r="AG259" s="58">
        <f t="shared" si="50"/>
        <v>0</v>
      </c>
      <c r="AH259" s="47"/>
      <c r="AJ259" s="47"/>
      <c r="AL259" s="47"/>
      <c r="AM259" s="47" t="str">
        <f t="shared" si="51"/>
        <v/>
      </c>
    </row>
    <row r="260" spans="1:39" s="56" customFormat="1" ht="14.25">
      <c r="A260" s="44"/>
      <c r="B260" s="45"/>
      <c r="C260" s="46">
        <f>IF(B260&lt;&gt;"",VLOOKUP(B260,'Tipo Projeto'!$A$3:$B$35,2,0),0)</f>
        <v>0</v>
      </c>
      <c r="D260" s="47"/>
      <c r="E260" s="47"/>
      <c r="F260" s="48"/>
      <c r="G260" s="47"/>
      <c r="H260" s="49"/>
      <c r="I260" s="50"/>
      <c r="J260" s="51"/>
      <c r="K260" s="52"/>
      <c r="L260" s="53" t="str">
        <f t="shared" si="39"/>
        <v/>
      </c>
      <c r="M260" s="48" t="str">
        <f t="shared" si="40"/>
        <v/>
      </c>
      <c r="N260" s="54" t="str">
        <f t="shared" si="41"/>
        <v/>
      </c>
      <c r="O260" s="55">
        <f t="shared" si="42"/>
        <v>0</v>
      </c>
      <c r="P260" s="55">
        <f t="shared" si="43"/>
        <v>0</v>
      </c>
      <c r="Q260" s="54">
        <f t="shared" si="44"/>
        <v>0</v>
      </c>
      <c r="R260" s="47"/>
      <c r="T260" s="57"/>
      <c r="U260" s="45"/>
      <c r="V260" s="46">
        <f>IF(U260&lt;&gt;"",VLOOKUP(U260,'Tipo Projeto'!$A$3:$B$35,2,0),0)</f>
        <v>0</v>
      </c>
      <c r="W260" s="203"/>
      <c r="X260" s="49"/>
      <c r="Y260" s="50"/>
      <c r="Z260" s="51"/>
      <c r="AA260" s="52"/>
      <c r="AB260" s="53" t="str">
        <f t="shared" si="45"/>
        <v/>
      </c>
      <c r="AC260" s="48" t="str">
        <f t="shared" si="46"/>
        <v/>
      </c>
      <c r="AD260" s="54" t="str">
        <f t="shared" si="47"/>
        <v/>
      </c>
      <c r="AE260" s="55">
        <f t="shared" si="48"/>
        <v>0</v>
      </c>
      <c r="AF260" s="55">
        <f t="shared" si="49"/>
        <v>0</v>
      </c>
      <c r="AG260" s="58">
        <f t="shared" si="50"/>
        <v>0</v>
      </c>
      <c r="AH260" s="47"/>
      <c r="AJ260" s="47"/>
      <c r="AL260" s="47"/>
      <c r="AM260" s="47" t="str">
        <f t="shared" si="51"/>
        <v/>
      </c>
    </row>
    <row r="261" spans="1:39" s="56" customFormat="1" ht="14.25">
      <c r="A261" s="44"/>
      <c r="B261" s="45"/>
      <c r="C261" s="46">
        <f>IF(B261&lt;&gt;"",VLOOKUP(B261,'Tipo Projeto'!$A$3:$B$35,2,0),0)</f>
        <v>0</v>
      </c>
      <c r="D261" s="47"/>
      <c r="E261" s="47"/>
      <c r="F261" s="48"/>
      <c r="G261" s="47"/>
      <c r="H261" s="49"/>
      <c r="I261" s="50"/>
      <c r="J261" s="51"/>
      <c r="K261" s="52"/>
      <c r="L261" s="53" t="str">
        <f t="shared" si="39"/>
        <v/>
      </c>
      <c r="M261" s="48" t="str">
        <f t="shared" si="40"/>
        <v/>
      </c>
      <c r="N261" s="54" t="str">
        <f t="shared" si="41"/>
        <v/>
      </c>
      <c r="O261" s="55">
        <f t="shared" si="42"/>
        <v>0</v>
      </c>
      <c r="P261" s="55">
        <f t="shared" si="43"/>
        <v>0</v>
      </c>
      <c r="Q261" s="54">
        <f t="shared" si="44"/>
        <v>0</v>
      </c>
      <c r="R261" s="47"/>
      <c r="T261" s="57"/>
      <c r="U261" s="45"/>
      <c r="V261" s="46">
        <f>IF(U261&lt;&gt;"",VLOOKUP(U261,'Tipo Projeto'!$A$3:$B$35,2,0),0)</f>
        <v>0</v>
      </c>
      <c r="W261" s="203"/>
      <c r="X261" s="49"/>
      <c r="Y261" s="50"/>
      <c r="Z261" s="51"/>
      <c r="AA261" s="52"/>
      <c r="AB261" s="53" t="str">
        <f t="shared" si="45"/>
        <v/>
      </c>
      <c r="AC261" s="48" t="str">
        <f t="shared" si="46"/>
        <v/>
      </c>
      <c r="AD261" s="54" t="str">
        <f t="shared" si="47"/>
        <v/>
      </c>
      <c r="AE261" s="55">
        <f t="shared" si="48"/>
        <v>0</v>
      </c>
      <c r="AF261" s="55">
        <f t="shared" si="49"/>
        <v>0</v>
      </c>
      <c r="AG261" s="58">
        <f t="shared" si="50"/>
        <v>0</v>
      </c>
      <c r="AH261" s="47"/>
      <c r="AJ261" s="47"/>
      <c r="AL261" s="47"/>
      <c r="AM261" s="47" t="str">
        <f t="shared" si="51"/>
        <v/>
      </c>
    </row>
    <row r="262" spans="1:39" s="56" customFormat="1" ht="14.25">
      <c r="A262" s="44"/>
      <c r="B262" s="45"/>
      <c r="C262" s="46">
        <f>IF(B262&lt;&gt;"",VLOOKUP(B262,'Tipo Projeto'!$A$3:$B$35,2,0),0)</f>
        <v>0</v>
      </c>
      <c r="D262" s="47"/>
      <c r="E262" s="47"/>
      <c r="F262" s="48"/>
      <c r="G262" s="47"/>
      <c r="H262" s="49"/>
      <c r="I262" s="50"/>
      <c r="J262" s="51"/>
      <c r="K262" s="52"/>
      <c r="L262" s="53" t="str">
        <f t="shared" si="39"/>
        <v/>
      </c>
      <c r="M262" s="48" t="str">
        <f t="shared" si="40"/>
        <v/>
      </c>
      <c r="N262" s="54" t="str">
        <f t="shared" si="41"/>
        <v/>
      </c>
      <c r="O262" s="55">
        <f t="shared" si="42"/>
        <v>0</v>
      </c>
      <c r="P262" s="55">
        <f t="shared" si="43"/>
        <v>0</v>
      </c>
      <c r="Q262" s="54">
        <f t="shared" si="44"/>
        <v>0</v>
      </c>
      <c r="R262" s="47"/>
      <c r="T262" s="57"/>
      <c r="U262" s="45"/>
      <c r="V262" s="46">
        <f>IF(U262&lt;&gt;"",VLOOKUP(U262,'Tipo Projeto'!$A$3:$B$35,2,0),0)</f>
        <v>0</v>
      </c>
      <c r="W262" s="203"/>
      <c r="X262" s="49"/>
      <c r="Y262" s="50"/>
      <c r="Z262" s="51"/>
      <c r="AA262" s="52"/>
      <c r="AB262" s="53" t="str">
        <f t="shared" si="45"/>
        <v/>
      </c>
      <c r="AC262" s="48" t="str">
        <f t="shared" si="46"/>
        <v/>
      </c>
      <c r="AD262" s="54" t="str">
        <f t="shared" si="47"/>
        <v/>
      </c>
      <c r="AE262" s="55">
        <f t="shared" si="48"/>
        <v>0</v>
      </c>
      <c r="AF262" s="55">
        <f t="shared" si="49"/>
        <v>0</v>
      </c>
      <c r="AG262" s="58">
        <f t="shared" si="50"/>
        <v>0</v>
      </c>
      <c r="AH262" s="47"/>
      <c r="AJ262" s="47"/>
      <c r="AL262" s="47"/>
      <c r="AM262" s="47" t="str">
        <f t="shared" si="51"/>
        <v/>
      </c>
    </row>
    <row r="263" spans="1:39" s="56" customFormat="1" ht="14.25">
      <c r="A263" s="44"/>
      <c r="B263" s="45"/>
      <c r="C263" s="46">
        <f>IF(B263&lt;&gt;"",VLOOKUP(B263,'Tipo Projeto'!$A$3:$B$35,2,0),0)</f>
        <v>0</v>
      </c>
      <c r="D263" s="47"/>
      <c r="E263" s="47"/>
      <c r="F263" s="48"/>
      <c r="G263" s="47"/>
      <c r="H263" s="49"/>
      <c r="I263" s="50"/>
      <c r="J263" s="51"/>
      <c r="K263" s="52"/>
      <c r="L263" s="53" t="str">
        <f t="shared" si="39"/>
        <v/>
      </c>
      <c r="M263" s="48" t="str">
        <f t="shared" si="40"/>
        <v/>
      </c>
      <c r="N263" s="54" t="str">
        <f t="shared" si="41"/>
        <v/>
      </c>
      <c r="O263" s="55">
        <f t="shared" si="42"/>
        <v>0</v>
      </c>
      <c r="P263" s="55">
        <f t="shared" si="43"/>
        <v>0</v>
      </c>
      <c r="Q263" s="54">
        <f t="shared" si="44"/>
        <v>0</v>
      </c>
      <c r="R263" s="47"/>
      <c r="T263" s="57"/>
      <c r="U263" s="45"/>
      <c r="V263" s="46">
        <f>IF(U263&lt;&gt;"",VLOOKUP(U263,'Tipo Projeto'!$A$3:$B$35,2,0),0)</f>
        <v>0</v>
      </c>
      <c r="W263" s="203"/>
      <c r="X263" s="49"/>
      <c r="Y263" s="50"/>
      <c r="Z263" s="51"/>
      <c r="AA263" s="52"/>
      <c r="AB263" s="53" t="str">
        <f t="shared" si="45"/>
        <v/>
      </c>
      <c r="AC263" s="48" t="str">
        <f t="shared" si="46"/>
        <v/>
      </c>
      <c r="AD263" s="54" t="str">
        <f t="shared" si="47"/>
        <v/>
      </c>
      <c r="AE263" s="55">
        <f t="shared" si="48"/>
        <v>0</v>
      </c>
      <c r="AF263" s="55">
        <f t="shared" si="49"/>
        <v>0</v>
      </c>
      <c r="AG263" s="58">
        <f t="shared" si="50"/>
        <v>0</v>
      </c>
      <c r="AH263" s="47"/>
      <c r="AJ263" s="47"/>
      <c r="AL263" s="47"/>
      <c r="AM263" s="47" t="str">
        <f t="shared" si="51"/>
        <v/>
      </c>
    </row>
    <row r="264" spans="1:39" s="56" customFormat="1" ht="14.25">
      <c r="A264" s="44"/>
      <c r="B264" s="45"/>
      <c r="C264" s="46">
        <f>IF(B264&lt;&gt;"",VLOOKUP(B264,'Tipo Projeto'!$A$3:$B$35,2,0),0)</f>
        <v>0</v>
      </c>
      <c r="D264" s="47"/>
      <c r="E264" s="47"/>
      <c r="F264" s="48"/>
      <c r="G264" s="47"/>
      <c r="H264" s="49"/>
      <c r="I264" s="50"/>
      <c r="J264" s="51"/>
      <c r="K264" s="52"/>
      <c r="L264" s="53" t="str">
        <f t="shared" si="39"/>
        <v/>
      </c>
      <c r="M264" s="48" t="str">
        <f t="shared" si="40"/>
        <v/>
      </c>
      <c r="N264" s="54" t="str">
        <f t="shared" si="41"/>
        <v/>
      </c>
      <c r="O264" s="55">
        <f t="shared" si="42"/>
        <v>0</v>
      </c>
      <c r="P264" s="55">
        <f t="shared" si="43"/>
        <v>0</v>
      </c>
      <c r="Q264" s="54">
        <f t="shared" si="44"/>
        <v>0</v>
      </c>
      <c r="R264" s="47"/>
      <c r="T264" s="57"/>
      <c r="U264" s="45"/>
      <c r="V264" s="46">
        <f>IF(U264&lt;&gt;"",VLOOKUP(U264,'Tipo Projeto'!$A$3:$B$35,2,0),0)</f>
        <v>0</v>
      </c>
      <c r="W264" s="203"/>
      <c r="X264" s="49"/>
      <c r="Y264" s="50"/>
      <c r="Z264" s="51"/>
      <c r="AA264" s="52"/>
      <c r="AB264" s="53" t="str">
        <f t="shared" si="45"/>
        <v/>
      </c>
      <c r="AC264" s="48" t="str">
        <f t="shared" si="46"/>
        <v/>
      </c>
      <c r="AD264" s="54" t="str">
        <f t="shared" si="47"/>
        <v/>
      </c>
      <c r="AE264" s="55">
        <f t="shared" si="48"/>
        <v>0</v>
      </c>
      <c r="AF264" s="55">
        <f t="shared" si="49"/>
        <v>0</v>
      </c>
      <c r="AG264" s="58">
        <f t="shared" si="50"/>
        <v>0</v>
      </c>
      <c r="AH264" s="47"/>
      <c r="AJ264" s="47"/>
      <c r="AL264" s="47"/>
      <c r="AM264" s="47" t="str">
        <f t="shared" si="51"/>
        <v/>
      </c>
    </row>
    <row r="265" spans="1:39" s="56" customFormat="1" ht="14.25">
      <c r="A265" s="44"/>
      <c r="B265" s="45"/>
      <c r="C265" s="46">
        <f>IF(B265&lt;&gt;"",VLOOKUP(B265,'Tipo Projeto'!$A$3:$B$35,2,0),0)</f>
        <v>0</v>
      </c>
      <c r="D265" s="47"/>
      <c r="E265" s="47"/>
      <c r="F265" s="48"/>
      <c r="G265" s="47"/>
      <c r="H265" s="49"/>
      <c r="I265" s="50"/>
      <c r="J265" s="51"/>
      <c r="K265" s="52"/>
      <c r="L265" s="53" t="str">
        <f t="shared" si="39"/>
        <v/>
      </c>
      <c r="M265" s="48" t="str">
        <f t="shared" si="40"/>
        <v/>
      </c>
      <c r="N265" s="54" t="str">
        <f t="shared" si="41"/>
        <v/>
      </c>
      <c r="O265" s="55">
        <f t="shared" si="42"/>
        <v>0</v>
      </c>
      <c r="P265" s="55">
        <f t="shared" si="43"/>
        <v>0</v>
      </c>
      <c r="Q265" s="54">
        <f t="shared" si="44"/>
        <v>0</v>
      </c>
      <c r="R265" s="47"/>
      <c r="T265" s="57"/>
      <c r="U265" s="45"/>
      <c r="V265" s="46">
        <f>IF(U265&lt;&gt;"",VLOOKUP(U265,'Tipo Projeto'!$A$3:$B$35,2,0),0)</f>
        <v>0</v>
      </c>
      <c r="W265" s="203"/>
      <c r="X265" s="49"/>
      <c r="Y265" s="50"/>
      <c r="Z265" s="51"/>
      <c r="AA265" s="52"/>
      <c r="AB265" s="53" t="str">
        <f t="shared" si="45"/>
        <v/>
      </c>
      <c r="AC265" s="48" t="str">
        <f t="shared" si="46"/>
        <v/>
      </c>
      <c r="AD265" s="54" t="str">
        <f t="shared" si="47"/>
        <v/>
      </c>
      <c r="AE265" s="55">
        <f t="shared" si="48"/>
        <v>0</v>
      </c>
      <c r="AF265" s="55">
        <f t="shared" si="49"/>
        <v>0</v>
      </c>
      <c r="AG265" s="58">
        <f t="shared" si="50"/>
        <v>0</v>
      </c>
      <c r="AH265" s="47"/>
      <c r="AJ265" s="47"/>
      <c r="AL265" s="47"/>
      <c r="AM265" s="47" t="str">
        <f t="shared" si="51"/>
        <v/>
      </c>
    </row>
    <row r="266" spans="1:39" s="56" customFormat="1" ht="14.25">
      <c r="A266" s="44"/>
      <c r="B266" s="45"/>
      <c r="C266" s="46">
        <f>IF(B266&lt;&gt;"",VLOOKUP(B266,'Tipo Projeto'!$A$3:$B$35,2,0),0)</f>
        <v>0</v>
      </c>
      <c r="D266" s="47"/>
      <c r="E266" s="47"/>
      <c r="F266" s="48"/>
      <c r="G266" s="47"/>
      <c r="H266" s="49"/>
      <c r="I266" s="50"/>
      <c r="J266" s="51"/>
      <c r="K266" s="52"/>
      <c r="L266" s="53"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8"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4" t="str">
        <f t="shared" ref="N266:N329" si="54">IF(L266="",M266,IF(M266="",L266,""))</f>
        <v/>
      </c>
      <c r="O266" s="55">
        <f t="shared" ref="O266:O329" si="55">IF(AND(OR(G266="EE",G266="CE"),N266="Simples"),3, IF(AND(OR(G266="EE",G266="CE"),N266="Médio"),4, IF(AND(OR(G266="EE",G266="CE"),N266="Complexo"),6, IF(AND(G266="SE",N266="Simples"),4, IF(AND(G266="SE",N266="Médio"),5, IF(AND(G266="SE",N266="Complexo"),7,0))))))</f>
        <v>0</v>
      </c>
      <c r="P266" s="55">
        <f t="shared" ref="P266:P329" si="56">IF(AND(G266="ALI",M266="Simples"),7, IF(AND(G266="ALI",M266="Médio"),10, IF(AND(G266="ALI",M266="Complexo"),15, IF(AND(G266="AIE",M266="Simples"),5, IF(AND(G266="AIE",M266="Médio"),7, IF(AND(G266="AIE",M266="Complexo"),10,0))))))</f>
        <v>0</v>
      </c>
      <c r="Q266" s="54">
        <f t="shared" ref="Q266:Q329" si="57">IF(B266&lt;&gt;"Manutenção em interface",IF(B266&lt;&gt;"Desenv., Manutenção e Publicação de Páginas Estáticas",(O266+P266)*C266,C266),C266)</f>
        <v>0</v>
      </c>
      <c r="R266" s="47"/>
      <c r="T266" s="57"/>
      <c r="U266" s="45"/>
      <c r="V266" s="46">
        <f>IF(U266&lt;&gt;"",VLOOKUP(U266,'Tipo Projeto'!$A$3:$B$35,2,0),0)</f>
        <v>0</v>
      </c>
      <c r="W266" s="203"/>
      <c r="X266" s="49"/>
      <c r="Y266" s="50"/>
      <c r="Z266" s="51"/>
      <c r="AA266" s="52"/>
      <c r="AB266" s="53"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8"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4" t="str">
        <f t="shared" ref="AD266:AD329" si="60">IF(AB266="",AC266,IF(AC266="",AB266,""))</f>
        <v/>
      </c>
      <c r="AE266" s="55">
        <f t="shared" ref="AE266:AE329" si="61">IF(AND(OR(W266="EE",W266="CE"),AD266="Simples"),3, IF(AND(OR(W266="EE",W266="CE"),AD266="Médio"),4, IF(AND(OR(W266="EE",W266="CE"),AD266="Complexo"),6, IF(AND(W266="SE",AD266="Simples"),4, IF(AND(W266="SE",AD266="Médio"),5, IF(AND(W266="SE",AD266="Complexo"),7,0))))))</f>
        <v>0</v>
      </c>
      <c r="AF266" s="55">
        <f t="shared" ref="AF266:AF329" si="62">IF(AND(W266="ALI",AC266="Simples"),7, IF(AND(W266="ALI",AC266="Médio"),10, IF(AND(W266="ALI",AC266="Complexo"),15, IF(AND(W266="AIE",AC266="Simples"),5, IF(AND(W266="AIE",AC266="Médio"),7, IF(AND(W266="AIE",AC266="Complexo"),10,0))))))</f>
        <v>0</v>
      </c>
      <c r="AG266" s="58">
        <f t="shared" ref="AG266:AG329" si="63">IF(T266="OK",Q266,( IF(U266&lt;&gt;"Manutenção em interface",IF(U266&lt;&gt;"Desenv., Manutenção e Publicação de Páginas Estáticas",(AE266+AF266)*V266,V266),V266)))</f>
        <v>0</v>
      </c>
      <c r="AH266" s="47"/>
      <c r="AJ266" s="47"/>
      <c r="AL266" s="47"/>
      <c r="AM266" s="47" t="str">
        <f t="shared" ref="AM266:AM329" si="64">IF(AG266=0,"",IF(AG266=Q266,"OK","Divergente"))</f>
        <v/>
      </c>
    </row>
    <row r="267" spans="1:39" s="56" customFormat="1" ht="14.25">
      <c r="A267" s="44"/>
      <c r="B267" s="45"/>
      <c r="C267" s="46">
        <f>IF(B267&lt;&gt;"",VLOOKUP(B267,'Tipo Projeto'!$A$3:$B$35,2,0),0)</f>
        <v>0</v>
      </c>
      <c r="D267" s="47"/>
      <c r="E267" s="47"/>
      <c r="F267" s="48"/>
      <c r="G267" s="47"/>
      <c r="H267" s="49"/>
      <c r="I267" s="50"/>
      <c r="J267" s="51"/>
      <c r="K267" s="52"/>
      <c r="L267" s="53" t="str">
        <f t="shared" si="52"/>
        <v/>
      </c>
      <c r="M267" s="48" t="str">
        <f t="shared" si="53"/>
        <v/>
      </c>
      <c r="N267" s="54" t="str">
        <f t="shared" si="54"/>
        <v/>
      </c>
      <c r="O267" s="55">
        <f t="shared" si="55"/>
        <v>0</v>
      </c>
      <c r="P267" s="55">
        <f t="shared" si="56"/>
        <v>0</v>
      </c>
      <c r="Q267" s="54">
        <f t="shared" si="57"/>
        <v>0</v>
      </c>
      <c r="R267" s="47"/>
      <c r="T267" s="57"/>
      <c r="U267" s="45"/>
      <c r="V267" s="46">
        <f>IF(U267&lt;&gt;"",VLOOKUP(U267,'Tipo Projeto'!$A$3:$B$35,2,0),0)</f>
        <v>0</v>
      </c>
      <c r="W267" s="203"/>
      <c r="X267" s="49"/>
      <c r="Y267" s="50"/>
      <c r="Z267" s="51"/>
      <c r="AA267" s="52"/>
      <c r="AB267" s="53" t="str">
        <f t="shared" si="58"/>
        <v/>
      </c>
      <c r="AC267" s="48" t="str">
        <f t="shared" si="59"/>
        <v/>
      </c>
      <c r="AD267" s="54" t="str">
        <f t="shared" si="60"/>
        <v/>
      </c>
      <c r="AE267" s="55">
        <f t="shared" si="61"/>
        <v>0</v>
      </c>
      <c r="AF267" s="55">
        <f t="shared" si="62"/>
        <v>0</v>
      </c>
      <c r="AG267" s="58">
        <f t="shared" si="63"/>
        <v>0</v>
      </c>
      <c r="AH267" s="47"/>
      <c r="AJ267" s="47"/>
      <c r="AL267" s="47"/>
      <c r="AM267" s="47" t="str">
        <f t="shared" si="64"/>
        <v/>
      </c>
    </row>
    <row r="268" spans="1:39" s="56" customFormat="1" ht="14.25">
      <c r="A268" s="44"/>
      <c r="B268" s="45"/>
      <c r="C268" s="46">
        <f>IF(B268&lt;&gt;"",VLOOKUP(B268,'Tipo Projeto'!$A$3:$B$35,2,0),0)</f>
        <v>0</v>
      </c>
      <c r="D268" s="47"/>
      <c r="E268" s="47"/>
      <c r="F268" s="48"/>
      <c r="G268" s="47"/>
      <c r="H268" s="49"/>
      <c r="I268" s="50"/>
      <c r="J268" s="51"/>
      <c r="K268" s="52"/>
      <c r="L268" s="53" t="str">
        <f t="shared" si="52"/>
        <v/>
      </c>
      <c r="M268" s="48" t="str">
        <f t="shared" si="53"/>
        <v/>
      </c>
      <c r="N268" s="54" t="str">
        <f t="shared" si="54"/>
        <v/>
      </c>
      <c r="O268" s="55">
        <f t="shared" si="55"/>
        <v>0</v>
      </c>
      <c r="P268" s="55">
        <f t="shared" si="56"/>
        <v>0</v>
      </c>
      <c r="Q268" s="54">
        <f t="shared" si="57"/>
        <v>0</v>
      </c>
      <c r="R268" s="47"/>
      <c r="T268" s="57"/>
      <c r="U268" s="45"/>
      <c r="V268" s="46">
        <f>IF(U268&lt;&gt;"",VLOOKUP(U268,'Tipo Projeto'!$A$3:$B$35,2,0),0)</f>
        <v>0</v>
      </c>
      <c r="W268" s="203"/>
      <c r="X268" s="49"/>
      <c r="Y268" s="50"/>
      <c r="Z268" s="51"/>
      <c r="AA268" s="52"/>
      <c r="AB268" s="53" t="str">
        <f t="shared" si="58"/>
        <v/>
      </c>
      <c r="AC268" s="48" t="str">
        <f t="shared" si="59"/>
        <v/>
      </c>
      <c r="AD268" s="54" t="str">
        <f t="shared" si="60"/>
        <v/>
      </c>
      <c r="AE268" s="55">
        <f t="shared" si="61"/>
        <v>0</v>
      </c>
      <c r="AF268" s="55">
        <f t="shared" si="62"/>
        <v>0</v>
      </c>
      <c r="AG268" s="58">
        <f t="shared" si="63"/>
        <v>0</v>
      </c>
      <c r="AH268" s="47"/>
      <c r="AJ268" s="47"/>
      <c r="AL268" s="47"/>
      <c r="AM268" s="47" t="str">
        <f t="shared" si="64"/>
        <v/>
      </c>
    </row>
    <row r="269" spans="1:39" s="56" customFormat="1" ht="14.25">
      <c r="A269" s="44"/>
      <c r="B269" s="45"/>
      <c r="C269" s="46">
        <f>IF(B269&lt;&gt;"",VLOOKUP(B269,'Tipo Projeto'!$A$3:$B$35,2,0),0)</f>
        <v>0</v>
      </c>
      <c r="D269" s="47"/>
      <c r="E269" s="47"/>
      <c r="F269" s="48"/>
      <c r="G269" s="47"/>
      <c r="H269" s="49"/>
      <c r="I269" s="50"/>
      <c r="J269" s="51"/>
      <c r="K269" s="52"/>
      <c r="L269" s="53" t="str">
        <f t="shared" si="52"/>
        <v/>
      </c>
      <c r="M269" s="48" t="str">
        <f t="shared" si="53"/>
        <v/>
      </c>
      <c r="N269" s="54" t="str">
        <f t="shared" si="54"/>
        <v/>
      </c>
      <c r="O269" s="55">
        <f t="shared" si="55"/>
        <v>0</v>
      </c>
      <c r="P269" s="55">
        <f t="shared" si="56"/>
        <v>0</v>
      </c>
      <c r="Q269" s="54">
        <f t="shared" si="57"/>
        <v>0</v>
      </c>
      <c r="R269" s="47"/>
      <c r="T269" s="57"/>
      <c r="U269" s="45"/>
      <c r="V269" s="46">
        <f>IF(U269&lt;&gt;"",VLOOKUP(U269,'Tipo Projeto'!$A$3:$B$35,2,0),0)</f>
        <v>0</v>
      </c>
      <c r="W269" s="203"/>
      <c r="X269" s="49"/>
      <c r="Y269" s="50"/>
      <c r="Z269" s="51"/>
      <c r="AA269" s="52"/>
      <c r="AB269" s="53" t="str">
        <f t="shared" si="58"/>
        <v/>
      </c>
      <c r="AC269" s="48" t="str">
        <f t="shared" si="59"/>
        <v/>
      </c>
      <c r="AD269" s="54" t="str">
        <f t="shared" si="60"/>
        <v/>
      </c>
      <c r="AE269" s="55">
        <f t="shared" si="61"/>
        <v>0</v>
      </c>
      <c r="AF269" s="55">
        <f t="shared" si="62"/>
        <v>0</v>
      </c>
      <c r="AG269" s="58">
        <f t="shared" si="63"/>
        <v>0</v>
      </c>
      <c r="AH269" s="47"/>
      <c r="AJ269" s="47"/>
      <c r="AL269" s="47"/>
      <c r="AM269" s="47" t="str">
        <f t="shared" si="64"/>
        <v/>
      </c>
    </row>
    <row r="270" spans="1:39" s="56" customFormat="1" ht="14.25">
      <c r="A270" s="44"/>
      <c r="B270" s="45"/>
      <c r="C270" s="46">
        <f>IF(B270&lt;&gt;"",VLOOKUP(B270,'Tipo Projeto'!$A$3:$B$35,2,0),0)</f>
        <v>0</v>
      </c>
      <c r="D270" s="47"/>
      <c r="E270" s="47"/>
      <c r="F270" s="48"/>
      <c r="G270" s="47"/>
      <c r="H270" s="49"/>
      <c r="I270" s="50"/>
      <c r="J270" s="51"/>
      <c r="K270" s="52"/>
      <c r="L270" s="53" t="str">
        <f t="shared" si="52"/>
        <v/>
      </c>
      <c r="M270" s="48" t="str">
        <f t="shared" si="53"/>
        <v/>
      </c>
      <c r="N270" s="54" t="str">
        <f t="shared" si="54"/>
        <v/>
      </c>
      <c r="O270" s="55">
        <f t="shared" si="55"/>
        <v>0</v>
      </c>
      <c r="P270" s="55">
        <f t="shared" si="56"/>
        <v>0</v>
      </c>
      <c r="Q270" s="54">
        <f t="shared" si="57"/>
        <v>0</v>
      </c>
      <c r="R270" s="47"/>
      <c r="T270" s="57"/>
      <c r="U270" s="45"/>
      <c r="V270" s="46">
        <f>IF(U270&lt;&gt;"",VLOOKUP(U270,'Tipo Projeto'!$A$3:$B$35,2,0),0)</f>
        <v>0</v>
      </c>
      <c r="W270" s="203"/>
      <c r="X270" s="49"/>
      <c r="Y270" s="50"/>
      <c r="Z270" s="51"/>
      <c r="AA270" s="52"/>
      <c r="AB270" s="53" t="str">
        <f t="shared" si="58"/>
        <v/>
      </c>
      <c r="AC270" s="48" t="str">
        <f t="shared" si="59"/>
        <v/>
      </c>
      <c r="AD270" s="54" t="str">
        <f t="shared" si="60"/>
        <v/>
      </c>
      <c r="AE270" s="55">
        <f t="shared" si="61"/>
        <v>0</v>
      </c>
      <c r="AF270" s="55">
        <f t="shared" si="62"/>
        <v>0</v>
      </c>
      <c r="AG270" s="58">
        <f t="shared" si="63"/>
        <v>0</v>
      </c>
      <c r="AH270" s="47"/>
      <c r="AJ270" s="47"/>
      <c r="AL270" s="47"/>
      <c r="AM270" s="47" t="str">
        <f t="shared" si="64"/>
        <v/>
      </c>
    </row>
    <row r="271" spans="1:39" s="56" customFormat="1" ht="14.25">
      <c r="A271" s="44"/>
      <c r="B271" s="45"/>
      <c r="C271" s="46">
        <f>IF(B271&lt;&gt;"",VLOOKUP(B271,'Tipo Projeto'!$A$3:$B$35,2,0),0)</f>
        <v>0</v>
      </c>
      <c r="D271" s="47"/>
      <c r="E271" s="47"/>
      <c r="F271" s="48"/>
      <c r="G271" s="47"/>
      <c r="H271" s="49"/>
      <c r="I271" s="50"/>
      <c r="J271" s="51"/>
      <c r="K271" s="52"/>
      <c r="L271" s="53" t="str">
        <f t="shared" si="52"/>
        <v/>
      </c>
      <c r="M271" s="48" t="str">
        <f t="shared" si="53"/>
        <v/>
      </c>
      <c r="N271" s="54" t="str">
        <f t="shared" si="54"/>
        <v/>
      </c>
      <c r="O271" s="55">
        <f t="shared" si="55"/>
        <v>0</v>
      </c>
      <c r="P271" s="55">
        <f t="shared" si="56"/>
        <v>0</v>
      </c>
      <c r="Q271" s="54">
        <f t="shared" si="57"/>
        <v>0</v>
      </c>
      <c r="R271" s="47"/>
      <c r="T271" s="57"/>
      <c r="U271" s="45"/>
      <c r="V271" s="46">
        <f>IF(U271&lt;&gt;"",VLOOKUP(U271,'Tipo Projeto'!$A$3:$B$35,2,0),0)</f>
        <v>0</v>
      </c>
      <c r="W271" s="203"/>
      <c r="X271" s="49"/>
      <c r="Y271" s="50"/>
      <c r="Z271" s="51"/>
      <c r="AA271" s="52"/>
      <c r="AB271" s="53" t="str">
        <f t="shared" si="58"/>
        <v/>
      </c>
      <c r="AC271" s="48" t="str">
        <f t="shared" si="59"/>
        <v/>
      </c>
      <c r="AD271" s="54" t="str">
        <f t="shared" si="60"/>
        <v/>
      </c>
      <c r="AE271" s="55">
        <f t="shared" si="61"/>
        <v>0</v>
      </c>
      <c r="AF271" s="55">
        <f t="shared" si="62"/>
        <v>0</v>
      </c>
      <c r="AG271" s="58">
        <f t="shared" si="63"/>
        <v>0</v>
      </c>
      <c r="AH271" s="47"/>
      <c r="AJ271" s="47"/>
      <c r="AL271" s="47"/>
      <c r="AM271" s="47" t="str">
        <f t="shared" si="64"/>
        <v/>
      </c>
    </row>
    <row r="272" spans="1:39" s="56" customFormat="1" ht="14.25">
      <c r="A272" s="44"/>
      <c r="B272" s="45"/>
      <c r="C272" s="46">
        <f>IF(B272&lt;&gt;"",VLOOKUP(B272,'Tipo Projeto'!$A$3:$B$35,2,0),0)</f>
        <v>0</v>
      </c>
      <c r="D272" s="47"/>
      <c r="E272" s="47"/>
      <c r="F272" s="48"/>
      <c r="G272" s="47"/>
      <c r="H272" s="49"/>
      <c r="I272" s="50"/>
      <c r="J272" s="51"/>
      <c r="K272" s="52"/>
      <c r="L272" s="53" t="str">
        <f t="shared" si="52"/>
        <v/>
      </c>
      <c r="M272" s="48" t="str">
        <f t="shared" si="53"/>
        <v/>
      </c>
      <c r="N272" s="54" t="str">
        <f t="shared" si="54"/>
        <v/>
      </c>
      <c r="O272" s="55">
        <f t="shared" si="55"/>
        <v>0</v>
      </c>
      <c r="P272" s="55">
        <f t="shared" si="56"/>
        <v>0</v>
      </c>
      <c r="Q272" s="54">
        <f t="shared" si="57"/>
        <v>0</v>
      </c>
      <c r="R272" s="47"/>
      <c r="T272" s="57"/>
      <c r="U272" s="45"/>
      <c r="V272" s="46">
        <f>IF(U272&lt;&gt;"",VLOOKUP(U272,'Tipo Projeto'!$A$3:$B$35,2,0),0)</f>
        <v>0</v>
      </c>
      <c r="W272" s="203"/>
      <c r="X272" s="49"/>
      <c r="Y272" s="50"/>
      <c r="Z272" s="51"/>
      <c r="AA272" s="52"/>
      <c r="AB272" s="53" t="str">
        <f t="shared" si="58"/>
        <v/>
      </c>
      <c r="AC272" s="48" t="str">
        <f t="shared" si="59"/>
        <v/>
      </c>
      <c r="AD272" s="54" t="str">
        <f t="shared" si="60"/>
        <v/>
      </c>
      <c r="AE272" s="55">
        <f t="shared" si="61"/>
        <v>0</v>
      </c>
      <c r="AF272" s="55">
        <f t="shared" si="62"/>
        <v>0</v>
      </c>
      <c r="AG272" s="58">
        <f t="shared" si="63"/>
        <v>0</v>
      </c>
      <c r="AH272" s="47"/>
      <c r="AJ272" s="47"/>
      <c r="AL272" s="47"/>
      <c r="AM272" s="47" t="str">
        <f t="shared" si="64"/>
        <v/>
      </c>
    </row>
    <row r="273" spans="1:39" s="56" customFormat="1" ht="14.25">
      <c r="A273" s="44"/>
      <c r="B273" s="45"/>
      <c r="C273" s="46">
        <f>IF(B273&lt;&gt;"",VLOOKUP(B273,'Tipo Projeto'!$A$3:$B$35,2,0),0)</f>
        <v>0</v>
      </c>
      <c r="D273" s="47"/>
      <c r="E273" s="47"/>
      <c r="F273" s="48"/>
      <c r="G273" s="47"/>
      <c r="H273" s="49"/>
      <c r="I273" s="50"/>
      <c r="J273" s="51"/>
      <c r="K273" s="52"/>
      <c r="L273" s="53" t="str">
        <f t="shared" si="52"/>
        <v/>
      </c>
      <c r="M273" s="48" t="str">
        <f t="shared" si="53"/>
        <v/>
      </c>
      <c r="N273" s="54" t="str">
        <f t="shared" si="54"/>
        <v/>
      </c>
      <c r="O273" s="55">
        <f t="shared" si="55"/>
        <v>0</v>
      </c>
      <c r="P273" s="55">
        <f t="shared" si="56"/>
        <v>0</v>
      </c>
      <c r="Q273" s="54">
        <f t="shared" si="57"/>
        <v>0</v>
      </c>
      <c r="R273" s="47"/>
      <c r="T273" s="57"/>
      <c r="U273" s="45"/>
      <c r="V273" s="46">
        <f>IF(U273&lt;&gt;"",VLOOKUP(U273,'Tipo Projeto'!$A$3:$B$35,2,0),0)</f>
        <v>0</v>
      </c>
      <c r="W273" s="203"/>
      <c r="X273" s="49"/>
      <c r="Y273" s="50"/>
      <c r="Z273" s="51"/>
      <c r="AA273" s="52"/>
      <c r="AB273" s="53" t="str">
        <f t="shared" si="58"/>
        <v/>
      </c>
      <c r="AC273" s="48" t="str">
        <f t="shared" si="59"/>
        <v/>
      </c>
      <c r="AD273" s="54" t="str">
        <f t="shared" si="60"/>
        <v/>
      </c>
      <c r="AE273" s="55">
        <f t="shared" si="61"/>
        <v>0</v>
      </c>
      <c r="AF273" s="55">
        <f t="shared" si="62"/>
        <v>0</v>
      </c>
      <c r="AG273" s="58">
        <f t="shared" si="63"/>
        <v>0</v>
      </c>
      <c r="AH273" s="47"/>
      <c r="AJ273" s="47"/>
      <c r="AL273" s="47"/>
      <c r="AM273" s="47" t="str">
        <f t="shared" si="64"/>
        <v/>
      </c>
    </row>
    <row r="274" spans="1:39" s="56" customFormat="1" ht="14.25">
      <c r="A274" s="44"/>
      <c r="B274" s="45"/>
      <c r="C274" s="46">
        <f>IF(B274&lt;&gt;"",VLOOKUP(B274,'Tipo Projeto'!$A$3:$B$35,2,0),0)</f>
        <v>0</v>
      </c>
      <c r="D274" s="47"/>
      <c r="E274" s="47"/>
      <c r="F274" s="48"/>
      <c r="G274" s="47"/>
      <c r="H274" s="49"/>
      <c r="I274" s="50"/>
      <c r="J274" s="51"/>
      <c r="K274" s="52"/>
      <c r="L274" s="53" t="str">
        <f t="shared" si="52"/>
        <v/>
      </c>
      <c r="M274" s="48" t="str">
        <f t="shared" si="53"/>
        <v/>
      </c>
      <c r="N274" s="54" t="str">
        <f t="shared" si="54"/>
        <v/>
      </c>
      <c r="O274" s="55">
        <f t="shared" si="55"/>
        <v>0</v>
      </c>
      <c r="P274" s="55">
        <f t="shared" si="56"/>
        <v>0</v>
      </c>
      <c r="Q274" s="54">
        <f t="shared" si="57"/>
        <v>0</v>
      </c>
      <c r="R274" s="47"/>
      <c r="T274" s="57"/>
      <c r="U274" s="45"/>
      <c r="V274" s="46">
        <f>IF(U274&lt;&gt;"",VLOOKUP(U274,'Tipo Projeto'!$A$3:$B$35,2,0),0)</f>
        <v>0</v>
      </c>
      <c r="W274" s="203"/>
      <c r="X274" s="49"/>
      <c r="Y274" s="50"/>
      <c r="Z274" s="51"/>
      <c r="AA274" s="52"/>
      <c r="AB274" s="53" t="str">
        <f t="shared" si="58"/>
        <v/>
      </c>
      <c r="AC274" s="48" t="str">
        <f t="shared" si="59"/>
        <v/>
      </c>
      <c r="AD274" s="54" t="str">
        <f t="shared" si="60"/>
        <v/>
      </c>
      <c r="AE274" s="55">
        <f t="shared" si="61"/>
        <v>0</v>
      </c>
      <c r="AF274" s="55">
        <f t="shared" si="62"/>
        <v>0</v>
      </c>
      <c r="AG274" s="58">
        <f t="shared" si="63"/>
        <v>0</v>
      </c>
      <c r="AH274" s="47"/>
      <c r="AJ274" s="47"/>
      <c r="AL274" s="47"/>
      <c r="AM274" s="47" t="str">
        <f t="shared" si="64"/>
        <v/>
      </c>
    </row>
    <row r="275" spans="1:39" s="56" customFormat="1" ht="14.25">
      <c r="A275" s="44"/>
      <c r="B275" s="45"/>
      <c r="C275" s="46">
        <f>IF(B275&lt;&gt;"",VLOOKUP(B275,'Tipo Projeto'!$A$3:$B$35,2,0),0)</f>
        <v>0</v>
      </c>
      <c r="D275" s="47"/>
      <c r="E275" s="47"/>
      <c r="F275" s="48"/>
      <c r="G275" s="47"/>
      <c r="H275" s="49"/>
      <c r="I275" s="50"/>
      <c r="J275" s="51"/>
      <c r="K275" s="52"/>
      <c r="L275" s="53" t="str">
        <f t="shared" si="52"/>
        <v/>
      </c>
      <c r="M275" s="48" t="str">
        <f t="shared" si="53"/>
        <v/>
      </c>
      <c r="N275" s="54" t="str">
        <f t="shared" si="54"/>
        <v/>
      </c>
      <c r="O275" s="55">
        <f t="shared" si="55"/>
        <v>0</v>
      </c>
      <c r="P275" s="55">
        <f t="shared" si="56"/>
        <v>0</v>
      </c>
      <c r="Q275" s="54">
        <f t="shared" si="57"/>
        <v>0</v>
      </c>
      <c r="R275" s="47"/>
      <c r="T275" s="57"/>
      <c r="U275" s="45"/>
      <c r="V275" s="46">
        <f>IF(U275&lt;&gt;"",VLOOKUP(U275,'Tipo Projeto'!$A$3:$B$35,2,0),0)</f>
        <v>0</v>
      </c>
      <c r="W275" s="203"/>
      <c r="X275" s="49"/>
      <c r="Y275" s="50"/>
      <c r="Z275" s="51"/>
      <c r="AA275" s="52"/>
      <c r="AB275" s="53" t="str">
        <f t="shared" si="58"/>
        <v/>
      </c>
      <c r="AC275" s="48" t="str">
        <f t="shared" si="59"/>
        <v/>
      </c>
      <c r="AD275" s="54" t="str">
        <f t="shared" si="60"/>
        <v/>
      </c>
      <c r="AE275" s="55">
        <f t="shared" si="61"/>
        <v>0</v>
      </c>
      <c r="AF275" s="55">
        <f t="shared" si="62"/>
        <v>0</v>
      </c>
      <c r="AG275" s="58">
        <f t="shared" si="63"/>
        <v>0</v>
      </c>
      <c r="AH275" s="47"/>
      <c r="AJ275" s="47"/>
      <c r="AL275" s="47"/>
      <c r="AM275" s="47" t="str">
        <f t="shared" si="64"/>
        <v/>
      </c>
    </row>
    <row r="276" spans="1:39" s="56" customFormat="1" ht="14.25">
      <c r="A276" s="44"/>
      <c r="B276" s="45"/>
      <c r="C276" s="46">
        <f>IF(B276&lt;&gt;"",VLOOKUP(B276,'Tipo Projeto'!$A$3:$B$35,2,0),0)</f>
        <v>0</v>
      </c>
      <c r="D276" s="47"/>
      <c r="E276" s="47"/>
      <c r="F276" s="48"/>
      <c r="G276" s="47"/>
      <c r="H276" s="49"/>
      <c r="I276" s="50"/>
      <c r="J276" s="51"/>
      <c r="K276" s="52"/>
      <c r="L276" s="53" t="str">
        <f t="shared" si="52"/>
        <v/>
      </c>
      <c r="M276" s="48" t="str">
        <f t="shared" si="53"/>
        <v/>
      </c>
      <c r="N276" s="54" t="str">
        <f t="shared" si="54"/>
        <v/>
      </c>
      <c r="O276" s="55">
        <f t="shared" si="55"/>
        <v>0</v>
      </c>
      <c r="P276" s="55">
        <f t="shared" si="56"/>
        <v>0</v>
      </c>
      <c r="Q276" s="54">
        <f t="shared" si="57"/>
        <v>0</v>
      </c>
      <c r="R276" s="47"/>
      <c r="T276" s="57"/>
      <c r="U276" s="45"/>
      <c r="V276" s="46">
        <f>IF(U276&lt;&gt;"",VLOOKUP(U276,'Tipo Projeto'!$A$3:$B$35,2,0),0)</f>
        <v>0</v>
      </c>
      <c r="W276" s="203"/>
      <c r="X276" s="49"/>
      <c r="Y276" s="50"/>
      <c r="Z276" s="51"/>
      <c r="AA276" s="52"/>
      <c r="AB276" s="53" t="str">
        <f t="shared" si="58"/>
        <v/>
      </c>
      <c r="AC276" s="48" t="str">
        <f t="shared" si="59"/>
        <v/>
      </c>
      <c r="AD276" s="54" t="str">
        <f t="shared" si="60"/>
        <v/>
      </c>
      <c r="AE276" s="55">
        <f t="shared" si="61"/>
        <v>0</v>
      </c>
      <c r="AF276" s="55">
        <f t="shared" si="62"/>
        <v>0</v>
      </c>
      <c r="AG276" s="58">
        <f t="shared" si="63"/>
        <v>0</v>
      </c>
      <c r="AH276" s="47"/>
      <c r="AJ276" s="47"/>
      <c r="AL276" s="47"/>
      <c r="AM276" s="47" t="str">
        <f t="shared" si="64"/>
        <v/>
      </c>
    </row>
    <row r="277" spans="1:39" s="56" customFormat="1" ht="14.25">
      <c r="A277" s="44"/>
      <c r="B277" s="45"/>
      <c r="C277" s="46">
        <f>IF(B277&lt;&gt;"",VLOOKUP(B277,'Tipo Projeto'!$A$3:$B$35,2,0),0)</f>
        <v>0</v>
      </c>
      <c r="D277" s="47"/>
      <c r="E277" s="47"/>
      <c r="F277" s="48"/>
      <c r="G277" s="47"/>
      <c r="H277" s="49"/>
      <c r="I277" s="50"/>
      <c r="J277" s="51"/>
      <c r="K277" s="52"/>
      <c r="L277" s="53" t="str">
        <f t="shared" si="52"/>
        <v/>
      </c>
      <c r="M277" s="48" t="str">
        <f t="shared" si="53"/>
        <v/>
      </c>
      <c r="N277" s="54" t="str">
        <f t="shared" si="54"/>
        <v/>
      </c>
      <c r="O277" s="55">
        <f t="shared" si="55"/>
        <v>0</v>
      </c>
      <c r="P277" s="55">
        <f t="shared" si="56"/>
        <v>0</v>
      </c>
      <c r="Q277" s="54">
        <f t="shared" si="57"/>
        <v>0</v>
      </c>
      <c r="R277" s="47"/>
      <c r="T277" s="57"/>
      <c r="U277" s="45"/>
      <c r="V277" s="46">
        <f>IF(U277&lt;&gt;"",VLOOKUP(U277,'Tipo Projeto'!$A$3:$B$35,2,0),0)</f>
        <v>0</v>
      </c>
      <c r="W277" s="203"/>
      <c r="X277" s="49"/>
      <c r="Y277" s="50"/>
      <c r="Z277" s="51"/>
      <c r="AA277" s="52"/>
      <c r="AB277" s="53" t="str">
        <f t="shared" si="58"/>
        <v/>
      </c>
      <c r="AC277" s="48" t="str">
        <f t="shared" si="59"/>
        <v/>
      </c>
      <c r="AD277" s="54" t="str">
        <f t="shared" si="60"/>
        <v/>
      </c>
      <c r="AE277" s="55">
        <f t="shared" si="61"/>
        <v>0</v>
      </c>
      <c r="AF277" s="55">
        <f t="shared" si="62"/>
        <v>0</v>
      </c>
      <c r="AG277" s="58">
        <f t="shared" si="63"/>
        <v>0</v>
      </c>
      <c r="AH277" s="47"/>
      <c r="AJ277" s="47"/>
      <c r="AL277" s="47"/>
      <c r="AM277" s="47" t="str">
        <f t="shared" si="64"/>
        <v/>
      </c>
    </row>
    <row r="278" spans="1:39" s="56" customFormat="1" ht="14.25">
      <c r="A278" s="44"/>
      <c r="B278" s="45"/>
      <c r="C278" s="46">
        <f>IF(B278&lt;&gt;"",VLOOKUP(B278,'Tipo Projeto'!$A$3:$B$35,2,0),0)</f>
        <v>0</v>
      </c>
      <c r="D278" s="47"/>
      <c r="E278" s="47"/>
      <c r="F278" s="48"/>
      <c r="G278" s="47"/>
      <c r="H278" s="49"/>
      <c r="I278" s="50"/>
      <c r="J278" s="51"/>
      <c r="K278" s="52"/>
      <c r="L278" s="53" t="str">
        <f t="shared" si="52"/>
        <v/>
      </c>
      <c r="M278" s="48" t="str">
        <f t="shared" si="53"/>
        <v/>
      </c>
      <c r="N278" s="54" t="str">
        <f t="shared" si="54"/>
        <v/>
      </c>
      <c r="O278" s="55">
        <f t="shared" si="55"/>
        <v>0</v>
      </c>
      <c r="P278" s="55">
        <f t="shared" si="56"/>
        <v>0</v>
      </c>
      <c r="Q278" s="54">
        <f t="shared" si="57"/>
        <v>0</v>
      </c>
      <c r="R278" s="47"/>
      <c r="T278" s="57"/>
      <c r="U278" s="45"/>
      <c r="V278" s="46">
        <f>IF(U278&lt;&gt;"",VLOOKUP(U278,'Tipo Projeto'!$A$3:$B$35,2,0),0)</f>
        <v>0</v>
      </c>
      <c r="W278" s="203"/>
      <c r="X278" s="49"/>
      <c r="Y278" s="50"/>
      <c r="Z278" s="51"/>
      <c r="AA278" s="52"/>
      <c r="AB278" s="53" t="str">
        <f t="shared" si="58"/>
        <v/>
      </c>
      <c r="AC278" s="48" t="str">
        <f t="shared" si="59"/>
        <v/>
      </c>
      <c r="AD278" s="54" t="str">
        <f t="shared" si="60"/>
        <v/>
      </c>
      <c r="AE278" s="55">
        <f t="shared" si="61"/>
        <v>0</v>
      </c>
      <c r="AF278" s="55">
        <f t="shared" si="62"/>
        <v>0</v>
      </c>
      <c r="AG278" s="58">
        <f t="shared" si="63"/>
        <v>0</v>
      </c>
      <c r="AH278" s="47"/>
      <c r="AJ278" s="47"/>
      <c r="AL278" s="47"/>
      <c r="AM278" s="47" t="str">
        <f t="shared" si="64"/>
        <v/>
      </c>
    </row>
    <row r="279" spans="1:39" s="56" customFormat="1" ht="14.25">
      <c r="A279" s="44"/>
      <c r="B279" s="45"/>
      <c r="C279" s="46">
        <f>IF(B279&lt;&gt;"",VLOOKUP(B279,'Tipo Projeto'!$A$3:$B$35,2,0),0)</f>
        <v>0</v>
      </c>
      <c r="D279" s="47"/>
      <c r="E279" s="47"/>
      <c r="F279" s="48"/>
      <c r="G279" s="47"/>
      <c r="H279" s="49"/>
      <c r="I279" s="50"/>
      <c r="J279" s="51"/>
      <c r="K279" s="52"/>
      <c r="L279" s="53" t="str">
        <f t="shared" si="52"/>
        <v/>
      </c>
      <c r="M279" s="48" t="str">
        <f t="shared" si="53"/>
        <v/>
      </c>
      <c r="N279" s="54" t="str">
        <f t="shared" si="54"/>
        <v/>
      </c>
      <c r="O279" s="55">
        <f t="shared" si="55"/>
        <v>0</v>
      </c>
      <c r="P279" s="55">
        <f t="shared" si="56"/>
        <v>0</v>
      </c>
      <c r="Q279" s="54">
        <f t="shared" si="57"/>
        <v>0</v>
      </c>
      <c r="R279" s="47"/>
      <c r="T279" s="57"/>
      <c r="U279" s="45"/>
      <c r="V279" s="46">
        <f>IF(U279&lt;&gt;"",VLOOKUP(U279,'Tipo Projeto'!$A$3:$B$35,2,0),0)</f>
        <v>0</v>
      </c>
      <c r="W279" s="203"/>
      <c r="X279" s="49"/>
      <c r="Y279" s="50"/>
      <c r="Z279" s="51"/>
      <c r="AA279" s="52"/>
      <c r="AB279" s="53" t="str">
        <f t="shared" si="58"/>
        <v/>
      </c>
      <c r="AC279" s="48" t="str">
        <f t="shared" si="59"/>
        <v/>
      </c>
      <c r="AD279" s="54" t="str">
        <f t="shared" si="60"/>
        <v/>
      </c>
      <c r="AE279" s="55">
        <f t="shared" si="61"/>
        <v>0</v>
      </c>
      <c r="AF279" s="55">
        <f t="shared" si="62"/>
        <v>0</v>
      </c>
      <c r="AG279" s="58">
        <f t="shared" si="63"/>
        <v>0</v>
      </c>
      <c r="AH279" s="47"/>
      <c r="AJ279" s="47"/>
      <c r="AL279" s="47"/>
      <c r="AM279" s="47" t="str">
        <f t="shared" si="64"/>
        <v/>
      </c>
    </row>
    <row r="280" spans="1:39" s="56" customFormat="1" ht="14.25">
      <c r="A280" s="44"/>
      <c r="B280" s="45"/>
      <c r="C280" s="46">
        <f>IF(B280&lt;&gt;"",VLOOKUP(B280,'Tipo Projeto'!$A$3:$B$35,2,0),0)</f>
        <v>0</v>
      </c>
      <c r="D280" s="47"/>
      <c r="E280" s="47"/>
      <c r="F280" s="48"/>
      <c r="G280" s="47"/>
      <c r="H280" s="49"/>
      <c r="I280" s="50"/>
      <c r="J280" s="51"/>
      <c r="K280" s="52"/>
      <c r="L280" s="53" t="str">
        <f t="shared" si="52"/>
        <v/>
      </c>
      <c r="M280" s="48" t="str">
        <f t="shared" si="53"/>
        <v/>
      </c>
      <c r="N280" s="54" t="str">
        <f t="shared" si="54"/>
        <v/>
      </c>
      <c r="O280" s="55">
        <f t="shared" si="55"/>
        <v>0</v>
      </c>
      <c r="P280" s="55">
        <f t="shared" si="56"/>
        <v>0</v>
      </c>
      <c r="Q280" s="54">
        <f t="shared" si="57"/>
        <v>0</v>
      </c>
      <c r="R280" s="47"/>
      <c r="T280" s="57"/>
      <c r="U280" s="45"/>
      <c r="V280" s="46">
        <f>IF(U280&lt;&gt;"",VLOOKUP(U280,'Tipo Projeto'!$A$3:$B$35,2,0),0)</f>
        <v>0</v>
      </c>
      <c r="W280" s="203"/>
      <c r="X280" s="49"/>
      <c r="Y280" s="50"/>
      <c r="Z280" s="51"/>
      <c r="AA280" s="52"/>
      <c r="AB280" s="53" t="str">
        <f t="shared" si="58"/>
        <v/>
      </c>
      <c r="AC280" s="48" t="str">
        <f t="shared" si="59"/>
        <v/>
      </c>
      <c r="AD280" s="54" t="str">
        <f t="shared" si="60"/>
        <v/>
      </c>
      <c r="AE280" s="55">
        <f t="shared" si="61"/>
        <v>0</v>
      </c>
      <c r="AF280" s="55">
        <f t="shared" si="62"/>
        <v>0</v>
      </c>
      <c r="AG280" s="58">
        <f t="shared" si="63"/>
        <v>0</v>
      </c>
      <c r="AH280" s="47"/>
      <c r="AJ280" s="47"/>
      <c r="AL280" s="47"/>
      <c r="AM280" s="47" t="str">
        <f t="shared" si="64"/>
        <v/>
      </c>
    </row>
    <row r="281" spans="1:39" s="56" customFormat="1" ht="14.25">
      <c r="A281" s="44"/>
      <c r="B281" s="45"/>
      <c r="C281" s="46">
        <f>IF(B281&lt;&gt;"",VLOOKUP(B281,'Tipo Projeto'!$A$3:$B$35,2,0),0)</f>
        <v>0</v>
      </c>
      <c r="D281" s="47"/>
      <c r="E281" s="47"/>
      <c r="F281" s="48"/>
      <c r="G281" s="47"/>
      <c r="H281" s="49"/>
      <c r="I281" s="50"/>
      <c r="J281" s="51"/>
      <c r="K281" s="52"/>
      <c r="L281" s="53" t="str">
        <f t="shared" si="52"/>
        <v/>
      </c>
      <c r="M281" s="48" t="str">
        <f t="shared" si="53"/>
        <v/>
      </c>
      <c r="N281" s="54" t="str">
        <f t="shared" si="54"/>
        <v/>
      </c>
      <c r="O281" s="55">
        <f t="shared" si="55"/>
        <v>0</v>
      </c>
      <c r="P281" s="55">
        <f t="shared" si="56"/>
        <v>0</v>
      </c>
      <c r="Q281" s="54">
        <f t="shared" si="57"/>
        <v>0</v>
      </c>
      <c r="R281" s="47"/>
      <c r="T281" s="57"/>
      <c r="U281" s="45"/>
      <c r="V281" s="46">
        <f>IF(U281&lt;&gt;"",VLOOKUP(U281,'Tipo Projeto'!$A$3:$B$35,2,0),0)</f>
        <v>0</v>
      </c>
      <c r="W281" s="203"/>
      <c r="X281" s="49"/>
      <c r="Y281" s="50"/>
      <c r="Z281" s="51"/>
      <c r="AA281" s="52"/>
      <c r="AB281" s="53" t="str">
        <f t="shared" si="58"/>
        <v/>
      </c>
      <c r="AC281" s="48" t="str">
        <f t="shared" si="59"/>
        <v/>
      </c>
      <c r="AD281" s="54" t="str">
        <f t="shared" si="60"/>
        <v/>
      </c>
      <c r="AE281" s="55">
        <f t="shared" si="61"/>
        <v>0</v>
      </c>
      <c r="AF281" s="55">
        <f t="shared" si="62"/>
        <v>0</v>
      </c>
      <c r="AG281" s="58">
        <f t="shared" si="63"/>
        <v>0</v>
      </c>
      <c r="AH281" s="47"/>
      <c r="AJ281" s="47"/>
      <c r="AL281" s="47"/>
      <c r="AM281" s="47" t="str">
        <f t="shared" si="64"/>
        <v/>
      </c>
    </row>
    <row r="282" spans="1:39" s="56" customFormat="1" ht="14.25">
      <c r="A282" s="44"/>
      <c r="B282" s="45"/>
      <c r="C282" s="46">
        <f>IF(B282&lt;&gt;"",VLOOKUP(B282,'Tipo Projeto'!$A$3:$B$35,2,0),0)</f>
        <v>0</v>
      </c>
      <c r="D282" s="47"/>
      <c r="E282" s="47"/>
      <c r="F282" s="48"/>
      <c r="G282" s="47"/>
      <c r="H282" s="49"/>
      <c r="I282" s="50"/>
      <c r="J282" s="51"/>
      <c r="K282" s="52"/>
      <c r="L282" s="53" t="str">
        <f t="shared" si="52"/>
        <v/>
      </c>
      <c r="M282" s="48" t="str">
        <f t="shared" si="53"/>
        <v/>
      </c>
      <c r="N282" s="54" t="str">
        <f t="shared" si="54"/>
        <v/>
      </c>
      <c r="O282" s="55">
        <f t="shared" si="55"/>
        <v>0</v>
      </c>
      <c r="P282" s="55">
        <f t="shared" si="56"/>
        <v>0</v>
      </c>
      <c r="Q282" s="54">
        <f t="shared" si="57"/>
        <v>0</v>
      </c>
      <c r="R282" s="47"/>
      <c r="T282" s="57"/>
      <c r="U282" s="45"/>
      <c r="V282" s="46">
        <f>IF(U282&lt;&gt;"",VLOOKUP(U282,'Tipo Projeto'!$A$3:$B$35,2,0),0)</f>
        <v>0</v>
      </c>
      <c r="W282" s="203"/>
      <c r="X282" s="49"/>
      <c r="Y282" s="50"/>
      <c r="Z282" s="51"/>
      <c r="AA282" s="52"/>
      <c r="AB282" s="53" t="str">
        <f t="shared" si="58"/>
        <v/>
      </c>
      <c r="AC282" s="48" t="str">
        <f t="shared" si="59"/>
        <v/>
      </c>
      <c r="AD282" s="54" t="str">
        <f t="shared" si="60"/>
        <v/>
      </c>
      <c r="AE282" s="55">
        <f t="shared" si="61"/>
        <v>0</v>
      </c>
      <c r="AF282" s="55">
        <f t="shared" si="62"/>
        <v>0</v>
      </c>
      <c r="AG282" s="58">
        <f t="shared" si="63"/>
        <v>0</v>
      </c>
      <c r="AH282" s="47"/>
      <c r="AJ282" s="47"/>
      <c r="AL282" s="47"/>
      <c r="AM282" s="47" t="str">
        <f t="shared" si="64"/>
        <v/>
      </c>
    </row>
    <row r="283" spans="1:39" s="56" customFormat="1" ht="14.25">
      <c r="A283" s="44"/>
      <c r="B283" s="45"/>
      <c r="C283" s="46">
        <f>IF(B283&lt;&gt;"",VLOOKUP(B283,'Tipo Projeto'!$A$3:$B$35,2,0),0)</f>
        <v>0</v>
      </c>
      <c r="D283" s="47"/>
      <c r="E283" s="47"/>
      <c r="F283" s="48"/>
      <c r="G283" s="47"/>
      <c r="H283" s="49"/>
      <c r="I283" s="50"/>
      <c r="J283" s="51"/>
      <c r="K283" s="52"/>
      <c r="L283" s="53" t="str">
        <f t="shared" si="52"/>
        <v/>
      </c>
      <c r="M283" s="48" t="str">
        <f t="shared" si="53"/>
        <v/>
      </c>
      <c r="N283" s="54" t="str">
        <f t="shared" si="54"/>
        <v/>
      </c>
      <c r="O283" s="55">
        <f t="shared" si="55"/>
        <v>0</v>
      </c>
      <c r="P283" s="55">
        <f t="shared" si="56"/>
        <v>0</v>
      </c>
      <c r="Q283" s="54">
        <f t="shared" si="57"/>
        <v>0</v>
      </c>
      <c r="R283" s="47"/>
      <c r="T283" s="57"/>
      <c r="U283" s="45"/>
      <c r="V283" s="46">
        <f>IF(U283&lt;&gt;"",VLOOKUP(U283,'Tipo Projeto'!$A$3:$B$35,2,0),0)</f>
        <v>0</v>
      </c>
      <c r="W283" s="203"/>
      <c r="X283" s="49"/>
      <c r="Y283" s="50"/>
      <c r="Z283" s="51"/>
      <c r="AA283" s="52"/>
      <c r="AB283" s="53" t="str">
        <f t="shared" si="58"/>
        <v/>
      </c>
      <c r="AC283" s="48" t="str">
        <f t="shared" si="59"/>
        <v/>
      </c>
      <c r="AD283" s="54" t="str">
        <f t="shared" si="60"/>
        <v/>
      </c>
      <c r="AE283" s="55">
        <f t="shared" si="61"/>
        <v>0</v>
      </c>
      <c r="AF283" s="55">
        <f t="shared" si="62"/>
        <v>0</v>
      </c>
      <c r="AG283" s="58">
        <f t="shared" si="63"/>
        <v>0</v>
      </c>
      <c r="AH283" s="47"/>
      <c r="AJ283" s="47"/>
      <c r="AL283" s="47"/>
      <c r="AM283" s="47" t="str">
        <f t="shared" si="64"/>
        <v/>
      </c>
    </row>
    <row r="284" spans="1:39" s="56" customFormat="1" ht="14.25">
      <c r="A284" s="44"/>
      <c r="B284" s="45"/>
      <c r="C284" s="46">
        <f>IF(B284&lt;&gt;"",VLOOKUP(B284,'Tipo Projeto'!$A$3:$B$35,2,0),0)</f>
        <v>0</v>
      </c>
      <c r="D284" s="47"/>
      <c r="E284" s="47"/>
      <c r="F284" s="48"/>
      <c r="G284" s="47"/>
      <c r="H284" s="49"/>
      <c r="I284" s="50"/>
      <c r="J284" s="51"/>
      <c r="K284" s="52"/>
      <c r="L284" s="53" t="str">
        <f t="shared" si="52"/>
        <v/>
      </c>
      <c r="M284" s="48" t="str">
        <f t="shared" si="53"/>
        <v/>
      </c>
      <c r="N284" s="54" t="str">
        <f t="shared" si="54"/>
        <v/>
      </c>
      <c r="O284" s="55">
        <f t="shared" si="55"/>
        <v>0</v>
      </c>
      <c r="P284" s="55">
        <f t="shared" si="56"/>
        <v>0</v>
      </c>
      <c r="Q284" s="54">
        <f t="shared" si="57"/>
        <v>0</v>
      </c>
      <c r="R284" s="47"/>
      <c r="T284" s="57"/>
      <c r="U284" s="45"/>
      <c r="V284" s="46">
        <f>IF(U284&lt;&gt;"",VLOOKUP(U284,'Tipo Projeto'!$A$3:$B$35,2,0),0)</f>
        <v>0</v>
      </c>
      <c r="W284" s="203"/>
      <c r="X284" s="49"/>
      <c r="Y284" s="50"/>
      <c r="Z284" s="51"/>
      <c r="AA284" s="52"/>
      <c r="AB284" s="53" t="str">
        <f t="shared" si="58"/>
        <v/>
      </c>
      <c r="AC284" s="48" t="str">
        <f t="shared" si="59"/>
        <v/>
      </c>
      <c r="AD284" s="54" t="str">
        <f t="shared" si="60"/>
        <v/>
      </c>
      <c r="AE284" s="55">
        <f t="shared" si="61"/>
        <v>0</v>
      </c>
      <c r="AF284" s="55">
        <f t="shared" si="62"/>
        <v>0</v>
      </c>
      <c r="AG284" s="58">
        <f t="shared" si="63"/>
        <v>0</v>
      </c>
      <c r="AH284" s="47"/>
      <c r="AJ284" s="47"/>
      <c r="AL284" s="47"/>
      <c r="AM284" s="47" t="str">
        <f t="shared" si="64"/>
        <v/>
      </c>
    </row>
    <row r="285" spans="1:39" s="56" customFormat="1" ht="14.25">
      <c r="A285" s="44"/>
      <c r="B285" s="45"/>
      <c r="C285" s="46">
        <f>IF(B285&lt;&gt;"",VLOOKUP(B285,'Tipo Projeto'!$A$3:$B$35,2,0),0)</f>
        <v>0</v>
      </c>
      <c r="D285" s="47"/>
      <c r="E285" s="47"/>
      <c r="F285" s="48"/>
      <c r="G285" s="47"/>
      <c r="H285" s="49"/>
      <c r="I285" s="50"/>
      <c r="J285" s="51"/>
      <c r="K285" s="52"/>
      <c r="L285" s="53" t="str">
        <f t="shared" si="52"/>
        <v/>
      </c>
      <c r="M285" s="48" t="str">
        <f t="shared" si="53"/>
        <v/>
      </c>
      <c r="N285" s="54" t="str">
        <f t="shared" si="54"/>
        <v/>
      </c>
      <c r="O285" s="55">
        <f t="shared" si="55"/>
        <v>0</v>
      </c>
      <c r="P285" s="55">
        <f t="shared" si="56"/>
        <v>0</v>
      </c>
      <c r="Q285" s="54">
        <f t="shared" si="57"/>
        <v>0</v>
      </c>
      <c r="R285" s="47"/>
      <c r="T285" s="57"/>
      <c r="U285" s="45"/>
      <c r="V285" s="46">
        <f>IF(U285&lt;&gt;"",VLOOKUP(U285,'Tipo Projeto'!$A$3:$B$35,2,0),0)</f>
        <v>0</v>
      </c>
      <c r="W285" s="203"/>
      <c r="X285" s="49"/>
      <c r="Y285" s="50"/>
      <c r="Z285" s="51"/>
      <c r="AA285" s="52"/>
      <c r="AB285" s="53" t="str">
        <f t="shared" si="58"/>
        <v/>
      </c>
      <c r="AC285" s="48" t="str">
        <f t="shared" si="59"/>
        <v/>
      </c>
      <c r="AD285" s="54" t="str">
        <f t="shared" si="60"/>
        <v/>
      </c>
      <c r="AE285" s="55">
        <f t="shared" si="61"/>
        <v>0</v>
      </c>
      <c r="AF285" s="55">
        <f t="shared" si="62"/>
        <v>0</v>
      </c>
      <c r="AG285" s="58">
        <f t="shared" si="63"/>
        <v>0</v>
      </c>
      <c r="AH285" s="47"/>
      <c r="AJ285" s="47"/>
      <c r="AL285" s="47"/>
      <c r="AM285" s="47" t="str">
        <f t="shared" si="64"/>
        <v/>
      </c>
    </row>
    <row r="286" spans="1:39" s="56" customFormat="1" ht="14.25">
      <c r="A286" s="44"/>
      <c r="B286" s="45"/>
      <c r="C286" s="46">
        <f>IF(B286&lt;&gt;"",VLOOKUP(B286,'Tipo Projeto'!$A$3:$B$35,2,0),0)</f>
        <v>0</v>
      </c>
      <c r="D286" s="47"/>
      <c r="E286" s="47"/>
      <c r="F286" s="48"/>
      <c r="G286" s="47"/>
      <c r="H286" s="49"/>
      <c r="I286" s="50"/>
      <c r="J286" s="51"/>
      <c r="K286" s="52"/>
      <c r="L286" s="53" t="str">
        <f t="shared" si="52"/>
        <v/>
      </c>
      <c r="M286" s="48" t="str">
        <f t="shared" si="53"/>
        <v/>
      </c>
      <c r="N286" s="54" t="str">
        <f t="shared" si="54"/>
        <v/>
      </c>
      <c r="O286" s="55">
        <f t="shared" si="55"/>
        <v>0</v>
      </c>
      <c r="P286" s="55">
        <f t="shared" si="56"/>
        <v>0</v>
      </c>
      <c r="Q286" s="54">
        <f t="shared" si="57"/>
        <v>0</v>
      </c>
      <c r="R286" s="47"/>
      <c r="T286" s="57"/>
      <c r="U286" s="45"/>
      <c r="V286" s="46">
        <f>IF(U286&lt;&gt;"",VLOOKUP(U286,'Tipo Projeto'!$A$3:$B$35,2,0),0)</f>
        <v>0</v>
      </c>
      <c r="W286" s="203"/>
      <c r="X286" s="49"/>
      <c r="Y286" s="50"/>
      <c r="Z286" s="51"/>
      <c r="AA286" s="52"/>
      <c r="AB286" s="53" t="str">
        <f t="shared" si="58"/>
        <v/>
      </c>
      <c r="AC286" s="48" t="str">
        <f t="shared" si="59"/>
        <v/>
      </c>
      <c r="AD286" s="54" t="str">
        <f t="shared" si="60"/>
        <v/>
      </c>
      <c r="AE286" s="55">
        <f t="shared" si="61"/>
        <v>0</v>
      </c>
      <c r="AF286" s="55">
        <f t="shared" si="62"/>
        <v>0</v>
      </c>
      <c r="AG286" s="58">
        <f t="shared" si="63"/>
        <v>0</v>
      </c>
      <c r="AH286" s="47"/>
      <c r="AJ286" s="47"/>
      <c r="AL286" s="47"/>
      <c r="AM286" s="47" t="str">
        <f t="shared" si="64"/>
        <v/>
      </c>
    </row>
    <row r="287" spans="1:39" s="56" customFormat="1" ht="14.25">
      <c r="A287" s="44"/>
      <c r="B287" s="45"/>
      <c r="C287" s="46">
        <f>IF(B287&lt;&gt;"",VLOOKUP(B287,'Tipo Projeto'!$A$3:$B$35,2,0),0)</f>
        <v>0</v>
      </c>
      <c r="D287" s="47"/>
      <c r="E287" s="47"/>
      <c r="F287" s="48"/>
      <c r="G287" s="47"/>
      <c r="H287" s="49"/>
      <c r="I287" s="50"/>
      <c r="J287" s="51"/>
      <c r="K287" s="52"/>
      <c r="L287" s="53" t="str">
        <f t="shared" si="52"/>
        <v/>
      </c>
      <c r="M287" s="48" t="str">
        <f t="shared" si="53"/>
        <v/>
      </c>
      <c r="N287" s="54" t="str">
        <f t="shared" si="54"/>
        <v/>
      </c>
      <c r="O287" s="55">
        <f t="shared" si="55"/>
        <v>0</v>
      </c>
      <c r="P287" s="55">
        <f t="shared" si="56"/>
        <v>0</v>
      </c>
      <c r="Q287" s="54">
        <f t="shared" si="57"/>
        <v>0</v>
      </c>
      <c r="R287" s="47"/>
      <c r="T287" s="57"/>
      <c r="U287" s="45"/>
      <c r="V287" s="46">
        <f>IF(U287&lt;&gt;"",VLOOKUP(U287,'Tipo Projeto'!$A$3:$B$35,2,0),0)</f>
        <v>0</v>
      </c>
      <c r="W287" s="203"/>
      <c r="X287" s="49"/>
      <c r="Y287" s="50"/>
      <c r="Z287" s="51"/>
      <c r="AA287" s="52"/>
      <c r="AB287" s="53" t="str">
        <f t="shared" si="58"/>
        <v/>
      </c>
      <c r="AC287" s="48" t="str">
        <f t="shared" si="59"/>
        <v/>
      </c>
      <c r="AD287" s="54" t="str">
        <f t="shared" si="60"/>
        <v/>
      </c>
      <c r="AE287" s="55">
        <f t="shared" si="61"/>
        <v>0</v>
      </c>
      <c r="AF287" s="55">
        <f t="shared" si="62"/>
        <v>0</v>
      </c>
      <c r="AG287" s="58">
        <f t="shared" si="63"/>
        <v>0</v>
      </c>
      <c r="AH287" s="47"/>
      <c r="AJ287" s="47"/>
      <c r="AL287" s="47"/>
      <c r="AM287" s="47" t="str">
        <f t="shared" si="64"/>
        <v/>
      </c>
    </row>
    <row r="288" spans="1:39" s="56" customFormat="1" ht="14.25">
      <c r="A288" s="44"/>
      <c r="B288" s="45"/>
      <c r="C288" s="46">
        <f>IF(B288&lt;&gt;"",VLOOKUP(B288,'Tipo Projeto'!$A$3:$B$35,2,0),0)</f>
        <v>0</v>
      </c>
      <c r="D288" s="47"/>
      <c r="E288" s="47"/>
      <c r="F288" s="48"/>
      <c r="G288" s="47"/>
      <c r="H288" s="49"/>
      <c r="I288" s="50"/>
      <c r="J288" s="51"/>
      <c r="K288" s="52"/>
      <c r="L288" s="53" t="str">
        <f t="shared" si="52"/>
        <v/>
      </c>
      <c r="M288" s="48" t="str">
        <f t="shared" si="53"/>
        <v/>
      </c>
      <c r="N288" s="54" t="str">
        <f t="shared" si="54"/>
        <v/>
      </c>
      <c r="O288" s="55">
        <f t="shared" si="55"/>
        <v>0</v>
      </c>
      <c r="P288" s="55">
        <f t="shared" si="56"/>
        <v>0</v>
      </c>
      <c r="Q288" s="54">
        <f t="shared" si="57"/>
        <v>0</v>
      </c>
      <c r="R288" s="47"/>
      <c r="T288" s="57"/>
      <c r="U288" s="45"/>
      <c r="V288" s="46">
        <f>IF(U288&lt;&gt;"",VLOOKUP(U288,'Tipo Projeto'!$A$3:$B$35,2,0),0)</f>
        <v>0</v>
      </c>
      <c r="W288" s="203"/>
      <c r="X288" s="49"/>
      <c r="Y288" s="50"/>
      <c r="Z288" s="51"/>
      <c r="AA288" s="52"/>
      <c r="AB288" s="53" t="str">
        <f t="shared" si="58"/>
        <v/>
      </c>
      <c r="AC288" s="48" t="str">
        <f t="shared" si="59"/>
        <v/>
      </c>
      <c r="AD288" s="54" t="str">
        <f t="shared" si="60"/>
        <v/>
      </c>
      <c r="AE288" s="55">
        <f t="shared" si="61"/>
        <v>0</v>
      </c>
      <c r="AF288" s="55">
        <f t="shared" si="62"/>
        <v>0</v>
      </c>
      <c r="AG288" s="58">
        <f t="shared" si="63"/>
        <v>0</v>
      </c>
      <c r="AH288" s="47"/>
      <c r="AJ288" s="47"/>
      <c r="AL288" s="47"/>
      <c r="AM288" s="47" t="str">
        <f t="shared" si="64"/>
        <v/>
      </c>
    </row>
    <row r="289" spans="1:39" s="56" customFormat="1" ht="14.25">
      <c r="A289" s="44"/>
      <c r="B289" s="45"/>
      <c r="C289" s="46">
        <f>IF(B289&lt;&gt;"",VLOOKUP(B289,'Tipo Projeto'!$A$3:$B$35,2,0),0)</f>
        <v>0</v>
      </c>
      <c r="D289" s="47"/>
      <c r="E289" s="47"/>
      <c r="F289" s="48"/>
      <c r="G289" s="47"/>
      <c r="H289" s="49"/>
      <c r="I289" s="50"/>
      <c r="J289" s="51"/>
      <c r="K289" s="52"/>
      <c r="L289" s="53" t="str">
        <f t="shared" si="52"/>
        <v/>
      </c>
      <c r="M289" s="48" t="str">
        <f t="shared" si="53"/>
        <v/>
      </c>
      <c r="N289" s="54" t="str">
        <f t="shared" si="54"/>
        <v/>
      </c>
      <c r="O289" s="55">
        <f t="shared" si="55"/>
        <v>0</v>
      </c>
      <c r="P289" s="55">
        <f t="shared" si="56"/>
        <v>0</v>
      </c>
      <c r="Q289" s="54">
        <f t="shared" si="57"/>
        <v>0</v>
      </c>
      <c r="R289" s="47"/>
      <c r="T289" s="57"/>
      <c r="U289" s="45"/>
      <c r="V289" s="46">
        <f>IF(U289&lt;&gt;"",VLOOKUP(U289,'Tipo Projeto'!$A$3:$B$35,2,0),0)</f>
        <v>0</v>
      </c>
      <c r="W289" s="203"/>
      <c r="X289" s="49"/>
      <c r="Y289" s="50"/>
      <c r="Z289" s="51"/>
      <c r="AA289" s="52"/>
      <c r="AB289" s="53" t="str">
        <f t="shared" si="58"/>
        <v/>
      </c>
      <c r="AC289" s="48" t="str">
        <f t="shared" si="59"/>
        <v/>
      </c>
      <c r="AD289" s="54" t="str">
        <f t="shared" si="60"/>
        <v/>
      </c>
      <c r="AE289" s="55">
        <f t="shared" si="61"/>
        <v>0</v>
      </c>
      <c r="AF289" s="55">
        <f t="shared" si="62"/>
        <v>0</v>
      </c>
      <c r="AG289" s="58">
        <f t="shared" si="63"/>
        <v>0</v>
      </c>
      <c r="AH289" s="47"/>
      <c r="AJ289" s="47"/>
      <c r="AL289" s="47"/>
      <c r="AM289" s="47" t="str">
        <f t="shared" si="64"/>
        <v/>
      </c>
    </row>
    <row r="290" spans="1:39" s="56" customFormat="1" ht="14.25">
      <c r="A290" s="44"/>
      <c r="B290" s="45"/>
      <c r="C290" s="46">
        <f>IF(B290&lt;&gt;"",VLOOKUP(B290,'Tipo Projeto'!$A$3:$B$35,2,0),0)</f>
        <v>0</v>
      </c>
      <c r="D290" s="47"/>
      <c r="E290" s="47"/>
      <c r="F290" s="48"/>
      <c r="G290" s="47"/>
      <c r="H290" s="49"/>
      <c r="I290" s="50"/>
      <c r="J290" s="51"/>
      <c r="K290" s="52"/>
      <c r="L290" s="53" t="str">
        <f t="shared" si="52"/>
        <v/>
      </c>
      <c r="M290" s="48" t="str">
        <f t="shared" si="53"/>
        <v/>
      </c>
      <c r="N290" s="54" t="str">
        <f t="shared" si="54"/>
        <v/>
      </c>
      <c r="O290" s="55">
        <f t="shared" si="55"/>
        <v>0</v>
      </c>
      <c r="P290" s="55">
        <f t="shared" si="56"/>
        <v>0</v>
      </c>
      <c r="Q290" s="54">
        <f t="shared" si="57"/>
        <v>0</v>
      </c>
      <c r="R290" s="47"/>
      <c r="T290" s="57"/>
      <c r="U290" s="45"/>
      <c r="V290" s="46">
        <f>IF(U290&lt;&gt;"",VLOOKUP(U290,'Tipo Projeto'!$A$3:$B$35,2,0),0)</f>
        <v>0</v>
      </c>
      <c r="W290" s="47"/>
      <c r="X290" s="49"/>
      <c r="Y290" s="50"/>
      <c r="Z290" s="51"/>
      <c r="AA290" s="52"/>
      <c r="AB290" s="53" t="str">
        <f t="shared" si="58"/>
        <v/>
      </c>
      <c r="AC290" s="48" t="str">
        <f t="shared" si="59"/>
        <v/>
      </c>
      <c r="AD290" s="54" t="str">
        <f t="shared" si="60"/>
        <v/>
      </c>
      <c r="AE290" s="55">
        <f t="shared" si="61"/>
        <v>0</v>
      </c>
      <c r="AF290" s="55">
        <f t="shared" si="62"/>
        <v>0</v>
      </c>
      <c r="AG290" s="58">
        <f t="shared" si="63"/>
        <v>0</v>
      </c>
      <c r="AH290" s="47"/>
      <c r="AJ290" s="47"/>
      <c r="AL290" s="47"/>
      <c r="AM290" s="47" t="str">
        <f t="shared" si="64"/>
        <v/>
      </c>
    </row>
    <row r="291" spans="1:39" s="56" customFormat="1" ht="14.25">
      <c r="A291" s="44"/>
      <c r="B291" s="45"/>
      <c r="C291" s="46">
        <f>IF(B291&lt;&gt;"",VLOOKUP(B291,'Tipo Projeto'!$A$3:$B$35,2,0),0)</f>
        <v>0</v>
      </c>
      <c r="D291" s="47"/>
      <c r="E291" s="47"/>
      <c r="F291" s="48"/>
      <c r="G291" s="47"/>
      <c r="H291" s="49"/>
      <c r="I291" s="50"/>
      <c r="J291" s="51"/>
      <c r="K291" s="52"/>
      <c r="L291" s="53" t="str">
        <f t="shared" si="52"/>
        <v/>
      </c>
      <c r="M291" s="48" t="str">
        <f t="shared" si="53"/>
        <v/>
      </c>
      <c r="N291" s="54" t="str">
        <f t="shared" si="54"/>
        <v/>
      </c>
      <c r="O291" s="55">
        <f t="shared" si="55"/>
        <v>0</v>
      </c>
      <c r="P291" s="55">
        <f t="shared" si="56"/>
        <v>0</v>
      </c>
      <c r="Q291" s="54">
        <f t="shared" si="57"/>
        <v>0</v>
      </c>
      <c r="R291" s="47"/>
      <c r="T291" s="57"/>
      <c r="U291" s="45"/>
      <c r="V291" s="46">
        <f>IF(U291&lt;&gt;"",VLOOKUP(U291,'Tipo Projeto'!$A$3:$B$35,2,0),0)</f>
        <v>0</v>
      </c>
      <c r="W291" s="47"/>
      <c r="X291" s="49"/>
      <c r="Y291" s="50"/>
      <c r="Z291" s="51"/>
      <c r="AA291" s="52"/>
      <c r="AB291" s="53" t="str">
        <f t="shared" si="58"/>
        <v/>
      </c>
      <c r="AC291" s="48" t="str">
        <f t="shared" si="59"/>
        <v/>
      </c>
      <c r="AD291" s="54" t="str">
        <f t="shared" si="60"/>
        <v/>
      </c>
      <c r="AE291" s="55">
        <f t="shared" si="61"/>
        <v>0</v>
      </c>
      <c r="AF291" s="55">
        <f t="shared" si="62"/>
        <v>0</v>
      </c>
      <c r="AG291" s="58">
        <f t="shared" si="63"/>
        <v>0</v>
      </c>
      <c r="AH291" s="47"/>
      <c r="AJ291" s="47"/>
      <c r="AL291" s="47"/>
      <c r="AM291" s="47" t="str">
        <f t="shared" si="64"/>
        <v/>
      </c>
    </row>
    <row r="292" spans="1:39" s="56" customFormat="1" ht="14.25">
      <c r="A292" s="44"/>
      <c r="B292" s="45"/>
      <c r="C292" s="46">
        <f>IF(B292&lt;&gt;"",VLOOKUP(B292,'Tipo Projeto'!$A$3:$B$35,2,0),0)</f>
        <v>0</v>
      </c>
      <c r="D292" s="47"/>
      <c r="E292" s="47"/>
      <c r="F292" s="48"/>
      <c r="G292" s="47"/>
      <c r="H292" s="49"/>
      <c r="I292" s="50"/>
      <c r="J292" s="51"/>
      <c r="K292" s="52"/>
      <c r="L292" s="53" t="str">
        <f t="shared" si="52"/>
        <v/>
      </c>
      <c r="M292" s="48" t="str">
        <f t="shared" si="53"/>
        <v/>
      </c>
      <c r="N292" s="54" t="str">
        <f t="shared" si="54"/>
        <v/>
      </c>
      <c r="O292" s="55">
        <f t="shared" si="55"/>
        <v>0</v>
      </c>
      <c r="P292" s="55">
        <f t="shared" si="56"/>
        <v>0</v>
      </c>
      <c r="Q292" s="54">
        <f t="shared" si="57"/>
        <v>0</v>
      </c>
      <c r="R292" s="47"/>
      <c r="T292" s="57"/>
      <c r="U292" s="45"/>
      <c r="V292" s="46">
        <f>IF(U292&lt;&gt;"",VLOOKUP(U292,'Tipo Projeto'!$A$3:$B$35,2,0),0)</f>
        <v>0</v>
      </c>
      <c r="W292" s="47"/>
      <c r="X292" s="49"/>
      <c r="Y292" s="50"/>
      <c r="Z292" s="51"/>
      <c r="AA292" s="52"/>
      <c r="AB292" s="53" t="str">
        <f t="shared" si="58"/>
        <v/>
      </c>
      <c r="AC292" s="48" t="str">
        <f t="shared" si="59"/>
        <v/>
      </c>
      <c r="AD292" s="54" t="str">
        <f t="shared" si="60"/>
        <v/>
      </c>
      <c r="AE292" s="55">
        <f t="shared" si="61"/>
        <v>0</v>
      </c>
      <c r="AF292" s="55">
        <f t="shared" si="62"/>
        <v>0</v>
      </c>
      <c r="AG292" s="58">
        <f t="shared" si="63"/>
        <v>0</v>
      </c>
      <c r="AH292" s="47"/>
      <c r="AJ292" s="47"/>
      <c r="AL292" s="47"/>
      <c r="AM292" s="47" t="str">
        <f t="shared" si="64"/>
        <v/>
      </c>
    </row>
    <row r="293" spans="1:39" s="56" customFormat="1" ht="14.25">
      <c r="A293" s="44"/>
      <c r="B293" s="45"/>
      <c r="C293" s="46">
        <f>IF(B293&lt;&gt;"",VLOOKUP(B293,'Tipo Projeto'!$A$3:$B$35,2,0),0)</f>
        <v>0</v>
      </c>
      <c r="D293" s="47"/>
      <c r="E293" s="47"/>
      <c r="F293" s="48"/>
      <c r="G293" s="47"/>
      <c r="H293" s="49"/>
      <c r="I293" s="50"/>
      <c r="J293" s="51"/>
      <c r="K293" s="52"/>
      <c r="L293" s="53" t="str">
        <f t="shared" si="52"/>
        <v/>
      </c>
      <c r="M293" s="48" t="str">
        <f t="shared" si="53"/>
        <v/>
      </c>
      <c r="N293" s="54" t="str">
        <f t="shared" si="54"/>
        <v/>
      </c>
      <c r="O293" s="55">
        <f t="shared" si="55"/>
        <v>0</v>
      </c>
      <c r="P293" s="55">
        <f t="shared" si="56"/>
        <v>0</v>
      </c>
      <c r="Q293" s="54">
        <f t="shared" si="57"/>
        <v>0</v>
      </c>
      <c r="R293" s="47"/>
      <c r="T293" s="57"/>
      <c r="U293" s="45"/>
      <c r="V293" s="46">
        <f>IF(U293&lt;&gt;"",VLOOKUP(U293,'Tipo Projeto'!$A$3:$B$35,2,0),0)</f>
        <v>0</v>
      </c>
      <c r="W293" s="47"/>
      <c r="X293" s="49"/>
      <c r="Y293" s="50"/>
      <c r="Z293" s="51"/>
      <c r="AA293" s="52"/>
      <c r="AB293" s="53" t="str">
        <f t="shared" si="58"/>
        <v/>
      </c>
      <c r="AC293" s="48" t="str">
        <f t="shared" si="59"/>
        <v/>
      </c>
      <c r="AD293" s="54" t="str">
        <f t="shared" si="60"/>
        <v/>
      </c>
      <c r="AE293" s="55">
        <f t="shared" si="61"/>
        <v>0</v>
      </c>
      <c r="AF293" s="55">
        <f t="shared" si="62"/>
        <v>0</v>
      </c>
      <c r="AG293" s="58">
        <f t="shared" si="63"/>
        <v>0</v>
      </c>
      <c r="AH293" s="47"/>
      <c r="AJ293" s="47"/>
      <c r="AL293" s="47"/>
      <c r="AM293" s="47" t="str">
        <f t="shared" si="64"/>
        <v/>
      </c>
    </row>
    <row r="294" spans="1:39" s="56" customFormat="1" ht="14.25">
      <c r="A294" s="44"/>
      <c r="B294" s="45"/>
      <c r="C294" s="46">
        <f>IF(B294&lt;&gt;"",VLOOKUP(B294,'Tipo Projeto'!$A$3:$B$35,2,0),0)</f>
        <v>0</v>
      </c>
      <c r="D294" s="47"/>
      <c r="E294" s="47"/>
      <c r="F294" s="48"/>
      <c r="G294" s="47"/>
      <c r="H294" s="49"/>
      <c r="I294" s="50"/>
      <c r="J294" s="51"/>
      <c r="K294" s="52"/>
      <c r="L294" s="53" t="str">
        <f t="shared" si="52"/>
        <v/>
      </c>
      <c r="M294" s="48" t="str">
        <f t="shared" si="53"/>
        <v/>
      </c>
      <c r="N294" s="54" t="str">
        <f t="shared" si="54"/>
        <v/>
      </c>
      <c r="O294" s="55">
        <f t="shared" si="55"/>
        <v>0</v>
      </c>
      <c r="P294" s="55">
        <f t="shared" si="56"/>
        <v>0</v>
      </c>
      <c r="Q294" s="54">
        <f t="shared" si="57"/>
        <v>0</v>
      </c>
      <c r="R294" s="47"/>
      <c r="T294" s="57"/>
      <c r="U294" s="45"/>
      <c r="V294" s="46">
        <f>IF(U294&lt;&gt;"",VLOOKUP(U294,'Tipo Projeto'!$A$3:$B$35,2,0),0)</f>
        <v>0</v>
      </c>
      <c r="W294" s="47"/>
      <c r="X294" s="49"/>
      <c r="Y294" s="50"/>
      <c r="Z294" s="51"/>
      <c r="AA294" s="52"/>
      <c r="AB294" s="53" t="str">
        <f t="shared" si="58"/>
        <v/>
      </c>
      <c r="AC294" s="48" t="str">
        <f t="shared" si="59"/>
        <v/>
      </c>
      <c r="AD294" s="54" t="str">
        <f t="shared" si="60"/>
        <v/>
      </c>
      <c r="AE294" s="55">
        <f t="shared" si="61"/>
        <v>0</v>
      </c>
      <c r="AF294" s="55">
        <f t="shared" si="62"/>
        <v>0</v>
      </c>
      <c r="AG294" s="58">
        <f t="shared" si="63"/>
        <v>0</v>
      </c>
      <c r="AH294" s="47"/>
      <c r="AJ294" s="47"/>
      <c r="AL294" s="47"/>
      <c r="AM294" s="47" t="str">
        <f t="shared" si="64"/>
        <v/>
      </c>
    </row>
    <row r="295" spans="1:39" s="56" customFormat="1" ht="14.25">
      <c r="A295" s="44"/>
      <c r="B295" s="45"/>
      <c r="C295" s="46">
        <f>IF(B295&lt;&gt;"",VLOOKUP(B295,'Tipo Projeto'!$A$3:$B$35,2,0),0)</f>
        <v>0</v>
      </c>
      <c r="D295" s="47"/>
      <c r="E295" s="47"/>
      <c r="F295" s="48"/>
      <c r="G295" s="47"/>
      <c r="H295" s="49"/>
      <c r="I295" s="50"/>
      <c r="J295" s="51"/>
      <c r="K295" s="52"/>
      <c r="L295" s="53" t="str">
        <f t="shared" si="52"/>
        <v/>
      </c>
      <c r="M295" s="48" t="str">
        <f t="shared" si="53"/>
        <v/>
      </c>
      <c r="N295" s="54" t="str">
        <f t="shared" si="54"/>
        <v/>
      </c>
      <c r="O295" s="55">
        <f t="shared" si="55"/>
        <v>0</v>
      </c>
      <c r="P295" s="55">
        <f t="shared" si="56"/>
        <v>0</v>
      </c>
      <c r="Q295" s="54">
        <f t="shared" si="57"/>
        <v>0</v>
      </c>
      <c r="R295" s="47"/>
      <c r="T295" s="57"/>
      <c r="U295" s="45"/>
      <c r="V295" s="46">
        <f>IF(U295&lt;&gt;"",VLOOKUP(U295,'Tipo Projeto'!$A$3:$B$35,2,0),0)</f>
        <v>0</v>
      </c>
      <c r="W295" s="47"/>
      <c r="X295" s="49"/>
      <c r="Y295" s="50"/>
      <c r="Z295" s="51"/>
      <c r="AA295" s="52"/>
      <c r="AB295" s="53" t="str">
        <f t="shared" si="58"/>
        <v/>
      </c>
      <c r="AC295" s="48" t="str">
        <f t="shared" si="59"/>
        <v/>
      </c>
      <c r="AD295" s="54" t="str">
        <f t="shared" si="60"/>
        <v/>
      </c>
      <c r="AE295" s="55">
        <f t="shared" si="61"/>
        <v>0</v>
      </c>
      <c r="AF295" s="55">
        <f t="shared" si="62"/>
        <v>0</v>
      </c>
      <c r="AG295" s="58">
        <f t="shared" si="63"/>
        <v>0</v>
      </c>
      <c r="AH295" s="47"/>
      <c r="AJ295" s="47"/>
      <c r="AL295" s="47"/>
      <c r="AM295" s="47" t="str">
        <f t="shared" si="64"/>
        <v/>
      </c>
    </row>
    <row r="296" spans="1:39" s="56" customFormat="1" ht="14.25">
      <c r="A296" s="44"/>
      <c r="B296" s="45"/>
      <c r="C296" s="46">
        <f>IF(B296&lt;&gt;"",VLOOKUP(B296,'Tipo Projeto'!$A$3:$B$35,2,0),0)</f>
        <v>0</v>
      </c>
      <c r="D296" s="47"/>
      <c r="E296" s="47"/>
      <c r="F296" s="48"/>
      <c r="G296" s="47"/>
      <c r="H296" s="49"/>
      <c r="I296" s="50"/>
      <c r="J296" s="51"/>
      <c r="K296" s="52"/>
      <c r="L296" s="53" t="str">
        <f t="shared" si="52"/>
        <v/>
      </c>
      <c r="M296" s="48" t="str">
        <f t="shared" si="53"/>
        <v/>
      </c>
      <c r="N296" s="54" t="str">
        <f t="shared" si="54"/>
        <v/>
      </c>
      <c r="O296" s="55">
        <f t="shared" si="55"/>
        <v>0</v>
      </c>
      <c r="P296" s="55">
        <f t="shared" si="56"/>
        <v>0</v>
      </c>
      <c r="Q296" s="54">
        <f t="shared" si="57"/>
        <v>0</v>
      </c>
      <c r="R296" s="47"/>
      <c r="T296" s="57"/>
      <c r="U296" s="45"/>
      <c r="V296" s="46">
        <f>IF(U296&lt;&gt;"",VLOOKUP(U296,'Tipo Projeto'!$A$3:$B$35,2,0),0)</f>
        <v>0</v>
      </c>
      <c r="W296" s="47"/>
      <c r="X296" s="49"/>
      <c r="Y296" s="50"/>
      <c r="Z296" s="51"/>
      <c r="AA296" s="52"/>
      <c r="AB296" s="53" t="str">
        <f t="shared" si="58"/>
        <v/>
      </c>
      <c r="AC296" s="48" t="str">
        <f t="shared" si="59"/>
        <v/>
      </c>
      <c r="AD296" s="54" t="str">
        <f t="shared" si="60"/>
        <v/>
      </c>
      <c r="AE296" s="55">
        <f t="shared" si="61"/>
        <v>0</v>
      </c>
      <c r="AF296" s="55">
        <f t="shared" si="62"/>
        <v>0</v>
      </c>
      <c r="AG296" s="58">
        <f t="shared" si="63"/>
        <v>0</v>
      </c>
      <c r="AH296" s="47"/>
      <c r="AJ296" s="47"/>
      <c r="AL296" s="47"/>
      <c r="AM296" s="47" t="str">
        <f t="shared" si="64"/>
        <v/>
      </c>
    </row>
    <row r="297" spans="1:39" s="56" customFormat="1" ht="14.25">
      <c r="A297" s="44"/>
      <c r="B297" s="45"/>
      <c r="C297" s="46">
        <f>IF(B297&lt;&gt;"",VLOOKUP(B297,'Tipo Projeto'!$A$3:$B$35,2,0),0)</f>
        <v>0</v>
      </c>
      <c r="D297" s="47"/>
      <c r="E297" s="47"/>
      <c r="F297" s="48"/>
      <c r="G297" s="47"/>
      <c r="H297" s="49"/>
      <c r="I297" s="50"/>
      <c r="J297" s="51"/>
      <c r="K297" s="52"/>
      <c r="L297" s="53" t="str">
        <f t="shared" si="52"/>
        <v/>
      </c>
      <c r="M297" s="48" t="str">
        <f t="shared" si="53"/>
        <v/>
      </c>
      <c r="N297" s="54" t="str">
        <f t="shared" si="54"/>
        <v/>
      </c>
      <c r="O297" s="55">
        <f t="shared" si="55"/>
        <v>0</v>
      </c>
      <c r="P297" s="55">
        <f t="shared" si="56"/>
        <v>0</v>
      </c>
      <c r="Q297" s="54">
        <f t="shared" si="57"/>
        <v>0</v>
      </c>
      <c r="R297" s="47"/>
      <c r="T297" s="57"/>
      <c r="U297" s="45"/>
      <c r="V297" s="46">
        <f>IF(U297&lt;&gt;"",VLOOKUP(U297,'Tipo Projeto'!$A$3:$B$35,2,0),0)</f>
        <v>0</v>
      </c>
      <c r="W297" s="47"/>
      <c r="X297" s="49"/>
      <c r="Y297" s="50"/>
      <c r="Z297" s="51"/>
      <c r="AA297" s="52"/>
      <c r="AB297" s="53" t="str">
        <f t="shared" si="58"/>
        <v/>
      </c>
      <c r="AC297" s="48" t="str">
        <f t="shared" si="59"/>
        <v/>
      </c>
      <c r="AD297" s="54" t="str">
        <f t="shared" si="60"/>
        <v/>
      </c>
      <c r="AE297" s="55">
        <f t="shared" si="61"/>
        <v>0</v>
      </c>
      <c r="AF297" s="55">
        <f t="shared" si="62"/>
        <v>0</v>
      </c>
      <c r="AG297" s="58">
        <f t="shared" si="63"/>
        <v>0</v>
      </c>
      <c r="AH297" s="47"/>
      <c r="AJ297" s="47"/>
      <c r="AL297" s="47"/>
      <c r="AM297" s="47" t="str">
        <f t="shared" si="64"/>
        <v/>
      </c>
    </row>
    <row r="298" spans="1:39" s="56" customFormat="1" ht="14.25">
      <c r="A298" s="44"/>
      <c r="B298" s="45"/>
      <c r="C298" s="46">
        <f>IF(B298&lt;&gt;"",VLOOKUP(B298,'Tipo Projeto'!$A$3:$B$35,2,0),0)</f>
        <v>0</v>
      </c>
      <c r="D298" s="47"/>
      <c r="E298" s="47"/>
      <c r="F298" s="48"/>
      <c r="G298" s="47"/>
      <c r="H298" s="49"/>
      <c r="I298" s="50"/>
      <c r="J298" s="51"/>
      <c r="K298" s="52"/>
      <c r="L298" s="53" t="str">
        <f t="shared" si="52"/>
        <v/>
      </c>
      <c r="M298" s="48" t="str">
        <f t="shared" si="53"/>
        <v/>
      </c>
      <c r="N298" s="54" t="str">
        <f t="shared" si="54"/>
        <v/>
      </c>
      <c r="O298" s="55">
        <f t="shared" si="55"/>
        <v>0</v>
      </c>
      <c r="P298" s="55">
        <f t="shared" si="56"/>
        <v>0</v>
      </c>
      <c r="Q298" s="54">
        <f t="shared" si="57"/>
        <v>0</v>
      </c>
      <c r="R298" s="47"/>
      <c r="T298" s="57"/>
      <c r="U298" s="45"/>
      <c r="V298" s="46">
        <f>IF(U298&lt;&gt;"",VLOOKUP(U298,'Tipo Projeto'!$A$3:$B$35,2,0),0)</f>
        <v>0</v>
      </c>
      <c r="W298" s="47"/>
      <c r="X298" s="49"/>
      <c r="Y298" s="50"/>
      <c r="Z298" s="51"/>
      <c r="AA298" s="52"/>
      <c r="AB298" s="53" t="str">
        <f t="shared" si="58"/>
        <v/>
      </c>
      <c r="AC298" s="48" t="str">
        <f t="shared" si="59"/>
        <v/>
      </c>
      <c r="AD298" s="54" t="str">
        <f t="shared" si="60"/>
        <v/>
      </c>
      <c r="AE298" s="55">
        <f t="shared" si="61"/>
        <v>0</v>
      </c>
      <c r="AF298" s="55">
        <f t="shared" si="62"/>
        <v>0</v>
      </c>
      <c r="AG298" s="58">
        <f t="shared" si="63"/>
        <v>0</v>
      </c>
      <c r="AH298" s="47"/>
      <c r="AJ298" s="47"/>
      <c r="AL298" s="47"/>
      <c r="AM298" s="47" t="str">
        <f t="shared" si="64"/>
        <v/>
      </c>
    </row>
    <row r="299" spans="1:39" s="56" customFormat="1" ht="14.25">
      <c r="A299" s="44"/>
      <c r="B299" s="45"/>
      <c r="C299" s="46">
        <f>IF(B299&lt;&gt;"",VLOOKUP(B299,'Tipo Projeto'!$A$3:$B$35,2,0),0)</f>
        <v>0</v>
      </c>
      <c r="D299" s="47"/>
      <c r="E299" s="47"/>
      <c r="F299" s="48"/>
      <c r="G299" s="47"/>
      <c r="H299" s="49"/>
      <c r="I299" s="50"/>
      <c r="J299" s="51"/>
      <c r="K299" s="52"/>
      <c r="L299" s="53" t="str">
        <f t="shared" si="52"/>
        <v/>
      </c>
      <c r="M299" s="48" t="str">
        <f t="shared" si="53"/>
        <v/>
      </c>
      <c r="N299" s="54" t="str">
        <f t="shared" si="54"/>
        <v/>
      </c>
      <c r="O299" s="55">
        <f t="shared" si="55"/>
        <v>0</v>
      </c>
      <c r="P299" s="55">
        <f t="shared" si="56"/>
        <v>0</v>
      </c>
      <c r="Q299" s="54">
        <f t="shared" si="57"/>
        <v>0</v>
      </c>
      <c r="R299" s="47"/>
      <c r="T299" s="57"/>
      <c r="U299" s="45"/>
      <c r="V299" s="46">
        <f>IF(U299&lt;&gt;"",VLOOKUP(U299,'Tipo Projeto'!$A$3:$B$35,2,0),0)</f>
        <v>0</v>
      </c>
      <c r="W299" s="47"/>
      <c r="X299" s="49"/>
      <c r="Y299" s="50"/>
      <c r="Z299" s="51"/>
      <c r="AA299" s="52"/>
      <c r="AB299" s="53" t="str">
        <f t="shared" si="58"/>
        <v/>
      </c>
      <c r="AC299" s="48" t="str">
        <f t="shared" si="59"/>
        <v/>
      </c>
      <c r="AD299" s="54" t="str">
        <f t="shared" si="60"/>
        <v/>
      </c>
      <c r="AE299" s="55">
        <f t="shared" si="61"/>
        <v>0</v>
      </c>
      <c r="AF299" s="55">
        <f t="shared" si="62"/>
        <v>0</v>
      </c>
      <c r="AG299" s="58">
        <f t="shared" si="63"/>
        <v>0</v>
      </c>
      <c r="AH299" s="47"/>
      <c r="AJ299" s="47"/>
      <c r="AL299" s="47"/>
      <c r="AM299" s="47" t="str">
        <f t="shared" si="64"/>
        <v/>
      </c>
    </row>
    <row r="300" spans="1:39" s="56" customFormat="1" ht="14.25">
      <c r="A300" s="44"/>
      <c r="B300" s="45"/>
      <c r="C300" s="46">
        <f>IF(B300&lt;&gt;"",VLOOKUP(B300,'Tipo Projeto'!$A$3:$B$35,2,0),0)</f>
        <v>0</v>
      </c>
      <c r="D300" s="47"/>
      <c r="E300" s="47"/>
      <c r="F300" s="48"/>
      <c r="G300" s="47"/>
      <c r="H300" s="49"/>
      <c r="I300" s="50"/>
      <c r="J300" s="51"/>
      <c r="K300" s="52"/>
      <c r="L300" s="53" t="str">
        <f t="shared" si="52"/>
        <v/>
      </c>
      <c r="M300" s="48" t="str">
        <f t="shared" si="53"/>
        <v/>
      </c>
      <c r="N300" s="54" t="str">
        <f t="shared" si="54"/>
        <v/>
      </c>
      <c r="O300" s="55">
        <f t="shared" si="55"/>
        <v>0</v>
      </c>
      <c r="P300" s="55">
        <f t="shared" si="56"/>
        <v>0</v>
      </c>
      <c r="Q300" s="54">
        <f t="shared" si="57"/>
        <v>0</v>
      </c>
      <c r="R300" s="47"/>
      <c r="T300" s="57"/>
      <c r="U300" s="45"/>
      <c r="V300" s="46">
        <f>IF(U300&lt;&gt;"",VLOOKUP(U300,'Tipo Projeto'!$A$3:$B$35,2,0),0)</f>
        <v>0</v>
      </c>
      <c r="W300" s="47"/>
      <c r="X300" s="49"/>
      <c r="Y300" s="50"/>
      <c r="Z300" s="51"/>
      <c r="AA300" s="52"/>
      <c r="AB300" s="53" t="str">
        <f t="shared" si="58"/>
        <v/>
      </c>
      <c r="AC300" s="48" t="str">
        <f t="shared" si="59"/>
        <v/>
      </c>
      <c r="AD300" s="54" t="str">
        <f t="shared" si="60"/>
        <v/>
      </c>
      <c r="AE300" s="55">
        <f t="shared" si="61"/>
        <v>0</v>
      </c>
      <c r="AF300" s="55">
        <f t="shared" si="62"/>
        <v>0</v>
      </c>
      <c r="AG300" s="58">
        <f t="shared" si="63"/>
        <v>0</v>
      </c>
      <c r="AH300" s="47"/>
      <c r="AJ300" s="47"/>
      <c r="AL300" s="47"/>
      <c r="AM300" s="47" t="str">
        <f t="shared" si="64"/>
        <v/>
      </c>
    </row>
    <row r="301" spans="1:39" s="56" customFormat="1" ht="14.25">
      <c r="A301" s="44"/>
      <c r="B301" s="45"/>
      <c r="C301" s="46">
        <f>IF(B301&lt;&gt;"",VLOOKUP(B301,'Tipo Projeto'!$A$3:$B$35,2,0),0)</f>
        <v>0</v>
      </c>
      <c r="D301" s="47"/>
      <c r="E301" s="47"/>
      <c r="F301" s="48"/>
      <c r="G301" s="47"/>
      <c r="H301" s="49"/>
      <c r="I301" s="50"/>
      <c r="J301" s="51"/>
      <c r="K301" s="52"/>
      <c r="L301" s="53" t="str">
        <f t="shared" si="52"/>
        <v/>
      </c>
      <c r="M301" s="48" t="str">
        <f t="shared" si="53"/>
        <v/>
      </c>
      <c r="N301" s="54" t="str">
        <f t="shared" si="54"/>
        <v/>
      </c>
      <c r="O301" s="55">
        <f t="shared" si="55"/>
        <v>0</v>
      </c>
      <c r="P301" s="55">
        <f t="shared" si="56"/>
        <v>0</v>
      </c>
      <c r="Q301" s="54">
        <f t="shared" si="57"/>
        <v>0</v>
      </c>
      <c r="R301" s="47"/>
      <c r="T301" s="57"/>
      <c r="U301" s="45"/>
      <c r="V301" s="46">
        <f>IF(U301&lt;&gt;"",VLOOKUP(U301,'Tipo Projeto'!$A$3:$B$35,2,0),0)</f>
        <v>0</v>
      </c>
      <c r="W301" s="47"/>
      <c r="X301" s="49"/>
      <c r="Y301" s="50"/>
      <c r="Z301" s="51"/>
      <c r="AA301" s="52"/>
      <c r="AB301" s="53" t="str">
        <f t="shared" si="58"/>
        <v/>
      </c>
      <c r="AC301" s="48" t="str">
        <f t="shared" si="59"/>
        <v/>
      </c>
      <c r="AD301" s="54" t="str">
        <f t="shared" si="60"/>
        <v/>
      </c>
      <c r="AE301" s="55">
        <f t="shared" si="61"/>
        <v>0</v>
      </c>
      <c r="AF301" s="55">
        <f t="shared" si="62"/>
        <v>0</v>
      </c>
      <c r="AG301" s="58">
        <f t="shared" si="63"/>
        <v>0</v>
      </c>
      <c r="AH301" s="47"/>
      <c r="AJ301" s="47"/>
      <c r="AL301" s="47"/>
      <c r="AM301" s="47" t="str">
        <f t="shared" si="64"/>
        <v/>
      </c>
    </row>
    <row r="302" spans="1:39" s="56" customFormat="1" ht="14.25">
      <c r="A302" s="44"/>
      <c r="B302" s="45"/>
      <c r="C302" s="46">
        <f>IF(B302&lt;&gt;"",VLOOKUP(B302,'Tipo Projeto'!$A$3:$B$35,2,0),0)</f>
        <v>0</v>
      </c>
      <c r="D302" s="47"/>
      <c r="E302" s="47"/>
      <c r="F302" s="48"/>
      <c r="G302" s="47"/>
      <c r="H302" s="49"/>
      <c r="I302" s="50"/>
      <c r="J302" s="51"/>
      <c r="K302" s="52"/>
      <c r="L302" s="53" t="str">
        <f t="shared" si="52"/>
        <v/>
      </c>
      <c r="M302" s="48" t="str">
        <f t="shared" si="53"/>
        <v/>
      </c>
      <c r="N302" s="54" t="str">
        <f t="shared" si="54"/>
        <v/>
      </c>
      <c r="O302" s="55">
        <f t="shared" si="55"/>
        <v>0</v>
      </c>
      <c r="P302" s="55">
        <f t="shared" si="56"/>
        <v>0</v>
      </c>
      <c r="Q302" s="54">
        <f t="shared" si="57"/>
        <v>0</v>
      </c>
      <c r="R302" s="47"/>
      <c r="T302" s="57"/>
      <c r="U302" s="45"/>
      <c r="V302" s="46">
        <f>IF(U302&lt;&gt;"",VLOOKUP(U302,'Tipo Projeto'!$A$3:$B$35,2,0),0)</f>
        <v>0</v>
      </c>
      <c r="W302" s="47"/>
      <c r="X302" s="49"/>
      <c r="Y302" s="50"/>
      <c r="Z302" s="51"/>
      <c r="AA302" s="52"/>
      <c r="AB302" s="53" t="str">
        <f t="shared" si="58"/>
        <v/>
      </c>
      <c r="AC302" s="48" t="str">
        <f t="shared" si="59"/>
        <v/>
      </c>
      <c r="AD302" s="54" t="str">
        <f t="shared" si="60"/>
        <v/>
      </c>
      <c r="AE302" s="55">
        <f t="shared" si="61"/>
        <v>0</v>
      </c>
      <c r="AF302" s="55">
        <f t="shared" si="62"/>
        <v>0</v>
      </c>
      <c r="AG302" s="58">
        <f t="shared" si="63"/>
        <v>0</v>
      </c>
      <c r="AH302" s="47"/>
      <c r="AJ302" s="47"/>
      <c r="AL302" s="47"/>
      <c r="AM302" s="47" t="str">
        <f t="shared" si="64"/>
        <v/>
      </c>
    </row>
    <row r="303" spans="1:39" s="56" customFormat="1" ht="14.25">
      <c r="A303" s="44"/>
      <c r="B303" s="45"/>
      <c r="C303" s="46">
        <f>IF(B303&lt;&gt;"",VLOOKUP(B303,'Tipo Projeto'!$A$3:$B$35,2,0),0)</f>
        <v>0</v>
      </c>
      <c r="D303" s="47"/>
      <c r="E303" s="47"/>
      <c r="F303" s="48"/>
      <c r="G303" s="47"/>
      <c r="H303" s="49"/>
      <c r="I303" s="50"/>
      <c r="J303" s="51"/>
      <c r="K303" s="52"/>
      <c r="L303" s="53" t="str">
        <f t="shared" si="52"/>
        <v/>
      </c>
      <c r="M303" s="48" t="str">
        <f t="shared" si="53"/>
        <v/>
      </c>
      <c r="N303" s="54" t="str">
        <f t="shared" si="54"/>
        <v/>
      </c>
      <c r="O303" s="55">
        <f t="shared" si="55"/>
        <v>0</v>
      </c>
      <c r="P303" s="55">
        <f t="shared" si="56"/>
        <v>0</v>
      </c>
      <c r="Q303" s="54">
        <f t="shared" si="57"/>
        <v>0</v>
      </c>
      <c r="R303" s="47"/>
      <c r="T303" s="57"/>
      <c r="U303" s="45"/>
      <c r="V303" s="46">
        <f>IF(U303&lt;&gt;"",VLOOKUP(U303,'Tipo Projeto'!$A$3:$B$35,2,0),0)</f>
        <v>0</v>
      </c>
      <c r="W303" s="47"/>
      <c r="X303" s="49"/>
      <c r="Y303" s="50"/>
      <c r="Z303" s="51"/>
      <c r="AA303" s="52"/>
      <c r="AB303" s="53" t="str">
        <f t="shared" si="58"/>
        <v/>
      </c>
      <c r="AC303" s="48" t="str">
        <f t="shared" si="59"/>
        <v/>
      </c>
      <c r="AD303" s="54" t="str">
        <f t="shared" si="60"/>
        <v/>
      </c>
      <c r="AE303" s="55">
        <f t="shared" si="61"/>
        <v>0</v>
      </c>
      <c r="AF303" s="55">
        <f t="shared" si="62"/>
        <v>0</v>
      </c>
      <c r="AG303" s="58">
        <f t="shared" si="63"/>
        <v>0</v>
      </c>
      <c r="AH303" s="47"/>
      <c r="AJ303" s="47"/>
      <c r="AL303" s="47"/>
      <c r="AM303" s="47" t="str">
        <f t="shared" si="64"/>
        <v/>
      </c>
    </row>
    <row r="304" spans="1:39" s="56" customFormat="1" ht="14.25">
      <c r="A304" s="44"/>
      <c r="B304" s="45"/>
      <c r="C304" s="46">
        <f>IF(B304&lt;&gt;"",VLOOKUP(B304,'Tipo Projeto'!$A$3:$B$35,2,0),0)</f>
        <v>0</v>
      </c>
      <c r="D304" s="47"/>
      <c r="E304" s="47"/>
      <c r="F304" s="48"/>
      <c r="G304" s="47"/>
      <c r="H304" s="49"/>
      <c r="I304" s="50"/>
      <c r="J304" s="51"/>
      <c r="K304" s="52"/>
      <c r="L304" s="53" t="str">
        <f t="shared" si="52"/>
        <v/>
      </c>
      <c r="M304" s="48" t="str">
        <f t="shared" si="53"/>
        <v/>
      </c>
      <c r="N304" s="54" t="str">
        <f t="shared" si="54"/>
        <v/>
      </c>
      <c r="O304" s="55">
        <f t="shared" si="55"/>
        <v>0</v>
      </c>
      <c r="P304" s="55">
        <f t="shared" si="56"/>
        <v>0</v>
      </c>
      <c r="Q304" s="54">
        <f t="shared" si="57"/>
        <v>0</v>
      </c>
      <c r="R304" s="47"/>
      <c r="T304" s="57"/>
      <c r="U304" s="45"/>
      <c r="V304" s="46">
        <f>IF(U304&lt;&gt;"",VLOOKUP(U304,'Tipo Projeto'!$A$3:$B$35,2,0),0)</f>
        <v>0</v>
      </c>
      <c r="W304" s="47"/>
      <c r="X304" s="49"/>
      <c r="Y304" s="50"/>
      <c r="Z304" s="51"/>
      <c r="AA304" s="52"/>
      <c r="AB304" s="53" t="str">
        <f t="shared" si="58"/>
        <v/>
      </c>
      <c r="AC304" s="48" t="str">
        <f t="shared" si="59"/>
        <v/>
      </c>
      <c r="AD304" s="54" t="str">
        <f t="shared" si="60"/>
        <v/>
      </c>
      <c r="AE304" s="55">
        <f t="shared" si="61"/>
        <v>0</v>
      </c>
      <c r="AF304" s="55">
        <f t="shared" si="62"/>
        <v>0</v>
      </c>
      <c r="AG304" s="58">
        <f t="shared" si="63"/>
        <v>0</v>
      </c>
      <c r="AH304" s="47"/>
      <c r="AJ304" s="47"/>
      <c r="AL304" s="47"/>
      <c r="AM304" s="47" t="str">
        <f t="shared" si="64"/>
        <v/>
      </c>
    </row>
    <row r="305" spans="1:39" s="56" customFormat="1" ht="14.25">
      <c r="A305" s="44"/>
      <c r="B305" s="45"/>
      <c r="C305" s="46">
        <f>IF(B305&lt;&gt;"",VLOOKUP(B305,'Tipo Projeto'!$A$3:$B$35,2,0),0)</f>
        <v>0</v>
      </c>
      <c r="D305" s="47"/>
      <c r="E305" s="47"/>
      <c r="F305" s="48"/>
      <c r="G305" s="47"/>
      <c r="H305" s="49"/>
      <c r="I305" s="50"/>
      <c r="J305" s="51"/>
      <c r="K305" s="52"/>
      <c r="L305" s="53" t="str">
        <f t="shared" si="52"/>
        <v/>
      </c>
      <c r="M305" s="48" t="str">
        <f t="shared" si="53"/>
        <v/>
      </c>
      <c r="N305" s="54" t="str">
        <f t="shared" si="54"/>
        <v/>
      </c>
      <c r="O305" s="55">
        <f t="shared" si="55"/>
        <v>0</v>
      </c>
      <c r="P305" s="55">
        <f t="shared" si="56"/>
        <v>0</v>
      </c>
      <c r="Q305" s="54">
        <f t="shared" si="57"/>
        <v>0</v>
      </c>
      <c r="R305" s="47"/>
      <c r="T305" s="57"/>
      <c r="U305" s="45"/>
      <c r="V305" s="46">
        <f>IF(U305&lt;&gt;"",VLOOKUP(U305,'Tipo Projeto'!$A$3:$B$35,2,0),0)</f>
        <v>0</v>
      </c>
      <c r="W305" s="47"/>
      <c r="X305" s="49"/>
      <c r="Y305" s="50"/>
      <c r="Z305" s="51"/>
      <c r="AA305" s="52"/>
      <c r="AB305" s="53" t="str">
        <f t="shared" si="58"/>
        <v/>
      </c>
      <c r="AC305" s="48" t="str">
        <f t="shared" si="59"/>
        <v/>
      </c>
      <c r="AD305" s="54" t="str">
        <f t="shared" si="60"/>
        <v/>
      </c>
      <c r="AE305" s="55">
        <f t="shared" si="61"/>
        <v>0</v>
      </c>
      <c r="AF305" s="55">
        <f t="shared" si="62"/>
        <v>0</v>
      </c>
      <c r="AG305" s="58">
        <f t="shared" si="63"/>
        <v>0</v>
      </c>
      <c r="AH305" s="47"/>
      <c r="AJ305" s="47"/>
      <c r="AL305" s="47"/>
      <c r="AM305" s="47" t="str">
        <f t="shared" si="64"/>
        <v/>
      </c>
    </row>
    <row r="306" spans="1:39" s="56" customFormat="1" ht="14.25">
      <c r="A306" s="44"/>
      <c r="B306" s="45"/>
      <c r="C306" s="46">
        <f>IF(B306&lt;&gt;"",VLOOKUP(B306,'Tipo Projeto'!$A$3:$B$35,2,0),0)</f>
        <v>0</v>
      </c>
      <c r="D306" s="47"/>
      <c r="E306" s="47"/>
      <c r="F306" s="48"/>
      <c r="G306" s="47"/>
      <c r="H306" s="49"/>
      <c r="I306" s="50"/>
      <c r="J306" s="51"/>
      <c r="K306" s="52"/>
      <c r="L306" s="53" t="str">
        <f t="shared" si="52"/>
        <v/>
      </c>
      <c r="M306" s="48" t="str">
        <f t="shared" si="53"/>
        <v/>
      </c>
      <c r="N306" s="54" t="str">
        <f t="shared" si="54"/>
        <v/>
      </c>
      <c r="O306" s="55">
        <f t="shared" si="55"/>
        <v>0</v>
      </c>
      <c r="P306" s="55">
        <f t="shared" si="56"/>
        <v>0</v>
      </c>
      <c r="Q306" s="54">
        <f t="shared" si="57"/>
        <v>0</v>
      </c>
      <c r="R306" s="47"/>
      <c r="T306" s="57"/>
      <c r="U306" s="45"/>
      <c r="V306" s="46">
        <f>IF(U306&lt;&gt;"",VLOOKUP(U306,'Tipo Projeto'!$A$3:$B$35,2,0),0)</f>
        <v>0</v>
      </c>
      <c r="W306" s="47"/>
      <c r="X306" s="49"/>
      <c r="Y306" s="50"/>
      <c r="Z306" s="51"/>
      <c r="AA306" s="52"/>
      <c r="AB306" s="53" t="str">
        <f t="shared" si="58"/>
        <v/>
      </c>
      <c r="AC306" s="48" t="str">
        <f t="shared" si="59"/>
        <v/>
      </c>
      <c r="AD306" s="54" t="str">
        <f t="shared" si="60"/>
        <v/>
      </c>
      <c r="AE306" s="55">
        <f t="shared" si="61"/>
        <v>0</v>
      </c>
      <c r="AF306" s="55">
        <f t="shared" si="62"/>
        <v>0</v>
      </c>
      <c r="AG306" s="58">
        <f t="shared" si="63"/>
        <v>0</v>
      </c>
      <c r="AH306" s="47"/>
      <c r="AJ306" s="47"/>
      <c r="AL306" s="47"/>
      <c r="AM306" s="47" t="str">
        <f t="shared" si="64"/>
        <v/>
      </c>
    </row>
    <row r="307" spans="1:39" s="56" customFormat="1" ht="14.25">
      <c r="A307" s="44"/>
      <c r="B307" s="45"/>
      <c r="C307" s="46">
        <f>IF(B307&lt;&gt;"",VLOOKUP(B307,'Tipo Projeto'!$A$3:$B$35,2,0),0)</f>
        <v>0</v>
      </c>
      <c r="D307" s="47"/>
      <c r="E307" s="47"/>
      <c r="F307" s="48"/>
      <c r="G307" s="47"/>
      <c r="H307" s="49"/>
      <c r="I307" s="50"/>
      <c r="J307" s="51"/>
      <c r="K307" s="52"/>
      <c r="L307" s="53" t="str">
        <f t="shared" si="52"/>
        <v/>
      </c>
      <c r="M307" s="48" t="str">
        <f t="shared" si="53"/>
        <v/>
      </c>
      <c r="N307" s="54" t="str">
        <f t="shared" si="54"/>
        <v/>
      </c>
      <c r="O307" s="55">
        <f t="shared" si="55"/>
        <v>0</v>
      </c>
      <c r="P307" s="55">
        <f t="shared" si="56"/>
        <v>0</v>
      </c>
      <c r="Q307" s="54">
        <f t="shared" si="57"/>
        <v>0</v>
      </c>
      <c r="R307" s="47"/>
      <c r="T307" s="57"/>
      <c r="U307" s="45"/>
      <c r="V307" s="46">
        <f>IF(U307&lt;&gt;"",VLOOKUP(U307,'Tipo Projeto'!$A$3:$B$35,2,0),0)</f>
        <v>0</v>
      </c>
      <c r="W307" s="47"/>
      <c r="X307" s="49"/>
      <c r="Y307" s="50"/>
      <c r="Z307" s="51"/>
      <c r="AA307" s="52"/>
      <c r="AB307" s="53" t="str">
        <f t="shared" si="58"/>
        <v/>
      </c>
      <c r="AC307" s="48" t="str">
        <f t="shared" si="59"/>
        <v/>
      </c>
      <c r="AD307" s="54" t="str">
        <f t="shared" si="60"/>
        <v/>
      </c>
      <c r="AE307" s="55">
        <f t="shared" si="61"/>
        <v>0</v>
      </c>
      <c r="AF307" s="55">
        <f t="shared" si="62"/>
        <v>0</v>
      </c>
      <c r="AG307" s="58">
        <f t="shared" si="63"/>
        <v>0</v>
      </c>
      <c r="AH307" s="47"/>
      <c r="AJ307" s="47"/>
      <c r="AL307" s="47"/>
      <c r="AM307" s="47" t="str">
        <f t="shared" si="64"/>
        <v/>
      </c>
    </row>
    <row r="308" spans="1:39" s="56" customFormat="1" ht="14.25">
      <c r="A308" s="44"/>
      <c r="B308" s="45"/>
      <c r="C308" s="46">
        <f>IF(B308&lt;&gt;"",VLOOKUP(B308,'Tipo Projeto'!$A$3:$B$35,2,0),0)</f>
        <v>0</v>
      </c>
      <c r="D308" s="47"/>
      <c r="E308" s="47"/>
      <c r="F308" s="48"/>
      <c r="G308" s="47"/>
      <c r="H308" s="49"/>
      <c r="I308" s="50"/>
      <c r="J308" s="51"/>
      <c r="K308" s="52"/>
      <c r="L308" s="53" t="str">
        <f t="shared" si="52"/>
        <v/>
      </c>
      <c r="M308" s="48" t="str">
        <f t="shared" si="53"/>
        <v/>
      </c>
      <c r="N308" s="54" t="str">
        <f t="shared" si="54"/>
        <v/>
      </c>
      <c r="O308" s="55">
        <f t="shared" si="55"/>
        <v>0</v>
      </c>
      <c r="P308" s="55">
        <f t="shared" si="56"/>
        <v>0</v>
      </c>
      <c r="Q308" s="54">
        <f t="shared" si="57"/>
        <v>0</v>
      </c>
      <c r="R308" s="47"/>
      <c r="T308" s="57"/>
      <c r="U308" s="45"/>
      <c r="V308" s="46">
        <f>IF(U308&lt;&gt;"",VLOOKUP(U308,'Tipo Projeto'!$A$3:$B$35,2,0),0)</f>
        <v>0</v>
      </c>
      <c r="W308" s="47"/>
      <c r="X308" s="49"/>
      <c r="Y308" s="50"/>
      <c r="Z308" s="51"/>
      <c r="AA308" s="52"/>
      <c r="AB308" s="53" t="str">
        <f t="shared" si="58"/>
        <v/>
      </c>
      <c r="AC308" s="48" t="str">
        <f t="shared" si="59"/>
        <v/>
      </c>
      <c r="AD308" s="54" t="str">
        <f t="shared" si="60"/>
        <v/>
      </c>
      <c r="AE308" s="55">
        <f t="shared" si="61"/>
        <v>0</v>
      </c>
      <c r="AF308" s="55">
        <f t="shared" si="62"/>
        <v>0</v>
      </c>
      <c r="AG308" s="58">
        <f t="shared" si="63"/>
        <v>0</v>
      </c>
      <c r="AH308" s="47"/>
      <c r="AJ308" s="47"/>
      <c r="AL308" s="47"/>
      <c r="AM308" s="47" t="str">
        <f t="shared" si="64"/>
        <v/>
      </c>
    </row>
    <row r="309" spans="1:39" s="56" customFormat="1" ht="14.25">
      <c r="A309" s="44"/>
      <c r="B309" s="45"/>
      <c r="C309" s="46">
        <f>IF(B309&lt;&gt;"",VLOOKUP(B309,'Tipo Projeto'!$A$3:$B$35,2,0),0)</f>
        <v>0</v>
      </c>
      <c r="D309" s="47"/>
      <c r="E309" s="47"/>
      <c r="F309" s="48"/>
      <c r="G309" s="47"/>
      <c r="H309" s="49"/>
      <c r="I309" s="50"/>
      <c r="J309" s="51"/>
      <c r="K309" s="52"/>
      <c r="L309" s="53" t="str">
        <f t="shared" si="52"/>
        <v/>
      </c>
      <c r="M309" s="48" t="str">
        <f t="shared" si="53"/>
        <v/>
      </c>
      <c r="N309" s="54" t="str">
        <f t="shared" si="54"/>
        <v/>
      </c>
      <c r="O309" s="55">
        <f t="shared" si="55"/>
        <v>0</v>
      </c>
      <c r="P309" s="55">
        <f t="shared" si="56"/>
        <v>0</v>
      </c>
      <c r="Q309" s="54">
        <f t="shared" si="57"/>
        <v>0</v>
      </c>
      <c r="R309" s="47"/>
      <c r="T309" s="57"/>
      <c r="U309" s="45"/>
      <c r="V309" s="46">
        <f>IF(U309&lt;&gt;"",VLOOKUP(U309,'Tipo Projeto'!$A$3:$B$35,2,0),0)</f>
        <v>0</v>
      </c>
      <c r="W309" s="47"/>
      <c r="X309" s="49"/>
      <c r="Y309" s="50"/>
      <c r="Z309" s="51"/>
      <c r="AA309" s="52"/>
      <c r="AB309" s="53" t="str">
        <f t="shared" si="58"/>
        <v/>
      </c>
      <c r="AC309" s="48" t="str">
        <f t="shared" si="59"/>
        <v/>
      </c>
      <c r="AD309" s="54" t="str">
        <f t="shared" si="60"/>
        <v/>
      </c>
      <c r="AE309" s="55">
        <f t="shared" si="61"/>
        <v>0</v>
      </c>
      <c r="AF309" s="55">
        <f t="shared" si="62"/>
        <v>0</v>
      </c>
      <c r="AG309" s="58">
        <f t="shared" si="63"/>
        <v>0</v>
      </c>
      <c r="AH309" s="47"/>
      <c r="AJ309" s="47"/>
      <c r="AL309" s="47"/>
      <c r="AM309" s="47" t="str">
        <f t="shared" si="64"/>
        <v/>
      </c>
    </row>
    <row r="310" spans="1:39" s="56" customFormat="1" ht="14.25">
      <c r="A310" s="44"/>
      <c r="B310" s="45"/>
      <c r="C310" s="46">
        <f>IF(B310&lt;&gt;"",VLOOKUP(B310,'Tipo Projeto'!$A$3:$B$35,2,0),0)</f>
        <v>0</v>
      </c>
      <c r="D310" s="47"/>
      <c r="E310" s="47"/>
      <c r="F310" s="48"/>
      <c r="G310" s="47"/>
      <c r="H310" s="49"/>
      <c r="I310" s="50"/>
      <c r="J310" s="51"/>
      <c r="K310" s="52"/>
      <c r="L310" s="53" t="str">
        <f t="shared" si="52"/>
        <v/>
      </c>
      <c r="M310" s="48" t="str">
        <f t="shared" si="53"/>
        <v/>
      </c>
      <c r="N310" s="54" t="str">
        <f t="shared" si="54"/>
        <v/>
      </c>
      <c r="O310" s="55">
        <f t="shared" si="55"/>
        <v>0</v>
      </c>
      <c r="P310" s="55">
        <f t="shared" si="56"/>
        <v>0</v>
      </c>
      <c r="Q310" s="54">
        <f t="shared" si="57"/>
        <v>0</v>
      </c>
      <c r="R310" s="47"/>
      <c r="T310" s="57"/>
      <c r="U310" s="45"/>
      <c r="V310" s="46">
        <f>IF(U310&lt;&gt;"",VLOOKUP(U310,'Tipo Projeto'!$A$3:$B$35,2,0),0)</f>
        <v>0</v>
      </c>
      <c r="W310" s="47"/>
      <c r="X310" s="49"/>
      <c r="Y310" s="50"/>
      <c r="Z310" s="51"/>
      <c r="AA310" s="52"/>
      <c r="AB310" s="53" t="str">
        <f t="shared" si="58"/>
        <v/>
      </c>
      <c r="AC310" s="48" t="str">
        <f t="shared" si="59"/>
        <v/>
      </c>
      <c r="AD310" s="54" t="str">
        <f t="shared" si="60"/>
        <v/>
      </c>
      <c r="AE310" s="55">
        <f t="shared" si="61"/>
        <v>0</v>
      </c>
      <c r="AF310" s="55">
        <f t="shared" si="62"/>
        <v>0</v>
      </c>
      <c r="AG310" s="58">
        <f t="shared" si="63"/>
        <v>0</v>
      </c>
      <c r="AH310" s="47"/>
      <c r="AJ310" s="47"/>
      <c r="AL310" s="47"/>
      <c r="AM310" s="47" t="str">
        <f t="shared" si="64"/>
        <v/>
      </c>
    </row>
    <row r="311" spans="1:39" s="56" customFormat="1" ht="14.25">
      <c r="A311" s="44"/>
      <c r="B311" s="45"/>
      <c r="C311" s="46">
        <f>IF(B311&lt;&gt;"",VLOOKUP(B311,'Tipo Projeto'!$A$3:$B$35,2,0),0)</f>
        <v>0</v>
      </c>
      <c r="D311" s="47"/>
      <c r="E311" s="47"/>
      <c r="F311" s="48"/>
      <c r="G311" s="47"/>
      <c r="H311" s="49"/>
      <c r="I311" s="50"/>
      <c r="J311" s="51"/>
      <c r="K311" s="52"/>
      <c r="L311" s="53" t="str">
        <f t="shared" si="52"/>
        <v/>
      </c>
      <c r="M311" s="48" t="str">
        <f t="shared" si="53"/>
        <v/>
      </c>
      <c r="N311" s="54" t="str">
        <f t="shared" si="54"/>
        <v/>
      </c>
      <c r="O311" s="55">
        <f t="shared" si="55"/>
        <v>0</v>
      </c>
      <c r="P311" s="55">
        <f t="shared" si="56"/>
        <v>0</v>
      </c>
      <c r="Q311" s="54">
        <f t="shared" si="57"/>
        <v>0</v>
      </c>
      <c r="R311" s="47"/>
      <c r="T311" s="57"/>
      <c r="U311" s="45"/>
      <c r="V311" s="46">
        <f>IF(U311&lt;&gt;"",VLOOKUP(U311,'Tipo Projeto'!$A$3:$B$35,2,0),0)</f>
        <v>0</v>
      </c>
      <c r="W311" s="47"/>
      <c r="X311" s="49"/>
      <c r="Y311" s="50"/>
      <c r="Z311" s="51"/>
      <c r="AA311" s="52"/>
      <c r="AB311" s="53" t="str">
        <f t="shared" si="58"/>
        <v/>
      </c>
      <c r="AC311" s="48" t="str">
        <f t="shared" si="59"/>
        <v/>
      </c>
      <c r="AD311" s="54" t="str">
        <f t="shared" si="60"/>
        <v/>
      </c>
      <c r="AE311" s="55">
        <f t="shared" si="61"/>
        <v>0</v>
      </c>
      <c r="AF311" s="55">
        <f t="shared" si="62"/>
        <v>0</v>
      </c>
      <c r="AG311" s="58">
        <f t="shared" si="63"/>
        <v>0</v>
      </c>
      <c r="AH311" s="47"/>
      <c r="AJ311" s="47"/>
      <c r="AL311" s="47"/>
      <c r="AM311" s="47" t="str">
        <f t="shared" si="64"/>
        <v/>
      </c>
    </row>
    <row r="312" spans="1:39" s="56" customFormat="1" ht="14.25">
      <c r="A312" s="44"/>
      <c r="B312" s="45"/>
      <c r="C312" s="46">
        <f>IF(B312&lt;&gt;"",VLOOKUP(B312,'Tipo Projeto'!$A$3:$B$35,2,0),0)</f>
        <v>0</v>
      </c>
      <c r="D312" s="47"/>
      <c r="E312" s="47"/>
      <c r="F312" s="48"/>
      <c r="G312" s="47"/>
      <c r="H312" s="49"/>
      <c r="I312" s="50"/>
      <c r="J312" s="51"/>
      <c r="K312" s="52"/>
      <c r="L312" s="53" t="str">
        <f t="shared" si="52"/>
        <v/>
      </c>
      <c r="M312" s="48" t="str">
        <f t="shared" si="53"/>
        <v/>
      </c>
      <c r="N312" s="54" t="str">
        <f t="shared" si="54"/>
        <v/>
      </c>
      <c r="O312" s="55">
        <f t="shared" si="55"/>
        <v>0</v>
      </c>
      <c r="P312" s="55">
        <f t="shared" si="56"/>
        <v>0</v>
      </c>
      <c r="Q312" s="54">
        <f t="shared" si="57"/>
        <v>0</v>
      </c>
      <c r="R312" s="47"/>
      <c r="T312" s="57"/>
      <c r="U312" s="45"/>
      <c r="V312" s="46">
        <f>IF(U312&lt;&gt;"",VLOOKUP(U312,'Tipo Projeto'!$A$3:$B$35,2,0),0)</f>
        <v>0</v>
      </c>
      <c r="W312" s="47"/>
      <c r="X312" s="49"/>
      <c r="Y312" s="50"/>
      <c r="Z312" s="51"/>
      <c r="AA312" s="52"/>
      <c r="AB312" s="53" t="str">
        <f t="shared" si="58"/>
        <v/>
      </c>
      <c r="AC312" s="48" t="str">
        <f t="shared" si="59"/>
        <v/>
      </c>
      <c r="AD312" s="54" t="str">
        <f t="shared" si="60"/>
        <v/>
      </c>
      <c r="AE312" s="55">
        <f t="shared" si="61"/>
        <v>0</v>
      </c>
      <c r="AF312" s="55">
        <f t="shared" si="62"/>
        <v>0</v>
      </c>
      <c r="AG312" s="58">
        <f t="shared" si="63"/>
        <v>0</v>
      </c>
      <c r="AH312" s="47"/>
      <c r="AJ312" s="47"/>
      <c r="AL312" s="47"/>
      <c r="AM312" s="47" t="str">
        <f t="shared" si="64"/>
        <v/>
      </c>
    </row>
    <row r="313" spans="1:39" s="56" customFormat="1" ht="14.25">
      <c r="A313" s="44"/>
      <c r="B313" s="45"/>
      <c r="C313" s="46">
        <f>IF(B313&lt;&gt;"",VLOOKUP(B313,'Tipo Projeto'!$A$3:$B$35,2,0),0)</f>
        <v>0</v>
      </c>
      <c r="D313" s="47"/>
      <c r="E313" s="47"/>
      <c r="F313" s="48"/>
      <c r="G313" s="47"/>
      <c r="H313" s="49"/>
      <c r="I313" s="50"/>
      <c r="J313" s="51"/>
      <c r="K313" s="52"/>
      <c r="L313" s="53" t="str">
        <f t="shared" si="52"/>
        <v/>
      </c>
      <c r="M313" s="48" t="str">
        <f t="shared" si="53"/>
        <v/>
      </c>
      <c r="N313" s="54" t="str">
        <f t="shared" si="54"/>
        <v/>
      </c>
      <c r="O313" s="55">
        <f t="shared" si="55"/>
        <v>0</v>
      </c>
      <c r="P313" s="55">
        <f t="shared" si="56"/>
        <v>0</v>
      </c>
      <c r="Q313" s="54">
        <f t="shared" si="57"/>
        <v>0</v>
      </c>
      <c r="R313" s="47"/>
      <c r="T313" s="57"/>
      <c r="U313" s="45"/>
      <c r="V313" s="46">
        <f>IF(U313&lt;&gt;"",VLOOKUP(U313,'Tipo Projeto'!$A$3:$B$35,2,0),0)</f>
        <v>0</v>
      </c>
      <c r="W313" s="47"/>
      <c r="X313" s="49"/>
      <c r="Y313" s="50"/>
      <c r="Z313" s="51"/>
      <c r="AA313" s="52"/>
      <c r="AB313" s="53" t="str">
        <f t="shared" si="58"/>
        <v/>
      </c>
      <c r="AC313" s="48" t="str">
        <f t="shared" si="59"/>
        <v/>
      </c>
      <c r="AD313" s="54" t="str">
        <f t="shared" si="60"/>
        <v/>
      </c>
      <c r="AE313" s="55">
        <f t="shared" si="61"/>
        <v>0</v>
      </c>
      <c r="AF313" s="55">
        <f t="shared" si="62"/>
        <v>0</v>
      </c>
      <c r="AG313" s="58">
        <f t="shared" si="63"/>
        <v>0</v>
      </c>
      <c r="AH313" s="47"/>
      <c r="AJ313" s="47"/>
      <c r="AL313" s="47"/>
      <c r="AM313" s="47" t="str">
        <f t="shared" si="64"/>
        <v/>
      </c>
    </row>
    <row r="314" spans="1:39" s="56" customFormat="1" ht="14.25">
      <c r="A314" s="44"/>
      <c r="B314" s="45"/>
      <c r="C314" s="46">
        <f>IF(B314&lt;&gt;"",VLOOKUP(B314,'Tipo Projeto'!$A$3:$B$35,2,0),0)</f>
        <v>0</v>
      </c>
      <c r="D314" s="47"/>
      <c r="E314" s="47"/>
      <c r="F314" s="48"/>
      <c r="G314" s="47"/>
      <c r="H314" s="49"/>
      <c r="I314" s="50"/>
      <c r="J314" s="51"/>
      <c r="K314" s="52"/>
      <c r="L314" s="53" t="str">
        <f t="shared" si="52"/>
        <v/>
      </c>
      <c r="M314" s="48" t="str">
        <f t="shared" si="53"/>
        <v/>
      </c>
      <c r="N314" s="54" t="str">
        <f t="shared" si="54"/>
        <v/>
      </c>
      <c r="O314" s="55">
        <f t="shared" si="55"/>
        <v>0</v>
      </c>
      <c r="P314" s="55">
        <f t="shared" si="56"/>
        <v>0</v>
      </c>
      <c r="Q314" s="54">
        <f t="shared" si="57"/>
        <v>0</v>
      </c>
      <c r="R314" s="47"/>
      <c r="T314" s="57"/>
      <c r="U314" s="45"/>
      <c r="V314" s="46">
        <f>IF(U314&lt;&gt;"",VLOOKUP(U314,'Tipo Projeto'!$A$3:$B$35,2,0),0)</f>
        <v>0</v>
      </c>
      <c r="W314" s="47"/>
      <c r="X314" s="49"/>
      <c r="Y314" s="50"/>
      <c r="Z314" s="51"/>
      <c r="AA314" s="52"/>
      <c r="AB314" s="53" t="str">
        <f t="shared" si="58"/>
        <v/>
      </c>
      <c r="AC314" s="48" t="str">
        <f t="shared" si="59"/>
        <v/>
      </c>
      <c r="AD314" s="54" t="str">
        <f t="shared" si="60"/>
        <v/>
      </c>
      <c r="AE314" s="55">
        <f t="shared" si="61"/>
        <v>0</v>
      </c>
      <c r="AF314" s="55">
        <f t="shared" si="62"/>
        <v>0</v>
      </c>
      <c r="AG314" s="58">
        <f t="shared" si="63"/>
        <v>0</v>
      </c>
      <c r="AH314" s="47"/>
      <c r="AJ314" s="47"/>
      <c r="AL314" s="47"/>
      <c r="AM314" s="47" t="str">
        <f t="shared" si="64"/>
        <v/>
      </c>
    </row>
    <row r="315" spans="1:39" s="56" customFormat="1" ht="14.25">
      <c r="A315" s="44"/>
      <c r="B315" s="45"/>
      <c r="C315" s="46">
        <f>IF(B315&lt;&gt;"",VLOOKUP(B315,'Tipo Projeto'!$A$3:$B$35,2,0),0)</f>
        <v>0</v>
      </c>
      <c r="D315" s="47"/>
      <c r="E315" s="47"/>
      <c r="F315" s="48"/>
      <c r="G315" s="47"/>
      <c r="H315" s="49"/>
      <c r="I315" s="50"/>
      <c r="J315" s="51"/>
      <c r="K315" s="52"/>
      <c r="L315" s="53" t="str">
        <f t="shared" si="52"/>
        <v/>
      </c>
      <c r="M315" s="48" t="str">
        <f t="shared" si="53"/>
        <v/>
      </c>
      <c r="N315" s="54" t="str">
        <f t="shared" si="54"/>
        <v/>
      </c>
      <c r="O315" s="55">
        <f t="shared" si="55"/>
        <v>0</v>
      </c>
      <c r="P315" s="55">
        <f t="shared" si="56"/>
        <v>0</v>
      </c>
      <c r="Q315" s="54">
        <f t="shared" si="57"/>
        <v>0</v>
      </c>
      <c r="R315" s="47"/>
      <c r="T315" s="57"/>
      <c r="U315" s="45"/>
      <c r="V315" s="46">
        <f>IF(U315&lt;&gt;"",VLOOKUP(U315,'Tipo Projeto'!$A$3:$B$35,2,0),0)</f>
        <v>0</v>
      </c>
      <c r="W315" s="47"/>
      <c r="X315" s="49"/>
      <c r="Y315" s="50"/>
      <c r="Z315" s="51"/>
      <c r="AA315" s="52"/>
      <c r="AB315" s="53" t="str">
        <f t="shared" si="58"/>
        <v/>
      </c>
      <c r="AC315" s="48" t="str">
        <f t="shared" si="59"/>
        <v/>
      </c>
      <c r="AD315" s="54" t="str">
        <f t="shared" si="60"/>
        <v/>
      </c>
      <c r="AE315" s="55">
        <f t="shared" si="61"/>
        <v>0</v>
      </c>
      <c r="AF315" s="55">
        <f t="shared" si="62"/>
        <v>0</v>
      </c>
      <c r="AG315" s="58">
        <f t="shared" si="63"/>
        <v>0</v>
      </c>
      <c r="AH315" s="47"/>
      <c r="AJ315" s="47"/>
      <c r="AL315" s="47"/>
      <c r="AM315" s="47" t="str">
        <f t="shared" si="64"/>
        <v/>
      </c>
    </row>
    <row r="316" spans="1:39" s="56" customFormat="1" ht="14.25">
      <c r="A316" s="44"/>
      <c r="B316" s="45"/>
      <c r="C316" s="46">
        <f>IF(B316&lt;&gt;"",VLOOKUP(B316,'Tipo Projeto'!$A$3:$B$35,2,0),0)</f>
        <v>0</v>
      </c>
      <c r="D316" s="47"/>
      <c r="E316" s="47"/>
      <c r="F316" s="48"/>
      <c r="G316" s="47"/>
      <c r="H316" s="49"/>
      <c r="I316" s="50"/>
      <c r="J316" s="51"/>
      <c r="K316" s="52"/>
      <c r="L316" s="53" t="str">
        <f t="shared" si="52"/>
        <v/>
      </c>
      <c r="M316" s="48" t="str">
        <f t="shared" si="53"/>
        <v/>
      </c>
      <c r="N316" s="54" t="str">
        <f t="shared" si="54"/>
        <v/>
      </c>
      <c r="O316" s="55">
        <f t="shared" si="55"/>
        <v>0</v>
      </c>
      <c r="P316" s="55">
        <f t="shared" si="56"/>
        <v>0</v>
      </c>
      <c r="Q316" s="54">
        <f t="shared" si="57"/>
        <v>0</v>
      </c>
      <c r="R316" s="47"/>
      <c r="T316" s="57"/>
      <c r="U316" s="45"/>
      <c r="V316" s="46">
        <f>IF(U316&lt;&gt;"",VLOOKUP(U316,'Tipo Projeto'!$A$3:$B$35,2,0),0)</f>
        <v>0</v>
      </c>
      <c r="W316" s="47"/>
      <c r="X316" s="49"/>
      <c r="Y316" s="50"/>
      <c r="Z316" s="51"/>
      <c r="AA316" s="52"/>
      <c r="AB316" s="53" t="str">
        <f t="shared" si="58"/>
        <v/>
      </c>
      <c r="AC316" s="48" t="str">
        <f t="shared" si="59"/>
        <v/>
      </c>
      <c r="AD316" s="54" t="str">
        <f t="shared" si="60"/>
        <v/>
      </c>
      <c r="AE316" s="55">
        <f t="shared" si="61"/>
        <v>0</v>
      </c>
      <c r="AF316" s="55">
        <f t="shared" si="62"/>
        <v>0</v>
      </c>
      <c r="AG316" s="58">
        <f t="shared" si="63"/>
        <v>0</v>
      </c>
      <c r="AH316" s="47"/>
      <c r="AJ316" s="47"/>
      <c r="AL316" s="47"/>
      <c r="AM316" s="47" t="str">
        <f t="shared" si="64"/>
        <v/>
      </c>
    </row>
    <row r="317" spans="1:39" s="56" customFormat="1" ht="14.25">
      <c r="A317" s="44"/>
      <c r="B317" s="45"/>
      <c r="C317" s="46">
        <f>IF(B317&lt;&gt;"",VLOOKUP(B317,'Tipo Projeto'!$A$3:$B$35,2,0),0)</f>
        <v>0</v>
      </c>
      <c r="D317" s="47"/>
      <c r="E317" s="47"/>
      <c r="F317" s="48"/>
      <c r="G317" s="47"/>
      <c r="H317" s="49"/>
      <c r="I317" s="50"/>
      <c r="J317" s="51"/>
      <c r="K317" s="52"/>
      <c r="L317" s="53" t="str">
        <f t="shared" si="52"/>
        <v/>
      </c>
      <c r="M317" s="48" t="str">
        <f t="shared" si="53"/>
        <v/>
      </c>
      <c r="N317" s="54" t="str">
        <f t="shared" si="54"/>
        <v/>
      </c>
      <c r="O317" s="55">
        <f t="shared" si="55"/>
        <v>0</v>
      </c>
      <c r="P317" s="55">
        <f t="shared" si="56"/>
        <v>0</v>
      </c>
      <c r="Q317" s="54">
        <f t="shared" si="57"/>
        <v>0</v>
      </c>
      <c r="R317" s="47"/>
      <c r="T317" s="57"/>
      <c r="U317" s="45"/>
      <c r="V317" s="46">
        <f>IF(U317&lt;&gt;"",VLOOKUP(U317,'Tipo Projeto'!$A$3:$B$35,2,0),0)</f>
        <v>0</v>
      </c>
      <c r="W317" s="47"/>
      <c r="X317" s="49"/>
      <c r="Y317" s="50"/>
      <c r="Z317" s="51"/>
      <c r="AA317" s="52"/>
      <c r="AB317" s="53" t="str">
        <f t="shared" si="58"/>
        <v/>
      </c>
      <c r="AC317" s="48" t="str">
        <f t="shared" si="59"/>
        <v/>
      </c>
      <c r="AD317" s="54" t="str">
        <f t="shared" si="60"/>
        <v/>
      </c>
      <c r="AE317" s="55">
        <f t="shared" si="61"/>
        <v>0</v>
      </c>
      <c r="AF317" s="55">
        <f t="shared" si="62"/>
        <v>0</v>
      </c>
      <c r="AG317" s="58">
        <f t="shared" si="63"/>
        <v>0</v>
      </c>
      <c r="AH317" s="47"/>
      <c r="AJ317" s="47"/>
      <c r="AL317" s="47"/>
      <c r="AM317" s="47" t="str">
        <f t="shared" si="64"/>
        <v/>
      </c>
    </row>
    <row r="318" spans="1:39" s="56" customFormat="1" ht="14.25">
      <c r="A318" s="44"/>
      <c r="B318" s="45"/>
      <c r="C318" s="46">
        <f>IF(B318&lt;&gt;"",VLOOKUP(B318,'Tipo Projeto'!$A$3:$B$35,2,0),0)</f>
        <v>0</v>
      </c>
      <c r="D318" s="47"/>
      <c r="E318" s="47"/>
      <c r="F318" s="48"/>
      <c r="G318" s="47"/>
      <c r="H318" s="49"/>
      <c r="I318" s="50"/>
      <c r="J318" s="51"/>
      <c r="K318" s="52"/>
      <c r="L318" s="53" t="str">
        <f t="shared" si="52"/>
        <v/>
      </c>
      <c r="M318" s="48" t="str">
        <f t="shared" si="53"/>
        <v/>
      </c>
      <c r="N318" s="54" t="str">
        <f t="shared" si="54"/>
        <v/>
      </c>
      <c r="O318" s="55">
        <f t="shared" si="55"/>
        <v>0</v>
      </c>
      <c r="P318" s="55">
        <f t="shared" si="56"/>
        <v>0</v>
      </c>
      <c r="Q318" s="54">
        <f t="shared" si="57"/>
        <v>0</v>
      </c>
      <c r="R318" s="47"/>
      <c r="T318" s="57"/>
      <c r="U318" s="45"/>
      <c r="V318" s="46">
        <f>IF(U318&lt;&gt;"",VLOOKUP(U318,'Tipo Projeto'!$A$3:$B$35,2,0),0)</f>
        <v>0</v>
      </c>
      <c r="W318" s="47"/>
      <c r="X318" s="49"/>
      <c r="Y318" s="50"/>
      <c r="Z318" s="51"/>
      <c r="AA318" s="52"/>
      <c r="AB318" s="53" t="str">
        <f t="shared" si="58"/>
        <v/>
      </c>
      <c r="AC318" s="48" t="str">
        <f t="shared" si="59"/>
        <v/>
      </c>
      <c r="AD318" s="54" t="str">
        <f t="shared" si="60"/>
        <v/>
      </c>
      <c r="AE318" s="55">
        <f t="shared" si="61"/>
        <v>0</v>
      </c>
      <c r="AF318" s="55">
        <f t="shared" si="62"/>
        <v>0</v>
      </c>
      <c r="AG318" s="58">
        <f t="shared" si="63"/>
        <v>0</v>
      </c>
      <c r="AH318" s="47"/>
      <c r="AJ318" s="47"/>
      <c r="AL318" s="47"/>
      <c r="AM318" s="47" t="str">
        <f t="shared" si="64"/>
        <v/>
      </c>
    </row>
    <row r="319" spans="1:39" s="56" customFormat="1" ht="14.25">
      <c r="A319" s="44"/>
      <c r="B319" s="45"/>
      <c r="C319" s="46">
        <f>IF(B319&lt;&gt;"",VLOOKUP(B319,'Tipo Projeto'!$A$3:$B$35,2,0),0)</f>
        <v>0</v>
      </c>
      <c r="D319" s="47"/>
      <c r="E319" s="47"/>
      <c r="F319" s="48"/>
      <c r="G319" s="47"/>
      <c r="H319" s="49"/>
      <c r="I319" s="50"/>
      <c r="J319" s="51"/>
      <c r="K319" s="52"/>
      <c r="L319" s="53" t="str">
        <f t="shared" si="52"/>
        <v/>
      </c>
      <c r="M319" s="48" t="str">
        <f t="shared" si="53"/>
        <v/>
      </c>
      <c r="N319" s="54" t="str">
        <f t="shared" si="54"/>
        <v/>
      </c>
      <c r="O319" s="55">
        <f t="shared" si="55"/>
        <v>0</v>
      </c>
      <c r="P319" s="55">
        <f t="shared" si="56"/>
        <v>0</v>
      </c>
      <c r="Q319" s="54">
        <f t="shared" si="57"/>
        <v>0</v>
      </c>
      <c r="R319" s="47"/>
      <c r="T319" s="57"/>
      <c r="U319" s="45"/>
      <c r="V319" s="46">
        <f>IF(U319&lt;&gt;"",VLOOKUP(U319,'Tipo Projeto'!$A$3:$B$35,2,0),0)</f>
        <v>0</v>
      </c>
      <c r="W319" s="47"/>
      <c r="X319" s="49"/>
      <c r="Y319" s="50"/>
      <c r="Z319" s="51"/>
      <c r="AA319" s="52"/>
      <c r="AB319" s="53" t="str">
        <f t="shared" si="58"/>
        <v/>
      </c>
      <c r="AC319" s="48" t="str">
        <f t="shared" si="59"/>
        <v/>
      </c>
      <c r="AD319" s="54" t="str">
        <f t="shared" si="60"/>
        <v/>
      </c>
      <c r="AE319" s="55">
        <f t="shared" si="61"/>
        <v>0</v>
      </c>
      <c r="AF319" s="55">
        <f t="shared" si="62"/>
        <v>0</v>
      </c>
      <c r="AG319" s="58">
        <f t="shared" si="63"/>
        <v>0</v>
      </c>
      <c r="AH319" s="47"/>
      <c r="AJ319" s="47"/>
      <c r="AL319" s="47"/>
      <c r="AM319" s="47" t="str">
        <f t="shared" si="64"/>
        <v/>
      </c>
    </row>
    <row r="320" spans="1:39" s="56" customFormat="1" ht="14.25">
      <c r="A320" s="44"/>
      <c r="B320" s="45"/>
      <c r="C320" s="46">
        <f>IF(B320&lt;&gt;"",VLOOKUP(B320,'Tipo Projeto'!$A$3:$B$35,2,0),0)</f>
        <v>0</v>
      </c>
      <c r="D320" s="47"/>
      <c r="E320" s="47"/>
      <c r="F320" s="48"/>
      <c r="G320" s="47"/>
      <c r="H320" s="49"/>
      <c r="I320" s="50"/>
      <c r="J320" s="51"/>
      <c r="K320" s="52"/>
      <c r="L320" s="53" t="str">
        <f t="shared" si="52"/>
        <v/>
      </c>
      <c r="M320" s="48" t="str">
        <f t="shared" si="53"/>
        <v/>
      </c>
      <c r="N320" s="54" t="str">
        <f t="shared" si="54"/>
        <v/>
      </c>
      <c r="O320" s="55">
        <f t="shared" si="55"/>
        <v>0</v>
      </c>
      <c r="P320" s="55">
        <f t="shared" si="56"/>
        <v>0</v>
      </c>
      <c r="Q320" s="54">
        <f t="shared" si="57"/>
        <v>0</v>
      </c>
      <c r="R320" s="47"/>
      <c r="T320" s="57"/>
      <c r="U320" s="45"/>
      <c r="V320" s="46">
        <f>IF(U320&lt;&gt;"",VLOOKUP(U320,'Tipo Projeto'!$A$3:$B$35,2,0),0)</f>
        <v>0</v>
      </c>
      <c r="W320" s="47"/>
      <c r="X320" s="49"/>
      <c r="Y320" s="50"/>
      <c r="Z320" s="51"/>
      <c r="AA320" s="52"/>
      <c r="AB320" s="53" t="str">
        <f t="shared" si="58"/>
        <v/>
      </c>
      <c r="AC320" s="48" t="str">
        <f t="shared" si="59"/>
        <v/>
      </c>
      <c r="AD320" s="54" t="str">
        <f t="shared" si="60"/>
        <v/>
      </c>
      <c r="AE320" s="55">
        <f t="shared" si="61"/>
        <v>0</v>
      </c>
      <c r="AF320" s="55">
        <f t="shared" si="62"/>
        <v>0</v>
      </c>
      <c r="AG320" s="58">
        <f t="shared" si="63"/>
        <v>0</v>
      </c>
      <c r="AH320" s="47"/>
      <c r="AJ320" s="47"/>
      <c r="AL320" s="47"/>
      <c r="AM320" s="47" t="str">
        <f t="shared" si="64"/>
        <v/>
      </c>
    </row>
    <row r="321" spans="1:39" s="56" customFormat="1" ht="14.25">
      <c r="A321" s="44"/>
      <c r="B321" s="45"/>
      <c r="C321" s="46">
        <f>IF(B321&lt;&gt;"",VLOOKUP(B321,'Tipo Projeto'!$A$3:$B$35,2,0),0)</f>
        <v>0</v>
      </c>
      <c r="D321" s="47"/>
      <c r="E321" s="47"/>
      <c r="F321" s="48"/>
      <c r="G321" s="47"/>
      <c r="H321" s="49"/>
      <c r="I321" s="50"/>
      <c r="J321" s="51"/>
      <c r="K321" s="52"/>
      <c r="L321" s="53" t="str">
        <f t="shared" si="52"/>
        <v/>
      </c>
      <c r="M321" s="48" t="str">
        <f t="shared" si="53"/>
        <v/>
      </c>
      <c r="N321" s="54" t="str">
        <f t="shared" si="54"/>
        <v/>
      </c>
      <c r="O321" s="55">
        <f t="shared" si="55"/>
        <v>0</v>
      </c>
      <c r="P321" s="55">
        <f t="shared" si="56"/>
        <v>0</v>
      </c>
      <c r="Q321" s="54">
        <f t="shared" si="57"/>
        <v>0</v>
      </c>
      <c r="R321" s="47"/>
      <c r="T321" s="57"/>
      <c r="U321" s="45"/>
      <c r="V321" s="46">
        <f>IF(U321&lt;&gt;"",VLOOKUP(U321,'Tipo Projeto'!$A$3:$B$35,2,0),0)</f>
        <v>0</v>
      </c>
      <c r="W321" s="47"/>
      <c r="X321" s="49"/>
      <c r="Y321" s="50"/>
      <c r="Z321" s="51"/>
      <c r="AA321" s="52"/>
      <c r="AB321" s="53" t="str">
        <f t="shared" si="58"/>
        <v/>
      </c>
      <c r="AC321" s="48" t="str">
        <f t="shared" si="59"/>
        <v/>
      </c>
      <c r="AD321" s="54" t="str">
        <f t="shared" si="60"/>
        <v/>
      </c>
      <c r="AE321" s="55">
        <f t="shared" si="61"/>
        <v>0</v>
      </c>
      <c r="AF321" s="55">
        <f t="shared" si="62"/>
        <v>0</v>
      </c>
      <c r="AG321" s="58">
        <f t="shared" si="63"/>
        <v>0</v>
      </c>
      <c r="AH321" s="47"/>
      <c r="AJ321" s="47"/>
      <c r="AL321" s="47"/>
      <c r="AM321" s="47" t="str">
        <f t="shared" si="64"/>
        <v/>
      </c>
    </row>
    <row r="322" spans="1:39" s="56" customFormat="1" ht="14.25">
      <c r="A322" s="44"/>
      <c r="B322" s="45"/>
      <c r="C322" s="46">
        <f>IF(B322&lt;&gt;"",VLOOKUP(B322,'Tipo Projeto'!$A$3:$B$35,2,0),0)</f>
        <v>0</v>
      </c>
      <c r="D322" s="47"/>
      <c r="E322" s="47"/>
      <c r="F322" s="48"/>
      <c r="G322" s="47"/>
      <c r="H322" s="49"/>
      <c r="I322" s="50"/>
      <c r="J322" s="51"/>
      <c r="K322" s="52"/>
      <c r="L322" s="53" t="str">
        <f t="shared" si="52"/>
        <v/>
      </c>
      <c r="M322" s="48" t="str">
        <f t="shared" si="53"/>
        <v/>
      </c>
      <c r="N322" s="54" t="str">
        <f t="shared" si="54"/>
        <v/>
      </c>
      <c r="O322" s="55">
        <f t="shared" si="55"/>
        <v>0</v>
      </c>
      <c r="P322" s="55">
        <f t="shared" si="56"/>
        <v>0</v>
      </c>
      <c r="Q322" s="54">
        <f t="shared" si="57"/>
        <v>0</v>
      </c>
      <c r="R322" s="47"/>
      <c r="T322" s="57"/>
      <c r="U322" s="45"/>
      <c r="V322" s="46">
        <f>IF(U322&lt;&gt;"",VLOOKUP(U322,'Tipo Projeto'!$A$3:$B$35,2,0),0)</f>
        <v>0</v>
      </c>
      <c r="W322" s="47"/>
      <c r="X322" s="49"/>
      <c r="Y322" s="50"/>
      <c r="Z322" s="51"/>
      <c r="AA322" s="52"/>
      <c r="AB322" s="53" t="str">
        <f t="shared" si="58"/>
        <v/>
      </c>
      <c r="AC322" s="48" t="str">
        <f t="shared" si="59"/>
        <v/>
      </c>
      <c r="AD322" s="54" t="str">
        <f t="shared" si="60"/>
        <v/>
      </c>
      <c r="AE322" s="55">
        <f t="shared" si="61"/>
        <v>0</v>
      </c>
      <c r="AF322" s="55">
        <f t="shared" si="62"/>
        <v>0</v>
      </c>
      <c r="AG322" s="58">
        <f t="shared" si="63"/>
        <v>0</v>
      </c>
      <c r="AH322" s="47"/>
      <c r="AJ322" s="47"/>
      <c r="AL322" s="47"/>
      <c r="AM322" s="47" t="str">
        <f t="shared" si="64"/>
        <v/>
      </c>
    </row>
    <row r="323" spans="1:39" s="56" customFormat="1" ht="14.25">
      <c r="A323" s="44"/>
      <c r="B323" s="45"/>
      <c r="C323" s="46">
        <f>IF(B323&lt;&gt;"",VLOOKUP(B323,'Tipo Projeto'!$A$3:$B$35,2,0),0)</f>
        <v>0</v>
      </c>
      <c r="D323" s="47"/>
      <c r="E323" s="47"/>
      <c r="F323" s="48"/>
      <c r="G323" s="47"/>
      <c r="H323" s="49"/>
      <c r="I323" s="50"/>
      <c r="J323" s="51"/>
      <c r="K323" s="52"/>
      <c r="L323" s="53" t="str">
        <f t="shared" si="52"/>
        <v/>
      </c>
      <c r="M323" s="48" t="str">
        <f t="shared" si="53"/>
        <v/>
      </c>
      <c r="N323" s="54" t="str">
        <f t="shared" si="54"/>
        <v/>
      </c>
      <c r="O323" s="55">
        <f t="shared" si="55"/>
        <v>0</v>
      </c>
      <c r="P323" s="55">
        <f t="shared" si="56"/>
        <v>0</v>
      </c>
      <c r="Q323" s="54">
        <f t="shared" si="57"/>
        <v>0</v>
      </c>
      <c r="R323" s="47"/>
      <c r="T323" s="57"/>
      <c r="U323" s="45"/>
      <c r="V323" s="46">
        <f>IF(U323&lt;&gt;"",VLOOKUP(U323,'Tipo Projeto'!$A$3:$B$35,2,0),0)</f>
        <v>0</v>
      </c>
      <c r="W323" s="47"/>
      <c r="X323" s="49"/>
      <c r="Y323" s="50"/>
      <c r="Z323" s="51"/>
      <c r="AA323" s="52"/>
      <c r="AB323" s="53" t="str">
        <f t="shared" si="58"/>
        <v/>
      </c>
      <c r="AC323" s="48" t="str">
        <f t="shared" si="59"/>
        <v/>
      </c>
      <c r="AD323" s="54" t="str">
        <f t="shared" si="60"/>
        <v/>
      </c>
      <c r="AE323" s="55">
        <f t="shared" si="61"/>
        <v>0</v>
      </c>
      <c r="AF323" s="55">
        <f t="shared" si="62"/>
        <v>0</v>
      </c>
      <c r="AG323" s="58">
        <f t="shared" si="63"/>
        <v>0</v>
      </c>
      <c r="AH323" s="47"/>
      <c r="AJ323" s="47"/>
      <c r="AL323" s="47"/>
      <c r="AM323" s="47" t="str">
        <f t="shared" si="64"/>
        <v/>
      </c>
    </row>
    <row r="324" spans="1:39" s="56" customFormat="1" ht="14.25">
      <c r="A324" s="44"/>
      <c r="B324" s="45"/>
      <c r="C324" s="46">
        <f>IF(B324&lt;&gt;"",VLOOKUP(B324,'Tipo Projeto'!$A$3:$B$35,2,0),0)</f>
        <v>0</v>
      </c>
      <c r="D324" s="47"/>
      <c r="E324" s="47"/>
      <c r="F324" s="48"/>
      <c r="G324" s="47"/>
      <c r="H324" s="49"/>
      <c r="I324" s="50"/>
      <c r="J324" s="51"/>
      <c r="K324" s="52"/>
      <c r="L324" s="53" t="str">
        <f t="shared" si="52"/>
        <v/>
      </c>
      <c r="M324" s="48" t="str">
        <f t="shared" si="53"/>
        <v/>
      </c>
      <c r="N324" s="54" t="str">
        <f t="shared" si="54"/>
        <v/>
      </c>
      <c r="O324" s="55">
        <f t="shared" si="55"/>
        <v>0</v>
      </c>
      <c r="P324" s="55">
        <f t="shared" si="56"/>
        <v>0</v>
      </c>
      <c r="Q324" s="54">
        <f t="shared" si="57"/>
        <v>0</v>
      </c>
      <c r="R324" s="47"/>
      <c r="T324" s="57"/>
      <c r="U324" s="45"/>
      <c r="V324" s="46">
        <f>IF(U324&lt;&gt;"",VLOOKUP(U324,'Tipo Projeto'!$A$3:$B$35,2,0),0)</f>
        <v>0</v>
      </c>
      <c r="W324" s="47"/>
      <c r="X324" s="49"/>
      <c r="Y324" s="50"/>
      <c r="Z324" s="51"/>
      <c r="AA324" s="52"/>
      <c r="AB324" s="53" t="str">
        <f t="shared" si="58"/>
        <v/>
      </c>
      <c r="AC324" s="48" t="str">
        <f t="shared" si="59"/>
        <v/>
      </c>
      <c r="AD324" s="54" t="str">
        <f t="shared" si="60"/>
        <v/>
      </c>
      <c r="AE324" s="55">
        <f t="shared" si="61"/>
        <v>0</v>
      </c>
      <c r="AF324" s="55">
        <f t="shared" si="62"/>
        <v>0</v>
      </c>
      <c r="AG324" s="58">
        <f t="shared" si="63"/>
        <v>0</v>
      </c>
      <c r="AH324" s="47"/>
      <c r="AJ324" s="47"/>
      <c r="AL324" s="47"/>
      <c r="AM324" s="47" t="str">
        <f t="shared" si="64"/>
        <v/>
      </c>
    </row>
    <row r="325" spans="1:39" s="56" customFormat="1" ht="14.25">
      <c r="A325" s="44"/>
      <c r="B325" s="45"/>
      <c r="C325" s="46">
        <f>IF(B325&lt;&gt;"",VLOOKUP(B325,'Tipo Projeto'!$A$3:$B$35,2,0),0)</f>
        <v>0</v>
      </c>
      <c r="D325" s="47"/>
      <c r="E325" s="47"/>
      <c r="F325" s="48"/>
      <c r="G325" s="47"/>
      <c r="H325" s="49"/>
      <c r="I325" s="50"/>
      <c r="J325" s="51"/>
      <c r="K325" s="52"/>
      <c r="L325" s="53" t="str">
        <f t="shared" si="52"/>
        <v/>
      </c>
      <c r="M325" s="48" t="str">
        <f t="shared" si="53"/>
        <v/>
      </c>
      <c r="N325" s="54" t="str">
        <f t="shared" si="54"/>
        <v/>
      </c>
      <c r="O325" s="55">
        <f t="shared" si="55"/>
        <v>0</v>
      </c>
      <c r="P325" s="55">
        <f t="shared" si="56"/>
        <v>0</v>
      </c>
      <c r="Q325" s="54">
        <f t="shared" si="57"/>
        <v>0</v>
      </c>
      <c r="R325" s="47"/>
      <c r="T325" s="57"/>
      <c r="U325" s="45"/>
      <c r="V325" s="46">
        <f>IF(U325&lt;&gt;"",VLOOKUP(U325,'Tipo Projeto'!$A$3:$B$35,2,0),0)</f>
        <v>0</v>
      </c>
      <c r="W325" s="47"/>
      <c r="X325" s="49"/>
      <c r="Y325" s="50"/>
      <c r="Z325" s="51"/>
      <c r="AA325" s="52"/>
      <c r="AB325" s="53" t="str">
        <f t="shared" si="58"/>
        <v/>
      </c>
      <c r="AC325" s="48" t="str">
        <f t="shared" si="59"/>
        <v/>
      </c>
      <c r="AD325" s="54" t="str">
        <f t="shared" si="60"/>
        <v/>
      </c>
      <c r="AE325" s="55">
        <f t="shared" si="61"/>
        <v>0</v>
      </c>
      <c r="AF325" s="55">
        <f t="shared" si="62"/>
        <v>0</v>
      </c>
      <c r="AG325" s="58">
        <f t="shared" si="63"/>
        <v>0</v>
      </c>
      <c r="AH325" s="47"/>
      <c r="AJ325" s="47"/>
      <c r="AL325" s="47"/>
      <c r="AM325" s="47" t="str">
        <f t="shared" si="64"/>
        <v/>
      </c>
    </row>
    <row r="326" spans="1:39" s="56" customFormat="1" ht="14.25">
      <c r="A326" s="44"/>
      <c r="B326" s="45"/>
      <c r="C326" s="46">
        <f>IF(B326&lt;&gt;"",VLOOKUP(B326,'Tipo Projeto'!$A$3:$B$35,2,0),0)</f>
        <v>0</v>
      </c>
      <c r="D326" s="47"/>
      <c r="E326" s="47"/>
      <c r="F326" s="48"/>
      <c r="G326" s="47"/>
      <c r="H326" s="49"/>
      <c r="I326" s="50"/>
      <c r="J326" s="51"/>
      <c r="K326" s="52"/>
      <c r="L326" s="53" t="str">
        <f t="shared" si="52"/>
        <v/>
      </c>
      <c r="M326" s="48" t="str">
        <f t="shared" si="53"/>
        <v/>
      </c>
      <c r="N326" s="54" t="str">
        <f t="shared" si="54"/>
        <v/>
      </c>
      <c r="O326" s="55">
        <f t="shared" si="55"/>
        <v>0</v>
      </c>
      <c r="P326" s="55">
        <f t="shared" si="56"/>
        <v>0</v>
      </c>
      <c r="Q326" s="54">
        <f t="shared" si="57"/>
        <v>0</v>
      </c>
      <c r="R326" s="47"/>
      <c r="T326" s="57"/>
      <c r="U326" s="45"/>
      <c r="V326" s="46">
        <f>IF(U326&lt;&gt;"",VLOOKUP(U326,'Tipo Projeto'!$A$3:$B$35,2,0),0)</f>
        <v>0</v>
      </c>
      <c r="W326" s="47"/>
      <c r="X326" s="49"/>
      <c r="Y326" s="50"/>
      <c r="Z326" s="51"/>
      <c r="AA326" s="52"/>
      <c r="AB326" s="53" t="str">
        <f t="shared" si="58"/>
        <v/>
      </c>
      <c r="AC326" s="48" t="str">
        <f t="shared" si="59"/>
        <v/>
      </c>
      <c r="AD326" s="54" t="str">
        <f t="shared" si="60"/>
        <v/>
      </c>
      <c r="AE326" s="55">
        <f t="shared" si="61"/>
        <v>0</v>
      </c>
      <c r="AF326" s="55">
        <f t="shared" si="62"/>
        <v>0</v>
      </c>
      <c r="AG326" s="58">
        <f t="shared" si="63"/>
        <v>0</v>
      </c>
      <c r="AH326" s="47"/>
      <c r="AJ326" s="47"/>
      <c r="AL326" s="47"/>
      <c r="AM326" s="47" t="str">
        <f t="shared" si="64"/>
        <v/>
      </c>
    </row>
    <row r="327" spans="1:39" s="56" customFormat="1" ht="14.25">
      <c r="A327" s="44"/>
      <c r="B327" s="45"/>
      <c r="C327" s="46">
        <f>IF(B327&lt;&gt;"",VLOOKUP(B327,'Tipo Projeto'!$A$3:$B$35,2,0),0)</f>
        <v>0</v>
      </c>
      <c r="D327" s="47"/>
      <c r="E327" s="47"/>
      <c r="F327" s="48"/>
      <c r="G327" s="47"/>
      <c r="H327" s="49"/>
      <c r="I327" s="50"/>
      <c r="J327" s="51"/>
      <c r="K327" s="52"/>
      <c r="L327" s="53" t="str">
        <f t="shared" si="52"/>
        <v/>
      </c>
      <c r="M327" s="48" t="str">
        <f t="shared" si="53"/>
        <v/>
      </c>
      <c r="N327" s="54" t="str">
        <f t="shared" si="54"/>
        <v/>
      </c>
      <c r="O327" s="55">
        <f t="shared" si="55"/>
        <v>0</v>
      </c>
      <c r="P327" s="55">
        <f t="shared" si="56"/>
        <v>0</v>
      </c>
      <c r="Q327" s="54">
        <f t="shared" si="57"/>
        <v>0</v>
      </c>
      <c r="R327" s="47"/>
      <c r="T327" s="57"/>
      <c r="U327" s="45"/>
      <c r="V327" s="46">
        <f>IF(U327&lt;&gt;"",VLOOKUP(U327,'Tipo Projeto'!$A$3:$B$35,2,0),0)</f>
        <v>0</v>
      </c>
      <c r="W327" s="47"/>
      <c r="X327" s="49"/>
      <c r="Y327" s="50"/>
      <c r="Z327" s="51"/>
      <c r="AA327" s="52"/>
      <c r="AB327" s="53" t="str">
        <f t="shared" si="58"/>
        <v/>
      </c>
      <c r="AC327" s="48" t="str">
        <f t="shared" si="59"/>
        <v/>
      </c>
      <c r="AD327" s="54" t="str">
        <f t="shared" si="60"/>
        <v/>
      </c>
      <c r="AE327" s="55">
        <f t="shared" si="61"/>
        <v>0</v>
      </c>
      <c r="AF327" s="55">
        <f t="shared" si="62"/>
        <v>0</v>
      </c>
      <c r="AG327" s="58">
        <f t="shared" si="63"/>
        <v>0</v>
      </c>
      <c r="AH327" s="47"/>
      <c r="AJ327" s="47"/>
      <c r="AL327" s="47"/>
      <c r="AM327" s="47" t="str">
        <f t="shared" si="64"/>
        <v/>
      </c>
    </row>
    <row r="328" spans="1:39" s="56" customFormat="1" ht="14.25">
      <c r="A328" s="44"/>
      <c r="B328" s="45"/>
      <c r="C328" s="46">
        <f>IF(B328&lt;&gt;"",VLOOKUP(B328,'Tipo Projeto'!$A$3:$B$35,2,0),0)</f>
        <v>0</v>
      </c>
      <c r="D328" s="47"/>
      <c r="E328" s="47"/>
      <c r="F328" s="48"/>
      <c r="G328" s="47"/>
      <c r="H328" s="49"/>
      <c r="I328" s="50"/>
      <c r="J328" s="51"/>
      <c r="K328" s="52"/>
      <c r="L328" s="53" t="str">
        <f t="shared" si="52"/>
        <v/>
      </c>
      <c r="M328" s="48" t="str">
        <f t="shared" si="53"/>
        <v/>
      </c>
      <c r="N328" s="54" t="str">
        <f t="shared" si="54"/>
        <v/>
      </c>
      <c r="O328" s="55">
        <f t="shared" si="55"/>
        <v>0</v>
      </c>
      <c r="P328" s="55">
        <f t="shared" si="56"/>
        <v>0</v>
      </c>
      <c r="Q328" s="54">
        <f t="shared" si="57"/>
        <v>0</v>
      </c>
      <c r="R328" s="47"/>
      <c r="T328" s="57"/>
      <c r="U328" s="45"/>
      <c r="V328" s="46">
        <f>IF(U328&lt;&gt;"",VLOOKUP(U328,'Tipo Projeto'!$A$3:$B$35,2,0),0)</f>
        <v>0</v>
      </c>
      <c r="W328" s="47"/>
      <c r="X328" s="49"/>
      <c r="Y328" s="50"/>
      <c r="Z328" s="51"/>
      <c r="AA328" s="52"/>
      <c r="AB328" s="53" t="str">
        <f t="shared" si="58"/>
        <v/>
      </c>
      <c r="AC328" s="48" t="str">
        <f t="shared" si="59"/>
        <v/>
      </c>
      <c r="AD328" s="54" t="str">
        <f t="shared" si="60"/>
        <v/>
      </c>
      <c r="AE328" s="55">
        <f t="shared" si="61"/>
        <v>0</v>
      </c>
      <c r="AF328" s="55">
        <f t="shared" si="62"/>
        <v>0</v>
      </c>
      <c r="AG328" s="58">
        <f t="shared" si="63"/>
        <v>0</v>
      </c>
      <c r="AH328" s="47"/>
      <c r="AJ328" s="47"/>
      <c r="AL328" s="47"/>
      <c r="AM328" s="47" t="str">
        <f t="shared" si="64"/>
        <v/>
      </c>
    </row>
    <row r="329" spans="1:39" s="56" customFormat="1" ht="14.25">
      <c r="A329" s="44"/>
      <c r="B329" s="45"/>
      <c r="C329" s="46">
        <f>IF(B329&lt;&gt;"",VLOOKUP(B329,'Tipo Projeto'!$A$3:$B$35,2,0),0)</f>
        <v>0</v>
      </c>
      <c r="D329" s="47"/>
      <c r="E329" s="47"/>
      <c r="F329" s="48"/>
      <c r="G329" s="47"/>
      <c r="H329" s="49"/>
      <c r="I329" s="50"/>
      <c r="J329" s="51"/>
      <c r="K329" s="52"/>
      <c r="L329" s="53" t="str">
        <f t="shared" si="52"/>
        <v/>
      </c>
      <c r="M329" s="48" t="str">
        <f t="shared" si="53"/>
        <v/>
      </c>
      <c r="N329" s="54" t="str">
        <f t="shared" si="54"/>
        <v/>
      </c>
      <c r="O329" s="55">
        <f t="shared" si="55"/>
        <v>0</v>
      </c>
      <c r="P329" s="55">
        <f t="shared" si="56"/>
        <v>0</v>
      </c>
      <c r="Q329" s="54">
        <f t="shared" si="57"/>
        <v>0</v>
      </c>
      <c r="R329" s="47"/>
      <c r="T329" s="57"/>
      <c r="U329" s="45"/>
      <c r="V329" s="46">
        <f>IF(U329&lt;&gt;"",VLOOKUP(U329,'Tipo Projeto'!$A$3:$B$35,2,0),0)</f>
        <v>0</v>
      </c>
      <c r="W329" s="47"/>
      <c r="X329" s="49"/>
      <c r="Y329" s="50"/>
      <c r="Z329" s="51"/>
      <c r="AA329" s="52"/>
      <c r="AB329" s="53" t="str">
        <f t="shared" si="58"/>
        <v/>
      </c>
      <c r="AC329" s="48" t="str">
        <f t="shared" si="59"/>
        <v/>
      </c>
      <c r="AD329" s="54" t="str">
        <f t="shared" si="60"/>
        <v/>
      </c>
      <c r="AE329" s="55">
        <f t="shared" si="61"/>
        <v>0</v>
      </c>
      <c r="AF329" s="55">
        <f t="shared" si="62"/>
        <v>0</v>
      </c>
      <c r="AG329" s="58">
        <f t="shared" si="63"/>
        <v>0</v>
      </c>
      <c r="AH329" s="47"/>
      <c r="AJ329" s="47"/>
      <c r="AL329" s="47"/>
      <c r="AM329" s="47" t="str">
        <f t="shared" si="64"/>
        <v/>
      </c>
    </row>
    <row r="330" spans="1:39" s="56" customFormat="1" ht="14.25">
      <c r="A330" s="44"/>
      <c r="B330" s="45"/>
      <c r="C330" s="46">
        <f>IF(B330&lt;&gt;"",VLOOKUP(B330,'Tipo Projeto'!$A$3:$B$35,2,0),0)</f>
        <v>0</v>
      </c>
      <c r="D330" s="47"/>
      <c r="E330" s="47"/>
      <c r="F330" s="48"/>
      <c r="G330" s="47"/>
      <c r="H330" s="49"/>
      <c r="I330" s="50"/>
      <c r="J330" s="51"/>
      <c r="K330" s="52"/>
      <c r="L330" s="53" t="str">
        <f t="shared" ref="L330:L361"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8" t="str">
        <f t="shared" ref="M330:M361"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4" t="str">
        <f t="shared" ref="N330:N361" si="67">IF(L330="",M330,IF(M330="",L330,""))</f>
        <v/>
      </c>
      <c r="O330" s="55">
        <f t="shared" ref="O330:O361" si="68">IF(AND(OR(G330="EE",G330="CE"),N330="Simples"),3, IF(AND(OR(G330="EE",G330="CE"),N330="Médio"),4, IF(AND(OR(G330="EE",G330="CE"),N330="Complexo"),6, IF(AND(G330="SE",N330="Simples"),4, IF(AND(G330="SE",N330="Médio"),5, IF(AND(G330="SE",N330="Complexo"),7,0))))))</f>
        <v>0</v>
      </c>
      <c r="P330" s="55">
        <f t="shared" ref="P330:P361" si="69">IF(AND(G330="ALI",M330="Simples"),7, IF(AND(G330="ALI",M330="Médio"),10, IF(AND(G330="ALI",M330="Complexo"),15, IF(AND(G330="AIE",M330="Simples"),5, IF(AND(G330="AIE",M330="Médio"),7, IF(AND(G330="AIE",M330="Complexo"),10,0))))))</f>
        <v>0</v>
      </c>
      <c r="Q330" s="54">
        <f t="shared" ref="Q330:Q361" si="70">IF(B330&lt;&gt;"Manutenção em interface",IF(B330&lt;&gt;"Desenv., Manutenção e Publicação de Páginas Estáticas",(O330+P330)*C330,C330),C330)</f>
        <v>0</v>
      </c>
      <c r="R330" s="47"/>
      <c r="T330" s="57"/>
      <c r="U330" s="45"/>
      <c r="V330" s="46">
        <f>IF(U330&lt;&gt;"",VLOOKUP(U330,'Tipo Projeto'!$A$3:$B$35,2,0),0)</f>
        <v>0</v>
      </c>
      <c r="W330" s="47"/>
      <c r="X330" s="49"/>
      <c r="Y330" s="50"/>
      <c r="Z330" s="51"/>
      <c r="AA330" s="52"/>
      <c r="AB330" s="53" t="str">
        <f t="shared" ref="AB330:AB361"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8" t="str">
        <f t="shared" ref="AC330:AC361"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4" t="str">
        <f t="shared" ref="AD330:AD361" si="73">IF(AB330="",AC330,IF(AC330="",AB330,""))</f>
        <v/>
      </c>
      <c r="AE330" s="55">
        <f t="shared" ref="AE330:AE361" si="74">IF(AND(OR(W330="EE",W330="CE"),AD330="Simples"),3, IF(AND(OR(W330="EE",W330="CE"),AD330="Médio"),4, IF(AND(OR(W330="EE",W330="CE"),AD330="Complexo"),6, IF(AND(W330="SE",AD330="Simples"),4, IF(AND(W330="SE",AD330="Médio"),5, IF(AND(W330="SE",AD330="Complexo"),7,0))))))</f>
        <v>0</v>
      </c>
      <c r="AF330" s="55">
        <f t="shared" ref="AF330:AF361" si="75">IF(AND(W330="ALI",AC330="Simples"),7, IF(AND(W330="ALI",AC330="Médio"),10, IF(AND(W330="ALI",AC330="Complexo"),15, IF(AND(W330="AIE",AC330="Simples"),5, IF(AND(W330="AIE",AC330="Médio"),7, IF(AND(W330="AIE",AC330="Complexo"),10,0))))))</f>
        <v>0</v>
      </c>
      <c r="AG330" s="58">
        <f t="shared" ref="AG330:AG361" si="76">IF(T330="OK",Q330,( IF(U330&lt;&gt;"Manutenção em interface",IF(U330&lt;&gt;"Desenv., Manutenção e Publicação de Páginas Estáticas",(AE330+AF330)*V330,V330),V330)))</f>
        <v>0</v>
      </c>
      <c r="AH330" s="47"/>
      <c r="AJ330" s="47"/>
      <c r="AL330" s="47"/>
      <c r="AM330" s="47" t="str">
        <f t="shared" ref="AM330:AM361" si="77">IF(AG330=0,"",IF(AG330=Q330,"OK","Divergente"))</f>
        <v/>
      </c>
    </row>
    <row r="331" spans="1:39" s="56" customFormat="1" ht="14.25">
      <c r="A331" s="44"/>
      <c r="B331" s="45"/>
      <c r="C331" s="46">
        <f>IF(B331&lt;&gt;"",VLOOKUP(B331,'Tipo Projeto'!$A$3:$B$35,2,0),0)</f>
        <v>0</v>
      </c>
      <c r="D331" s="47"/>
      <c r="E331" s="47"/>
      <c r="F331" s="48"/>
      <c r="G331" s="47"/>
      <c r="H331" s="49"/>
      <c r="I331" s="50"/>
      <c r="J331" s="51"/>
      <c r="K331" s="52"/>
      <c r="L331" s="53" t="str">
        <f t="shared" si="65"/>
        <v/>
      </c>
      <c r="M331" s="48" t="str">
        <f t="shared" si="66"/>
        <v/>
      </c>
      <c r="N331" s="54" t="str">
        <f t="shared" si="67"/>
        <v/>
      </c>
      <c r="O331" s="55">
        <f t="shared" si="68"/>
        <v>0</v>
      </c>
      <c r="P331" s="55">
        <f t="shared" si="69"/>
        <v>0</v>
      </c>
      <c r="Q331" s="54">
        <f t="shared" si="70"/>
        <v>0</v>
      </c>
      <c r="R331" s="47"/>
      <c r="T331" s="57"/>
      <c r="U331" s="45"/>
      <c r="V331" s="46">
        <f>IF(U331&lt;&gt;"",VLOOKUP(U331,'Tipo Projeto'!$A$3:$B$35,2,0),0)</f>
        <v>0</v>
      </c>
      <c r="W331" s="47"/>
      <c r="X331" s="49"/>
      <c r="Y331" s="50"/>
      <c r="Z331" s="51"/>
      <c r="AA331" s="52"/>
      <c r="AB331" s="53" t="str">
        <f t="shared" si="71"/>
        <v/>
      </c>
      <c r="AC331" s="48" t="str">
        <f t="shared" si="72"/>
        <v/>
      </c>
      <c r="AD331" s="54" t="str">
        <f t="shared" si="73"/>
        <v/>
      </c>
      <c r="AE331" s="55">
        <f t="shared" si="74"/>
        <v>0</v>
      </c>
      <c r="AF331" s="55">
        <f t="shared" si="75"/>
        <v>0</v>
      </c>
      <c r="AG331" s="58">
        <f t="shared" si="76"/>
        <v>0</v>
      </c>
      <c r="AH331" s="47"/>
      <c r="AJ331" s="47"/>
      <c r="AL331" s="47"/>
      <c r="AM331" s="47" t="str">
        <f t="shared" si="77"/>
        <v/>
      </c>
    </row>
    <row r="332" spans="1:39" s="56" customFormat="1" ht="14.25">
      <c r="A332" s="44"/>
      <c r="B332" s="45"/>
      <c r="C332" s="46">
        <f>IF(B332&lt;&gt;"",VLOOKUP(B332,'Tipo Projeto'!$A$3:$B$35,2,0),0)</f>
        <v>0</v>
      </c>
      <c r="D332" s="47"/>
      <c r="E332" s="47"/>
      <c r="F332" s="48"/>
      <c r="G332" s="47"/>
      <c r="H332" s="49"/>
      <c r="I332" s="50"/>
      <c r="J332" s="51"/>
      <c r="K332" s="52"/>
      <c r="L332" s="53" t="str">
        <f t="shared" si="65"/>
        <v/>
      </c>
      <c r="M332" s="48" t="str">
        <f t="shared" si="66"/>
        <v/>
      </c>
      <c r="N332" s="54" t="str">
        <f t="shared" si="67"/>
        <v/>
      </c>
      <c r="O332" s="55">
        <f t="shared" si="68"/>
        <v>0</v>
      </c>
      <c r="P332" s="55">
        <f t="shared" si="69"/>
        <v>0</v>
      </c>
      <c r="Q332" s="54">
        <f t="shared" si="70"/>
        <v>0</v>
      </c>
      <c r="R332" s="47"/>
      <c r="T332" s="57"/>
      <c r="U332" s="45"/>
      <c r="V332" s="46">
        <f>IF(U332&lt;&gt;"",VLOOKUP(U332,'Tipo Projeto'!$A$3:$B$35,2,0),0)</f>
        <v>0</v>
      </c>
      <c r="W332" s="47"/>
      <c r="X332" s="49"/>
      <c r="Y332" s="50"/>
      <c r="Z332" s="51"/>
      <c r="AA332" s="52"/>
      <c r="AB332" s="53" t="str">
        <f t="shared" si="71"/>
        <v/>
      </c>
      <c r="AC332" s="48" t="str">
        <f t="shared" si="72"/>
        <v/>
      </c>
      <c r="AD332" s="54" t="str">
        <f t="shared" si="73"/>
        <v/>
      </c>
      <c r="AE332" s="55">
        <f t="shared" si="74"/>
        <v>0</v>
      </c>
      <c r="AF332" s="55">
        <f t="shared" si="75"/>
        <v>0</v>
      </c>
      <c r="AG332" s="58">
        <f t="shared" si="76"/>
        <v>0</v>
      </c>
      <c r="AH332" s="47"/>
      <c r="AJ332" s="47"/>
      <c r="AL332" s="47"/>
      <c r="AM332" s="47" t="str">
        <f t="shared" si="77"/>
        <v/>
      </c>
    </row>
    <row r="333" spans="1:39" s="56" customFormat="1" ht="14.25">
      <c r="A333" s="44"/>
      <c r="B333" s="45"/>
      <c r="C333" s="46">
        <f>IF(B333&lt;&gt;"",VLOOKUP(B333,'Tipo Projeto'!$A$3:$B$35,2,0),0)</f>
        <v>0</v>
      </c>
      <c r="D333" s="47"/>
      <c r="E333" s="47"/>
      <c r="F333" s="48"/>
      <c r="G333" s="47"/>
      <c r="H333" s="49"/>
      <c r="I333" s="50"/>
      <c r="J333" s="51"/>
      <c r="K333" s="52"/>
      <c r="L333" s="53" t="str">
        <f t="shared" si="65"/>
        <v/>
      </c>
      <c r="M333" s="48" t="str">
        <f t="shared" si="66"/>
        <v/>
      </c>
      <c r="N333" s="54" t="str">
        <f t="shared" si="67"/>
        <v/>
      </c>
      <c r="O333" s="55">
        <f t="shared" si="68"/>
        <v>0</v>
      </c>
      <c r="P333" s="55">
        <f t="shared" si="69"/>
        <v>0</v>
      </c>
      <c r="Q333" s="54">
        <f t="shared" si="70"/>
        <v>0</v>
      </c>
      <c r="R333" s="47"/>
      <c r="T333" s="57"/>
      <c r="U333" s="45"/>
      <c r="V333" s="46">
        <f>IF(U333&lt;&gt;"",VLOOKUP(U333,'Tipo Projeto'!$A$3:$B$35,2,0),0)</f>
        <v>0</v>
      </c>
      <c r="W333" s="47"/>
      <c r="X333" s="49"/>
      <c r="Y333" s="50"/>
      <c r="Z333" s="51"/>
      <c r="AA333" s="52"/>
      <c r="AB333" s="53" t="str">
        <f t="shared" si="71"/>
        <v/>
      </c>
      <c r="AC333" s="48" t="str">
        <f t="shared" si="72"/>
        <v/>
      </c>
      <c r="AD333" s="54" t="str">
        <f t="shared" si="73"/>
        <v/>
      </c>
      <c r="AE333" s="55">
        <f t="shared" si="74"/>
        <v>0</v>
      </c>
      <c r="AF333" s="55">
        <f t="shared" si="75"/>
        <v>0</v>
      </c>
      <c r="AG333" s="58">
        <f t="shared" si="76"/>
        <v>0</v>
      </c>
      <c r="AH333" s="47"/>
      <c r="AJ333" s="47"/>
      <c r="AL333" s="47"/>
      <c r="AM333" s="47" t="str">
        <f t="shared" si="77"/>
        <v/>
      </c>
    </row>
    <row r="334" spans="1:39" s="56" customFormat="1" ht="14.25">
      <c r="A334" s="44"/>
      <c r="B334" s="45"/>
      <c r="C334" s="46">
        <f>IF(B334&lt;&gt;"",VLOOKUP(B334,'Tipo Projeto'!$A$3:$B$35,2,0),0)</f>
        <v>0</v>
      </c>
      <c r="D334" s="47"/>
      <c r="E334" s="47"/>
      <c r="F334" s="48"/>
      <c r="G334" s="47"/>
      <c r="H334" s="49"/>
      <c r="I334" s="50"/>
      <c r="J334" s="51"/>
      <c r="K334" s="52"/>
      <c r="L334" s="53" t="str">
        <f t="shared" si="65"/>
        <v/>
      </c>
      <c r="M334" s="48" t="str">
        <f t="shared" si="66"/>
        <v/>
      </c>
      <c r="N334" s="54" t="str">
        <f t="shared" si="67"/>
        <v/>
      </c>
      <c r="O334" s="55">
        <f t="shared" si="68"/>
        <v>0</v>
      </c>
      <c r="P334" s="55">
        <f t="shared" si="69"/>
        <v>0</v>
      </c>
      <c r="Q334" s="54">
        <f t="shared" si="70"/>
        <v>0</v>
      </c>
      <c r="R334" s="47"/>
      <c r="T334" s="57"/>
      <c r="U334" s="45"/>
      <c r="V334" s="46">
        <f>IF(U334&lt;&gt;"",VLOOKUP(U334,'Tipo Projeto'!$A$3:$B$35,2,0),0)</f>
        <v>0</v>
      </c>
      <c r="W334" s="47"/>
      <c r="X334" s="49"/>
      <c r="Y334" s="50"/>
      <c r="Z334" s="51"/>
      <c r="AA334" s="52"/>
      <c r="AB334" s="53" t="str">
        <f t="shared" si="71"/>
        <v/>
      </c>
      <c r="AC334" s="48" t="str">
        <f t="shared" si="72"/>
        <v/>
      </c>
      <c r="AD334" s="54" t="str">
        <f t="shared" si="73"/>
        <v/>
      </c>
      <c r="AE334" s="55">
        <f t="shared" si="74"/>
        <v>0</v>
      </c>
      <c r="AF334" s="55">
        <f t="shared" si="75"/>
        <v>0</v>
      </c>
      <c r="AG334" s="58">
        <f t="shared" si="76"/>
        <v>0</v>
      </c>
      <c r="AH334" s="47"/>
      <c r="AJ334" s="47"/>
      <c r="AL334" s="47"/>
      <c r="AM334" s="47" t="str">
        <f t="shared" si="77"/>
        <v/>
      </c>
    </row>
    <row r="335" spans="1:39" s="56" customFormat="1" ht="14.25">
      <c r="A335" s="44"/>
      <c r="B335" s="45"/>
      <c r="C335" s="46">
        <f>IF(B335&lt;&gt;"",VLOOKUP(B335,'Tipo Projeto'!$A$3:$B$35,2,0),0)</f>
        <v>0</v>
      </c>
      <c r="D335" s="47"/>
      <c r="E335" s="47"/>
      <c r="F335" s="48"/>
      <c r="G335" s="47"/>
      <c r="H335" s="49"/>
      <c r="I335" s="50"/>
      <c r="J335" s="51"/>
      <c r="K335" s="52"/>
      <c r="L335" s="53" t="str">
        <f t="shared" si="65"/>
        <v/>
      </c>
      <c r="M335" s="48" t="str">
        <f t="shared" si="66"/>
        <v/>
      </c>
      <c r="N335" s="54" t="str">
        <f t="shared" si="67"/>
        <v/>
      </c>
      <c r="O335" s="55">
        <f t="shared" si="68"/>
        <v>0</v>
      </c>
      <c r="P335" s="55">
        <f t="shared" si="69"/>
        <v>0</v>
      </c>
      <c r="Q335" s="54">
        <f t="shared" si="70"/>
        <v>0</v>
      </c>
      <c r="R335" s="47"/>
      <c r="T335" s="57"/>
      <c r="U335" s="45"/>
      <c r="V335" s="46">
        <f>IF(U335&lt;&gt;"",VLOOKUP(U335,'Tipo Projeto'!$A$3:$B$35,2,0),0)</f>
        <v>0</v>
      </c>
      <c r="W335" s="47"/>
      <c r="X335" s="49"/>
      <c r="Y335" s="50"/>
      <c r="Z335" s="51"/>
      <c r="AA335" s="52"/>
      <c r="AB335" s="53" t="str">
        <f t="shared" si="71"/>
        <v/>
      </c>
      <c r="AC335" s="48" t="str">
        <f t="shared" si="72"/>
        <v/>
      </c>
      <c r="AD335" s="54" t="str">
        <f t="shared" si="73"/>
        <v/>
      </c>
      <c r="AE335" s="55">
        <f t="shared" si="74"/>
        <v>0</v>
      </c>
      <c r="AF335" s="55">
        <f t="shared" si="75"/>
        <v>0</v>
      </c>
      <c r="AG335" s="58">
        <f t="shared" si="76"/>
        <v>0</v>
      </c>
      <c r="AH335" s="47"/>
      <c r="AJ335" s="47"/>
      <c r="AL335" s="47"/>
      <c r="AM335" s="47" t="str">
        <f t="shared" si="77"/>
        <v/>
      </c>
    </row>
    <row r="336" spans="1:39" s="56" customFormat="1" ht="14.25">
      <c r="A336" s="44"/>
      <c r="B336" s="45"/>
      <c r="C336" s="46">
        <f>IF(B336&lt;&gt;"",VLOOKUP(B336,'Tipo Projeto'!$A$3:$B$35,2,0),0)</f>
        <v>0</v>
      </c>
      <c r="D336" s="47"/>
      <c r="E336" s="47"/>
      <c r="F336" s="48"/>
      <c r="G336" s="47"/>
      <c r="H336" s="49"/>
      <c r="I336" s="50"/>
      <c r="J336" s="51"/>
      <c r="K336" s="52"/>
      <c r="L336" s="53" t="str">
        <f t="shared" si="65"/>
        <v/>
      </c>
      <c r="M336" s="48" t="str">
        <f t="shared" si="66"/>
        <v/>
      </c>
      <c r="N336" s="54" t="str">
        <f t="shared" si="67"/>
        <v/>
      </c>
      <c r="O336" s="55">
        <f t="shared" si="68"/>
        <v>0</v>
      </c>
      <c r="P336" s="55">
        <f t="shared" si="69"/>
        <v>0</v>
      </c>
      <c r="Q336" s="54">
        <f t="shared" si="70"/>
        <v>0</v>
      </c>
      <c r="R336" s="47"/>
      <c r="T336" s="57"/>
      <c r="U336" s="45"/>
      <c r="V336" s="46">
        <f>IF(U336&lt;&gt;"",VLOOKUP(U336,'Tipo Projeto'!$A$3:$B$35,2,0),0)</f>
        <v>0</v>
      </c>
      <c r="W336" s="47"/>
      <c r="X336" s="49"/>
      <c r="Y336" s="50"/>
      <c r="Z336" s="51"/>
      <c r="AA336" s="52"/>
      <c r="AB336" s="53" t="str">
        <f t="shared" si="71"/>
        <v/>
      </c>
      <c r="AC336" s="48" t="str">
        <f t="shared" si="72"/>
        <v/>
      </c>
      <c r="AD336" s="54" t="str">
        <f t="shared" si="73"/>
        <v/>
      </c>
      <c r="AE336" s="55">
        <f t="shared" si="74"/>
        <v>0</v>
      </c>
      <c r="AF336" s="55">
        <f t="shared" si="75"/>
        <v>0</v>
      </c>
      <c r="AG336" s="58">
        <f t="shared" si="76"/>
        <v>0</v>
      </c>
      <c r="AH336" s="47"/>
      <c r="AJ336" s="47"/>
      <c r="AL336" s="47"/>
      <c r="AM336" s="47" t="str">
        <f t="shared" si="77"/>
        <v/>
      </c>
    </row>
    <row r="337" spans="1:39" s="56" customFormat="1" ht="14.25">
      <c r="A337" s="44"/>
      <c r="B337" s="45"/>
      <c r="C337" s="46">
        <f>IF(B337&lt;&gt;"",VLOOKUP(B337,'Tipo Projeto'!$A$3:$B$35,2,0),0)</f>
        <v>0</v>
      </c>
      <c r="D337" s="47"/>
      <c r="E337" s="47"/>
      <c r="F337" s="48"/>
      <c r="G337" s="47"/>
      <c r="H337" s="49"/>
      <c r="I337" s="50"/>
      <c r="J337" s="51"/>
      <c r="K337" s="52"/>
      <c r="L337" s="53" t="str">
        <f t="shared" si="65"/>
        <v/>
      </c>
      <c r="M337" s="48" t="str">
        <f t="shared" si="66"/>
        <v/>
      </c>
      <c r="N337" s="54" t="str">
        <f t="shared" si="67"/>
        <v/>
      </c>
      <c r="O337" s="55">
        <f t="shared" si="68"/>
        <v>0</v>
      </c>
      <c r="P337" s="55">
        <f t="shared" si="69"/>
        <v>0</v>
      </c>
      <c r="Q337" s="54">
        <f t="shared" si="70"/>
        <v>0</v>
      </c>
      <c r="R337" s="47"/>
      <c r="T337" s="57"/>
      <c r="U337" s="45"/>
      <c r="V337" s="46">
        <f>IF(U337&lt;&gt;"",VLOOKUP(U337,'Tipo Projeto'!$A$3:$B$35,2,0),0)</f>
        <v>0</v>
      </c>
      <c r="W337" s="47"/>
      <c r="X337" s="49"/>
      <c r="Y337" s="50"/>
      <c r="Z337" s="51"/>
      <c r="AA337" s="52"/>
      <c r="AB337" s="53" t="str">
        <f t="shared" si="71"/>
        <v/>
      </c>
      <c r="AC337" s="48" t="str">
        <f t="shared" si="72"/>
        <v/>
      </c>
      <c r="AD337" s="54" t="str">
        <f t="shared" si="73"/>
        <v/>
      </c>
      <c r="AE337" s="55">
        <f t="shared" si="74"/>
        <v>0</v>
      </c>
      <c r="AF337" s="55">
        <f t="shared" si="75"/>
        <v>0</v>
      </c>
      <c r="AG337" s="58">
        <f t="shared" si="76"/>
        <v>0</v>
      </c>
      <c r="AH337" s="47"/>
      <c r="AJ337" s="47"/>
      <c r="AL337" s="47"/>
      <c r="AM337" s="47" t="str">
        <f t="shared" si="77"/>
        <v/>
      </c>
    </row>
    <row r="338" spans="1:39" s="56" customFormat="1" ht="14.25">
      <c r="A338" s="44"/>
      <c r="B338" s="45"/>
      <c r="C338" s="46">
        <f>IF(B338&lt;&gt;"",VLOOKUP(B338,'Tipo Projeto'!$A$3:$B$35,2,0),0)</f>
        <v>0</v>
      </c>
      <c r="D338" s="47"/>
      <c r="E338" s="47"/>
      <c r="F338" s="48"/>
      <c r="G338" s="47"/>
      <c r="H338" s="49"/>
      <c r="I338" s="50"/>
      <c r="J338" s="51"/>
      <c r="K338" s="52"/>
      <c r="L338" s="53" t="str">
        <f t="shared" si="65"/>
        <v/>
      </c>
      <c r="M338" s="48" t="str">
        <f t="shared" si="66"/>
        <v/>
      </c>
      <c r="N338" s="54" t="str">
        <f t="shared" si="67"/>
        <v/>
      </c>
      <c r="O338" s="55">
        <f t="shared" si="68"/>
        <v>0</v>
      </c>
      <c r="P338" s="55">
        <f t="shared" si="69"/>
        <v>0</v>
      </c>
      <c r="Q338" s="54">
        <f t="shared" si="70"/>
        <v>0</v>
      </c>
      <c r="R338" s="47"/>
      <c r="T338" s="57"/>
      <c r="U338" s="45"/>
      <c r="V338" s="46">
        <f>IF(U338&lt;&gt;"",VLOOKUP(U338,'Tipo Projeto'!$A$3:$B$35,2,0),0)</f>
        <v>0</v>
      </c>
      <c r="W338" s="47"/>
      <c r="X338" s="49"/>
      <c r="Y338" s="50"/>
      <c r="Z338" s="51"/>
      <c r="AA338" s="52"/>
      <c r="AB338" s="53" t="str">
        <f t="shared" si="71"/>
        <v/>
      </c>
      <c r="AC338" s="48" t="str">
        <f t="shared" si="72"/>
        <v/>
      </c>
      <c r="AD338" s="54" t="str">
        <f t="shared" si="73"/>
        <v/>
      </c>
      <c r="AE338" s="55">
        <f t="shared" si="74"/>
        <v>0</v>
      </c>
      <c r="AF338" s="55">
        <f t="shared" si="75"/>
        <v>0</v>
      </c>
      <c r="AG338" s="58">
        <f t="shared" si="76"/>
        <v>0</v>
      </c>
      <c r="AH338" s="47"/>
      <c r="AJ338" s="47"/>
      <c r="AL338" s="47"/>
      <c r="AM338" s="47" t="str">
        <f t="shared" si="77"/>
        <v/>
      </c>
    </row>
    <row r="339" spans="1:39" s="56" customFormat="1" ht="14.25">
      <c r="A339" s="44"/>
      <c r="B339" s="45"/>
      <c r="C339" s="46">
        <f>IF(B339&lt;&gt;"",VLOOKUP(B339,'Tipo Projeto'!$A$3:$B$35,2,0),0)</f>
        <v>0</v>
      </c>
      <c r="D339" s="47"/>
      <c r="E339" s="47"/>
      <c r="F339" s="48"/>
      <c r="G339" s="47"/>
      <c r="H339" s="49"/>
      <c r="I339" s="50"/>
      <c r="J339" s="51"/>
      <c r="K339" s="52"/>
      <c r="L339" s="53" t="str">
        <f t="shared" si="65"/>
        <v/>
      </c>
      <c r="M339" s="48" t="str">
        <f t="shared" si="66"/>
        <v/>
      </c>
      <c r="N339" s="54" t="str">
        <f t="shared" si="67"/>
        <v/>
      </c>
      <c r="O339" s="55">
        <f t="shared" si="68"/>
        <v>0</v>
      </c>
      <c r="P339" s="55">
        <f t="shared" si="69"/>
        <v>0</v>
      </c>
      <c r="Q339" s="54">
        <f t="shared" si="70"/>
        <v>0</v>
      </c>
      <c r="R339" s="47"/>
      <c r="T339" s="57"/>
      <c r="U339" s="45"/>
      <c r="V339" s="46">
        <f>IF(U339&lt;&gt;"",VLOOKUP(U339,'Tipo Projeto'!$A$3:$B$35,2,0),0)</f>
        <v>0</v>
      </c>
      <c r="W339" s="47"/>
      <c r="X339" s="49"/>
      <c r="Y339" s="50"/>
      <c r="Z339" s="51"/>
      <c r="AA339" s="52"/>
      <c r="AB339" s="53" t="str">
        <f t="shared" si="71"/>
        <v/>
      </c>
      <c r="AC339" s="48" t="str">
        <f t="shared" si="72"/>
        <v/>
      </c>
      <c r="AD339" s="54" t="str">
        <f t="shared" si="73"/>
        <v/>
      </c>
      <c r="AE339" s="55">
        <f t="shared" si="74"/>
        <v>0</v>
      </c>
      <c r="AF339" s="55">
        <f t="shared" si="75"/>
        <v>0</v>
      </c>
      <c r="AG339" s="58">
        <f t="shared" si="76"/>
        <v>0</v>
      </c>
      <c r="AH339" s="47"/>
      <c r="AJ339" s="47"/>
      <c r="AL339" s="47"/>
      <c r="AM339" s="47" t="str">
        <f t="shared" si="77"/>
        <v/>
      </c>
    </row>
    <row r="340" spans="1:39" s="56" customFormat="1" ht="14.25">
      <c r="A340" s="44"/>
      <c r="B340" s="45"/>
      <c r="C340" s="46">
        <f>IF(B340&lt;&gt;"",VLOOKUP(B340,'Tipo Projeto'!$A$3:$B$35,2,0),0)</f>
        <v>0</v>
      </c>
      <c r="D340" s="47"/>
      <c r="E340" s="47"/>
      <c r="F340" s="48"/>
      <c r="G340" s="47"/>
      <c r="H340" s="49"/>
      <c r="I340" s="50"/>
      <c r="J340" s="51"/>
      <c r="K340" s="52"/>
      <c r="L340" s="53" t="str">
        <f t="shared" si="65"/>
        <v/>
      </c>
      <c r="M340" s="48" t="str">
        <f t="shared" si="66"/>
        <v/>
      </c>
      <c r="N340" s="54" t="str">
        <f t="shared" si="67"/>
        <v/>
      </c>
      <c r="O340" s="55">
        <f t="shared" si="68"/>
        <v>0</v>
      </c>
      <c r="P340" s="55">
        <f t="shared" si="69"/>
        <v>0</v>
      </c>
      <c r="Q340" s="54">
        <f t="shared" si="70"/>
        <v>0</v>
      </c>
      <c r="R340" s="47"/>
      <c r="T340" s="57"/>
      <c r="U340" s="45"/>
      <c r="V340" s="46">
        <f>IF(U340&lt;&gt;"",VLOOKUP(U340,'Tipo Projeto'!$A$3:$B$35,2,0),0)</f>
        <v>0</v>
      </c>
      <c r="W340" s="47"/>
      <c r="X340" s="49"/>
      <c r="Y340" s="50"/>
      <c r="Z340" s="51"/>
      <c r="AA340" s="52"/>
      <c r="AB340" s="53" t="str">
        <f t="shared" si="71"/>
        <v/>
      </c>
      <c r="AC340" s="48" t="str">
        <f t="shared" si="72"/>
        <v/>
      </c>
      <c r="AD340" s="54" t="str">
        <f t="shared" si="73"/>
        <v/>
      </c>
      <c r="AE340" s="55">
        <f t="shared" si="74"/>
        <v>0</v>
      </c>
      <c r="AF340" s="55">
        <f t="shared" si="75"/>
        <v>0</v>
      </c>
      <c r="AG340" s="58">
        <f t="shared" si="76"/>
        <v>0</v>
      </c>
      <c r="AH340" s="47"/>
      <c r="AJ340" s="47"/>
      <c r="AL340" s="47"/>
      <c r="AM340" s="47" t="str">
        <f t="shared" si="77"/>
        <v/>
      </c>
    </row>
    <row r="341" spans="1:39" s="56" customFormat="1" ht="14.25">
      <c r="A341" s="44"/>
      <c r="B341" s="45"/>
      <c r="C341" s="46">
        <f>IF(B341&lt;&gt;"",VLOOKUP(B341,'Tipo Projeto'!$A$3:$B$35,2,0),0)</f>
        <v>0</v>
      </c>
      <c r="D341" s="47"/>
      <c r="E341" s="47"/>
      <c r="F341" s="48"/>
      <c r="G341" s="47"/>
      <c r="H341" s="49"/>
      <c r="I341" s="50"/>
      <c r="J341" s="51"/>
      <c r="K341" s="52"/>
      <c r="L341" s="53" t="str">
        <f t="shared" si="65"/>
        <v/>
      </c>
      <c r="M341" s="48" t="str">
        <f t="shared" si="66"/>
        <v/>
      </c>
      <c r="N341" s="54" t="str">
        <f t="shared" si="67"/>
        <v/>
      </c>
      <c r="O341" s="55">
        <f t="shared" si="68"/>
        <v>0</v>
      </c>
      <c r="P341" s="55">
        <f t="shared" si="69"/>
        <v>0</v>
      </c>
      <c r="Q341" s="54">
        <f t="shared" si="70"/>
        <v>0</v>
      </c>
      <c r="R341" s="47"/>
      <c r="T341" s="57"/>
      <c r="U341" s="45"/>
      <c r="V341" s="46">
        <f>IF(U341&lt;&gt;"",VLOOKUP(U341,'Tipo Projeto'!$A$3:$B$35,2,0),0)</f>
        <v>0</v>
      </c>
      <c r="W341" s="47"/>
      <c r="X341" s="49"/>
      <c r="Y341" s="50"/>
      <c r="Z341" s="51"/>
      <c r="AA341" s="52"/>
      <c r="AB341" s="53" t="str">
        <f t="shared" si="71"/>
        <v/>
      </c>
      <c r="AC341" s="48" t="str">
        <f t="shared" si="72"/>
        <v/>
      </c>
      <c r="AD341" s="54" t="str">
        <f t="shared" si="73"/>
        <v/>
      </c>
      <c r="AE341" s="55">
        <f t="shared" si="74"/>
        <v>0</v>
      </c>
      <c r="AF341" s="55">
        <f t="shared" si="75"/>
        <v>0</v>
      </c>
      <c r="AG341" s="58">
        <f t="shared" si="76"/>
        <v>0</v>
      </c>
      <c r="AH341" s="47"/>
      <c r="AJ341" s="47"/>
      <c r="AL341" s="47"/>
      <c r="AM341" s="47" t="str">
        <f t="shared" si="77"/>
        <v/>
      </c>
    </row>
    <row r="342" spans="1:39" s="56" customFormat="1" ht="14.25">
      <c r="A342" s="44"/>
      <c r="B342" s="45"/>
      <c r="C342" s="46">
        <f>IF(B342&lt;&gt;"",VLOOKUP(B342,'Tipo Projeto'!$A$3:$B$35,2,0),0)</f>
        <v>0</v>
      </c>
      <c r="D342" s="47"/>
      <c r="E342" s="47"/>
      <c r="F342" s="48"/>
      <c r="G342" s="47"/>
      <c r="H342" s="49"/>
      <c r="I342" s="50"/>
      <c r="J342" s="51"/>
      <c r="K342" s="52"/>
      <c r="L342" s="53" t="str">
        <f t="shared" si="65"/>
        <v/>
      </c>
      <c r="M342" s="48" t="str">
        <f t="shared" si="66"/>
        <v/>
      </c>
      <c r="N342" s="54" t="str">
        <f t="shared" si="67"/>
        <v/>
      </c>
      <c r="O342" s="55">
        <f t="shared" si="68"/>
        <v>0</v>
      </c>
      <c r="P342" s="55">
        <f t="shared" si="69"/>
        <v>0</v>
      </c>
      <c r="Q342" s="54">
        <f t="shared" si="70"/>
        <v>0</v>
      </c>
      <c r="R342" s="47"/>
      <c r="T342" s="57"/>
      <c r="U342" s="45"/>
      <c r="V342" s="46">
        <f>IF(U342&lt;&gt;"",VLOOKUP(U342,'Tipo Projeto'!$A$3:$B$35,2,0),0)</f>
        <v>0</v>
      </c>
      <c r="W342" s="47"/>
      <c r="X342" s="49"/>
      <c r="Y342" s="50"/>
      <c r="Z342" s="51"/>
      <c r="AA342" s="52"/>
      <c r="AB342" s="53" t="str">
        <f t="shared" si="71"/>
        <v/>
      </c>
      <c r="AC342" s="48" t="str">
        <f t="shared" si="72"/>
        <v/>
      </c>
      <c r="AD342" s="54" t="str">
        <f t="shared" si="73"/>
        <v/>
      </c>
      <c r="AE342" s="55">
        <f t="shared" si="74"/>
        <v>0</v>
      </c>
      <c r="AF342" s="55">
        <f t="shared" si="75"/>
        <v>0</v>
      </c>
      <c r="AG342" s="58">
        <f t="shared" si="76"/>
        <v>0</v>
      </c>
      <c r="AH342" s="47"/>
      <c r="AJ342" s="47"/>
      <c r="AL342" s="47"/>
      <c r="AM342" s="47" t="str">
        <f t="shared" si="77"/>
        <v/>
      </c>
    </row>
    <row r="343" spans="1:39" s="56" customFormat="1" ht="14.25">
      <c r="A343" s="44"/>
      <c r="B343" s="45"/>
      <c r="C343" s="46">
        <f>IF(B343&lt;&gt;"",VLOOKUP(B343,'Tipo Projeto'!$A$3:$B$35,2,0),0)</f>
        <v>0</v>
      </c>
      <c r="D343" s="47"/>
      <c r="E343" s="47"/>
      <c r="F343" s="48"/>
      <c r="G343" s="47"/>
      <c r="H343" s="49"/>
      <c r="I343" s="50"/>
      <c r="J343" s="51"/>
      <c r="K343" s="52"/>
      <c r="L343" s="53" t="str">
        <f t="shared" si="65"/>
        <v/>
      </c>
      <c r="M343" s="48" t="str">
        <f t="shared" si="66"/>
        <v/>
      </c>
      <c r="N343" s="54" t="str">
        <f t="shared" si="67"/>
        <v/>
      </c>
      <c r="O343" s="55">
        <f t="shared" si="68"/>
        <v>0</v>
      </c>
      <c r="P343" s="55">
        <f t="shared" si="69"/>
        <v>0</v>
      </c>
      <c r="Q343" s="54">
        <f t="shared" si="70"/>
        <v>0</v>
      </c>
      <c r="R343" s="47"/>
      <c r="T343" s="57"/>
      <c r="U343" s="45"/>
      <c r="V343" s="46">
        <f>IF(U343&lt;&gt;"",VLOOKUP(U343,'Tipo Projeto'!$A$3:$B$35,2,0),0)</f>
        <v>0</v>
      </c>
      <c r="W343" s="47"/>
      <c r="X343" s="49"/>
      <c r="Y343" s="50"/>
      <c r="Z343" s="51"/>
      <c r="AA343" s="52"/>
      <c r="AB343" s="53" t="str">
        <f t="shared" si="71"/>
        <v/>
      </c>
      <c r="AC343" s="48" t="str">
        <f t="shared" si="72"/>
        <v/>
      </c>
      <c r="AD343" s="54" t="str">
        <f t="shared" si="73"/>
        <v/>
      </c>
      <c r="AE343" s="55">
        <f t="shared" si="74"/>
        <v>0</v>
      </c>
      <c r="AF343" s="55">
        <f t="shared" si="75"/>
        <v>0</v>
      </c>
      <c r="AG343" s="58">
        <f t="shared" si="76"/>
        <v>0</v>
      </c>
      <c r="AH343" s="47"/>
      <c r="AJ343" s="47"/>
      <c r="AL343" s="47"/>
      <c r="AM343" s="47" t="str">
        <f t="shared" si="77"/>
        <v/>
      </c>
    </row>
    <row r="344" spans="1:39" s="56" customFormat="1" ht="14.25">
      <c r="A344" s="44"/>
      <c r="B344" s="45"/>
      <c r="C344" s="46">
        <f>IF(B344&lt;&gt;"",VLOOKUP(B344,'Tipo Projeto'!$A$3:$B$35,2,0),0)</f>
        <v>0</v>
      </c>
      <c r="D344" s="47"/>
      <c r="E344" s="47"/>
      <c r="F344" s="48"/>
      <c r="G344" s="47"/>
      <c r="H344" s="49"/>
      <c r="I344" s="50"/>
      <c r="J344" s="51"/>
      <c r="K344" s="52"/>
      <c r="L344" s="53" t="str">
        <f t="shared" si="65"/>
        <v/>
      </c>
      <c r="M344" s="48" t="str">
        <f t="shared" si="66"/>
        <v/>
      </c>
      <c r="N344" s="54" t="str">
        <f t="shared" si="67"/>
        <v/>
      </c>
      <c r="O344" s="55">
        <f t="shared" si="68"/>
        <v>0</v>
      </c>
      <c r="P344" s="55">
        <f t="shared" si="69"/>
        <v>0</v>
      </c>
      <c r="Q344" s="54">
        <f t="shared" si="70"/>
        <v>0</v>
      </c>
      <c r="R344" s="47"/>
      <c r="T344" s="57"/>
      <c r="U344" s="45"/>
      <c r="V344" s="46">
        <f>IF(U344&lt;&gt;"",VLOOKUP(U344,'Tipo Projeto'!$A$3:$B$35,2,0),0)</f>
        <v>0</v>
      </c>
      <c r="W344" s="47"/>
      <c r="X344" s="49"/>
      <c r="Y344" s="50"/>
      <c r="Z344" s="51"/>
      <c r="AA344" s="52"/>
      <c r="AB344" s="53" t="str">
        <f t="shared" si="71"/>
        <v/>
      </c>
      <c r="AC344" s="48" t="str">
        <f t="shared" si="72"/>
        <v/>
      </c>
      <c r="AD344" s="54" t="str">
        <f t="shared" si="73"/>
        <v/>
      </c>
      <c r="AE344" s="55">
        <f t="shared" si="74"/>
        <v>0</v>
      </c>
      <c r="AF344" s="55">
        <f t="shared" si="75"/>
        <v>0</v>
      </c>
      <c r="AG344" s="58">
        <f t="shared" si="76"/>
        <v>0</v>
      </c>
      <c r="AH344" s="47"/>
      <c r="AJ344" s="47"/>
      <c r="AL344" s="47"/>
      <c r="AM344" s="47" t="str">
        <f t="shared" si="77"/>
        <v/>
      </c>
    </row>
    <row r="345" spans="1:39" s="56" customFormat="1" ht="14.25">
      <c r="A345" s="44"/>
      <c r="B345" s="45"/>
      <c r="C345" s="46">
        <f>IF(B345&lt;&gt;"",VLOOKUP(B345,'Tipo Projeto'!$A$3:$B$35,2,0),0)</f>
        <v>0</v>
      </c>
      <c r="D345" s="47"/>
      <c r="E345" s="47"/>
      <c r="F345" s="48"/>
      <c r="G345" s="47"/>
      <c r="H345" s="49"/>
      <c r="I345" s="50"/>
      <c r="J345" s="51"/>
      <c r="K345" s="52"/>
      <c r="L345" s="53" t="str">
        <f t="shared" si="65"/>
        <v/>
      </c>
      <c r="M345" s="48" t="str">
        <f t="shared" si="66"/>
        <v/>
      </c>
      <c r="N345" s="54" t="str">
        <f t="shared" si="67"/>
        <v/>
      </c>
      <c r="O345" s="55">
        <f t="shared" si="68"/>
        <v>0</v>
      </c>
      <c r="P345" s="55">
        <f t="shared" si="69"/>
        <v>0</v>
      </c>
      <c r="Q345" s="54">
        <f t="shared" si="70"/>
        <v>0</v>
      </c>
      <c r="R345" s="47"/>
      <c r="T345" s="57"/>
      <c r="U345" s="45"/>
      <c r="V345" s="46">
        <f>IF(U345&lt;&gt;"",VLOOKUP(U345,'Tipo Projeto'!$A$3:$B$35,2,0),0)</f>
        <v>0</v>
      </c>
      <c r="W345" s="47"/>
      <c r="X345" s="49"/>
      <c r="Y345" s="50"/>
      <c r="Z345" s="51"/>
      <c r="AA345" s="52"/>
      <c r="AB345" s="53" t="str">
        <f t="shared" si="71"/>
        <v/>
      </c>
      <c r="AC345" s="48" t="str">
        <f t="shared" si="72"/>
        <v/>
      </c>
      <c r="AD345" s="54" t="str">
        <f t="shared" si="73"/>
        <v/>
      </c>
      <c r="AE345" s="55">
        <f t="shared" si="74"/>
        <v>0</v>
      </c>
      <c r="AF345" s="55">
        <f t="shared" si="75"/>
        <v>0</v>
      </c>
      <c r="AG345" s="58">
        <f t="shared" si="76"/>
        <v>0</v>
      </c>
      <c r="AH345" s="47"/>
      <c r="AJ345" s="47"/>
      <c r="AL345" s="47"/>
      <c r="AM345" s="47" t="str">
        <f t="shared" si="77"/>
        <v/>
      </c>
    </row>
    <row r="346" spans="1:39" s="56" customFormat="1" ht="14.25">
      <c r="A346" s="44"/>
      <c r="B346" s="45"/>
      <c r="C346" s="46">
        <f>IF(B346&lt;&gt;"",VLOOKUP(B346,'Tipo Projeto'!$A$3:$B$35,2,0),0)</f>
        <v>0</v>
      </c>
      <c r="D346" s="47"/>
      <c r="E346" s="47"/>
      <c r="F346" s="48"/>
      <c r="G346" s="47"/>
      <c r="H346" s="49"/>
      <c r="I346" s="50"/>
      <c r="J346" s="51"/>
      <c r="K346" s="52"/>
      <c r="L346" s="53" t="str">
        <f t="shared" si="65"/>
        <v/>
      </c>
      <c r="M346" s="48" t="str">
        <f t="shared" si="66"/>
        <v/>
      </c>
      <c r="N346" s="54" t="str">
        <f t="shared" si="67"/>
        <v/>
      </c>
      <c r="O346" s="55">
        <f t="shared" si="68"/>
        <v>0</v>
      </c>
      <c r="P346" s="55">
        <f t="shared" si="69"/>
        <v>0</v>
      </c>
      <c r="Q346" s="54">
        <f t="shared" si="70"/>
        <v>0</v>
      </c>
      <c r="R346" s="47"/>
      <c r="T346" s="57"/>
      <c r="U346" s="45"/>
      <c r="V346" s="46">
        <f>IF(U346&lt;&gt;"",VLOOKUP(U346,'Tipo Projeto'!$A$3:$B$35,2,0),0)</f>
        <v>0</v>
      </c>
      <c r="W346" s="47"/>
      <c r="X346" s="49"/>
      <c r="Y346" s="50"/>
      <c r="Z346" s="51"/>
      <c r="AA346" s="52"/>
      <c r="AB346" s="53" t="str">
        <f t="shared" si="71"/>
        <v/>
      </c>
      <c r="AC346" s="48" t="str">
        <f t="shared" si="72"/>
        <v/>
      </c>
      <c r="AD346" s="54" t="str">
        <f t="shared" si="73"/>
        <v/>
      </c>
      <c r="AE346" s="55">
        <f t="shared" si="74"/>
        <v>0</v>
      </c>
      <c r="AF346" s="55">
        <f t="shared" si="75"/>
        <v>0</v>
      </c>
      <c r="AG346" s="58">
        <f t="shared" si="76"/>
        <v>0</v>
      </c>
      <c r="AH346" s="47"/>
      <c r="AJ346" s="47"/>
      <c r="AL346" s="47"/>
      <c r="AM346" s="47" t="str">
        <f t="shared" si="77"/>
        <v/>
      </c>
    </row>
    <row r="347" spans="1:39" s="56" customFormat="1" ht="14.25">
      <c r="A347" s="44"/>
      <c r="B347" s="45"/>
      <c r="C347" s="46">
        <f>IF(B347&lt;&gt;"",VLOOKUP(B347,'Tipo Projeto'!$A$3:$B$35,2,0),0)</f>
        <v>0</v>
      </c>
      <c r="D347" s="47"/>
      <c r="E347" s="47"/>
      <c r="F347" s="48"/>
      <c r="G347" s="47"/>
      <c r="H347" s="49"/>
      <c r="I347" s="50"/>
      <c r="J347" s="51"/>
      <c r="K347" s="52"/>
      <c r="L347" s="53" t="str">
        <f t="shared" si="65"/>
        <v/>
      </c>
      <c r="M347" s="48" t="str">
        <f t="shared" si="66"/>
        <v/>
      </c>
      <c r="N347" s="54" t="str">
        <f t="shared" si="67"/>
        <v/>
      </c>
      <c r="O347" s="55">
        <f t="shared" si="68"/>
        <v>0</v>
      </c>
      <c r="P347" s="55">
        <f t="shared" si="69"/>
        <v>0</v>
      </c>
      <c r="Q347" s="54">
        <f t="shared" si="70"/>
        <v>0</v>
      </c>
      <c r="R347" s="47"/>
      <c r="T347" s="57"/>
      <c r="U347" s="45"/>
      <c r="V347" s="46">
        <f>IF(U347&lt;&gt;"",VLOOKUP(U347,'Tipo Projeto'!$A$3:$B$35,2,0),0)</f>
        <v>0</v>
      </c>
      <c r="W347" s="47"/>
      <c r="X347" s="49"/>
      <c r="Y347" s="50"/>
      <c r="Z347" s="51"/>
      <c r="AA347" s="52"/>
      <c r="AB347" s="53" t="str">
        <f t="shared" si="71"/>
        <v/>
      </c>
      <c r="AC347" s="48" t="str">
        <f t="shared" si="72"/>
        <v/>
      </c>
      <c r="AD347" s="54" t="str">
        <f t="shared" si="73"/>
        <v/>
      </c>
      <c r="AE347" s="55">
        <f t="shared" si="74"/>
        <v>0</v>
      </c>
      <c r="AF347" s="55">
        <f t="shared" si="75"/>
        <v>0</v>
      </c>
      <c r="AG347" s="58">
        <f t="shared" si="76"/>
        <v>0</v>
      </c>
      <c r="AH347" s="47"/>
      <c r="AJ347" s="47"/>
      <c r="AL347" s="47"/>
      <c r="AM347" s="47" t="str">
        <f t="shared" si="77"/>
        <v/>
      </c>
    </row>
    <row r="348" spans="1:39" s="56" customFormat="1" ht="14.25">
      <c r="A348" s="44"/>
      <c r="B348" s="45"/>
      <c r="C348" s="46">
        <f>IF(B348&lt;&gt;"",VLOOKUP(B348,'Tipo Projeto'!$A$3:$B$35,2,0),0)</f>
        <v>0</v>
      </c>
      <c r="D348" s="47"/>
      <c r="E348" s="47"/>
      <c r="F348" s="48"/>
      <c r="G348" s="47"/>
      <c r="H348" s="49"/>
      <c r="I348" s="50"/>
      <c r="J348" s="51"/>
      <c r="K348" s="52"/>
      <c r="L348" s="53" t="str">
        <f t="shared" si="65"/>
        <v/>
      </c>
      <c r="M348" s="48" t="str">
        <f t="shared" si="66"/>
        <v/>
      </c>
      <c r="N348" s="54" t="str">
        <f t="shared" si="67"/>
        <v/>
      </c>
      <c r="O348" s="55">
        <f t="shared" si="68"/>
        <v>0</v>
      </c>
      <c r="P348" s="55">
        <f t="shared" si="69"/>
        <v>0</v>
      </c>
      <c r="Q348" s="54">
        <f t="shared" si="70"/>
        <v>0</v>
      </c>
      <c r="R348" s="47"/>
      <c r="T348" s="57"/>
      <c r="U348" s="45"/>
      <c r="V348" s="46">
        <f>IF(U348&lt;&gt;"",VLOOKUP(U348,'Tipo Projeto'!$A$3:$B$35,2,0),0)</f>
        <v>0</v>
      </c>
      <c r="W348" s="47"/>
      <c r="X348" s="49"/>
      <c r="Y348" s="50"/>
      <c r="Z348" s="51"/>
      <c r="AA348" s="52"/>
      <c r="AB348" s="53" t="str">
        <f t="shared" si="71"/>
        <v/>
      </c>
      <c r="AC348" s="48" t="str">
        <f t="shared" si="72"/>
        <v/>
      </c>
      <c r="AD348" s="54" t="str">
        <f t="shared" si="73"/>
        <v/>
      </c>
      <c r="AE348" s="55">
        <f t="shared" si="74"/>
        <v>0</v>
      </c>
      <c r="AF348" s="55">
        <f t="shared" si="75"/>
        <v>0</v>
      </c>
      <c r="AG348" s="58">
        <f t="shared" si="76"/>
        <v>0</v>
      </c>
      <c r="AH348" s="47"/>
      <c r="AJ348" s="47"/>
      <c r="AL348" s="47"/>
      <c r="AM348" s="47" t="str">
        <f t="shared" si="77"/>
        <v/>
      </c>
    </row>
    <row r="349" spans="1:39" s="56" customFormat="1" ht="14.25">
      <c r="A349" s="44"/>
      <c r="B349" s="45"/>
      <c r="C349" s="46">
        <f>IF(B349&lt;&gt;"",VLOOKUP(B349,'Tipo Projeto'!$A$3:$B$35,2,0),0)</f>
        <v>0</v>
      </c>
      <c r="D349" s="47"/>
      <c r="E349" s="47"/>
      <c r="F349" s="48"/>
      <c r="G349" s="47"/>
      <c r="H349" s="49"/>
      <c r="I349" s="50"/>
      <c r="J349" s="51"/>
      <c r="K349" s="52"/>
      <c r="L349" s="53" t="str">
        <f t="shared" si="65"/>
        <v/>
      </c>
      <c r="M349" s="48" t="str">
        <f t="shared" si="66"/>
        <v/>
      </c>
      <c r="N349" s="54" t="str">
        <f t="shared" si="67"/>
        <v/>
      </c>
      <c r="O349" s="55">
        <f t="shared" si="68"/>
        <v>0</v>
      </c>
      <c r="P349" s="55">
        <f t="shared" si="69"/>
        <v>0</v>
      </c>
      <c r="Q349" s="54">
        <f t="shared" si="70"/>
        <v>0</v>
      </c>
      <c r="R349" s="47"/>
      <c r="T349" s="57"/>
      <c r="U349" s="45"/>
      <c r="V349" s="46">
        <f>IF(U349&lt;&gt;"",VLOOKUP(U349,'Tipo Projeto'!$A$3:$B$35,2,0),0)</f>
        <v>0</v>
      </c>
      <c r="W349" s="47"/>
      <c r="X349" s="49"/>
      <c r="Y349" s="50"/>
      <c r="Z349" s="51"/>
      <c r="AA349" s="52"/>
      <c r="AB349" s="53" t="str">
        <f t="shared" si="71"/>
        <v/>
      </c>
      <c r="AC349" s="48" t="str">
        <f t="shared" si="72"/>
        <v/>
      </c>
      <c r="AD349" s="54" t="str">
        <f t="shared" si="73"/>
        <v/>
      </c>
      <c r="AE349" s="55">
        <f t="shared" si="74"/>
        <v>0</v>
      </c>
      <c r="AF349" s="55">
        <f t="shared" si="75"/>
        <v>0</v>
      </c>
      <c r="AG349" s="58">
        <f t="shared" si="76"/>
        <v>0</v>
      </c>
      <c r="AH349" s="47"/>
      <c r="AJ349" s="47"/>
      <c r="AL349" s="47"/>
      <c r="AM349" s="47" t="str">
        <f t="shared" si="77"/>
        <v/>
      </c>
    </row>
    <row r="350" spans="1:39" s="56" customFormat="1" ht="14.25">
      <c r="A350" s="44"/>
      <c r="B350" s="45"/>
      <c r="C350" s="46">
        <f>IF(B350&lt;&gt;"",VLOOKUP(B350,'Tipo Projeto'!$A$3:$B$35,2,0),0)</f>
        <v>0</v>
      </c>
      <c r="D350" s="47"/>
      <c r="E350" s="47"/>
      <c r="F350" s="48"/>
      <c r="G350" s="47"/>
      <c r="H350" s="49"/>
      <c r="I350" s="50"/>
      <c r="J350" s="51"/>
      <c r="K350" s="52"/>
      <c r="L350" s="53" t="str">
        <f t="shared" si="65"/>
        <v/>
      </c>
      <c r="M350" s="48" t="str">
        <f t="shared" si="66"/>
        <v/>
      </c>
      <c r="N350" s="54" t="str">
        <f t="shared" si="67"/>
        <v/>
      </c>
      <c r="O350" s="55">
        <f t="shared" si="68"/>
        <v>0</v>
      </c>
      <c r="P350" s="55">
        <f t="shared" si="69"/>
        <v>0</v>
      </c>
      <c r="Q350" s="54">
        <f t="shared" si="70"/>
        <v>0</v>
      </c>
      <c r="R350" s="47"/>
      <c r="T350" s="57"/>
      <c r="U350" s="45"/>
      <c r="V350" s="46">
        <f>IF(U350&lt;&gt;"",VLOOKUP(U350,'Tipo Projeto'!$A$3:$B$35,2,0),0)</f>
        <v>0</v>
      </c>
      <c r="W350" s="47"/>
      <c r="X350" s="49"/>
      <c r="Y350" s="50"/>
      <c r="Z350" s="51"/>
      <c r="AA350" s="52"/>
      <c r="AB350" s="53" t="str">
        <f t="shared" si="71"/>
        <v/>
      </c>
      <c r="AC350" s="48" t="str">
        <f t="shared" si="72"/>
        <v/>
      </c>
      <c r="AD350" s="54" t="str">
        <f t="shared" si="73"/>
        <v/>
      </c>
      <c r="AE350" s="55">
        <f t="shared" si="74"/>
        <v>0</v>
      </c>
      <c r="AF350" s="55">
        <f t="shared" si="75"/>
        <v>0</v>
      </c>
      <c r="AG350" s="58">
        <f t="shared" si="76"/>
        <v>0</v>
      </c>
      <c r="AH350" s="47"/>
      <c r="AJ350" s="47"/>
      <c r="AL350" s="47"/>
      <c r="AM350" s="47" t="str">
        <f t="shared" si="77"/>
        <v/>
      </c>
    </row>
    <row r="351" spans="1:39" s="56" customFormat="1" ht="14.25">
      <c r="A351" s="44"/>
      <c r="B351" s="45"/>
      <c r="C351" s="46">
        <f>IF(B351&lt;&gt;"",VLOOKUP(B351,'Tipo Projeto'!$A$3:$B$35,2,0),0)</f>
        <v>0</v>
      </c>
      <c r="D351" s="47"/>
      <c r="E351" s="47"/>
      <c r="F351" s="48"/>
      <c r="G351" s="47"/>
      <c r="H351" s="49"/>
      <c r="I351" s="50"/>
      <c r="J351" s="51"/>
      <c r="K351" s="52"/>
      <c r="L351" s="53" t="str">
        <f t="shared" si="65"/>
        <v/>
      </c>
      <c r="M351" s="48" t="str">
        <f t="shared" si="66"/>
        <v/>
      </c>
      <c r="N351" s="54" t="str">
        <f t="shared" si="67"/>
        <v/>
      </c>
      <c r="O351" s="55">
        <f t="shared" si="68"/>
        <v>0</v>
      </c>
      <c r="P351" s="55">
        <f t="shared" si="69"/>
        <v>0</v>
      </c>
      <c r="Q351" s="54">
        <f t="shared" si="70"/>
        <v>0</v>
      </c>
      <c r="R351" s="47"/>
      <c r="T351" s="57"/>
      <c r="U351" s="45"/>
      <c r="V351" s="46">
        <f>IF(U351&lt;&gt;"",VLOOKUP(U351,'Tipo Projeto'!$A$3:$B$35,2,0),0)</f>
        <v>0</v>
      </c>
      <c r="W351" s="47"/>
      <c r="X351" s="49"/>
      <c r="Y351" s="50"/>
      <c r="Z351" s="51"/>
      <c r="AA351" s="52"/>
      <c r="AB351" s="53" t="str">
        <f t="shared" si="71"/>
        <v/>
      </c>
      <c r="AC351" s="48" t="str">
        <f t="shared" si="72"/>
        <v/>
      </c>
      <c r="AD351" s="54" t="str">
        <f t="shared" si="73"/>
        <v/>
      </c>
      <c r="AE351" s="55">
        <f t="shared" si="74"/>
        <v>0</v>
      </c>
      <c r="AF351" s="55">
        <f t="shared" si="75"/>
        <v>0</v>
      </c>
      <c r="AG351" s="58">
        <f t="shared" si="76"/>
        <v>0</v>
      </c>
      <c r="AH351" s="47"/>
      <c r="AJ351" s="47"/>
      <c r="AL351" s="47"/>
      <c r="AM351" s="47" t="str">
        <f t="shared" si="77"/>
        <v/>
      </c>
    </row>
    <row r="352" spans="1:39" s="56" customFormat="1" ht="14.25">
      <c r="A352" s="44"/>
      <c r="B352" s="45"/>
      <c r="C352" s="46">
        <f>IF(B352&lt;&gt;"",VLOOKUP(B352,'Tipo Projeto'!$A$3:$B$35,2,0),0)</f>
        <v>0</v>
      </c>
      <c r="D352" s="47"/>
      <c r="E352" s="47"/>
      <c r="F352" s="48"/>
      <c r="G352" s="47"/>
      <c r="H352" s="49"/>
      <c r="I352" s="50"/>
      <c r="J352" s="51"/>
      <c r="K352" s="52"/>
      <c r="L352" s="53" t="str">
        <f t="shared" si="65"/>
        <v/>
      </c>
      <c r="M352" s="48" t="str">
        <f t="shared" si="66"/>
        <v/>
      </c>
      <c r="N352" s="54" t="str">
        <f t="shared" si="67"/>
        <v/>
      </c>
      <c r="O352" s="55">
        <f t="shared" si="68"/>
        <v>0</v>
      </c>
      <c r="P352" s="55">
        <f t="shared" si="69"/>
        <v>0</v>
      </c>
      <c r="Q352" s="54">
        <f t="shared" si="70"/>
        <v>0</v>
      </c>
      <c r="R352" s="47"/>
      <c r="T352" s="57"/>
      <c r="U352" s="45"/>
      <c r="V352" s="46">
        <f>IF(U352&lt;&gt;"",VLOOKUP(U352,'Tipo Projeto'!$A$3:$B$35,2,0),0)</f>
        <v>0</v>
      </c>
      <c r="W352" s="47"/>
      <c r="X352" s="49"/>
      <c r="Y352" s="50"/>
      <c r="Z352" s="51"/>
      <c r="AA352" s="52"/>
      <c r="AB352" s="53" t="str">
        <f t="shared" si="71"/>
        <v/>
      </c>
      <c r="AC352" s="48" t="str">
        <f t="shared" si="72"/>
        <v/>
      </c>
      <c r="AD352" s="54" t="str">
        <f t="shared" si="73"/>
        <v/>
      </c>
      <c r="AE352" s="55">
        <f t="shared" si="74"/>
        <v>0</v>
      </c>
      <c r="AF352" s="55">
        <f t="shared" si="75"/>
        <v>0</v>
      </c>
      <c r="AG352" s="58">
        <f t="shared" si="76"/>
        <v>0</v>
      </c>
      <c r="AH352" s="47"/>
      <c r="AJ352" s="47"/>
      <c r="AL352" s="47"/>
      <c r="AM352" s="47" t="str">
        <f t="shared" si="77"/>
        <v/>
      </c>
    </row>
    <row r="353" spans="1:39" s="56" customFormat="1" ht="14.25">
      <c r="A353" s="44"/>
      <c r="B353" s="45"/>
      <c r="C353" s="46">
        <f>IF(B353&lt;&gt;"",VLOOKUP(B353,'Tipo Projeto'!$A$3:$B$35,2,0),0)</f>
        <v>0</v>
      </c>
      <c r="D353" s="47"/>
      <c r="E353" s="47"/>
      <c r="F353" s="48"/>
      <c r="G353" s="47"/>
      <c r="H353" s="49"/>
      <c r="I353" s="50"/>
      <c r="J353" s="51"/>
      <c r="K353" s="52"/>
      <c r="L353" s="53" t="str">
        <f t="shared" si="65"/>
        <v/>
      </c>
      <c r="M353" s="48" t="str">
        <f t="shared" si="66"/>
        <v/>
      </c>
      <c r="N353" s="54" t="str">
        <f t="shared" si="67"/>
        <v/>
      </c>
      <c r="O353" s="55">
        <f t="shared" si="68"/>
        <v>0</v>
      </c>
      <c r="P353" s="55">
        <f t="shared" si="69"/>
        <v>0</v>
      </c>
      <c r="Q353" s="54">
        <f t="shared" si="70"/>
        <v>0</v>
      </c>
      <c r="R353" s="47"/>
      <c r="T353" s="57"/>
      <c r="U353" s="45"/>
      <c r="V353" s="46">
        <f>IF(U353&lt;&gt;"",VLOOKUP(U353,'Tipo Projeto'!$A$3:$B$35,2,0),0)</f>
        <v>0</v>
      </c>
      <c r="W353" s="47"/>
      <c r="X353" s="49"/>
      <c r="Y353" s="50"/>
      <c r="Z353" s="51"/>
      <c r="AA353" s="52"/>
      <c r="AB353" s="53" t="str">
        <f t="shared" si="71"/>
        <v/>
      </c>
      <c r="AC353" s="48" t="str">
        <f t="shared" si="72"/>
        <v/>
      </c>
      <c r="AD353" s="54" t="str">
        <f t="shared" si="73"/>
        <v/>
      </c>
      <c r="AE353" s="55">
        <f t="shared" si="74"/>
        <v>0</v>
      </c>
      <c r="AF353" s="55">
        <f t="shared" si="75"/>
        <v>0</v>
      </c>
      <c r="AG353" s="58">
        <f t="shared" si="76"/>
        <v>0</v>
      </c>
      <c r="AH353" s="47"/>
      <c r="AJ353" s="47"/>
      <c r="AL353" s="47"/>
      <c r="AM353" s="47" t="str">
        <f t="shared" si="77"/>
        <v/>
      </c>
    </row>
    <row r="354" spans="1:39" s="56" customFormat="1" ht="14.25">
      <c r="A354" s="44"/>
      <c r="B354" s="45"/>
      <c r="C354" s="46">
        <f>IF(B354&lt;&gt;"",VLOOKUP(B354,'Tipo Projeto'!$A$3:$B$35,2,0),0)</f>
        <v>0</v>
      </c>
      <c r="D354" s="47"/>
      <c r="E354" s="47"/>
      <c r="F354" s="48"/>
      <c r="G354" s="47"/>
      <c r="H354" s="49"/>
      <c r="I354" s="50"/>
      <c r="J354" s="51"/>
      <c r="K354" s="52"/>
      <c r="L354" s="53" t="str">
        <f t="shared" si="65"/>
        <v/>
      </c>
      <c r="M354" s="48" t="str">
        <f t="shared" si="66"/>
        <v/>
      </c>
      <c r="N354" s="54" t="str">
        <f t="shared" si="67"/>
        <v/>
      </c>
      <c r="O354" s="55">
        <f t="shared" si="68"/>
        <v>0</v>
      </c>
      <c r="P354" s="55">
        <f t="shared" si="69"/>
        <v>0</v>
      </c>
      <c r="Q354" s="54">
        <f t="shared" si="70"/>
        <v>0</v>
      </c>
      <c r="R354" s="47"/>
      <c r="T354" s="57"/>
      <c r="U354" s="45"/>
      <c r="V354" s="46">
        <f>IF(U354&lt;&gt;"",VLOOKUP(U354,'Tipo Projeto'!$A$3:$B$35,2,0),0)</f>
        <v>0</v>
      </c>
      <c r="W354" s="47"/>
      <c r="X354" s="49"/>
      <c r="Y354" s="50"/>
      <c r="Z354" s="51"/>
      <c r="AA354" s="52"/>
      <c r="AB354" s="53" t="str">
        <f t="shared" si="71"/>
        <v/>
      </c>
      <c r="AC354" s="48" t="str">
        <f t="shared" si="72"/>
        <v/>
      </c>
      <c r="AD354" s="54" t="str">
        <f t="shared" si="73"/>
        <v/>
      </c>
      <c r="AE354" s="55">
        <f t="shared" si="74"/>
        <v>0</v>
      </c>
      <c r="AF354" s="55">
        <f t="shared" si="75"/>
        <v>0</v>
      </c>
      <c r="AG354" s="58">
        <f t="shared" si="76"/>
        <v>0</v>
      </c>
      <c r="AH354" s="47"/>
      <c r="AJ354" s="47"/>
      <c r="AL354" s="47"/>
      <c r="AM354" s="47" t="str">
        <f t="shared" si="77"/>
        <v/>
      </c>
    </row>
    <row r="355" spans="1:39" s="56" customFormat="1" ht="14.25">
      <c r="A355" s="44"/>
      <c r="B355" s="45"/>
      <c r="C355" s="46">
        <f>IF(B355&lt;&gt;"",VLOOKUP(B355,'Tipo Projeto'!$A$3:$B$35,2,0),0)</f>
        <v>0</v>
      </c>
      <c r="D355" s="47"/>
      <c r="E355" s="47"/>
      <c r="F355" s="48"/>
      <c r="G355" s="47"/>
      <c r="H355" s="49"/>
      <c r="I355" s="50"/>
      <c r="J355" s="51"/>
      <c r="K355" s="52"/>
      <c r="L355" s="53" t="str">
        <f t="shared" si="65"/>
        <v/>
      </c>
      <c r="M355" s="48" t="str">
        <f t="shared" si="66"/>
        <v/>
      </c>
      <c r="N355" s="54" t="str">
        <f t="shared" si="67"/>
        <v/>
      </c>
      <c r="O355" s="55">
        <f t="shared" si="68"/>
        <v>0</v>
      </c>
      <c r="P355" s="55">
        <f t="shared" si="69"/>
        <v>0</v>
      </c>
      <c r="Q355" s="54">
        <f t="shared" si="70"/>
        <v>0</v>
      </c>
      <c r="R355" s="47"/>
      <c r="T355" s="57"/>
      <c r="U355" s="45"/>
      <c r="V355" s="46">
        <f>IF(U355&lt;&gt;"",VLOOKUP(U355,'Tipo Projeto'!$A$3:$B$35,2,0),0)</f>
        <v>0</v>
      </c>
      <c r="W355" s="47"/>
      <c r="X355" s="49"/>
      <c r="Y355" s="50"/>
      <c r="Z355" s="51"/>
      <c r="AA355" s="52"/>
      <c r="AB355" s="53" t="str">
        <f t="shared" si="71"/>
        <v/>
      </c>
      <c r="AC355" s="48" t="str">
        <f t="shared" si="72"/>
        <v/>
      </c>
      <c r="AD355" s="54" t="str">
        <f t="shared" si="73"/>
        <v/>
      </c>
      <c r="AE355" s="55">
        <f t="shared" si="74"/>
        <v>0</v>
      </c>
      <c r="AF355" s="55">
        <f t="shared" si="75"/>
        <v>0</v>
      </c>
      <c r="AG355" s="58">
        <f t="shared" si="76"/>
        <v>0</v>
      </c>
      <c r="AH355" s="47"/>
      <c r="AJ355" s="47"/>
      <c r="AL355" s="47"/>
      <c r="AM355" s="47" t="str">
        <f t="shared" si="77"/>
        <v/>
      </c>
    </row>
    <row r="356" spans="1:39" s="56" customFormat="1" ht="14.25">
      <c r="A356" s="44"/>
      <c r="B356" s="45"/>
      <c r="C356" s="46">
        <f>IF(B356&lt;&gt;"",VLOOKUP(B356,'Tipo Projeto'!$A$3:$B$35,2,0),0)</f>
        <v>0</v>
      </c>
      <c r="D356" s="47"/>
      <c r="E356" s="47"/>
      <c r="F356" s="48"/>
      <c r="G356" s="47"/>
      <c r="H356" s="49"/>
      <c r="I356" s="50"/>
      <c r="J356" s="51"/>
      <c r="K356" s="52"/>
      <c r="L356" s="53" t="str">
        <f t="shared" si="65"/>
        <v/>
      </c>
      <c r="M356" s="48" t="str">
        <f t="shared" si="66"/>
        <v/>
      </c>
      <c r="N356" s="54" t="str">
        <f t="shared" si="67"/>
        <v/>
      </c>
      <c r="O356" s="55">
        <f t="shared" si="68"/>
        <v>0</v>
      </c>
      <c r="P356" s="55">
        <f t="shared" si="69"/>
        <v>0</v>
      </c>
      <c r="Q356" s="54">
        <f t="shared" si="70"/>
        <v>0</v>
      </c>
      <c r="R356" s="47"/>
      <c r="T356" s="57"/>
      <c r="U356" s="45"/>
      <c r="V356" s="46">
        <f>IF(U356&lt;&gt;"",VLOOKUP(U356,'Tipo Projeto'!$A$3:$B$35,2,0),0)</f>
        <v>0</v>
      </c>
      <c r="W356" s="47"/>
      <c r="X356" s="49"/>
      <c r="Y356" s="50"/>
      <c r="Z356" s="51"/>
      <c r="AA356" s="52"/>
      <c r="AB356" s="53" t="str">
        <f t="shared" si="71"/>
        <v/>
      </c>
      <c r="AC356" s="48" t="str">
        <f t="shared" si="72"/>
        <v/>
      </c>
      <c r="AD356" s="54" t="str">
        <f t="shared" si="73"/>
        <v/>
      </c>
      <c r="AE356" s="55">
        <f t="shared" si="74"/>
        <v>0</v>
      </c>
      <c r="AF356" s="55">
        <f t="shared" si="75"/>
        <v>0</v>
      </c>
      <c r="AG356" s="58">
        <f t="shared" si="76"/>
        <v>0</v>
      </c>
      <c r="AH356" s="47"/>
      <c r="AJ356" s="47"/>
      <c r="AL356" s="47"/>
      <c r="AM356" s="47" t="str">
        <f t="shared" si="77"/>
        <v/>
      </c>
    </row>
    <row r="357" spans="1:39" s="56" customFormat="1" ht="14.25">
      <c r="A357" s="44"/>
      <c r="B357" s="45"/>
      <c r="C357" s="46">
        <f>IF(B357&lt;&gt;"",VLOOKUP(B357,'Tipo Projeto'!$A$3:$B$35,2,0),0)</f>
        <v>0</v>
      </c>
      <c r="D357" s="47"/>
      <c r="E357" s="47"/>
      <c r="F357" s="48"/>
      <c r="G357" s="47"/>
      <c r="H357" s="49"/>
      <c r="I357" s="50"/>
      <c r="J357" s="51"/>
      <c r="K357" s="52"/>
      <c r="L357" s="53" t="str">
        <f t="shared" si="65"/>
        <v/>
      </c>
      <c r="M357" s="48" t="str">
        <f t="shared" si="66"/>
        <v/>
      </c>
      <c r="N357" s="54" t="str">
        <f t="shared" si="67"/>
        <v/>
      </c>
      <c r="O357" s="55">
        <f t="shared" si="68"/>
        <v>0</v>
      </c>
      <c r="P357" s="55">
        <f t="shared" si="69"/>
        <v>0</v>
      </c>
      <c r="Q357" s="54">
        <f t="shared" si="70"/>
        <v>0</v>
      </c>
      <c r="R357" s="47"/>
      <c r="T357" s="57"/>
      <c r="U357" s="45"/>
      <c r="V357" s="46">
        <f>IF(U357&lt;&gt;"",VLOOKUP(U357,'Tipo Projeto'!$A$3:$B$35,2,0),0)</f>
        <v>0</v>
      </c>
      <c r="W357" s="47"/>
      <c r="X357" s="49"/>
      <c r="Y357" s="50"/>
      <c r="Z357" s="51"/>
      <c r="AA357" s="52"/>
      <c r="AB357" s="53" t="str">
        <f t="shared" si="71"/>
        <v/>
      </c>
      <c r="AC357" s="48" t="str">
        <f t="shared" si="72"/>
        <v/>
      </c>
      <c r="AD357" s="54" t="str">
        <f t="shared" si="73"/>
        <v/>
      </c>
      <c r="AE357" s="55">
        <f t="shared" si="74"/>
        <v>0</v>
      </c>
      <c r="AF357" s="55">
        <f t="shared" si="75"/>
        <v>0</v>
      </c>
      <c r="AG357" s="58">
        <f t="shared" si="76"/>
        <v>0</v>
      </c>
      <c r="AH357" s="47"/>
      <c r="AJ357" s="47"/>
      <c r="AL357" s="47"/>
      <c r="AM357" s="47" t="str">
        <f t="shared" si="77"/>
        <v/>
      </c>
    </row>
    <row r="358" spans="1:39" s="56" customFormat="1" ht="14.25">
      <c r="A358" s="44"/>
      <c r="B358" s="45"/>
      <c r="C358" s="46">
        <f>IF(B358&lt;&gt;"",VLOOKUP(B358,'Tipo Projeto'!$A$3:$B$35,2,0),0)</f>
        <v>0</v>
      </c>
      <c r="D358" s="47"/>
      <c r="E358" s="47"/>
      <c r="F358" s="48"/>
      <c r="G358" s="47"/>
      <c r="H358" s="49"/>
      <c r="I358" s="50"/>
      <c r="J358" s="51"/>
      <c r="K358" s="52"/>
      <c r="L358" s="53" t="str">
        <f t="shared" si="65"/>
        <v/>
      </c>
      <c r="M358" s="48" t="str">
        <f t="shared" si="66"/>
        <v/>
      </c>
      <c r="N358" s="54" t="str">
        <f t="shared" si="67"/>
        <v/>
      </c>
      <c r="O358" s="55">
        <f t="shared" si="68"/>
        <v>0</v>
      </c>
      <c r="P358" s="55">
        <f t="shared" si="69"/>
        <v>0</v>
      </c>
      <c r="Q358" s="54">
        <f t="shared" si="70"/>
        <v>0</v>
      </c>
      <c r="R358" s="47"/>
      <c r="T358" s="57"/>
      <c r="U358" s="45"/>
      <c r="V358" s="46">
        <f>IF(U358&lt;&gt;"",VLOOKUP(U358,'Tipo Projeto'!$A$3:$B$35,2,0),0)</f>
        <v>0</v>
      </c>
      <c r="W358" s="47"/>
      <c r="X358" s="49"/>
      <c r="Y358" s="50"/>
      <c r="Z358" s="51"/>
      <c r="AA358" s="52"/>
      <c r="AB358" s="53" t="str">
        <f t="shared" si="71"/>
        <v/>
      </c>
      <c r="AC358" s="48" t="str">
        <f t="shared" si="72"/>
        <v/>
      </c>
      <c r="AD358" s="54" t="str">
        <f t="shared" si="73"/>
        <v/>
      </c>
      <c r="AE358" s="55">
        <f t="shared" si="74"/>
        <v>0</v>
      </c>
      <c r="AF358" s="55">
        <f t="shared" si="75"/>
        <v>0</v>
      </c>
      <c r="AG358" s="58">
        <f t="shared" si="76"/>
        <v>0</v>
      </c>
      <c r="AH358" s="47"/>
      <c r="AJ358" s="47"/>
      <c r="AL358" s="47"/>
      <c r="AM358" s="47" t="str">
        <f t="shared" si="77"/>
        <v/>
      </c>
    </row>
    <row r="359" spans="1:39" s="56" customFormat="1" ht="14.25">
      <c r="A359" s="44"/>
      <c r="B359" s="45"/>
      <c r="C359" s="46">
        <f>IF(B359&lt;&gt;"",VLOOKUP(B359,'Tipo Projeto'!$A$3:$B$35,2,0),0)</f>
        <v>0</v>
      </c>
      <c r="D359" s="47"/>
      <c r="E359" s="47"/>
      <c r="F359" s="48"/>
      <c r="G359" s="47"/>
      <c r="H359" s="49"/>
      <c r="I359" s="50"/>
      <c r="J359" s="51"/>
      <c r="K359" s="52"/>
      <c r="L359" s="53" t="str">
        <f t="shared" si="65"/>
        <v/>
      </c>
      <c r="M359" s="48" t="str">
        <f t="shared" si="66"/>
        <v/>
      </c>
      <c r="N359" s="54" t="str">
        <f t="shared" si="67"/>
        <v/>
      </c>
      <c r="O359" s="55">
        <f t="shared" si="68"/>
        <v>0</v>
      </c>
      <c r="P359" s="55">
        <f t="shared" si="69"/>
        <v>0</v>
      </c>
      <c r="Q359" s="54">
        <f t="shared" si="70"/>
        <v>0</v>
      </c>
      <c r="R359" s="47"/>
      <c r="T359" s="57"/>
      <c r="U359" s="45"/>
      <c r="V359" s="46">
        <f>IF(U359&lt;&gt;"",VLOOKUP(U359,'Tipo Projeto'!$A$3:$B$35,2,0),0)</f>
        <v>0</v>
      </c>
      <c r="W359" s="47"/>
      <c r="X359" s="49"/>
      <c r="Y359" s="50"/>
      <c r="Z359" s="51"/>
      <c r="AA359" s="52"/>
      <c r="AB359" s="53" t="str">
        <f t="shared" si="71"/>
        <v/>
      </c>
      <c r="AC359" s="48" t="str">
        <f t="shared" si="72"/>
        <v/>
      </c>
      <c r="AD359" s="54" t="str">
        <f t="shared" si="73"/>
        <v/>
      </c>
      <c r="AE359" s="55">
        <f t="shared" si="74"/>
        <v>0</v>
      </c>
      <c r="AF359" s="55">
        <f t="shared" si="75"/>
        <v>0</v>
      </c>
      <c r="AG359" s="58">
        <f t="shared" si="76"/>
        <v>0</v>
      </c>
      <c r="AH359" s="47"/>
      <c r="AJ359" s="47"/>
      <c r="AL359" s="47"/>
      <c r="AM359" s="47" t="str">
        <f t="shared" si="77"/>
        <v/>
      </c>
    </row>
    <row r="360" spans="1:39" s="56" customFormat="1" ht="14.25">
      <c r="A360" s="44"/>
      <c r="B360" s="45"/>
      <c r="C360" s="46">
        <f>IF(B360&lt;&gt;"",VLOOKUP(B360,'Tipo Projeto'!$A$3:$B$35,2,0),0)</f>
        <v>0</v>
      </c>
      <c r="D360" s="47"/>
      <c r="E360" s="47"/>
      <c r="F360" s="48"/>
      <c r="G360" s="47"/>
      <c r="H360" s="49"/>
      <c r="I360" s="50"/>
      <c r="J360" s="51"/>
      <c r="K360" s="52"/>
      <c r="L360" s="53" t="str">
        <f t="shared" si="65"/>
        <v/>
      </c>
      <c r="M360" s="48" t="str">
        <f t="shared" si="66"/>
        <v/>
      </c>
      <c r="N360" s="54" t="str">
        <f t="shared" si="67"/>
        <v/>
      </c>
      <c r="O360" s="55">
        <f t="shared" si="68"/>
        <v>0</v>
      </c>
      <c r="P360" s="55">
        <f t="shared" si="69"/>
        <v>0</v>
      </c>
      <c r="Q360" s="54">
        <f t="shared" si="70"/>
        <v>0</v>
      </c>
      <c r="R360" s="47"/>
      <c r="T360" s="57"/>
      <c r="U360" s="45"/>
      <c r="V360" s="46">
        <f>IF(U360&lt;&gt;"",VLOOKUP(U360,'Tipo Projeto'!$A$3:$B$35,2,0),0)</f>
        <v>0</v>
      </c>
      <c r="W360" s="47"/>
      <c r="X360" s="49"/>
      <c r="Y360" s="50"/>
      <c r="Z360" s="51"/>
      <c r="AA360" s="52"/>
      <c r="AB360" s="53" t="str">
        <f t="shared" si="71"/>
        <v/>
      </c>
      <c r="AC360" s="48" t="str">
        <f t="shared" si="72"/>
        <v/>
      </c>
      <c r="AD360" s="54" t="str">
        <f t="shared" si="73"/>
        <v/>
      </c>
      <c r="AE360" s="55">
        <f t="shared" si="74"/>
        <v>0</v>
      </c>
      <c r="AF360" s="55">
        <f t="shared" si="75"/>
        <v>0</v>
      </c>
      <c r="AG360" s="58">
        <f t="shared" si="76"/>
        <v>0</v>
      </c>
      <c r="AH360" s="47"/>
      <c r="AJ360" s="47"/>
      <c r="AL360" s="47"/>
      <c r="AM360" s="47" t="str">
        <f t="shared" si="77"/>
        <v/>
      </c>
    </row>
    <row r="361" spans="1:39" s="56" customFormat="1" ht="14.25">
      <c r="A361" s="44"/>
      <c r="B361" s="45"/>
      <c r="C361" s="46">
        <f>IF(B361&lt;&gt;"",VLOOKUP(B361,'Tipo Projeto'!$A$3:$B$35,2,0),0)</f>
        <v>0</v>
      </c>
      <c r="D361" s="47"/>
      <c r="E361" s="47"/>
      <c r="F361" s="48"/>
      <c r="G361" s="47"/>
      <c r="H361" s="49"/>
      <c r="I361" s="50"/>
      <c r="J361" s="51"/>
      <c r="K361" s="52"/>
      <c r="L361" s="53" t="str">
        <f t="shared" si="65"/>
        <v/>
      </c>
      <c r="M361" s="48" t="str">
        <f t="shared" si="66"/>
        <v/>
      </c>
      <c r="N361" s="54" t="str">
        <f t="shared" si="67"/>
        <v/>
      </c>
      <c r="O361" s="55">
        <f t="shared" si="68"/>
        <v>0</v>
      </c>
      <c r="P361" s="55">
        <f t="shared" si="69"/>
        <v>0</v>
      </c>
      <c r="Q361" s="54">
        <f t="shared" si="70"/>
        <v>0</v>
      </c>
      <c r="R361" s="47"/>
      <c r="T361" s="57"/>
      <c r="U361" s="45"/>
      <c r="V361" s="46">
        <f>IF(U361&lt;&gt;"",VLOOKUP(U361,'Tipo Projeto'!$A$3:$B$35,2,0),0)</f>
        <v>0</v>
      </c>
      <c r="W361" s="47"/>
      <c r="X361" s="49"/>
      <c r="Y361" s="50"/>
      <c r="Z361" s="51"/>
      <c r="AA361" s="52"/>
      <c r="AB361" s="53" t="str">
        <f t="shared" si="71"/>
        <v/>
      </c>
      <c r="AC361" s="48" t="str">
        <f t="shared" si="72"/>
        <v/>
      </c>
      <c r="AD361" s="54" t="str">
        <f t="shared" si="73"/>
        <v/>
      </c>
      <c r="AE361" s="55">
        <f t="shared" si="74"/>
        <v>0</v>
      </c>
      <c r="AF361" s="55">
        <f t="shared" si="75"/>
        <v>0</v>
      </c>
      <c r="AG361" s="58">
        <f t="shared" si="76"/>
        <v>0</v>
      </c>
      <c r="AH361" s="47"/>
      <c r="AJ361" s="47"/>
      <c r="AL361" s="47"/>
      <c r="AM361" s="47" t="str">
        <f t="shared" si="77"/>
        <v/>
      </c>
    </row>
    <row r="362" spans="1:39" s="56" customFormat="1" ht="14.25">
      <c r="A362" s="44"/>
      <c r="B362" s="45"/>
      <c r="C362" s="46">
        <f>IF(B362&lt;&gt;"",VLOOKUP(B362,'Tipo Projeto'!$A$3:$B$35,2,0),0)</f>
        <v>0</v>
      </c>
      <c r="D362" s="47"/>
      <c r="E362" s="47"/>
      <c r="F362" s="48"/>
      <c r="G362" s="47"/>
      <c r="H362" s="49"/>
      <c r="I362" s="50"/>
      <c r="J362" s="51"/>
      <c r="K362" s="52"/>
      <c r="L362" s="53" t="str">
        <f t="shared" ref="L362:L380" si="78">IF(G362="EE",IF(OR(AND(OR(J362=1,J362=0),H362&gt;0,H362&lt;5),AND(OR(J362=1,J362=0),H362&gt;4,H362&lt;16),AND(J362=2,H362&gt;0,H362&lt;5)),"Simples",IF(OR(AND(OR(J362=1,J362=0),H362&gt;15),AND(J362=2,H362&gt;4,H362&lt;16),AND(J362&gt;2,H362&gt;0,H362&lt;5)),"Médio",IF(OR(AND(J362=2,H362&gt;15),AND(J362&gt;2,H362&gt;4,H362&lt;16),AND(J362&gt;2,H362&gt;15)),"Complexo",""))), IF(OR(G362="CE",G362="SE"),IF(OR(AND(OR(J362=1,J362=0),H362&gt;0,H362&lt;6),AND(OR(J362=1,J362=0),H362&gt;5,H362&lt;20),AND(J362&gt;1,J362&lt;4,H362&gt;0,H362&lt;6)),"Simples",IF(OR(AND(OR(J362=1,J362=0),H362&gt;19),AND(J362&gt;1,J362&lt;4,H362&gt;5,H362&lt;20),AND(J362&gt;3,H362&gt;0,H362&lt;6)),"Médio",IF(OR(AND(J362&gt;1,J362&lt;4,H362&gt;19),AND(J362&gt;3,H362&gt;5,H362&lt;20),AND(J362&gt;3,H362&gt;19)),"Complexo",""))),""))</f>
        <v/>
      </c>
      <c r="M362" s="48" t="str">
        <f t="shared" ref="M362:M380" si="79">IF(G362="ALI",IF(OR(AND(OR(J362=1,J362=0),H362&gt;0,H362&lt;20),AND(OR(J362=1,J362=0),H362&gt;19,H362&lt;51),AND(J362&gt;1,J362&lt;6,H362&gt;0,H362&lt;20)),"Simples",IF(OR(AND(OR(J362=1,J362=0),H362&gt;50),AND(J362&gt;1,J362&lt;6,H362&gt;19,H362&lt;51),AND(J362&gt;5,H362&gt;0,H362&lt;20)),"Médio",IF(OR(AND(J362&gt;1,J362&lt;6,H362&gt;50),AND(J362&gt;5,H362&gt;19,H362&lt;51),AND(J362&gt;5,H362&gt;50)),"Complexo",""))), IF(G362="AIE",IF(OR(AND(OR(J362=1, J362=0),H362&gt;0,H362&lt;20),AND(OR(J362=1, J362=0),H362&gt;19,H362&lt;51),AND(J362&gt;1,J362&lt;6,H362&gt;0,H362&lt;20)),"Simples",IF(OR(AND(OR(J362=1, J362=0),H362&gt;50),AND(J362&gt;1,J362&lt;6,H362&gt;19,H362&lt;51),AND(J362&gt;5,H362&gt;0,H362&lt;20)),"Médio",IF(OR(AND(J362&gt;1,J362&lt;6,H362&gt;50),AND(J362&gt;5,H362&gt;19,H362&lt;51),AND(J362&gt;5,H362&gt;50)),"Complexo",""))),""))</f>
        <v/>
      </c>
      <c r="N362" s="54" t="str">
        <f t="shared" ref="N362:N380" si="80">IF(L362="",M362,IF(M362="",L362,""))</f>
        <v/>
      </c>
      <c r="O362" s="55">
        <f t="shared" ref="O362:O380" si="81">IF(AND(OR(G362="EE",G362="CE"),N362="Simples"),3, IF(AND(OR(G362="EE",G362="CE"),N362="Médio"),4, IF(AND(OR(G362="EE",G362="CE"),N362="Complexo"),6, IF(AND(G362="SE",N362="Simples"),4, IF(AND(G362="SE",N362="Médio"),5, IF(AND(G362="SE",N362="Complexo"),7,0))))))</f>
        <v>0</v>
      </c>
      <c r="P362" s="55">
        <f t="shared" ref="P362:P380" si="82">IF(AND(G362="ALI",M362="Simples"),7, IF(AND(G362="ALI",M362="Médio"),10, IF(AND(G362="ALI",M362="Complexo"),15, IF(AND(G362="AIE",M362="Simples"),5, IF(AND(G362="AIE",M362="Médio"),7, IF(AND(G362="AIE",M362="Complexo"),10,0))))))</f>
        <v>0</v>
      </c>
      <c r="Q362" s="54">
        <f t="shared" ref="Q362:Q380" si="83">IF(B362&lt;&gt;"Manutenção em interface",IF(B362&lt;&gt;"Desenv., Manutenção e Publicação de Páginas Estáticas",(O362+P362)*C362,C362),C362)</f>
        <v>0</v>
      </c>
      <c r="R362" s="47"/>
      <c r="T362" s="57"/>
      <c r="U362" s="45"/>
      <c r="V362" s="46">
        <f>IF(U362&lt;&gt;"",VLOOKUP(U362,'Tipo Projeto'!$A$3:$B$35,2,0),0)</f>
        <v>0</v>
      </c>
      <c r="W362" s="47"/>
      <c r="X362" s="49"/>
      <c r="Y362" s="50"/>
      <c r="Z362" s="51"/>
      <c r="AA362" s="52"/>
      <c r="AB362" s="53" t="str">
        <f t="shared" ref="AB362:AB380" si="84">IF(W362="EE",IF(OR(AND(OR(Z362=1,Z362=0),X362&gt;0,X362&lt;5),AND(OR(Z362=1,Z362=0),X362&gt;4,X362&lt;16),AND(Z362=2,X362&gt;0,X362&lt;5)),"Simples",IF(OR(AND(OR(Z362=1,Z362=0),X362&gt;15),AND(Z362=2,X362&gt;4,X362&lt;16),AND(Z362&gt;2,X362&gt;0,X362&lt;5)),"Médio",IF(OR(AND(Z362=2,X362&gt;15),AND(Z362&gt;2,X362&gt;4,X362&lt;16),AND(Z362&gt;2,X362&gt;15)),"Complexo",""))), IF(OR(W362="CE",W362="SE"),IF(OR(AND(OR(Z362=1,Z362=0),X362&gt;0,X362&lt;6),AND(OR(Z362=1,Z362=0),X362&gt;5,X362&lt;20),AND(Z362&gt;1,Z362&lt;4,X362&gt;0,X362&lt;6)),"Simples",IF(OR(AND(OR(Z362=1,Z362=0),X362&gt;19),AND(Z362&gt;1,Z362&lt;4,X362&gt;5,X362&lt;20),AND(Z362&gt;3,X362&gt;0,X362&lt;6)),"Médio",IF(OR(AND(Z362&gt;1,Z362&lt;4,X362&gt;19),AND(Z362&gt;3,X362&gt;5,X362&lt;20),AND(Z362&gt;3,X362&gt;19)),"Complexo",""))),""))</f>
        <v/>
      </c>
      <c r="AC362" s="48" t="str">
        <f t="shared" ref="AC362:AC380" si="85">IF(W362="ALI",IF(OR(AND(OR(Z362=1,Z362=0),X362&gt;0,X362&lt;20),AND(OR(Z362=1,Z362=0),X362&gt;19,X362&lt;51),AND(Z362&gt;1,Z362&lt;6,X362&gt;0,X362&lt;20)),"Simples",IF(OR(AND(OR(Z362=1,Z362=0),X362&gt;50),AND(Z362&gt;1,Z362&lt;6,X362&gt;19,X362&lt;51),AND(Z362&gt;5,X362&gt;0,X362&lt;20)),"Médio",IF(OR(AND(Z362&gt;1,Z362&lt;6,X362&gt;50),AND(Z362&gt;5,X362&gt;19,X362&lt;51),AND(Z362&gt;5,X362&gt;50)),"Complexo",""))), IF(W362="AIE",IF(OR(AND(OR(Z362=1, Z362=0),X362&gt;0,X362&lt;20),AND(OR(Z362=1, Z362=0),X362&gt;19,X362&lt;51),AND(Z362&gt;1,Z362&lt;6,X362&gt;0,X362&lt;20)),"Simples",IF(OR(AND(OR(Z362=1, Z362=0),X362&gt;50),AND(Z362&gt;1,Z362&lt;6,X362&gt;19,X362&lt;51),AND(Z362&gt;5,X362&gt;0,X362&lt;20)),"Médio",IF(OR(AND(Z362&gt;1,Z362&lt;6,X362&gt;50),AND(Z362&gt;5,X362&gt;19,X362&lt;51),AND(Z362&gt;5,X362&gt;50)),"Complexo",""))),""))</f>
        <v/>
      </c>
      <c r="AD362" s="54" t="str">
        <f t="shared" ref="AD362:AD380" si="86">IF(AB362="",AC362,IF(AC362="",AB362,""))</f>
        <v/>
      </c>
      <c r="AE362" s="55">
        <f t="shared" ref="AE362:AE380" si="87">IF(AND(OR(W362="EE",W362="CE"),AD362="Simples"),3, IF(AND(OR(W362="EE",W362="CE"),AD362="Médio"),4, IF(AND(OR(W362="EE",W362="CE"),AD362="Complexo"),6, IF(AND(W362="SE",AD362="Simples"),4, IF(AND(W362="SE",AD362="Médio"),5, IF(AND(W362="SE",AD362="Complexo"),7,0))))))</f>
        <v>0</v>
      </c>
      <c r="AF362" s="55">
        <f t="shared" ref="AF362:AF380" si="88">IF(AND(W362="ALI",AC362="Simples"),7, IF(AND(W362="ALI",AC362="Médio"),10, IF(AND(W362="ALI",AC362="Complexo"),15, IF(AND(W362="AIE",AC362="Simples"),5, IF(AND(W362="AIE",AC362="Médio"),7, IF(AND(W362="AIE",AC362="Complexo"),10,0))))))</f>
        <v>0</v>
      </c>
      <c r="AG362" s="58">
        <f t="shared" ref="AG362:AG380" si="89">IF(T362="OK",Q362,( IF(U362&lt;&gt;"Manutenção em interface",IF(U362&lt;&gt;"Desenv., Manutenção e Publicação de Páginas Estáticas",(AE362+AF362)*V362,V362),V362)))</f>
        <v>0</v>
      </c>
      <c r="AH362" s="47"/>
      <c r="AJ362" s="47"/>
      <c r="AL362" s="47"/>
      <c r="AM362" s="47" t="str">
        <f t="shared" ref="AM362:AM380" si="90">IF(AG362=0,"",IF(AG362=Q362,"OK","Divergente"))</f>
        <v/>
      </c>
    </row>
    <row r="363" spans="1:39" s="56" customFormat="1" ht="14.25">
      <c r="A363" s="44"/>
      <c r="B363" s="45"/>
      <c r="C363" s="46">
        <f>IF(B363&lt;&gt;"",VLOOKUP(B363,'Tipo Projeto'!$A$3:$B$35,2,0),0)</f>
        <v>0</v>
      </c>
      <c r="D363" s="47"/>
      <c r="E363" s="47"/>
      <c r="F363" s="48"/>
      <c r="G363" s="47"/>
      <c r="H363" s="49"/>
      <c r="I363" s="50"/>
      <c r="J363" s="51"/>
      <c r="K363" s="52"/>
      <c r="L363" s="53" t="str">
        <f t="shared" si="78"/>
        <v/>
      </c>
      <c r="M363" s="48" t="str">
        <f t="shared" si="79"/>
        <v/>
      </c>
      <c r="N363" s="54" t="str">
        <f t="shared" si="80"/>
        <v/>
      </c>
      <c r="O363" s="55">
        <f t="shared" si="81"/>
        <v>0</v>
      </c>
      <c r="P363" s="55">
        <f t="shared" si="82"/>
        <v>0</v>
      </c>
      <c r="Q363" s="54">
        <f t="shared" si="83"/>
        <v>0</v>
      </c>
      <c r="R363" s="47"/>
      <c r="T363" s="57"/>
      <c r="U363" s="45"/>
      <c r="V363" s="46">
        <f>IF(U363&lt;&gt;"",VLOOKUP(U363,'Tipo Projeto'!$A$3:$B$35,2,0),0)</f>
        <v>0</v>
      </c>
      <c r="W363" s="47"/>
      <c r="X363" s="49"/>
      <c r="Y363" s="50"/>
      <c r="Z363" s="51"/>
      <c r="AA363" s="52"/>
      <c r="AB363" s="53" t="str">
        <f t="shared" si="84"/>
        <v/>
      </c>
      <c r="AC363" s="48" t="str">
        <f t="shared" si="85"/>
        <v/>
      </c>
      <c r="AD363" s="54" t="str">
        <f t="shared" si="86"/>
        <v/>
      </c>
      <c r="AE363" s="55">
        <f t="shared" si="87"/>
        <v>0</v>
      </c>
      <c r="AF363" s="55">
        <f t="shared" si="88"/>
        <v>0</v>
      </c>
      <c r="AG363" s="58">
        <f t="shared" si="89"/>
        <v>0</v>
      </c>
      <c r="AH363" s="47"/>
      <c r="AJ363" s="47"/>
      <c r="AL363" s="47"/>
      <c r="AM363" s="47" t="str">
        <f t="shared" si="90"/>
        <v/>
      </c>
    </row>
    <row r="364" spans="1:39" s="56" customFormat="1" ht="14.25">
      <c r="A364" s="44"/>
      <c r="B364" s="45"/>
      <c r="C364" s="46">
        <f>IF(B364&lt;&gt;"",VLOOKUP(B364,'Tipo Projeto'!$A$3:$B$35,2,0),0)</f>
        <v>0</v>
      </c>
      <c r="D364" s="47"/>
      <c r="E364" s="47"/>
      <c r="F364" s="48"/>
      <c r="G364" s="47"/>
      <c r="H364" s="49"/>
      <c r="I364" s="50"/>
      <c r="J364" s="51"/>
      <c r="K364" s="52"/>
      <c r="L364" s="53" t="str">
        <f t="shared" si="78"/>
        <v/>
      </c>
      <c r="M364" s="48" t="str">
        <f t="shared" si="79"/>
        <v/>
      </c>
      <c r="N364" s="54" t="str">
        <f t="shared" si="80"/>
        <v/>
      </c>
      <c r="O364" s="55">
        <f t="shared" si="81"/>
        <v>0</v>
      </c>
      <c r="P364" s="55">
        <f t="shared" si="82"/>
        <v>0</v>
      </c>
      <c r="Q364" s="54">
        <f t="shared" si="83"/>
        <v>0</v>
      </c>
      <c r="R364" s="47"/>
      <c r="T364" s="57"/>
      <c r="U364" s="45"/>
      <c r="V364" s="46">
        <f>IF(U364&lt;&gt;"",VLOOKUP(U364,'Tipo Projeto'!$A$3:$B$35,2,0),0)</f>
        <v>0</v>
      </c>
      <c r="W364" s="47"/>
      <c r="X364" s="49"/>
      <c r="Y364" s="50"/>
      <c r="Z364" s="51"/>
      <c r="AA364" s="52"/>
      <c r="AB364" s="53" t="str">
        <f t="shared" si="84"/>
        <v/>
      </c>
      <c r="AC364" s="48" t="str">
        <f t="shared" si="85"/>
        <v/>
      </c>
      <c r="AD364" s="54" t="str">
        <f t="shared" si="86"/>
        <v/>
      </c>
      <c r="AE364" s="55">
        <f t="shared" si="87"/>
        <v>0</v>
      </c>
      <c r="AF364" s="55">
        <f t="shared" si="88"/>
        <v>0</v>
      </c>
      <c r="AG364" s="58">
        <f t="shared" si="89"/>
        <v>0</v>
      </c>
      <c r="AH364" s="47"/>
      <c r="AJ364" s="47"/>
      <c r="AL364" s="47"/>
      <c r="AM364" s="47" t="str">
        <f t="shared" si="90"/>
        <v/>
      </c>
    </row>
    <row r="365" spans="1:39" s="56" customFormat="1" ht="14.25">
      <c r="A365" s="44"/>
      <c r="B365" s="45"/>
      <c r="C365" s="46">
        <f>IF(B365&lt;&gt;"",VLOOKUP(B365,'Tipo Projeto'!$A$3:$B$35,2,0),0)</f>
        <v>0</v>
      </c>
      <c r="D365" s="47"/>
      <c r="E365" s="47"/>
      <c r="F365" s="48"/>
      <c r="G365" s="47"/>
      <c r="H365" s="49"/>
      <c r="I365" s="50"/>
      <c r="J365" s="51"/>
      <c r="K365" s="52"/>
      <c r="L365" s="53" t="str">
        <f t="shared" si="78"/>
        <v/>
      </c>
      <c r="M365" s="48" t="str">
        <f t="shared" si="79"/>
        <v/>
      </c>
      <c r="N365" s="54" t="str">
        <f t="shared" si="80"/>
        <v/>
      </c>
      <c r="O365" s="55">
        <f t="shared" si="81"/>
        <v>0</v>
      </c>
      <c r="P365" s="55">
        <f t="shared" si="82"/>
        <v>0</v>
      </c>
      <c r="Q365" s="54">
        <f t="shared" si="83"/>
        <v>0</v>
      </c>
      <c r="R365" s="47"/>
      <c r="T365" s="57"/>
      <c r="U365" s="45"/>
      <c r="V365" s="46">
        <f>IF(U365&lt;&gt;"",VLOOKUP(U365,'Tipo Projeto'!$A$3:$B$35,2,0),0)</f>
        <v>0</v>
      </c>
      <c r="W365" s="47"/>
      <c r="X365" s="49"/>
      <c r="Y365" s="50"/>
      <c r="Z365" s="51"/>
      <c r="AA365" s="52"/>
      <c r="AB365" s="53" t="str">
        <f t="shared" si="84"/>
        <v/>
      </c>
      <c r="AC365" s="48" t="str">
        <f t="shared" si="85"/>
        <v/>
      </c>
      <c r="AD365" s="54" t="str">
        <f t="shared" si="86"/>
        <v/>
      </c>
      <c r="AE365" s="55">
        <f t="shared" si="87"/>
        <v>0</v>
      </c>
      <c r="AF365" s="55">
        <f t="shared" si="88"/>
        <v>0</v>
      </c>
      <c r="AG365" s="58">
        <f t="shared" si="89"/>
        <v>0</v>
      </c>
      <c r="AH365" s="47"/>
      <c r="AJ365" s="47"/>
      <c r="AL365" s="47"/>
      <c r="AM365" s="47" t="str">
        <f t="shared" si="90"/>
        <v/>
      </c>
    </row>
    <row r="366" spans="1:39" s="56" customFormat="1" ht="14.25">
      <c r="A366" s="44"/>
      <c r="B366" s="45"/>
      <c r="C366" s="46">
        <f>IF(B366&lt;&gt;"",VLOOKUP(B366,'Tipo Projeto'!$A$3:$B$35,2,0),0)</f>
        <v>0</v>
      </c>
      <c r="D366" s="47"/>
      <c r="E366" s="47"/>
      <c r="F366" s="48"/>
      <c r="G366" s="47"/>
      <c r="H366" s="49"/>
      <c r="I366" s="50"/>
      <c r="J366" s="51"/>
      <c r="K366" s="52"/>
      <c r="L366" s="53" t="str">
        <f t="shared" si="78"/>
        <v/>
      </c>
      <c r="M366" s="48" t="str">
        <f t="shared" si="79"/>
        <v/>
      </c>
      <c r="N366" s="54" t="str">
        <f t="shared" si="80"/>
        <v/>
      </c>
      <c r="O366" s="55">
        <f t="shared" si="81"/>
        <v>0</v>
      </c>
      <c r="P366" s="55">
        <f t="shared" si="82"/>
        <v>0</v>
      </c>
      <c r="Q366" s="54">
        <f t="shared" si="83"/>
        <v>0</v>
      </c>
      <c r="R366" s="47"/>
      <c r="T366" s="57"/>
      <c r="U366" s="45"/>
      <c r="V366" s="46">
        <f>IF(U366&lt;&gt;"",VLOOKUP(U366,'Tipo Projeto'!$A$3:$B$35,2,0),0)</f>
        <v>0</v>
      </c>
      <c r="W366" s="47"/>
      <c r="X366" s="49"/>
      <c r="Y366" s="50"/>
      <c r="Z366" s="51"/>
      <c r="AA366" s="52"/>
      <c r="AB366" s="53" t="str">
        <f t="shared" si="84"/>
        <v/>
      </c>
      <c r="AC366" s="48" t="str">
        <f t="shared" si="85"/>
        <v/>
      </c>
      <c r="AD366" s="54" t="str">
        <f t="shared" si="86"/>
        <v/>
      </c>
      <c r="AE366" s="55">
        <f t="shared" si="87"/>
        <v>0</v>
      </c>
      <c r="AF366" s="55">
        <f t="shared" si="88"/>
        <v>0</v>
      </c>
      <c r="AG366" s="58">
        <f t="shared" si="89"/>
        <v>0</v>
      </c>
      <c r="AH366" s="47"/>
      <c r="AJ366" s="47"/>
      <c r="AL366" s="47"/>
      <c r="AM366" s="47" t="str">
        <f t="shared" si="90"/>
        <v/>
      </c>
    </row>
    <row r="367" spans="1:39" s="56" customFormat="1" ht="14.25">
      <c r="A367" s="44"/>
      <c r="B367" s="45"/>
      <c r="C367" s="46">
        <f>IF(B367&lt;&gt;"",VLOOKUP(B367,'Tipo Projeto'!$A$3:$B$35,2,0),0)</f>
        <v>0</v>
      </c>
      <c r="D367" s="47"/>
      <c r="E367" s="47"/>
      <c r="F367" s="48"/>
      <c r="G367" s="47"/>
      <c r="H367" s="49"/>
      <c r="I367" s="50"/>
      <c r="J367" s="51"/>
      <c r="K367" s="52"/>
      <c r="L367" s="53" t="str">
        <f t="shared" si="78"/>
        <v/>
      </c>
      <c r="M367" s="48" t="str">
        <f t="shared" si="79"/>
        <v/>
      </c>
      <c r="N367" s="54" t="str">
        <f t="shared" si="80"/>
        <v/>
      </c>
      <c r="O367" s="55">
        <f t="shared" si="81"/>
        <v>0</v>
      </c>
      <c r="P367" s="55">
        <f t="shared" si="82"/>
        <v>0</v>
      </c>
      <c r="Q367" s="54">
        <f t="shared" si="83"/>
        <v>0</v>
      </c>
      <c r="R367" s="47"/>
      <c r="T367" s="57"/>
      <c r="U367" s="45"/>
      <c r="V367" s="46">
        <f>IF(U367&lt;&gt;"",VLOOKUP(U367,'Tipo Projeto'!$A$3:$B$35,2,0),0)</f>
        <v>0</v>
      </c>
      <c r="W367" s="47"/>
      <c r="X367" s="49"/>
      <c r="Y367" s="50"/>
      <c r="Z367" s="51"/>
      <c r="AA367" s="52"/>
      <c r="AB367" s="53" t="str">
        <f t="shared" si="84"/>
        <v/>
      </c>
      <c r="AC367" s="48" t="str">
        <f t="shared" si="85"/>
        <v/>
      </c>
      <c r="AD367" s="54" t="str">
        <f t="shared" si="86"/>
        <v/>
      </c>
      <c r="AE367" s="55">
        <f t="shared" si="87"/>
        <v>0</v>
      </c>
      <c r="AF367" s="55">
        <f t="shared" si="88"/>
        <v>0</v>
      </c>
      <c r="AG367" s="58">
        <f t="shared" si="89"/>
        <v>0</v>
      </c>
      <c r="AH367" s="47"/>
      <c r="AJ367" s="47"/>
      <c r="AL367" s="47"/>
      <c r="AM367" s="47" t="str">
        <f t="shared" si="90"/>
        <v/>
      </c>
    </row>
    <row r="368" spans="1:39" s="56" customFormat="1" ht="14.25">
      <c r="A368" s="44"/>
      <c r="B368" s="45"/>
      <c r="C368" s="46">
        <f>IF(B368&lt;&gt;"",VLOOKUP(B368,'Tipo Projeto'!$A$3:$B$35,2,0),0)</f>
        <v>0</v>
      </c>
      <c r="D368" s="47"/>
      <c r="E368" s="47"/>
      <c r="F368" s="48"/>
      <c r="G368" s="47"/>
      <c r="H368" s="49"/>
      <c r="I368" s="50"/>
      <c r="J368" s="51"/>
      <c r="K368" s="52"/>
      <c r="L368" s="53" t="str">
        <f t="shared" si="78"/>
        <v/>
      </c>
      <c r="M368" s="48" t="str">
        <f t="shared" si="79"/>
        <v/>
      </c>
      <c r="N368" s="54" t="str">
        <f t="shared" si="80"/>
        <v/>
      </c>
      <c r="O368" s="55">
        <f t="shared" si="81"/>
        <v>0</v>
      </c>
      <c r="P368" s="55">
        <f t="shared" si="82"/>
        <v>0</v>
      </c>
      <c r="Q368" s="54">
        <f t="shared" si="83"/>
        <v>0</v>
      </c>
      <c r="R368" s="47"/>
      <c r="T368" s="57"/>
      <c r="U368" s="45"/>
      <c r="V368" s="46">
        <f>IF(U368&lt;&gt;"",VLOOKUP(U368,'Tipo Projeto'!$A$3:$B$35,2,0),0)</f>
        <v>0</v>
      </c>
      <c r="W368" s="47"/>
      <c r="X368" s="49"/>
      <c r="Y368" s="50"/>
      <c r="Z368" s="51"/>
      <c r="AA368" s="52"/>
      <c r="AB368" s="53" t="str">
        <f t="shared" si="84"/>
        <v/>
      </c>
      <c r="AC368" s="48" t="str">
        <f t="shared" si="85"/>
        <v/>
      </c>
      <c r="AD368" s="54" t="str">
        <f t="shared" si="86"/>
        <v/>
      </c>
      <c r="AE368" s="55">
        <f t="shared" si="87"/>
        <v>0</v>
      </c>
      <c r="AF368" s="55">
        <f t="shared" si="88"/>
        <v>0</v>
      </c>
      <c r="AG368" s="58">
        <f t="shared" si="89"/>
        <v>0</v>
      </c>
      <c r="AH368" s="47"/>
      <c r="AJ368" s="47"/>
      <c r="AL368" s="47"/>
      <c r="AM368" s="47" t="str">
        <f t="shared" si="90"/>
        <v/>
      </c>
    </row>
    <row r="369" spans="1:39" s="56" customFormat="1" ht="14.25">
      <c r="A369" s="44"/>
      <c r="B369" s="45"/>
      <c r="C369" s="46">
        <f>IF(B369&lt;&gt;"",VLOOKUP(B369,'Tipo Projeto'!$A$3:$B$35,2,0),0)</f>
        <v>0</v>
      </c>
      <c r="D369" s="47"/>
      <c r="E369" s="47"/>
      <c r="F369" s="48"/>
      <c r="G369" s="47"/>
      <c r="H369" s="49"/>
      <c r="I369" s="50"/>
      <c r="J369" s="51"/>
      <c r="K369" s="52"/>
      <c r="L369" s="53" t="str">
        <f t="shared" si="78"/>
        <v/>
      </c>
      <c r="M369" s="48" t="str">
        <f t="shared" si="79"/>
        <v/>
      </c>
      <c r="N369" s="54" t="str">
        <f t="shared" si="80"/>
        <v/>
      </c>
      <c r="O369" s="55">
        <f t="shared" si="81"/>
        <v>0</v>
      </c>
      <c r="P369" s="55">
        <f t="shared" si="82"/>
        <v>0</v>
      </c>
      <c r="Q369" s="54">
        <f t="shared" si="83"/>
        <v>0</v>
      </c>
      <c r="R369" s="47"/>
      <c r="T369" s="57"/>
      <c r="U369" s="45"/>
      <c r="V369" s="46">
        <f>IF(U369&lt;&gt;"",VLOOKUP(U369,'Tipo Projeto'!$A$3:$B$35,2,0),0)</f>
        <v>0</v>
      </c>
      <c r="W369" s="47"/>
      <c r="X369" s="49"/>
      <c r="Y369" s="50"/>
      <c r="Z369" s="51"/>
      <c r="AA369" s="52"/>
      <c r="AB369" s="53" t="str">
        <f t="shared" si="84"/>
        <v/>
      </c>
      <c r="AC369" s="48" t="str">
        <f t="shared" si="85"/>
        <v/>
      </c>
      <c r="AD369" s="54" t="str">
        <f t="shared" si="86"/>
        <v/>
      </c>
      <c r="AE369" s="55">
        <f t="shared" si="87"/>
        <v>0</v>
      </c>
      <c r="AF369" s="55">
        <f t="shared" si="88"/>
        <v>0</v>
      </c>
      <c r="AG369" s="58">
        <f t="shared" si="89"/>
        <v>0</v>
      </c>
      <c r="AH369" s="47"/>
      <c r="AJ369" s="47"/>
      <c r="AL369" s="47"/>
      <c r="AM369" s="47" t="str">
        <f t="shared" si="90"/>
        <v/>
      </c>
    </row>
    <row r="370" spans="1:39" s="56" customFormat="1" ht="14.25">
      <c r="A370" s="44"/>
      <c r="B370" s="45"/>
      <c r="C370" s="46">
        <f>IF(B370&lt;&gt;"",VLOOKUP(B370,'Tipo Projeto'!$A$3:$B$35,2,0),0)</f>
        <v>0</v>
      </c>
      <c r="D370" s="47"/>
      <c r="E370" s="47"/>
      <c r="F370" s="48"/>
      <c r="G370" s="47"/>
      <c r="H370" s="49"/>
      <c r="I370" s="50"/>
      <c r="J370" s="51"/>
      <c r="K370" s="52"/>
      <c r="L370" s="53" t="str">
        <f t="shared" si="78"/>
        <v/>
      </c>
      <c r="M370" s="48" t="str">
        <f t="shared" si="79"/>
        <v/>
      </c>
      <c r="N370" s="54" t="str">
        <f t="shared" si="80"/>
        <v/>
      </c>
      <c r="O370" s="55">
        <f t="shared" si="81"/>
        <v>0</v>
      </c>
      <c r="P370" s="55">
        <f t="shared" si="82"/>
        <v>0</v>
      </c>
      <c r="Q370" s="54">
        <f t="shared" si="83"/>
        <v>0</v>
      </c>
      <c r="R370" s="47"/>
      <c r="T370" s="57"/>
      <c r="U370" s="45"/>
      <c r="V370" s="46">
        <f>IF(U370&lt;&gt;"",VLOOKUP(U370,'Tipo Projeto'!$A$3:$B$35,2,0),0)</f>
        <v>0</v>
      </c>
      <c r="W370" s="47"/>
      <c r="X370" s="49"/>
      <c r="Y370" s="50"/>
      <c r="Z370" s="51"/>
      <c r="AA370" s="52"/>
      <c r="AB370" s="53" t="str">
        <f t="shared" si="84"/>
        <v/>
      </c>
      <c r="AC370" s="48" t="str">
        <f t="shared" si="85"/>
        <v/>
      </c>
      <c r="AD370" s="54" t="str">
        <f t="shared" si="86"/>
        <v/>
      </c>
      <c r="AE370" s="55">
        <f t="shared" si="87"/>
        <v>0</v>
      </c>
      <c r="AF370" s="55">
        <f t="shared" si="88"/>
        <v>0</v>
      </c>
      <c r="AG370" s="58">
        <f t="shared" si="89"/>
        <v>0</v>
      </c>
      <c r="AH370" s="47"/>
      <c r="AJ370" s="47"/>
      <c r="AL370" s="47"/>
      <c r="AM370" s="47" t="str">
        <f t="shared" si="90"/>
        <v/>
      </c>
    </row>
    <row r="371" spans="1:39" s="56" customFormat="1" ht="14.25">
      <c r="A371" s="44"/>
      <c r="B371" s="45"/>
      <c r="C371" s="46">
        <f>IF(B371&lt;&gt;"",VLOOKUP(B371,'Tipo Projeto'!$A$3:$B$35,2,0),0)</f>
        <v>0</v>
      </c>
      <c r="D371" s="47"/>
      <c r="E371" s="47"/>
      <c r="F371" s="48"/>
      <c r="G371" s="47"/>
      <c r="H371" s="49"/>
      <c r="I371" s="50"/>
      <c r="J371" s="51"/>
      <c r="K371" s="52"/>
      <c r="L371" s="53" t="str">
        <f t="shared" si="78"/>
        <v/>
      </c>
      <c r="M371" s="48" t="str">
        <f t="shared" si="79"/>
        <v/>
      </c>
      <c r="N371" s="54" t="str">
        <f t="shared" si="80"/>
        <v/>
      </c>
      <c r="O371" s="55">
        <f t="shared" si="81"/>
        <v>0</v>
      </c>
      <c r="P371" s="55">
        <f t="shared" si="82"/>
        <v>0</v>
      </c>
      <c r="Q371" s="54">
        <f t="shared" si="83"/>
        <v>0</v>
      </c>
      <c r="R371" s="47"/>
      <c r="T371" s="57"/>
      <c r="U371" s="45"/>
      <c r="V371" s="46">
        <f>IF(U371&lt;&gt;"",VLOOKUP(U371,'Tipo Projeto'!$A$3:$B$35,2,0),0)</f>
        <v>0</v>
      </c>
      <c r="W371" s="47"/>
      <c r="X371" s="49"/>
      <c r="Y371" s="50"/>
      <c r="Z371" s="51"/>
      <c r="AA371" s="52"/>
      <c r="AB371" s="53" t="str">
        <f t="shared" si="84"/>
        <v/>
      </c>
      <c r="AC371" s="48" t="str">
        <f t="shared" si="85"/>
        <v/>
      </c>
      <c r="AD371" s="54" t="str">
        <f t="shared" si="86"/>
        <v/>
      </c>
      <c r="AE371" s="55">
        <f t="shared" si="87"/>
        <v>0</v>
      </c>
      <c r="AF371" s="55">
        <f t="shared" si="88"/>
        <v>0</v>
      </c>
      <c r="AG371" s="58">
        <f t="shared" si="89"/>
        <v>0</v>
      </c>
      <c r="AH371" s="47"/>
      <c r="AJ371" s="47"/>
      <c r="AL371" s="47"/>
      <c r="AM371" s="47" t="str">
        <f t="shared" si="90"/>
        <v/>
      </c>
    </row>
    <row r="372" spans="1:39" s="56" customFormat="1" ht="14.25">
      <c r="A372" s="44"/>
      <c r="B372" s="45"/>
      <c r="C372" s="46">
        <f>IF(B372&lt;&gt;"",VLOOKUP(B372,'Tipo Projeto'!$A$3:$B$35,2,0),0)</f>
        <v>0</v>
      </c>
      <c r="D372" s="47"/>
      <c r="E372" s="47"/>
      <c r="F372" s="48"/>
      <c r="G372" s="47"/>
      <c r="H372" s="49"/>
      <c r="I372" s="50"/>
      <c r="J372" s="51"/>
      <c r="K372" s="52"/>
      <c r="L372" s="53" t="str">
        <f t="shared" si="78"/>
        <v/>
      </c>
      <c r="M372" s="48" t="str">
        <f t="shared" si="79"/>
        <v/>
      </c>
      <c r="N372" s="54" t="str">
        <f t="shared" si="80"/>
        <v/>
      </c>
      <c r="O372" s="55">
        <f t="shared" si="81"/>
        <v>0</v>
      </c>
      <c r="P372" s="55">
        <f t="shared" si="82"/>
        <v>0</v>
      </c>
      <c r="Q372" s="54">
        <f t="shared" si="83"/>
        <v>0</v>
      </c>
      <c r="R372" s="47"/>
      <c r="T372" s="57"/>
      <c r="U372" s="45"/>
      <c r="V372" s="46">
        <f>IF(U372&lt;&gt;"",VLOOKUP(U372,'Tipo Projeto'!$A$3:$B$35,2,0),0)</f>
        <v>0</v>
      </c>
      <c r="W372" s="47"/>
      <c r="X372" s="49"/>
      <c r="Y372" s="50"/>
      <c r="Z372" s="51"/>
      <c r="AA372" s="52"/>
      <c r="AB372" s="53" t="str">
        <f t="shared" si="84"/>
        <v/>
      </c>
      <c r="AC372" s="48" t="str">
        <f t="shared" si="85"/>
        <v/>
      </c>
      <c r="AD372" s="54" t="str">
        <f t="shared" si="86"/>
        <v/>
      </c>
      <c r="AE372" s="55">
        <f t="shared" si="87"/>
        <v>0</v>
      </c>
      <c r="AF372" s="55">
        <f t="shared" si="88"/>
        <v>0</v>
      </c>
      <c r="AG372" s="58">
        <f t="shared" si="89"/>
        <v>0</v>
      </c>
      <c r="AH372" s="47"/>
      <c r="AJ372" s="47"/>
      <c r="AL372" s="47"/>
      <c r="AM372" s="47" t="str">
        <f t="shared" si="90"/>
        <v/>
      </c>
    </row>
    <row r="373" spans="1:39" s="56" customFormat="1" ht="14.25">
      <c r="A373" s="44"/>
      <c r="B373" s="45"/>
      <c r="C373" s="46">
        <f>IF(B373&lt;&gt;"",VLOOKUP(B373,'Tipo Projeto'!$A$3:$B$35,2,0),0)</f>
        <v>0</v>
      </c>
      <c r="D373" s="47"/>
      <c r="E373" s="47"/>
      <c r="F373" s="48"/>
      <c r="G373" s="47"/>
      <c r="H373" s="49"/>
      <c r="I373" s="50"/>
      <c r="J373" s="51"/>
      <c r="K373" s="52"/>
      <c r="L373" s="53" t="str">
        <f t="shared" si="78"/>
        <v/>
      </c>
      <c r="M373" s="48" t="str">
        <f t="shared" si="79"/>
        <v/>
      </c>
      <c r="N373" s="54" t="str">
        <f t="shared" si="80"/>
        <v/>
      </c>
      <c r="O373" s="55">
        <f t="shared" si="81"/>
        <v>0</v>
      </c>
      <c r="P373" s="55">
        <f t="shared" si="82"/>
        <v>0</v>
      </c>
      <c r="Q373" s="54">
        <f t="shared" si="83"/>
        <v>0</v>
      </c>
      <c r="R373" s="47"/>
      <c r="T373" s="57"/>
      <c r="U373" s="45"/>
      <c r="V373" s="46">
        <f>IF(U373&lt;&gt;"",VLOOKUP(U373,'Tipo Projeto'!$A$3:$B$35,2,0),0)</f>
        <v>0</v>
      </c>
      <c r="W373" s="47"/>
      <c r="X373" s="49"/>
      <c r="Y373" s="50"/>
      <c r="Z373" s="51"/>
      <c r="AA373" s="52"/>
      <c r="AB373" s="53" t="str">
        <f t="shared" si="84"/>
        <v/>
      </c>
      <c r="AC373" s="48" t="str">
        <f t="shared" si="85"/>
        <v/>
      </c>
      <c r="AD373" s="54" t="str">
        <f t="shared" si="86"/>
        <v/>
      </c>
      <c r="AE373" s="55">
        <f t="shared" si="87"/>
        <v>0</v>
      </c>
      <c r="AF373" s="55">
        <f t="shared" si="88"/>
        <v>0</v>
      </c>
      <c r="AG373" s="58">
        <f t="shared" si="89"/>
        <v>0</v>
      </c>
      <c r="AH373" s="47"/>
      <c r="AJ373" s="47"/>
      <c r="AL373" s="47"/>
      <c r="AM373" s="47" t="str">
        <f t="shared" si="90"/>
        <v/>
      </c>
    </row>
    <row r="374" spans="1:39" s="56" customFormat="1" ht="14.25">
      <c r="A374" s="44"/>
      <c r="B374" s="45"/>
      <c r="C374" s="46">
        <f>IF(B374&lt;&gt;"",VLOOKUP(B374,'Tipo Projeto'!$A$3:$B$35,2,0),0)</f>
        <v>0</v>
      </c>
      <c r="D374" s="47"/>
      <c r="E374" s="47"/>
      <c r="F374" s="48"/>
      <c r="G374" s="47"/>
      <c r="H374" s="49"/>
      <c r="I374" s="50"/>
      <c r="J374" s="51"/>
      <c r="K374" s="52"/>
      <c r="L374" s="53" t="str">
        <f t="shared" si="78"/>
        <v/>
      </c>
      <c r="M374" s="48" t="str">
        <f t="shared" si="79"/>
        <v/>
      </c>
      <c r="N374" s="54" t="str">
        <f t="shared" si="80"/>
        <v/>
      </c>
      <c r="O374" s="55">
        <f t="shared" si="81"/>
        <v>0</v>
      </c>
      <c r="P374" s="55">
        <f t="shared" si="82"/>
        <v>0</v>
      </c>
      <c r="Q374" s="54">
        <f t="shared" si="83"/>
        <v>0</v>
      </c>
      <c r="R374" s="47"/>
      <c r="T374" s="57"/>
      <c r="U374" s="45"/>
      <c r="V374" s="46">
        <f>IF(U374&lt;&gt;"",VLOOKUP(U374,'Tipo Projeto'!$A$3:$B$35,2,0),0)</f>
        <v>0</v>
      </c>
      <c r="W374" s="47"/>
      <c r="X374" s="49"/>
      <c r="Y374" s="50"/>
      <c r="Z374" s="51"/>
      <c r="AA374" s="52"/>
      <c r="AB374" s="53" t="str">
        <f t="shared" si="84"/>
        <v/>
      </c>
      <c r="AC374" s="48" t="str">
        <f t="shared" si="85"/>
        <v/>
      </c>
      <c r="AD374" s="54" t="str">
        <f t="shared" si="86"/>
        <v/>
      </c>
      <c r="AE374" s="55">
        <f t="shared" si="87"/>
        <v>0</v>
      </c>
      <c r="AF374" s="55">
        <f t="shared" si="88"/>
        <v>0</v>
      </c>
      <c r="AG374" s="58">
        <f t="shared" si="89"/>
        <v>0</v>
      </c>
      <c r="AH374" s="47"/>
      <c r="AJ374" s="47"/>
      <c r="AL374" s="47"/>
      <c r="AM374" s="47" t="str">
        <f t="shared" si="90"/>
        <v/>
      </c>
    </row>
    <row r="375" spans="1:39" s="56" customFormat="1" ht="14.25">
      <c r="A375" s="44"/>
      <c r="B375" s="45"/>
      <c r="C375" s="46">
        <f>IF(B375&lt;&gt;"",VLOOKUP(B375,'Tipo Projeto'!$A$3:$B$35,2,0),0)</f>
        <v>0</v>
      </c>
      <c r="D375" s="47"/>
      <c r="E375" s="47"/>
      <c r="F375" s="48"/>
      <c r="G375" s="47"/>
      <c r="H375" s="49"/>
      <c r="I375" s="50"/>
      <c r="J375" s="51"/>
      <c r="K375" s="52"/>
      <c r="L375" s="53" t="str">
        <f t="shared" si="78"/>
        <v/>
      </c>
      <c r="M375" s="48" t="str">
        <f t="shared" si="79"/>
        <v/>
      </c>
      <c r="N375" s="54" t="str">
        <f t="shared" si="80"/>
        <v/>
      </c>
      <c r="O375" s="55">
        <f t="shared" si="81"/>
        <v>0</v>
      </c>
      <c r="P375" s="55">
        <f t="shared" si="82"/>
        <v>0</v>
      </c>
      <c r="Q375" s="54">
        <f t="shared" si="83"/>
        <v>0</v>
      </c>
      <c r="R375" s="47"/>
      <c r="T375" s="57"/>
      <c r="U375" s="45"/>
      <c r="V375" s="46">
        <f>IF(U375&lt;&gt;"",VLOOKUP(U375,'Tipo Projeto'!$A$3:$B$35,2,0),0)</f>
        <v>0</v>
      </c>
      <c r="W375" s="47"/>
      <c r="X375" s="49"/>
      <c r="Y375" s="50"/>
      <c r="Z375" s="51"/>
      <c r="AA375" s="52"/>
      <c r="AB375" s="53" t="str">
        <f t="shared" si="84"/>
        <v/>
      </c>
      <c r="AC375" s="48" t="str">
        <f t="shared" si="85"/>
        <v/>
      </c>
      <c r="AD375" s="54" t="str">
        <f t="shared" si="86"/>
        <v/>
      </c>
      <c r="AE375" s="55">
        <f t="shared" si="87"/>
        <v>0</v>
      </c>
      <c r="AF375" s="55">
        <f t="shared" si="88"/>
        <v>0</v>
      </c>
      <c r="AG375" s="58">
        <f t="shared" si="89"/>
        <v>0</v>
      </c>
      <c r="AH375" s="47"/>
      <c r="AJ375" s="47"/>
      <c r="AL375" s="47"/>
      <c r="AM375" s="47" t="str">
        <f t="shared" si="90"/>
        <v/>
      </c>
    </row>
    <row r="376" spans="1:39" s="56" customFormat="1" ht="14.25">
      <c r="A376" s="44"/>
      <c r="B376" s="45"/>
      <c r="C376" s="46">
        <f>IF(B376&lt;&gt;"",VLOOKUP(B376,'Tipo Projeto'!$A$3:$B$35,2,0),0)</f>
        <v>0</v>
      </c>
      <c r="D376" s="47"/>
      <c r="E376" s="47"/>
      <c r="F376" s="48"/>
      <c r="G376" s="47"/>
      <c r="H376" s="49"/>
      <c r="I376" s="50"/>
      <c r="J376" s="51"/>
      <c r="K376" s="52"/>
      <c r="L376" s="53" t="str">
        <f t="shared" si="78"/>
        <v/>
      </c>
      <c r="M376" s="48" t="str">
        <f t="shared" si="79"/>
        <v/>
      </c>
      <c r="N376" s="54" t="str">
        <f t="shared" si="80"/>
        <v/>
      </c>
      <c r="O376" s="55">
        <f t="shared" si="81"/>
        <v>0</v>
      </c>
      <c r="P376" s="55">
        <f t="shared" si="82"/>
        <v>0</v>
      </c>
      <c r="Q376" s="54">
        <f t="shared" si="83"/>
        <v>0</v>
      </c>
      <c r="R376" s="47"/>
      <c r="T376" s="57"/>
      <c r="U376" s="45"/>
      <c r="V376" s="46">
        <f>IF(U376&lt;&gt;"",VLOOKUP(U376,'Tipo Projeto'!$A$3:$B$35,2,0),0)</f>
        <v>0</v>
      </c>
      <c r="W376" s="47"/>
      <c r="X376" s="49"/>
      <c r="Y376" s="50"/>
      <c r="Z376" s="51"/>
      <c r="AA376" s="52"/>
      <c r="AB376" s="53" t="str">
        <f t="shared" si="84"/>
        <v/>
      </c>
      <c r="AC376" s="48" t="str">
        <f t="shared" si="85"/>
        <v/>
      </c>
      <c r="AD376" s="54" t="str">
        <f t="shared" si="86"/>
        <v/>
      </c>
      <c r="AE376" s="55">
        <f t="shared" si="87"/>
        <v>0</v>
      </c>
      <c r="AF376" s="55">
        <f t="shared" si="88"/>
        <v>0</v>
      </c>
      <c r="AG376" s="58">
        <f t="shared" si="89"/>
        <v>0</v>
      </c>
      <c r="AH376" s="47"/>
      <c r="AJ376" s="47"/>
      <c r="AL376" s="47"/>
      <c r="AM376" s="47" t="str">
        <f t="shared" si="90"/>
        <v/>
      </c>
    </row>
    <row r="377" spans="1:39" s="56" customFormat="1" ht="14.25">
      <c r="A377" s="44"/>
      <c r="B377" s="45"/>
      <c r="C377" s="46">
        <f>IF(B377&lt;&gt;"",VLOOKUP(B377,'Tipo Projeto'!$A$3:$B$35,2,0),0)</f>
        <v>0</v>
      </c>
      <c r="D377" s="47"/>
      <c r="E377" s="47"/>
      <c r="F377" s="48"/>
      <c r="G377" s="47"/>
      <c r="H377" s="49"/>
      <c r="I377" s="50"/>
      <c r="J377" s="51"/>
      <c r="K377" s="52"/>
      <c r="L377" s="53" t="str">
        <f t="shared" si="78"/>
        <v/>
      </c>
      <c r="M377" s="48" t="str">
        <f t="shared" si="79"/>
        <v/>
      </c>
      <c r="N377" s="54" t="str">
        <f t="shared" si="80"/>
        <v/>
      </c>
      <c r="O377" s="55">
        <f t="shared" si="81"/>
        <v>0</v>
      </c>
      <c r="P377" s="55">
        <f t="shared" si="82"/>
        <v>0</v>
      </c>
      <c r="Q377" s="54">
        <f t="shared" si="83"/>
        <v>0</v>
      </c>
      <c r="R377" s="47"/>
      <c r="T377" s="57"/>
      <c r="U377" s="45"/>
      <c r="V377" s="46">
        <f>IF(U377&lt;&gt;"",VLOOKUP(U377,'Tipo Projeto'!$A$3:$B$35,2,0),0)</f>
        <v>0</v>
      </c>
      <c r="W377" s="47"/>
      <c r="X377" s="49"/>
      <c r="Y377" s="50"/>
      <c r="Z377" s="51"/>
      <c r="AA377" s="52"/>
      <c r="AB377" s="53" t="str">
        <f t="shared" si="84"/>
        <v/>
      </c>
      <c r="AC377" s="48" t="str">
        <f t="shared" si="85"/>
        <v/>
      </c>
      <c r="AD377" s="54" t="str">
        <f t="shared" si="86"/>
        <v/>
      </c>
      <c r="AE377" s="55">
        <f t="shared" si="87"/>
        <v>0</v>
      </c>
      <c r="AF377" s="55">
        <f t="shared" si="88"/>
        <v>0</v>
      </c>
      <c r="AG377" s="58">
        <f t="shared" si="89"/>
        <v>0</v>
      </c>
      <c r="AH377" s="47"/>
      <c r="AJ377" s="47"/>
      <c r="AL377" s="47"/>
      <c r="AM377" s="47" t="str">
        <f t="shared" si="90"/>
        <v/>
      </c>
    </row>
    <row r="378" spans="1:39" s="56" customFormat="1" ht="14.25">
      <c r="A378" s="44"/>
      <c r="B378" s="45"/>
      <c r="C378" s="46">
        <f>IF(B378&lt;&gt;"",VLOOKUP(B378,'Tipo Projeto'!$A$3:$B$35,2,0),0)</f>
        <v>0</v>
      </c>
      <c r="D378" s="47"/>
      <c r="E378" s="47"/>
      <c r="F378" s="48"/>
      <c r="G378" s="47"/>
      <c r="H378" s="49"/>
      <c r="I378" s="50"/>
      <c r="J378" s="51"/>
      <c r="K378" s="52"/>
      <c r="L378" s="53" t="str">
        <f t="shared" si="78"/>
        <v/>
      </c>
      <c r="M378" s="48" t="str">
        <f t="shared" si="79"/>
        <v/>
      </c>
      <c r="N378" s="54" t="str">
        <f t="shared" si="80"/>
        <v/>
      </c>
      <c r="O378" s="55">
        <f t="shared" si="81"/>
        <v>0</v>
      </c>
      <c r="P378" s="55">
        <f t="shared" si="82"/>
        <v>0</v>
      </c>
      <c r="Q378" s="54">
        <f t="shared" si="83"/>
        <v>0</v>
      </c>
      <c r="R378" s="47"/>
      <c r="T378" s="57"/>
      <c r="U378" s="45"/>
      <c r="V378" s="46">
        <f>IF(U378&lt;&gt;"",VLOOKUP(U378,'Tipo Projeto'!$A$3:$B$35,2,0),0)</f>
        <v>0</v>
      </c>
      <c r="W378" s="47"/>
      <c r="X378" s="49"/>
      <c r="Y378" s="50"/>
      <c r="Z378" s="51"/>
      <c r="AA378" s="52"/>
      <c r="AB378" s="53" t="str">
        <f t="shared" si="84"/>
        <v/>
      </c>
      <c r="AC378" s="48" t="str">
        <f t="shared" si="85"/>
        <v/>
      </c>
      <c r="AD378" s="54" t="str">
        <f t="shared" si="86"/>
        <v/>
      </c>
      <c r="AE378" s="55">
        <f t="shared" si="87"/>
        <v>0</v>
      </c>
      <c r="AF378" s="55">
        <f t="shared" si="88"/>
        <v>0</v>
      </c>
      <c r="AG378" s="58">
        <f t="shared" si="89"/>
        <v>0</v>
      </c>
      <c r="AH378" s="47"/>
      <c r="AJ378" s="47"/>
      <c r="AL378" s="47"/>
      <c r="AM378" s="47" t="str">
        <f t="shared" si="90"/>
        <v/>
      </c>
    </row>
    <row r="379" spans="1:39" s="56" customFormat="1" ht="14.25">
      <c r="A379" s="44"/>
      <c r="B379" s="45"/>
      <c r="C379" s="46">
        <f>IF(B379&lt;&gt;"",VLOOKUP(B379,'Tipo Projeto'!$A$3:$B$35,2,0),0)</f>
        <v>0</v>
      </c>
      <c r="D379" s="47"/>
      <c r="E379" s="47"/>
      <c r="F379" s="48"/>
      <c r="G379" s="47"/>
      <c r="H379" s="49"/>
      <c r="I379" s="50"/>
      <c r="J379" s="51"/>
      <c r="K379" s="52"/>
      <c r="L379" s="53" t="str">
        <f t="shared" si="78"/>
        <v/>
      </c>
      <c r="M379" s="48" t="str">
        <f t="shared" si="79"/>
        <v/>
      </c>
      <c r="N379" s="54" t="str">
        <f t="shared" si="80"/>
        <v/>
      </c>
      <c r="O379" s="55">
        <f t="shared" si="81"/>
        <v>0</v>
      </c>
      <c r="P379" s="55">
        <f t="shared" si="82"/>
        <v>0</v>
      </c>
      <c r="Q379" s="54">
        <f t="shared" si="83"/>
        <v>0</v>
      </c>
      <c r="R379" s="47"/>
      <c r="T379" s="57"/>
      <c r="U379" s="45"/>
      <c r="V379" s="46">
        <f>IF(U379&lt;&gt;"",VLOOKUP(U379,'Tipo Projeto'!$A$3:$B$35,2,0),0)</f>
        <v>0</v>
      </c>
      <c r="W379" s="47"/>
      <c r="X379" s="49"/>
      <c r="Y379" s="50"/>
      <c r="Z379" s="51"/>
      <c r="AA379" s="52"/>
      <c r="AB379" s="53" t="str">
        <f t="shared" si="84"/>
        <v/>
      </c>
      <c r="AC379" s="48" t="str">
        <f t="shared" si="85"/>
        <v/>
      </c>
      <c r="AD379" s="54" t="str">
        <f t="shared" si="86"/>
        <v/>
      </c>
      <c r="AE379" s="55">
        <f t="shared" si="87"/>
        <v>0</v>
      </c>
      <c r="AF379" s="55">
        <f t="shared" si="88"/>
        <v>0</v>
      </c>
      <c r="AG379" s="58">
        <f t="shared" si="89"/>
        <v>0</v>
      </c>
      <c r="AH379" s="47"/>
      <c r="AJ379" s="47"/>
      <c r="AL379" s="47"/>
      <c r="AM379" s="47" t="str">
        <f t="shared" si="90"/>
        <v/>
      </c>
    </row>
    <row r="380" spans="1:39" s="56" customFormat="1" ht="14.25">
      <c r="A380" s="44"/>
      <c r="B380" s="45"/>
      <c r="C380" s="46">
        <f>IF(B380&lt;&gt;"",VLOOKUP(B380,'Tipo Projeto'!$A$3:$B$35,2,0),0)</f>
        <v>0</v>
      </c>
      <c r="D380" s="47"/>
      <c r="E380" s="47"/>
      <c r="F380" s="48"/>
      <c r="G380" s="47"/>
      <c r="H380" s="49"/>
      <c r="I380" s="50"/>
      <c r="J380" s="51"/>
      <c r="K380" s="52"/>
      <c r="L380" s="53" t="str">
        <f t="shared" si="78"/>
        <v/>
      </c>
      <c r="M380" s="48" t="str">
        <f t="shared" si="79"/>
        <v/>
      </c>
      <c r="N380" s="54" t="str">
        <f t="shared" si="80"/>
        <v/>
      </c>
      <c r="O380" s="55">
        <f t="shared" si="81"/>
        <v>0</v>
      </c>
      <c r="P380" s="55">
        <f t="shared" si="82"/>
        <v>0</v>
      </c>
      <c r="Q380" s="54">
        <f t="shared" si="83"/>
        <v>0</v>
      </c>
      <c r="R380" s="47"/>
      <c r="T380" s="57"/>
      <c r="U380" s="45"/>
      <c r="V380" s="46">
        <f>IF(U380&lt;&gt;"",VLOOKUP(U380,'Tipo Projeto'!$A$3:$B$35,2,0),0)</f>
        <v>0</v>
      </c>
      <c r="W380" s="47"/>
      <c r="X380" s="49"/>
      <c r="Y380" s="50"/>
      <c r="Z380" s="51"/>
      <c r="AA380" s="52"/>
      <c r="AB380" s="53" t="str">
        <f t="shared" si="84"/>
        <v/>
      </c>
      <c r="AC380" s="48" t="str">
        <f t="shared" si="85"/>
        <v/>
      </c>
      <c r="AD380" s="54" t="str">
        <f t="shared" si="86"/>
        <v/>
      </c>
      <c r="AE380" s="55">
        <f t="shared" si="87"/>
        <v>0</v>
      </c>
      <c r="AF380" s="55">
        <f t="shared" si="88"/>
        <v>0</v>
      </c>
      <c r="AG380" s="58">
        <f t="shared" si="89"/>
        <v>0</v>
      </c>
      <c r="AH380" s="47"/>
      <c r="AJ380" s="47"/>
      <c r="AL380" s="47"/>
      <c r="AM380" s="47" t="str">
        <f t="shared" si="90"/>
        <v/>
      </c>
    </row>
    <row r="381" spans="1:39" s="56" customFormat="1" ht="14.25">
      <c r="A381" s="44"/>
      <c r="B381" s="45"/>
      <c r="C381" s="46">
        <f>IF(B381&lt;&gt;"",VLOOKUP(B381,'Tipo Projeto'!$A$3:$B$35,2,0),0)</f>
        <v>0</v>
      </c>
      <c r="D381" s="203"/>
      <c r="E381" s="203"/>
      <c r="F381" s="48"/>
      <c r="G381" s="203"/>
      <c r="H381" s="49"/>
      <c r="I381" s="50"/>
      <c r="J381" s="51"/>
      <c r="K381" s="52"/>
      <c r="L381" s="53" t="str">
        <f t="shared" ref="L381:L444" si="91">IF(G381="EE",IF(OR(AND(OR(J381=1,J381=0),H381&gt;0,H381&lt;5),AND(OR(J381=1,J381=0),H381&gt;4,H381&lt;16),AND(J381=2,H381&gt;0,H381&lt;5)),"Simples",IF(OR(AND(OR(J381=1,J381=0),H381&gt;15),AND(J381=2,H381&gt;4,H381&lt;16),AND(J381&gt;2,H381&gt;0,H381&lt;5)),"Médio",IF(OR(AND(J381=2,H381&gt;15),AND(J381&gt;2,H381&gt;4,H381&lt;16),AND(J381&gt;2,H381&gt;15)),"Complexo",""))), IF(OR(G381="CE",G381="SE"),IF(OR(AND(OR(J381=1,J381=0),H381&gt;0,H381&lt;6),AND(OR(J381=1,J381=0),H381&gt;5,H381&lt;20),AND(J381&gt;1,J381&lt;4,H381&gt;0,H381&lt;6)),"Simples",IF(OR(AND(OR(J381=1,J381=0),H381&gt;19),AND(J381&gt;1,J381&lt;4,H381&gt;5,H381&lt;20),AND(J381&gt;3,H381&gt;0,H381&lt;6)),"Médio",IF(OR(AND(J381&gt;1,J381&lt;4,H381&gt;19),AND(J381&gt;3,H381&gt;5,H381&lt;20),AND(J381&gt;3,H381&gt;19)),"Complexo",""))),""))</f>
        <v/>
      </c>
      <c r="M381" s="48" t="str">
        <f t="shared" ref="M381:M444" si="92">IF(G381="ALI",IF(OR(AND(OR(J381=1,J381=0),H381&gt;0,H381&lt;20),AND(OR(J381=1,J381=0),H381&gt;19,H381&lt;51),AND(J381&gt;1,J381&lt;6,H381&gt;0,H381&lt;20)),"Simples",IF(OR(AND(OR(J381=1,J381=0),H381&gt;50),AND(J381&gt;1,J381&lt;6,H381&gt;19,H381&lt;51),AND(J381&gt;5,H381&gt;0,H381&lt;20)),"Médio",IF(OR(AND(J381&gt;1,J381&lt;6,H381&gt;50),AND(J381&gt;5,H381&gt;19,H381&lt;51),AND(J381&gt;5,H381&gt;50)),"Complexo",""))), IF(G381="AIE",IF(OR(AND(OR(J381=1, J381=0),H381&gt;0,H381&lt;20),AND(OR(J381=1, J381=0),H381&gt;19,H381&lt;51),AND(J381&gt;1,J381&lt;6,H381&gt;0,H381&lt;20)),"Simples",IF(OR(AND(OR(J381=1, J381=0),H381&gt;50),AND(J381&gt;1,J381&lt;6,H381&gt;19,H381&lt;51),AND(J381&gt;5,H381&gt;0,H381&lt;20)),"Médio",IF(OR(AND(J381&gt;1,J381&lt;6,H381&gt;50),AND(J381&gt;5,H381&gt;19,H381&lt;51),AND(J381&gt;5,H381&gt;50)),"Complexo",""))),""))</f>
        <v/>
      </c>
      <c r="N381" s="54" t="str">
        <f t="shared" ref="N381:N444" si="93">IF(L381="",M381,IF(M381="",L381,""))</f>
        <v/>
      </c>
      <c r="O381" s="55">
        <f t="shared" ref="O381:O444" si="94">IF(AND(OR(G381="EE",G381="CE"),N381="Simples"),3, IF(AND(OR(G381="EE",G381="CE"),N381="Médio"),4, IF(AND(OR(G381="EE",G381="CE"),N381="Complexo"),6, IF(AND(G381="SE",N381="Simples"),4, IF(AND(G381="SE",N381="Médio"),5, IF(AND(G381="SE",N381="Complexo"),7,0))))))</f>
        <v>0</v>
      </c>
      <c r="P381" s="55">
        <f t="shared" ref="P381:P444" si="95">IF(AND(G381="ALI",M381="Simples"),7, IF(AND(G381="ALI",M381="Médio"),10, IF(AND(G381="ALI",M381="Complexo"),15, IF(AND(G381="AIE",M381="Simples"),5, IF(AND(G381="AIE",M381="Médio"),7, IF(AND(G381="AIE",M381="Complexo"),10,0))))))</f>
        <v>0</v>
      </c>
      <c r="Q381" s="54">
        <f t="shared" ref="Q381:Q444" si="96">IF(B381&lt;&gt;"Manutenção em interface",IF(B381&lt;&gt;"Desenv., Manutenção e Publicação de Páginas Estáticas",(O381+P381)*C381,C381),C381)</f>
        <v>0</v>
      </c>
      <c r="R381" s="203"/>
      <c r="T381" s="57"/>
      <c r="U381" s="45"/>
      <c r="V381" s="46">
        <f>IF(U381&lt;&gt;"",VLOOKUP(U381,'Tipo Projeto'!$A$3:$B$35,2,0),0)</f>
        <v>0</v>
      </c>
      <c r="W381" s="203"/>
      <c r="X381" s="49"/>
      <c r="Y381" s="50"/>
      <c r="Z381" s="51"/>
      <c r="AA381" s="52"/>
      <c r="AB381" s="53" t="str">
        <f t="shared" ref="AB381:AB444" si="97">IF(W381="EE",IF(OR(AND(OR(Z381=1,Z381=0),X381&gt;0,X381&lt;5),AND(OR(Z381=1,Z381=0),X381&gt;4,X381&lt;16),AND(Z381=2,X381&gt;0,X381&lt;5)),"Simples",IF(OR(AND(OR(Z381=1,Z381=0),X381&gt;15),AND(Z381=2,X381&gt;4,X381&lt;16),AND(Z381&gt;2,X381&gt;0,X381&lt;5)),"Médio",IF(OR(AND(Z381=2,X381&gt;15),AND(Z381&gt;2,X381&gt;4,X381&lt;16),AND(Z381&gt;2,X381&gt;15)),"Complexo",""))), IF(OR(W381="CE",W381="SE"),IF(OR(AND(OR(Z381=1,Z381=0),X381&gt;0,X381&lt;6),AND(OR(Z381=1,Z381=0),X381&gt;5,X381&lt;20),AND(Z381&gt;1,Z381&lt;4,X381&gt;0,X381&lt;6)),"Simples",IF(OR(AND(OR(Z381=1,Z381=0),X381&gt;19),AND(Z381&gt;1,Z381&lt;4,X381&gt;5,X381&lt;20),AND(Z381&gt;3,X381&gt;0,X381&lt;6)),"Médio",IF(OR(AND(Z381&gt;1,Z381&lt;4,X381&gt;19),AND(Z381&gt;3,X381&gt;5,X381&lt;20),AND(Z381&gt;3,X381&gt;19)),"Complexo",""))),""))</f>
        <v/>
      </c>
      <c r="AC381" s="48" t="str">
        <f t="shared" ref="AC381:AC444" si="98">IF(W381="ALI",IF(OR(AND(OR(Z381=1,Z381=0),X381&gt;0,X381&lt;20),AND(OR(Z381=1,Z381=0),X381&gt;19,X381&lt;51),AND(Z381&gt;1,Z381&lt;6,X381&gt;0,X381&lt;20)),"Simples",IF(OR(AND(OR(Z381=1,Z381=0),X381&gt;50),AND(Z381&gt;1,Z381&lt;6,X381&gt;19,X381&lt;51),AND(Z381&gt;5,X381&gt;0,X381&lt;20)),"Médio",IF(OR(AND(Z381&gt;1,Z381&lt;6,X381&gt;50),AND(Z381&gt;5,X381&gt;19,X381&lt;51),AND(Z381&gt;5,X381&gt;50)),"Complexo",""))), IF(W381="AIE",IF(OR(AND(OR(Z381=1, Z381=0),X381&gt;0,X381&lt;20),AND(OR(Z381=1, Z381=0),X381&gt;19,X381&lt;51),AND(Z381&gt;1,Z381&lt;6,X381&gt;0,X381&lt;20)),"Simples",IF(OR(AND(OR(Z381=1, Z381=0),X381&gt;50),AND(Z381&gt;1,Z381&lt;6,X381&gt;19,X381&lt;51),AND(Z381&gt;5,X381&gt;0,X381&lt;20)),"Médio",IF(OR(AND(Z381&gt;1,Z381&lt;6,X381&gt;50),AND(Z381&gt;5,X381&gt;19,X381&lt;51),AND(Z381&gt;5,X381&gt;50)),"Complexo",""))),""))</f>
        <v/>
      </c>
      <c r="AD381" s="54" t="str">
        <f t="shared" ref="AD381:AD444" si="99">IF(AB381="",AC381,IF(AC381="",AB381,""))</f>
        <v/>
      </c>
      <c r="AE381" s="55">
        <f t="shared" ref="AE381:AE444" si="100">IF(AND(OR(W381="EE",W381="CE"),AD381="Simples"),3, IF(AND(OR(W381="EE",W381="CE"),AD381="Médio"),4, IF(AND(OR(W381="EE",W381="CE"),AD381="Complexo"),6, IF(AND(W381="SE",AD381="Simples"),4, IF(AND(W381="SE",AD381="Médio"),5, IF(AND(W381="SE",AD381="Complexo"),7,0))))))</f>
        <v>0</v>
      </c>
      <c r="AF381" s="55">
        <f t="shared" ref="AF381:AF444" si="101">IF(AND(W381="ALI",AC381="Simples"),7, IF(AND(W381="ALI",AC381="Médio"),10, IF(AND(W381="ALI",AC381="Complexo"),15, IF(AND(W381="AIE",AC381="Simples"),5, IF(AND(W381="AIE",AC381="Médio"),7, IF(AND(W381="AIE",AC381="Complexo"),10,0))))))</f>
        <v>0</v>
      </c>
      <c r="AG381" s="58">
        <f t="shared" ref="AG381:AG444" si="102">IF(T381="OK",Q381,( IF(U381&lt;&gt;"Manutenção em interface",IF(U381&lt;&gt;"Desenv., Manutenção e Publicação de Páginas Estáticas",(AE381+AF381)*V381,V381),V381)))</f>
        <v>0</v>
      </c>
      <c r="AH381" s="203"/>
      <c r="AJ381" s="203"/>
      <c r="AL381" s="203"/>
      <c r="AM381" s="203" t="str">
        <f t="shared" ref="AM381:AM444" si="103">IF(AG381=0,"",IF(AG381=Q381,"OK","Divergente"))</f>
        <v/>
      </c>
    </row>
    <row r="382" spans="1:39" s="56" customFormat="1" ht="14.25">
      <c r="A382" s="44"/>
      <c r="B382" s="45"/>
      <c r="C382" s="46">
        <f>IF(B382&lt;&gt;"",VLOOKUP(B382,'Tipo Projeto'!$A$3:$B$35,2,0),0)</f>
        <v>0</v>
      </c>
      <c r="D382" s="203"/>
      <c r="E382" s="203"/>
      <c r="F382" s="48"/>
      <c r="G382" s="203"/>
      <c r="H382" s="49"/>
      <c r="I382" s="50"/>
      <c r="J382" s="51"/>
      <c r="K382" s="52"/>
      <c r="L382" s="53" t="str">
        <f t="shared" si="91"/>
        <v/>
      </c>
      <c r="M382" s="48" t="str">
        <f t="shared" si="92"/>
        <v/>
      </c>
      <c r="N382" s="54" t="str">
        <f t="shared" si="93"/>
        <v/>
      </c>
      <c r="O382" s="55">
        <f t="shared" si="94"/>
        <v>0</v>
      </c>
      <c r="P382" s="55">
        <f t="shared" si="95"/>
        <v>0</v>
      </c>
      <c r="Q382" s="54">
        <f t="shared" si="96"/>
        <v>0</v>
      </c>
      <c r="R382" s="203"/>
      <c r="T382" s="57"/>
      <c r="U382" s="45"/>
      <c r="V382" s="46">
        <f>IF(U382&lt;&gt;"",VLOOKUP(U382,'Tipo Projeto'!$A$3:$B$35,2,0),0)</f>
        <v>0</v>
      </c>
      <c r="W382" s="203"/>
      <c r="X382" s="49"/>
      <c r="Y382" s="50"/>
      <c r="Z382" s="51"/>
      <c r="AA382" s="52"/>
      <c r="AB382" s="53" t="str">
        <f t="shared" si="97"/>
        <v/>
      </c>
      <c r="AC382" s="48" t="str">
        <f t="shared" si="98"/>
        <v/>
      </c>
      <c r="AD382" s="54" t="str">
        <f t="shared" si="99"/>
        <v/>
      </c>
      <c r="AE382" s="55">
        <f t="shared" si="100"/>
        <v>0</v>
      </c>
      <c r="AF382" s="55">
        <f t="shared" si="101"/>
        <v>0</v>
      </c>
      <c r="AG382" s="58">
        <f t="shared" si="102"/>
        <v>0</v>
      </c>
      <c r="AH382" s="203"/>
      <c r="AJ382" s="203"/>
      <c r="AL382" s="203"/>
      <c r="AM382" s="203" t="str">
        <f t="shared" si="103"/>
        <v/>
      </c>
    </row>
    <row r="383" spans="1:39" s="56" customFormat="1" ht="14.25">
      <c r="A383" s="44"/>
      <c r="B383" s="45"/>
      <c r="C383" s="46">
        <f>IF(B383&lt;&gt;"",VLOOKUP(B383,'Tipo Projeto'!$A$3:$B$35,2,0),0)</f>
        <v>0</v>
      </c>
      <c r="D383" s="203"/>
      <c r="E383" s="203"/>
      <c r="F383" s="48"/>
      <c r="G383" s="203"/>
      <c r="H383" s="49"/>
      <c r="I383" s="50"/>
      <c r="J383" s="51"/>
      <c r="K383" s="52"/>
      <c r="L383" s="53" t="str">
        <f t="shared" si="91"/>
        <v/>
      </c>
      <c r="M383" s="48" t="str">
        <f t="shared" si="92"/>
        <v/>
      </c>
      <c r="N383" s="54" t="str">
        <f t="shared" si="93"/>
        <v/>
      </c>
      <c r="O383" s="55">
        <f t="shared" si="94"/>
        <v>0</v>
      </c>
      <c r="P383" s="55">
        <f t="shared" si="95"/>
        <v>0</v>
      </c>
      <c r="Q383" s="54">
        <f t="shared" si="96"/>
        <v>0</v>
      </c>
      <c r="R383" s="203"/>
      <c r="T383" s="57"/>
      <c r="U383" s="45"/>
      <c r="V383" s="46">
        <f>IF(U383&lt;&gt;"",VLOOKUP(U383,'Tipo Projeto'!$A$3:$B$35,2,0),0)</f>
        <v>0</v>
      </c>
      <c r="W383" s="203"/>
      <c r="X383" s="49"/>
      <c r="Y383" s="50"/>
      <c r="Z383" s="51"/>
      <c r="AA383" s="52"/>
      <c r="AB383" s="53" t="str">
        <f t="shared" si="97"/>
        <v/>
      </c>
      <c r="AC383" s="48" t="str">
        <f t="shared" si="98"/>
        <v/>
      </c>
      <c r="AD383" s="54" t="str">
        <f t="shared" si="99"/>
        <v/>
      </c>
      <c r="AE383" s="55">
        <f t="shared" si="100"/>
        <v>0</v>
      </c>
      <c r="AF383" s="55">
        <f t="shared" si="101"/>
        <v>0</v>
      </c>
      <c r="AG383" s="58">
        <f t="shared" si="102"/>
        <v>0</v>
      </c>
      <c r="AH383" s="203"/>
      <c r="AJ383" s="203"/>
      <c r="AL383" s="203"/>
      <c r="AM383" s="203" t="str">
        <f t="shared" si="103"/>
        <v/>
      </c>
    </row>
    <row r="384" spans="1:39" s="56" customFormat="1" ht="14.25">
      <c r="A384" s="44"/>
      <c r="B384" s="45"/>
      <c r="C384" s="46">
        <f>IF(B384&lt;&gt;"",VLOOKUP(B384,'Tipo Projeto'!$A$3:$B$35,2,0),0)</f>
        <v>0</v>
      </c>
      <c r="D384" s="203"/>
      <c r="E384" s="203"/>
      <c r="F384" s="48"/>
      <c r="G384" s="203"/>
      <c r="H384" s="49"/>
      <c r="I384" s="50"/>
      <c r="J384" s="51"/>
      <c r="K384" s="52"/>
      <c r="L384" s="53" t="str">
        <f t="shared" si="91"/>
        <v/>
      </c>
      <c r="M384" s="48" t="str">
        <f t="shared" si="92"/>
        <v/>
      </c>
      <c r="N384" s="54" t="str">
        <f t="shared" si="93"/>
        <v/>
      </c>
      <c r="O384" s="55">
        <f t="shared" si="94"/>
        <v>0</v>
      </c>
      <c r="P384" s="55">
        <f t="shared" si="95"/>
        <v>0</v>
      </c>
      <c r="Q384" s="54">
        <f t="shared" si="96"/>
        <v>0</v>
      </c>
      <c r="R384" s="203"/>
      <c r="T384" s="57"/>
      <c r="U384" s="45"/>
      <c r="V384" s="46">
        <f>IF(U384&lt;&gt;"",VLOOKUP(U384,'Tipo Projeto'!$A$3:$B$35,2,0),0)</f>
        <v>0</v>
      </c>
      <c r="W384" s="203"/>
      <c r="X384" s="49"/>
      <c r="Y384" s="50"/>
      <c r="Z384" s="51"/>
      <c r="AA384" s="52"/>
      <c r="AB384" s="53" t="str">
        <f t="shared" si="97"/>
        <v/>
      </c>
      <c r="AC384" s="48" t="str">
        <f t="shared" si="98"/>
        <v/>
      </c>
      <c r="AD384" s="54" t="str">
        <f t="shared" si="99"/>
        <v/>
      </c>
      <c r="AE384" s="55">
        <f t="shared" si="100"/>
        <v>0</v>
      </c>
      <c r="AF384" s="55">
        <f t="shared" si="101"/>
        <v>0</v>
      </c>
      <c r="AG384" s="58">
        <f t="shared" si="102"/>
        <v>0</v>
      </c>
      <c r="AH384" s="203"/>
      <c r="AJ384" s="203"/>
      <c r="AL384" s="203"/>
      <c r="AM384" s="203" t="str">
        <f t="shared" si="103"/>
        <v/>
      </c>
    </row>
    <row r="385" spans="1:39" s="56" customFormat="1" ht="14.25">
      <c r="A385" s="44"/>
      <c r="B385" s="45"/>
      <c r="C385" s="46">
        <f>IF(B385&lt;&gt;"",VLOOKUP(B385,'Tipo Projeto'!$A$3:$B$35,2,0),0)</f>
        <v>0</v>
      </c>
      <c r="D385" s="203"/>
      <c r="E385" s="203"/>
      <c r="F385" s="48"/>
      <c r="G385" s="203"/>
      <c r="H385" s="49"/>
      <c r="I385" s="50"/>
      <c r="J385" s="51"/>
      <c r="K385" s="52"/>
      <c r="L385" s="53" t="str">
        <f t="shared" si="91"/>
        <v/>
      </c>
      <c r="M385" s="48" t="str">
        <f t="shared" si="92"/>
        <v/>
      </c>
      <c r="N385" s="54" t="str">
        <f t="shared" si="93"/>
        <v/>
      </c>
      <c r="O385" s="55">
        <f t="shared" si="94"/>
        <v>0</v>
      </c>
      <c r="P385" s="55">
        <f t="shared" si="95"/>
        <v>0</v>
      </c>
      <c r="Q385" s="54">
        <f t="shared" si="96"/>
        <v>0</v>
      </c>
      <c r="R385" s="203"/>
      <c r="T385" s="57"/>
      <c r="U385" s="45"/>
      <c r="V385" s="46">
        <f>IF(U385&lt;&gt;"",VLOOKUP(U385,'Tipo Projeto'!$A$3:$B$35,2,0),0)</f>
        <v>0</v>
      </c>
      <c r="W385" s="203"/>
      <c r="X385" s="49"/>
      <c r="Y385" s="50"/>
      <c r="Z385" s="51"/>
      <c r="AA385" s="52"/>
      <c r="AB385" s="53" t="str">
        <f t="shared" si="97"/>
        <v/>
      </c>
      <c r="AC385" s="48" t="str">
        <f t="shared" si="98"/>
        <v/>
      </c>
      <c r="AD385" s="54" t="str">
        <f t="shared" si="99"/>
        <v/>
      </c>
      <c r="AE385" s="55">
        <f t="shared" si="100"/>
        <v>0</v>
      </c>
      <c r="AF385" s="55">
        <f t="shared" si="101"/>
        <v>0</v>
      </c>
      <c r="AG385" s="58">
        <f t="shared" si="102"/>
        <v>0</v>
      </c>
      <c r="AH385" s="203"/>
      <c r="AJ385" s="203"/>
      <c r="AL385" s="203"/>
      <c r="AM385" s="203" t="str">
        <f t="shared" si="103"/>
        <v/>
      </c>
    </row>
    <row r="386" spans="1:39" s="56" customFormat="1" ht="14.25">
      <c r="A386" s="44"/>
      <c r="B386" s="45"/>
      <c r="C386" s="46">
        <f>IF(B386&lt;&gt;"",VLOOKUP(B386,'Tipo Projeto'!$A$3:$B$35,2,0),0)</f>
        <v>0</v>
      </c>
      <c r="D386" s="203"/>
      <c r="E386" s="203"/>
      <c r="F386" s="48"/>
      <c r="G386" s="203"/>
      <c r="H386" s="49"/>
      <c r="I386" s="50"/>
      <c r="J386" s="51"/>
      <c r="K386" s="52"/>
      <c r="L386" s="53" t="str">
        <f t="shared" si="91"/>
        <v/>
      </c>
      <c r="M386" s="48" t="str">
        <f t="shared" si="92"/>
        <v/>
      </c>
      <c r="N386" s="54" t="str">
        <f t="shared" si="93"/>
        <v/>
      </c>
      <c r="O386" s="55">
        <f t="shared" si="94"/>
        <v>0</v>
      </c>
      <c r="P386" s="55">
        <f t="shared" si="95"/>
        <v>0</v>
      </c>
      <c r="Q386" s="54">
        <f t="shared" si="96"/>
        <v>0</v>
      </c>
      <c r="R386" s="203"/>
      <c r="T386" s="57"/>
      <c r="U386" s="45"/>
      <c r="V386" s="46">
        <f>IF(U386&lt;&gt;"",VLOOKUP(U386,'Tipo Projeto'!$A$3:$B$35,2,0),0)</f>
        <v>0</v>
      </c>
      <c r="W386" s="203"/>
      <c r="X386" s="49"/>
      <c r="Y386" s="50"/>
      <c r="Z386" s="51"/>
      <c r="AA386" s="52"/>
      <c r="AB386" s="53" t="str">
        <f t="shared" si="97"/>
        <v/>
      </c>
      <c r="AC386" s="48" t="str">
        <f t="shared" si="98"/>
        <v/>
      </c>
      <c r="AD386" s="54" t="str">
        <f t="shared" si="99"/>
        <v/>
      </c>
      <c r="AE386" s="55">
        <f t="shared" si="100"/>
        <v>0</v>
      </c>
      <c r="AF386" s="55">
        <f t="shared" si="101"/>
        <v>0</v>
      </c>
      <c r="AG386" s="58">
        <f t="shared" si="102"/>
        <v>0</v>
      </c>
      <c r="AH386" s="203"/>
      <c r="AJ386" s="203"/>
      <c r="AL386" s="203"/>
      <c r="AM386" s="203" t="str">
        <f t="shared" si="103"/>
        <v/>
      </c>
    </row>
    <row r="387" spans="1:39" s="56" customFormat="1" ht="14.25">
      <c r="A387" s="44"/>
      <c r="B387" s="45"/>
      <c r="C387" s="46">
        <f>IF(B387&lt;&gt;"",VLOOKUP(B387,'Tipo Projeto'!$A$3:$B$35,2,0),0)</f>
        <v>0</v>
      </c>
      <c r="D387" s="203"/>
      <c r="E387" s="203"/>
      <c r="F387" s="48"/>
      <c r="G387" s="203"/>
      <c r="H387" s="49"/>
      <c r="I387" s="50"/>
      <c r="J387" s="51"/>
      <c r="K387" s="52"/>
      <c r="L387" s="53" t="str">
        <f t="shared" si="91"/>
        <v/>
      </c>
      <c r="M387" s="48" t="str">
        <f t="shared" si="92"/>
        <v/>
      </c>
      <c r="N387" s="54" t="str">
        <f t="shared" si="93"/>
        <v/>
      </c>
      <c r="O387" s="55">
        <f t="shared" si="94"/>
        <v>0</v>
      </c>
      <c r="P387" s="55">
        <f t="shared" si="95"/>
        <v>0</v>
      </c>
      <c r="Q387" s="54">
        <f t="shared" si="96"/>
        <v>0</v>
      </c>
      <c r="R387" s="203"/>
      <c r="T387" s="57"/>
      <c r="U387" s="45"/>
      <c r="V387" s="46">
        <f>IF(U387&lt;&gt;"",VLOOKUP(U387,'Tipo Projeto'!$A$3:$B$35,2,0),0)</f>
        <v>0</v>
      </c>
      <c r="W387" s="203"/>
      <c r="X387" s="49"/>
      <c r="Y387" s="50"/>
      <c r="Z387" s="51"/>
      <c r="AA387" s="52"/>
      <c r="AB387" s="53" t="str">
        <f t="shared" si="97"/>
        <v/>
      </c>
      <c r="AC387" s="48" t="str">
        <f t="shared" si="98"/>
        <v/>
      </c>
      <c r="AD387" s="54" t="str">
        <f t="shared" si="99"/>
        <v/>
      </c>
      <c r="AE387" s="55">
        <f t="shared" si="100"/>
        <v>0</v>
      </c>
      <c r="AF387" s="55">
        <f t="shared" si="101"/>
        <v>0</v>
      </c>
      <c r="AG387" s="58">
        <f t="shared" si="102"/>
        <v>0</v>
      </c>
      <c r="AH387" s="203"/>
      <c r="AJ387" s="203"/>
      <c r="AL387" s="203"/>
      <c r="AM387" s="203" t="str">
        <f t="shared" si="103"/>
        <v/>
      </c>
    </row>
    <row r="388" spans="1:39" s="56" customFormat="1" ht="14.25">
      <c r="A388" s="44"/>
      <c r="B388" s="45"/>
      <c r="C388" s="46">
        <f>IF(B388&lt;&gt;"",VLOOKUP(B388,'Tipo Projeto'!$A$3:$B$35,2,0),0)</f>
        <v>0</v>
      </c>
      <c r="D388" s="203"/>
      <c r="E388" s="203"/>
      <c r="F388" s="48"/>
      <c r="G388" s="203"/>
      <c r="H388" s="49"/>
      <c r="I388" s="50"/>
      <c r="J388" s="51"/>
      <c r="K388" s="52"/>
      <c r="L388" s="53" t="str">
        <f t="shared" si="91"/>
        <v/>
      </c>
      <c r="M388" s="48" t="str">
        <f t="shared" si="92"/>
        <v/>
      </c>
      <c r="N388" s="54" t="str">
        <f t="shared" si="93"/>
        <v/>
      </c>
      <c r="O388" s="55">
        <f t="shared" si="94"/>
        <v>0</v>
      </c>
      <c r="P388" s="55">
        <f t="shared" si="95"/>
        <v>0</v>
      </c>
      <c r="Q388" s="54">
        <f t="shared" si="96"/>
        <v>0</v>
      </c>
      <c r="R388" s="203"/>
      <c r="T388" s="57"/>
      <c r="U388" s="45"/>
      <c r="V388" s="46">
        <f>IF(U388&lt;&gt;"",VLOOKUP(U388,'Tipo Projeto'!$A$3:$B$35,2,0),0)</f>
        <v>0</v>
      </c>
      <c r="W388" s="203"/>
      <c r="X388" s="49"/>
      <c r="Y388" s="50"/>
      <c r="Z388" s="51"/>
      <c r="AA388" s="52"/>
      <c r="AB388" s="53" t="str">
        <f t="shared" si="97"/>
        <v/>
      </c>
      <c r="AC388" s="48" t="str">
        <f t="shared" si="98"/>
        <v/>
      </c>
      <c r="AD388" s="54" t="str">
        <f t="shared" si="99"/>
        <v/>
      </c>
      <c r="AE388" s="55">
        <f t="shared" si="100"/>
        <v>0</v>
      </c>
      <c r="AF388" s="55">
        <f t="shared" si="101"/>
        <v>0</v>
      </c>
      <c r="AG388" s="58">
        <f t="shared" si="102"/>
        <v>0</v>
      </c>
      <c r="AH388" s="203"/>
      <c r="AJ388" s="203"/>
      <c r="AL388" s="203"/>
      <c r="AM388" s="203" t="str">
        <f t="shared" si="103"/>
        <v/>
      </c>
    </row>
    <row r="389" spans="1:39" s="56" customFormat="1" ht="14.25">
      <c r="A389" s="44"/>
      <c r="B389" s="45"/>
      <c r="C389" s="46">
        <f>IF(B389&lt;&gt;"",VLOOKUP(B389,'Tipo Projeto'!$A$3:$B$35,2,0),0)</f>
        <v>0</v>
      </c>
      <c r="D389" s="203"/>
      <c r="E389" s="203"/>
      <c r="F389" s="48"/>
      <c r="G389" s="203"/>
      <c r="H389" s="49"/>
      <c r="I389" s="50"/>
      <c r="J389" s="51"/>
      <c r="K389" s="52"/>
      <c r="L389" s="53" t="str">
        <f t="shared" si="91"/>
        <v/>
      </c>
      <c r="M389" s="48" t="str">
        <f t="shared" si="92"/>
        <v/>
      </c>
      <c r="N389" s="54" t="str">
        <f t="shared" si="93"/>
        <v/>
      </c>
      <c r="O389" s="55">
        <f t="shared" si="94"/>
        <v>0</v>
      </c>
      <c r="P389" s="55">
        <f t="shared" si="95"/>
        <v>0</v>
      </c>
      <c r="Q389" s="54">
        <f t="shared" si="96"/>
        <v>0</v>
      </c>
      <c r="R389" s="203"/>
      <c r="T389" s="57"/>
      <c r="U389" s="45"/>
      <c r="V389" s="46">
        <f>IF(U389&lt;&gt;"",VLOOKUP(U389,'Tipo Projeto'!$A$3:$B$35,2,0),0)</f>
        <v>0</v>
      </c>
      <c r="W389" s="203"/>
      <c r="X389" s="49"/>
      <c r="Y389" s="50"/>
      <c r="Z389" s="51"/>
      <c r="AA389" s="52"/>
      <c r="AB389" s="53" t="str">
        <f t="shared" si="97"/>
        <v/>
      </c>
      <c r="AC389" s="48" t="str">
        <f t="shared" si="98"/>
        <v/>
      </c>
      <c r="AD389" s="54" t="str">
        <f t="shared" si="99"/>
        <v/>
      </c>
      <c r="AE389" s="55">
        <f t="shared" si="100"/>
        <v>0</v>
      </c>
      <c r="AF389" s="55">
        <f t="shared" si="101"/>
        <v>0</v>
      </c>
      <c r="AG389" s="58">
        <f t="shared" si="102"/>
        <v>0</v>
      </c>
      <c r="AH389" s="203"/>
      <c r="AJ389" s="203"/>
      <c r="AL389" s="203"/>
      <c r="AM389" s="203" t="str">
        <f t="shared" si="103"/>
        <v/>
      </c>
    </row>
    <row r="390" spans="1:39" s="56" customFormat="1" ht="14.25">
      <c r="A390" s="44"/>
      <c r="B390" s="45"/>
      <c r="C390" s="46">
        <f>IF(B390&lt;&gt;"",VLOOKUP(B390,'Tipo Projeto'!$A$3:$B$35,2,0),0)</f>
        <v>0</v>
      </c>
      <c r="D390" s="203"/>
      <c r="E390" s="203"/>
      <c r="F390" s="48"/>
      <c r="G390" s="203"/>
      <c r="H390" s="49"/>
      <c r="I390" s="50"/>
      <c r="J390" s="51"/>
      <c r="K390" s="52"/>
      <c r="L390" s="53" t="str">
        <f t="shared" si="91"/>
        <v/>
      </c>
      <c r="M390" s="48" t="str">
        <f t="shared" si="92"/>
        <v/>
      </c>
      <c r="N390" s="54" t="str">
        <f t="shared" si="93"/>
        <v/>
      </c>
      <c r="O390" s="55">
        <f t="shared" si="94"/>
        <v>0</v>
      </c>
      <c r="P390" s="55">
        <f t="shared" si="95"/>
        <v>0</v>
      </c>
      <c r="Q390" s="54">
        <f t="shared" si="96"/>
        <v>0</v>
      </c>
      <c r="R390" s="203"/>
      <c r="T390" s="57"/>
      <c r="U390" s="45"/>
      <c r="V390" s="46">
        <f>IF(U390&lt;&gt;"",VLOOKUP(U390,'Tipo Projeto'!$A$3:$B$35,2,0),0)</f>
        <v>0</v>
      </c>
      <c r="W390" s="203"/>
      <c r="X390" s="49"/>
      <c r="Y390" s="50"/>
      <c r="Z390" s="51"/>
      <c r="AA390" s="52"/>
      <c r="AB390" s="53" t="str">
        <f t="shared" si="97"/>
        <v/>
      </c>
      <c r="AC390" s="48" t="str">
        <f t="shared" si="98"/>
        <v/>
      </c>
      <c r="AD390" s="54" t="str">
        <f t="shared" si="99"/>
        <v/>
      </c>
      <c r="AE390" s="55">
        <f t="shared" si="100"/>
        <v>0</v>
      </c>
      <c r="AF390" s="55">
        <f t="shared" si="101"/>
        <v>0</v>
      </c>
      <c r="AG390" s="58">
        <f t="shared" si="102"/>
        <v>0</v>
      </c>
      <c r="AH390" s="203"/>
      <c r="AJ390" s="203"/>
      <c r="AL390" s="203"/>
      <c r="AM390" s="203" t="str">
        <f t="shared" si="103"/>
        <v/>
      </c>
    </row>
    <row r="391" spans="1:39" s="56" customFormat="1" ht="14.25">
      <c r="A391" s="44"/>
      <c r="B391" s="45"/>
      <c r="C391" s="46">
        <f>IF(B391&lt;&gt;"",VLOOKUP(B391,'Tipo Projeto'!$A$3:$B$35,2,0),0)</f>
        <v>0</v>
      </c>
      <c r="D391" s="203"/>
      <c r="E391" s="203"/>
      <c r="F391" s="48"/>
      <c r="G391" s="203"/>
      <c r="H391" s="49"/>
      <c r="I391" s="50"/>
      <c r="J391" s="51"/>
      <c r="K391" s="52"/>
      <c r="L391" s="53" t="str">
        <f t="shared" si="91"/>
        <v/>
      </c>
      <c r="M391" s="48" t="str">
        <f t="shared" si="92"/>
        <v/>
      </c>
      <c r="N391" s="54" t="str">
        <f t="shared" si="93"/>
        <v/>
      </c>
      <c r="O391" s="55">
        <f t="shared" si="94"/>
        <v>0</v>
      </c>
      <c r="P391" s="55">
        <f t="shared" si="95"/>
        <v>0</v>
      </c>
      <c r="Q391" s="54">
        <f t="shared" si="96"/>
        <v>0</v>
      </c>
      <c r="R391" s="203"/>
      <c r="T391" s="57"/>
      <c r="U391" s="45"/>
      <c r="V391" s="46">
        <f>IF(U391&lt;&gt;"",VLOOKUP(U391,'Tipo Projeto'!$A$3:$B$35,2,0),0)</f>
        <v>0</v>
      </c>
      <c r="W391" s="203"/>
      <c r="X391" s="49"/>
      <c r="Y391" s="50"/>
      <c r="Z391" s="51"/>
      <c r="AA391" s="52"/>
      <c r="AB391" s="53" t="str">
        <f t="shared" si="97"/>
        <v/>
      </c>
      <c r="AC391" s="48" t="str">
        <f t="shared" si="98"/>
        <v/>
      </c>
      <c r="AD391" s="54" t="str">
        <f t="shared" si="99"/>
        <v/>
      </c>
      <c r="AE391" s="55">
        <f t="shared" si="100"/>
        <v>0</v>
      </c>
      <c r="AF391" s="55">
        <f t="shared" si="101"/>
        <v>0</v>
      </c>
      <c r="AG391" s="58">
        <f t="shared" si="102"/>
        <v>0</v>
      </c>
      <c r="AH391" s="203"/>
      <c r="AJ391" s="203"/>
      <c r="AL391" s="203"/>
      <c r="AM391" s="203" t="str">
        <f t="shared" si="103"/>
        <v/>
      </c>
    </row>
    <row r="392" spans="1:39" s="56" customFormat="1" ht="14.25">
      <c r="A392" s="44"/>
      <c r="B392" s="45"/>
      <c r="C392" s="46">
        <f>IF(B392&lt;&gt;"",VLOOKUP(B392,'Tipo Projeto'!$A$3:$B$35,2,0),0)</f>
        <v>0</v>
      </c>
      <c r="D392" s="203"/>
      <c r="E392" s="203"/>
      <c r="F392" s="48"/>
      <c r="G392" s="203"/>
      <c r="H392" s="49"/>
      <c r="I392" s="50"/>
      <c r="J392" s="51"/>
      <c r="K392" s="52"/>
      <c r="L392" s="53" t="str">
        <f t="shared" si="91"/>
        <v/>
      </c>
      <c r="M392" s="48" t="str">
        <f t="shared" si="92"/>
        <v/>
      </c>
      <c r="N392" s="54" t="str">
        <f t="shared" si="93"/>
        <v/>
      </c>
      <c r="O392" s="55">
        <f t="shared" si="94"/>
        <v>0</v>
      </c>
      <c r="P392" s="55">
        <f t="shared" si="95"/>
        <v>0</v>
      </c>
      <c r="Q392" s="54">
        <f t="shared" si="96"/>
        <v>0</v>
      </c>
      <c r="R392" s="203"/>
      <c r="T392" s="57"/>
      <c r="U392" s="45"/>
      <c r="V392" s="46">
        <f>IF(U392&lt;&gt;"",VLOOKUP(U392,'Tipo Projeto'!$A$3:$B$35,2,0),0)</f>
        <v>0</v>
      </c>
      <c r="W392" s="203"/>
      <c r="X392" s="49"/>
      <c r="Y392" s="50"/>
      <c r="Z392" s="51"/>
      <c r="AA392" s="52"/>
      <c r="AB392" s="53" t="str">
        <f t="shared" si="97"/>
        <v/>
      </c>
      <c r="AC392" s="48" t="str">
        <f t="shared" si="98"/>
        <v/>
      </c>
      <c r="AD392" s="54" t="str">
        <f t="shared" si="99"/>
        <v/>
      </c>
      <c r="AE392" s="55">
        <f t="shared" si="100"/>
        <v>0</v>
      </c>
      <c r="AF392" s="55">
        <f t="shared" si="101"/>
        <v>0</v>
      </c>
      <c r="AG392" s="58">
        <f t="shared" si="102"/>
        <v>0</v>
      </c>
      <c r="AH392" s="203"/>
      <c r="AJ392" s="203"/>
      <c r="AL392" s="203"/>
      <c r="AM392" s="203" t="str">
        <f t="shared" si="103"/>
        <v/>
      </c>
    </row>
    <row r="393" spans="1:39" s="56" customFormat="1" ht="14.25">
      <c r="A393" s="44"/>
      <c r="B393" s="45"/>
      <c r="C393" s="46">
        <f>IF(B393&lt;&gt;"",VLOOKUP(B393,'Tipo Projeto'!$A$3:$B$35,2,0),0)</f>
        <v>0</v>
      </c>
      <c r="D393" s="203"/>
      <c r="E393" s="203"/>
      <c r="F393" s="48"/>
      <c r="G393" s="203"/>
      <c r="H393" s="49"/>
      <c r="I393" s="50"/>
      <c r="J393" s="51"/>
      <c r="K393" s="52"/>
      <c r="L393" s="53" t="str">
        <f t="shared" si="91"/>
        <v/>
      </c>
      <c r="M393" s="48" t="str">
        <f t="shared" si="92"/>
        <v/>
      </c>
      <c r="N393" s="54" t="str">
        <f t="shared" si="93"/>
        <v/>
      </c>
      <c r="O393" s="55">
        <f t="shared" si="94"/>
        <v>0</v>
      </c>
      <c r="P393" s="55">
        <f t="shared" si="95"/>
        <v>0</v>
      </c>
      <c r="Q393" s="54">
        <f t="shared" si="96"/>
        <v>0</v>
      </c>
      <c r="R393" s="203"/>
      <c r="T393" s="57"/>
      <c r="U393" s="45"/>
      <c r="V393" s="46">
        <f>IF(U393&lt;&gt;"",VLOOKUP(U393,'Tipo Projeto'!$A$3:$B$35,2,0),0)</f>
        <v>0</v>
      </c>
      <c r="W393" s="203"/>
      <c r="X393" s="49"/>
      <c r="Y393" s="50"/>
      <c r="Z393" s="51"/>
      <c r="AA393" s="52"/>
      <c r="AB393" s="53" t="str">
        <f t="shared" si="97"/>
        <v/>
      </c>
      <c r="AC393" s="48" t="str">
        <f t="shared" si="98"/>
        <v/>
      </c>
      <c r="AD393" s="54" t="str">
        <f t="shared" si="99"/>
        <v/>
      </c>
      <c r="AE393" s="55">
        <f t="shared" si="100"/>
        <v>0</v>
      </c>
      <c r="AF393" s="55">
        <f t="shared" si="101"/>
        <v>0</v>
      </c>
      <c r="AG393" s="58">
        <f t="shared" si="102"/>
        <v>0</v>
      </c>
      <c r="AH393" s="203"/>
      <c r="AJ393" s="203"/>
      <c r="AL393" s="203"/>
      <c r="AM393" s="203" t="str">
        <f t="shared" si="103"/>
        <v/>
      </c>
    </row>
    <row r="394" spans="1:39" s="56" customFormat="1" ht="14.25">
      <c r="A394" s="44"/>
      <c r="B394" s="45"/>
      <c r="C394" s="46">
        <f>IF(B394&lt;&gt;"",VLOOKUP(B394,'Tipo Projeto'!$A$3:$B$35,2,0),0)</f>
        <v>0</v>
      </c>
      <c r="D394" s="203"/>
      <c r="E394" s="203"/>
      <c r="F394" s="48"/>
      <c r="G394" s="203"/>
      <c r="H394" s="49"/>
      <c r="I394" s="50"/>
      <c r="J394" s="51"/>
      <c r="K394" s="52"/>
      <c r="L394" s="53" t="str">
        <f t="shared" si="91"/>
        <v/>
      </c>
      <c r="M394" s="48" t="str">
        <f t="shared" si="92"/>
        <v/>
      </c>
      <c r="N394" s="54" t="str">
        <f t="shared" si="93"/>
        <v/>
      </c>
      <c r="O394" s="55">
        <f t="shared" si="94"/>
        <v>0</v>
      </c>
      <c r="P394" s="55">
        <f t="shared" si="95"/>
        <v>0</v>
      </c>
      <c r="Q394" s="54">
        <f t="shared" si="96"/>
        <v>0</v>
      </c>
      <c r="R394" s="203"/>
      <c r="T394" s="57"/>
      <c r="U394" s="45"/>
      <c r="V394" s="46">
        <f>IF(U394&lt;&gt;"",VLOOKUP(U394,'Tipo Projeto'!$A$3:$B$35,2,0),0)</f>
        <v>0</v>
      </c>
      <c r="W394" s="203"/>
      <c r="X394" s="49"/>
      <c r="Y394" s="50"/>
      <c r="Z394" s="51"/>
      <c r="AA394" s="52"/>
      <c r="AB394" s="53" t="str">
        <f t="shared" si="97"/>
        <v/>
      </c>
      <c r="AC394" s="48" t="str">
        <f t="shared" si="98"/>
        <v/>
      </c>
      <c r="AD394" s="54" t="str">
        <f t="shared" si="99"/>
        <v/>
      </c>
      <c r="AE394" s="55">
        <f t="shared" si="100"/>
        <v>0</v>
      </c>
      <c r="AF394" s="55">
        <f t="shared" si="101"/>
        <v>0</v>
      </c>
      <c r="AG394" s="58">
        <f t="shared" si="102"/>
        <v>0</v>
      </c>
      <c r="AH394" s="203"/>
      <c r="AJ394" s="203"/>
      <c r="AL394" s="203"/>
      <c r="AM394" s="203" t="str">
        <f t="shared" si="103"/>
        <v/>
      </c>
    </row>
    <row r="395" spans="1:39" s="56" customFormat="1" ht="14.25">
      <c r="A395" s="44"/>
      <c r="B395" s="45"/>
      <c r="C395" s="46">
        <f>IF(B395&lt;&gt;"",VLOOKUP(B395,'Tipo Projeto'!$A$3:$B$35,2,0),0)</f>
        <v>0</v>
      </c>
      <c r="D395" s="203"/>
      <c r="E395" s="203"/>
      <c r="F395" s="48"/>
      <c r="G395" s="203"/>
      <c r="H395" s="49"/>
      <c r="I395" s="50"/>
      <c r="J395" s="51"/>
      <c r="K395" s="52"/>
      <c r="L395" s="53" t="str">
        <f t="shared" si="91"/>
        <v/>
      </c>
      <c r="M395" s="48" t="str">
        <f t="shared" si="92"/>
        <v/>
      </c>
      <c r="N395" s="54" t="str">
        <f t="shared" si="93"/>
        <v/>
      </c>
      <c r="O395" s="55">
        <f t="shared" si="94"/>
        <v>0</v>
      </c>
      <c r="P395" s="55">
        <f t="shared" si="95"/>
        <v>0</v>
      </c>
      <c r="Q395" s="54">
        <f t="shared" si="96"/>
        <v>0</v>
      </c>
      <c r="R395" s="203"/>
      <c r="T395" s="57"/>
      <c r="U395" s="45"/>
      <c r="V395" s="46">
        <f>IF(U395&lt;&gt;"",VLOOKUP(U395,'Tipo Projeto'!$A$3:$B$35,2,0),0)</f>
        <v>0</v>
      </c>
      <c r="W395" s="203"/>
      <c r="X395" s="49"/>
      <c r="Y395" s="50"/>
      <c r="Z395" s="51"/>
      <c r="AA395" s="52"/>
      <c r="AB395" s="53" t="str">
        <f t="shared" si="97"/>
        <v/>
      </c>
      <c r="AC395" s="48" t="str">
        <f t="shared" si="98"/>
        <v/>
      </c>
      <c r="AD395" s="54" t="str">
        <f t="shared" si="99"/>
        <v/>
      </c>
      <c r="AE395" s="55">
        <f t="shared" si="100"/>
        <v>0</v>
      </c>
      <c r="AF395" s="55">
        <f t="shared" si="101"/>
        <v>0</v>
      </c>
      <c r="AG395" s="58">
        <f t="shared" si="102"/>
        <v>0</v>
      </c>
      <c r="AH395" s="203"/>
      <c r="AJ395" s="203"/>
      <c r="AL395" s="203"/>
      <c r="AM395" s="203" t="str">
        <f t="shared" si="103"/>
        <v/>
      </c>
    </row>
    <row r="396" spans="1:39" s="56" customFormat="1" ht="14.25">
      <c r="A396" s="44"/>
      <c r="B396" s="45"/>
      <c r="C396" s="46">
        <f>IF(B396&lt;&gt;"",VLOOKUP(B396,'Tipo Projeto'!$A$3:$B$35,2,0),0)</f>
        <v>0</v>
      </c>
      <c r="D396" s="203"/>
      <c r="E396" s="203"/>
      <c r="F396" s="48"/>
      <c r="G396" s="203"/>
      <c r="H396" s="49"/>
      <c r="I396" s="50"/>
      <c r="J396" s="51"/>
      <c r="K396" s="52"/>
      <c r="L396" s="53" t="str">
        <f t="shared" si="91"/>
        <v/>
      </c>
      <c r="M396" s="48" t="str">
        <f t="shared" si="92"/>
        <v/>
      </c>
      <c r="N396" s="54" t="str">
        <f t="shared" si="93"/>
        <v/>
      </c>
      <c r="O396" s="55">
        <f t="shared" si="94"/>
        <v>0</v>
      </c>
      <c r="P396" s="55">
        <f t="shared" si="95"/>
        <v>0</v>
      </c>
      <c r="Q396" s="54">
        <f t="shared" si="96"/>
        <v>0</v>
      </c>
      <c r="R396" s="203"/>
      <c r="T396" s="57"/>
      <c r="U396" s="45"/>
      <c r="V396" s="46">
        <f>IF(U396&lt;&gt;"",VLOOKUP(U396,'Tipo Projeto'!$A$3:$B$35,2,0),0)</f>
        <v>0</v>
      </c>
      <c r="W396" s="203"/>
      <c r="X396" s="49"/>
      <c r="Y396" s="50"/>
      <c r="Z396" s="51"/>
      <c r="AA396" s="52"/>
      <c r="AB396" s="53" t="str">
        <f t="shared" si="97"/>
        <v/>
      </c>
      <c r="AC396" s="48" t="str">
        <f t="shared" si="98"/>
        <v/>
      </c>
      <c r="AD396" s="54" t="str">
        <f t="shared" si="99"/>
        <v/>
      </c>
      <c r="AE396" s="55">
        <f t="shared" si="100"/>
        <v>0</v>
      </c>
      <c r="AF396" s="55">
        <f t="shared" si="101"/>
        <v>0</v>
      </c>
      <c r="AG396" s="58">
        <f t="shared" si="102"/>
        <v>0</v>
      </c>
      <c r="AH396" s="203"/>
      <c r="AJ396" s="203"/>
      <c r="AL396" s="203"/>
      <c r="AM396" s="203" t="str">
        <f t="shared" si="103"/>
        <v/>
      </c>
    </row>
    <row r="397" spans="1:39" s="56" customFormat="1" ht="14.25">
      <c r="A397" s="44"/>
      <c r="B397" s="45"/>
      <c r="C397" s="46">
        <f>IF(B397&lt;&gt;"",VLOOKUP(B397,'Tipo Projeto'!$A$3:$B$35,2,0),0)</f>
        <v>0</v>
      </c>
      <c r="D397" s="203"/>
      <c r="E397" s="203"/>
      <c r="F397" s="48"/>
      <c r="G397" s="203"/>
      <c r="H397" s="49"/>
      <c r="I397" s="50"/>
      <c r="J397" s="51"/>
      <c r="K397" s="52"/>
      <c r="L397" s="53" t="str">
        <f t="shared" si="91"/>
        <v/>
      </c>
      <c r="M397" s="48" t="str">
        <f t="shared" si="92"/>
        <v/>
      </c>
      <c r="N397" s="54" t="str">
        <f t="shared" si="93"/>
        <v/>
      </c>
      <c r="O397" s="55">
        <f t="shared" si="94"/>
        <v>0</v>
      </c>
      <c r="P397" s="55">
        <f t="shared" si="95"/>
        <v>0</v>
      </c>
      <c r="Q397" s="54">
        <f t="shared" si="96"/>
        <v>0</v>
      </c>
      <c r="R397" s="203"/>
      <c r="T397" s="57"/>
      <c r="U397" s="45"/>
      <c r="V397" s="46">
        <f>IF(U397&lt;&gt;"",VLOOKUP(U397,'Tipo Projeto'!$A$3:$B$35,2,0),0)</f>
        <v>0</v>
      </c>
      <c r="W397" s="203"/>
      <c r="X397" s="49"/>
      <c r="Y397" s="50"/>
      <c r="Z397" s="51"/>
      <c r="AA397" s="52"/>
      <c r="AB397" s="53" t="str">
        <f t="shared" si="97"/>
        <v/>
      </c>
      <c r="AC397" s="48" t="str">
        <f t="shared" si="98"/>
        <v/>
      </c>
      <c r="AD397" s="54" t="str">
        <f t="shared" si="99"/>
        <v/>
      </c>
      <c r="AE397" s="55">
        <f t="shared" si="100"/>
        <v>0</v>
      </c>
      <c r="AF397" s="55">
        <f t="shared" si="101"/>
        <v>0</v>
      </c>
      <c r="AG397" s="58">
        <f t="shared" si="102"/>
        <v>0</v>
      </c>
      <c r="AH397" s="203"/>
      <c r="AJ397" s="203"/>
      <c r="AL397" s="203"/>
      <c r="AM397" s="203" t="str">
        <f t="shared" si="103"/>
        <v/>
      </c>
    </row>
    <row r="398" spans="1:39" s="56" customFormat="1" ht="14.25">
      <c r="A398" s="44"/>
      <c r="B398" s="45"/>
      <c r="C398" s="46">
        <f>IF(B398&lt;&gt;"",VLOOKUP(B398,'Tipo Projeto'!$A$3:$B$35,2,0),0)</f>
        <v>0</v>
      </c>
      <c r="D398" s="203"/>
      <c r="E398" s="203"/>
      <c r="F398" s="48"/>
      <c r="G398" s="203"/>
      <c r="H398" s="49"/>
      <c r="I398" s="50"/>
      <c r="J398" s="51"/>
      <c r="K398" s="52"/>
      <c r="L398" s="53" t="str">
        <f t="shared" si="91"/>
        <v/>
      </c>
      <c r="M398" s="48" t="str">
        <f t="shared" si="92"/>
        <v/>
      </c>
      <c r="N398" s="54" t="str">
        <f t="shared" si="93"/>
        <v/>
      </c>
      <c r="O398" s="55">
        <f t="shared" si="94"/>
        <v>0</v>
      </c>
      <c r="P398" s="55">
        <f t="shared" si="95"/>
        <v>0</v>
      </c>
      <c r="Q398" s="54">
        <f t="shared" si="96"/>
        <v>0</v>
      </c>
      <c r="R398" s="203"/>
      <c r="T398" s="57"/>
      <c r="U398" s="45"/>
      <c r="V398" s="46">
        <f>IF(U398&lt;&gt;"",VLOOKUP(U398,'Tipo Projeto'!$A$3:$B$35,2,0),0)</f>
        <v>0</v>
      </c>
      <c r="W398" s="203"/>
      <c r="X398" s="49"/>
      <c r="Y398" s="50"/>
      <c r="Z398" s="51"/>
      <c r="AA398" s="52"/>
      <c r="AB398" s="53" t="str">
        <f t="shared" si="97"/>
        <v/>
      </c>
      <c r="AC398" s="48" t="str">
        <f t="shared" si="98"/>
        <v/>
      </c>
      <c r="AD398" s="54" t="str">
        <f t="shared" si="99"/>
        <v/>
      </c>
      <c r="AE398" s="55">
        <f t="shared" si="100"/>
        <v>0</v>
      </c>
      <c r="AF398" s="55">
        <f t="shared" si="101"/>
        <v>0</v>
      </c>
      <c r="AG398" s="58">
        <f t="shared" si="102"/>
        <v>0</v>
      </c>
      <c r="AH398" s="203"/>
      <c r="AJ398" s="203"/>
      <c r="AL398" s="203"/>
      <c r="AM398" s="203" t="str">
        <f t="shared" si="103"/>
        <v/>
      </c>
    </row>
    <row r="399" spans="1:39" s="56" customFormat="1" ht="14.25">
      <c r="A399" s="44"/>
      <c r="B399" s="45"/>
      <c r="C399" s="46">
        <f>IF(B399&lt;&gt;"",VLOOKUP(B399,'Tipo Projeto'!$A$3:$B$35,2,0),0)</f>
        <v>0</v>
      </c>
      <c r="D399" s="203"/>
      <c r="E399" s="203"/>
      <c r="F399" s="48"/>
      <c r="G399" s="203"/>
      <c r="H399" s="49"/>
      <c r="I399" s="50"/>
      <c r="J399" s="51"/>
      <c r="K399" s="52"/>
      <c r="L399" s="53" t="str">
        <f t="shared" si="91"/>
        <v/>
      </c>
      <c r="M399" s="48" t="str">
        <f t="shared" si="92"/>
        <v/>
      </c>
      <c r="N399" s="54" t="str">
        <f t="shared" si="93"/>
        <v/>
      </c>
      <c r="O399" s="55">
        <f t="shared" si="94"/>
        <v>0</v>
      </c>
      <c r="P399" s="55">
        <f t="shared" si="95"/>
        <v>0</v>
      </c>
      <c r="Q399" s="54">
        <f t="shared" si="96"/>
        <v>0</v>
      </c>
      <c r="R399" s="203"/>
      <c r="T399" s="57"/>
      <c r="U399" s="45"/>
      <c r="V399" s="46">
        <f>IF(U399&lt;&gt;"",VLOOKUP(U399,'Tipo Projeto'!$A$3:$B$35,2,0),0)</f>
        <v>0</v>
      </c>
      <c r="W399" s="203"/>
      <c r="X399" s="49"/>
      <c r="Y399" s="50"/>
      <c r="Z399" s="51"/>
      <c r="AA399" s="52"/>
      <c r="AB399" s="53" t="str">
        <f t="shared" si="97"/>
        <v/>
      </c>
      <c r="AC399" s="48" t="str">
        <f t="shared" si="98"/>
        <v/>
      </c>
      <c r="AD399" s="54" t="str">
        <f t="shared" si="99"/>
        <v/>
      </c>
      <c r="AE399" s="55">
        <f t="shared" si="100"/>
        <v>0</v>
      </c>
      <c r="AF399" s="55">
        <f t="shared" si="101"/>
        <v>0</v>
      </c>
      <c r="AG399" s="58">
        <f t="shared" si="102"/>
        <v>0</v>
      </c>
      <c r="AH399" s="203"/>
      <c r="AJ399" s="203"/>
      <c r="AL399" s="203"/>
      <c r="AM399" s="203" t="str">
        <f t="shared" si="103"/>
        <v/>
      </c>
    </row>
    <row r="400" spans="1:39" s="56" customFormat="1" ht="14.25">
      <c r="A400" s="44"/>
      <c r="B400" s="45"/>
      <c r="C400" s="46">
        <f>IF(B400&lt;&gt;"",VLOOKUP(B400,'Tipo Projeto'!$A$3:$B$35,2,0),0)</f>
        <v>0</v>
      </c>
      <c r="D400" s="203"/>
      <c r="E400" s="203"/>
      <c r="F400" s="48"/>
      <c r="G400" s="203"/>
      <c r="H400" s="49"/>
      <c r="I400" s="50"/>
      <c r="J400" s="51"/>
      <c r="K400" s="52"/>
      <c r="L400" s="53" t="str">
        <f t="shared" si="91"/>
        <v/>
      </c>
      <c r="M400" s="48" t="str">
        <f t="shared" si="92"/>
        <v/>
      </c>
      <c r="N400" s="54" t="str">
        <f t="shared" si="93"/>
        <v/>
      </c>
      <c r="O400" s="55">
        <f t="shared" si="94"/>
        <v>0</v>
      </c>
      <c r="P400" s="55">
        <f t="shared" si="95"/>
        <v>0</v>
      </c>
      <c r="Q400" s="54">
        <f t="shared" si="96"/>
        <v>0</v>
      </c>
      <c r="R400" s="203"/>
      <c r="T400" s="57"/>
      <c r="U400" s="45"/>
      <c r="V400" s="46">
        <f>IF(U400&lt;&gt;"",VLOOKUP(U400,'Tipo Projeto'!$A$3:$B$35,2,0),0)</f>
        <v>0</v>
      </c>
      <c r="W400" s="203"/>
      <c r="X400" s="49"/>
      <c r="Y400" s="50"/>
      <c r="Z400" s="51"/>
      <c r="AA400" s="52"/>
      <c r="AB400" s="53" t="str">
        <f t="shared" si="97"/>
        <v/>
      </c>
      <c r="AC400" s="48" t="str">
        <f t="shared" si="98"/>
        <v/>
      </c>
      <c r="AD400" s="54" t="str">
        <f t="shared" si="99"/>
        <v/>
      </c>
      <c r="AE400" s="55">
        <f t="shared" si="100"/>
        <v>0</v>
      </c>
      <c r="AF400" s="55">
        <f t="shared" si="101"/>
        <v>0</v>
      </c>
      <c r="AG400" s="58">
        <f t="shared" si="102"/>
        <v>0</v>
      </c>
      <c r="AH400" s="203"/>
      <c r="AJ400" s="203"/>
      <c r="AL400" s="203"/>
      <c r="AM400" s="203" t="str">
        <f t="shared" si="103"/>
        <v/>
      </c>
    </row>
    <row r="401" spans="1:39" s="56" customFormat="1" ht="14.25">
      <c r="A401" s="44"/>
      <c r="B401" s="45"/>
      <c r="C401" s="46">
        <f>IF(B401&lt;&gt;"",VLOOKUP(B401,'Tipo Projeto'!$A$3:$B$35,2,0),0)</f>
        <v>0</v>
      </c>
      <c r="D401" s="203"/>
      <c r="E401" s="203"/>
      <c r="F401" s="48"/>
      <c r="G401" s="203"/>
      <c r="H401" s="49"/>
      <c r="I401" s="50"/>
      <c r="J401" s="51"/>
      <c r="K401" s="52"/>
      <c r="L401" s="53" t="str">
        <f t="shared" si="91"/>
        <v/>
      </c>
      <c r="M401" s="48" t="str">
        <f t="shared" si="92"/>
        <v/>
      </c>
      <c r="N401" s="54" t="str">
        <f t="shared" si="93"/>
        <v/>
      </c>
      <c r="O401" s="55">
        <f t="shared" si="94"/>
        <v>0</v>
      </c>
      <c r="P401" s="55">
        <f t="shared" si="95"/>
        <v>0</v>
      </c>
      <c r="Q401" s="54">
        <f t="shared" si="96"/>
        <v>0</v>
      </c>
      <c r="R401" s="203"/>
      <c r="T401" s="57"/>
      <c r="U401" s="45"/>
      <c r="V401" s="46">
        <f>IF(U401&lt;&gt;"",VLOOKUP(U401,'Tipo Projeto'!$A$3:$B$35,2,0),0)</f>
        <v>0</v>
      </c>
      <c r="W401" s="203"/>
      <c r="X401" s="49"/>
      <c r="Y401" s="50"/>
      <c r="Z401" s="51"/>
      <c r="AA401" s="52"/>
      <c r="AB401" s="53" t="str">
        <f t="shared" si="97"/>
        <v/>
      </c>
      <c r="AC401" s="48" t="str">
        <f t="shared" si="98"/>
        <v/>
      </c>
      <c r="AD401" s="54" t="str">
        <f t="shared" si="99"/>
        <v/>
      </c>
      <c r="AE401" s="55">
        <f t="shared" si="100"/>
        <v>0</v>
      </c>
      <c r="AF401" s="55">
        <f t="shared" si="101"/>
        <v>0</v>
      </c>
      <c r="AG401" s="58">
        <f t="shared" si="102"/>
        <v>0</v>
      </c>
      <c r="AH401" s="203"/>
      <c r="AJ401" s="203"/>
      <c r="AL401" s="203"/>
      <c r="AM401" s="203" t="str">
        <f t="shared" si="103"/>
        <v/>
      </c>
    </row>
    <row r="402" spans="1:39" s="56" customFormat="1" ht="14.25">
      <c r="A402" s="44"/>
      <c r="B402" s="45"/>
      <c r="C402" s="46">
        <f>IF(B402&lt;&gt;"",VLOOKUP(B402,'Tipo Projeto'!$A$3:$B$35,2,0),0)</f>
        <v>0</v>
      </c>
      <c r="D402" s="203"/>
      <c r="E402" s="203"/>
      <c r="F402" s="48"/>
      <c r="G402" s="203"/>
      <c r="H402" s="49"/>
      <c r="I402" s="50"/>
      <c r="J402" s="51"/>
      <c r="K402" s="52"/>
      <c r="L402" s="53" t="str">
        <f t="shared" si="91"/>
        <v/>
      </c>
      <c r="M402" s="48" t="str">
        <f t="shared" si="92"/>
        <v/>
      </c>
      <c r="N402" s="54" t="str">
        <f t="shared" si="93"/>
        <v/>
      </c>
      <c r="O402" s="55">
        <f t="shared" si="94"/>
        <v>0</v>
      </c>
      <c r="P402" s="55">
        <f t="shared" si="95"/>
        <v>0</v>
      </c>
      <c r="Q402" s="54">
        <f t="shared" si="96"/>
        <v>0</v>
      </c>
      <c r="R402" s="203"/>
      <c r="T402" s="57"/>
      <c r="U402" s="45"/>
      <c r="V402" s="46">
        <f>IF(U402&lt;&gt;"",VLOOKUP(U402,'Tipo Projeto'!$A$3:$B$35,2,0),0)</f>
        <v>0</v>
      </c>
      <c r="W402" s="203"/>
      <c r="X402" s="49"/>
      <c r="Y402" s="50"/>
      <c r="Z402" s="51"/>
      <c r="AA402" s="52"/>
      <c r="AB402" s="53" t="str">
        <f t="shared" si="97"/>
        <v/>
      </c>
      <c r="AC402" s="48" t="str">
        <f t="shared" si="98"/>
        <v/>
      </c>
      <c r="AD402" s="54" t="str">
        <f t="shared" si="99"/>
        <v/>
      </c>
      <c r="AE402" s="55">
        <f t="shared" si="100"/>
        <v>0</v>
      </c>
      <c r="AF402" s="55">
        <f t="shared" si="101"/>
        <v>0</v>
      </c>
      <c r="AG402" s="58">
        <f t="shared" si="102"/>
        <v>0</v>
      </c>
      <c r="AH402" s="203"/>
      <c r="AJ402" s="203"/>
      <c r="AL402" s="203"/>
      <c r="AM402" s="203" t="str">
        <f t="shared" si="103"/>
        <v/>
      </c>
    </row>
    <row r="403" spans="1:39" s="56" customFormat="1" ht="14.25">
      <c r="A403" s="44"/>
      <c r="B403" s="45"/>
      <c r="C403" s="46">
        <f>IF(B403&lt;&gt;"",VLOOKUP(B403,'Tipo Projeto'!$A$3:$B$35,2,0),0)</f>
        <v>0</v>
      </c>
      <c r="D403" s="203"/>
      <c r="E403" s="203"/>
      <c r="F403" s="48"/>
      <c r="G403" s="203"/>
      <c r="H403" s="49"/>
      <c r="I403" s="50"/>
      <c r="J403" s="51"/>
      <c r="K403" s="52"/>
      <c r="L403" s="53" t="str">
        <f t="shared" si="91"/>
        <v/>
      </c>
      <c r="M403" s="48" t="str">
        <f t="shared" si="92"/>
        <v/>
      </c>
      <c r="N403" s="54" t="str">
        <f t="shared" si="93"/>
        <v/>
      </c>
      <c r="O403" s="55">
        <f t="shared" si="94"/>
        <v>0</v>
      </c>
      <c r="P403" s="55">
        <f t="shared" si="95"/>
        <v>0</v>
      </c>
      <c r="Q403" s="54">
        <f t="shared" si="96"/>
        <v>0</v>
      </c>
      <c r="R403" s="203"/>
      <c r="T403" s="57"/>
      <c r="U403" s="45"/>
      <c r="V403" s="46">
        <f>IF(U403&lt;&gt;"",VLOOKUP(U403,'Tipo Projeto'!$A$3:$B$35,2,0),0)</f>
        <v>0</v>
      </c>
      <c r="W403" s="203"/>
      <c r="X403" s="49"/>
      <c r="Y403" s="50"/>
      <c r="Z403" s="51"/>
      <c r="AA403" s="52"/>
      <c r="AB403" s="53" t="str">
        <f t="shared" si="97"/>
        <v/>
      </c>
      <c r="AC403" s="48" t="str">
        <f t="shared" si="98"/>
        <v/>
      </c>
      <c r="AD403" s="54" t="str">
        <f t="shared" si="99"/>
        <v/>
      </c>
      <c r="AE403" s="55">
        <f t="shared" si="100"/>
        <v>0</v>
      </c>
      <c r="AF403" s="55">
        <f t="shared" si="101"/>
        <v>0</v>
      </c>
      <c r="AG403" s="58">
        <f t="shared" si="102"/>
        <v>0</v>
      </c>
      <c r="AH403" s="203"/>
      <c r="AJ403" s="203"/>
      <c r="AL403" s="203"/>
      <c r="AM403" s="203" t="str">
        <f t="shared" si="103"/>
        <v/>
      </c>
    </row>
    <row r="404" spans="1:39" s="56" customFormat="1" ht="14.25">
      <c r="A404" s="44"/>
      <c r="B404" s="45"/>
      <c r="C404" s="46">
        <f>IF(B404&lt;&gt;"",VLOOKUP(B404,'Tipo Projeto'!$A$3:$B$35,2,0),0)</f>
        <v>0</v>
      </c>
      <c r="D404" s="203"/>
      <c r="E404" s="203"/>
      <c r="F404" s="48"/>
      <c r="G404" s="203"/>
      <c r="H404" s="49"/>
      <c r="I404" s="50"/>
      <c r="J404" s="51"/>
      <c r="K404" s="52"/>
      <c r="L404" s="53" t="str">
        <f t="shared" si="91"/>
        <v/>
      </c>
      <c r="M404" s="48" t="str">
        <f t="shared" si="92"/>
        <v/>
      </c>
      <c r="N404" s="54" t="str">
        <f t="shared" si="93"/>
        <v/>
      </c>
      <c r="O404" s="55">
        <f t="shared" si="94"/>
        <v>0</v>
      </c>
      <c r="P404" s="55">
        <f t="shared" si="95"/>
        <v>0</v>
      </c>
      <c r="Q404" s="54">
        <f t="shared" si="96"/>
        <v>0</v>
      </c>
      <c r="R404" s="203"/>
      <c r="T404" s="57"/>
      <c r="U404" s="45"/>
      <c r="V404" s="46">
        <f>IF(U404&lt;&gt;"",VLOOKUP(U404,'Tipo Projeto'!$A$3:$B$35,2,0),0)</f>
        <v>0</v>
      </c>
      <c r="W404" s="203"/>
      <c r="X404" s="49"/>
      <c r="Y404" s="50"/>
      <c r="Z404" s="51"/>
      <c r="AA404" s="52"/>
      <c r="AB404" s="53" t="str">
        <f t="shared" si="97"/>
        <v/>
      </c>
      <c r="AC404" s="48" t="str">
        <f t="shared" si="98"/>
        <v/>
      </c>
      <c r="AD404" s="54" t="str">
        <f t="shared" si="99"/>
        <v/>
      </c>
      <c r="AE404" s="55">
        <f t="shared" si="100"/>
        <v>0</v>
      </c>
      <c r="AF404" s="55">
        <f t="shared" si="101"/>
        <v>0</v>
      </c>
      <c r="AG404" s="58">
        <f t="shared" si="102"/>
        <v>0</v>
      </c>
      <c r="AH404" s="203"/>
      <c r="AJ404" s="203"/>
      <c r="AL404" s="203"/>
      <c r="AM404" s="203" t="str">
        <f t="shared" si="103"/>
        <v/>
      </c>
    </row>
    <row r="405" spans="1:39" s="56" customFormat="1" ht="14.25">
      <c r="A405" s="44"/>
      <c r="B405" s="45"/>
      <c r="C405" s="46">
        <f>IF(B405&lt;&gt;"",VLOOKUP(B405,'Tipo Projeto'!$A$3:$B$35,2,0),0)</f>
        <v>0</v>
      </c>
      <c r="D405" s="203"/>
      <c r="E405" s="203"/>
      <c r="F405" s="48"/>
      <c r="G405" s="203"/>
      <c r="H405" s="49"/>
      <c r="I405" s="50"/>
      <c r="J405" s="51"/>
      <c r="K405" s="52"/>
      <c r="L405" s="53" t="str">
        <f t="shared" si="91"/>
        <v/>
      </c>
      <c r="M405" s="48" t="str">
        <f t="shared" si="92"/>
        <v/>
      </c>
      <c r="N405" s="54" t="str">
        <f t="shared" si="93"/>
        <v/>
      </c>
      <c r="O405" s="55">
        <f t="shared" si="94"/>
        <v>0</v>
      </c>
      <c r="P405" s="55">
        <f t="shared" si="95"/>
        <v>0</v>
      </c>
      <c r="Q405" s="54">
        <f t="shared" si="96"/>
        <v>0</v>
      </c>
      <c r="R405" s="203"/>
      <c r="T405" s="57"/>
      <c r="U405" s="45"/>
      <c r="V405" s="46">
        <f>IF(U405&lt;&gt;"",VLOOKUP(U405,'Tipo Projeto'!$A$3:$B$35,2,0),0)</f>
        <v>0</v>
      </c>
      <c r="W405" s="203"/>
      <c r="X405" s="49"/>
      <c r="Y405" s="50"/>
      <c r="Z405" s="51"/>
      <c r="AA405" s="52"/>
      <c r="AB405" s="53" t="str">
        <f t="shared" si="97"/>
        <v/>
      </c>
      <c r="AC405" s="48" t="str">
        <f t="shared" si="98"/>
        <v/>
      </c>
      <c r="AD405" s="54" t="str">
        <f t="shared" si="99"/>
        <v/>
      </c>
      <c r="AE405" s="55">
        <f t="shared" si="100"/>
        <v>0</v>
      </c>
      <c r="AF405" s="55">
        <f t="shared" si="101"/>
        <v>0</v>
      </c>
      <c r="AG405" s="58">
        <f t="shared" si="102"/>
        <v>0</v>
      </c>
      <c r="AH405" s="203"/>
      <c r="AJ405" s="203"/>
      <c r="AL405" s="203"/>
      <c r="AM405" s="203" t="str">
        <f t="shared" si="103"/>
        <v/>
      </c>
    </row>
    <row r="406" spans="1:39" s="56" customFormat="1" ht="14.25">
      <c r="A406" s="44"/>
      <c r="B406" s="45"/>
      <c r="C406" s="46">
        <f>IF(B406&lt;&gt;"",VLOOKUP(B406,'Tipo Projeto'!$A$3:$B$35,2,0),0)</f>
        <v>0</v>
      </c>
      <c r="D406" s="203"/>
      <c r="E406" s="203"/>
      <c r="F406" s="48"/>
      <c r="G406" s="203"/>
      <c r="H406" s="49"/>
      <c r="I406" s="50"/>
      <c r="J406" s="51"/>
      <c r="K406" s="52"/>
      <c r="L406" s="53" t="str">
        <f t="shared" si="91"/>
        <v/>
      </c>
      <c r="M406" s="48" t="str">
        <f t="shared" si="92"/>
        <v/>
      </c>
      <c r="N406" s="54" t="str">
        <f t="shared" si="93"/>
        <v/>
      </c>
      <c r="O406" s="55">
        <f t="shared" si="94"/>
        <v>0</v>
      </c>
      <c r="P406" s="55">
        <f t="shared" si="95"/>
        <v>0</v>
      </c>
      <c r="Q406" s="54">
        <f t="shared" si="96"/>
        <v>0</v>
      </c>
      <c r="R406" s="203"/>
      <c r="T406" s="57"/>
      <c r="U406" s="45"/>
      <c r="V406" s="46">
        <f>IF(U406&lt;&gt;"",VLOOKUP(U406,'Tipo Projeto'!$A$3:$B$35,2,0),0)</f>
        <v>0</v>
      </c>
      <c r="W406" s="203"/>
      <c r="X406" s="49"/>
      <c r="Y406" s="50"/>
      <c r="Z406" s="51"/>
      <c r="AA406" s="52"/>
      <c r="AB406" s="53" t="str">
        <f t="shared" si="97"/>
        <v/>
      </c>
      <c r="AC406" s="48" t="str">
        <f t="shared" si="98"/>
        <v/>
      </c>
      <c r="AD406" s="54" t="str">
        <f t="shared" si="99"/>
        <v/>
      </c>
      <c r="AE406" s="55">
        <f t="shared" si="100"/>
        <v>0</v>
      </c>
      <c r="AF406" s="55">
        <f t="shared" si="101"/>
        <v>0</v>
      </c>
      <c r="AG406" s="58">
        <f t="shared" si="102"/>
        <v>0</v>
      </c>
      <c r="AH406" s="203"/>
      <c r="AJ406" s="203"/>
      <c r="AL406" s="203"/>
      <c r="AM406" s="203" t="str">
        <f t="shared" si="103"/>
        <v/>
      </c>
    </row>
    <row r="407" spans="1:39" s="56" customFormat="1" ht="14.25">
      <c r="A407" s="44"/>
      <c r="B407" s="45"/>
      <c r="C407" s="46">
        <f>IF(B407&lt;&gt;"",VLOOKUP(B407,'Tipo Projeto'!$A$3:$B$35,2,0),0)</f>
        <v>0</v>
      </c>
      <c r="D407" s="203"/>
      <c r="E407" s="203"/>
      <c r="F407" s="48"/>
      <c r="G407" s="203"/>
      <c r="H407" s="49"/>
      <c r="I407" s="50"/>
      <c r="J407" s="51"/>
      <c r="K407" s="52"/>
      <c r="L407" s="53" t="str">
        <f t="shared" si="91"/>
        <v/>
      </c>
      <c r="M407" s="48" t="str">
        <f t="shared" si="92"/>
        <v/>
      </c>
      <c r="N407" s="54" t="str">
        <f t="shared" si="93"/>
        <v/>
      </c>
      <c r="O407" s="55">
        <f t="shared" si="94"/>
        <v>0</v>
      </c>
      <c r="P407" s="55">
        <f t="shared" si="95"/>
        <v>0</v>
      </c>
      <c r="Q407" s="54">
        <f t="shared" si="96"/>
        <v>0</v>
      </c>
      <c r="R407" s="203"/>
      <c r="T407" s="57"/>
      <c r="U407" s="45"/>
      <c r="V407" s="46">
        <f>IF(U407&lt;&gt;"",VLOOKUP(U407,'Tipo Projeto'!$A$3:$B$35,2,0),0)</f>
        <v>0</v>
      </c>
      <c r="W407" s="203"/>
      <c r="X407" s="49"/>
      <c r="Y407" s="50"/>
      <c r="Z407" s="51"/>
      <c r="AA407" s="52"/>
      <c r="AB407" s="53" t="str">
        <f t="shared" si="97"/>
        <v/>
      </c>
      <c r="AC407" s="48" t="str">
        <f t="shared" si="98"/>
        <v/>
      </c>
      <c r="AD407" s="54" t="str">
        <f t="shared" si="99"/>
        <v/>
      </c>
      <c r="AE407" s="55">
        <f t="shared" si="100"/>
        <v>0</v>
      </c>
      <c r="AF407" s="55">
        <f t="shared" si="101"/>
        <v>0</v>
      </c>
      <c r="AG407" s="58">
        <f t="shared" si="102"/>
        <v>0</v>
      </c>
      <c r="AH407" s="203"/>
      <c r="AJ407" s="203"/>
      <c r="AL407" s="203"/>
      <c r="AM407" s="203" t="str">
        <f t="shared" si="103"/>
        <v/>
      </c>
    </row>
    <row r="408" spans="1:39" s="56" customFormat="1" ht="14.25">
      <c r="A408" s="44"/>
      <c r="B408" s="45"/>
      <c r="C408" s="46">
        <f>IF(B408&lt;&gt;"",VLOOKUP(B408,'Tipo Projeto'!$A$3:$B$35,2,0),0)</f>
        <v>0</v>
      </c>
      <c r="D408" s="203"/>
      <c r="E408" s="203"/>
      <c r="F408" s="48"/>
      <c r="G408" s="203"/>
      <c r="H408" s="49"/>
      <c r="I408" s="50"/>
      <c r="J408" s="51"/>
      <c r="K408" s="52"/>
      <c r="L408" s="53" t="str">
        <f t="shared" si="91"/>
        <v/>
      </c>
      <c r="M408" s="48" t="str">
        <f t="shared" si="92"/>
        <v/>
      </c>
      <c r="N408" s="54" t="str">
        <f t="shared" si="93"/>
        <v/>
      </c>
      <c r="O408" s="55">
        <f t="shared" si="94"/>
        <v>0</v>
      </c>
      <c r="P408" s="55">
        <f t="shared" si="95"/>
        <v>0</v>
      </c>
      <c r="Q408" s="54">
        <f t="shared" si="96"/>
        <v>0</v>
      </c>
      <c r="R408" s="203"/>
      <c r="T408" s="57"/>
      <c r="U408" s="45"/>
      <c r="V408" s="46">
        <f>IF(U408&lt;&gt;"",VLOOKUP(U408,'Tipo Projeto'!$A$3:$B$35,2,0),0)</f>
        <v>0</v>
      </c>
      <c r="W408" s="203"/>
      <c r="X408" s="49"/>
      <c r="Y408" s="50"/>
      <c r="Z408" s="51"/>
      <c r="AA408" s="52"/>
      <c r="AB408" s="53" t="str">
        <f t="shared" si="97"/>
        <v/>
      </c>
      <c r="AC408" s="48" t="str">
        <f t="shared" si="98"/>
        <v/>
      </c>
      <c r="AD408" s="54" t="str">
        <f t="shared" si="99"/>
        <v/>
      </c>
      <c r="AE408" s="55">
        <f t="shared" si="100"/>
        <v>0</v>
      </c>
      <c r="AF408" s="55">
        <f t="shared" si="101"/>
        <v>0</v>
      </c>
      <c r="AG408" s="58">
        <f t="shared" si="102"/>
        <v>0</v>
      </c>
      <c r="AH408" s="203"/>
      <c r="AJ408" s="203"/>
      <c r="AL408" s="203"/>
      <c r="AM408" s="203" t="str">
        <f t="shared" si="103"/>
        <v/>
      </c>
    </row>
    <row r="409" spans="1:39" s="56" customFormat="1" ht="14.25">
      <c r="A409" s="44"/>
      <c r="B409" s="45"/>
      <c r="C409" s="46">
        <f>IF(B409&lt;&gt;"",VLOOKUP(B409,'Tipo Projeto'!$A$3:$B$35,2,0),0)</f>
        <v>0</v>
      </c>
      <c r="D409" s="203"/>
      <c r="E409" s="203"/>
      <c r="F409" s="48"/>
      <c r="G409" s="203"/>
      <c r="H409" s="49"/>
      <c r="I409" s="50"/>
      <c r="J409" s="51"/>
      <c r="K409" s="52"/>
      <c r="L409" s="53" t="str">
        <f t="shared" si="91"/>
        <v/>
      </c>
      <c r="M409" s="48" t="str">
        <f t="shared" si="92"/>
        <v/>
      </c>
      <c r="N409" s="54" t="str">
        <f t="shared" si="93"/>
        <v/>
      </c>
      <c r="O409" s="55">
        <f t="shared" si="94"/>
        <v>0</v>
      </c>
      <c r="P409" s="55">
        <f t="shared" si="95"/>
        <v>0</v>
      </c>
      <c r="Q409" s="54">
        <f t="shared" si="96"/>
        <v>0</v>
      </c>
      <c r="R409" s="203"/>
      <c r="T409" s="57"/>
      <c r="U409" s="45"/>
      <c r="V409" s="46">
        <f>IF(U409&lt;&gt;"",VLOOKUP(U409,'Tipo Projeto'!$A$3:$B$35,2,0),0)</f>
        <v>0</v>
      </c>
      <c r="W409" s="203"/>
      <c r="X409" s="49"/>
      <c r="Y409" s="50"/>
      <c r="Z409" s="51"/>
      <c r="AA409" s="52"/>
      <c r="AB409" s="53" t="str">
        <f t="shared" si="97"/>
        <v/>
      </c>
      <c r="AC409" s="48" t="str">
        <f t="shared" si="98"/>
        <v/>
      </c>
      <c r="AD409" s="54" t="str">
        <f t="shared" si="99"/>
        <v/>
      </c>
      <c r="AE409" s="55">
        <f t="shared" si="100"/>
        <v>0</v>
      </c>
      <c r="AF409" s="55">
        <f t="shared" si="101"/>
        <v>0</v>
      </c>
      <c r="AG409" s="58">
        <f t="shared" si="102"/>
        <v>0</v>
      </c>
      <c r="AH409" s="203"/>
      <c r="AJ409" s="203"/>
      <c r="AL409" s="203"/>
      <c r="AM409" s="203" t="str">
        <f t="shared" si="103"/>
        <v/>
      </c>
    </row>
    <row r="410" spans="1:39" s="56" customFormat="1" ht="14.25">
      <c r="A410" s="44"/>
      <c r="B410" s="45"/>
      <c r="C410" s="46">
        <f>IF(B410&lt;&gt;"",VLOOKUP(B410,'Tipo Projeto'!$A$3:$B$35,2,0),0)</f>
        <v>0</v>
      </c>
      <c r="D410" s="203"/>
      <c r="E410" s="203"/>
      <c r="F410" s="48"/>
      <c r="G410" s="203"/>
      <c r="H410" s="49"/>
      <c r="I410" s="50"/>
      <c r="J410" s="51"/>
      <c r="K410" s="52"/>
      <c r="L410" s="53" t="str">
        <f t="shared" si="91"/>
        <v/>
      </c>
      <c r="M410" s="48" t="str">
        <f t="shared" si="92"/>
        <v/>
      </c>
      <c r="N410" s="54" t="str">
        <f t="shared" si="93"/>
        <v/>
      </c>
      <c r="O410" s="55">
        <f t="shared" si="94"/>
        <v>0</v>
      </c>
      <c r="P410" s="55">
        <f t="shared" si="95"/>
        <v>0</v>
      </c>
      <c r="Q410" s="54">
        <f t="shared" si="96"/>
        <v>0</v>
      </c>
      <c r="R410" s="203"/>
      <c r="T410" s="57"/>
      <c r="U410" s="45"/>
      <c r="V410" s="46">
        <f>IF(U410&lt;&gt;"",VLOOKUP(U410,'Tipo Projeto'!$A$3:$B$35,2,0),0)</f>
        <v>0</v>
      </c>
      <c r="W410" s="203"/>
      <c r="X410" s="49"/>
      <c r="Y410" s="50"/>
      <c r="Z410" s="51"/>
      <c r="AA410" s="52"/>
      <c r="AB410" s="53" t="str">
        <f t="shared" si="97"/>
        <v/>
      </c>
      <c r="AC410" s="48" t="str">
        <f t="shared" si="98"/>
        <v/>
      </c>
      <c r="AD410" s="54" t="str">
        <f t="shared" si="99"/>
        <v/>
      </c>
      <c r="AE410" s="55">
        <f t="shared" si="100"/>
        <v>0</v>
      </c>
      <c r="AF410" s="55">
        <f t="shared" si="101"/>
        <v>0</v>
      </c>
      <c r="AG410" s="58">
        <f t="shared" si="102"/>
        <v>0</v>
      </c>
      <c r="AH410" s="203"/>
      <c r="AJ410" s="203"/>
      <c r="AL410" s="203"/>
      <c r="AM410" s="203" t="str">
        <f t="shared" si="103"/>
        <v/>
      </c>
    </row>
    <row r="411" spans="1:39" s="56" customFormat="1" ht="14.25">
      <c r="A411" s="44"/>
      <c r="B411" s="45"/>
      <c r="C411" s="46">
        <f>IF(B411&lt;&gt;"",VLOOKUP(B411,'Tipo Projeto'!$A$3:$B$35,2,0),0)</f>
        <v>0</v>
      </c>
      <c r="D411" s="203"/>
      <c r="E411" s="203"/>
      <c r="F411" s="48"/>
      <c r="G411" s="203"/>
      <c r="H411" s="49"/>
      <c r="I411" s="50"/>
      <c r="J411" s="51"/>
      <c r="K411" s="52"/>
      <c r="L411" s="53" t="str">
        <f t="shared" si="91"/>
        <v/>
      </c>
      <c r="M411" s="48" t="str">
        <f t="shared" si="92"/>
        <v/>
      </c>
      <c r="N411" s="54" t="str">
        <f t="shared" si="93"/>
        <v/>
      </c>
      <c r="O411" s="55">
        <f t="shared" si="94"/>
        <v>0</v>
      </c>
      <c r="P411" s="55">
        <f t="shared" si="95"/>
        <v>0</v>
      </c>
      <c r="Q411" s="54">
        <f t="shared" si="96"/>
        <v>0</v>
      </c>
      <c r="R411" s="203"/>
      <c r="T411" s="57"/>
      <c r="U411" s="45"/>
      <c r="V411" s="46">
        <f>IF(U411&lt;&gt;"",VLOOKUP(U411,'Tipo Projeto'!$A$3:$B$35,2,0),0)</f>
        <v>0</v>
      </c>
      <c r="W411" s="203"/>
      <c r="X411" s="49"/>
      <c r="Y411" s="50"/>
      <c r="Z411" s="51"/>
      <c r="AA411" s="52"/>
      <c r="AB411" s="53" t="str">
        <f t="shared" si="97"/>
        <v/>
      </c>
      <c r="AC411" s="48" t="str">
        <f t="shared" si="98"/>
        <v/>
      </c>
      <c r="AD411" s="54" t="str">
        <f t="shared" si="99"/>
        <v/>
      </c>
      <c r="AE411" s="55">
        <f t="shared" si="100"/>
        <v>0</v>
      </c>
      <c r="AF411" s="55">
        <f t="shared" si="101"/>
        <v>0</v>
      </c>
      <c r="AG411" s="58">
        <f t="shared" si="102"/>
        <v>0</v>
      </c>
      <c r="AH411" s="203"/>
      <c r="AJ411" s="203"/>
      <c r="AL411" s="203"/>
      <c r="AM411" s="203" t="str">
        <f t="shared" si="103"/>
        <v/>
      </c>
    </row>
    <row r="412" spans="1:39" s="56" customFormat="1" ht="14.25">
      <c r="A412" s="44"/>
      <c r="B412" s="45"/>
      <c r="C412" s="46">
        <f>IF(B412&lt;&gt;"",VLOOKUP(B412,'Tipo Projeto'!$A$3:$B$35,2,0),0)</f>
        <v>0</v>
      </c>
      <c r="D412" s="203"/>
      <c r="E412" s="203"/>
      <c r="F412" s="48"/>
      <c r="G412" s="203"/>
      <c r="H412" s="49"/>
      <c r="I412" s="50"/>
      <c r="J412" s="51"/>
      <c r="K412" s="52"/>
      <c r="L412" s="53" t="str">
        <f t="shared" si="91"/>
        <v/>
      </c>
      <c r="M412" s="48" t="str">
        <f t="shared" si="92"/>
        <v/>
      </c>
      <c r="N412" s="54" t="str">
        <f t="shared" si="93"/>
        <v/>
      </c>
      <c r="O412" s="55">
        <f t="shared" si="94"/>
        <v>0</v>
      </c>
      <c r="P412" s="55">
        <f t="shared" si="95"/>
        <v>0</v>
      </c>
      <c r="Q412" s="54">
        <f t="shared" si="96"/>
        <v>0</v>
      </c>
      <c r="R412" s="203"/>
      <c r="T412" s="57"/>
      <c r="U412" s="45"/>
      <c r="V412" s="46">
        <f>IF(U412&lt;&gt;"",VLOOKUP(U412,'Tipo Projeto'!$A$3:$B$35,2,0),0)</f>
        <v>0</v>
      </c>
      <c r="W412" s="203"/>
      <c r="X412" s="49"/>
      <c r="Y412" s="50"/>
      <c r="Z412" s="51"/>
      <c r="AA412" s="52"/>
      <c r="AB412" s="53" t="str">
        <f t="shared" si="97"/>
        <v/>
      </c>
      <c r="AC412" s="48" t="str">
        <f t="shared" si="98"/>
        <v/>
      </c>
      <c r="AD412" s="54" t="str">
        <f t="shared" si="99"/>
        <v/>
      </c>
      <c r="AE412" s="55">
        <f t="shared" si="100"/>
        <v>0</v>
      </c>
      <c r="AF412" s="55">
        <f t="shared" si="101"/>
        <v>0</v>
      </c>
      <c r="AG412" s="58">
        <f t="shared" si="102"/>
        <v>0</v>
      </c>
      <c r="AH412" s="203"/>
      <c r="AJ412" s="203"/>
      <c r="AL412" s="203"/>
      <c r="AM412" s="203" t="str">
        <f t="shared" si="103"/>
        <v/>
      </c>
    </row>
    <row r="413" spans="1:39" s="56" customFormat="1" ht="14.25">
      <c r="A413" s="44"/>
      <c r="B413" s="45"/>
      <c r="C413" s="46">
        <f>IF(B413&lt;&gt;"",VLOOKUP(B413,'Tipo Projeto'!$A$3:$B$35,2,0),0)</f>
        <v>0</v>
      </c>
      <c r="D413" s="203"/>
      <c r="E413" s="203"/>
      <c r="F413" s="48"/>
      <c r="G413" s="203"/>
      <c r="H413" s="49"/>
      <c r="I413" s="50"/>
      <c r="J413" s="51"/>
      <c r="K413" s="52"/>
      <c r="L413" s="53" t="str">
        <f t="shared" si="91"/>
        <v/>
      </c>
      <c r="M413" s="48" t="str">
        <f t="shared" si="92"/>
        <v/>
      </c>
      <c r="N413" s="54" t="str">
        <f t="shared" si="93"/>
        <v/>
      </c>
      <c r="O413" s="55">
        <f t="shared" si="94"/>
        <v>0</v>
      </c>
      <c r="P413" s="55">
        <f t="shared" si="95"/>
        <v>0</v>
      </c>
      <c r="Q413" s="54">
        <f t="shared" si="96"/>
        <v>0</v>
      </c>
      <c r="R413" s="203"/>
      <c r="T413" s="57"/>
      <c r="U413" s="45"/>
      <c r="V413" s="46">
        <f>IF(U413&lt;&gt;"",VLOOKUP(U413,'Tipo Projeto'!$A$3:$B$35,2,0),0)</f>
        <v>0</v>
      </c>
      <c r="W413" s="203"/>
      <c r="X413" s="49"/>
      <c r="Y413" s="50"/>
      <c r="Z413" s="51"/>
      <c r="AA413" s="52"/>
      <c r="AB413" s="53" t="str">
        <f t="shared" si="97"/>
        <v/>
      </c>
      <c r="AC413" s="48" t="str">
        <f t="shared" si="98"/>
        <v/>
      </c>
      <c r="AD413" s="54" t="str">
        <f t="shared" si="99"/>
        <v/>
      </c>
      <c r="AE413" s="55">
        <f t="shared" si="100"/>
        <v>0</v>
      </c>
      <c r="AF413" s="55">
        <f t="shared" si="101"/>
        <v>0</v>
      </c>
      <c r="AG413" s="58">
        <f t="shared" si="102"/>
        <v>0</v>
      </c>
      <c r="AH413" s="203"/>
      <c r="AJ413" s="203"/>
      <c r="AL413" s="203"/>
      <c r="AM413" s="203" t="str">
        <f t="shared" si="103"/>
        <v/>
      </c>
    </row>
    <row r="414" spans="1:39" s="56" customFormat="1" ht="14.25">
      <c r="A414" s="44"/>
      <c r="B414" s="45"/>
      <c r="C414" s="46">
        <f>IF(B414&lt;&gt;"",VLOOKUP(B414,'Tipo Projeto'!$A$3:$B$35,2,0),0)</f>
        <v>0</v>
      </c>
      <c r="D414" s="203"/>
      <c r="E414" s="203"/>
      <c r="F414" s="48"/>
      <c r="G414" s="203"/>
      <c r="H414" s="49"/>
      <c r="I414" s="50"/>
      <c r="J414" s="51"/>
      <c r="K414" s="52"/>
      <c r="L414" s="53" t="str">
        <f t="shared" si="91"/>
        <v/>
      </c>
      <c r="M414" s="48" t="str">
        <f t="shared" si="92"/>
        <v/>
      </c>
      <c r="N414" s="54" t="str">
        <f t="shared" si="93"/>
        <v/>
      </c>
      <c r="O414" s="55">
        <f t="shared" si="94"/>
        <v>0</v>
      </c>
      <c r="P414" s="55">
        <f t="shared" si="95"/>
        <v>0</v>
      </c>
      <c r="Q414" s="54">
        <f t="shared" si="96"/>
        <v>0</v>
      </c>
      <c r="R414" s="203"/>
      <c r="T414" s="57"/>
      <c r="U414" s="45"/>
      <c r="V414" s="46">
        <f>IF(U414&lt;&gt;"",VLOOKUP(U414,'Tipo Projeto'!$A$3:$B$35,2,0),0)</f>
        <v>0</v>
      </c>
      <c r="W414" s="203"/>
      <c r="X414" s="49"/>
      <c r="Y414" s="50"/>
      <c r="Z414" s="51"/>
      <c r="AA414" s="52"/>
      <c r="AB414" s="53" t="str">
        <f t="shared" si="97"/>
        <v/>
      </c>
      <c r="AC414" s="48" t="str">
        <f t="shared" si="98"/>
        <v/>
      </c>
      <c r="AD414" s="54" t="str">
        <f t="shared" si="99"/>
        <v/>
      </c>
      <c r="AE414" s="55">
        <f t="shared" si="100"/>
        <v>0</v>
      </c>
      <c r="AF414" s="55">
        <f t="shared" si="101"/>
        <v>0</v>
      </c>
      <c r="AG414" s="58">
        <f t="shared" si="102"/>
        <v>0</v>
      </c>
      <c r="AH414" s="203"/>
      <c r="AJ414" s="203"/>
      <c r="AL414" s="203"/>
      <c r="AM414" s="203" t="str">
        <f t="shared" si="103"/>
        <v/>
      </c>
    </row>
    <row r="415" spans="1:39" s="56" customFormat="1" ht="14.25">
      <c r="A415" s="44"/>
      <c r="B415" s="45"/>
      <c r="C415" s="46">
        <f>IF(B415&lt;&gt;"",VLOOKUP(B415,'Tipo Projeto'!$A$3:$B$35,2,0),0)</f>
        <v>0</v>
      </c>
      <c r="D415" s="203"/>
      <c r="E415" s="203"/>
      <c r="F415" s="48"/>
      <c r="G415" s="203"/>
      <c r="H415" s="49"/>
      <c r="I415" s="50"/>
      <c r="J415" s="51"/>
      <c r="K415" s="52"/>
      <c r="L415" s="53" t="str">
        <f t="shared" si="91"/>
        <v/>
      </c>
      <c r="M415" s="48" t="str">
        <f t="shared" si="92"/>
        <v/>
      </c>
      <c r="N415" s="54" t="str">
        <f t="shared" si="93"/>
        <v/>
      </c>
      <c r="O415" s="55">
        <f t="shared" si="94"/>
        <v>0</v>
      </c>
      <c r="P415" s="55">
        <f t="shared" si="95"/>
        <v>0</v>
      </c>
      <c r="Q415" s="54">
        <f t="shared" si="96"/>
        <v>0</v>
      </c>
      <c r="R415" s="203"/>
      <c r="T415" s="57"/>
      <c r="U415" s="45"/>
      <c r="V415" s="46">
        <f>IF(U415&lt;&gt;"",VLOOKUP(U415,'Tipo Projeto'!$A$3:$B$35,2,0),0)</f>
        <v>0</v>
      </c>
      <c r="W415" s="203"/>
      <c r="X415" s="49"/>
      <c r="Y415" s="50"/>
      <c r="Z415" s="51"/>
      <c r="AA415" s="52"/>
      <c r="AB415" s="53" t="str">
        <f t="shared" si="97"/>
        <v/>
      </c>
      <c r="AC415" s="48" t="str">
        <f t="shared" si="98"/>
        <v/>
      </c>
      <c r="AD415" s="54" t="str">
        <f t="shared" si="99"/>
        <v/>
      </c>
      <c r="AE415" s="55">
        <f t="shared" si="100"/>
        <v>0</v>
      </c>
      <c r="AF415" s="55">
        <f t="shared" si="101"/>
        <v>0</v>
      </c>
      <c r="AG415" s="58">
        <f t="shared" si="102"/>
        <v>0</v>
      </c>
      <c r="AH415" s="203"/>
      <c r="AJ415" s="203"/>
      <c r="AL415" s="203"/>
      <c r="AM415" s="203" t="str">
        <f t="shared" si="103"/>
        <v/>
      </c>
    </row>
    <row r="416" spans="1:39" s="56" customFormat="1" ht="14.25">
      <c r="A416" s="44"/>
      <c r="B416" s="45"/>
      <c r="C416" s="46">
        <f>IF(B416&lt;&gt;"",VLOOKUP(B416,'Tipo Projeto'!$A$3:$B$35,2,0),0)</f>
        <v>0</v>
      </c>
      <c r="D416" s="203"/>
      <c r="E416" s="203"/>
      <c r="F416" s="48"/>
      <c r="G416" s="203"/>
      <c r="H416" s="49"/>
      <c r="I416" s="50"/>
      <c r="J416" s="51"/>
      <c r="K416" s="52"/>
      <c r="L416" s="53" t="str">
        <f t="shared" si="91"/>
        <v/>
      </c>
      <c r="M416" s="48" t="str">
        <f t="shared" si="92"/>
        <v/>
      </c>
      <c r="N416" s="54" t="str">
        <f t="shared" si="93"/>
        <v/>
      </c>
      <c r="O416" s="55">
        <f t="shared" si="94"/>
        <v>0</v>
      </c>
      <c r="P416" s="55">
        <f t="shared" si="95"/>
        <v>0</v>
      </c>
      <c r="Q416" s="54">
        <f t="shared" si="96"/>
        <v>0</v>
      </c>
      <c r="R416" s="203"/>
      <c r="T416" s="57"/>
      <c r="U416" s="45"/>
      <c r="V416" s="46">
        <f>IF(U416&lt;&gt;"",VLOOKUP(U416,'Tipo Projeto'!$A$3:$B$35,2,0),0)</f>
        <v>0</v>
      </c>
      <c r="W416" s="203"/>
      <c r="X416" s="49"/>
      <c r="Y416" s="50"/>
      <c r="Z416" s="51"/>
      <c r="AA416" s="52"/>
      <c r="AB416" s="53" t="str">
        <f t="shared" si="97"/>
        <v/>
      </c>
      <c r="AC416" s="48" t="str">
        <f t="shared" si="98"/>
        <v/>
      </c>
      <c r="AD416" s="54" t="str">
        <f t="shared" si="99"/>
        <v/>
      </c>
      <c r="AE416" s="55">
        <f t="shared" si="100"/>
        <v>0</v>
      </c>
      <c r="AF416" s="55">
        <f t="shared" si="101"/>
        <v>0</v>
      </c>
      <c r="AG416" s="58">
        <f t="shared" si="102"/>
        <v>0</v>
      </c>
      <c r="AH416" s="203"/>
      <c r="AJ416" s="203"/>
      <c r="AL416" s="203"/>
      <c r="AM416" s="203" t="str">
        <f t="shared" si="103"/>
        <v/>
      </c>
    </row>
    <row r="417" spans="1:39" s="56" customFormat="1" ht="14.25">
      <c r="A417" s="44"/>
      <c r="B417" s="45"/>
      <c r="C417" s="46">
        <f>IF(B417&lt;&gt;"",VLOOKUP(B417,'Tipo Projeto'!$A$3:$B$35,2,0),0)</f>
        <v>0</v>
      </c>
      <c r="D417" s="203"/>
      <c r="E417" s="203"/>
      <c r="F417" s="48"/>
      <c r="G417" s="203"/>
      <c r="H417" s="49"/>
      <c r="I417" s="50"/>
      <c r="J417" s="51"/>
      <c r="K417" s="52"/>
      <c r="L417" s="53" t="str">
        <f t="shared" si="91"/>
        <v/>
      </c>
      <c r="M417" s="48" t="str">
        <f t="shared" si="92"/>
        <v/>
      </c>
      <c r="N417" s="54" t="str">
        <f t="shared" si="93"/>
        <v/>
      </c>
      <c r="O417" s="55">
        <f t="shared" si="94"/>
        <v>0</v>
      </c>
      <c r="P417" s="55">
        <f t="shared" si="95"/>
        <v>0</v>
      </c>
      <c r="Q417" s="54">
        <f t="shared" si="96"/>
        <v>0</v>
      </c>
      <c r="R417" s="203"/>
      <c r="T417" s="57"/>
      <c r="U417" s="45"/>
      <c r="V417" s="46">
        <f>IF(U417&lt;&gt;"",VLOOKUP(U417,'Tipo Projeto'!$A$3:$B$35,2,0),0)</f>
        <v>0</v>
      </c>
      <c r="W417" s="203"/>
      <c r="X417" s="49"/>
      <c r="Y417" s="50"/>
      <c r="Z417" s="51"/>
      <c r="AA417" s="52"/>
      <c r="AB417" s="53" t="str">
        <f t="shared" si="97"/>
        <v/>
      </c>
      <c r="AC417" s="48" t="str">
        <f t="shared" si="98"/>
        <v/>
      </c>
      <c r="AD417" s="54" t="str">
        <f t="shared" si="99"/>
        <v/>
      </c>
      <c r="AE417" s="55">
        <f t="shared" si="100"/>
        <v>0</v>
      </c>
      <c r="AF417" s="55">
        <f t="shared" si="101"/>
        <v>0</v>
      </c>
      <c r="AG417" s="58">
        <f t="shared" si="102"/>
        <v>0</v>
      </c>
      <c r="AH417" s="203"/>
      <c r="AJ417" s="203"/>
      <c r="AL417" s="203"/>
      <c r="AM417" s="203" t="str">
        <f t="shared" si="103"/>
        <v/>
      </c>
    </row>
    <row r="418" spans="1:39" s="56" customFormat="1" ht="14.25">
      <c r="A418" s="44"/>
      <c r="B418" s="45"/>
      <c r="C418" s="46">
        <f>IF(B418&lt;&gt;"",VLOOKUP(B418,'Tipo Projeto'!$A$3:$B$35,2,0),0)</f>
        <v>0</v>
      </c>
      <c r="D418" s="203"/>
      <c r="E418" s="203"/>
      <c r="F418" s="48"/>
      <c r="G418" s="203"/>
      <c r="H418" s="49"/>
      <c r="I418" s="50"/>
      <c r="J418" s="51"/>
      <c r="K418" s="52"/>
      <c r="L418" s="53" t="str">
        <f t="shared" si="91"/>
        <v/>
      </c>
      <c r="M418" s="48" t="str">
        <f t="shared" si="92"/>
        <v/>
      </c>
      <c r="N418" s="54" t="str">
        <f t="shared" si="93"/>
        <v/>
      </c>
      <c r="O418" s="55">
        <f t="shared" si="94"/>
        <v>0</v>
      </c>
      <c r="P418" s="55">
        <f t="shared" si="95"/>
        <v>0</v>
      </c>
      <c r="Q418" s="54">
        <f t="shared" si="96"/>
        <v>0</v>
      </c>
      <c r="R418" s="203"/>
      <c r="T418" s="57"/>
      <c r="U418" s="45"/>
      <c r="V418" s="46">
        <f>IF(U418&lt;&gt;"",VLOOKUP(U418,'Tipo Projeto'!$A$3:$B$35,2,0),0)</f>
        <v>0</v>
      </c>
      <c r="W418" s="203"/>
      <c r="X418" s="49"/>
      <c r="Y418" s="50"/>
      <c r="Z418" s="51"/>
      <c r="AA418" s="52"/>
      <c r="AB418" s="53" t="str">
        <f t="shared" si="97"/>
        <v/>
      </c>
      <c r="AC418" s="48" t="str">
        <f t="shared" si="98"/>
        <v/>
      </c>
      <c r="AD418" s="54" t="str">
        <f t="shared" si="99"/>
        <v/>
      </c>
      <c r="AE418" s="55">
        <f t="shared" si="100"/>
        <v>0</v>
      </c>
      <c r="AF418" s="55">
        <f t="shared" si="101"/>
        <v>0</v>
      </c>
      <c r="AG418" s="58">
        <f t="shared" si="102"/>
        <v>0</v>
      </c>
      <c r="AH418" s="203"/>
      <c r="AJ418" s="203"/>
      <c r="AL418" s="203"/>
      <c r="AM418" s="203" t="str">
        <f t="shared" si="103"/>
        <v/>
      </c>
    </row>
    <row r="419" spans="1:39" s="56" customFormat="1" ht="14.25">
      <c r="A419" s="44"/>
      <c r="B419" s="45"/>
      <c r="C419" s="46">
        <f>IF(B419&lt;&gt;"",VLOOKUP(B419,'Tipo Projeto'!$A$3:$B$35,2,0),0)</f>
        <v>0</v>
      </c>
      <c r="D419" s="203"/>
      <c r="E419" s="203"/>
      <c r="F419" s="48"/>
      <c r="G419" s="203"/>
      <c r="H419" s="49"/>
      <c r="I419" s="50"/>
      <c r="J419" s="51"/>
      <c r="K419" s="52"/>
      <c r="L419" s="53" t="str">
        <f t="shared" si="91"/>
        <v/>
      </c>
      <c r="M419" s="48" t="str">
        <f t="shared" si="92"/>
        <v/>
      </c>
      <c r="N419" s="54" t="str">
        <f t="shared" si="93"/>
        <v/>
      </c>
      <c r="O419" s="55">
        <f t="shared" si="94"/>
        <v>0</v>
      </c>
      <c r="P419" s="55">
        <f t="shared" si="95"/>
        <v>0</v>
      </c>
      <c r="Q419" s="54">
        <f t="shared" si="96"/>
        <v>0</v>
      </c>
      <c r="R419" s="203"/>
      <c r="T419" s="57"/>
      <c r="U419" s="45"/>
      <c r="V419" s="46">
        <f>IF(U419&lt;&gt;"",VLOOKUP(U419,'Tipo Projeto'!$A$3:$B$35,2,0),0)</f>
        <v>0</v>
      </c>
      <c r="W419" s="203"/>
      <c r="X419" s="49"/>
      <c r="Y419" s="50"/>
      <c r="Z419" s="51"/>
      <c r="AA419" s="52"/>
      <c r="AB419" s="53" t="str">
        <f t="shared" si="97"/>
        <v/>
      </c>
      <c r="AC419" s="48" t="str">
        <f t="shared" si="98"/>
        <v/>
      </c>
      <c r="AD419" s="54" t="str">
        <f t="shared" si="99"/>
        <v/>
      </c>
      <c r="AE419" s="55">
        <f t="shared" si="100"/>
        <v>0</v>
      </c>
      <c r="AF419" s="55">
        <f t="shared" si="101"/>
        <v>0</v>
      </c>
      <c r="AG419" s="58">
        <f t="shared" si="102"/>
        <v>0</v>
      </c>
      <c r="AH419" s="203"/>
      <c r="AJ419" s="203"/>
      <c r="AL419" s="203"/>
      <c r="AM419" s="203" t="str">
        <f t="shared" si="103"/>
        <v/>
      </c>
    </row>
    <row r="420" spans="1:39" s="56" customFormat="1" ht="14.25">
      <c r="A420" s="44"/>
      <c r="B420" s="45"/>
      <c r="C420" s="46">
        <f>IF(B420&lt;&gt;"",VLOOKUP(B420,'Tipo Projeto'!$A$3:$B$35,2,0),0)</f>
        <v>0</v>
      </c>
      <c r="D420" s="203"/>
      <c r="E420" s="203"/>
      <c r="F420" s="48"/>
      <c r="G420" s="203"/>
      <c r="H420" s="49"/>
      <c r="I420" s="50"/>
      <c r="J420" s="51"/>
      <c r="K420" s="52"/>
      <c r="L420" s="53" t="str">
        <f t="shared" si="91"/>
        <v/>
      </c>
      <c r="M420" s="48" t="str">
        <f t="shared" si="92"/>
        <v/>
      </c>
      <c r="N420" s="54" t="str">
        <f t="shared" si="93"/>
        <v/>
      </c>
      <c r="O420" s="55">
        <f t="shared" si="94"/>
        <v>0</v>
      </c>
      <c r="P420" s="55">
        <f t="shared" si="95"/>
        <v>0</v>
      </c>
      <c r="Q420" s="54">
        <f t="shared" si="96"/>
        <v>0</v>
      </c>
      <c r="R420" s="203"/>
      <c r="T420" s="57"/>
      <c r="U420" s="45"/>
      <c r="V420" s="46">
        <f>IF(U420&lt;&gt;"",VLOOKUP(U420,'Tipo Projeto'!$A$3:$B$35,2,0),0)</f>
        <v>0</v>
      </c>
      <c r="W420" s="203"/>
      <c r="X420" s="49"/>
      <c r="Y420" s="50"/>
      <c r="Z420" s="51"/>
      <c r="AA420" s="52"/>
      <c r="AB420" s="53" t="str">
        <f t="shared" si="97"/>
        <v/>
      </c>
      <c r="AC420" s="48" t="str">
        <f t="shared" si="98"/>
        <v/>
      </c>
      <c r="AD420" s="54" t="str">
        <f t="shared" si="99"/>
        <v/>
      </c>
      <c r="AE420" s="55">
        <f t="shared" si="100"/>
        <v>0</v>
      </c>
      <c r="AF420" s="55">
        <f t="shared" si="101"/>
        <v>0</v>
      </c>
      <c r="AG420" s="58">
        <f t="shared" si="102"/>
        <v>0</v>
      </c>
      <c r="AH420" s="203"/>
      <c r="AJ420" s="203"/>
      <c r="AL420" s="203"/>
      <c r="AM420" s="203" t="str">
        <f t="shared" si="103"/>
        <v/>
      </c>
    </row>
    <row r="421" spans="1:39" s="56" customFormat="1" ht="14.25">
      <c r="A421" s="44"/>
      <c r="B421" s="45"/>
      <c r="C421" s="46">
        <f>IF(B421&lt;&gt;"",VLOOKUP(B421,'Tipo Projeto'!$A$3:$B$35,2,0),0)</f>
        <v>0</v>
      </c>
      <c r="D421" s="203"/>
      <c r="E421" s="203"/>
      <c r="F421" s="48"/>
      <c r="G421" s="203"/>
      <c r="H421" s="49"/>
      <c r="I421" s="50"/>
      <c r="J421" s="51"/>
      <c r="K421" s="52"/>
      <c r="L421" s="53" t="str">
        <f t="shared" si="91"/>
        <v/>
      </c>
      <c r="M421" s="48" t="str">
        <f t="shared" si="92"/>
        <v/>
      </c>
      <c r="N421" s="54" t="str">
        <f t="shared" si="93"/>
        <v/>
      </c>
      <c r="O421" s="55">
        <f t="shared" si="94"/>
        <v>0</v>
      </c>
      <c r="P421" s="55">
        <f t="shared" si="95"/>
        <v>0</v>
      </c>
      <c r="Q421" s="54">
        <f t="shared" si="96"/>
        <v>0</v>
      </c>
      <c r="R421" s="203"/>
      <c r="T421" s="57"/>
      <c r="U421" s="45"/>
      <c r="V421" s="46">
        <f>IF(U421&lt;&gt;"",VLOOKUP(U421,'Tipo Projeto'!$A$3:$B$35,2,0),0)</f>
        <v>0</v>
      </c>
      <c r="W421" s="203"/>
      <c r="X421" s="49"/>
      <c r="Y421" s="50"/>
      <c r="Z421" s="51"/>
      <c r="AA421" s="52"/>
      <c r="AB421" s="53" t="str">
        <f t="shared" si="97"/>
        <v/>
      </c>
      <c r="AC421" s="48" t="str">
        <f t="shared" si="98"/>
        <v/>
      </c>
      <c r="AD421" s="54" t="str">
        <f t="shared" si="99"/>
        <v/>
      </c>
      <c r="AE421" s="55">
        <f t="shared" si="100"/>
        <v>0</v>
      </c>
      <c r="AF421" s="55">
        <f t="shared" si="101"/>
        <v>0</v>
      </c>
      <c r="AG421" s="58">
        <f t="shared" si="102"/>
        <v>0</v>
      </c>
      <c r="AH421" s="203"/>
      <c r="AJ421" s="203"/>
      <c r="AL421" s="203"/>
      <c r="AM421" s="203" t="str">
        <f t="shared" si="103"/>
        <v/>
      </c>
    </row>
    <row r="422" spans="1:39" s="56" customFormat="1" ht="14.25">
      <c r="A422" s="44"/>
      <c r="B422" s="45"/>
      <c r="C422" s="46">
        <f>IF(B422&lt;&gt;"",VLOOKUP(B422,'Tipo Projeto'!$A$3:$B$35,2,0),0)</f>
        <v>0</v>
      </c>
      <c r="D422" s="203"/>
      <c r="E422" s="203"/>
      <c r="F422" s="48"/>
      <c r="G422" s="203"/>
      <c r="H422" s="49"/>
      <c r="I422" s="50"/>
      <c r="J422" s="51"/>
      <c r="K422" s="52"/>
      <c r="L422" s="53" t="str">
        <f t="shared" si="91"/>
        <v/>
      </c>
      <c r="M422" s="48" t="str">
        <f t="shared" si="92"/>
        <v/>
      </c>
      <c r="N422" s="54" t="str">
        <f t="shared" si="93"/>
        <v/>
      </c>
      <c r="O422" s="55">
        <f t="shared" si="94"/>
        <v>0</v>
      </c>
      <c r="P422" s="55">
        <f t="shared" si="95"/>
        <v>0</v>
      </c>
      <c r="Q422" s="54">
        <f t="shared" si="96"/>
        <v>0</v>
      </c>
      <c r="R422" s="203"/>
      <c r="T422" s="57"/>
      <c r="U422" s="45"/>
      <c r="V422" s="46">
        <f>IF(U422&lt;&gt;"",VLOOKUP(U422,'Tipo Projeto'!$A$3:$B$35,2,0),0)</f>
        <v>0</v>
      </c>
      <c r="W422" s="203"/>
      <c r="X422" s="49"/>
      <c r="Y422" s="50"/>
      <c r="Z422" s="51"/>
      <c r="AA422" s="52"/>
      <c r="AB422" s="53" t="str">
        <f t="shared" si="97"/>
        <v/>
      </c>
      <c r="AC422" s="48" t="str">
        <f t="shared" si="98"/>
        <v/>
      </c>
      <c r="AD422" s="54" t="str">
        <f t="shared" si="99"/>
        <v/>
      </c>
      <c r="AE422" s="55">
        <f t="shared" si="100"/>
        <v>0</v>
      </c>
      <c r="AF422" s="55">
        <f t="shared" si="101"/>
        <v>0</v>
      </c>
      <c r="AG422" s="58">
        <f t="shared" si="102"/>
        <v>0</v>
      </c>
      <c r="AH422" s="203"/>
      <c r="AJ422" s="203"/>
      <c r="AL422" s="203"/>
      <c r="AM422" s="203" t="str">
        <f t="shared" si="103"/>
        <v/>
      </c>
    </row>
    <row r="423" spans="1:39" s="56" customFormat="1" ht="14.25">
      <c r="A423" s="44"/>
      <c r="B423" s="45"/>
      <c r="C423" s="46">
        <f>IF(B423&lt;&gt;"",VLOOKUP(B423,'Tipo Projeto'!$A$3:$B$35,2,0),0)</f>
        <v>0</v>
      </c>
      <c r="D423" s="203"/>
      <c r="E423" s="203"/>
      <c r="F423" s="48"/>
      <c r="G423" s="203"/>
      <c r="H423" s="49"/>
      <c r="I423" s="50"/>
      <c r="J423" s="51"/>
      <c r="K423" s="52"/>
      <c r="L423" s="53" t="str">
        <f t="shared" si="91"/>
        <v/>
      </c>
      <c r="M423" s="48" t="str">
        <f t="shared" si="92"/>
        <v/>
      </c>
      <c r="N423" s="54" t="str">
        <f t="shared" si="93"/>
        <v/>
      </c>
      <c r="O423" s="55">
        <f t="shared" si="94"/>
        <v>0</v>
      </c>
      <c r="P423" s="55">
        <f t="shared" si="95"/>
        <v>0</v>
      </c>
      <c r="Q423" s="54">
        <f t="shared" si="96"/>
        <v>0</v>
      </c>
      <c r="R423" s="203"/>
      <c r="T423" s="57"/>
      <c r="U423" s="45"/>
      <c r="V423" s="46">
        <f>IF(U423&lt;&gt;"",VLOOKUP(U423,'Tipo Projeto'!$A$3:$B$35,2,0),0)</f>
        <v>0</v>
      </c>
      <c r="W423" s="203"/>
      <c r="X423" s="49"/>
      <c r="Y423" s="50"/>
      <c r="Z423" s="51"/>
      <c r="AA423" s="52"/>
      <c r="AB423" s="53" t="str">
        <f t="shared" si="97"/>
        <v/>
      </c>
      <c r="AC423" s="48" t="str">
        <f t="shared" si="98"/>
        <v/>
      </c>
      <c r="AD423" s="54" t="str">
        <f t="shared" si="99"/>
        <v/>
      </c>
      <c r="AE423" s="55">
        <f t="shared" si="100"/>
        <v>0</v>
      </c>
      <c r="AF423" s="55">
        <f t="shared" si="101"/>
        <v>0</v>
      </c>
      <c r="AG423" s="58">
        <f t="shared" si="102"/>
        <v>0</v>
      </c>
      <c r="AH423" s="203"/>
      <c r="AJ423" s="203"/>
      <c r="AL423" s="203"/>
      <c r="AM423" s="203" t="str">
        <f t="shared" si="103"/>
        <v/>
      </c>
    </row>
    <row r="424" spans="1:39" s="56" customFormat="1" ht="14.25">
      <c r="A424" s="44"/>
      <c r="B424" s="45"/>
      <c r="C424" s="46">
        <f>IF(B424&lt;&gt;"",VLOOKUP(B424,'Tipo Projeto'!$A$3:$B$35,2,0),0)</f>
        <v>0</v>
      </c>
      <c r="D424" s="203"/>
      <c r="E424" s="203"/>
      <c r="F424" s="48"/>
      <c r="G424" s="203"/>
      <c r="H424" s="49"/>
      <c r="I424" s="50"/>
      <c r="J424" s="51"/>
      <c r="K424" s="52"/>
      <c r="L424" s="53" t="str">
        <f t="shared" si="91"/>
        <v/>
      </c>
      <c r="M424" s="48" t="str">
        <f t="shared" si="92"/>
        <v/>
      </c>
      <c r="N424" s="54" t="str">
        <f t="shared" si="93"/>
        <v/>
      </c>
      <c r="O424" s="55">
        <f t="shared" si="94"/>
        <v>0</v>
      </c>
      <c r="P424" s="55">
        <f t="shared" si="95"/>
        <v>0</v>
      </c>
      <c r="Q424" s="54">
        <f t="shared" si="96"/>
        <v>0</v>
      </c>
      <c r="R424" s="203"/>
      <c r="T424" s="57"/>
      <c r="U424" s="45"/>
      <c r="V424" s="46">
        <f>IF(U424&lt;&gt;"",VLOOKUP(U424,'Tipo Projeto'!$A$3:$B$35,2,0),0)</f>
        <v>0</v>
      </c>
      <c r="W424" s="203"/>
      <c r="X424" s="49"/>
      <c r="Y424" s="50"/>
      <c r="Z424" s="51"/>
      <c r="AA424" s="52"/>
      <c r="AB424" s="53" t="str">
        <f t="shared" si="97"/>
        <v/>
      </c>
      <c r="AC424" s="48" t="str">
        <f t="shared" si="98"/>
        <v/>
      </c>
      <c r="AD424" s="54" t="str">
        <f t="shared" si="99"/>
        <v/>
      </c>
      <c r="AE424" s="55">
        <f t="shared" si="100"/>
        <v>0</v>
      </c>
      <c r="AF424" s="55">
        <f t="shared" si="101"/>
        <v>0</v>
      </c>
      <c r="AG424" s="58">
        <f t="shared" si="102"/>
        <v>0</v>
      </c>
      <c r="AH424" s="203"/>
      <c r="AJ424" s="203"/>
      <c r="AL424" s="203"/>
      <c r="AM424" s="203" t="str">
        <f t="shared" si="103"/>
        <v/>
      </c>
    </row>
    <row r="425" spans="1:39" s="56" customFormat="1" ht="14.25">
      <c r="A425" s="44"/>
      <c r="B425" s="45"/>
      <c r="C425" s="46">
        <f>IF(B425&lt;&gt;"",VLOOKUP(B425,'Tipo Projeto'!$A$3:$B$35,2,0),0)</f>
        <v>0</v>
      </c>
      <c r="D425" s="203"/>
      <c r="E425" s="203"/>
      <c r="F425" s="48"/>
      <c r="G425" s="203"/>
      <c r="H425" s="49"/>
      <c r="I425" s="50"/>
      <c r="J425" s="51"/>
      <c r="K425" s="52"/>
      <c r="L425" s="53" t="str">
        <f t="shared" si="91"/>
        <v/>
      </c>
      <c r="M425" s="48" t="str">
        <f t="shared" si="92"/>
        <v/>
      </c>
      <c r="N425" s="54" t="str">
        <f t="shared" si="93"/>
        <v/>
      </c>
      <c r="O425" s="55">
        <f t="shared" si="94"/>
        <v>0</v>
      </c>
      <c r="P425" s="55">
        <f t="shared" si="95"/>
        <v>0</v>
      </c>
      <c r="Q425" s="54">
        <f t="shared" si="96"/>
        <v>0</v>
      </c>
      <c r="R425" s="203"/>
      <c r="T425" s="57"/>
      <c r="U425" s="45"/>
      <c r="V425" s="46">
        <f>IF(U425&lt;&gt;"",VLOOKUP(U425,'Tipo Projeto'!$A$3:$B$35,2,0),0)</f>
        <v>0</v>
      </c>
      <c r="W425" s="203"/>
      <c r="X425" s="49"/>
      <c r="Y425" s="50"/>
      <c r="Z425" s="51"/>
      <c r="AA425" s="52"/>
      <c r="AB425" s="53" t="str">
        <f t="shared" si="97"/>
        <v/>
      </c>
      <c r="AC425" s="48" t="str">
        <f t="shared" si="98"/>
        <v/>
      </c>
      <c r="AD425" s="54" t="str">
        <f t="shared" si="99"/>
        <v/>
      </c>
      <c r="AE425" s="55">
        <f t="shared" si="100"/>
        <v>0</v>
      </c>
      <c r="AF425" s="55">
        <f t="shared" si="101"/>
        <v>0</v>
      </c>
      <c r="AG425" s="58">
        <f t="shared" si="102"/>
        <v>0</v>
      </c>
      <c r="AH425" s="203"/>
      <c r="AJ425" s="203"/>
      <c r="AL425" s="203"/>
      <c r="AM425" s="203" t="str">
        <f t="shared" si="103"/>
        <v/>
      </c>
    </row>
    <row r="426" spans="1:39" s="56" customFormat="1" ht="14.25">
      <c r="A426" s="44"/>
      <c r="B426" s="45"/>
      <c r="C426" s="46">
        <f>IF(B426&lt;&gt;"",VLOOKUP(B426,'Tipo Projeto'!$A$3:$B$35,2,0),0)</f>
        <v>0</v>
      </c>
      <c r="D426" s="203"/>
      <c r="E426" s="203"/>
      <c r="F426" s="48"/>
      <c r="G426" s="203"/>
      <c r="H426" s="49"/>
      <c r="I426" s="50"/>
      <c r="J426" s="51"/>
      <c r="K426" s="52"/>
      <c r="L426" s="53" t="str">
        <f t="shared" si="91"/>
        <v/>
      </c>
      <c r="M426" s="48" t="str">
        <f t="shared" si="92"/>
        <v/>
      </c>
      <c r="N426" s="54" t="str">
        <f t="shared" si="93"/>
        <v/>
      </c>
      <c r="O426" s="55">
        <f t="shared" si="94"/>
        <v>0</v>
      </c>
      <c r="P426" s="55">
        <f t="shared" si="95"/>
        <v>0</v>
      </c>
      <c r="Q426" s="54">
        <f t="shared" si="96"/>
        <v>0</v>
      </c>
      <c r="R426" s="203"/>
      <c r="T426" s="57"/>
      <c r="U426" s="45"/>
      <c r="V426" s="46">
        <f>IF(U426&lt;&gt;"",VLOOKUP(U426,'Tipo Projeto'!$A$3:$B$35,2,0),0)</f>
        <v>0</v>
      </c>
      <c r="W426" s="203"/>
      <c r="X426" s="49"/>
      <c r="Y426" s="50"/>
      <c r="Z426" s="51"/>
      <c r="AA426" s="52"/>
      <c r="AB426" s="53" t="str">
        <f t="shared" si="97"/>
        <v/>
      </c>
      <c r="AC426" s="48" t="str">
        <f t="shared" si="98"/>
        <v/>
      </c>
      <c r="AD426" s="54" t="str">
        <f t="shared" si="99"/>
        <v/>
      </c>
      <c r="AE426" s="55">
        <f t="shared" si="100"/>
        <v>0</v>
      </c>
      <c r="AF426" s="55">
        <f t="shared" si="101"/>
        <v>0</v>
      </c>
      <c r="AG426" s="58">
        <f t="shared" si="102"/>
        <v>0</v>
      </c>
      <c r="AH426" s="203"/>
      <c r="AJ426" s="203"/>
      <c r="AL426" s="203"/>
      <c r="AM426" s="203" t="str">
        <f t="shared" si="103"/>
        <v/>
      </c>
    </row>
    <row r="427" spans="1:39" s="56" customFormat="1" ht="14.25">
      <c r="A427" s="44"/>
      <c r="B427" s="45"/>
      <c r="C427" s="46">
        <f>IF(B427&lt;&gt;"",VLOOKUP(B427,'Tipo Projeto'!$A$3:$B$35,2,0),0)</f>
        <v>0</v>
      </c>
      <c r="D427" s="203"/>
      <c r="E427" s="203"/>
      <c r="F427" s="48"/>
      <c r="G427" s="203"/>
      <c r="H427" s="49"/>
      <c r="I427" s="50"/>
      <c r="J427" s="51"/>
      <c r="K427" s="52"/>
      <c r="L427" s="53" t="str">
        <f t="shared" si="91"/>
        <v/>
      </c>
      <c r="M427" s="48" t="str">
        <f t="shared" si="92"/>
        <v/>
      </c>
      <c r="N427" s="54" t="str">
        <f t="shared" si="93"/>
        <v/>
      </c>
      <c r="O427" s="55">
        <f t="shared" si="94"/>
        <v>0</v>
      </c>
      <c r="P427" s="55">
        <f t="shared" si="95"/>
        <v>0</v>
      </c>
      <c r="Q427" s="54">
        <f t="shared" si="96"/>
        <v>0</v>
      </c>
      <c r="R427" s="203"/>
      <c r="T427" s="57"/>
      <c r="U427" s="45"/>
      <c r="V427" s="46">
        <f>IF(U427&lt;&gt;"",VLOOKUP(U427,'Tipo Projeto'!$A$3:$B$35,2,0),0)</f>
        <v>0</v>
      </c>
      <c r="W427" s="203"/>
      <c r="X427" s="49"/>
      <c r="Y427" s="50"/>
      <c r="Z427" s="51"/>
      <c r="AA427" s="52"/>
      <c r="AB427" s="53" t="str">
        <f t="shared" si="97"/>
        <v/>
      </c>
      <c r="AC427" s="48" t="str">
        <f t="shared" si="98"/>
        <v/>
      </c>
      <c r="AD427" s="54" t="str">
        <f t="shared" si="99"/>
        <v/>
      </c>
      <c r="AE427" s="55">
        <f t="shared" si="100"/>
        <v>0</v>
      </c>
      <c r="AF427" s="55">
        <f t="shared" si="101"/>
        <v>0</v>
      </c>
      <c r="AG427" s="58">
        <f t="shared" si="102"/>
        <v>0</v>
      </c>
      <c r="AH427" s="203"/>
      <c r="AJ427" s="203"/>
      <c r="AL427" s="203"/>
      <c r="AM427" s="203" t="str">
        <f t="shared" si="103"/>
        <v/>
      </c>
    </row>
    <row r="428" spans="1:39" s="56" customFormat="1" ht="14.25">
      <c r="A428" s="44"/>
      <c r="B428" s="45"/>
      <c r="C428" s="46">
        <f>IF(B428&lt;&gt;"",VLOOKUP(B428,'Tipo Projeto'!$A$3:$B$35,2,0),0)</f>
        <v>0</v>
      </c>
      <c r="D428" s="203"/>
      <c r="E428" s="203"/>
      <c r="F428" s="48"/>
      <c r="G428" s="203"/>
      <c r="H428" s="49"/>
      <c r="I428" s="50"/>
      <c r="J428" s="51"/>
      <c r="K428" s="52"/>
      <c r="L428" s="53" t="str">
        <f t="shared" si="91"/>
        <v/>
      </c>
      <c r="M428" s="48" t="str">
        <f t="shared" si="92"/>
        <v/>
      </c>
      <c r="N428" s="54" t="str">
        <f t="shared" si="93"/>
        <v/>
      </c>
      <c r="O428" s="55">
        <f t="shared" si="94"/>
        <v>0</v>
      </c>
      <c r="P428" s="55">
        <f t="shared" si="95"/>
        <v>0</v>
      </c>
      <c r="Q428" s="54">
        <f t="shared" si="96"/>
        <v>0</v>
      </c>
      <c r="R428" s="203"/>
      <c r="T428" s="57"/>
      <c r="U428" s="45"/>
      <c r="V428" s="46">
        <f>IF(U428&lt;&gt;"",VLOOKUP(U428,'Tipo Projeto'!$A$3:$B$35,2,0),0)</f>
        <v>0</v>
      </c>
      <c r="W428" s="203"/>
      <c r="X428" s="49"/>
      <c r="Y428" s="50"/>
      <c r="Z428" s="51"/>
      <c r="AA428" s="52"/>
      <c r="AB428" s="53" t="str">
        <f t="shared" si="97"/>
        <v/>
      </c>
      <c r="AC428" s="48" t="str">
        <f t="shared" si="98"/>
        <v/>
      </c>
      <c r="AD428" s="54" t="str">
        <f t="shared" si="99"/>
        <v/>
      </c>
      <c r="AE428" s="55">
        <f t="shared" si="100"/>
        <v>0</v>
      </c>
      <c r="AF428" s="55">
        <f t="shared" si="101"/>
        <v>0</v>
      </c>
      <c r="AG428" s="58">
        <f t="shared" si="102"/>
        <v>0</v>
      </c>
      <c r="AH428" s="203"/>
      <c r="AJ428" s="203"/>
      <c r="AL428" s="203"/>
      <c r="AM428" s="203" t="str">
        <f t="shared" si="103"/>
        <v/>
      </c>
    </row>
    <row r="429" spans="1:39" s="56" customFormat="1" ht="14.25">
      <c r="A429" s="44"/>
      <c r="B429" s="45"/>
      <c r="C429" s="46">
        <f>IF(B429&lt;&gt;"",VLOOKUP(B429,'Tipo Projeto'!$A$3:$B$35,2,0),0)</f>
        <v>0</v>
      </c>
      <c r="D429" s="203"/>
      <c r="E429" s="203"/>
      <c r="F429" s="48"/>
      <c r="G429" s="203"/>
      <c r="H429" s="49"/>
      <c r="I429" s="50"/>
      <c r="J429" s="51"/>
      <c r="K429" s="52"/>
      <c r="L429" s="53" t="str">
        <f t="shared" si="91"/>
        <v/>
      </c>
      <c r="M429" s="48" t="str">
        <f t="shared" si="92"/>
        <v/>
      </c>
      <c r="N429" s="54" t="str">
        <f t="shared" si="93"/>
        <v/>
      </c>
      <c r="O429" s="55">
        <f t="shared" si="94"/>
        <v>0</v>
      </c>
      <c r="P429" s="55">
        <f t="shared" si="95"/>
        <v>0</v>
      </c>
      <c r="Q429" s="54">
        <f t="shared" si="96"/>
        <v>0</v>
      </c>
      <c r="R429" s="203"/>
      <c r="T429" s="57"/>
      <c r="U429" s="45"/>
      <c r="V429" s="46">
        <f>IF(U429&lt;&gt;"",VLOOKUP(U429,'Tipo Projeto'!$A$3:$B$35,2,0),0)</f>
        <v>0</v>
      </c>
      <c r="W429" s="203"/>
      <c r="X429" s="49"/>
      <c r="Y429" s="50"/>
      <c r="Z429" s="51"/>
      <c r="AA429" s="52"/>
      <c r="AB429" s="53" t="str">
        <f t="shared" si="97"/>
        <v/>
      </c>
      <c r="AC429" s="48" t="str">
        <f t="shared" si="98"/>
        <v/>
      </c>
      <c r="AD429" s="54" t="str">
        <f t="shared" si="99"/>
        <v/>
      </c>
      <c r="AE429" s="55">
        <f t="shared" si="100"/>
        <v>0</v>
      </c>
      <c r="AF429" s="55">
        <f t="shared" si="101"/>
        <v>0</v>
      </c>
      <c r="AG429" s="58">
        <f t="shared" si="102"/>
        <v>0</v>
      </c>
      <c r="AH429" s="203"/>
      <c r="AJ429" s="203"/>
      <c r="AL429" s="203"/>
      <c r="AM429" s="203" t="str">
        <f t="shared" si="103"/>
        <v/>
      </c>
    </row>
    <row r="430" spans="1:39" s="56" customFormat="1" ht="14.25">
      <c r="A430" s="44"/>
      <c r="B430" s="45"/>
      <c r="C430" s="46">
        <f>IF(B430&lt;&gt;"",VLOOKUP(B430,'Tipo Projeto'!$A$3:$B$35,2,0),0)</f>
        <v>0</v>
      </c>
      <c r="D430" s="203"/>
      <c r="E430" s="203"/>
      <c r="F430" s="48"/>
      <c r="G430" s="203"/>
      <c r="H430" s="49"/>
      <c r="I430" s="50"/>
      <c r="J430" s="51"/>
      <c r="K430" s="52"/>
      <c r="L430" s="53" t="str">
        <f t="shared" si="91"/>
        <v/>
      </c>
      <c r="M430" s="48" t="str">
        <f t="shared" si="92"/>
        <v/>
      </c>
      <c r="N430" s="54" t="str">
        <f t="shared" si="93"/>
        <v/>
      </c>
      <c r="O430" s="55">
        <f t="shared" si="94"/>
        <v>0</v>
      </c>
      <c r="P430" s="55">
        <f t="shared" si="95"/>
        <v>0</v>
      </c>
      <c r="Q430" s="54">
        <f t="shared" si="96"/>
        <v>0</v>
      </c>
      <c r="R430" s="203"/>
      <c r="T430" s="57"/>
      <c r="U430" s="45"/>
      <c r="V430" s="46">
        <f>IF(U430&lt;&gt;"",VLOOKUP(U430,'Tipo Projeto'!$A$3:$B$35,2,0),0)</f>
        <v>0</v>
      </c>
      <c r="W430" s="203"/>
      <c r="X430" s="49"/>
      <c r="Y430" s="50"/>
      <c r="Z430" s="51"/>
      <c r="AA430" s="52"/>
      <c r="AB430" s="53" t="str">
        <f t="shared" si="97"/>
        <v/>
      </c>
      <c r="AC430" s="48" t="str">
        <f t="shared" si="98"/>
        <v/>
      </c>
      <c r="AD430" s="54" t="str">
        <f t="shared" si="99"/>
        <v/>
      </c>
      <c r="AE430" s="55">
        <f t="shared" si="100"/>
        <v>0</v>
      </c>
      <c r="AF430" s="55">
        <f t="shared" si="101"/>
        <v>0</v>
      </c>
      <c r="AG430" s="58">
        <f t="shared" si="102"/>
        <v>0</v>
      </c>
      <c r="AH430" s="203"/>
      <c r="AJ430" s="203"/>
      <c r="AL430" s="203"/>
      <c r="AM430" s="203" t="str">
        <f t="shared" si="103"/>
        <v/>
      </c>
    </row>
    <row r="431" spans="1:39" s="56" customFormat="1" ht="14.25">
      <c r="A431" s="44"/>
      <c r="B431" s="45"/>
      <c r="C431" s="46">
        <f>IF(B431&lt;&gt;"",VLOOKUP(B431,'Tipo Projeto'!$A$3:$B$35,2,0),0)</f>
        <v>0</v>
      </c>
      <c r="D431" s="203"/>
      <c r="E431" s="203"/>
      <c r="F431" s="48"/>
      <c r="G431" s="203"/>
      <c r="H431" s="49"/>
      <c r="I431" s="50"/>
      <c r="J431" s="51"/>
      <c r="K431" s="52"/>
      <c r="L431" s="53" t="str">
        <f t="shared" si="91"/>
        <v/>
      </c>
      <c r="M431" s="48" t="str">
        <f t="shared" si="92"/>
        <v/>
      </c>
      <c r="N431" s="54" t="str">
        <f t="shared" si="93"/>
        <v/>
      </c>
      <c r="O431" s="55">
        <f t="shared" si="94"/>
        <v>0</v>
      </c>
      <c r="P431" s="55">
        <f t="shared" si="95"/>
        <v>0</v>
      </c>
      <c r="Q431" s="54">
        <f t="shared" si="96"/>
        <v>0</v>
      </c>
      <c r="R431" s="203"/>
      <c r="T431" s="57"/>
      <c r="U431" s="45"/>
      <c r="V431" s="46">
        <f>IF(U431&lt;&gt;"",VLOOKUP(U431,'Tipo Projeto'!$A$3:$B$35,2,0),0)</f>
        <v>0</v>
      </c>
      <c r="W431" s="203"/>
      <c r="X431" s="49"/>
      <c r="Y431" s="50"/>
      <c r="Z431" s="51"/>
      <c r="AA431" s="52"/>
      <c r="AB431" s="53" t="str">
        <f t="shared" si="97"/>
        <v/>
      </c>
      <c r="AC431" s="48" t="str">
        <f t="shared" si="98"/>
        <v/>
      </c>
      <c r="AD431" s="54" t="str">
        <f t="shared" si="99"/>
        <v/>
      </c>
      <c r="AE431" s="55">
        <f t="shared" si="100"/>
        <v>0</v>
      </c>
      <c r="AF431" s="55">
        <f t="shared" si="101"/>
        <v>0</v>
      </c>
      <c r="AG431" s="58">
        <f t="shared" si="102"/>
        <v>0</v>
      </c>
      <c r="AH431" s="203"/>
      <c r="AJ431" s="203"/>
      <c r="AL431" s="203"/>
      <c r="AM431" s="203" t="str">
        <f t="shared" si="103"/>
        <v/>
      </c>
    </row>
    <row r="432" spans="1:39" s="56" customFormat="1" ht="14.25">
      <c r="A432" s="44"/>
      <c r="B432" s="45"/>
      <c r="C432" s="46">
        <f>IF(B432&lt;&gt;"",VLOOKUP(B432,'Tipo Projeto'!$A$3:$B$35,2,0),0)</f>
        <v>0</v>
      </c>
      <c r="D432" s="203"/>
      <c r="E432" s="203"/>
      <c r="F432" s="48"/>
      <c r="G432" s="203"/>
      <c r="H432" s="49"/>
      <c r="I432" s="50"/>
      <c r="J432" s="51"/>
      <c r="K432" s="52"/>
      <c r="L432" s="53" t="str">
        <f t="shared" si="91"/>
        <v/>
      </c>
      <c r="M432" s="48" t="str">
        <f t="shared" si="92"/>
        <v/>
      </c>
      <c r="N432" s="54" t="str">
        <f t="shared" si="93"/>
        <v/>
      </c>
      <c r="O432" s="55">
        <f t="shared" si="94"/>
        <v>0</v>
      </c>
      <c r="P432" s="55">
        <f t="shared" si="95"/>
        <v>0</v>
      </c>
      <c r="Q432" s="54">
        <f t="shared" si="96"/>
        <v>0</v>
      </c>
      <c r="R432" s="203"/>
      <c r="T432" s="57"/>
      <c r="U432" s="45"/>
      <c r="V432" s="46">
        <f>IF(U432&lt;&gt;"",VLOOKUP(U432,'Tipo Projeto'!$A$3:$B$35,2,0),0)</f>
        <v>0</v>
      </c>
      <c r="W432" s="203"/>
      <c r="X432" s="49"/>
      <c r="Y432" s="50"/>
      <c r="Z432" s="51"/>
      <c r="AA432" s="52"/>
      <c r="AB432" s="53" t="str">
        <f t="shared" si="97"/>
        <v/>
      </c>
      <c r="AC432" s="48" t="str">
        <f t="shared" si="98"/>
        <v/>
      </c>
      <c r="AD432" s="54" t="str">
        <f t="shared" si="99"/>
        <v/>
      </c>
      <c r="AE432" s="55">
        <f t="shared" si="100"/>
        <v>0</v>
      </c>
      <c r="AF432" s="55">
        <f t="shared" si="101"/>
        <v>0</v>
      </c>
      <c r="AG432" s="58">
        <f t="shared" si="102"/>
        <v>0</v>
      </c>
      <c r="AH432" s="203"/>
      <c r="AJ432" s="203"/>
      <c r="AL432" s="203"/>
      <c r="AM432" s="203" t="str">
        <f t="shared" si="103"/>
        <v/>
      </c>
    </row>
    <row r="433" spans="1:39" s="56" customFormat="1" ht="14.25">
      <c r="A433" s="44"/>
      <c r="B433" s="45"/>
      <c r="C433" s="46">
        <f>IF(B433&lt;&gt;"",VLOOKUP(B433,'Tipo Projeto'!$A$3:$B$35,2,0),0)</f>
        <v>0</v>
      </c>
      <c r="D433" s="203"/>
      <c r="E433" s="203"/>
      <c r="F433" s="48"/>
      <c r="G433" s="203"/>
      <c r="H433" s="49"/>
      <c r="I433" s="50"/>
      <c r="J433" s="51"/>
      <c r="K433" s="52"/>
      <c r="L433" s="53" t="str">
        <f t="shared" si="91"/>
        <v/>
      </c>
      <c r="M433" s="48" t="str">
        <f t="shared" si="92"/>
        <v/>
      </c>
      <c r="N433" s="54" t="str">
        <f t="shared" si="93"/>
        <v/>
      </c>
      <c r="O433" s="55">
        <f t="shared" si="94"/>
        <v>0</v>
      </c>
      <c r="P433" s="55">
        <f t="shared" si="95"/>
        <v>0</v>
      </c>
      <c r="Q433" s="54">
        <f t="shared" si="96"/>
        <v>0</v>
      </c>
      <c r="R433" s="203"/>
      <c r="T433" s="57"/>
      <c r="U433" s="45"/>
      <c r="V433" s="46">
        <f>IF(U433&lt;&gt;"",VLOOKUP(U433,'Tipo Projeto'!$A$3:$B$35,2,0),0)</f>
        <v>0</v>
      </c>
      <c r="W433" s="203"/>
      <c r="X433" s="49"/>
      <c r="Y433" s="50"/>
      <c r="Z433" s="51"/>
      <c r="AA433" s="52"/>
      <c r="AB433" s="53" t="str">
        <f t="shared" si="97"/>
        <v/>
      </c>
      <c r="AC433" s="48" t="str">
        <f t="shared" si="98"/>
        <v/>
      </c>
      <c r="AD433" s="54" t="str">
        <f t="shared" si="99"/>
        <v/>
      </c>
      <c r="AE433" s="55">
        <f t="shared" si="100"/>
        <v>0</v>
      </c>
      <c r="AF433" s="55">
        <f t="shared" si="101"/>
        <v>0</v>
      </c>
      <c r="AG433" s="58">
        <f t="shared" si="102"/>
        <v>0</v>
      </c>
      <c r="AH433" s="203"/>
      <c r="AJ433" s="203"/>
      <c r="AL433" s="203"/>
      <c r="AM433" s="203" t="str">
        <f t="shared" si="103"/>
        <v/>
      </c>
    </row>
    <row r="434" spans="1:39" s="56" customFormat="1" ht="14.25">
      <c r="A434" s="44"/>
      <c r="B434" s="45"/>
      <c r="C434" s="46">
        <f>IF(B434&lt;&gt;"",VLOOKUP(B434,'Tipo Projeto'!$A$3:$B$35,2,0),0)</f>
        <v>0</v>
      </c>
      <c r="D434" s="203"/>
      <c r="E434" s="203"/>
      <c r="F434" s="48"/>
      <c r="G434" s="203"/>
      <c r="H434" s="49"/>
      <c r="I434" s="50"/>
      <c r="J434" s="51"/>
      <c r="K434" s="52"/>
      <c r="L434" s="53" t="str">
        <f t="shared" si="91"/>
        <v/>
      </c>
      <c r="M434" s="48" t="str">
        <f t="shared" si="92"/>
        <v/>
      </c>
      <c r="N434" s="54" t="str">
        <f t="shared" si="93"/>
        <v/>
      </c>
      <c r="O434" s="55">
        <f t="shared" si="94"/>
        <v>0</v>
      </c>
      <c r="P434" s="55">
        <f t="shared" si="95"/>
        <v>0</v>
      </c>
      <c r="Q434" s="54">
        <f t="shared" si="96"/>
        <v>0</v>
      </c>
      <c r="R434" s="203"/>
      <c r="T434" s="57"/>
      <c r="U434" s="45"/>
      <c r="V434" s="46">
        <f>IF(U434&lt;&gt;"",VLOOKUP(U434,'Tipo Projeto'!$A$3:$B$35,2,0),0)</f>
        <v>0</v>
      </c>
      <c r="W434" s="203"/>
      <c r="X434" s="49"/>
      <c r="Y434" s="50"/>
      <c r="Z434" s="51"/>
      <c r="AA434" s="52"/>
      <c r="AB434" s="53" t="str">
        <f t="shared" si="97"/>
        <v/>
      </c>
      <c r="AC434" s="48" t="str">
        <f t="shared" si="98"/>
        <v/>
      </c>
      <c r="AD434" s="54" t="str">
        <f t="shared" si="99"/>
        <v/>
      </c>
      <c r="AE434" s="55">
        <f t="shared" si="100"/>
        <v>0</v>
      </c>
      <c r="AF434" s="55">
        <f t="shared" si="101"/>
        <v>0</v>
      </c>
      <c r="AG434" s="58">
        <f t="shared" si="102"/>
        <v>0</v>
      </c>
      <c r="AH434" s="203"/>
      <c r="AJ434" s="203"/>
      <c r="AL434" s="203"/>
      <c r="AM434" s="203" t="str">
        <f t="shared" si="103"/>
        <v/>
      </c>
    </row>
    <row r="435" spans="1:39" s="56" customFormat="1" ht="14.25">
      <c r="A435" s="44"/>
      <c r="B435" s="45"/>
      <c r="C435" s="46">
        <f>IF(B435&lt;&gt;"",VLOOKUP(B435,'Tipo Projeto'!$A$3:$B$35,2,0),0)</f>
        <v>0</v>
      </c>
      <c r="D435" s="203"/>
      <c r="E435" s="203"/>
      <c r="F435" s="48"/>
      <c r="G435" s="203"/>
      <c r="H435" s="49"/>
      <c r="I435" s="50"/>
      <c r="J435" s="51"/>
      <c r="K435" s="52"/>
      <c r="L435" s="53" t="str">
        <f t="shared" si="91"/>
        <v/>
      </c>
      <c r="M435" s="48" t="str">
        <f t="shared" si="92"/>
        <v/>
      </c>
      <c r="N435" s="54" t="str">
        <f t="shared" si="93"/>
        <v/>
      </c>
      <c r="O435" s="55">
        <f t="shared" si="94"/>
        <v>0</v>
      </c>
      <c r="P435" s="55">
        <f t="shared" si="95"/>
        <v>0</v>
      </c>
      <c r="Q435" s="54">
        <f t="shared" si="96"/>
        <v>0</v>
      </c>
      <c r="R435" s="203"/>
      <c r="T435" s="57"/>
      <c r="U435" s="45"/>
      <c r="V435" s="46">
        <f>IF(U435&lt;&gt;"",VLOOKUP(U435,'Tipo Projeto'!$A$3:$B$35,2,0),0)</f>
        <v>0</v>
      </c>
      <c r="W435" s="203"/>
      <c r="X435" s="49"/>
      <c r="Y435" s="50"/>
      <c r="Z435" s="51"/>
      <c r="AA435" s="52"/>
      <c r="AB435" s="53" t="str">
        <f t="shared" si="97"/>
        <v/>
      </c>
      <c r="AC435" s="48" t="str">
        <f t="shared" si="98"/>
        <v/>
      </c>
      <c r="AD435" s="54" t="str">
        <f t="shared" si="99"/>
        <v/>
      </c>
      <c r="AE435" s="55">
        <f t="shared" si="100"/>
        <v>0</v>
      </c>
      <c r="AF435" s="55">
        <f t="shared" si="101"/>
        <v>0</v>
      </c>
      <c r="AG435" s="58">
        <f t="shared" si="102"/>
        <v>0</v>
      </c>
      <c r="AH435" s="203"/>
      <c r="AJ435" s="203"/>
      <c r="AL435" s="203"/>
      <c r="AM435" s="203" t="str">
        <f t="shared" si="103"/>
        <v/>
      </c>
    </row>
    <row r="436" spans="1:39" s="56" customFormat="1" ht="14.25">
      <c r="A436" s="44"/>
      <c r="B436" s="45"/>
      <c r="C436" s="46">
        <f>IF(B436&lt;&gt;"",VLOOKUP(B436,'Tipo Projeto'!$A$3:$B$35,2,0),0)</f>
        <v>0</v>
      </c>
      <c r="D436" s="203"/>
      <c r="E436" s="203"/>
      <c r="F436" s="48"/>
      <c r="G436" s="203"/>
      <c r="H436" s="49"/>
      <c r="I436" s="50"/>
      <c r="J436" s="51"/>
      <c r="K436" s="52"/>
      <c r="L436" s="53" t="str">
        <f t="shared" si="91"/>
        <v/>
      </c>
      <c r="M436" s="48" t="str">
        <f t="shared" si="92"/>
        <v/>
      </c>
      <c r="N436" s="54" t="str">
        <f t="shared" si="93"/>
        <v/>
      </c>
      <c r="O436" s="55">
        <f t="shared" si="94"/>
        <v>0</v>
      </c>
      <c r="P436" s="55">
        <f t="shared" si="95"/>
        <v>0</v>
      </c>
      <c r="Q436" s="54">
        <f t="shared" si="96"/>
        <v>0</v>
      </c>
      <c r="R436" s="203"/>
      <c r="T436" s="57"/>
      <c r="U436" s="45"/>
      <c r="V436" s="46">
        <f>IF(U436&lt;&gt;"",VLOOKUP(U436,'Tipo Projeto'!$A$3:$B$35,2,0),0)</f>
        <v>0</v>
      </c>
      <c r="W436" s="203"/>
      <c r="X436" s="49"/>
      <c r="Y436" s="50"/>
      <c r="Z436" s="51"/>
      <c r="AA436" s="52"/>
      <c r="AB436" s="53" t="str">
        <f t="shared" si="97"/>
        <v/>
      </c>
      <c r="AC436" s="48" t="str">
        <f t="shared" si="98"/>
        <v/>
      </c>
      <c r="AD436" s="54" t="str">
        <f t="shared" si="99"/>
        <v/>
      </c>
      <c r="AE436" s="55">
        <f t="shared" si="100"/>
        <v>0</v>
      </c>
      <c r="AF436" s="55">
        <f t="shared" si="101"/>
        <v>0</v>
      </c>
      <c r="AG436" s="58">
        <f t="shared" si="102"/>
        <v>0</v>
      </c>
      <c r="AH436" s="203"/>
      <c r="AJ436" s="203"/>
      <c r="AL436" s="203"/>
      <c r="AM436" s="203" t="str">
        <f t="shared" si="103"/>
        <v/>
      </c>
    </row>
    <row r="437" spans="1:39" s="56" customFormat="1" ht="14.25">
      <c r="A437" s="44"/>
      <c r="B437" s="45"/>
      <c r="C437" s="46">
        <f>IF(B437&lt;&gt;"",VLOOKUP(B437,'Tipo Projeto'!$A$3:$B$35,2,0),0)</f>
        <v>0</v>
      </c>
      <c r="D437" s="203"/>
      <c r="E437" s="203"/>
      <c r="F437" s="48"/>
      <c r="G437" s="203"/>
      <c r="H437" s="49"/>
      <c r="I437" s="50"/>
      <c r="J437" s="51"/>
      <c r="K437" s="52"/>
      <c r="L437" s="53" t="str">
        <f t="shared" si="91"/>
        <v/>
      </c>
      <c r="M437" s="48" t="str">
        <f t="shared" si="92"/>
        <v/>
      </c>
      <c r="N437" s="54" t="str">
        <f t="shared" si="93"/>
        <v/>
      </c>
      <c r="O437" s="55">
        <f t="shared" si="94"/>
        <v>0</v>
      </c>
      <c r="P437" s="55">
        <f t="shared" si="95"/>
        <v>0</v>
      </c>
      <c r="Q437" s="54">
        <f t="shared" si="96"/>
        <v>0</v>
      </c>
      <c r="R437" s="203"/>
      <c r="T437" s="57"/>
      <c r="U437" s="45"/>
      <c r="V437" s="46">
        <f>IF(U437&lt;&gt;"",VLOOKUP(U437,'Tipo Projeto'!$A$3:$B$35,2,0),0)</f>
        <v>0</v>
      </c>
      <c r="W437" s="203"/>
      <c r="X437" s="49"/>
      <c r="Y437" s="50"/>
      <c r="Z437" s="51"/>
      <c r="AA437" s="52"/>
      <c r="AB437" s="53" t="str">
        <f t="shared" si="97"/>
        <v/>
      </c>
      <c r="AC437" s="48" t="str">
        <f t="shared" si="98"/>
        <v/>
      </c>
      <c r="AD437" s="54" t="str">
        <f t="shared" si="99"/>
        <v/>
      </c>
      <c r="AE437" s="55">
        <f t="shared" si="100"/>
        <v>0</v>
      </c>
      <c r="AF437" s="55">
        <f t="shared" si="101"/>
        <v>0</v>
      </c>
      <c r="AG437" s="58">
        <f t="shared" si="102"/>
        <v>0</v>
      </c>
      <c r="AH437" s="203"/>
      <c r="AJ437" s="203"/>
      <c r="AL437" s="203"/>
      <c r="AM437" s="203" t="str">
        <f t="shared" si="103"/>
        <v/>
      </c>
    </row>
    <row r="438" spans="1:39" s="56" customFormat="1" ht="14.25">
      <c r="A438" s="44"/>
      <c r="B438" s="45"/>
      <c r="C438" s="46">
        <f>IF(B438&lt;&gt;"",VLOOKUP(B438,'Tipo Projeto'!$A$3:$B$35,2,0),0)</f>
        <v>0</v>
      </c>
      <c r="D438" s="203"/>
      <c r="E438" s="203"/>
      <c r="F438" s="48"/>
      <c r="G438" s="203"/>
      <c r="H438" s="49"/>
      <c r="I438" s="50"/>
      <c r="J438" s="51"/>
      <c r="K438" s="52"/>
      <c r="L438" s="53" t="str">
        <f t="shared" si="91"/>
        <v/>
      </c>
      <c r="M438" s="48" t="str">
        <f t="shared" si="92"/>
        <v/>
      </c>
      <c r="N438" s="54" t="str">
        <f t="shared" si="93"/>
        <v/>
      </c>
      <c r="O438" s="55">
        <f t="shared" si="94"/>
        <v>0</v>
      </c>
      <c r="P438" s="55">
        <f t="shared" si="95"/>
        <v>0</v>
      </c>
      <c r="Q438" s="54">
        <f t="shared" si="96"/>
        <v>0</v>
      </c>
      <c r="R438" s="203"/>
      <c r="T438" s="57"/>
      <c r="U438" s="45"/>
      <c r="V438" s="46">
        <f>IF(U438&lt;&gt;"",VLOOKUP(U438,'Tipo Projeto'!$A$3:$B$35,2,0),0)</f>
        <v>0</v>
      </c>
      <c r="W438" s="203"/>
      <c r="X438" s="49"/>
      <c r="Y438" s="50"/>
      <c r="Z438" s="51"/>
      <c r="AA438" s="52"/>
      <c r="AB438" s="53" t="str">
        <f t="shared" si="97"/>
        <v/>
      </c>
      <c r="AC438" s="48" t="str">
        <f t="shared" si="98"/>
        <v/>
      </c>
      <c r="AD438" s="54" t="str">
        <f t="shared" si="99"/>
        <v/>
      </c>
      <c r="AE438" s="55">
        <f t="shared" si="100"/>
        <v>0</v>
      </c>
      <c r="AF438" s="55">
        <f t="shared" si="101"/>
        <v>0</v>
      </c>
      <c r="AG438" s="58">
        <f t="shared" si="102"/>
        <v>0</v>
      </c>
      <c r="AH438" s="203"/>
      <c r="AJ438" s="203"/>
      <c r="AL438" s="203"/>
      <c r="AM438" s="203" t="str">
        <f t="shared" si="103"/>
        <v/>
      </c>
    </row>
    <row r="439" spans="1:39" s="56" customFormat="1" ht="14.25">
      <c r="A439" s="44"/>
      <c r="B439" s="45"/>
      <c r="C439" s="46">
        <f>IF(B439&lt;&gt;"",VLOOKUP(B439,'Tipo Projeto'!$A$3:$B$35,2,0),0)</f>
        <v>0</v>
      </c>
      <c r="D439" s="203"/>
      <c r="E439" s="203"/>
      <c r="F439" s="48"/>
      <c r="G439" s="203"/>
      <c r="H439" s="49"/>
      <c r="I439" s="50"/>
      <c r="J439" s="51"/>
      <c r="K439" s="52"/>
      <c r="L439" s="53" t="str">
        <f t="shared" si="91"/>
        <v/>
      </c>
      <c r="M439" s="48" t="str">
        <f t="shared" si="92"/>
        <v/>
      </c>
      <c r="N439" s="54" t="str">
        <f t="shared" si="93"/>
        <v/>
      </c>
      <c r="O439" s="55">
        <f t="shared" si="94"/>
        <v>0</v>
      </c>
      <c r="P439" s="55">
        <f t="shared" si="95"/>
        <v>0</v>
      </c>
      <c r="Q439" s="54">
        <f t="shared" si="96"/>
        <v>0</v>
      </c>
      <c r="R439" s="203"/>
      <c r="T439" s="57"/>
      <c r="U439" s="45"/>
      <c r="V439" s="46">
        <f>IF(U439&lt;&gt;"",VLOOKUP(U439,'Tipo Projeto'!$A$3:$B$35,2,0),0)</f>
        <v>0</v>
      </c>
      <c r="W439" s="203"/>
      <c r="X439" s="49"/>
      <c r="Y439" s="50"/>
      <c r="Z439" s="51"/>
      <c r="AA439" s="52"/>
      <c r="AB439" s="53" t="str">
        <f t="shared" si="97"/>
        <v/>
      </c>
      <c r="AC439" s="48" t="str">
        <f t="shared" si="98"/>
        <v/>
      </c>
      <c r="AD439" s="54" t="str">
        <f t="shared" si="99"/>
        <v/>
      </c>
      <c r="AE439" s="55">
        <f t="shared" si="100"/>
        <v>0</v>
      </c>
      <c r="AF439" s="55">
        <f t="shared" si="101"/>
        <v>0</v>
      </c>
      <c r="AG439" s="58">
        <f t="shared" si="102"/>
        <v>0</v>
      </c>
      <c r="AH439" s="203"/>
      <c r="AJ439" s="203"/>
      <c r="AL439" s="203"/>
      <c r="AM439" s="203" t="str">
        <f t="shared" si="103"/>
        <v/>
      </c>
    </row>
    <row r="440" spans="1:39" s="56" customFormat="1" ht="14.25">
      <c r="A440" s="44"/>
      <c r="B440" s="45"/>
      <c r="C440" s="46">
        <f>IF(B440&lt;&gt;"",VLOOKUP(B440,'Tipo Projeto'!$A$3:$B$35,2,0),0)</f>
        <v>0</v>
      </c>
      <c r="D440" s="203"/>
      <c r="E440" s="203"/>
      <c r="F440" s="48"/>
      <c r="G440" s="203"/>
      <c r="H440" s="49"/>
      <c r="I440" s="50"/>
      <c r="J440" s="51"/>
      <c r="K440" s="52"/>
      <c r="L440" s="53" t="str">
        <f t="shared" si="91"/>
        <v/>
      </c>
      <c r="M440" s="48" t="str">
        <f t="shared" si="92"/>
        <v/>
      </c>
      <c r="N440" s="54" t="str">
        <f t="shared" si="93"/>
        <v/>
      </c>
      <c r="O440" s="55">
        <f t="shared" si="94"/>
        <v>0</v>
      </c>
      <c r="P440" s="55">
        <f t="shared" si="95"/>
        <v>0</v>
      </c>
      <c r="Q440" s="54">
        <f t="shared" si="96"/>
        <v>0</v>
      </c>
      <c r="R440" s="203"/>
      <c r="T440" s="57"/>
      <c r="U440" s="45"/>
      <c r="V440" s="46">
        <f>IF(U440&lt;&gt;"",VLOOKUP(U440,'Tipo Projeto'!$A$3:$B$35,2,0),0)</f>
        <v>0</v>
      </c>
      <c r="W440" s="203"/>
      <c r="X440" s="49"/>
      <c r="Y440" s="50"/>
      <c r="Z440" s="51"/>
      <c r="AA440" s="52"/>
      <c r="AB440" s="53" t="str">
        <f t="shared" si="97"/>
        <v/>
      </c>
      <c r="AC440" s="48" t="str">
        <f t="shared" si="98"/>
        <v/>
      </c>
      <c r="AD440" s="54" t="str">
        <f t="shared" si="99"/>
        <v/>
      </c>
      <c r="AE440" s="55">
        <f t="shared" si="100"/>
        <v>0</v>
      </c>
      <c r="AF440" s="55">
        <f t="shared" si="101"/>
        <v>0</v>
      </c>
      <c r="AG440" s="58">
        <f t="shared" si="102"/>
        <v>0</v>
      </c>
      <c r="AH440" s="203"/>
      <c r="AJ440" s="203"/>
      <c r="AL440" s="203"/>
      <c r="AM440" s="203" t="str">
        <f t="shared" si="103"/>
        <v/>
      </c>
    </row>
    <row r="441" spans="1:39" s="56" customFormat="1" ht="14.25">
      <c r="A441" s="44"/>
      <c r="B441" s="45"/>
      <c r="C441" s="46">
        <f>IF(B441&lt;&gt;"",VLOOKUP(B441,'Tipo Projeto'!$A$3:$B$35,2,0),0)</f>
        <v>0</v>
      </c>
      <c r="D441" s="203"/>
      <c r="E441" s="203"/>
      <c r="F441" s="48"/>
      <c r="G441" s="203"/>
      <c r="H441" s="49"/>
      <c r="I441" s="50"/>
      <c r="J441" s="51"/>
      <c r="K441" s="52"/>
      <c r="L441" s="53" t="str">
        <f t="shared" si="91"/>
        <v/>
      </c>
      <c r="M441" s="48" t="str">
        <f t="shared" si="92"/>
        <v/>
      </c>
      <c r="N441" s="54" t="str">
        <f t="shared" si="93"/>
        <v/>
      </c>
      <c r="O441" s="55">
        <f t="shared" si="94"/>
        <v>0</v>
      </c>
      <c r="P441" s="55">
        <f t="shared" si="95"/>
        <v>0</v>
      </c>
      <c r="Q441" s="54">
        <f t="shared" si="96"/>
        <v>0</v>
      </c>
      <c r="R441" s="203"/>
      <c r="T441" s="57"/>
      <c r="U441" s="45"/>
      <c r="V441" s="46">
        <f>IF(U441&lt;&gt;"",VLOOKUP(U441,'Tipo Projeto'!$A$3:$B$35,2,0),0)</f>
        <v>0</v>
      </c>
      <c r="W441" s="203"/>
      <c r="X441" s="49"/>
      <c r="Y441" s="50"/>
      <c r="Z441" s="51"/>
      <c r="AA441" s="52"/>
      <c r="AB441" s="53" t="str">
        <f t="shared" si="97"/>
        <v/>
      </c>
      <c r="AC441" s="48" t="str">
        <f t="shared" si="98"/>
        <v/>
      </c>
      <c r="AD441" s="54" t="str">
        <f t="shared" si="99"/>
        <v/>
      </c>
      <c r="AE441" s="55">
        <f t="shared" si="100"/>
        <v>0</v>
      </c>
      <c r="AF441" s="55">
        <f t="shared" si="101"/>
        <v>0</v>
      </c>
      <c r="AG441" s="58">
        <f t="shared" si="102"/>
        <v>0</v>
      </c>
      <c r="AH441" s="203"/>
      <c r="AJ441" s="203"/>
      <c r="AL441" s="203"/>
      <c r="AM441" s="203" t="str">
        <f t="shared" si="103"/>
        <v/>
      </c>
    </row>
    <row r="442" spans="1:39" s="56" customFormat="1" ht="14.25">
      <c r="A442" s="44"/>
      <c r="B442" s="45"/>
      <c r="C442" s="46">
        <f>IF(B442&lt;&gt;"",VLOOKUP(B442,'Tipo Projeto'!$A$3:$B$35,2,0),0)</f>
        <v>0</v>
      </c>
      <c r="D442" s="203"/>
      <c r="E442" s="203"/>
      <c r="F442" s="48"/>
      <c r="G442" s="203"/>
      <c r="H442" s="49"/>
      <c r="I442" s="50"/>
      <c r="J442" s="51"/>
      <c r="K442" s="52"/>
      <c r="L442" s="53" t="str">
        <f t="shared" si="91"/>
        <v/>
      </c>
      <c r="M442" s="48" t="str">
        <f t="shared" si="92"/>
        <v/>
      </c>
      <c r="N442" s="54" t="str">
        <f t="shared" si="93"/>
        <v/>
      </c>
      <c r="O442" s="55">
        <f t="shared" si="94"/>
        <v>0</v>
      </c>
      <c r="P442" s="55">
        <f t="shared" si="95"/>
        <v>0</v>
      </c>
      <c r="Q442" s="54">
        <f t="shared" si="96"/>
        <v>0</v>
      </c>
      <c r="R442" s="203"/>
      <c r="T442" s="57"/>
      <c r="U442" s="45"/>
      <c r="V442" s="46">
        <f>IF(U442&lt;&gt;"",VLOOKUP(U442,'Tipo Projeto'!$A$3:$B$35,2,0),0)</f>
        <v>0</v>
      </c>
      <c r="W442" s="203"/>
      <c r="X442" s="49"/>
      <c r="Y442" s="50"/>
      <c r="Z442" s="51"/>
      <c r="AA442" s="52"/>
      <c r="AB442" s="53" t="str">
        <f t="shared" si="97"/>
        <v/>
      </c>
      <c r="AC442" s="48" t="str">
        <f t="shared" si="98"/>
        <v/>
      </c>
      <c r="AD442" s="54" t="str">
        <f t="shared" si="99"/>
        <v/>
      </c>
      <c r="AE442" s="55">
        <f t="shared" si="100"/>
        <v>0</v>
      </c>
      <c r="AF442" s="55">
        <f t="shared" si="101"/>
        <v>0</v>
      </c>
      <c r="AG442" s="58">
        <f t="shared" si="102"/>
        <v>0</v>
      </c>
      <c r="AH442" s="203"/>
      <c r="AJ442" s="203"/>
      <c r="AL442" s="203"/>
      <c r="AM442" s="203" t="str">
        <f t="shared" si="103"/>
        <v/>
      </c>
    </row>
    <row r="443" spans="1:39" s="56" customFormat="1" ht="14.25">
      <c r="A443" s="44"/>
      <c r="B443" s="45"/>
      <c r="C443" s="46">
        <f>IF(B443&lt;&gt;"",VLOOKUP(B443,'Tipo Projeto'!$A$3:$B$35,2,0),0)</f>
        <v>0</v>
      </c>
      <c r="D443" s="203"/>
      <c r="E443" s="203"/>
      <c r="F443" s="48"/>
      <c r="G443" s="203"/>
      <c r="H443" s="49"/>
      <c r="I443" s="50"/>
      <c r="J443" s="51"/>
      <c r="K443" s="52"/>
      <c r="L443" s="53" t="str">
        <f t="shared" si="91"/>
        <v/>
      </c>
      <c r="M443" s="48" t="str">
        <f t="shared" si="92"/>
        <v/>
      </c>
      <c r="N443" s="54" t="str">
        <f t="shared" si="93"/>
        <v/>
      </c>
      <c r="O443" s="55">
        <f t="shared" si="94"/>
        <v>0</v>
      </c>
      <c r="P443" s="55">
        <f t="shared" si="95"/>
        <v>0</v>
      </c>
      <c r="Q443" s="54">
        <f t="shared" si="96"/>
        <v>0</v>
      </c>
      <c r="R443" s="203"/>
      <c r="T443" s="57"/>
      <c r="U443" s="45"/>
      <c r="V443" s="46">
        <f>IF(U443&lt;&gt;"",VLOOKUP(U443,'Tipo Projeto'!$A$3:$B$35,2,0),0)</f>
        <v>0</v>
      </c>
      <c r="W443" s="203"/>
      <c r="X443" s="49"/>
      <c r="Y443" s="50"/>
      <c r="Z443" s="51"/>
      <c r="AA443" s="52"/>
      <c r="AB443" s="53" t="str">
        <f t="shared" si="97"/>
        <v/>
      </c>
      <c r="AC443" s="48" t="str">
        <f t="shared" si="98"/>
        <v/>
      </c>
      <c r="AD443" s="54" t="str">
        <f t="shared" si="99"/>
        <v/>
      </c>
      <c r="AE443" s="55">
        <f t="shared" si="100"/>
        <v>0</v>
      </c>
      <c r="AF443" s="55">
        <f t="shared" si="101"/>
        <v>0</v>
      </c>
      <c r="AG443" s="58">
        <f t="shared" si="102"/>
        <v>0</v>
      </c>
      <c r="AH443" s="203"/>
      <c r="AJ443" s="203"/>
      <c r="AL443" s="203"/>
      <c r="AM443" s="203" t="str">
        <f t="shared" si="103"/>
        <v/>
      </c>
    </row>
    <row r="444" spans="1:39" s="56" customFormat="1" ht="14.25">
      <c r="A444" s="44"/>
      <c r="B444" s="45"/>
      <c r="C444" s="46">
        <f>IF(B444&lt;&gt;"",VLOOKUP(B444,'Tipo Projeto'!$A$3:$B$35,2,0),0)</f>
        <v>0</v>
      </c>
      <c r="D444" s="203"/>
      <c r="E444" s="203"/>
      <c r="F444" s="48"/>
      <c r="G444" s="203"/>
      <c r="H444" s="49"/>
      <c r="I444" s="50"/>
      <c r="J444" s="51"/>
      <c r="K444" s="52"/>
      <c r="L444" s="53" t="str">
        <f t="shared" si="91"/>
        <v/>
      </c>
      <c r="M444" s="48" t="str">
        <f t="shared" si="92"/>
        <v/>
      </c>
      <c r="N444" s="54" t="str">
        <f t="shared" si="93"/>
        <v/>
      </c>
      <c r="O444" s="55">
        <f t="shared" si="94"/>
        <v>0</v>
      </c>
      <c r="P444" s="55">
        <f t="shared" si="95"/>
        <v>0</v>
      </c>
      <c r="Q444" s="54">
        <f t="shared" si="96"/>
        <v>0</v>
      </c>
      <c r="R444" s="203"/>
      <c r="T444" s="57"/>
      <c r="U444" s="45"/>
      <c r="V444" s="46">
        <f>IF(U444&lt;&gt;"",VLOOKUP(U444,'Tipo Projeto'!$A$3:$B$35,2,0),0)</f>
        <v>0</v>
      </c>
      <c r="W444" s="203"/>
      <c r="X444" s="49"/>
      <c r="Y444" s="50"/>
      <c r="Z444" s="51"/>
      <c r="AA444" s="52"/>
      <c r="AB444" s="53" t="str">
        <f t="shared" si="97"/>
        <v/>
      </c>
      <c r="AC444" s="48" t="str">
        <f t="shared" si="98"/>
        <v/>
      </c>
      <c r="AD444" s="54" t="str">
        <f t="shared" si="99"/>
        <v/>
      </c>
      <c r="AE444" s="55">
        <f t="shared" si="100"/>
        <v>0</v>
      </c>
      <c r="AF444" s="55">
        <f t="shared" si="101"/>
        <v>0</v>
      </c>
      <c r="AG444" s="58">
        <f t="shared" si="102"/>
        <v>0</v>
      </c>
      <c r="AH444" s="203"/>
      <c r="AJ444" s="203"/>
      <c r="AL444" s="203"/>
      <c r="AM444" s="203" t="str">
        <f t="shared" si="103"/>
        <v/>
      </c>
    </row>
    <row r="445" spans="1:39" s="56" customFormat="1" ht="14.25">
      <c r="A445" s="44"/>
      <c r="B445" s="45"/>
      <c r="C445" s="46">
        <f>IF(B445&lt;&gt;"",VLOOKUP(B445,'Tipo Projeto'!$A$3:$B$35,2,0),0)</f>
        <v>0</v>
      </c>
      <c r="D445" s="203"/>
      <c r="E445" s="203"/>
      <c r="F445" s="48"/>
      <c r="G445" s="203"/>
      <c r="H445" s="49"/>
      <c r="I445" s="50"/>
      <c r="J445" s="51"/>
      <c r="K445" s="52"/>
      <c r="L445" s="53" t="str">
        <f t="shared" ref="L445:L508" si="104">IF(G445="EE",IF(OR(AND(OR(J445=1,J445=0),H445&gt;0,H445&lt;5),AND(OR(J445=1,J445=0),H445&gt;4,H445&lt;16),AND(J445=2,H445&gt;0,H445&lt;5)),"Simples",IF(OR(AND(OR(J445=1,J445=0),H445&gt;15),AND(J445=2,H445&gt;4,H445&lt;16),AND(J445&gt;2,H445&gt;0,H445&lt;5)),"Médio",IF(OR(AND(J445=2,H445&gt;15),AND(J445&gt;2,H445&gt;4,H445&lt;16),AND(J445&gt;2,H445&gt;15)),"Complexo",""))), IF(OR(G445="CE",G445="SE"),IF(OR(AND(OR(J445=1,J445=0),H445&gt;0,H445&lt;6),AND(OR(J445=1,J445=0),H445&gt;5,H445&lt;20),AND(J445&gt;1,J445&lt;4,H445&gt;0,H445&lt;6)),"Simples",IF(OR(AND(OR(J445=1,J445=0),H445&gt;19),AND(J445&gt;1,J445&lt;4,H445&gt;5,H445&lt;20),AND(J445&gt;3,H445&gt;0,H445&lt;6)),"Médio",IF(OR(AND(J445&gt;1,J445&lt;4,H445&gt;19),AND(J445&gt;3,H445&gt;5,H445&lt;20),AND(J445&gt;3,H445&gt;19)),"Complexo",""))),""))</f>
        <v/>
      </c>
      <c r="M445" s="48" t="str">
        <f t="shared" ref="M445:M508" si="105">IF(G445="ALI",IF(OR(AND(OR(J445=1,J445=0),H445&gt;0,H445&lt;20),AND(OR(J445=1,J445=0),H445&gt;19,H445&lt;51),AND(J445&gt;1,J445&lt;6,H445&gt;0,H445&lt;20)),"Simples",IF(OR(AND(OR(J445=1,J445=0),H445&gt;50),AND(J445&gt;1,J445&lt;6,H445&gt;19,H445&lt;51),AND(J445&gt;5,H445&gt;0,H445&lt;20)),"Médio",IF(OR(AND(J445&gt;1,J445&lt;6,H445&gt;50),AND(J445&gt;5,H445&gt;19,H445&lt;51),AND(J445&gt;5,H445&gt;50)),"Complexo",""))), IF(G445="AIE",IF(OR(AND(OR(J445=1, J445=0),H445&gt;0,H445&lt;20),AND(OR(J445=1, J445=0),H445&gt;19,H445&lt;51),AND(J445&gt;1,J445&lt;6,H445&gt;0,H445&lt;20)),"Simples",IF(OR(AND(OR(J445=1, J445=0),H445&gt;50),AND(J445&gt;1,J445&lt;6,H445&gt;19,H445&lt;51),AND(J445&gt;5,H445&gt;0,H445&lt;20)),"Médio",IF(OR(AND(J445&gt;1,J445&lt;6,H445&gt;50),AND(J445&gt;5,H445&gt;19,H445&lt;51),AND(J445&gt;5,H445&gt;50)),"Complexo",""))),""))</f>
        <v/>
      </c>
      <c r="N445" s="54" t="str">
        <f t="shared" ref="N445:N508" si="106">IF(L445="",M445,IF(M445="",L445,""))</f>
        <v/>
      </c>
      <c r="O445" s="55">
        <f t="shared" ref="O445:O508" si="107">IF(AND(OR(G445="EE",G445="CE"),N445="Simples"),3, IF(AND(OR(G445="EE",G445="CE"),N445="Médio"),4, IF(AND(OR(G445="EE",G445="CE"),N445="Complexo"),6, IF(AND(G445="SE",N445="Simples"),4, IF(AND(G445="SE",N445="Médio"),5, IF(AND(G445="SE",N445="Complexo"),7,0))))))</f>
        <v>0</v>
      </c>
      <c r="P445" s="55">
        <f t="shared" ref="P445:P508" si="108">IF(AND(G445="ALI",M445="Simples"),7, IF(AND(G445="ALI",M445="Médio"),10, IF(AND(G445="ALI",M445="Complexo"),15, IF(AND(G445="AIE",M445="Simples"),5, IF(AND(G445="AIE",M445="Médio"),7, IF(AND(G445="AIE",M445="Complexo"),10,0))))))</f>
        <v>0</v>
      </c>
      <c r="Q445" s="54">
        <f t="shared" ref="Q445:Q508" si="109">IF(B445&lt;&gt;"Manutenção em interface",IF(B445&lt;&gt;"Desenv., Manutenção e Publicação de Páginas Estáticas",(O445+P445)*C445,C445),C445)</f>
        <v>0</v>
      </c>
      <c r="R445" s="203"/>
      <c r="T445" s="57"/>
      <c r="U445" s="45"/>
      <c r="V445" s="46">
        <f>IF(U445&lt;&gt;"",VLOOKUP(U445,'Tipo Projeto'!$A$3:$B$35,2,0),0)</f>
        <v>0</v>
      </c>
      <c r="W445" s="203"/>
      <c r="X445" s="49"/>
      <c r="Y445" s="50"/>
      <c r="Z445" s="51"/>
      <c r="AA445" s="52"/>
      <c r="AB445" s="53" t="str">
        <f t="shared" ref="AB445:AB508" si="110">IF(W445="EE",IF(OR(AND(OR(Z445=1,Z445=0),X445&gt;0,X445&lt;5),AND(OR(Z445=1,Z445=0),X445&gt;4,X445&lt;16),AND(Z445=2,X445&gt;0,X445&lt;5)),"Simples",IF(OR(AND(OR(Z445=1,Z445=0),X445&gt;15),AND(Z445=2,X445&gt;4,X445&lt;16),AND(Z445&gt;2,X445&gt;0,X445&lt;5)),"Médio",IF(OR(AND(Z445=2,X445&gt;15),AND(Z445&gt;2,X445&gt;4,X445&lt;16),AND(Z445&gt;2,X445&gt;15)),"Complexo",""))), IF(OR(W445="CE",W445="SE"),IF(OR(AND(OR(Z445=1,Z445=0),X445&gt;0,X445&lt;6),AND(OR(Z445=1,Z445=0),X445&gt;5,X445&lt;20),AND(Z445&gt;1,Z445&lt;4,X445&gt;0,X445&lt;6)),"Simples",IF(OR(AND(OR(Z445=1,Z445=0),X445&gt;19),AND(Z445&gt;1,Z445&lt;4,X445&gt;5,X445&lt;20),AND(Z445&gt;3,X445&gt;0,X445&lt;6)),"Médio",IF(OR(AND(Z445&gt;1,Z445&lt;4,X445&gt;19),AND(Z445&gt;3,X445&gt;5,X445&lt;20),AND(Z445&gt;3,X445&gt;19)),"Complexo",""))),""))</f>
        <v/>
      </c>
      <c r="AC445" s="48" t="str">
        <f t="shared" ref="AC445:AC508" si="111">IF(W445="ALI",IF(OR(AND(OR(Z445=1,Z445=0),X445&gt;0,X445&lt;20),AND(OR(Z445=1,Z445=0),X445&gt;19,X445&lt;51),AND(Z445&gt;1,Z445&lt;6,X445&gt;0,X445&lt;20)),"Simples",IF(OR(AND(OR(Z445=1,Z445=0),X445&gt;50),AND(Z445&gt;1,Z445&lt;6,X445&gt;19,X445&lt;51),AND(Z445&gt;5,X445&gt;0,X445&lt;20)),"Médio",IF(OR(AND(Z445&gt;1,Z445&lt;6,X445&gt;50),AND(Z445&gt;5,X445&gt;19,X445&lt;51),AND(Z445&gt;5,X445&gt;50)),"Complexo",""))), IF(W445="AIE",IF(OR(AND(OR(Z445=1, Z445=0),X445&gt;0,X445&lt;20),AND(OR(Z445=1, Z445=0),X445&gt;19,X445&lt;51),AND(Z445&gt;1,Z445&lt;6,X445&gt;0,X445&lt;20)),"Simples",IF(OR(AND(OR(Z445=1, Z445=0),X445&gt;50),AND(Z445&gt;1,Z445&lt;6,X445&gt;19,X445&lt;51),AND(Z445&gt;5,X445&gt;0,X445&lt;20)),"Médio",IF(OR(AND(Z445&gt;1,Z445&lt;6,X445&gt;50),AND(Z445&gt;5,X445&gt;19,X445&lt;51),AND(Z445&gt;5,X445&gt;50)),"Complexo",""))),""))</f>
        <v/>
      </c>
      <c r="AD445" s="54" t="str">
        <f t="shared" ref="AD445:AD508" si="112">IF(AB445="",AC445,IF(AC445="",AB445,""))</f>
        <v/>
      </c>
      <c r="AE445" s="55">
        <f t="shared" ref="AE445:AE508" si="113">IF(AND(OR(W445="EE",W445="CE"),AD445="Simples"),3, IF(AND(OR(W445="EE",W445="CE"),AD445="Médio"),4, IF(AND(OR(W445="EE",W445="CE"),AD445="Complexo"),6, IF(AND(W445="SE",AD445="Simples"),4, IF(AND(W445="SE",AD445="Médio"),5, IF(AND(W445="SE",AD445="Complexo"),7,0))))))</f>
        <v>0</v>
      </c>
      <c r="AF445" s="55">
        <f t="shared" ref="AF445:AF508" si="114">IF(AND(W445="ALI",AC445="Simples"),7, IF(AND(W445="ALI",AC445="Médio"),10, IF(AND(W445="ALI",AC445="Complexo"),15, IF(AND(W445="AIE",AC445="Simples"),5, IF(AND(W445="AIE",AC445="Médio"),7, IF(AND(W445="AIE",AC445="Complexo"),10,0))))))</f>
        <v>0</v>
      </c>
      <c r="AG445" s="58">
        <f t="shared" ref="AG445:AG508" si="115">IF(T445="OK",Q445,( IF(U445&lt;&gt;"Manutenção em interface",IF(U445&lt;&gt;"Desenv., Manutenção e Publicação de Páginas Estáticas",(AE445+AF445)*V445,V445),V445)))</f>
        <v>0</v>
      </c>
      <c r="AH445" s="203"/>
      <c r="AJ445" s="203"/>
      <c r="AL445" s="203"/>
      <c r="AM445" s="203" t="str">
        <f t="shared" ref="AM445:AM508" si="116">IF(AG445=0,"",IF(AG445=Q445,"OK","Divergente"))</f>
        <v/>
      </c>
    </row>
    <row r="446" spans="1:39" s="56" customFormat="1" ht="14.25">
      <c r="A446" s="44"/>
      <c r="B446" s="45"/>
      <c r="C446" s="46">
        <f>IF(B446&lt;&gt;"",VLOOKUP(B446,'Tipo Projeto'!$A$3:$B$35,2,0),0)</f>
        <v>0</v>
      </c>
      <c r="D446" s="203"/>
      <c r="E446" s="203"/>
      <c r="F446" s="48"/>
      <c r="G446" s="203"/>
      <c r="H446" s="49"/>
      <c r="I446" s="50"/>
      <c r="J446" s="51"/>
      <c r="K446" s="52"/>
      <c r="L446" s="53" t="str">
        <f t="shared" si="104"/>
        <v/>
      </c>
      <c r="M446" s="48" t="str">
        <f t="shared" si="105"/>
        <v/>
      </c>
      <c r="N446" s="54" t="str">
        <f t="shared" si="106"/>
        <v/>
      </c>
      <c r="O446" s="55">
        <f t="shared" si="107"/>
        <v>0</v>
      </c>
      <c r="P446" s="55">
        <f t="shared" si="108"/>
        <v>0</v>
      </c>
      <c r="Q446" s="54">
        <f t="shared" si="109"/>
        <v>0</v>
      </c>
      <c r="R446" s="203"/>
      <c r="T446" s="57"/>
      <c r="U446" s="45"/>
      <c r="V446" s="46">
        <f>IF(U446&lt;&gt;"",VLOOKUP(U446,'Tipo Projeto'!$A$3:$B$35,2,0),0)</f>
        <v>0</v>
      </c>
      <c r="W446" s="203"/>
      <c r="X446" s="49"/>
      <c r="Y446" s="50"/>
      <c r="Z446" s="51"/>
      <c r="AA446" s="52"/>
      <c r="AB446" s="53" t="str">
        <f t="shared" si="110"/>
        <v/>
      </c>
      <c r="AC446" s="48" t="str">
        <f t="shared" si="111"/>
        <v/>
      </c>
      <c r="AD446" s="54" t="str">
        <f t="shared" si="112"/>
        <v/>
      </c>
      <c r="AE446" s="55">
        <f t="shared" si="113"/>
        <v>0</v>
      </c>
      <c r="AF446" s="55">
        <f t="shared" si="114"/>
        <v>0</v>
      </c>
      <c r="AG446" s="58">
        <f t="shared" si="115"/>
        <v>0</v>
      </c>
      <c r="AH446" s="203"/>
      <c r="AJ446" s="203"/>
      <c r="AL446" s="203"/>
      <c r="AM446" s="203" t="str">
        <f t="shared" si="116"/>
        <v/>
      </c>
    </row>
    <row r="447" spans="1:39" s="56" customFormat="1" ht="14.25">
      <c r="A447" s="44"/>
      <c r="B447" s="45"/>
      <c r="C447" s="46">
        <f>IF(B447&lt;&gt;"",VLOOKUP(B447,'Tipo Projeto'!$A$3:$B$35,2,0),0)</f>
        <v>0</v>
      </c>
      <c r="D447" s="203"/>
      <c r="E447" s="203"/>
      <c r="F447" s="48"/>
      <c r="G447" s="203"/>
      <c r="H447" s="49"/>
      <c r="I447" s="50"/>
      <c r="J447" s="51"/>
      <c r="K447" s="52"/>
      <c r="L447" s="53" t="str">
        <f t="shared" si="104"/>
        <v/>
      </c>
      <c r="M447" s="48" t="str">
        <f t="shared" si="105"/>
        <v/>
      </c>
      <c r="N447" s="54" t="str">
        <f t="shared" si="106"/>
        <v/>
      </c>
      <c r="O447" s="55">
        <f t="shared" si="107"/>
        <v>0</v>
      </c>
      <c r="P447" s="55">
        <f t="shared" si="108"/>
        <v>0</v>
      </c>
      <c r="Q447" s="54">
        <f t="shared" si="109"/>
        <v>0</v>
      </c>
      <c r="R447" s="203"/>
      <c r="T447" s="57"/>
      <c r="U447" s="45"/>
      <c r="V447" s="46">
        <f>IF(U447&lt;&gt;"",VLOOKUP(U447,'Tipo Projeto'!$A$3:$B$35,2,0),0)</f>
        <v>0</v>
      </c>
      <c r="W447" s="203"/>
      <c r="X447" s="49"/>
      <c r="Y447" s="50"/>
      <c r="Z447" s="51"/>
      <c r="AA447" s="52"/>
      <c r="AB447" s="53" t="str">
        <f t="shared" si="110"/>
        <v/>
      </c>
      <c r="AC447" s="48" t="str">
        <f t="shared" si="111"/>
        <v/>
      </c>
      <c r="AD447" s="54" t="str">
        <f t="shared" si="112"/>
        <v/>
      </c>
      <c r="AE447" s="55">
        <f t="shared" si="113"/>
        <v>0</v>
      </c>
      <c r="AF447" s="55">
        <f t="shared" si="114"/>
        <v>0</v>
      </c>
      <c r="AG447" s="58">
        <f t="shared" si="115"/>
        <v>0</v>
      </c>
      <c r="AH447" s="203"/>
      <c r="AJ447" s="203"/>
      <c r="AL447" s="203"/>
      <c r="AM447" s="203" t="str">
        <f t="shared" si="116"/>
        <v/>
      </c>
    </row>
    <row r="448" spans="1:39" s="56" customFormat="1" ht="14.25">
      <c r="A448" s="44"/>
      <c r="B448" s="45"/>
      <c r="C448" s="46">
        <f>IF(B448&lt;&gt;"",VLOOKUP(B448,'Tipo Projeto'!$A$3:$B$35,2,0),0)</f>
        <v>0</v>
      </c>
      <c r="D448" s="203"/>
      <c r="E448" s="203"/>
      <c r="F448" s="48"/>
      <c r="G448" s="203"/>
      <c r="H448" s="49"/>
      <c r="I448" s="50"/>
      <c r="J448" s="51"/>
      <c r="K448" s="52"/>
      <c r="L448" s="53" t="str">
        <f t="shared" si="104"/>
        <v/>
      </c>
      <c r="M448" s="48" t="str">
        <f t="shared" si="105"/>
        <v/>
      </c>
      <c r="N448" s="54" t="str">
        <f t="shared" si="106"/>
        <v/>
      </c>
      <c r="O448" s="55">
        <f t="shared" si="107"/>
        <v>0</v>
      </c>
      <c r="P448" s="55">
        <f t="shared" si="108"/>
        <v>0</v>
      </c>
      <c r="Q448" s="54">
        <f t="shared" si="109"/>
        <v>0</v>
      </c>
      <c r="R448" s="203"/>
      <c r="T448" s="57"/>
      <c r="U448" s="45"/>
      <c r="V448" s="46">
        <f>IF(U448&lt;&gt;"",VLOOKUP(U448,'Tipo Projeto'!$A$3:$B$35,2,0),0)</f>
        <v>0</v>
      </c>
      <c r="W448" s="203"/>
      <c r="X448" s="49"/>
      <c r="Y448" s="50"/>
      <c r="Z448" s="51"/>
      <c r="AA448" s="52"/>
      <c r="AB448" s="53" t="str">
        <f t="shared" si="110"/>
        <v/>
      </c>
      <c r="AC448" s="48" t="str">
        <f t="shared" si="111"/>
        <v/>
      </c>
      <c r="AD448" s="54" t="str">
        <f t="shared" si="112"/>
        <v/>
      </c>
      <c r="AE448" s="55">
        <f t="shared" si="113"/>
        <v>0</v>
      </c>
      <c r="AF448" s="55">
        <f t="shared" si="114"/>
        <v>0</v>
      </c>
      <c r="AG448" s="58">
        <f t="shared" si="115"/>
        <v>0</v>
      </c>
      <c r="AH448" s="203"/>
      <c r="AJ448" s="203"/>
      <c r="AL448" s="203"/>
      <c r="AM448" s="203" t="str">
        <f t="shared" si="116"/>
        <v/>
      </c>
    </row>
    <row r="449" spans="1:39" s="56" customFormat="1" ht="14.25">
      <c r="A449" s="44"/>
      <c r="B449" s="45"/>
      <c r="C449" s="46">
        <f>IF(B449&lt;&gt;"",VLOOKUP(B449,'Tipo Projeto'!$A$3:$B$35,2,0),0)</f>
        <v>0</v>
      </c>
      <c r="D449" s="203"/>
      <c r="E449" s="203"/>
      <c r="F449" s="48"/>
      <c r="G449" s="203"/>
      <c r="H449" s="49"/>
      <c r="I449" s="50"/>
      <c r="J449" s="51"/>
      <c r="K449" s="52"/>
      <c r="L449" s="53" t="str">
        <f t="shared" si="104"/>
        <v/>
      </c>
      <c r="M449" s="48" t="str">
        <f t="shared" si="105"/>
        <v/>
      </c>
      <c r="N449" s="54" t="str">
        <f t="shared" si="106"/>
        <v/>
      </c>
      <c r="O449" s="55">
        <f t="shared" si="107"/>
        <v>0</v>
      </c>
      <c r="P449" s="55">
        <f t="shared" si="108"/>
        <v>0</v>
      </c>
      <c r="Q449" s="54">
        <f t="shared" si="109"/>
        <v>0</v>
      </c>
      <c r="R449" s="203"/>
      <c r="T449" s="57"/>
      <c r="U449" s="45"/>
      <c r="V449" s="46">
        <f>IF(U449&lt;&gt;"",VLOOKUP(U449,'Tipo Projeto'!$A$3:$B$35,2,0),0)</f>
        <v>0</v>
      </c>
      <c r="W449" s="203"/>
      <c r="X449" s="49"/>
      <c r="Y449" s="50"/>
      <c r="Z449" s="51"/>
      <c r="AA449" s="52"/>
      <c r="AB449" s="53" t="str">
        <f t="shared" si="110"/>
        <v/>
      </c>
      <c r="AC449" s="48" t="str">
        <f t="shared" si="111"/>
        <v/>
      </c>
      <c r="AD449" s="54" t="str">
        <f t="shared" si="112"/>
        <v/>
      </c>
      <c r="AE449" s="55">
        <f t="shared" si="113"/>
        <v>0</v>
      </c>
      <c r="AF449" s="55">
        <f t="shared" si="114"/>
        <v>0</v>
      </c>
      <c r="AG449" s="58">
        <f t="shared" si="115"/>
        <v>0</v>
      </c>
      <c r="AH449" s="203"/>
      <c r="AJ449" s="203"/>
      <c r="AL449" s="203"/>
      <c r="AM449" s="203" t="str">
        <f t="shared" si="116"/>
        <v/>
      </c>
    </row>
    <row r="450" spans="1:39" s="56" customFormat="1" ht="14.25">
      <c r="A450" s="44"/>
      <c r="B450" s="45"/>
      <c r="C450" s="46">
        <f>IF(B450&lt;&gt;"",VLOOKUP(B450,'Tipo Projeto'!$A$3:$B$35,2,0),0)</f>
        <v>0</v>
      </c>
      <c r="D450" s="203"/>
      <c r="E450" s="203"/>
      <c r="F450" s="48"/>
      <c r="G450" s="203"/>
      <c r="H450" s="49"/>
      <c r="I450" s="50"/>
      <c r="J450" s="51"/>
      <c r="K450" s="52"/>
      <c r="L450" s="53" t="str">
        <f t="shared" si="104"/>
        <v/>
      </c>
      <c r="M450" s="48" t="str">
        <f t="shared" si="105"/>
        <v/>
      </c>
      <c r="N450" s="54" t="str">
        <f t="shared" si="106"/>
        <v/>
      </c>
      <c r="O450" s="55">
        <f t="shared" si="107"/>
        <v>0</v>
      </c>
      <c r="P450" s="55">
        <f t="shared" si="108"/>
        <v>0</v>
      </c>
      <c r="Q450" s="54">
        <f t="shared" si="109"/>
        <v>0</v>
      </c>
      <c r="R450" s="203"/>
      <c r="T450" s="57"/>
      <c r="U450" s="45"/>
      <c r="V450" s="46">
        <f>IF(U450&lt;&gt;"",VLOOKUP(U450,'Tipo Projeto'!$A$3:$B$35,2,0),0)</f>
        <v>0</v>
      </c>
      <c r="W450" s="203"/>
      <c r="X450" s="49"/>
      <c r="Y450" s="50"/>
      <c r="Z450" s="51"/>
      <c r="AA450" s="52"/>
      <c r="AB450" s="53" t="str">
        <f t="shared" si="110"/>
        <v/>
      </c>
      <c r="AC450" s="48" t="str">
        <f t="shared" si="111"/>
        <v/>
      </c>
      <c r="AD450" s="54" t="str">
        <f t="shared" si="112"/>
        <v/>
      </c>
      <c r="AE450" s="55">
        <f t="shared" si="113"/>
        <v>0</v>
      </c>
      <c r="AF450" s="55">
        <f t="shared" si="114"/>
        <v>0</v>
      </c>
      <c r="AG450" s="58">
        <f t="shared" si="115"/>
        <v>0</v>
      </c>
      <c r="AH450" s="203"/>
      <c r="AJ450" s="203"/>
      <c r="AL450" s="203"/>
      <c r="AM450" s="203" t="str">
        <f t="shared" si="116"/>
        <v/>
      </c>
    </row>
    <row r="451" spans="1:39" s="56" customFormat="1" ht="14.25">
      <c r="A451" s="44"/>
      <c r="B451" s="45"/>
      <c r="C451" s="46">
        <f>IF(B451&lt;&gt;"",VLOOKUP(B451,'Tipo Projeto'!$A$3:$B$35,2,0),0)</f>
        <v>0</v>
      </c>
      <c r="D451" s="203"/>
      <c r="E451" s="203"/>
      <c r="F451" s="48"/>
      <c r="G451" s="203"/>
      <c r="H451" s="49"/>
      <c r="I451" s="50"/>
      <c r="J451" s="51"/>
      <c r="K451" s="52"/>
      <c r="L451" s="53" t="str">
        <f t="shared" si="104"/>
        <v/>
      </c>
      <c r="M451" s="48" t="str">
        <f t="shared" si="105"/>
        <v/>
      </c>
      <c r="N451" s="54" t="str">
        <f t="shared" si="106"/>
        <v/>
      </c>
      <c r="O451" s="55">
        <f t="shared" si="107"/>
        <v>0</v>
      </c>
      <c r="P451" s="55">
        <f t="shared" si="108"/>
        <v>0</v>
      </c>
      <c r="Q451" s="54">
        <f t="shared" si="109"/>
        <v>0</v>
      </c>
      <c r="R451" s="203"/>
      <c r="T451" s="57"/>
      <c r="U451" s="45"/>
      <c r="V451" s="46">
        <f>IF(U451&lt;&gt;"",VLOOKUP(U451,'Tipo Projeto'!$A$3:$B$35,2,0),0)</f>
        <v>0</v>
      </c>
      <c r="W451" s="203"/>
      <c r="X451" s="49"/>
      <c r="Y451" s="50"/>
      <c r="Z451" s="51"/>
      <c r="AA451" s="52"/>
      <c r="AB451" s="53" t="str">
        <f t="shared" si="110"/>
        <v/>
      </c>
      <c r="AC451" s="48" t="str">
        <f t="shared" si="111"/>
        <v/>
      </c>
      <c r="AD451" s="54" t="str">
        <f t="shared" si="112"/>
        <v/>
      </c>
      <c r="AE451" s="55">
        <f t="shared" si="113"/>
        <v>0</v>
      </c>
      <c r="AF451" s="55">
        <f t="shared" si="114"/>
        <v>0</v>
      </c>
      <c r="AG451" s="58">
        <f t="shared" si="115"/>
        <v>0</v>
      </c>
      <c r="AH451" s="203"/>
      <c r="AJ451" s="203"/>
      <c r="AL451" s="203"/>
      <c r="AM451" s="203" t="str">
        <f t="shared" si="116"/>
        <v/>
      </c>
    </row>
    <row r="452" spans="1:39" s="56" customFormat="1" ht="14.25">
      <c r="A452" s="44"/>
      <c r="B452" s="45"/>
      <c r="C452" s="46">
        <f>IF(B452&lt;&gt;"",VLOOKUP(B452,'Tipo Projeto'!$A$3:$B$35,2,0),0)</f>
        <v>0</v>
      </c>
      <c r="D452" s="203"/>
      <c r="E452" s="203"/>
      <c r="F452" s="48"/>
      <c r="G452" s="203"/>
      <c r="H452" s="49"/>
      <c r="I452" s="50"/>
      <c r="J452" s="51"/>
      <c r="K452" s="52"/>
      <c r="L452" s="53" t="str">
        <f t="shared" si="104"/>
        <v/>
      </c>
      <c r="M452" s="48" t="str">
        <f t="shared" si="105"/>
        <v/>
      </c>
      <c r="N452" s="54" t="str">
        <f t="shared" si="106"/>
        <v/>
      </c>
      <c r="O452" s="55">
        <f t="shared" si="107"/>
        <v>0</v>
      </c>
      <c r="P452" s="55">
        <f t="shared" si="108"/>
        <v>0</v>
      </c>
      <c r="Q452" s="54">
        <f t="shared" si="109"/>
        <v>0</v>
      </c>
      <c r="R452" s="203"/>
      <c r="T452" s="57"/>
      <c r="U452" s="45"/>
      <c r="V452" s="46">
        <f>IF(U452&lt;&gt;"",VLOOKUP(U452,'Tipo Projeto'!$A$3:$B$35,2,0),0)</f>
        <v>0</v>
      </c>
      <c r="W452" s="203"/>
      <c r="X452" s="49"/>
      <c r="Y452" s="50"/>
      <c r="Z452" s="51"/>
      <c r="AA452" s="52"/>
      <c r="AB452" s="53" t="str">
        <f t="shared" si="110"/>
        <v/>
      </c>
      <c r="AC452" s="48" t="str">
        <f t="shared" si="111"/>
        <v/>
      </c>
      <c r="AD452" s="54" t="str">
        <f t="shared" si="112"/>
        <v/>
      </c>
      <c r="AE452" s="55">
        <f t="shared" si="113"/>
        <v>0</v>
      </c>
      <c r="AF452" s="55">
        <f t="shared" si="114"/>
        <v>0</v>
      </c>
      <c r="AG452" s="58">
        <f t="shared" si="115"/>
        <v>0</v>
      </c>
      <c r="AH452" s="203"/>
      <c r="AJ452" s="203"/>
      <c r="AL452" s="203"/>
      <c r="AM452" s="203" t="str">
        <f t="shared" si="116"/>
        <v/>
      </c>
    </row>
    <row r="453" spans="1:39" s="56" customFormat="1" ht="14.25">
      <c r="A453" s="44"/>
      <c r="B453" s="45"/>
      <c r="C453" s="46">
        <f>IF(B453&lt;&gt;"",VLOOKUP(B453,'Tipo Projeto'!$A$3:$B$35,2,0),0)</f>
        <v>0</v>
      </c>
      <c r="D453" s="203"/>
      <c r="E453" s="203"/>
      <c r="F453" s="48"/>
      <c r="G453" s="203"/>
      <c r="H453" s="49"/>
      <c r="I453" s="50"/>
      <c r="J453" s="51"/>
      <c r="K453" s="52"/>
      <c r="L453" s="53" t="str">
        <f t="shared" si="104"/>
        <v/>
      </c>
      <c r="M453" s="48" t="str">
        <f t="shared" si="105"/>
        <v/>
      </c>
      <c r="N453" s="54" t="str">
        <f t="shared" si="106"/>
        <v/>
      </c>
      <c r="O453" s="55">
        <f t="shared" si="107"/>
        <v>0</v>
      </c>
      <c r="P453" s="55">
        <f t="shared" si="108"/>
        <v>0</v>
      </c>
      <c r="Q453" s="54">
        <f t="shared" si="109"/>
        <v>0</v>
      </c>
      <c r="R453" s="203"/>
      <c r="T453" s="57"/>
      <c r="U453" s="45"/>
      <c r="V453" s="46">
        <f>IF(U453&lt;&gt;"",VLOOKUP(U453,'Tipo Projeto'!$A$3:$B$35,2,0),0)</f>
        <v>0</v>
      </c>
      <c r="W453" s="203"/>
      <c r="X453" s="49"/>
      <c r="Y453" s="50"/>
      <c r="Z453" s="51"/>
      <c r="AA453" s="52"/>
      <c r="AB453" s="53" t="str">
        <f t="shared" si="110"/>
        <v/>
      </c>
      <c r="AC453" s="48" t="str">
        <f t="shared" si="111"/>
        <v/>
      </c>
      <c r="AD453" s="54" t="str">
        <f t="shared" si="112"/>
        <v/>
      </c>
      <c r="AE453" s="55">
        <f t="shared" si="113"/>
        <v>0</v>
      </c>
      <c r="AF453" s="55">
        <f t="shared" si="114"/>
        <v>0</v>
      </c>
      <c r="AG453" s="58">
        <f t="shared" si="115"/>
        <v>0</v>
      </c>
      <c r="AH453" s="203"/>
      <c r="AJ453" s="203"/>
      <c r="AL453" s="203"/>
      <c r="AM453" s="203" t="str">
        <f t="shared" si="116"/>
        <v/>
      </c>
    </row>
    <row r="454" spans="1:39" s="56" customFormat="1" ht="14.25">
      <c r="A454" s="44"/>
      <c r="B454" s="45"/>
      <c r="C454" s="46">
        <f>IF(B454&lt;&gt;"",VLOOKUP(B454,'Tipo Projeto'!$A$3:$B$35,2,0),0)</f>
        <v>0</v>
      </c>
      <c r="D454" s="203"/>
      <c r="E454" s="203"/>
      <c r="F454" s="48"/>
      <c r="G454" s="203"/>
      <c r="H454" s="49"/>
      <c r="I454" s="50"/>
      <c r="J454" s="51"/>
      <c r="K454" s="52"/>
      <c r="L454" s="53" t="str">
        <f t="shared" si="104"/>
        <v/>
      </c>
      <c r="M454" s="48" t="str">
        <f t="shared" si="105"/>
        <v/>
      </c>
      <c r="N454" s="54" t="str">
        <f t="shared" si="106"/>
        <v/>
      </c>
      <c r="O454" s="55">
        <f t="shared" si="107"/>
        <v>0</v>
      </c>
      <c r="P454" s="55">
        <f t="shared" si="108"/>
        <v>0</v>
      </c>
      <c r="Q454" s="54">
        <f t="shared" si="109"/>
        <v>0</v>
      </c>
      <c r="R454" s="203"/>
      <c r="T454" s="57"/>
      <c r="U454" s="45"/>
      <c r="V454" s="46">
        <f>IF(U454&lt;&gt;"",VLOOKUP(U454,'Tipo Projeto'!$A$3:$B$35,2,0),0)</f>
        <v>0</v>
      </c>
      <c r="W454" s="203"/>
      <c r="X454" s="49"/>
      <c r="Y454" s="50"/>
      <c r="Z454" s="51"/>
      <c r="AA454" s="52"/>
      <c r="AB454" s="53" t="str">
        <f t="shared" si="110"/>
        <v/>
      </c>
      <c r="AC454" s="48" t="str">
        <f t="shared" si="111"/>
        <v/>
      </c>
      <c r="AD454" s="54" t="str">
        <f t="shared" si="112"/>
        <v/>
      </c>
      <c r="AE454" s="55">
        <f t="shared" si="113"/>
        <v>0</v>
      </c>
      <c r="AF454" s="55">
        <f t="shared" si="114"/>
        <v>0</v>
      </c>
      <c r="AG454" s="58">
        <f t="shared" si="115"/>
        <v>0</v>
      </c>
      <c r="AH454" s="203"/>
      <c r="AJ454" s="203"/>
      <c r="AL454" s="203"/>
      <c r="AM454" s="203" t="str">
        <f t="shared" si="116"/>
        <v/>
      </c>
    </row>
    <row r="455" spans="1:39" s="56" customFormat="1" ht="14.25">
      <c r="A455" s="44"/>
      <c r="B455" s="45"/>
      <c r="C455" s="46">
        <f>IF(B455&lt;&gt;"",VLOOKUP(B455,'Tipo Projeto'!$A$3:$B$35,2,0),0)</f>
        <v>0</v>
      </c>
      <c r="D455" s="203"/>
      <c r="E455" s="203"/>
      <c r="F455" s="48"/>
      <c r="G455" s="203"/>
      <c r="H455" s="49"/>
      <c r="I455" s="50"/>
      <c r="J455" s="51"/>
      <c r="K455" s="52"/>
      <c r="L455" s="53" t="str">
        <f t="shared" si="104"/>
        <v/>
      </c>
      <c r="M455" s="48" t="str">
        <f t="shared" si="105"/>
        <v/>
      </c>
      <c r="N455" s="54" t="str">
        <f t="shared" si="106"/>
        <v/>
      </c>
      <c r="O455" s="55">
        <f t="shared" si="107"/>
        <v>0</v>
      </c>
      <c r="P455" s="55">
        <f t="shared" si="108"/>
        <v>0</v>
      </c>
      <c r="Q455" s="54">
        <f t="shared" si="109"/>
        <v>0</v>
      </c>
      <c r="R455" s="203"/>
      <c r="T455" s="57"/>
      <c r="U455" s="45"/>
      <c r="V455" s="46">
        <f>IF(U455&lt;&gt;"",VLOOKUP(U455,'Tipo Projeto'!$A$3:$B$35,2,0),0)</f>
        <v>0</v>
      </c>
      <c r="W455" s="203"/>
      <c r="X455" s="49"/>
      <c r="Y455" s="50"/>
      <c r="Z455" s="51"/>
      <c r="AA455" s="52"/>
      <c r="AB455" s="53" t="str">
        <f t="shared" si="110"/>
        <v/>
      </c>
      <c r="AC455" s="48" t="str">
        <f t="shared" si="111"/>
        <v/>
      </c>
      <c r="AD455" s="54" t="str">
        <f t="shared" si="112"/>
        <v/>
      </c>
      <c r="AE455" s="55">
        <f t="shared" si="113"/>
        <v>0</v>
      </c>
      <c r="AF455" s="55">
        <f t="shared" si="114"/>
        <v>0</v>
      </c>
      <c r="AG455" s="58">
        <f t="shared" si="115"/>
        <v>0</v>
      </c>
      <c r="AH455" s="203"/>
      <c r="AJ455" s="203"/>
      <c r="AL455" s="203"/>
      <c r="AM455" s="203" t="str">
        <f t="shared" si="116"/>
        <v/>
      </c>
    </row>
    <row r="456" spans="1:39" s="56" customFormat="1" ht="14.25">
      <c r="A456" s="44"/>
      <c r="B456" s="45"/>
      <c r="C456" s="46">
        <f>IF(B456&lt;&gt;"",VLOOKUP(B456,'Tipo Projeto'!$A$3:$B$35,2,0),0)</f>
        <v>0</v>
      </c>
      <c r="D456" s="203"/>
      <c r="E456" s="203"/>
      <c r="F456" s="48"/>
      <c r="G456" s="203"/>
      <c r="H456" s="49"/>
      <c r="I456" s="50"/>
      <c r="J456" s="51"/>
      <c r="K456" s="52"/>
      <c r="L456" s="53" t="str">
        <f t="shared" si="104"/>
        <v/>
      </c>
      <c r="M456" s="48" t="str">
        <f t="shared" si="105"/>
        <v/>
      </c>
      <c r="N456" s="54" t="str">
        <f t="shared" si="106"/>
        <v/>
      </c>
      <c r="O456" s="55">
        <f t="shared" si="107"/>
        <v>0</v>
      </c>
      <c r="P456" s="55">
        <f t="shared" si="108"/>
        <v>0</v>
      </c>
      <c r="Q456" s="54">
        <f t="shared" si="109"/>
        <v>0</v>
      </c>
      <c r="R456" s="203"/>
      <c r="T456" s="57"/>
      <c r="U456" s="45"/>
      <c r="V456" s="46">
        <f>IF(U456&lt;&gt;"",VLOOKUP(U456,'Tipo Projeto'!$A$3:$B$35,2,0),0)</f>
        <v>0</v>
      </c>
      <c r="W456" s="203"/>
      <c r="X456" s="49"/>
      <c r="Y456" s="50"/>
      <c r="Z456" s="51"/>
      <c r="AA456" s="52"/>
      <c r="AB456" s="53" t="str">
        <f t="shared" si="110"/>
        <v/>
      </c>
      <c r="AC456" s="48" t="str">
        <f t="shared" si="111"/>
        <v/>
      </c>
      <c r="AD456" s="54" t="str">
        <f t="shared" si="112"/>
        <v/>
      </c>
      <c r="AE456" s="55">
        <f t="shared" si="113"/>
        <v>0</v>
      </c>
      <c r="AF456" s="55">
        <f t="shared" si="114"/>
        <v>0</v>
      </c>
      <c r="AG456" s="58">
        <f t="shared" si="115"/>
        <v>0</v>
      </c>
      <c r="AH456" s="203"/>
      <c r="AJ456" s="203"/>
      <c r="AL456" s="203"/>
      <c r="AM456" s="203" t="str">
        <f t="shared" si="116"/>
        <v/>
      </c>
    </row>
    <row r="457" spans="1:39" s="56" customFormat="1" ht="14.25">
      <c r="A457" s="44"/>
      <c r="B457" s="45"/>
      <c r="C457" s="46">
        <f>IF(B457&lt;&gt;"",VLOOKUP(B457,'Tipo Projeto'!$A$3:$B$35,2,0),0)</f>
        <v>0</v>
      </c>
      <c r="D457" s="203"/>
      <c r="E457" s="203"/>
      <c r="F457" s="48"/>
      <c r="G457" s="203"/>
      <c r="H457" s="49"/>
      <c r="I457" s="50"/>
      <c r="J457" s="51"/>
      <c r="K457" s="52"/>
      <c r="L457" s="53" t="str">
        <f t="shared" si="104"/>
        <v/>
      </c>
      <c r="M457" s="48" t="str">
        <f t="shared" si="105"/>
        <v/>
      </c>
      <c r="N457" s="54" t="str">
        <f t="shared" si="106"/>
        <v/>
      </c>
      <c r="O457" s="55">
        <f t="shared" si="107"/>
        <v>0</v>
      </c>
      <c r="P457" s="55">
        <f t="shared" si="108"/>
        <v>0</v>
      </c>
      <c r="Q457" s="54">
        <f t="shared" si="109"/>
        <v>0</v>
      </c>
      <c r="R457" s="203"/>
      <c r="T457" s="57"/>
      <c r="U457" s="45"/>
      <c r="V457" s="46">
        <f>IF(U457&lt;&gt;"",VLOOKUP(U457,'Tipo Projeto'!$A$3:$B$35,2,0),0)</f>
        <v>0</v>
      </c>
      <c r="W457" s="203"/>
      <c r="X457" s="49"/>
      <c r="Y457" s="50"/>
      <c r="Z457" s="51"/>
      <c r="AA457" s="52"/>
      <c r="AB457" s="53" t="str">
        <f t="shared" si="110"/>
        <v/>
      </c>
      <c r="AC457" s="48" t="str">
        <f t="shared" si="111"/>
        <v/>
      </c>
      <c r="AD457" s="54" t="str">
        <f t="shared" si="112"/>
        <v/>
      </c>
      <c r="AE457" s="55">
        <f t="shared" si="113"/>
        <v>0</v>
      </c>
      <c r="AF457" s="55">
        <f t="shared" si="114"/>
        <v>0</v>
      </c>
      <c r="AG457" s="58">
        <f t="shared" si="115"/>
        <v>0</v>
      </c>
      <c r="AH457" s="203"/>
      <c r="AJ457" s="203"/>
      <c r="AL457" s="203"/>
      <c r="AM457" s="203" t="str">
        <f t="shared" si="116"/>
        <v/>
      </c>
    </row>
    <row r="458" spans="1:39" s="56" customFormat="1" ht="14.25">
      <c r="A458" s="44"/>
      <c r="B458" s="45"/>
      <c r="C458" s="46">
        <f>IF(B458&lt;&gt;"",VLOOKUP(B458,'Tipo Projeto'!$A$3:$B$35,2,0),0)</f>
        <v>0</v>
      </c>
      <c r="D458" s="203"/>
      <c r="E458" s="203"/>
      <c r="F458" s="48"/>
      <c r="G458" s="203"/>
      <c r="H458" s="49"/>
      <c r="I458" s="50"/>
      <c r="J458" s="51"/>
      <c r="K458" s="52"/>
      <c r="L458" s="53" t="str">
        <f t="shared" si="104"/>
        <v/>
      </c>
      <c r="M458" s="48" t="str">
        <f t="shared" si="105"/>
        <v/>
      </c>
      <c r="N458" s="54" t="str">
        <f t="shared" si="106"/>
        <v/>
      </c>
      <c r="O458" s="55">
        <f t="shared" si="107"/>
        <v>0</v>
      </c>
      <c r="P458" s="55">
        <f t="shared" si="108"/>
        <v>0</v>
      </c>
      <c r="Q458" s="54">
        <f t="shared" si="109"/>
        <v>0</v>
      </c>
      <c r="R458" s="203"/>
      <c r="T458" s="57"/>
      <c r="U458" s="45"/>
      <c r="V458" s="46">
        <f>IF(U458&lt;&gt;"",VLOOKUP(U458,'Tipo Projeto'!$A$3:$B$35,2,0),0)</f>
        <v>0</v>
      </c>
      <c r="W458" s="203"/>
      <c r="X458" s="49"/>
      <c r="Y458" s="50"/>
      <c r="Z458" s="51"/>
      <c r="AA458" s="52"/>
      <c r="AB458" s="53" t="str">
        <f t="shared" si="110"/>
        <v/>
      </c>
      <c r="AC458" s="48" t="str">
        <f t="shared" si="111"/>
        <v/>
      </c>
      <c r="AD458" s="54" t="str">
        <f t="shared" si="112"/>
        <v/>
      </c>
      <c r="AE458" s="55">
        <f t="shared" si="113"/>
        <v>0</v>
      </c>
      <c r="AF458" s="55">
        <f t="shared" si="114"/>
        <v>0</v>
      </c>
      <c r="AG458" s="58">
        <f t="shared" si="115"/>
        <v>0</v>
      </c>
      <c r="AH458" s="203"/>
      <c r="AJ458" s="203"/>
      <c r="AL458" s="203"/>
      <c r="AM458" s="203" t="str">
        <f t="shared" si="116"/>
        <v/>
      </c>
    </row>
    <row r="459" spans="1:39" s="56" customFormat="1" ht="14.25">
      <c r="A459" s="44"/>
      <c r="B459" s="45"/>
      <c r="C459" s="46">
        <f>IF(B459&lt;&gt;"",VLOOKUP(B459,'Tipo Projeto'!$A$3:$B$35,2,0),0)</f>
        <v>0</v>
      </c>
      <c r="D459" s="203"/>
      <c r="E459" s="203"/>
      <c r="F459" s="48"/>
      <c r="G459" s="203"/>
      <c r="H459" s="49"/>
      <c r="I459" s="50"/>
      <c r="J459" s="51"/>
      <c r="K459" s="52"/>
      <c r="L459" s="53" t="str">
        <f t="shared" si="104"/>
        <v/>
      </c>
      <c r="M459" s="48" t="str">
        <f t="shared" si="105"/>
        <v/>
      </c>
      <c r="N459" s="54" t="str">
        <f t="shared" si="106"/>
        <v/>
      </c>
      <c r="O459" s="55">
        <f t="shared" si="107"/>
        <v>0</v>
      </c>
      <c r="P459" s="55">
        <f t="shared" si="108"/>
        <v>0</v>
      </c>
      <c r="Q459" s="54">
        <f t="shared" si="109"/>
        <v>0</v>
      </c>
      <c r="R459" s="203"/>
      <c r="T459" s="57"/>
      <c r="U459" s="45"/>
      <c r="V459" s="46">
        <f>IF(U459&lt;&gt;"",VLOOKUP(U459,'Tipo Projeto'!$A$3:$B$35,2,0),0)</f>
        <v>0</v>
      </c>
      <c r="W459" s="203"/>
      <c r="X459" s="49"/>
      <c r="Y459" s="50"/>
      <c r="Z459" s="51"/>
      <c r="AA459" s="52"/>
      <c r="AB459" s="53" t="str">
        <f t="shared" si="110"/>
        <v/>
      </c>
      <c r="AC459" s="48" t="str">
        <f t="shared" si="111"/>
        <v/>
      </c>
      <c r="AD459" s="54" t="str">
        <f t="shared" si="112"/>
        <v/>
      </c>
      <c r="AE459" s="55">
        <f t="shared" si="113"/>
        <v>0</v>
      </c>
      <c r="AF459" s="55">
        <f t="shared" si="114"/>
        <v>0</v>
      </c>
      <c r="AG459" s="58">
        <f t="shared" si="115"/>
        <v>0</v>
      </c>
      <c r="AH459" s="203"/>
      <c r="AJ459" s="203"/>
      <c r="AL459" s="203"/>
      <c r="AM459" s="203" t="str">
        <f t="shared" si="116"/>
        <v/>
      </c>
    </row>
    <row r="460" spans="1:39" s="56" customFormat="1" ht="14.25">
      <c r="A460" s="44"/>
      <c r="B460" s="45"/>
      <c r="C460" s="46">
        <f>IF(B460&lt;&gt;"",VLOOKUP(B460,'Tipo Projeto'!$A$3:$B$35,2,0),0)</f>
        <v>0</v>
      </c>
      <c r="D460" s="203"/>
      <c r="E460" s="203"/>
      <c r="F460" s="48"/>
      <c r="G460" s="203"/>
      <c r="H460" s="49"/>
      <c r="I460" s="50"/>
      <c r="J460" s="51"/>
      <c r="K460" s="52"/>
      <c r="L460" s="53" t="str">
        <f t="shared" si="104"/>
        <v/>
      </c>
      <c r="M460" s="48" t="str">
        <f t="shared" si="105"/>
        <v/>
      </c>
      <c r="N460" s="54" t="str">
        <f t="shared" si="106"/>
        <v/>
      </c>
      <c r="O460" s="55">
        <f t="shared" si="107"/>
        <v>0</v>
      </c>
      <c r="P460" s="55">
        <f t="shared" si="108"/>
        <v>0</v>
      </c>
      <c r="Q460" s="54">
        <f t="shared" si="109"/>
        <v>0</v>
      </c>
      <c r="R460" s="203"/>
      <c r="T460" s="57"/>
      <c r="U460" s="45"/>
      <c r="V460" s="46">
        <f>IF(U460&lt;&gt;"",VLOOKUP(U460,'Tipo Projeto'!$A$3:$B$35,2,0),0)</f>
        <v>0</v>
      </c>
      <c r="W460" s="203"/>
      <c r="X460" s="49"/>
      <c r="Y460" s="50"/>
      <c r="Z460" s="51"/>
      <c r="AA460" s="52"/>
      <c r="AB460" s="53" t="str">
        <f t="shared" si="110"/>
        <v/>
      </c>
      <c r="AC460" s="48" t="str">
        <f t="shared" si="111"/>
        <v/>
      </c>
      <c r="AD460" s="54" t="str">
        <f t="shared" si="112"/>
        <v/>
      </c>
      <c r="AE460" s="55">
        <f t="shared" si="113"/>
        <v>0</v>
      </c>
      <c r="AF460" s="55">
        <f t="shared" si="114"/>
        <v>0</v>
      </c>
      <c r="AG460" s="58">
        <f t="shared" si="115"/>
        <v>0</v>
      </c>
      <c r="AH460" s="203"/>
      <c r="AJ460" s="203"/>
      <c r="AL460" s="203"/>
      <c r="AM460" s="203" t="str">
        <f t="shared" si="116"/>
        <v/>
      </c>
    </row>
    <row r="461" spans="1:39" s="56" customFormat="1" ht="14.25">
      <c r="A461" s="44"/>
      <c r="B461" s="45"/>
      <c r="C461" s="46">
        <f>IF(B461&lt;&gt;"",VLOOKUP(B461,'Tipo Projeto'!$A$3:$B$35,2,0),0)</f>
        <v>0</v>
      </c>
      <c r="D461" s="203"/>
      <c r="E461" s="203"/>
      <c r="F461" s="48"/>
      <c r="G461" s="203"/>
      <c r="H461" s="49"/>
      <c r="I461" s="50"/>
      <c r="J461" s="51"/>
      <c r="K461" s="52"/>
      <c r="L461" s="53" t="str">
        <f t="shared" si="104"/>
        <v/>
      </c>
      <c r="M461" s="48" t="str">
        <f t="shared" si="105"/>
        <v/>
      </c>
      <c r="N461" s="54" t="str">
        <f t="shared" si="106"/>
        <v/>
      </c>
      <c r="O461" s="55">
        <f t="shared" si="107"/>
        <v>0</v>
      </c>
      <c r="P461" s="55">
        <f t="shared" si="108"/>
        <v>0</v>
      </c>
      <c r="Q461" s="54">
        <f t="shared" si="109"/>
        <v>0</v>
      </c>
      <c r="R461" s="203"/>
      <c r="T461" s="57"/>
      <c r="U461" s="45"/>
      <c r="V461" s="46">
        <f>IF(U461&lt;&gt;"",VLOOKUP(U461,'Tipo Projeto'!$A$3:$B$35,2,0),0)</f>
        <v>0</v>
      </c>
      <c r="W461" s="203"/>
      <c r="X461" s="49"/>
      <c r="Y461" s="50"/>
      <c r="Z461" s="51"/>
      <c r="AA461" s="52"/>
      <c r="AB461" s="53" t="str">
        <f t="shared" si="110"/>
        <v/>
      </c>
      <c r="AC461" s="48" t="str">
        <f t="shared" si="111"/>
        <v/>
      </c>
      <c r="AD461" s="54" t="str">
        <f t="shared" si="112"/>
        <v/>
      </c>
      <c r="AE461" s="55">
        <f t="shared" si="113"/>
        <v>0</v>
      </c>
      <c r="AF461" s="55">
        <f t="shared" si="114"/>
        <v>0</v>
      </c>
      <c r="AG461" s="58">
        <f t="shared" si="115"/>
        <v>0</v>
      </c>
      <c r="AH461" s="203"/>
      <c r="AJ461" s="203"/>
      <c r="AL461" s="203"/>
      <c r="AM461" s="203" t="str">
        <f t="shared" si="116"/>
        <v/>
      </c>
    </row>
    <row r="462" spans="1:39" s="56" customFormat="1" ht="14.25">
      <c r="A462" s="44"/>
      <c r="B462" s="45"/>
      <c r="C462" s="46">
        <f>IF(B462&lt;&gt;"",VLOOKUP(B462,'Tipo Projeto'!$A$3:$B$35,2,0),0)</f>
        <v>0</v>
      </c>
      <c r="D462" s="203"/>
      <c r="E462" s="203"/>
      <c r="F462" s="48"/>
      <c r="G462" s="203"/>
      <c r="H462" s="49"/>
      <c r="I462" s="50"/>
      <c r="J462" s="51"/>
      <c r="K462" s="52"/>
      <c r="L462" s="53" t="str">
        <f t="shared" si="104"/>
        <v/>
      </c>
      <c r="M462" s="48" t="str">
        <f t="shared" si="105"/>
        <v/>
      </c>
      <c r="N462" s="54" t="str">
        <f t="shared" si="106"/>
        <v/>
      </c>
      <c r="O462" s="55">
        <f t="shared" si="107"/>
        <v>0</v>
      </c>
      <c r="P462" s="55">
        <f t="shared" si="108"/>
        <v>0</v>
      </c>
      <c r="Q462" s="54">
        <f t="shared" si="109"/>
        <v>0</v>
      </c>
      <c r="R462" s="203"/>
      <c r="T462" s="57"/>
      <c r="U462" s="45"/>
      <c r="V462" s="46">
        <f>IF(U462&lt;&gt;"",VLOOKUP(U462,'Tipo Projeto'!$A$3:$B$35,2,0),0)</f>
        <v>0</v>
      </c>
      <c r="W462" s="203"/>
      <c r="X462" s="49"/>
      <c r="Y462" s="50"/>
      <c r="Z462" s="51"/>
      <c r="AA462" s="52"/>
      <c r="AB462" s="53" t="str">
        <f t="shared" si="110"/>
        <v/>
      </c>
      <c r="AC462" s="48" t="str">
        <f t="shared" si="111"/>
        <v/>
      </c>
      <c r="AD462" s="54" t="str">
        <f t="shared" si="112"/>
        <v/>
      </c>
      <c r="AE462" s="55">
        <f t="shared" si="113"/>
        <v>0</v>
      </c>
      <c r="AF462" s="55">
        <f t="shared" si="114"/>
        <v>0</v>
      </c>
      <c r="AG462" s="58">
        <f t="shared" si="115"/>
        <v>0</v>
      </c>
      <c r="AH462" s="203"/>
      <c r="AJ462" s="203"/>
      <c r="AL462" s="203"/>
      <c r="AM462" s="203" t="str">
        <f t="shared" si="116"/>
        <v/>
      </c>
    </row>
    <row r="463" spans="1:39" s="56" customFormat="1" ht="14.25">
      <c r="A463" s="44"/>
      <c r="B463" s="45"/>
      <c r="C463" s="46">
        <f>IF(B463&lt;&gt;"",VLOOKUP(B463,'Tipo Projeto'!$A$3:$B$35,2,0),0)</f>
        <v>0</v>
      </c>
      <c r="D463" s="203"/>
      <c r="E463" s="203"/>
      <c r="F463" s="48"/>
      <c r="G463" s="203"/>
      <c r="H463" s="49"/>
      <c r="I463" s="50"/>
      <c r="J463" s="51"/>
      <c r="K463" s="52"/>
      <c r="L463" s="53" t="str">
        <f t="shared" si="104"/>
        <v/>
      </c>
      <c r="M463" s="48" t="str">
        <f t="shared" si="105"/>
        <v/>
      </c>
      <c r="N463" s="54" t="str">
        <f t="shared" si="106"/>
        <v/>
      </c>
      <c r="O463" s="55">
        <f t="shared" si="107"/>
        <v>0</v>
      </c>
      <c r="P463" s="55">
        <f t="shared" si="108"/>
        <v>0</v>
      </c>
      <c r="Q463" s="54">
        <f t="shared" si="109"/>
        <v>0</v>
      </c>
      <c r="R463" s="203"/>
      <c r="T463" s="57"/>
      <c r="U463" s="45"/>
      <c r="V463" s="46">
        <f>IF(U463&lt;&gt;"",VLOOKUP(U463,'Tipo Projeto'!$A$3:$B$35,2,0),0)</f>
        <v>0</v>
      </c>
      <c r="W463" s="203"/>
      <c r="X463" s="49"/>
      <c r="Y463" s="50"/>
      <c r="Z463" s="51"/>
      <c r="AA463" s="52"/>
      <c r="AB463" s="53" t="str">
        <f t="shared" si="110"/>
        <v/>
      </c>
      <c r="AC463" s="48" t="str">
        <f t="shared" si="111"/>
        <v/>
      </c>
      <c r="AD463" s="54" t="str">
        <f t="shared" si="112"/>
        <v/>
      </c>
      <c r="AE463" s="55">
        <f t="shared" si="113"/>
        <v>0</v>
      </c>
      <c r="AF463" s="55">
        <f t="shared" si="114"/>
        <v>0</v>
      </c>
      <c r="AG463" s="58">
        <f t="shared" si="115"/>
        <v>0</v>
      </c>
      <c r="AH463" s="203"/>
      <c r="AJ463" s="203"/>
      <c r="AL463" s="203"/>
      <c r="AM463" s="203" t="str">
        <f t="shared" si="116"/>
        <v/>
      </c>
    </row>
    <row r="464" spans="1:39" s="56" customFormat="1" ht="14.25">
      <c r="A464" s="44"/>
      <c r="B464" s="45"/>
      <c r="C464" s="46">
        <f>IF(B464&lt;&gt;"",VLOOKUP(B464,'Tipo Projeto'!$A$3:$B$35,2,0),0)</f>
        <v>0</v>
      </c>
      <c r="D464" s="203"/>
      <c r="E464" s="203"/>
      <c r="F464" s="48"/>
      <c r="G464" s="203"/>
      <c r="H464" s="49"/>
      <c r="I464" s="50"/>
      <c r="J464" s="51"/>
      <c r="K464" s="52"/>
      <c r="L464" s="53" t="str">
        <f t="shared" si="104"/>
        <v/>
      </c>
      <c r="M464" s="48" t="str">
        <f t="shared" si="105"/>
        <v/>
      </c>
      <c r="N464" s="54" t="str">
        <f t="shared" si="106"/>
        <v/>
      </c>
      <c r="O464" s="55">
        <f t="shared" si="107"/>
        <v>0</v>
      </c>
      <c r="P464" s="55">
        <f t="shared" si="108"/>
        <v>0</v>
      </c>
      <c r="Q464" s="54">
        <f t="shared" si="109"/>
        <v>0</v>
      </c>
      <c r="R464" s="203"/>
      <c r="T464" s="57"/>
      <c r="U464" s="45"/>
      <c r="V464" s="46">
        <f>IF(U464&lt;&gt;"",VLOOKUP(U464,'Tipo Projeto'!$A$3:$B$35,2,0),0)</f>
        <v>0</v>
      </c>
      <c r="W464" s="203"/>
      <c r="X464" s="49"/>
      <c r="Y464" s="50"/>
      <c r="Z464" s="51"/>
      <c r="AA464" s="52"/>
      <c r="AB464" s="53" t="str">
        <f t="shared" si="110"/>
        <v/>
      </c>
      <c r="AC464" s="48" t="str">
        <f t="shared" si="111"/>
        <v/>
      </c>
      <c r="AD464" s="54" t="str">
        <f t="shared" si="112"/>
        <v/>
      </c>
      <c r="AE464" s="55">
        <f t="shared" si="113"/>
        <v>0</v>
      </c>
      <c r="AF464" s="55">
        <f t="shared" si="114"/>
        <v>0</v>
      </c>
      <c r="AG464" s="58">
        <f t="shared" si="115"/>
        <v>0</v>
      </c>
      <c r="AH464" s="203"/>
      <c r="AJ464" s="203"/>
      <c r="AL464" s="203"/>
      <c r="AM464" s="203" t="str">
        <f t="shared" si="116"/>
        <v/>
      </c>
    </row>
    <row r="465" spans="1:39" s="56" customFormat="1" ht="14.25">
      <c r="A465" s="44"/>
      <c r="B465" s="45"/>
      <c r="C465" s="46">
        <f>IF(B465&lt;&gt;"",VLOOKUP(B465,'Tipo Projeto'!$A$3:$B$35,2,0),0)</f>
        <v>0</v>
      </c>
      <c r="D465" s="203"/>
      <c r="E465" s="203"/>
      <c r="F465" s="48"/>
      <c r="G465" s="203"/>
      <c r="H465" s="49"/>
      <c r="I465" s="50"/>
      <c r="J465" s="51"/>
      <c r="K465" s="52"/>
      <c r="L465" s="53" t="str">
        <f t="shared" si="104"/>
        <v/>
      </c>
      <c r="M465" s="48" t="str">
        <f t="shared" si="105"/>
        <v/>
      </c>
      <c r="N465" s="54" t="str">
        <f t="shared" si="106"/>
        <v/>
      </c>
      <c r="O465" s="55">
        <f t="shared" si="107"/>
        <v>0</v>
      </c>
      <c r="P465" s="55">
        <f t="shared" si="108"/>
        <v>0</v>
      </c>
      <c r="Q465" s="54">
        <f t="shared" si="109"/>
        <v>0</v>
      </c>
      <c r="R465" s="203"/>
      <c r="T465" s="57"/>
      <c r="U465" s="45"/>
      <c r="V465" s="46">
        <f>IF(U465&lt;&gt;"",VLOOKUP(U465,'Tipo Projeto'!$A$3:$B$35,2,0),0)</f>
        <v>0</v>
      </c>
      <c r="W465" s="203"/>
      <c r="X465" s="49"/>
      <c r="Y465" s="50"/>
      <c r="Z465" s="51"/>
      <c r="AA465" s="52"/>
      <c r="AB465" s="53" t="str">
        <f t="shared" si="110"/>
        <v/>
      </c>
      <c r="AC465" s="48" t="str">
        <f t="shared" si="111"/>
        <v/>
      </c>
      <c r="AD465" s="54" t="str">
        <f t="shared" si="112"/>
        <v/>
      </c>
      <c r="AE465" s="55">
        <f t="shared" si="113"/>
        <v>0</v>
      </c>
      <c r="AF465" s="55">
        <f t="shared" si="114"/>
        <v>0</v>
      </c>
      <c r="AG465" s="58">
        <f t="shared" si="115"/>
        <v>0</v>
      </c>
      <c r="AH465" s="203"/>
      <c r="AJ465" s="203"/>
      <c r="AL465" s="203"/>
      <c r="AM465" s="203" t="str">
        <f t="shared" si="116"/>
        <v/>
      </c>
    </row>
    <row r="466" spans="1:39" s="56" customFormat="1" ht="14.25">
      <c r="A466" s="44"/>
      <c r="B466" s="45"/>
      <c r="C466" s="46">
        <f>IF(B466&lt;&gt;"",VLOOKUP(B466,'Tipo Projeto'!$A$3:$B$35,2,0),0)</f>
        <v>0</v>
      </c>
      <c r="D466" s="203"/>
      <c r="E466" s="203"/>
      <c r="F466" s="48"/>
      <c r="G466" s="203"/>
      <c r="H466" s="49"/>
      <c r="I466" s="50"/>
      <c r="J466" s="51"/>
      <c r="K466" s="52"/>
      <c r="L466" s="53" t="str">
        <f t="shared" si="104"/>
        <v/>
      </c>
      <c r="M466" s="48" t="str">
        <f t="shared" si="105"/>
        <v/>
      </c>
      <c r="N466" s="54" t="str">
        <f t="shared" si="106"/>
        <v/>
      </c>
      <c r="O466" s="55">
        <f t="shared" si="107"/>
        <v>0</v>
      </c>
      <c r="P466" s="55">
        <f t="shared" si="108"/>
        <v>0</v>
      </c>
      <c r="Q466" s="54">
        <f t="shared" si="109"/>
        <v>0</v>
      </c>
      <c r="R466" s="203"/>
      <c r="T466" s="57"/>
      <c r="U466" s="45"/>
      <c r="V466" s="46">
        <f>IF(U466&lt;&gt;"",VLOOKUP(U466,'Tipo Projeto'!$A$3:$B$35,2,0),0)</f>
        <v>0</v>
      </c>
      <c r="W466" s="203"/>
      <c r="X466" s="49"/>
      <c r="Y466" s="50"/>
      <c r="Z466" s="51"/>
      <c r="AA466" s="52"/>
      <c r="AB466" s="53" t="str">
        <f t="shared" si="110"/>
        <v/>
      </c>
      <c r="AC466" s="48" t="str">
        <f t="shared" si="111"/>
        <v/>
      </c>
      <c r="AD466" s="54" t="str">
        <f t="shared" si="112"/>
        <v/>
      </c>
      <c r="AE466" s="55">
        <f t="shared" si="113"/>
        <v>0</v>
      </c>
      <c r="AF466" s="55">
        <f t="shared" si="114"/>
        <v>0</v>
      </c>
      <c r="AG466" s="58">
        <f t="shared" si="115"/>
        <v>0</v>
      </c>
      <c r="AH466" s="203"/>
      <c r="AJ466" s="203"/>
      <c r="AL466" s="203"/>
      <c r="AM466" s="203" t="str">
        <f t="shared" si="116"/>
        <v/>
      </c>
    </row>
    <row r="467" spans="1:39" s="56" customFormat="1" ht="14.25">
      <c r="A467" s="44"/>
      <c r="B467" s="45"/>
      <c r="C467" s="46">
        <f>IF(B467&lt;&gt;"",VLOOKUP(B467,'Tipo Projeto'!$A$3:$B$35,2,0),0)</f>
        <v>0</v>
      </c>
      <c r="D467" s="203"/>
      <c r="E467" s="203"/>
      <c r="F467" s="48"/>
      <c r="G467" s="203"/>
      <c r="H467" s="49"/>
      <c r="I467" s="50"/>
      <c r="J467" s="51"/>
      <c r="K467" s="52"/>
      <c r="L467" s="53" t="str">
        <f t="shared" si="104"/>
        <v/>
      </c>
      <c r="M467" s="48" t="str">
        <f t="shared" si="105"/>
        <v/>
      </c>
      <c r="N467" s="54" t="str">
        <f t="shared" si="106"/>
        <v/>
      </c>
      <c r="O467" s="55">
        <f t="shared" si="107"/>
        <v>0</v>
      </c>
      <c r="P467" s="55">
        <f t="shared" si="108"/>
        <v>0</v>
      </c>
      <c r="Q467" s="54">
        <f t="shared" si="109"/>
        <v>0</v>
      </c>
      <c r="R467" s="203"/>
      <c r="T467" s="57"/>
      <c r="U467" s="45"/>
      <c r="V467" s="46">
        <f>IF(U467&lt;&gt;"",VLOOKUP(U467,'Tipo Projeto'!$A$3:$B$35,2,0),0)</f>
        <v>0</v>
      </c>
      <c r="W467" s="203"/>
      <c r="X467" s="49"/>
      <c r="Y467" s="50"/>
      <c r="Z467" s="51"/>
      <c r="AA467" s="52"/>
      <c r="AB467" s="53" t="str">
        <f t="shared" si="110"/>
        <v/>
      </c>
      <c r="AC467" s="48" t="str">
        <f t="shared" si="111"/>
        <v/>
      </c>
      <c r="AD467" s="54" t="str">
        <f t="shared" si="112"/>
        <v/>
      </c>
      <c r="AE467" s="55">
        <f t="shared" si="113"/>
        <v>0</v>
      </c>
      <c r="AF467" s="55">
        <f t="shared" si="114"/>
        <v>0</v>
      </c>
      <c r="AG467" s="58">
        <f t="shared" si="115"/>
        <v>0</v>
      </c>
      <c r="AH467" s="203"/>
      <c r="AJ467" s="203"/>
      <c r="AL467" s="203"/>
      <c r="AM467" s="203" t="str">
        <f t="shared" si="116"/>
        <v/>
      </c>
    </row>
    <row r="468" spans="1:39" s="56" customFormat="1" ht="14.25">
      <c r="A468" s="44"/>
      <c r="B468" s="45"/>
      <c r="C468" s="46">
        <f>IF(B468&lt;&gt;"",VLOOKUP(B468,'Tipo Projeto'!$A$3:$B$35,2,0),0)</f>
        <v>0</v>
      </c>
      <c r="D468" s="203"/>
      <c r="E468" s="203"/>
      <c r="F468" s="48"/>
      <c r="G468" s="203"/>
      <c r="H468" s="49"/>
      <c r="I468" s="50"/>
      <c r="J468" s="51"/>
      <c r="K468" s="52"/>
      <c r="L468" s="53" t="str">
        <f t="shared" si="104"/>
        <v/>
      </c>
      <c r="M468" s="48" t="str">
        <f t="shared" si="105"/>
        <v/>
      </c>
      <c r="N468" s="54" t="str">
        <f t="shared" si="106"/>
        <v/>
      </c>
      <c r="O468" s="55">
        <f t="shared" si="107"/>
        <v>0</v>
      </c>
      <c r="P468" s="55">
        <f t="shared" si="108"/>
        <v>0</v>
      </c>
      <c r="Q468" s="54">
        <f t="shared" si="109"/>
        <v>0</v>
      </c>
      <c r="R468" s="203"/>
      <c r="T468" s="57"/>
      <c r="U468" s="45"/>
      <c r="V468" s="46">
        <f>IF(U468&lt;&gt;"",VLOOKUP(U468,'Tipo Projeto'!$A$3:$B$35,2,0),0)</f>
        <v>0</v>
      </c>
      <c r="W468" s="203"/>
      <c r="X468" s="49"/>
      <c r="Y468" s="50"/>
      <c r="Z468" s="51"/>
      <c r="AA468" s="52"/>
      <c r="AB468" s="53" t="str">
        <f t="shared" si="110"/>
        <v/>
      </c>
      <c r="AC468" s="48" t="str">
        <f t="shared" si="111"/>
        <v/>
      </c>
      <c r="AD468" s="54" t="str">
        <f t="shared" si="112"/>
        <v/>
      </c>
      <c r="AE468" s="55">
        <f t="shared" si="113"/>
        <v>0</v>
      </c>
      <c r="AF468" s="55">
        <f t="shared" si="114"/>
        <v>0</v>
      </c>
      <c r="AG468" s="58">
        <f t="shared" si="115"/>
        <v>0</v>
      </c>
      <c r="AH468" s="203"/>
      <c r="AJ468" s="203"/>
      <c r="AL468" s="203"/>
      <c r="AM468" s="203" t="str">
        <f t="shared" si="116"/>
        <v/>
      </c>
    </row>
    <row r="469" spans="1:39" s="56" customFormat="1" ht="14.25">
      <c r="A469" s="44"/>
      <c r="B469" s="45"/>
      <c r="C469" s="46">
        <f>IF(B469&lt;&gt;"",VLOOKUP(B469,'Tipo Projeto'!$A$3:$B$35,2,0),0)</f>
        <v>0</v>
      </c>
      <c r="D469" s="203"/>
      <c r="E469" s="203"/>
      <c r="F469" s="48"/>
      <c r="G469" s="203"/>
      <c r="H469" s="49"/>
      <c r="I469" s="50"/>
      <c r="J469" s="51"/>
      <c r="K469" s="52"/>
      <c r="L469" s="53" t="str">
        <f t="shared" si="104"/>
        <v/>
      </c>
      <c r="M469" s="48" t="str">
        <f t="shared" si="105"/>
        <v/>
      </c>
      <c r="N469" s="54" t="str">
        <f t="shared" si="106"/>
        <v/>
      </c>
      <c r="O469" s="55">
        <f t="shared" si="107"/>
        <v>0</v>
      </c>
      <c r="P469" s="55">
        <f t="shared" si="108"/>
        <v>0</v>
      </c>
      <c r="Q469" s="54">
        <f t="shared" si="109"/>
        <v>0</v>
      </c>
      <c r="R469" s="203"/>
      <c r="T469" s="57"/>
      <c r="U469" s="45"/>
      <c r="V469" s="46">
        <f>IF(U469&lt;&gt;"",VLOOKUP(U469,'Tipo Projeto'!$A$3:$B$35,2,0),0)</f>
        <v>0</v>
      </c>
      <c r="W469" s="203"/>
      <c r="X469" s="49"/>
      <c r="Y469" s="50"/>
      <c r="Z469" s="51"/>
      <c r="AA469" s="52"/>
      <c r="AB469" s="53" t="str">
        <f t="shared" si="110"/>
        <v/>
      </c>
      <c r="AC469" s="48" t="str">
        <f t="shared" si="111"/>
        <v/>
      </c>
      <c r="AD469" s="54" t="str">
        <f t="shared" si="112"/>
        <v/>
      </c>
      <c r="AE469" s="55">
        <f t="shared" si="113"/>
        <v>0</v>
      </c>
      <c r="AF469" s="55">
        <f t="shared" si="114"/>
        <v>0</v>
      </c>
      <c r="AG469" s="58">
        <f t="shared" si="115"/>
        <v>0</v>
      </c>
      <c r="AH469" s="203"/>
      <c r="AJ469" s="203"/>
      <c r="AL469" s="203"/>
      <c r="AM469" s="203" t="str">
        <f t="shared" si="116"/>
        <v/>
      </c>
    </row>
    <row r="470" spans="1:39" s="56" customFormat="1" ht="14.25">
      <c r="A470" s="44"/>
      <c r="B470" s="45"/>
      <c r="C470" s="46">
        <f>IF(B470&lt;&gt;"",VLOOKUP(B470,'Tipo Projeto'!$A$3:$B$35,2,0),0)</f>
        <v>0</v>
      </c>
      <c r="D470" s="203"/>
      <c r="E470" s="203"/>
      <c r="F470" s="48"/>
      <c r="G470" s="203"/>
      <c r="H470" s="49"/>
      <c r="I470" s="50"/>
      <c r="J470" s="51"/>
      <c r="K470" s="52"/>
      <c r="L470" s="53" t="str">
        <f t="shared" si="104"/>
        <v/>
      </c>
      <c r="M470" s="48" t="str">
        <f t="shared" si="105"/>
        <v/>
      </c>
      <c r="N470" s="54" t="str">
        <f t="shared" si="106"/>
        <v/>
      </c>
      <c r="O470" s="55">
        <f t="shared" si="107"/>
        <v>0</v>
      </c>
      <c r="P470" s="55">
        <f t="shared" si="108"/>
        <v>0</v>
      </c>
      <c r="Q470" s="54">
        <f t="shared" si="109"/>
        <v>0</v>
      </c>
      <c r="R470" s="203"/>
      <c r="T470" s="57"/>
      <c r="U470" s="45"/>
      <c r="V470" s="46">
        <f>IF(U470&lt;&gt;"",VLOOKUP(U470,'Tipo Projeto'!$A$3:$B$35,2,0),0)</f>
        <v>0</v>
      </c>
      <c r="W470" s="203"/>
      <c r="X470" s="49"/>
      <c r="Y470" s="50"/>
      <c r="Z470" s="51"/>
      <c r="AA470" s="52"/>
      <c r="AB470" s="53" t="str">
        <f t="shared" si="110"/>
        <v/>
      </c>
      <c r="AC470" s="48" t="str">
        <f t="shared" si="111"/>
        <v/>
      </c>
      <c r="AD470" s="54" t="str">
        <f t="shared" si="112"/>
        <v/>
      </c>
      <c r="AE470" s="55">
        <f t="shared" si="113"/>
        <v>0</v>
      </c>
      <c r="AF470" s="55">
        <f t="shared" si="114"/>
        <v>0</v>
      </c>
      <c r="AG470" s="58">
        <f t="shared" si="115"/>
        <v>0</v>
      </c>
      <c r="AH470" s="203"/>
      <c r="AJ470" s="203"/>
      <c r="AL470" s="203"/>
      <c r="AM470" s="203" t="str">
        <f t="shared" si="116"/>
        <v/>
      </c>
    </row>
    <row r="471" spans="1:39" s="56" customFormat="1" ht="14.25">
      <c r="A471" s="44"/>
      <c r="B471" s="45"/>
      <c r="C471" s="46">
        <f>IF(B471&lt;&gt;"",VLOOKUP(B471,'Tipo Projeto'!$A$3:$B$35,2,0),0)</f>
        <v>0</v>
      </c>
      <c r="D471" s="203"/>
      <c r="E471" s="203"/>
      <c r="F471" s="48"/>
      <c r="G471" s="203"/>
      <c r="H471" s="49"/>
      <c r="I471" s="50"/>
      <c r="J471" s="51"/>
      <c r="K471" s="52"/>
      <c r="L471" s="53" t="str">
        <f t="shared" si="104"/>
        <v/>
      </c>
      <c r="M471" s="48" t="str">
        <f t="shared" si="105"/>
        <v/>
      </c>
      <c r="N471" s="54" t="str">
        <f t="shared" si="106"/>
        <v/>
      </c>
      <c r="O471" s="55">
        <f t="shared" si="107"/>
        <v>0</v>
      </c>
      <c r="P471" s="55">
        <f t="shared" si="108"/>
        <v>0</v>
      </c>
      <c r="Q471" s="54">
        <f t="shared" si="109"/>
        <v>0</v>
      </c>
      <c r="R471" s="203"/>
      <c r="T471" s="57"/>
      <c r="U471" s="45"/>
      <c r="V471" s="46">
        <f>IF(U471&lt;&gt;"",VLOOKUP(U471,'Tipo Projeto'!$A$3:$B$35,2,0),0)</f>
        <v>0</v>
      </c>
      <c r="W471" s="203"/>
      <c r="X471" s="49"/>
      <c r="Y471" s="50"/>
      <c r="Z471" s="51"/>
      <c r="AA471" s="52"/>
      <c r="AB471" s="53" t="str">
        <f t="shared" si="110"/>
        <v/>
      </c>
      <c r="AC471" s="48" t="str">
        <f t="shared" si="111"/>
        <v/>
      </c>
      <c r="AD471" s="54" t="str">
        <f t="shared" si="112"/>
        <v/>
      </c>
      <c r="AE471" s="55">
        <f t="shared" si="113"/>
        <v>0</v>
      </c>
      <c r="AF471" s="55">
        <f t="shared" si="114"/>
        <v>0</v>
      </c>
      <c r="AG471" s="58">
        <f t="shared" si="115"/>
        <v>0</v>
      </c>
      <c r="AH471" s="203"/>
      <c r="AJ471" s="203"/>
      <c r="AL471" s="203"/>
      <c r="AM471" s="203" t="str">
        <f t="shared" si="116"/>
        <v/>
      </c>
    </row>
    <row r="472" spans="1:39" s="56" customFormat="1" ht="14.25">
      <c r="A472" s="44"/>
      <c r="B472" s="45"/>
      <c r="C472" s="46">
        <f>IF(B472&lt;&gt;"",VLOOKUP(B472,'Tipo Projeto'!$A$3:$B$35,2,0),0)</f>
        <v>0</v>
      </c>
      <c r="D472" s="203"/>
      <c r="E472" s="203"/>
      <c r="F472" s="48"/>
      <c r="G472" s="203"/>
      <c r="H472" s="49"/>
      <c r="I472" s="50"/>
      <c r="J472" s="51"/>
      <c r="K472" s="52"/>
      <c r="L472" s="53" t="str">
        <f t="shared" si="104"/>
        <v/>
      </c>
      <c r="M472" s="48" t="str">
        <f t="shared" si="105"/>
        <v/>
      </c>
      <c r="N472" s="54" t="str">
        <f t="shared" si="106"/>
        <v/>
      </c>
      <c r="O472" s="55">
        <f t="shared" si="107"/>
        <v>0</v>
      </c>
      <c r="P472" s="55">
        <f t="shared" si="108"/>
        <v>0</v>
      </c>
      <c r="Q472" s="54">
        <f t="shared" si="109"/>
        <v>0</v>
      </c>
      <c r="R472" s="203"/>
      <c r="T472" s="57"/>
      <c r="U472" s="45"/>
      <c r="V472" s="46">
        <f>IF(U472&lt;&gt;"",VLOOKUP(U472,'Tipo Projeto'!$A$3:$B$35,2,0),0)</f>
        <v>0</v>
      </c>
      <c r="W472" s="203"/>
      <c r="X472" s="49"/>
      <c r="Y472" s="50"/>
      <c r="Z472" s="51"/>
      <c r="AA472" s="52"/>
      <c r="AB472" s="53" t="str">
        <f t="shared" si="110"/>
        <v/>
      </c>
      <c r="AC472" s="48" t="str">
        <f t="shared" si="111"/>
        <v/>
      </c>
      <c r="AD472" s="54" t="str">
        <f t="shared" si="112"/>
        <v/>
      </c>
      <c r="AE472" s="55">
        <f t="shared" si="113"/>
        <v>0</v>
      </c>
      <c r="AF472" s="55">
        <f t="shared" si="114"/>
        <v>0</v>
      </c>
      <c r="AG472" s="58">
        <f t="shared" si="115"/>
        <v>0</v>
      </c>
      <c r="AH472" s="203"/>
      <c r="AJ472" s="203"/>
      <c r="AL472" s="203"/>
      <c r="AM472" s="203" t="str">
        <f t="shared" si="116"/>
        <v/>
      </c>
    </row>
    <row r="473" spans="1:39" s="56" customFormat="1" ht="14.25">
      <c r="A473" s="44"/>
      <c r="B473" s="45"/>
      <c r="C473" s="46">
        <f>IF(B473&lt;&gt;"",VLOOKUP(B473,'Tipo Projeto'!$A$3:$B$35,2,0),0)</f>
        <v>0</v>
      </c>
      <c r="D473" s="203"/>
      <c r="E473" s="203"/>
      <c r="F473" s="48"/>
      <c r="G473" s="203"/>
      <c r="H473" s="49"/>
      <c r="I473" s="50"/>
      <c r="J473" s="51"/>
      <c r="K473" s="52"/>
      <c r="L473" s="53" t="str">
        <f t="shared" si="104"/>
        <v/>
      </c>
      <c r="M473" s="48" t="str">
        <f t="shared" si="105"/>
        <v/>
      </c>
      <c r="N473" s="54" t="str">
        <f t="shared" si="106"/>
        <v/>
      </c>
      <c r="O473" s="55">
        <f t="shared" si="107"/>
        <v>0</v>
      </c>
      <c r="P473" s="55">
        <f t="shared" si="108"/>
        <v>0</v>
      </c>
      <c r="Q473" s="54">
        <f t="shared" si="109"/>
        <v>0</v>
      </c>
      <c r="R473" s="203"/>
      <c r="T473" s="57"/>
      <c r="U473" s="45"/>
      <c r="V473" s="46">
        <f>IF(U473&lt;&gt;"",VLOOKUP(U473,'Tipo Projeto'!$A$3:$B$35,2,0),0)</f>
        <v>0</v>
      </c>
      <c r="W473" s="203"/>
      <c r="X473" s="49"/>
      <c r="Y473" s="50"/>
      <c r="Z473" s="51"/>
      <c r="AA473" s="52"/>
      <c r="AB473" s="53" t="str">
        <f t="shared" si="110"/>
        <v/>
      </c>
      <c r="AC473" s="48" t="str">
        <f t="shared" si="111"/>
        <v/>
      </c>
      <c r="AD473" s="54" t="str">
        <f t="shared" si="112"/>
        <v/>
      </c>
      <c r="AE473" s="55">
        <f t="shared" si="113"/>
        <v>0</v>
      </c>
      <c r="AF473" s="55">
        <f t="shared" si="114"/>
        <v>0</v>
      </c>
      <c r="AG473" s="58">
        <f t="shared" si="115"/>
        <v>0</v>
      </c>
      <c r="AH473" s="203"/>
      <c r="AJ473" s="203"/>
      <c r="AL473" s="203"/>
      <c r="AM473" s="203" t="str">
        <f t="shared" si="116"/>
        <v/>
      </c>
    </row>
    <row r="474" spans="1:39" s="56" customFormat="1" ht="14.25">
      <c r="A474" s="44"/>
      <c r="B474" s="45"/>
      <c r="C474" s="46">
        <f>IF(B474&lt;&gt;"",VLOOKUP(B474,'Tipo Projeto'!$A$3:$B$35,2,0),0)</f>
        <v>0</v>
      </c>
      <c r="D474" s="203"/>
      <c r="E474" s="203"/>
      <c r="F474" s="48"/>
      <c r="G474" s="203"/>
      <c r="H474" s="49"/>
      <c r="I474" s="50"/>
      <c r="J474" s="51"/>
      <c r="K474" s="52"/>
      <c r="L474" s="53" t="str">
        <f t="shared" si="104"/>
        <v/>
      </c>
      <c r="M474" s="48" t="str">
        <f t="shared" si="105"/>
        <v/>
      </c>
      <c r="N474" s="54" t="str">
        <f t="shared" si="106"/>
        <v/>
      </c>
      <c r="O474" s="55">
        <f t="shared" si="107"/>
        <v>0</v>
      </c>
      <c r="P474" s="55">
        <f t="shared" si="108"/>
        <v>0</v>
      </c>
      <c r="Q474" s="54">
        <f t="shared" si="109"/>
        <v>0</v>
      </c>
      <c r="R474" s="203"/>
      <c r="T474" s="57"/>
      <c r="U474" s="45"/>
      <c r="V474" s="46">
        <f>IF(U474&lt;&gt;"",VLOOKUP(U474,'Tipo Projeto'!$A$3:$B$35,2,0),0)</f>
        <v>0</v>
      </c>
      <c r="W474" s="203"/>
      <c r="X474" s="49"/>
      <c r="Y474" s="50"/>
      <c r="Z474" s="51"/>
      <c r="AA474" s="52"/>
      <c r="AB474" s="53" t="str">
        <f t="shared" si="110"/>
        <v/>
      </c>
      <c r="AC474" s="48" t="str">
        <f t="shared" si="111"/>
        <v/>
      </c>
      <c r="AD474" s="54" t="str">
        <f t="shared" si="112"/>
        <v/>
      </c>
      <c r="AE474" s="55">
        <f t="shared" si="113"/>
        <v>0</v>
      </c>
      <c r="AF474" s="55">
        <f t="shared" si="114"/>
        <v>0</v>
      </c>
      <c r="AG474" s="58">
        <f t="shared" si="115"/>
        <v>0</v>
      </c>
      <c r="AH474" s="203"/>
      <c r="AJ474" s="203"/>
      <c r="AL474" s="203"/>
      <c r="AM474" s="203" t="str">
        <f t="shared" si="116"/>
        <v/>
      </c>
    </row>
    <row r="475" spans="1:39" s="56" customFormat="1" ht="14.25">
      <c r="A475" s="44"/>
      <c r="B475" s="45"/>
      <c r="C475" s="46">
        <f>IF(B475&lt;&gt;"",VLOOKUP(B475,'Tipo Projeto'!$A$3:$B$35,2,0),0)</f>
        <v>0</v>
      </c>
      <c r="D475" s="203"/>
      <c r="E475" s="203"/>
      <c r="F475" s="48"/>
      <c r="G475" s="203"/>
      <c r="H475" s="49"/>
      <c r="I475" s="50"/>
      <c r="J475" s="51"/>
      <c r="K475" s="52"/>
      <c r="L475" s="53" t="str">
        <f t="shared" si="104"/>
        <v/>
      </c>
      <c r="M475" s="48" t="str">
        <f t="shared" si="105"/>
        <v/>
      </c>
      <c r="N475" s="54" t="str">
        <f t="shared" si="106"/>
        <v/>
      </c>
      <c r="O475" s="55">
        <f t="shared" si="107"/>
        <v>0</v>
      </c>
      <c r="P475" s="55">
        <f t="shared" si="108"/>
        <v>0</v>
      </c>
      <c r="Q475" s="54">
        <f t="shared" si="109"/>
        <v>0</v>
      </c>
      <c r="R475" s="203"/>
      <c r="T475" s="57"/>
      <c r="U475" s="45"/>
      <c r="V475" s="46">
        <f>IF(U475&lt;&gt;"",VLOOKUP(U475,'Tipo Projeto'!$A$3:$B$35,2,0),0)</f>
        <v>0</v>
      </c>
      <c r="W475" s="203"/>
      <c r="X475" s="49"/>
      <c r="Y475" s="50"/>
      <c r="Z475" s="51"/>
      <c r="AA475" s="52"/>
      <c r="AB475" s="53" t="str">
        <f t="shared" si="110"/>
        <v/>
      </c>
      <c r="AC475" s="48" t="str">
        <f t="shared" si="111"/>
        <v/>
      </c>
      <c r="AD475" s="54" t="str">
        <f t="shared" si="112"/>
        <v/>
      </c>
      <c r="AE475" s="55">
        <f t="shared" si="113"/>
        <v>0</v>
      </c>
      <c r="AF475" s="55">
        <f t="shared" si="114"/>
        <v>0</v>
      </c>
      <c r="AG475" s="58">
        <f t="shared" si="115"/>
        <v>0</v>
      </c>
      <c r="AH475" s="203"/>
      <c r="AJ475" s="203"/>
      <c r="AL475" s="203"/>
      <c r="AM475" s="203" t="str">
        <f t="shared" si="116"/>
        <v/>
      </c>
    </row>
    <row r="476" spans="1:39" s="56" customFormat="1" ht="14.25">
      <c r="A476" s="44"/>
      <c r="B476" s="45"/>
      <c r="C476" s="46">
        <f>IF(B476&lt;&gt;"",VLOOKUP(B476,'Tipo Projeto'!$A$3:$B$35,2,0),0)</f>
        <v>0</v>
      </c>
      <c r="D476" s="203"/>
      <c r="E476" s="203"/>
      <c r="F476" s="48"/>
      <c r="G476" s="203"/>
      <c r="H476" s="49"/>
      <c r="I476" s="50"/>
      <c r="J476" s="51"/>
      <c r="K476" s="52"/>
      <c r="L476" s="53" t="str">
        <f t="shared" si="104"/>
        <v/>
      </c>
      <c r="M476" s="48" t="str">
        <f t="shared" si="105"/>
        <v/>
      </c>
      <c r="N476" s="54" t="str">
        <f t="shared" si="106"/>
        <v/>
      </c>
      <c r="O476" s="55">
        <f t="shared" si="107"/>
        <v>0</v>
      </c>
      <c r="P476" s="55">
        <f t="shared" si="108"/>
        <v>0</v>
      </c>
      <c r="Q476" s="54">
        <f t="shared" si="109"/>
        <v>0</v>
      </c>
      <c r="R476" s="203"/>
      <c r="T476" s="57"/>
      <c r="U476" s="45"/>
      <c r="V476" s="46">
        <f>IF(U476&lt;&gt;"",VLOOKUP(U476,'Tipo Projeto'!$A$3:$B$35,2,0),0)</f>
        <v>0</v>
      </c>
      <c r="W476" s="203"/>
      <c r="X476" s="49"/>
      <c r="Y476" s="50"/>
      <c r="Z476" s="51"/>
      <c r="AA476" s="52"/>
      <c r="AB476" s="53" t="str">
        <f t="shared" si="110"/>
        <v/>
      </c>
      <c r="AC476" s="48" t="str">
        <f t="shared" si="111"/>
        <v/>
      </c>
      <c r="AD476" s="54" t="str">
        <f t="shared" si="112"/>
        <v/>
      </c>
      <c r="AE476" s="55">
        <f t="shared" si="113"/>
        <v>0</v>
      </c>
      <c r="AF476" s="55">
        <f t="shared" si="114"/>
        <v>0</v>
      </c>
      <c r="AG476" s="58">
        <f t="shared" si="115"/>
        <v>0</v>
      </c>
      <c r="AH476" s="203"/>
      <c r="AJ476" s="203"/>
      <c r="AL476" s="203"/>
      <c r="AM476" s="203" t="str">
        <f t="shared" si="116"/>
        <v/>
      </c>
    </row>
    <row r="477" spans="1:39" s="56" customFormat="1" ht="14.25">
      <c r="A477" s="44"/>
      <c r="B477" s="45"/>
      <c r="C477" s="46">
        <f>IF(B477&lt;&gt;"",VLOOKUP(B477,'Tipo Projeto'!$A$3:$B$35,2,0),0)</f>
        <v>0</v>
      </c>
      <c r="D477" s="203"/>
      <c r="E477" s="203"/>
      <c r="F477" s="48"/>
      <c r="G477" s="203"/>
      <c r="H477" s="49"/>
      <c r="I477" s="50"/>
      <c r="J477" s="51"/>
      <c r="K477" s="52"/>
      <c r="L477" s="53" t="str">
        <f t="shared" si="104"/>
        <v/>
      </c>
      <c r="M477" s="48" t="str">
        <f t="shared" si="105"/>
        <v/>
      </c>
      <c r="N477" s="54" t="str">
        <f t="shared" si="106"/>
        <v/>
      </c>
      <c r="O477" s="55">
        <f t="shared" si="107"/>
        <v>0</v>
      </c>
      <c r="P477" s="55">
        <f t="shared" si="108"/>
        <v>0</v>
      </c>
      <c r="Q477" s="54">
        <f t="shared" si="109"/>
        <v>0</v>
      </c>
      <c r="R477" s="203"/>
      <c r="T477" s="57"/>
      <c r="U477" s="45"/>
      <c r="V477" s="46">
        <f>IF(U477&lt;&gt;"",VLOOKUP(U477,'Tipo Projeto'!$A$3:$B$35,2,0),0)</f>
        <v>0</v>
      </c>
      <c r="W477" s="203"/>
      <c r="X477" s="49"/>
      <c r="Y477" s="50"/>
      <c r="Z477" s="51"/>
      <c r="AA477" s="52"/>
      <c r="AB477" s="53" t="str">
        <f t="shared" si="110"/>
        <v/>
      </c>
      <c r="AC477" s="48" t="str">
        <f t="shared" si="111"/>
        <v/>
      </c>
      <c r="AD477" s="54" t="str">
        <f t="shared" si="112"/>
        <v/>
      </c>
      <c r="AE477" s="55">
        <f t="shared" si="113"/>
        <v>0</v>
      </c>
      <c r="AF477" s="55">
        <f t="shared" si="114"/>
        <v>0</v>
      </c>
      <c r="AG477" s="58">
        <f t="shared" si="115"/>
        <v>0</v>
      </c>
      <c r="AH477" s="203"/>
      <c r="AJ477" s="203"/>
      <c r="AL477" s="203"/>
      <c r="AM477" s="203" t="str">
        <f t="shared" si="116"/>
        <v/>
      </c>
    </row>
    <row r="478" spans="1:39" s="56" customFormat="1" ht="14.25">
      <c r="A478" s="44"/>
      <c r="B478" s="45"/>
      <c r="C478" s="46">
        <f>IF(B478&lt;&gt;"",VLOOKUP(B478,'Tipo Projeto'!$A$3:$B$35,2,0),0)</f>
        <v>0</v>
      </c>
      <c r="D478" s="203"/>
      <c r="E478" s="203"/>
      <c r="F478" s="48"/>
      <c r="G478" s="203"/>
      <c r="H478" s="49"/>
      <c r="I478" s="50"/>
      <c r="J478" s="51"/>
      <c r="K478" s="52"/>
      <c r="L478" s="53" t="str">
        <f t="shared" si="104"/>
        <v/>
      </c>
      <c r="M478" s="48" t="str">
        <f t="shared" si="105"/>
        <v/>
      </c>
      <c r="N478" s="54" t="str">
        <f t="shared" si="106"/>
        <v/>
      </c>
      <c r="O478" s="55">
        <f t="shared" si="107"/>
        <v>0</v>
      </c>
      <c r="P478" s="55">
        <f t="shared" si="108"/>
        <v>0</v>
      </c>
      <c r="Q478" s="54">
        <f t="shared" si="109"/>
        <v>0</v>
      </c>
      <c r="R478" s="203"/>
      <c r="T478" s="57"/>
      <c r="U478" s="45"/>
      <c r="V478" s="46">
        <f>IF(U478&lt;&gt;"",VLOOKUP(U478,'Tipo Projeto'!$A$3:$B$35,2,0),0)</f>
        <v>0</v>
      </c>
      <c r="W478" s="203"/>
      <c r="X478" s="49"/>
      <c r="Y478" s="50"/>
      <c r="Z478" s="51"/>
      <c r="AA478" s="52"/>
      <c r="AB478" s="53" t="str">
        <f t="shared" si="110"/>
        <v/>
      </c>
      <c r="AC478" s="48" t="str">
        <f t="shared" si="111"/>
        <v/>
      </c>
      <c r="AD478" s="54" t="str">
        <f t="shared" si="112"/>
        <v/>
      </c>
      <c r="AE478" s="55">
        <f t="shared" si="113"/>
        <v>0</v>
      </c>
      <c r="AF478" s="55">
        <f t="shared" si="114"/>
        <v>0</v>
      </c>
      <c r="AG478" s="58">
        <f t="shared" si="115"/>
        <v>0</v>
      </c>
      <c r="AH478" s="203"/>
      <c r="AJ478" s="203"/>
      <c r="AL478" s="203"/>
      <c r="AM478" s="203" t="str">
        <f t="shared" si="116"/>
        <v/>
      </c>
    </row>
    <row r="479" spans="1:39" s="56" customFormat="1" ht="14.25">
      <c r="A479" s="44"/>
      <c r="B479" s="45"/>
      <c r="C479" s="46">
        <f>IF(B479&lt;&gt;"",VLOOKUP(B479,'Tipo Projeto'!$A$3:$B$35,2,0),0)</f>
        <v>0</v>
      </c>
      <c r="D479" s="203"/>
      <c r="E479" s="203"/>
      <c r="F479" s="48"/>
      <c r="G479" s="203"/>
      <c r="H479" s="49"/>
      <c r="I479" s="50"/>
      <c r="J479" s="51"/>
      <c r="K479" s="52"/>
      <c r="L479" s="53" t="str">
        <f t="shared" si="104"/>
        <v/>
      </c>
      <c r="M479" s="48" t="str">
        <f t="shared" si="105"/>
        <v/>
      </c>
      <c r="N479" s="54" t="str">
        <f t="shared" si="106"/>
        <v/>
      </c>
      <c r="O479" s="55">
        <f t="shared" si="107"/>
        <v>0</v>
      </c>
      <c r="P479" s="55">
        <f t="shared" si="108"/>
        <v>0</v>
      </c>
      <c r="Q479" s="54">
        <f t="shared" si="109"/>
        <v>0</v>
      </c>
      <c r="R479" s="203"/>
      <c r="T479" s="57"/>
      <c r="U479" s="45"/>
      <c r="V479" s="46">
        <f>IF(U479&lt;&gt;"",VLOOKUP(U479,'Tipo Projeto'!$A$3:$B$35,2,0),0)</f>
        <v>0</v>
      </c>
      <c r="W479" s="203"/>
      <c r="X479" s="49"/>
      <c r="Y479" s="50"/>
      <c r="Z479" s="51"/>
      <c r="AA479" s="52"/>
      <c r="AB479" s="53" t="str">
        <f t="shared" si="110"/>
        <v/>
      </c>
      <c r="AC479" s="48" t="str">
        <f t="shared" si="111"/>
        <v/>
      </c>
      <c r="AD479" s="54" t="str">
        <f t="shared" si="112"/>
        <v/>
      </c>
      <c r="AE479" s="55">
        <f t="shared" si="113"/>
        <v>0</v>
      </c>
      <c r="AF479" s="55">
        <f t="shared" si="114"/>
        <v>0</v>
      </c>
      <c r="AG479" s="58">
        <f t="shared" si="115"/>
        <v>0</v>
      </c>
      <c r="AH479" s="203"/>
      <c r="AJ479" s="203"/>
      <c r="AL479" s="203"/>
      <c r="AM479" s="203" t="str">
        <f t="shared" si="116"/>
        <v/>
      </c>
    </row>
    <row r="480" spans="1:39" s="56" customFormat="1" ht="14.25">
      <c r="A480" s="44"/>
      <c r="B480" s="45"/>
      <c r="C480" s="46">
        <f>IF(B480&lt;&gt;"",VLOOKUP(B480,'Tipo Projeto'!$A$3:$B$35,2,0),0)</f>
        <v>0</v>
      </c>
      <c r="D480" s="203"/>
      <c r="E480" s="203"/>
      <c r="F480" s="48"/>
      <c r="G480" s="203"/>
      <c r="H480" s="49"/>
      <c r="I480" s="50"/>
      <c r="J480" s="51"/>
      <c r="K480" s="52"/>
      <c r="L480" s="53" t="str">
        <f t="shared" si="104"/>
        <v/>
      </c>
      <c r="M480" s="48" t="str">
        <f t="shared" si="105"/>
        <v/>
      </c>
      <c r="N480" s="54" t="str">
        <f t="shared" si="106"/>
        <v/>
      </c>
      <c r="O480" s="55">
        <f t="shared" si="107"/>
        <v>0</v>
      </c>
      <c r="P480" s="55">
        <f t="shared" si="108"/>
        <v>0</v>
      </c>
      <c r="Q480" s="54">
        <f t="shared" si="109"/>
        <v>0</v>
      </c>
      <c r="R480" s="203"/>
      <c r="T480" s="57"/>
      <c r="U480" s="45"/>
      <c r="V480" s="46">
        <f>IF(U480&lt;&gt;"",VLOOKUP(U480,'Tipo Projeto'!$A$3:$B$35,2,0),0)</f>
        <v>0</v>
      </c>
      <c r="W480" s="203"/>
      <c r="X480" s="49"/>
      <c r="Y480" s="50"/>
      <c r="Z480" s="51"/>
      <c r="AA480" s="52"/>
      <c r="AB480" s="53" t="str">
        <f t="shared" si="110"/>
        <v/>
      </c>
      <c r="AC480" s="48" t="str">
        <f t="shared" si="111"/>
        <v/>
      </c>
      <c r="AD480" s="54" t="str">
        <f t="shared" si="112"/>
        <v/>
      </c>
      <c r="AE480" s="55">
        <f t="shared" si="113"/>
        <v>0</v>
      </c>
      <c r="AF480" s="55">
        <f t="shared" si="114"/>
        <v>0</v>
      </c>
      <c r="AG480" s="58">
        <f t="shared" si="115"/>
        <v>0</v>
      </c>
      <c r="AH480" s="203"/>
      <c r="AJ480" s="203"/>
      <c r="AL480" s="203"/>
      <c r="AM480" s="203" t="str">
        <f t="shared" si="116"/>
        <v/>
      </c>
    </row>
    <row r="481" spans="1:39" s="56" customFormat="1" ht="14.25">
      <c r="A481" s="44"/>
      <c r="B481" s="45"/>
      <c r="C481" s="46">
        <f>IF(B481&lt;&gt;"",VLOOKUP(B481,'Tipo Projeto'!$A$3:$B$35,2,0),0)</f>
        <v>0</v>
      </c>
      <c r="D481" s="203"/>
      <c r="E481" s="203"/>
      <c r="F481" s="48"/>
      <c r="G481" s="203"/>
      <c r="H481" s="49"/>
      <c r="I481" s="50"/>
      <c r="J481" s="51"/>
      <c r="K481" s="52"/>
      <c r="L481" s="53" t="str">
        <f t="shared" si="104"/>
        <v/>
      </c>
      <c r="M481" s="48" t="str">
        <f t="shared" si="105"/>
        <v/>
      </c>
      <c r="N481" s="54" t="str">
        <f t="shared" si="106"/>
        <v/>
      </c>
      <c r="O481" s="55">
        <f t="shared" si="107"/>
        <v>0</v>
      </c>
      <c r="P481" s="55">
        <f t="shared" si="108"/>
        <v>0</v>
      </c>
      <c r="Q481" s="54">
        <f t="shared" si="109"/>
        <v>0</v>
      </c>
      <c r="R481" s="203"/>
      <c r="T481" s="57"/>
      <c r="U481" s="45"/>
      <c r="V481" s="46">
        <f>IF(U481&lt;&gt;"",VLOOKUP(U481,'Tipo Projeto'!$A$3:$B$35,2,0),0)</f>
        <v>0</v>
      </c>
      <c r="W481" s="203"/>
      <c r="X481" s="49"/>
      <c r="Y481" s="50"/>
      <c r="Z481" s="51"/>
      <c r="AA481" s="52"/>
      <c r="AB481" s="53" t="str">
        <f t="shared" si="110"/>
        <v/>
      </c>
      <c r="AC481" s="48" t="str">
        <f t="shared" si="111"/>
        <v/>
      </c>
      <c r="AD481" s="54" t="str">
        <f t="shared" si="112"/>
        <v/>
      </c>
      <c r="AE481" s="55">
        <f t="shared" si="113"/>
        <v>0</v>
      </c>
      <c r="AF481" s="55">
        <f t="shared" si="114"/>
        <v>0</v>
      </c>
      <c r="AG481" s="58">
        <f t="shared" si="115"/>
        <v>0</v>
      </c>
      <c r="AH481" s="203"/>
      <c r="AJ481" s="203"/>
      <c r="AL481" s="203"/>
      <c r="AM481" s="203" t="str">
        <f t="shared" si="116"/>
        <v/>
      </c>
    </row>
    <row r="482" spans="1:39" s="56" customFormat="1" ht="14.25">
      <c r="A482" s="44"/>
      <c r="B482" s="45"/>
      <c r="C482" s="46">
        <f>IF(B482&lt;&gt;"",VLOOKUP(B482,'Tipo Projeto'!$A$3:$B$35,2,0),0)</f>
        <v>0</v>
      </c>
      <c r="D482" s="203"/>
      <c r="E482" s="203"/>
      <c r="F482" s="48"/>
      <c r="G482" s="203"/>
      <c r="H482" s="49"/>
      <c r="I482" s="50"/>
      <c r="J482" s="51"/>
      <c r="K482" s="52"/>
      <c r="L482" s="53" t="str">
        <f t="shared" si="104"/>
        <v/>
      </c>
      <c r="M482" s="48" t="str">
        <f t="shared" si="105"/>
        <v/>
      </c>
      <c r="N482" s="54" t="str">
        <f t="shared" si="106"/>
        <v/>
      </c>
      <c r="O482" s="55">
        <f t="shared" si="107"/>
        <v>0</v>
      </c>
      <c r="P482" s="55">
        <f t="shared" si="108"/>
        <v>0</v>
      </c>
      <c r="Q482" s="54">
        <f t="shared" si="109"/>
        <v>0</v>
      </c>
      <c r="R482" s="203"/>
      <c r="T482" s="57"/>
      <c r="U482" s="45"/>
      <c r="V482" s="46">
        <f>IF(U482&lt;&gt;"",VLOOKUP(U482,'Tipo Projeto'!$A$3:$B$35,2,0),0)</f>
        <v>0</v>
      </c>
      <c r="W482" s="203"/>
      <c r="X482" s="49"/>
      <c r="Y482" s="50"/>
      <c r="Z482" s="51"/>
      <c r="AA482" s="52"/>
      <c r="AB482" s="53" t="str">
        <f t="shared" si="110"/>
        <v/>
      </c>
      <c r="AC482" s="48" t="str">
        <f t="shared" si="111"/>
        <v/>
      </c>
      <c r="AD482" s="54" t="str">
        <f t="shared" si="112"/>
        <v/>
      </c>
      <c r="AE482" s="55">
        <f t="shared" si="113"/>
        <v>0</v>
      </c>
      <c r="AF482" s="55">
        <f t="shared" si="114"/>
        <v>0</v>
      </c>
      <c r="AG482" s="58">
        <f t="shared" si="115"/>
        <v>0</v>
      </c>
      <c r="AH482" s="203"/>
      <c r="AJ482" s="203"/>
      <c r="AL482" s="203"/>
      <c r="AM482" s="203" t="str">
        <f t="shared" si="116"/>
        <v/>
      </c>
    </row>
    <row r="483" spans="1:39" s="56" customFormat="1" ht="14.25">
      <c r="A483" s="44"/>
      <c r="B483" s="45"/>
      <c r="C483" s="46">
        <f>IF(B483&lt;&gt;"",VLOOKUP(B483,'Tipo Projeto'!$A$3:$B$35,2,0),0)</f>
        <v>0</v>
      </c>
      <c r="D483" s="203"/>
      <c r="E483" s="203"/>
      <c r="F483" s="48"/>
      <c r="G483" s="203"/>
      <c r="H483" s="49"/>
      <c r="I483" s="50"/>
      <c r="J483" s="51"/>
      <c r="K483" s="52"/>
      <c r="L483" s="53" t="str">
        <f t="shared" si="104"/>
        <v/>
      </c>
      <c r="M483" s="48" t="str">
        <f t="shared" si="105"/>
        <v/>
      </c>
      <c r="N483" s="54" t="str">
        <f t="shared" si="106"/>
        <v/>
      </c>
      <c r="O483" s="55">
        <f t="shared" si="107"/>
        <v>0</v>
      </c>
      <c r="P483" s="55">
        <f t="shared" si="108"/>
        <v>0</v>
      </c>
      <c r="Q483" s="54">
        <f t="shared" si="109"/>
        <v>0</v>
      </c>
      <c r="R483" s="203"/>
      <c r="T483" s="57"/>
      <c r="U483" s="45"/>
      <c r="V483" s="46">
        <f>IF(U483&lt;&gt;"",VLOOKUP(U483,'Tipo Projeto'!$A$3:$B$35,2,0),0)</f>
        <v>0</v>
      </c>
      <c r="W483" s="203"/>
      <c r="X483" s="49"/>
      <c r="Y483" s="50"/>
      <c r="Z483" s="51"/>
      <c r="AA483" s="52"/>
      <c r="AB483" s="53" t="str">
        <f t="shared" si="110"/>
        <v/>
      </c>
      <c r="AC483" s="48" t="str">
        <f t="shared" si="111"/>
        <v/>
      </c>
      <c r="AD483" s="54" t="str">
        <f t="shared" si="112"/>
        <v/>
      </c>
      <c r="AE483" s="55">
        <f t="shared" si="113"/>
        <v>0</v>
      </c>
      <c r="AF483" s="55">
        <f t="shared" si="114"/>
        <v>0</v>
      </c>
      <c r="AG483" s="58">
        <f t="shared" si="115"/>
        <v>0</v>
      </c>
      <c r="AH483" s="203"/>
      <c r="AJ483" s="203"/>
      <c r="AL483" s="203"/>
      <c r="AM483" s="203" t="str">
        <f t="shared" si="116"/>
        <v/>
      </c>
    </row>
    <row r="484" spans="1:39" s="56" customFormat="1" ht="14.25">
      <c r="A484" s="44"/>
      <c r="B484" s="45"/>
      <c r="C484" s="46">
        <f>IF(B484&lt;&gt;"",VLOOKUP(B484,'Tipo Projeto'!$A$3:$B$35,2,0),0)</f>
        <v>0</v>
      </c>
      <c r="D484" s="203"/>
      <c r="E484" s="203"/>
      <c r="F484" s="48"/>
      <c r="G484" s="203"/>
      <c r="H484" s="49"/>
      <c r="I484" s="50"/>
      <c r="J484" s="51"/>
      <c r="K484" s="52"/>
      <c r="L484" s="53" t="str">
        <f t="shared" si="104"/>
        <v/>
      </c>
      <c r="M484" s="48" t="str">
        <f t="shared" si="105"/>
        <v/>
      </c>
      <c r="N484" s="54" t="str">
        <f t="shared" si="106"/>
        <v/>
      </c>
      <c r="O484" s="55">
        <f t="shared" si="107"/>
        <v>0</v>
      </c>
      <c r="P484" s="55">
        <f t="shared" si="108"/>
        <v>0</v>
      </c>
      <c r="Q484" s="54">
        <f t="shared" si="109"/>
        <v>0</v>
      </c>
      <c r="R484" s="203"/>
      <c r="T484" s="57"/>
      <c r="U484" s="45"/>
      <c r="V484" s="46">
        <f>IF(U484&lt;&gt;"",VLOOKUP(U484,'Tipo Projeto'!$A$3:$B$35,2,0),0)</f>
        <v>0</v>
      </c>
      <c r="W484" s="203"/>
      <c r="X484" s="49"/>
      <c r="Y484" s="50"/>
      <c r="Z484" s="51"/>
      <c r="AA484" s="52"/>
      <c r="AB484" s="53" t="str">
        <f t="shared" si="110"/>
        <v/>
      </c>
      <c r="AC484" s="48" t="str">
        <f t="shared" si="111"/>
        <v/>
      </c>
      <c r="AD484" s="54" t="str">
        <f t="shared" si="112"/>
        <v/>
      </c>
      <c r="AE484" s="55">
        <f t="shared" si="113"/>
        <v>0</v>
      </c>
      <c r="AF484" s="55">
        <f t="shared" si="114"/>
        <v>0</v>
      </c>
      <c r="AG484" s="58">
        <f t="shared" si="115"/>
        <v>0</v>
      </c>
      <c r="AH484" s="203"/>
      <c r="AJ484" s="203"/>
      <c r="AL484" s="203"/>
      <c r="AM484" s="203" t="str">
        <f t="shared" si="116"/>
        <v/>
      </c>
    </row>
    <row r="485" spans="1:39" s="56" customFormat="1" ht="14.25">
      <c r="A485" s="44"/>
      <c r="B485" s="45"/>
      <c r="C485" s="46">
        <f>IF(B485&lt;&gt;"",VLOOKUP(B485,'Tipo Projeto'!$A$3:$B$35,2,0),0)</f>
        <v>0</v>
      </c>
      <c r="D485" s="203"/>
      <c r="E485" s="203"/>
      <c r="F485" s="48"/>
      <c r="G485" s="203"/>
      <c r="H485" s="49"/>
      <c r="I485" s="50"/>
      <c r="J485" s="51"/>
      <c r="K485" s="52"/>
      <c r="L485" s="53" t="str">
        <f t="shared" si="104"/>
        <v/>
      </c>
      <c r="M485" s="48" t="str">
        <f t="shared" si="105"/>
        <v/>
      </c>
      <c r="N485" s="54" t="str">
        <f t="shared" si="106"/>
        <v/>
      </c>
      <c r="O485" s="55">
        <f t="shared" si="107"/>
        <v>0</v>
      </c>
      <c r="P485" s="55">
        <f t="shared" si="108"/>
        <v>0</v>
      </c>
      <c r="Q485" s="54">
        <f t="shared" si="109"/>
        <v>0</v>
      </c>
      <c r="R485" s="203"/>
      <c r="T485" s="57"/>
      <c r="U485" s="45"/>
      <c r="V485" s="46">
        <f>IF(U485&lt;&gt;"",VLOOKUP(U485,'Tipo Projeto'!$A$3:$B$35,2,0),0)</f>
        <v>0</v>
      </c>
      <c r="W485" s="203"/>
      <c r="X485" s="49"/>
      <c r="Y485" s="50"/>
      <c r="Z485" s="51"/>
      <c r="AA485" s="52"/>
      <c r="AB485" s="53" t="str">
        <f t="shared" si="110"/>
        <v/>
      </c>
      <c r="AC485" s="48" t="str">
        <f t="shared" si="111"/>
        <v/>
      </c>
      <c r="AD485" s="54" t="str">
        <f t="shared" si="112"/>
        <v/>
      </c>
      <c r="AE485" s="55">
        <f t="shared" si="113"/>
        <v>0</v>
      </c>
      <c r="AF485" s="55">
        <f t="shared" si="114"/>
        <v>0</v>
      </c>
      <c r="AG485" s="58">
        <f t="shared" si="115"/>
        <v>0</v>
      </c>
      <c r="AH485" s="203"/>
      <c r="AJ485" s="203"/>
      <c r="AL485" s="203"/>
      <c r="AM485" s="203" t="str">
        <f t="shared" si="116"/>
        <v/>
      </c>
    </row>
    <row r="486" spans="1:39" s="56" customFormat="1" ht="14.25">
      <c r="A486" s="44"/>
      <c r="B486" s="45"/>
      <c r="C486" s="46">
        <f>IF(B486&lt;&gt;"",VLOOKUP(B486,'Tipo Projeto'!$A$3:$B$35,2,0),0)</f>
        <v>0</v>
      </c>
      <c r="D486" s="203"/>
      <c r="E486" s="203"/>
      <c r="F486" s="48"/>
      <c r="G486" s="203"/>
      <c r="H486" s="49"/>
      <c r="I486" s="50"/>
      <c r="J486" s="51"/>
      <c r="K486" s="52"/>
      <c r="L486" s="53" t="str">
        <f t="shared" si="104"/>
        <v/>
      </c>
      <c r="M486" s="48" t="str">
        <f t="shared" si="105"/>
        <v/>
      </c>
      <c r="N486" s="54" t="str">
        <f t="shared" si="106"/>
        <v/>
      </c>
      <c r="O486" s="55">
        <f t="shared" si="107"/>
        <v>0</v>
      </c>
      <c r="P486" s="55">
        <f t="shared" si="108"/>
        <v>0</v>
      </c>
      <c r="Q486" s="54">
        <f t="shared" si="109"/>
        <v>0</v>
      </c>
      <c r="R486" s="203"/>
      <c r="T486" s="57"/>
      <c r="U486" s="45"/>
      <c r="V486" s="46">
        <f>IF(U486&lt;&gt;"",VLOOKUP(U486,'Tipo Projeto'!$A$3:$B$35,2,0),0)</f>
        <v>0</v>
      </c>
      <c r="W486" s="203"/>
      <c r="X486" s="49"/>
      <c r="Y486" s="50"/>
      <c r="Z486" s="51"/>
      <c r="AA486" s="52"/>
      <c r="AB486" s="53" t="str">
        <f t="shared" si="110"/>
        <v/>
      </c>
      <c r="AC486" s="48" t="str">
        <f t="shared" si="111"/>
        <v/>
      </c>
      <c r="AD486" s="54" t="str">
        <f t="shared" si="112"/>
        <v/>
      </c>
      <c r="AE486" s="55">
        <f t="shared" si="113"/>
        <v>0</v>
      </c>
      <c r="AF486" s="55">
        <f t="shared" si="114"/>
        <v>0</v>
      </c>
      <c r="AG486" s="58">
        <f t="shared" si="115"/>
        <v>0</v>
      </c>
      <c r="AH486" s="203"/>
      <c r="AJ486" s="203"/>
      <c r="AL486" s="203"/>
      <c r="AM486" s="203" t="str">
        <f t="shared" si="116"/>
        <v/>
      </c>
    </row>
    <row r="487" spans="1:39" s="56" customFormat="1" ht="14.25">
      <c r="A487" s="44"/>
      <c r="B487" s="45"/>
      <c r="C487" s="46">
        <f>IF(B487&lt;&gt;"",VLOOKUP(B487,'Tipo Projeto'!$A$3:$B$35,2,0),0)</f>
        <v>0</v>
      </c>
      <c r="D487" s="203"/>
      <c r="E487" s="203"/>
      <c r="F487" s="48"/>
      <c r="G487" s="203"/>
      <c r="H487" s="49"/>
      <c r="I487" s="50"/>
      <c r="J487" s="51"/>
      <c r="K487" s="52"/>
      <c r="L487" s="53" t="str">
        <f t="shared" si="104"/>
        <v/>
      </c>
      <c r="M487" s="48" t="str">
        <f t="shared" si="105"/>
        <v/>
      </c>
      <c r="N487" s="54" t="str">
        <f t="shared" si="106"/>
        <v/>
      </c>
      <c r="O487" s="55">
        <f t="shared" si="107"/>
        <v>0</v>
      </c>
      <c r="P487" s="55">
        <f t="shared" si="108"/>
        <v>0</v>
      </c>
      <c r="Q487" s="54">
        <f t="shared" si="109"/>
        <v>0</v>
      </c>
      <c r="R487" s="203"/>
      <c r="T487" s="57"/>
      <c r="U487" s="45"/>
      <c r="V487" s="46">
        <f>IF(U487&lt;&gt;"",VLOOKUP(U487,'Tipo Projeto'!$A$3:$B$35,2,0),0)</f>
        <v>0</v>
      </c>
      <c r="W487" s="203"/>
      <c r="X487" s="49"/>
      <c r="Y487" s="50"/>
      <c r="Z487" s="51"/>
      <c r="AA487" s="52"/>
      <c r="AB487" s="53" t="str">
        <f t="shared" si="110"/>
        <v/>
      </c>
      <c r="AC487" s="48" t="str">
        <f t="shared" si="111"/>
        <v/>
      </c>
      <c r="AD487" s="54" t="str">
        <f t="shared" si="112"/>
        <v/>
      </c>
      <c r="AE487" s="55">
        <f t="shared" si="113"/>
        <v>0</v>
      </c>
      <c r="AF487" s="55">
        <f t="shared" si="114"/>
        <v>0</v>
      </c>
      <c r="AG487" s="58">
        <f t="shared" si="115"/>
        <v>0</v>
      </c>
      <c r="AH487" s="203"/>
      <c r="AJ487" s="203"/>
      <c r="AL487" s="203"/>
      <c r="AM487" s="203" t="str">
        <f t="shared" si="116"/>
        <v/>
      </c>
    </row>
    <row r="488" spans="1:39" s="56" customFormat="1" ht="14.25">
      <c r="A488" s="44"/>
      <c r="B488" s="45"/>
      <c r="C488" s="46">
        <f>IF(B488&lt;&gt;"",VLOOKUP(B488,'Tipo Projeto'!$A$3:$B$35,2,0),0)</f>
        <v>0</v>
      </c>
      <c r="D488" s="203"/>
      <c r="E488" s="203"/>
      <c r="F488" s="48"/>
      <c r="G488" s="203"/>
      <c r="H488" s="49"/>
      <c r="I488" s="50"/>
      <c r="J488" s="51"/>
      <c r="K488" s="52"/>
      <c r="L488" s="53" t="str">
        <f t="shared" si="104"/>
        <v/>
      </c>
      <c r="M488" s="48" t="str">
        <f t="shared" si="105"/>
        <v/>
      </c>
      <c r="N488" s="54" t="str">
        <f t="shared" si="106"/>
        <v/>
      </c>
      <c r="O488" s="55">
        <f t="shared" si="107"/>
        <v>0</v>
      </c>
      <c r="P488" s="55">
        <f t="shared" si="108"/>
        <v>0</v>
      </c>
      <c r="Q488" s="54">
        <f t="shared" si="109"/>
        <v>0</v>
      </c>
      <c r="R488" s="203"/>
      <c r="T488" s="57"/>
      <c r="U488" s="45"/>
      <c r="V488" s="46">
        <f>IF(U488&lt;&gt;"",VLOOKUP(U488,'Tipo Projeto'!$A$3:$B$35,2,0),0)</f>
        <v>0</v>
      </c>
      <c r="W488" s="203"/>
      <c r="X488" s="49"/>
      <c r="Y488" s="50"/>
      <c r="Z488" s="51"/>
      <c r="AA488" s="52"/>
      <c r="AB488" s="53" t="str">
        <f t="shared" si="110"/>
        <v/>
      </c>
      <c r="AC488" s="48" t="str">
        <f t="shared" si="111"/>
        <v/>
      </c>
      <c r="AD488" s="54" t="str">
        <f t="shared" si="112"/>
        <v/>
      </c>
      <c r="AE488" s="55">
        <f t="shared" si="113"/>
        <v>0</v>
      </c>
      <c r="AF488" s="55">
        <f t="shared" si="114"/>
        <v>0</v>
      </c>
      <c r="AG488" s="58">
        <f t="shared" si="115"/>
        <v>0</v>
      </c>
      <c r="AH488" s="203"/>
      <c r="AJ488" s="203"/>
      <c r="AL488" s="203"/>
      <c r="AM488" s="203" t="str">
        <f t="shared" si="116"/>
        <v/>
      </c>
    </row>
    <row r="489" spans="1:39" s="56" customFormat="1" ht="14.25">
      <c r="A489" s="44"/>
      <c r="B489" s="45"/>
      <c r="C489" s="46">
        <f>IF(B489&lt;&gt;"",VLOOKUP(B489,'Tipo Projeto'!$A$3:$B$35,2,0),0)</f>
        <v>0</v>
      </c>
      <c r="D489" s="203"/>
      <c r="E489" s="203"/>
      <c r="F489" s="48"/>
      <c r="G489" s="203"/>
      <c r="H489" s="49"/>
      <c r="I489" s="50"/>
      <c r="J489" s="51"/>
      <c r="K489" s="52"/>
      <c r="L489" s="53" t="str">
        <f t="shared" si="104"/>
        <v/>
      </c>
      <c r="M489" s="48" t="str">
        <f t="shared" si="105"/>
        <v/>
      </c>
      <c r="N489" s="54" t="str">
        <f t="shared" si="106"/>
        <v/>
      </c>
      <c r="O489" s="55">
        <f t="shared" si="107"/>
        <v>0</v>
      </c>
      <c r="P489" s="55">
        <f t="shared" si="108"/>
        <v>0</v>
      </c>
      <c r="Q489" s="54">
        <f t="shared" si="109"/>
        <v>0</v>
      </c>
      <c r="R489" s="203"/>
      <c r="T489" s="57"/>
      <c r="U489" s="45"/>
      <c r="V489" s="46">
        <f>IF(U489&lt;&gt;"",VLOOKUP(U489,'Tipo Projeto'!$A$3:$B$35,2,0),0)</f>
        <v>0</v>
      </c>
      <c r="W489" s="203"/>
      <c r="X489" s="49"/>
      <c r="Y489" s="50"/>
      <c r="Z489" s="51"/>
      <c r="AA489" s="52"/>
      <c r="AB489" s="53" t="str">
        <f t="shared" si="110"/>
        <v/>
      </c>
      <c r="AC489" s="48" t="str">
        <f t="shared" si="111"/>
        <v/>
      </c>
      <c r="AD489" s="54" t="str">
        <f t="shared" si="112"/>
        <v/>
      </c>
      <c r="AE489" s="55">
        <f t="shared" si="113"/>
        <v>0</v>
      </c>
      <c r="AF489" s="55">
        <f t="shared" si="114"/>
        <v>0</v>
      </c>
      <c r="AG489" s="58">
        <f t="shared" si="115"/>
        <v>0</v>
      </c>
      <c r="AH489" s="203"/>
      <c r="AJ489" s="203"/>
      <c r="AL489" s="203"/>
      <c r="AM489" s="203" t="str">
        <f t="shared" si="116"/>
        <v/>
      </c>
    </row>
    <row r="490" spans="1:39" s="56" customFormat="1" ht="14.25">
      <c r="A490" s="44"/>
      <c r="B490" s="45"/>
      <c r="C490" s="46">
        <f>IF(B490&lt;&gt;"",VLOOKUP(B490,'Tipo Projeto'!$A$3:$B$35,2,0),0)</f>
        <v>0</v>
      </c>
      <c r="D490" s="203"/>
      <c r="E490" s="203"/>
      <c r="F490" s="48"/>
      <c r="G490" s="203"/>
      <c r="H490" s="49"/>
      <c r="I490" s="50"/>
      <c r="J490" s="51"/>
      <c r="K490" s="52"/>
      <c r="L490" s="53" t="str">
        <f t="shared" si="104"/>
        <v/>
      </c>
      <c r="M490" s="48" t="str">
        <f t="shared" si="105"/>
        <v/>
      </c>
      <c r="N490" s="54" t="str">
        <f t="shared" si="106"/>
        <v/>
      </c>
      <c r="O490" s="55">
        <f t="shared" si="107"/>
        <v>0</v>
      </c>
      <c r="P490" s="55">
        <f t="shared" si="108"/>
        <v>0</v>
      </c>
      <c r="Q490" s="54">
        <f t="shared" si="109"/>
        <v>0</v>
      </c>
      <c r="R490" s="203"/>
      <c r="T490" s="57"/>
      <c r="U490" s="45"/>
      <c r="V490" s="46">
        <f>IF(U490&lt;&gt;"",VLOOKUP(U490,'Tipo Projeto'!$A$3:$B$35,2,0),0)</f>
        <v>0</v>
      </c>
      <c r="W490" s="203"/>
      <c r="X490" s="49"/>
      <c r="Y490" s="50"/>
      <c r="Z490" s="51"/>
      <c r="AA490" s="52"/>
      <c r="AB490" s="53" t="str">
        <f t="shared" si="110"/>
        <v/>
      </c>
      <c r="AC490" s="48" t="str">
        <f t="shared" si="111"/>
        <v/>
      </c>
      <c r="AD490" s="54" t="str">
        <f t="shared" si="112"/>
        <v/>
      </c>
      <c r="AE490" s="55">
        <f t="shared" si="113"/>
        <v>0</v>
      </c>
      <c r="AF490" s="55">
        <f t="shared" si="114"/>
        <v>0</v>
      </c>
      <c r="AG490" s="58">
        <f t="shared" si="115"/>
        <v>0</v>
      </c>
      <c r="AH490" s="203"/>
      <c r="AJ490" s="203"/>
      <c r="AL490" s="203"/>
      <c r="AM490" s="203" t="str">
        <f t="shared" si="116"/>
        <v/>
      </c>
    </row>
    <row r="491" spans="1:39" s="56" customFormat="1" ht="14.25">
      <c r="A491" s="44"/>
      <c r="B491" s="45"/>
      <c r="C491" s="46">
        <f>IF(B491&lt;&gt;"",VLOOKUP(B491,'Tipo Projeto'!$A$3:$B$35,2,0),0)</f>
        <v>0</v>
      </c>
      <c r="D491" s="203"/>
      <c r="E491" s="203"/>
      <c r="F491" s="48"/>
      <c r="G491" s="203"/>
      <c r="H491" s="49"/>
      <c r="I491" s="50"/>
      <c r="J491" s="51"/>
      <c r="K491" s="52"/>
      <c r="L491" s="53" t="str">
        <f t="shared" si="104"/>
        <v/>
      </c>
      <c r="M491" s="48" t="str">
        <f t="shared" si="105"/>
        <v/>
      </c>
      <c r="N491" s="54" t="str">
        <f t="shared" si="106"/>
        <v/>
      </c>
      <c r="O491" s="55">
        <f t="shared" si="107"/>
        <v>0</v>
      </c>
      <c r="P491" s="55">
        <f t="shared" si="108"/>
        <v>0</v>
      </c>
      <c r="Q491" s="54">
        <f t="shared" si="109"/>
        <v>0</v>
      </c>
      <c r="R491" s="203"/>
      <c r="T491" s="57"/>
      <c r="U491" s="45"/>
      <c r="V491" s="46">
        <f>IF(U491&lt;&gt;"",VLOOKUP(U491,'Tipo Projeto'!$A$3:$B$35,2,0),0)</f>
        <v>0</v>
      </c>
      <c r="W491" s="203"/>
      <c r="X491" s="49"/>
      <c r="Y491" s="50"/>
      <c r="Z491" s="51"/>
      <c r="AA491" s="52"/>
      <c r="AB491" s="53" t="str">
        <f t="shared" si="110"/>
        <v/>
      </c>
      <c r="AC491" s="48" t="str">
        <f t="shared" si="111"/>
        <v/>
      </c>
      <c r="AD491" s="54" t="str">
        <f t="shared" si="112"/>
        <v/>
      </c>
      <c r="AE491" s="55">
        <f t="shared" si="113"/>
        <v>0</v>
      </c>
      <c r="AF491" s="55">
        <f t="shared" si="114"/>
        <v>0</v>
      </c>
      <c r="AG491" s="58">
        <f t="shared" si="115"/>
        <v>0</v>
      </c>
      <c r="AH491" s="203"/>
      <c r="AJ491" s="203"/>
      <c r="AL491" s="203"/>
      <c r="AM491" s="203" t="str">
        <f t="shared" si="116"/>
        <v/>
      </c>
    </row>
    <row r="492" spans="1:39" s="56" customFormat="1" ht="14.25">
      <c r="A492" s="44"/>
      <c r="B492" s="45"/>
      <c r="C492" s="46">
        <f>IF(B492&lt;&gt;"",VLOOKUP(B492,'Tipo Projeto'!$A$3:$B$35,2,0),0)</f>
        <v>0</v>
      </c>
      <c r="D492" s="203"/>
      <c r="E492" s="203"/>
      <c r="F492" s="48"/>
      <c r="G492" s="203"/>
      <c r="H492" s="49"/>
      <c r="I492" s="50"/>
      <c r="J492" s="51"/>
      <c r="K492" s="52"/>
      <c r="L492" s="53" t="str">
        <f t="shared" si="104"/>
        <v/>
      </c>
      <c r="M492" s="48" t="str">
        <f t="shared" si="105"/>
        <v/>
      </c>
      <c r="N492" s="54" t="str">
        <f t="shared" si="106"/>
        <v/>
      </c>
      <c r="O492" s="55">
        <f t="shared" si="107"/>
        <v>0</v>
      </c>
      <c r="P492" s="55">
        <f t="shared" si="108"/>
        <v>0</v>
      </c>
      <c r="Q492" s="54">
        <f t="shared" si="109"/>
        <v>0</v>
      </c>
      <c r="R492" s="203"/>
      <c r="T492" s="57"/>
      <c r="U492" s="45"/>
      <c r="V492" s="46">
        <f>IF(U492&lt;&gt;"",VLOOKUP(U492,'Tipo Projeto'!$A$3:$B$35,2,0),0)</f>
        <v>0</v>
      </c>
      <c r="W492" s="203"/>
      <c r="X492" s="49"/>
      <c r="Y492" s="50"/>
      <c r="Z492" s="51"/>
      <c r="AA492" s="52"/>
      <c r="AB492" s="53" t="str">
        <f t="shared" si="110"/>
        <v/>
      </c>
      <c r="AC492" s="48" t="str">
        <f t="shared" si="111"/>
        <v/>
      </c>
      <c r="AD492" s="54" t="str">
        <f t="shared" si="112"/>
        <v/>
      </c>
      <c r="AE492" s="55">
        <f t="shared" si="113"/>
        <v>0</v>
      </c>
      <c r="AF492" s="55">
        <f t="shared" si="114"/>
        <v>0</v>
      </c>
      <c r="AG492" s="58">
        <f t="shared" si="115"/>
        <v>0</v>
      </c>
      <c r="AH492" s="203"/>
      <c r="AJ492" s="203"/>
      <c r="AL492" s="203"/>
      <c r="AM492" s="203" t="str">
        <f t="shared" si="116"/>
        <v/>
      </c>
    </row>
    <row r="493" spans="1:39" s="56" customFormat="1" ht="14.25">
      <c r="A493" s="44"/>
      <c r="B493" s="45"/>
      <c r="C493" s="46">
        <f>IF(B493&lt;&gt;"",VLOOKUP(B493,'Tipo Projeto'!$A$3:$B$35,2,0),0)</f>
        <v>0</v>
      </c>
      <c r="D493" s="203"/>
      <c r="E493" s="203"/>
      <c r="F493" s="48"/>
      <c r="G493" s="203"/>
      <c r="H493" s="49"/>
      <c r="I493" s="50"/>
      <c r="J493" s="51"/>
      <c r="K493" s="52"/>
      <c r="L493" s="53" t="str">
        <f t="shared" si="104"/>
        <v/>
      </c>
      <c r="M493" s="48" t="str">
        <f t="shared" si="105"/>
        <v/>
      </c>
      <c r="N493" s="54" t="str">
        <f t="shared" si="106"/>
        <v/>
      </c>
      <c r="O493" s="55">
        <f t="shared" si="107"/>
        <v>0</v>
      </c>
      <c r="P493" s="55">
        <f t="shared" si="108"/>
        <v>0</v>
      </c>
      <c r="Q493" s="54">
        <f t="shared" si="109"/>
        <v>0</v>
      </c>
      <c r="R493" s="203"/>
      <c r="T493" s="57"/>
      <c r="U493" s="45"/>
      <c r="V493" s="46">
        <f>IF(U493&lt;&gt;"",VLOOKUP(U493,'Tipo Projeto'!$A$3:$B$35,2,0),0)</f>
        <v>0</v>
      </c>
      <c r="W493" s="203"/>
      <c r="X493" s="49"/>
      <c r="Y493" s="50"/>
      <c r="Z493" s="51"/>
      <c r="AA493" s="52"/>
      <c r="AB493" s="53" t="str">
        <f t="shared" si="110"/>
        <v/>
      </c>
      <c r="AC493" s="48" t="str">
        <f t="shared" si="111"/>
        <v/>
      </c>
      <c r="AD493" s="54" t="str">
        <f t="shared" si="112"/>
        <v/>
      </c>
      <c r="AE493" s="55">
        <f t="shared" si="113"/>
        <v>0</v>
      </c>
      <c r="AF493" s="55">
        <f t="shared" si="114"/>
        <v>0</v>
      </c>
      <c r="AG493" s="58">
        <f t="shared" si="115"/>
        <v>0</v>
      </c>
      <c r="AH493" s="203"/>
      <c r="AJ493" s="203"/>
      <c r="AL493" s="203"/>
      <c r="AM493" s="203" t="str">
        <f t="shared" si="116"/>
        <v/>
      </c>
    </row>
    <row r="494" spans="1:39" s="56" customFormat="1" ht="14.25">
      <c r="A494" s="44"/>
      <c r="B494" s="45"/>
      <c r="C494" s="46">
        <f>IF(B494&lt;&gt;"",VLOOKUP(B494,'Tipo Projeto'!$A$3:$B$35,2,0),0)</f>
        <v>0</v>
      </c>
      <c r="D494" s="203"/>
      <c r="E494" s="203"/>
      <c r="F494" s="48"/>
      <c r="G494" s="203"/>
      <c r="H494" s="49"/>
      <c r="I494" s="50"/>
      <c r="J494" s="51"/>
      <c r="K494" s="52"/>
      <c r="L494" s="53" t="str">
        <f t="shared" si="104"/>
        <v/>
      </c>
      <c r="M494" s="48" t="str">
        <f t="shared" si="105"/>
        <v/>
      </c>
      <c r="N494" s="54" t="str">
        <f t="shared" si="106"/>
        <v/>
      </c>
      <c r="O494" s="55">
        <f t="shared" si="107"/>
        <v>0</v>
      </c>
      <c r="P494" s="55">
        <f t="shared" si="108"/>
        <v>0</v>
      </c>
      <c r="Q494" s="54">
        <f t="shared" si="109"/>
        <v>0</v>
      </c>
      <c r="R494" s="203"/>
      <c r="T494" s="57"/>
      <c r="U494" s="45"/>
      <c r="V494" s="46">
        <f>IF(U494&lt;&gt;"",VLOOKUP(U494,'Tipo Projeto'!$A$3:$B$35,2,0),0)</f>
        <v>0</v>
      </c>
      <c r="W494" s="203"/>
      <c r="X494" s="49"/>
      <c r="Y494" s="50"/>
      <c r="Z494" s="51"/>
      <c r="AA494" s="52"/>
      <c r="AB494" s="53" t="str">
        <f t="shared" si="110"/>
        <v/>
      </c>
      <c r="AC494" s="48" t="str">
        <f t="shared" si="111"/>
        <v/>
      </c>
      <c r="AD494" s="54" t="str">
        <f t="shared" si="112"/>
        <v/>
      </c>
      <c r="AE494" s="55">
        <f t="shared" si="113"/>
        <v>0</v>
      </c>
      <c r="AF494" s="55">
        <f t="shared" si="114"/>
        <v>0</v>
      </c>
      <c r="AG494" s="58">
        <f t="shared" si="115"/>
        <v>0</v>
      </c>
      <c r="AH494" s="203"/>
      <c r="AJ494" s="203"/>
      <c r="AL494" s="203"/>
      <c r="AM494" s="203" t="str">
        <f t="shared" si="116"/>
        <v/>
      </c>
    </row>
    <row r="495" spans="1:39" s="56" customFormat="1" ht="14.25">
      <c r="A495" s="44"/>
      <c r="B495" s="45"/>
      <c r="C495" s="46">
        <f>IF(B495&lt;&gt;"",VLOOKUP(B495,'Tipo Projeto'!$A$3:$B$35,2,0),0)</f>
        <v>0</v>
      </c>
      <c r="D495" s="203"/>
      <c r="E495" s="203"/>
      <c r="F495" s="48"/>
      <c r="G495" s="203"/>
      <c r="H495" s="49"/>
      <c r="I495" s="50"/>
      <c r="J495" s="51"/>
      <c r="K495" s="52"/>
      <c r="L495" s="53" t="str">
        <f t="shared" si="104"/>
        <v/>
      </c>
      <c r="M495" s="48" t="str">
        <f t="shared" si="105"/>
        <v/>
      </c>
      <c r="N495" s="54" t="str">
        <f t="shared" si="106"/>
        <v/>
      </c>
      <c r="O495" s="55">
        <f t="shared" si="107"/>
        <v>0</v>
      </c>
      <c r="P495" s="55">
        <f t="shared" si="108"/>
        <v>0</v>
      </c>
      <c r="Q495" s="54">
        <f t="shared" si="109"/>
        <v>0</v>
      </c>
      <c r="R495" s="203"/>
      <c r="T495" s="57"/>
      <c r="U495" s="45"/>
      <c r="V495" s="46">
        <f>IF(U495&lt;&gt;"",VLOOKUP(U495,'Tipo Projeto'!$A$3:$B$35,2,0),0)</f>
        <v>0</v>
      </c>
      <c r="W495" s="203"/>
      <c r="X495" s="49"/>
      <c r="Y495" s="50"/>
      <c r="Z495" s="51"/>
      <c r="AA495" s="52"/>
      <c r="AB495" s="53" t="str">
        <f t="shared" si="110"/>
        <v/>
      </c>
      <c r="AC495" s="48" t="str">
        <f t="shared" si="111"/>
        <v/>
      </c>
      <c r="AD495" s="54" t="str">
        <f t="shared" si="112"/>
        <v/>
      </c>
      <c r="AE495" s="55">
        <f t="shared" si="113"/>
        <v>0</v>
      </c>
      <c r="AF495" s="55">
        <f t="shared" si="114"/>
        <v>0</v>
      </c>
      <c r="AG495" s="58">
        <f t="shared" si="115"/>
        <v>0</v>
      </c>
      <c r="AH495" s="203"/>
      <c r="AJ495" s="203"/>
      <c r="AL495" s="203"/>
      <c r="AM495" s="203" t="str">
        <f t="shared" si="116"/>
        <v/>
      </c>
    </row>
    <row r="496" spans="1:39" s="56" customFormat="1" ht="14.25">
      <c r="A496" s="44"/>
      <c r="B496" s="45"/>
      <c r="C496" s="46">
        <f>IF(B496&lt;&gt;"",VLOOKUP(B496,'Tipo Projeto'!$A$3:$B$35,2,0),0)</f>
        <v>0</v>
      </c>
      <c r="D496" s="203"/>
      <c r="E496" s="203"/>
      <c r="F496" s="48"/>
      <c r="G496" s="203"/>
      <c r="H496" s="49"/>
      <c r="I496" s="50"/>
      <c r="J496" s="51"/>
      <c r="K496" s="52"/>
      <c r="L496" s="53" t="str">
        <f t="shared" si="104"/>
        <v/>
      </c>
      <c r="M496" s="48" t="str">
        <f t="shared" si="105"/>
        <v/>
      </c>
      <c r="N496" s="54" t="str">
        <f t="shared" si="106"/>
        <v/>
      </c>
      <c r="O496" s="55">
        <f t="shared" si="107"/>
        <v>0</v>
      </c>
      <c r="P496" s="55">
        <f t="shared" si="108"/>
        <v>0</v>
      </c>
      <c r="Q496" s="54">
        <f t="shared" si="109"/>
        <v>0</v>
      </c>
      <c r="R496" s="203"/>
      <c r="T496" s="57"/>
      <c r="U496" s="45"/>
      <c r="V496" s="46">
        <f>IF(U496&lt;&gt;"",VLOOKUP(U496,'Tipo Projeto'!$A$3:$B$35,2,0),0)</f>
        <v>0</v>
      </c>
      <c r="W496" s="203"/>
      <c r="X496" s="49"/>
      <c r="Y496" s="50"/>
      <c r="Z496" s="51"/>
      <c r="AA496" s="52"/>
      <c r="AB496" s="53" t="str">
        <f t="shared" si="110"/>
        <v/>
      </c>
      <c r="AC496" s="48" t="str">
        <f t="shared" si="111"/>
        <v/>
      </c>
      <c r="AD496" s="54" t="str">
        <f t="shared" si="112"/>
        <v/>
      </c>
      <c r="AE496" s="55">
        <f t="shared" si="113"/>
        <v>0</v>
      </c>
      <c r="AF496" s="55">
        <f t="shared" si="114"/>
        <v>0</v>
      </c>
      <c r="AG496" s="58">
        <f t="shared" si="115"/>
        <v>0</v>
      </c>
      <c r="AH496" s="203"/>
      <c r="AJ496" s="203"/>
      <c r="AL496" s="203"/>
      <c r="AM496" s="203" t="str">
        <f t="shared" si="116"/>
        <v/>
      </c>
    </row>
    <row r="497" spans="1:39" s="56" customFormat="1" ht="14.25">
      <c r="A497" s="44"/>
      <c r="B497" s="45"/>
      <c r="C497" s="46">
        <f>IF(B497&lt;&gt;"",VLOOKUP(B497,'Tipo Projeto'!$A$3:$B$35,2,0),0)</f>
        <v>0</v>
      </c>
      <c r="D497" s="203"/>
      <c r="E497" s="203"/>
      <c r="F497" s="48"/>
      <c r="G497" s="203"/>
      <c r="H497" s="49"/>
      <c r="I497" s="50"/>
      <c r="J497" s="51"/>
      <c r="K497" s="52"/>
      <c r="L497" s="53" t="str">
        <f t="shared" si="104"/>
        <v/>
      </c>
      <c r="M497" s="48" t="str">
        <f t="shared" si="105"/>
        <v/>
      </c>
      <c r="N497" s="54" t="str">
        <f t="shared" si="106"/>
        <v/>
      </c>
      <c r="O497" s="55">
        <f t="shared" si="107"/>
        <v>0</v>
      </c>
      <c r="P497" s="55">
        <f t="shared" si="108"/>
        <v>0</v>
      </c>
      <c r="Q497" s="54">
        <f t="shared" si="109"/>
        <v>0</v>
      </c>
      <c r="R497" s="203"/>
      <c r="T497" s="57"/>
      <c r="U497" s="45"/>
      <c r="V497" s="46">
        <f>IF(U497&lt;&gt;"",VLOOKUP(U497,'Tipo Projeto'!$A$3:$B$35,2,0),0)</f>
        <v>0</v>
      </c>
      <c r="W497" s="203"/>
      <c r="X497" s="49"/>
      <c r="Y497" s="50"/>
      <c r="Z497" s="51"/>
      <c r="AA497" s="52"/>
      <c r="AB497" s="53" t="str">
        <f t="shared" si="110"/>
        <v/>
      </c>
      <c r="AC497" s="48" t="str">
        <f t="shared" si="111"/>
        <v/>
      </c>
      <c r="AD497" s="54" t="str">
        <f t="shared" si="112"/>
        <v/>
      </c>
      <c r="AE497" s="55">
        <f t="shared" si="113"/>
        <v>0</v>
      </c>
      <c r="AF497" s="55">
        <f t="shared" si="114"/>
        <v>0</v>
      </c>
      <c r="AG497" s="58">
        <f t="shared" si="115"/>
        <v>0</v>
      </c>
      <c r="AH497" s="203"/>
      <c r="AJ497" s="203"/>
      <c r="AL497" s="203"/>
      <c r="AM497" s="203" t="str">
        <f t="shared" si="116"/>
        <v/>
      </c>
    </row>
    <row r="498" spans="1:39" s="56" customFormat="1" ht="14.25">
      <c r="A498" s="44"/>
      <c r="B498" s="45"/>
      <c r="C498" s="46">
        <f>IF(B498&lt;&gt;"",VLOOKUP(B498,'Tipo Projeto'!$A$3:$B$35,2,0),0)</f>
        <v>0</v>
      </c>
      <c r="D498" s="203"/>
      <c r="E498" s="203"/>
      <c r="F498" s="48"/>
      <c r="G498" s="203"/>
      <c r="H498" s="49"/>
      <c r="I498" s="50"/>
      <c r="J498" s="51"/>
      <c r="K498" s="52"/>
      <c r="L498" s="53" t="str">
        <f t="shared" si="104"/>
        <v/>
      </c>
      <c r="M498" s="48" t="str">
        <f t="shared" si="105"/>
        <v/>
      </c>
      <c r="N498" s="54" t="str">
        <f t="shared" si="106"/>
        <v/>
      </c>
      <c r="O498" s="55">
        <f t="shared" si="107"/>
        <v>0</v>
      </c>
      <c r="P498" s="55">
        <f t="shared" si="108"/>
        <v>0</v>
      </c>
      <c r="Q498" s="54">
        <f t="shared" si="109"/>
        <v>0</v>
      </c>
      <c r="R498" s="203"/>
      <c r="T498" s="57"/>
      <c r="U498" s="45"/>
      <c r="V498" s="46">
        <f>IF(U498&lt;&gt;"",VLOOKUP(U498,'Tipo Projeto'!$A$3:$B$35,2,0),0)</f>
        <v>0</v>
      </c>
      <c r="W498" s="203"/>
      <c r="X498" s="49"/>
      <c r="Y498" s="50"/>
      <c r="Z498" s="51"/>
      <c r="AA498" s="52"/>
      <c r="AB498" s="53" t="str">
        <f t="shared" si="110"/>
        <v/>
      </c>
      <c r="AC498" s="48" t="str">
        <f t="shared" si="111"/>
        <v/>
      </c>
      <c r="AD498" s="54" t="str">
        <f t="shared" si="112"/>
        <v/>
      </c>
      <c r="AE498" s="55">
        <f t="shared" si="113"/>
        <v>0</v>
      </c>
      <c r="AF498" s="55">
        <f t="shared" si="114"/>
        <v>0</v>
      </c>
      <c r="AG498" s="58">
        <f t="shared" si="115"/>
        <v>0</v>
      </c>
      <c r="AH498" s="203"/>
      <c r="AJ498" s="203"/>
      <c r="AL498" s="203"/>
      <c r="AM498" s="203" t="str">
        <f t="shared" si="116"/>
        <v/>
      </c>
    </row>
    <row r="499" spans="1:39" s="56" customFormat="1" ht="14.25">
      <c r="A499" s="44"/>
      <c r="B499" s="45"/>
      <c r="C499" s="46">
        <f>IF(B499&lt;&gt;"",VLOOKUP(B499,'Tipo Projeto'!$A$3:$B$35,2,0),0)</f>
        <v>0</v>
      </c>
      <c r="D499" s="203"/>
      <c r="E499" s="203"/>
      <c r="F499" s="48"/>
      <c r="G499" s="203"/>
      <c r="H499" s="49"/>
      <c r="I499" s="50"/>
      <c r="J499" s="51"/>
      <c r="K499" s="52"/>
      <c r="L499" s="53" t="str">
        <f t="shared" si="104"/>
        <v/>
      </c>
      <c r="M499" s="48" t="str">
        <f t="shared" si="105"/>
        <v/>
      </c>
      <c r="N499" s="54" t="str">
        <f t="shared" si="106"/>
        <v/>
      </c>
      <c r="O499" s="55">
        <f t="shared" si="107"/>
        <v>0</v>
      </c>
      <c r="P499" s="55">
        <f t="shared" si="108"/>
        <v>0</v>
      </c>
      <c r="Q499" s="54">
        <f t="shared" si="109"/>
        <v>0</v>
      </c>
      <c r="R499" s="203"/>
      <c r="T499" s="57"/>
      <c r="U499" s="45"/>
      <c r="V499" s="46">
        <f>IF(U499&lt;&gt;"",VLOOKUP(U499,'Tipo Projeto'!$A$3:$B$35,2,0),0)</f>
        <v>0</v>
      </c>
      <c r="W499" s="203"/>
      <c r="X499" s="49"/>
      <c r="Y499" s="50"/>
      <c r="Z499" s="51"/>
      <c r="AA499" s="52"/>
      <c r="AB499" s="53" t="str">
        <f t="shared" si="110"/>
        <v/>
      </c>
      <c r="AC499" s="48" t="str">
        <f t="shared" si="111"/>
        <v/>
      </c>
      <c r="AD499" s="54" t="str">
        <f t="shared" si="112"/>
        <v/>
      </c>
      <c r="AE499" s="55">
        <f t="shared" si="113"/>
        <v>0</v>
      </c>
      <c r="AF499" s="55">
        <f t="shared" si="114"/>
        <v>0</v>
      </c>
      <c r="AG499" s="58">
        <f t="shared" si="115"/>
        <v>0</v>
      </c>
      <c r="AH499" s="203"/>
      <c r="AJ499" s="203"/>
      <c r="AL499" s="203"/>
      <c r="AM499" s="203" t="str">
        <f t="shared" si="116"/>
        <v/>
      </c>
    </row>
    <row r="500" spans="1:39" s="56" customFormat="1" ht="14.25">
      <c r="A500" s="44"/>
      <c r="B500" s="45"/>
      <c r="C500" s="46">
        <f>IF(B500&lt;&gt;"",VLOOKUP(B500,'Tipo Projeto'!$A$3:$B$35,2,0),0)</f>
        <v>0</v>
      </c>
      <c r="D500" s="203"/>
      <c r="E500" s="203"/>
      <c r="F500" s="48"/>
      <c r="G500" s="203"/>
      <c r="H500" s="49"/>
      <c r="I500" s="50"/>
      <c r="J500" s="51"/>
      <c r="K500" s="52"/>
      <c r="L500" s="53" t="str">
        <f t="shared" si="104"/>
        <v/>
      </c>
      <c r="M500" s="48" t="str">
        <f t="shared" si="105"/>
        <v/>
      </c>
      <c r="N500" s="54" t="str">
        <f t="shared" si="106"/>
        <v/>
      </c>
      <c r="O500" s="55">
        <f t="shared" si="107"/>
        <v>0</v>
      </c>
      <c r="P500" s="55">
        <f t="shared" si="108"/>
        <v>0</v>
      </c>
      <c r="Q500" s="54">
        <f t="shared" si="109"/>
        <v>0</v>
      </c>
      <c r="R500" s="203"/>
      <c r="T500" s="57"/>
      <c r="U500" s="45"/>
      <c r="V500" s="46">
        <f>IF(U500&lt;&gt;"",VLOOKUP(U500,'Tipo Projeto'!$A$3:$B$35,2,0),0)</f>
        <v>0</v>
      </c>
      <c r="W500" s="203"/>
      <c r="X500" s="49"/>
      <c r="Y500" s="50"/>
      <c r="Z500" s="51"/>
      <c r="AA500" s="52"/>
      <c r="AB500" s="53" t="str">
        <f t="shared" si="110"/>
        <v/>
      </c>
      <c r="AC500" s="48" t="str">
        <f t="shared" si="111"/>
        <v/>
      </c>
      <c r="AD500" s="54" t="str">
        <f t="shared" si="112"/>
        <v/>
      </c>
      <c r="AE500" s="55">
        <f t="shared" si="113"/>
        <v>0</v>
      </c>
      <c r="AF500" s="55">
        <f t="shared" si="114"/>
        <v>0</v>
      </c>
      <c r="AG500" s="58">
        <f t="shared" si="115"/>
        <v>0</v>
      </c>
      <c r="AH500" s="203"/>
      <c r="AJ500" s="203"/>
      <c r="AL500" s="203"/>
      <c r="AM500" s="203" t="str">
        <f t="shared" si="116"/>
        <v/>
      </c>
    </row>
    <row r="501" spans="1:39" s="56" customFormat="1" ht="14.25">
      <c r="A501" s="44"/>
      <c r="B501" s="45"/>
      <c r="C501" s="46">
        <f>IF(B501&lt;&gt;"",VLOOKUP(B501,'Tipo Projeto'!$A$3:$B$35,2,0),0)</f>
        <v>0</v>
      </c>
      <c r="D501" s="203"/>
      <c r="E501" s="203"/>
      <c r="F501" s="48"/>
      <c r="G501" s="203"/>
      <c r="H501" s="49"/>
      <c r="I501" s="50"/>
      <c r="J501" s="51"/>
      <c r="K501" s="52"/>
      <c r="L501" s="53" t="str">
        <f t="shared" si="104"/>
        <v/>
      </c>
      <c r="M501" s="48" t="str">
        <f t="shared" si="105"/>
        <v/>
      </c>
      <c r="N501" s="54" t="str">
        <f t="shared" si="106"/>
        <v/>
      </c>
      <c r="O501" s="55">
        <f t="shared" si="107"/>
        <v>0</v>
      </c>
      <c r="P501" s="55">
        <f t="shared" si="108"/>
        <v>0</v>
      </c>
      <c r="Q501" s="54">
        <f t="shared" si="109"/>
        <v>0</v>
      </c>
      <c r="R501" s="203"/>
      <c r="T501" s="57"/>
      <c r="U501" s="45"/>
      <c r="V501" s="46">
        <f>IF(U501&lt;&gt;"",VLOOKUP(U501,'Tipo Projeto'!$A$3:$B$35,2,0),0)</f>
        <v>0</v>
      </c>
      <c r="W501" s="203"/>
      <c r="X501" s="49"/>
      <c r="Y501" s="50"/>
      <c r="Z501" s="51"/>
      <c r="AA501" s="52"/>
      <c r="AB501" s="53" t="str">
        <f t="shared" si="110"/>
        <v/>
      </c>
      <c r="AC501" s="48" t="str">
        <f t="shared" si="111"/>
        <v/>
      </c>
      <c r="AD501" s="54" t="str">
        <f t="shared" si="112"/>
        <v/>
      </c>
      <c r="AE501" s="55">
        <f t="shared" si="113"/>
        <v>0</v>
      </c>
      <c r="AF501" s="55">
        <f t="shared" si="114"/>
        <v>0</v>
      </c>
      <c r="AG501" s="58">
        <f t="shared" si="115"/>
        <v>0</v>
      </c>
      <c r="AH501" s="203"/>
      <c r="AJ501" s="203"/>
      <c r="AL501" s="203"/>
      <c r="AM501" s="203" t="str">
        <f t="shared" si="116"/>
        <v/>
      </c>
    </row>
    <row r="502" spans="1:39" s="56" customFormat="1" ht="14.25">
      <c r="A502" s="44"/>
      <c r="B502" s="45"/>
      <c r="C502" s="46">
        <f>IF(B502&lt;&gt;"",VLOOKUP(B502,'Tipo Projeto'!$A$3:$B$35,2,0),0)</f>
        <v>0</v>
      </c>
      <c r="D502" s="203"/>
      <c r="E502" s="203"/>
      <c r="F502" s="48"/>
      <c r="G502" s="203"/>
      <c r="H502" s="49"/>
      <c r="I502" s="50"/>
      <c r="J502" s="51"/>
      <c r="K502" s="52"/>
      <c r="L502" s="53" t="str">
        <f t="shared" si="104"/>
        <v/>
      </c>
      <c r="M502" s="48" t="str">
        <f t="shared" si="105"/>
        <v/>
      </c>
      <c r="N502" s="54" t="str">
        <f t="shared" si="106"/>
        <v/>
      </c>
      <c r="O502" s="55">
        <f t="shared" si="107"/>
        <v>0</v>
      </c>
      <c r="P502" s="55">
        <f t="shared" si="108"/>
        <v>0</v>
      </c>
      <c r="Q502" s="54">
        <f t="shared" si="109"/>
        <v>0</v>
      </c>
      <c r="R502" s="203"/>
      <c r="T502" s="57"/>
      <c r="U502" s="45"/>
      <c r="V502" s="46">
        <f>IF(U502&lt;&gt;"",VLOOKUP(U502,'Tipo Projeto'!$A$3:$B$35,2,0),0)</f>
        <v>0</v>
      </c>
      <c r="W502" s="203"/>
      <c r="X502" s="49"/>
      <c r="Y502" s="50"/>
      <c r="Z502" s="51"/>
      <c r="AA502" s="52"/>
      <c r="AB502" s="53" t="str">
        <f t="shared" si="110"/>
        <v/>
      </c>
      <c r="AC502" s="48" t="str">
        <f t="shared" si="111"/>
        <v/>
      </c>
      <c r="AD502" s="54" t="str">
        <f t="shared" si="112"/>
        <v/>
      </c>
      <c r="AE502" s="55">
        <f t="shared" si="113"/>
        <v>0</v>
      </c>
      <c r="AF502" s="55">
        <f t="shared" si="114"/>
        <v>0</v>
      </c>
      <c r="AG502" s="58">
        <f t="shared" si="115"/>
        <v>0</v>
      </c>
      <c r="AH502" s="203"/>
      <c r="AJ502" s="203"/>
      <c r="AL502" s="203"/>
      <c r="AM502" s="203" t="str">
        <f t="shared" si="116"/>
        <v/>
      </c>
    </row>
    <row r="503" spans="1:39" s="56" customFormat="1" ht="14.25">
      <c r="A503" s="44"/>
      <c r="B503" s="45"/>
      <c r="C503" s="46">
        <f>IF(B503&lt;&gt;"",VLOOKUP(B503,'Tipo Projeto'!$A$3:$B$35,2,0),0)</f>
        <v>0</v>
      </c>
      <c r="D503" s="203"/>
      <c r="E503" s="203"/>
      <c r="F503" s="48"/>
      <c r="G503" s="203"/>
      <c r="H503" s="49"/>
      <c r="I503" s="50"/>
      <c r="J503" s="51"/>
      <c r="K503" s="52"/>
      <c r="L503" s="53" t="str">
        <f t="shared" si="104"/>
        <v/>
      </c>
      <c r="M503" s="48" t="str">
        <f t="shared" si="105"/>
        <v/>
      </c>
      <c r="N503" s="54" t="str">
        <f t="shared" si="106"/>
        <v/>
      </c>
      <c r="O503" s="55">
        <f t="shared" si="107"/>
        <v>0</v>
      </c>
      <c r="P503" s="55">
        <f t="shared" si="108"/>
        <v>0</v>
      </c>
      <c r="Q503" s="54">
        <f t="shared" si="109"/>
        <v>0</v>
      </c>
      <c r="R503" s="203"/>
      <c r="T503" s="57"/>
      <c r="U503" s="45"/>
      <c r="V503" s="46">
        <f>IF(U503&lt;&gt;"",VLOOKUP(U503,'Tipo Projeto'!$A$3:$B$35,2,0),0)</f>
        <v>0</v>
      </c>
      <c r="W503" s="203"/>
      <c r="X503" s="49"/>
      <c r="Y503" s="50"/>
      <c r="Z503" s="51"/>
      <c r="AA503" s="52"/>
      <c r="AB503" s="53" t="str">
        <f t="shared" si="110"/>
        <v/>
      </c>
      <c r="AC503" s="48" t="str">
        <f t="shared" si="111"/>
        <v/>
      </c>
      <c r="AD503" s="54" t="str">
        <f t="shared" si="112"/>
        <v/>
      </c>
      <c r="AE503" s="55">
        <f t="shared" si="113"/>
        <v>0</v>
      </c>
      <c r="AF503" s="55">
        <f t="shared" si="114"/>
        <v>0</v>
      </c>
      <c r="AG503" s="58">
        <f t="shared" si="115"/>
        <v>0</v>
      </c>
      <c r="AH503" s="203"/>
      <c r="AJ503" s="203"/>
      <c r="AL503" s="203"/>
      <c r="AM503" s="203" t="str">
        <f t="shared" si="116"/>
        <v/>
      </c>
    </row>
    <row r="504" spans="1:39" s="56" customFormat="1" ht="14.25">
      <c r="A504" s="44"/>
      <c r="B504" s="45"/>
      <c r="C504" s="46">
        <f>IF(B504&lt;&gt;"",VLOOKUP(B504,'Tipo Projeto'!$A$3:$B$35,2,0),0)</f>
        <v>0</v>
      </c>
      <c r="D504" s="203"/>
      <c r="E504" s="203"/>
      <c r="F504" s="48"/>
      <c r="G504" s="203"/>
      <c r="H504" s="49"/>
      <c r="I504" s="50"/>
      <c r="J504" s="51"/>
      <c r="K504" s="52"/>
      <c r="L504" s="53" t="str">
        <f t="shared" si="104"/>
        <v/>
      </c>
      <c r="M504" s="48" t="str">
        <f t="shared" si="105"/>
        <v/>
      </c>
      <c r="N504" s="54" t="str">
        <f t="shared" si="106"/>
        <v/>
      </c>
      <c r="O504" s="55">
        <f t="shared" si="107"/>
        <v>0</v>
      </c>
      <c r="P504" s="55">
        <f t="shared" si="108"/>
        <v>0</v>
      </c>
      <c r="Q504" s="54">
        <f t="shared" si="109"/>
        <v>0</v>
      </c>
      <c r="R504" s="203"/>
      <c r="T504" s="57"/>
      <c r="U504" s="45"/>
      <c r="V504" s="46">
        <f>IF(U504&lt;&gt;"",VLOOKUP(U504,'Tipo Projeto'!$A$3:$B$35,2,0),0)</f>
        <v>0</v>
      </c>
      <c r="W504" s="203"/>
      <c r="X504" s="49"/>
      <c r="Y504" s="50"/>
      <c r="Z504" s="51"/>
      <c r="AA504" s="52"/>
      <c r="AB504" s="53" t="str">
        <f t="shared" si="110"/>
        <v/>
      </c>
      <c r="AC504" s="48" t="str">
        <f t="shared" si="111"/>
        <v/>
      </c>
      <c r="AD504" s="54" t="str">
        <f t="shared" si="112"/>
        <v/>
      </c>
      <c r="AE504" s="55">
        <f t="shared" si="113"/>
        <v>0</v>
      </c>
      <c r="AF504" s="55">
        <f t="shared" si="114"/>
        <v>0</v>
      </c>
      <c r="AG504" s="58">
        <f t="shared" si="115"/>
        <v>0</v>
      </c>
      <c r="AH504" s="203"/>
      <c r="AJ504" s="203"/>
      <c r="AL504" s="203"/>
      <c r="AM504" s="203" t="str">
        <f t="shared" si="116"/>
        <v/>
      </c>
    </row>
    <row r="505" spans="1:39" s="56" customFormat="1" ht="14.25">
      <c r="A505" s="44"/>
      <c r="B505" s="45"/>
      <c r="C505" s="46">
        <f>IF(B505&lt;&gt;"",VLOOKUP(B505,'Tipo Projeto'!$A$3:$B$35,2,0),0)</f>
        <v>0</v>
      </c>
      <c r="D505" s="203"/>
      <c r="E505" s="203"/>
      <c r="F505" s="48"/>
      <c r="G505" s="203"/>
      <c r="H505" s="49"/>
      <c r="I505" s="50"/>
      <c r="J505" s="51"/>
      <c r="K505" s="52"/>
      <c r="L505" s="53" t="str">
        <f t="shared" si="104"/>
        <v/>
      </c>
      <c r="M505" s="48" t="str">
        <f t="shared" si="105"/>
        <v/>
      </c>
      <c r="N505" s="54" t="str">
        <f t="shared" si="106"/>
        <v/>
      </c>
      <c r="O505" s="55">
        <f t="shared" si="107"/>
        <v>0</v>
      </c>
      <c r="P505" s="55">
        <f t="shared" si="108"/>
        <v>0</v>
      </c>
      <c r="Q505" s="54">
        <f t="shared" si="109"/>
        <v>0</v>
      </c>
      <c r="R505" s="203"/>
      <c r="T505" s="57"/>
      <c r="U505" s="45"/>
      <c r="V505" s="46">
        <f>IF(U505&lt;&gt;"",VLOOKUP(U505,'Tipo Projeto'!$A$3:$B$35,2,0),0)</f>
        <v>0</v>
      </c>
      <c r="W505" s="203"/>
      <c r="X505" s="49"/>
      <c r="Y505" s="50"/>
      <c r="Z505" s="51"/>
      <c r="AA505" s="52"/>
      <c r="AB505" s="53" t="str">
        <f t="shared" si="110"/>
        <v/>
      </c>
      <c r="AC505" s="48" t="str">
        <f t="shared" si="111"/>
        <v/>
      </c>
      <c r="AD505" s="54" t="str">
        <f t="shared" si="112"/>
        <v/>
      </c>
      <c r="AE505" s="55">
        <f t="shared" si="113"/>
        <v>0</v>
      </c>
      <c r="AF505" s="55">
        <f t="shared" si="114"/>
        <v>0</v>
      </c>
      <c r="AG505" s="58">
        <f t="shared" si="115"/>
        <v>0</v>
      </c>
      <c r="AH505" s="203"/>
      <c r="AJ505" s="203"/>
      <c r="AL505" s="203"/>
      <c r="AM505" s="203" t="str">
        <f t="shared" si="116"/>
        <v/>
      </c>
    </row>
    <row r="506" spans="1:39" s="56" customFormat="1" ht="14.25">
      <c r="A506" s="44"/>
      <c r="B506" s="45"/>
      <c r="C506" s="46">
        <f>IF(B506&lt;&gt;"",VLOOKUP(B506,'Tipo Projeto'!$A$3:$B$35,2,0),0)</f>
        <v>0</v>
      </c>
      <c r="D506" s="203"/>
      <c r="E506" s="203"/>
      <c r="F506" s="48"/>
      <c r="G506" s="203"/>
      <c r="H506" s="49"/>
      <c r="I506" s="50"/>
      <c r="J506" s="51"/>
      <c r="K506" s="52"/>
      <c r="L506" s="53" t="str">
        <f t="shared" si="104"/>
        <v/>
      </c>
      <c r="M506" s="48" t="str">
        <f t="shared" si="105"/>
        <v/>
      </c>
      <c r="N506" s="54" t="str">
        <f t="shared" si="106"/>
        <v/>
      </c>
      <c r="O506" s="55">
        <f t="shared" si="107"/>
        <v>0</v>
      </c>
      <c r="P506" s="55">
        <f t="shared" si="108"/>
        <v>0</v>
      </c>
      <c r="Q506" s="54">
        <f t="shared" si="109"/>
        <v>0</v>
      </c>
      <c r="R506" s="203"/>
      <c r="T506" s="57"/>
      <c r="U506" s="45"/>
      <c r="V506" s="46">
        <f>IF(U506&lt;&gt;"",VLOOKUP(U506,'Tipo Projeto'!$A$3:$B$35,2,0),0)</f>
        <v>0</v>
      </c>
      <c r="W506" s="203"/>
      <c r="X506" s="49"/>
      <c r="Y506" s="50"/>
      <c r="Z506" s="51"/>
      <c r="AA506" s="52"/>
      <c r="AB506" s="53" t="str">
        <f t="shared" si="110"/>
        <v/>
      </c>
      <c r="AC506" s="48" t="str">
        <f t="shared" si="111"/>
        <v/>
      </c>
      <c r="AD506" s="54" t="str">
        <f t="shared" si="112"/>
        <v/>
      </c>
      <c r="AE506" s="55">
        <f t="shared" si="113"/>
        <v>0</v>
      </c>
      <c r="AF506" s="55">
        <f t="shared" si="114"/>
        <v>0</v>
      </c>
      <c r="AG506" s="58">
        <f t="shared" si="115"/>
        <v>0</v>
      </c>
      <c r="AH506" s="203"/>
      <c r="AJ506" s="203"/>
      <c r="AL506" s="203"/>
      <c r="AM506" s="203" t="str">
        <f t="shared" si="116"/>
        <v/>
      </c>
    </row>
    <row r="507" spans="1:39" s="56" customFormat="1" ht="14.25">
      <c r="A507" s="44"/>
      <c r="B507" s="45"/>
      <c r="C507" s="46">
        <f>IF(B507&lt;&gt;"",VLOOKUP(B507,'Tipo Projeto'!$A$3:$B$35,2,0),0)</f>
        <v>0</v>
      </c>
      <c r="D507" s="203"/>
      <c r="E507" s="203"/>
      <c r="F507" s="48"/>
      <c r="G507" s="203"/>
      <c r="H507" s="49"/>
      <c r="I507" s="50"/>
      <c r="J507" s="51"/>
      <c r="K507" s="52"/>
      <c r="L507" s="53" t="str">
        <f t="shared" si="104"/>
        <v/>
      </c>
      <c r="M507" s="48" t="str">
        <f t="shared" si="105"/>
        <v/>
      </c>
      <c r="N507" s="54" t="str">
        <f t="shared" si="106"/>
        <v/>
      </c>
      <c r="O507" s="55">
        <f t="shared" si="107"/>
        <v>0</v>
      </c>
      <c r="P507" s="55">
        <f t="shared" si="108"/>
        <v>0</v>
      </c>
      <c r="Q507" s="54">
        <f t="shared" si="109"/>
        <v>0</v>
      </c>
      <c r="R507" s="203"/>
      <c r="T507" s="57"/>
      <c r="U507" s="45"/>
      <c r="V507" s="46">
        <f>IF(U507&lt;&gt;"",VLOOKUP(U507,'Tipo Projeto'!$A$3:$B$35,2,0),0)</f>
        <v>0</v>
      </c>
      <c r="W507" s="203"/>
      <c r="X507" s="49"/>
      <c r="Y507" s="50"/>
      <c r="Z507" s="51"/>
      <c r="AA507" s="52"/>
      <c r="AB507" s="53" t="str">
        <f t="shared" si="110"/>
        <v/>
      </c>
      <c r="AC507" s="48" t="str">
        <f t="shared" si="111"/>
        <v/>
      </c>
      <c r="AD507" s="54" t="str">
        <f t="shared" si="112"/>
        <v/>
      </c>
      <c r="AE507" s="55">
        <f t="shared" si="113"/>
        <v>0</v>
      </c>
      <c r="AF507" s="55">
        <f t="shared" si="114"/>
        <v>0</v>
      </c>
      <c r="AG507" s="58">
        <f t="shared" si="115"/>
        <v>0</v>
      </c>
      <c r="AH507" s="203"/>
      <c r="AJ507" s="203"/>
      <c r="AL507" s="203"/>
      <c r="AM507" s="203" t="str">
        <f t="shared" si="116"/>
        <v/>
      </c>
    </row>
    <row r="508" spans="1:39" s="56" customFormat="1" ht="14.25">
      <c r="A508" s="44"/>
      <c r="B508" s="45"/>
      <c r="C508" s="46">
        <f>IF(B508&lt;&gt;"",VLOOKUP(B508,'Tipo Projeto'!$A$3:$B$35,2,0),0)</f>
        <v>0</v>
      </c>
      <c r="D508" s="203"/>
      <c r="E508" s="203"/>
      <c r="F508" s="48"/>
      <c r="G508" s="203"/>
      <c r="H508" s="49"/>
      <c r="I508" s="50"/>
      <c r="J508" s="51"/>
      <c r="K508" s="52"/>
      <c r="L508" s="53" t="str">
        <f t="shared" si="104"/>
        <v/>
      </c>
      <c r="M508" s="48" t="str">
        <f t="shared" si="105"/>
        <v/>
      </c>
      <c r="N508" s="54" t="str">
        <f t="shared" si="106"/>
        <v/>
      </c>
      <c r="O508" s="55">
        <f t="shared" si="107"/>
        <v>0</v>
      </c>
      <c r="P508" s="55">
        <f t="shared" si="108"/>
        <v>0</v>
      </c>
      <c r="Q508" s="54">
        <f t="shared" si="109"/>
        <v>0</v>
      </c>
      <c r="R508" s="203"/>
      <c r="T508" s="57"/>
      <c r="U508" s="45"/>
      <c r="V508" s="46">
        <f>IF(U508&lt;&gt;"",VLOOKUP(U508,'Tipo Projeto'!$A$3:$B$35,2,0),0)</f>
        <v>0</v>
      </c>
      <c r="W508" s="203"/>
      <c r="X508" s="49"/>
      <c r="Y508" s="50"/>
      <c r="Z508" s="51"/>
      <c r="AA508" s="52"/>
      <c r="AB508" s="53" t="str">
        <f t="shared" si="110"/>
        <v/>
      </c>
      <c r="AC508" s="48" t="str">
        <f t="shared" si="111"/>
        <v/>
      </c>
      <c r="AD508" s="54" t="str">
        <f t="shared" si="112"/>
        <v/>
      </c>
      <c r="AE508" s="55">
        <f t="shared" si="113"/>
        <v>0</v>
      </c>
      <c r="AF508" s="55">
        <f t="shared" si="114"/>
        <v>0</v>
      </c>
      <c r="AG508" s="58">
        <f t="shared" si="115"/>
        <v>0</v>
      </c>
      <c r="AH508" s="203"/>
      <c r="AJ508" s="203"/>
      <c r="AL508" s="203"/>
      <c r="AM508" s="203" t="str">
        <f t="shared" si="116"/>
        <v/>
      </c>
    </row>
    <row r="509" spans="1:39" s="56" customFormat="1" ht="14.25">
      <c r="A509" s="44"/>
      <c r="B509" s="45"/>
      <c r="C509" s="46">
        <f>IF(B509&lt;&gt;"",VLOOKUP(B509,'Tipo Projeto'!$A$3:$B$35,2,0),0)</f>
        <v>0</v>
      </c>
      <c r="D509" s="203"/>
      <c r="E509" s="203"/>
      <c r="F509" s="48"/>
      <c r="G509" s="203"/>
      <c r="H509" s="49"/>
      <c r="I509" s="50"/>
      <c r="J509" s="51"/>
      <c r="K509" s="52"/>
      <c r="L509" s="53" t="str">
        <f t="shared" ref="L509:L572" si="117">IF(G509="EE",IF(OR(AND(OR(J509=1,J509=0),H509&gt;0,H509&lt;5),AND(OR(J509=1,J509=0),H509&gt;4,H509&lt;16),AND(J509=2,H509&gt;0,H509&lt;5)),"Simples",IF(OR(AND(OR(J509=1,J509=0),H509&gt;15),AND(J509=2,H509&gt;4,H509&lt;16),AND(J509&gt;2,H509&gt;0,H509&lt;5)),"Médio",IF(OR(AND(J509=2,H509&gt;15),AND(J509&gt;2,H509&gt;4,H509&lt;16),AND(J509&gt;2,H509&gt;15)),"Complexo",""))), IF(OR(G509="CE",G509="SE"),IF(OR(AND(OR(J509=1,J509=0),H509&gt;0,H509&lt;6),AND(OR(J509=1,J509=0),H509&gt;5,H509&lt;20),AND(J509&gt;1,J509&lt;4,H509&gt;0,H509&lt;6)),"Simples",IF(OR(AND(OR(J509=1,J509=0),H509&gt;19),AND(J509&gt;1,J509&lt;4,H509&gt;5,H509&lt;20),AND(J509&gt;3,H509&gt;0,H509&lt;6)),"Médio",IF(OR(AND(J509&gt;1,J509&lt;4,H509&gt;19),AND(J509&gt;3,H509&gt;5,H509&lt;20),AND(J509&gt;3,H509&gt;19)),"Complexo",""))),""))</f>
        <v/>
      </c>
      <c r="M509" s="48" t="str">
        <f t="shared" ref="M509:M572" si="118">IF(G509="ALI",IF(OR(AND(OR(J509=1,J509=0),H509&gt;0,H509&lt;20),AND(OR(J509=1,J509=0),H509&gt;19,H509&lt;51),AND(J509&gt;1,J509&lt;6,H509&gt;0,H509&lt;20)),"Simples",IF(OR(AND(OR(J509=1,J509=0),H509&gt;50),AND(J509&gt;1,J509&lt;6,H509&gt;19,H509&lt;51),AND(J509&gt;5,H509&gt;0,H509&lt;20)),"Médio",IF(OR(AND(J509&gt;1,J509&lt;6,H509&gt;50),AND(J509&gt;5,H509&gt;19,H509&lt;51),AND(J509&gt;5,H509&gt;50)),"Complexo",""))), IF(G509="AIE",IF(OR(AND(OR(J509=1, J509=0),H509&gt;0,H509&lt;20),AND(OR(J509=1, J509=0),H509&gt;19,H509&lt;51),AND(J509&gt;1,J509&lt;6,H509&gt;0,H509&lt;20)),"Simples",IF(OR(AND(OR(J509=1, J509=0),H509&gt;50),AND(J509&gt;1,J509&lt;6,H509&gt;19,H509&lt;51),AND(J509&gt;5,H509&gt;0,H509&lt;20)),"Médio",IF(OR(AND(J509&gt;1,J509&lt;6,H509&gt;50),AND(J509&gt;5,H509&gt;19,H509&lt;51),AND(J509&gt;5,H509&gt;50)),"Complexo",""))),""))</f>
        <v/>
      </c>
      <c r="N509" s="54" t="str">
        <f t="shared" ref="N509:N572" si="119">IF(L509="",M509,IF(M509="",L509,""))</f>
        <v/>
      </c>
      <c r="O509" s="55">
        <f t="shared" ref="O509:O572" si="120">IF(AND(OR(G509="EE",G509="CE"),N509="Simples"),3, IF(AND(OR(G509="EE",G509="CE"),N509="Médio"),4, IF(AND(OR(G509="EE",G509="CE"),N509="Complexo"),6, IF(AND(G509="SE",N509="Simples"),4, IF(AND(G509="SE",N509="Médio"),5, IF(AND(G509="SE",N509="Complexo"),7,0))))))</f>
        <v>0</v>
      </c>
      <c r="P509" s="55">
        <f t="shared" ref="P509:P572" si="121">IF(AND(G509="ALI",M509="Simples"),7, IF(AND(G509="ALI",M509="Médio"),10, IF(AND(G509="ALI",M509="Complexo"),15, IF(AND(G509="AIE",M509="Simples"),5, IF(AND(G509="AIE",M509="Médio"),7, IF(AND(G509="AIE",M509="Complexo"),10,0))))))</f>
        <v>0</v>
      </c>
      <c r="Q509" s="54">
        <f t="shared" ref="Q509:Q572" si="122">IF(B509&lt;&gt;"Manutenção em interface",IF(B509&lt;&gt;"Desenv., Manutenção e Publicação de Páginas Estáticas",(O509+P509)*C509,C509),C509)</f>
        <v>0</v>
      </c>
      <c r="R509" s="203"/>
      <c r="T509" s="57"/>
      <c r="U509" s="45"/>
      <c r="V509" s="46">
        <f>IF(U509&lt;&gt;"",VLOOKUP(U509,'Tipo Projeto'!$A$3:$B$35,2,0),0)</f>
        <v>0</v>
      </c>
      <c r="W509" s="203"/>
      <c r="X509" s="49"/>
      <c r="Y509" s="50"/>
      <c r="Z509" s="51"/>
      <c r="AA509" s="52"/>
      <c r="AB509" s="53" t="str">
        <f t="shared" ref="AB509:AB572" si="123">IF(W509="EE",IF(OR(AND(OR(Z509=1,Z509=0),X509&gt;0,X509&lt;5),AND(OR(Z509=1,Z509=0),X509&gt;4,X509&lt;16),AND(Z509=2,X509&gt;0,X509&lt;5)),"Simples",IF(OR(AND(OR(Z509=1,Z509=0),X509&gt;15),AND(Z509=2,X509&gt;4,X509&lt;16),AND(Z509&gt;2,X509&gt;0,X509&lt;5)),"Médio",IF(OR(AND(Z509=2,X509&gt;15),AND(Z509&gt;2,X509&gt;4,X509&lt;16),AND(Z509&gt;2,X509&gt;15)),"Complexo",""))), IF(OR(W509="CE",W509="SE"),IF(OR(AND(OR(Z509=1,Z509=0),X509&gt;0,X509&lt;6),AND(OR(Z509=1,Z509=0),X509&gt;5,X509&lt;20),AND(Z509&gt;1,Z509&lt;4,X509&gt;0,X509&lt;6)),"Simples",IF(OR(AND(OR(Z509=1,Z509=0),X509&gt;19),AND(Z509&gt;1,Z509&lt;4,X509&gt;5,X509&lt;20),AND(Z509&gt;3,X509&gt;0,X509&lt;6)),"Médio",IF(OR(AND(Z509&gt;1,Z509&lt;4,X509&gt;19),AND(Z509&gt;3,X509&gt;5,X509&lt;20),AND(Z509&gt;3,X509&gt;19)),"Complexo",""))),""))</f>
        <v/>
      </c>
      <c r="AC509" s="48" t="str">
        <f t="shared" ref="AC509:AC572" si="124">IF(W509="ALI",IF(OR(AND(OR(Z509=1,Z509=0),X509&gt;0,X509&lt;20),AND(OR(Z509=1,Z509=0),X509&gt;19,X509&lt;51),AND(Z509&gt;1,Z509&lt;6,X509&gt;0,X509&lt;20)),"Simples",IF(OR(AND(OR(Z509=1,Z509=0),X509&gt;50),AND(Z509&gt;1,Z509&lt;6,X509&gt;19,X509&lt;51),AND(Z509&gt;5,X509&gt;0,X509&lt;20)),"Médio",IF(OR(AND(Z509&gt;1,Z509&lt;6,X509&gt;50),AND(Z509&gt;5,X509&gt;19,X509&lt;51),AND(Z509&gt;5,X509&gt;50)),"Complexo",""))), IF(W509="AIE",IF(OR(AND(OR(Z509=1, Z509=0),X509&gt;0,X509&lt;20),AND(OR(Z509=1, Z509=0),X509&gt;19,X509&lt;51),AND(Z509&gt;1,Z509&lt;6,X509&gt;0,X509&lt;20)),"Simples",IF(OR(AND(OR(Z509=1, Z509=0),X509&gt;50),AND(Z509&gt;1,Z509&lt;6,X509&gt;19,X509&lt;51),AND(Z509&gt;5,X509&gt;0,X509&lt;20)),"Médio",IF(OR(AND(Z509&gt;1,Z509&lt;6,X509&gt;50),AND(Z509&gt;5,X509&gt;19,X509&lt;51),AND(Z509&gt;5,X509&gt;50)),"Complexo",""))),""))</f>
        <v/>
      </c>
      <c r="AD509" s="54" t="str">
        <f t="shared" ref="AD509:AD572" si="125">IF(AB509="",AC509,IF(AC509="",AB509,""))</f>
        <v/>
      </c>
      <c r="AE509" s="55">
        <f t="shared" ref="AE509:AE572" si="126">IF(AND(OR(W509="EE",W509="CE"),AD509="Simples"),3, IF(AND(OR(W509="EE",W509="CE"),AD509="Médio"),4, IF(AND(OR(W509="EE",W509="CE"),AD509="Complexo"),6, IF(AND(W509="SE",AD509="Simples"),4, IF(AND(W509="SE",AD509="Médio"),5, IF(AND(W509="SE",AD509="Complexo"),7,0))))))</f>
        <v>0</v>
      </c>
      <c r="AF509" s="55">
        <f t="shared" ref="AF509:AF572" si="127">IF(AND(W509="ALI",AC509="Simples"),7, IF(AND(W509="ALI",AC509="Médio"),10, IF(AND(W509="ALI",AC509="Complexo"),15, IF(AND(W509="AIE",AC509="Simples"),5, IF(AND(W509="AIE",AC509="Médio"),7, IF(AND(W509="AIE",AC509="Complexo"),10,0))))))</f>
        <v>0</v>
      </c>
      <c r="AG509" s="58">
        <f t="shared" ref="AG509:AG572" si="128">IF(T509="OK",Q509,( IF(U509&lt;&gt;"Manutenção em interface",IF(U509&lt;&gt;"Desenv., Manutenção e Publicação de Páginas Estáticas",(AE509+AF509)*V509,V509),V509)))</f>
        <v>0</v>
      </c>
      <c r="AH509" s="203"/>
      <c r="AJ509" s="203"/>
      <c r="AL509" s="203"/>
      <c r="AM509" s="203" t="str">
        <f t="shared" ref="AM509:AM572" si="129">IF(AG509=0,"",IF(AG509=Q509,"OK","Divergente"))</f>
        <v/>
      </c>
    </row>
    <row r="510" spans="1:39" s="56" customFormat="1" ht="14.25">
      <c r="A510" s="44"/>
      <c r="B510" s="45"/>
      <c r="C510" s="46">
        <f>IF(B510&lt;&gt;"",VLOOKUP(B510,'Tipo Projeto'!$A$3:$B$35,2,0),0)</f>
        <v>0</v>
      </c>
      <c r="D510" s="203"/>
      <c r="E510" s="203"/>
      <c r="F510" s="48"/>
      <c r="G510" s="203"/>
      <c r="H510" s="49"/>
      <c r="I510" s="50"/>
      <c r="J510" s="51"/>
      <c r="K510" s="52"/>
      <c r="L510" s="53" t="str">
        <f t="shared" si="117"/>
        <v/>
      </c>
      <c r="M510" s="48" t="str">
        <f t="shared" si="118"/>
        <v/>
      </c>
      <c r="N510" s="54" t="str">
        <f t="shared" si="119"/>
        <v/>
      </c>
      <c r="O510" s="55">
        <f t="shared" si="120"/>
        <v>0</v>
      </c>
      <c r="P510" s="55">
        <f t="shared" si="121"/>
        <v>0</v>
      </c>
      <c r="Q510" s="54">
        <f t="shared" si="122"/>
        <v>0</v>
      </c>
      <c r="R510" s="203"/>
      <c r="T510" s="57"/>
      <c r="U510" s="45"/>
      <c r="V510" s="46">
        <f>IF(U510&lt;&gt;"",VLOOKUP(U510,'Tipo Projeto'!$A$3:$B$35,2,0),0)</f>
        <v>0</v>
      </c>
      <c r="W510" s="203"/>
      <c r="X510" s="49"/>
      <c r="Y510" s="50"/>
      <c r="Z510" s="51"/>
      <c r="AA510" s="52"/>
      <c r="AB510" s="53" t="str">
        <f t="shared" si="123"/>
        <v/>
      </c>
      <c r="AC510" s="48" t="str">
        <f t="shared" si="124"/>
        <v/>
      </c>
      <c r="AD510" s="54" t="str">
        <f t="shared" si="125"/>
        <v/>
      </c>
      <c r="AE510" s="55">
        <f t="shared" si="126"/>
        <v>0</v>
      </c>
      <c r="AF510" s="55">
        <f t="shared" si="127"/>
        <v>0</v>
      </c>
      <c r="AG510" s="58">
        <f t="shared" si="128"/>
        <v>0</v>
      </c>
      <c r="AH510" s="203"/>
      <c r="AJ510" s="203"/>
      <c r="AL510" s="203"/>
      <c r="AM510" s="203" t="str">
        <f t="shared" si="129"/>
        <v/>
      </c>
    </row>
    <row r="511" spans="1:39" s="56" customFormat="1" ht="14.25">
      <c r="A511" s="44"/>
      <c r="B511" s="45"/>
      <c r="C511" s="46">
        <f>IF(B511&lt;&gt;"",VLOOKUP(B511,'Tipo Projeto'!$A$3:$B$35,2,0),0)</f>
        <v>0</v>
      </c>
      <c r="D511" s="203"/>
      <c r="E511" s="203"/>
      <c r="F511" s="48"/>
      <c r="G511" s="203"/>
      <c r="H511" s="49"/>
      <c r="I511" s="50"/>
      <c r="J511" s="51"/>
      <c r="K511" s="52"/>
      <c r="L511" s="53" t="str">
        <f t="shared" si="117"/>
        <v/>
      </c>
      <c r="M511" s="48" t="str">
        <f t="shared" si="118"/>
        <v/>
      </c>
      <c r="N511" s="54" t="str">
        <f t="shared" si="119"/>
        <v/>
      </c>
      <c r="O511" s="55">
        <f t="shared" si="120"/>
        <v>0</v>
      </c>
      <c r="P511" s="55">
        <f t="shared" si="121"/>
        <v>0</v>
      </c>
      <c r="Q511" s="54">
        <f t="shared" si="122"/>
        <v>0</v>
      </c>
      <c r="R511" s="203"/>
      <c r="T511" s="57"/>
      <c r="U511" s="45"/>
      <c r="V511" s="46">
        <f>IF(U511&lt;&gt;"",VLOOKUP(U511,'Tipo Projeto'!$A$3:$B$35,2,0),0)</f>
        <v>0</v>
      </c>
      <c r="W511" s="203"/>
      <c r="X511" s="49"/>
      <c r="Y511" s="50"/>
      <c r="Z511" s="51"/>
      <c r="AA511" s="52"/>
      <c r="AB511" s="53" t="str">
        <f t="shared" si="123"/>
        <v/>
      </c>
      <c r="AC511" s="48" t="str">
        <f t="shared" si="124"/>
        <v/>
      </c>
      <c r="AD511" s="54" t="str">
        <f t="shared" si="125"/>
        <v/>
      </c>
      <c r="AE511" s="55">
        <f t="shared" si="126"/>
        <v>0</v>
      </c>
      <c r="AF511" s="55">
        <f t="shared" si="127"/>
        <v>0</v>
      </c>
      <c r="AG511" s="58">
        <f t="shared" si="128"/>
        <v>0</v>
      </c>
      <c r="AH511" s="203"/>
      <c r="AJ511" s="203"/>
      <c r="AL511" s="203"/>
      <c r="AM511" s="203" t="str">
        <f t="shared" si="129"/>
        <v/>
      </c>
    </row>
    <row r="512" spans="1:39" s="56" customFormat="1" ht="14.25">
      <c r="A512" s="44"/>
      <c r="B512" s="45"/>
      <c r="C512" s="46">
        <f>IF(B512&lt;&gt;"",VLOOKUP(B512,'Tipo Projeto'!$A$3:$B$35,2,0),0)</f>
        <v>0</v>
      </c>
      <c r="D512" s="203"/>
      <c r="E512" s="203"/>
      <c r="F512" s="48"/>
      <c r="G512" s="203"/>
      <c r="H512" s="49"/>
      <c r="I512" s="50"/>
      <c r="J512" s="51"/>
      <c r="K512" s="52"/>
      <c r="L512" s="53" t="str">
        <f t="shared" si="117"/>
        <v/>
      </c>
      <c r="M512" s="48" t="str">
        <f t="shared" si="118"/>
        <v/>
      </c>
      <c r="N512" s="54" t="str">
        <f t="shared" si="119"/>
        <v/>
      </c>
      <c r="O512" s="55">
        <f t="shared" si="120"/>
        <v>0</v>
      </c>
      <c r="P512" s="55">
        <f t="shared" si="121"/>
        <v>0</v>
      </c>
      <c r="Q512" s="54">
        <f t="shared" si="122"/>
        <v>0</v>
      </c>
      <c r="R512" s="203"/>
      <c r="T512" s="57"/>
      <c r="U512" s="45"/>
      <c r="V512" s="46">
        <f>IF(U512&lt;&gt;"",VLOOKUP(U512,'Tipo Projeto'!$A$3:$B$35,2,0),0)</f>
        <v>0</v>
      </c>
      <c r="W512" s="203"/>
      <c r="X512" s="49"/>
      <c r="Y512" s="50"/>
      <c r="Z512" s="51"/>
      <c r="AA512" s="52"/>
      <c r="AB512" s="53" t="str">
        <f t="shared" si="123"/>
        <v/>
      </c>
      <c r="AC512" s="48" t="str">
        <f t="shared" si="124"/>
        <v/>
      </c>
      <c r="AD512" s="54" t="str">
        <f t="shared" si="125"/>
        <v/>
      </c>
      <c r="AE512" s="55">
        <f t="shared" si="126"/>
        <v>0</v>
      </c>
      <c r="AF512" s="55">
        <f t="shared" si="127"/>
        <v>0</v>
      </c>
      <c r="AG512" s="58">
        <f t="shared" si="128"/>
        <v>0</v>
      </c>
      <c r="AH512" s="203"/>
      <c r="AJ512" s="203"/>
      <c r="AL512" s="203"/>
      <c r="AM512" s="203" t="str">
        <f t="shared" si="129"/>
        <v/>
      </c>
    </row>
    <row r="513" spans="1:39" s="56" customFormat="1" ht="14.25">
      <c r="A513" s="44"/>
      <c r="B513" s="45"/>
      <c r="C513" s="46">
        <f>IF(B513&lt;&gt;"",VLOOKUP(B513,'Tipo Projeto'!$A$3:$B$35,2,0),0)</f>
        <v>0</v>
      </c>
      <c r="D513" s="203"/>
      <c r="E513" s="203"/>
      <c r="F513" s="48"/>
      <c r="G513" s="203"/>
      <c r="H513" s="49"/>
      <c r="I513" s="50"/>
      <c r="J513" s="51"/>
      <c r="K513" s="52"/>
      <c r="L513" s="53" t="str">
        <f t="shared" si="117"/>
        <v/>
      </c>
      <c r="M513" s="48" t="str">
        <f t="shared" si="118"/>
        <v/>
      </c>
      <c r="N513" s="54" t="str">
        <f t="shared" si="119"/>
        <v/>
      </c>
      <c r="O513" s="55">
        <f t="shared" si="120"/>
        <v>0</v>
      </c>
      <c r="P513" s="55">
        <f t="shared" si="121"/>
        <v>0</v>
      </c>
      <c r="Q513" s="54">
        <f t="shared" si="122"/>
        <v>0</v>
      </c>
      <c r="R513" s="203"/>
      <c r="T513" s="57"/>
      <c r="U513" s="45"/>
      <c r="V513" s="46">
        <f>IF(U513&lt;&gt;"",VLOOKUP(U513,'Tipo Projeto'!$A$3:$B$35,2,0),0)</f>
        <v>0</v>
      </c>
      <c r="W513" s="203"/>
      <c r="X513" s="49"/>
      <c r="Y513" s="50"/>
      <c r="Z513" s="51"/>
      <c r="AA513" s="52"/>
      <c r="AB513" s="53" t="str">
        <f t="shared" si="123"/>
        <v/>
      </c>
      <c r="AC513" s="48" t="str">
        <f t="shared" si="124"/>
        <v/>
      </c>
      <c r="AD513" s="54" t="str">
        <f t="shared" si="125"/>
        <v/>
      </c>
      <c r="AE513" s="55">
        <f t="shared" si="126"/>
        <v>0</v>
      </c>
      <c r="AF513" s="55">
        <f t="shared" si="127"/>
        <v>0</v>
      </c>
      <c r="AG513" s="58">
        <f t="shared" si="128"/>
        <v>0</v>
      </c>
      <c r="AH513" s="203"/>
      <c r="AJ513" s="203"/>
      <c r="AL513" s="203"/>
      <c r="AM513" s="203" t="str">
        <f t="shared" si="129"/>
        <v/>
      </c>
    </row>
    <row r="514" spans="1:39" s="56" customFormat="1" ht="14.25">
      <c r="A514" s="44"/>
      <c r="B514" s="45"/>
      <c r="C514" s="46">
        <f>IF(B514&lt;&gt;"",VLOOKUP(B514,'Tipo Projeto'!$A$3:$B$35,2,0),0)</f>
        <v>0</v>
      </c>
      <c r="D514" s="203"/>
      <c r="E514" s="203"/>
      <c r="F514" s="48"/>
      <c r="G514" s="203"/>
      <c r="H514" s="49"/>
      <c r="I514" s="50"/>
      <c r="J514" s="51"/>
      <c r="K514" s="52"/>
      <c r="L514" s="53" t="str">
        <f t="shared" si="117"/>
        <v/>
      </c>
      <c r="M514" s="48" t="str">
        <f t="shared" si="118"/>
        <v/>
      </c>
      <c r="N514" s="54" t="str">
        <f t="shared" si="119"/>
        <v/>
      </c>
      <c r="O514" s="55">
        <f t="shared" si="120"/>
        <v>0</v>
      </c>
      <c r="P514" s="55">
        <f t="shared" si="121"/>
        <v>0</v>
      </c>
      <c r="Q514" s="54">
        <f t="shared" si="122"/>
        <v>0</v>
      </c>
      <c r="R514" s="203"/>
      <c r="T514" s="57"/>
      <c r="U514" s="45"/>
      <c r="V514" s="46">
        <f>IF(U514&lt;&gt;"",VLOOKUP(U514,'Tipo Projeto'!$A$3:$B$35,2,0),0)</f>
        <v>0</v>
      </c>
      <c r="W514" s="203"/>
      <c r="X514" s="49"/>
      <c r="Y514" s="50"/>
      <c r="Z514" s="51"/>
      <c r="AA514" s="52"/>
      <c r="AB514" s="53" t="str">
        <f t="shared" si="123"/>
        <v/>
      </c>
      <c r="AC514" s="48" t="str">
        <f t="shared" si="124"/>
        <v/>
      </c>
      <c r="AD514" s="54" t="str">
        <f t="shared" si="125"/>
        <v/>
      </c>
      <c r="AE514" s="55">
        <f t="shared" si="126"/>
        <v>0</v>
      </c>
      <c r="AF514" s="55">
        <f t="shared" si="127"/>
        <v>0</v>
      </c>
      <c r="AG514" s="58">
        <f t="shared" si="128"/>
        <v>0</v>
      </c>
      <c r="AH514" s="203"/>
      <c r="AJ514" s="203"/>
      <c r="AL514" s="203"/>
      <c r="AM514" s="203" t="str">
        <f t="shared" si="129"/>
        <v/>
      </c>
    </row>
    <row r="515" spans="1:39" s="56" customFormat="1" ht="14.25">
      <c r="A515" s="44"/>
      <c r="B515" s="45"/>
      <c r="C515" s="46">
        <f>IF(B515&lt;&gt;"",VLOOKUP(B515,'Tipo Projeto'!$A$3:$B$35,2,0),0)</f>
        <v>0</v>
      </c>
      <c r="D515" s="203"/>
      <c r="E515" s="203"/>
      <c r="F515" s="48"/>
      <c r="G515" s="203"/>
      <c r="H515" s="49"/>
      <c r="I515" s="50"/>
      <c r="J515" s="51"/>
      <c r="K515" s="52"/>
      <c r="L515" s="53" t="str">
        <f t="shared" si="117"/>
        <v/>
      </c>
      <c r="M515" s="48" t="str">
        <f t="shared" si="118"/>
        <v/>
      </c>
      <c r="N515" s="54" t="str">
        <f t="shared" si="119"/>
        <v/>
      </c>
      <c r="O515" s="55">
        <f t="shared" si="120"/>
        <v>0</v>
      </c>
      <c r="P515" s="55">
        <f t="shared" si="121"/>
        <v>0</v>
      </c>
      <c r="Q515" s="54">
        <f t="shared" si="122"/>
        <v>0</v>
      </c>
      <c r="R515" s="203"/>
      <c r="T515" s="57"/>
      <c r="U515" s="45"/>
      <c r="V515" s="46">
        <f>IF(U515&lt;&gt;"",VLOOKUP(U515,'Tipo Projeto'!$A$3:$B$35,2,0),0)</f>
        <v>0</v>
      </c>
      <c r="W515" s="203"/>
      <c r="X515" s="49"/>
      <c r="Y515" s="50"/>
      <c r="Z515" s="51"/>
      <c r="AA515" s="52"/>
      <c r="AB515" s="53" t="str">
        <f t="shared" si="123"/>
        <v/>
      </c>
      <c r="AC515" s="48" t="str">
        <f t="shared" si="124"/>
        <v/>
      </c>
      <c r="AD515" s="54" t="str">
        <f t="shared" si="125"/>
        <v/>
      </c>
      <c r="AE515" s="55">
        <f t="shared" si="126"/>
        <v>0</v>
      </c>
      <c r="AF515" s="55">
        <f t="shared" si="127"/>
        <v>0</v>
      </c>
      <c r="AG515" s="58">
        <f t="shared" si="128"/>
        <v>0</v>
      </c>
      <c r="AH515" s="203"/>
      <c r="AJ515" s="203"/>
      <c r="AL515" s="203"/>
      <c r="AM515" s="203" t="str">
        <f t="shared" si="129"/>
        <v/>
      </c>
    </row>
    <row r="516" spans="1:39" s="56" customFormat="1" ht="14.25">
      <c r="A516" s="44"/>
      <c r="B516" s="45"/>
      <c r="C516" s="46">
        <f>IF(B516&lt;&gt;"",VLOOKUP(B516,'Tipo Projeto'!$A$3:$B$35,2,0),0)</f>
        <v>0</v>
      </c>
      <c r="D516" s="203"/>
      <c r="E516" s="203"/>
      <c r="F516" s="48"/>
      <c r="G516" s="203"/>
      <c r="H516" s="49"/>
      <c r="I516" s="50"/>
      <c r="J516" s="51"/>
      <c r="K516" s="52"/>
      <c r="L516" s="53" t="str">
        <f t="shared" si="117"/>
        <v/>
      </c>
      <c r="M516" s="48" t="str">
        <f t="shared" si="118"/>
        <v/>
      </c>
      <c r="N516" s="54" t="str">
        <f t="shared" si="119"/>
        <v/>
      </c>
      <c r="O516" s="55">
        <f t="shared" si="120"/>
        <v>0</v>
      </c>
      <c r="P516" s="55">
        <f t="shared" si="121"/>
        <v>0</v>
      </c>
      <c r="Q516" s="54">
        <f t="shared" si="122"/>
        <v>0</v>
      </c>
      <c r="R516" s="203"/>
      <c r="T516" s="57"/>
      <c r="U516" s="45"/>
      <c r="V516" s="46">
        <f>IF(U516&lt;&gt;"",VLOOKUP(U516,'Tipo Projeto'!$A$3:$B$35,2,0),0)</f>
        <v>0</v>
      </c>
      <c r="W516" s="203"/>
      <c r="X516" s="49"/>
      <c r="Y516" s="50"/>
      <c r="Z516" s="51"/>
      <c r="AA516" s="52"/>
      <c r="AB516" s="53" t="str">
        <f t="shared" si="123"/>
        <v/>
      </c>
      <c r="AC516" s="48" t="str">
        <f t="shared" si="124"/>
        <v/>
      </c>
      <c r="AD516" s="54" t="str">
        <f t="shared" si="125"/>
        <v/>
      </c>
      <c r="AE516" s="55">
        <f t="shared" si="126"/>
        <v>0</v>
      </c>
      <c r="AF516" s="55">
        <f t="shared" si="127"/>
        <v>0</v>
      </c>
      <c r="AG516" s="58">
        <f t="shared" si="128"/>
        <v>0</v>
      </c>
      <c r="AH516" s="203"/>
      <c r="AJ516" s="203"/>
      <c r="AL516" s="203"/>
      <c r="AM516" s="203" t="str">
        <f t="shared" si="129"/>
        <v/>
      </c>
    </row>
    <row r="517" spans="1:39" s="56" customFormat="1" ht="14.25">
      <c r="A517" s="44"/>
      <c r="B517" s="45"/>
      <c r="C517" s="46">
        <f>IF(B517&lt;&gt;"",VLOOKUP(B517,'Tipo Projeto'!$A$3:$B$35,2,0),0)</f>
        <v>0</v>
      </c>
      <c r="D517" s="203"/>
      <c r="E517" s="203"/>
      <c r="F517" s="48"/>
      <c r="G517" s="203"/>
      <c r="H517" s="49"/>
      <c r="I517" s="50"/>
      <c r="J517" s="51"/>
      <c r="K517" s="52"/>
      <c r="L517" s="53" t="str">
        <f t="shared" si="117"/>
        <v/>
      </c>
      <c r="M517" s="48" t="str">
        <f t="shared" si="118"/>
        <v/>
      </c>
      <c r="N517" s="54" t="str">
        <f t="shared" si="119"/>
        <v/>
      </c>
      <c r="O517" s="55">
        <f t="shared" si="120"/>
        <v>0</v>
      </c>
      <c r="P517" s="55">
        <f t="shared" si="121"/>
        <v>0</v>
      </c>
      <c r="Q517" s="54">
        <f t="shared" si="122"/>
        <v>0</v>
      </c>
      <c r="R517" s="203"/>
      <c r="T517" s="57"/>
      <c r="U517" s="45"/>
      <c r="V517" s="46">
        <f>IF(U517&lt;&gt;"",VLOOKUP(U517,'Tipo Projeto'!$A$3:$B$35,2,0),0)</f>
        <v>0</v>
      </c>
      <c r="W517" s="203"/>
      <c r="X517" s="49"/>
      <c r="Y517" s="50"/>
      <c r="Z517" s="51"/>
      <c r="AA517" s="52"/>
      <c r="AB517" s="53" t="str">
        <f t="shared" si="123"/>
        <v/>
      </c>
      <c r="AC517" s="48" t="str">
        <f t="shared" si="124"/>
        <v/>
      </c>
      <c r="AD517" s="54" t="str">
        <f t="shared" si="125"/>
        <v/>
      </c>
      <c r="AE517" s="55">
        <f t="shared" si="126"/>
        <v>0</v>
      </c>
      <c r="AF517" s="55">
        <f t="shared" si="127"/>
        <v>0</v>
      </c>
      <c r="AG517" s="58">
        <f t="shared" si="128"/>
        <v>0</v>
      </c>
      <c r="AH517" s="203"/>
      <c r="AJ517" s="203"/>
      <c r="AL517" s="203"/>
      <c r="AM517" s="203" t="str">
        <f t="shared" si="129"/>
        <v/>
      </c>
    </row>
    <row r="518" spans="1:39" s="56" customFormat="1" ht="14.25">
      <c r="A518" s="44"/>
      <c r="B518" s="45"/>
      <c r="C518" s="46">
        <f>IF(B518&lt;&gt;"",VLOOKUP(B518,'Tipo Projeto'!$A$3:$B$35,2,0),0)</f>
        <v>0</v>
      </c>
      <c r="D518" s="203"/>
      <c r="E518" s="203"/>
      <c r="F518" s="48"/>
      <c r="G518" s="203"/>
      <c r="H518" s="49"/>
      <c r="I518" s="50"/>
      <c r="J518" s="51"/>
      <c r="K518" s="52"/>
      <c r="L518" s="53" t="str">
        <f t="shared" si="117"/>
        <v/>
      </c>
      <c r="M518" s="48" t="str">
        <f t="shared" si="118"/>
        <v/>
      </c>
      <c r="N518" s="54" t="str">
        <f t="shared" si="119"/>
        <v/>
      </c>
      <c r="O518" s="55">
        <f t="shared" si="120"/>
        <v>0</v>
      </c>
      <c r="P518" s="55">
        <f t="shared" si="121"/>
        <v>0</v>
      </c>
      <c r="Q518" s="54">
        <f t="shared" si="122"/>
        <v>0</v>
      </c>
      <c r="R518" s="203"/>
      <c r="T518" s="57"/>
      <c r="U518" s="45"/>
      <c r="V518" s="46">
        <f>IF(U518&lt;&gt;"",VLOOKUP(U518,'Tipo Projeto'!$A$3:$B$35,2,0),0)</f>
        <v>0</v>
      </c>
      <c r="W518" s="203"/>
      <c r="X518" s="49"/>
      <c r="Y518" s="50"/>
      <c r="Z518" s="51"/>
      <c r="AA518" s="52"/>
      <c r="AB518" s="53" t="str">
        <f t="shared" si="123"/>
        <v/>
      </c>
      <c r="AC518" s="48" t="str">
        <f t="shared" si="124"/>
        <v/>
      </c>
      <c r="AD518" s="54" t="str">
        <f t="shared" si="125"/>
        <v/>
      </c>
      <c r="AE518" s="55">
        <f t="shared" si="126"/>
        <v>0</v>
      </c>
      <c r="AF518" s="55">
        <f t="shared" si="127"/>
        <v>0</v>
      </c>
      <c r="AG518" s="58">
        <f t="shared" si="128"/>
        <v>0</v>
      </c>
      <c r="AH518" s="203"/>
      <c r="AJ518" s="203"/>
      <c r="AL518" s="203"/>
      <c r="AM518" s="203" t="str">
        <f t="shared" si="129"/>
        <v/>
      </c>
    </row>
    <row r="519" spans="1:39" s="56" customFormat="1" ht="14.25">
      <c r="A519" s="44"/>
      <c r="B519" s="45"/>
      <c r="C519" s="46">
        <f>IF(B519&lt;&gt;"",VLOOKUP(B519,'Tipo Projeto'!$A$3:$B$35,2,0),0)</f>
        <v>0</v>
      </c>
      <c r="D519" s="203"/>
      <c r="E519" s="203"/>
      <c r="F519" s="48"/>
      <c r="G519" s="203"/>
      <c r="H519" s="49"/>
      <c r="I519" s="50"/>
      <c r="J519" s="51"/>
      <c r="K519" s="52"/>
      <c r="L519" s="53" t="str">
        <f t="shared" si="117"/>
        <v/>
      </c>
      <c r="M519" s="48" t="str">
        <f t="shared" si="118"/>
        <v/>
      </c>
      <c r="N519" s="54" t="str">
        <f t="shared" si="119"/>
        <v/>
      </c>
      <c r="O519" s="55">
        <f t="shared" si="120"/>
        <v>0</v>
      </c>
      <c r="P519" s="55">
        <f t="shared" si="121"/>
        <v>0</v>
      </c>
      <c r="Q519" s="54">
        <f t="shared" si="122"/>
        <v>0</v>
      </c>
      <c r="R519" s="203"/>
      <c r="T519" s="57"/>
      <c r="U519" s="45"/>
      <c r="V519" s="46">
        <f>IF(U519&lt;&gt;"",VLOOKUP(U519,'Tipo Projeto'!$A$3:$B$35,2,0),0)</f>
        <v>0</v>
      </c>
      <c r="W519" s="203"/>
      <c r="X519" s="49"/>
      <c r="Y519" s="50"/>
      <c r="Z519" s="51"/>
      <c r="AA519" s="52"/>
      <c r="AB519" s="53" t="str">
        <f t="shared" si="123"/>
        <v/>
      </c>
      <c r="AC519" s="48" t="str">
        <f t="shared" si="124"/>
        <v/>
      </c>
      <c r="AD519" s="54" t="str">
        <f t="shared" si="125"/>
        <v/>
      </c>
      <c r="AE519" s="55">
        <f t="shared" si="126"/>
        <v>0</v>
      </c>
      <c r="AF519" s="55">
        <f t="shared" si="127"/>
        <v>0</v>
      </c>
      <c r="AG519" s="58">
        <f t="shared" si="128"/>
        <v>0</v>
      </c>
      <c r="AH519" s="203"/>
      <c r="AJ519" s="203"/>
      <c r="AL519" s="203"/>
      <c r="AM519" s="203" t="str">
        <f t="shared" si="129"/>
        <v/>
      </c>
    </row>
    <row r="520" spans="1:39" s="56" customFormat="1" ht="14.25">
      <c r="A520" s="44"/>
      <c r="B520" s="45"/>
      <c r="C520" s="46">
        <f>IF(B520&lt;&gt;"",VLOOKUP(B520,'Tipo Projeto'!$A$3:$B$35,2,0),0)</f>
        <v>0</v>
      </c>
      <c r="D520" s="203"/>
      <c r="E520" s="203"/>
      <c r="F520" s="48"/>
      <c r="G520" s="203"/>
      <c r="H520" s="49"/>
      <c r="I520" s="50"/>
      <c r="J520" s="51"/>
      <c r="K520" s="52"/>
      <c r="L520" s="53" t="str">
        <f t="shared" si="117"/>
        <v/>
      </c>
      <c r="M520" s="48" t="str">
        <f t="shared" si="118"/>
        <v/>
      </c>
      <c r="N520" s="54" t="str">
        <f t="shared" si="119"/>
        <v/>
      </c>
      <c r="O520" s="55">
        <f t="shared" si="120"/>
        <v>0</v>
      </c>
      <c r="P520" s="55">
        <f t="shared" si="121"/>
        <v>0</v>
      </c>
      <c r="Q520" s="54">
        <f t="shared" si="122"/>
        <v>0</v>
      </c>
      <c r="R520" s="203"/>
      <c r="T520" s="57"/>
      <c r="U520" s="45"/>
      <c r="V520" s="46">
        <f>IF(U520&lt;&gt;"",VLOOKUP(U520,'Tipo Projeto'!$A$3:$B$35,2,0),0)</f>
        <v>0</v>
      </c>
      <c r="W520" s="203"/>
      <c r="X520" s="49"/>
      <c r="Y520" s="50"/>
      <c r="Z520" s="51"/>
      <c r="AA520" s="52"/>
      <c r="AB520" s="53" t="str">
        <f t="shared" si="123"/>
        <v/>
      </c>
      <c r="AC520" s="48" t="str">
        <f t="shared" si="124"/>
        <v/>
      </c>
      <c r="AD520" s="54" t="str">
        <f t="shared" si="125"/>
        <v/>
      </c>
      <c r="AE520" s="55">
        <f t="shared" si="126"/>
        <v>0</v>
      </c>
      <c r="AF520" s="55">
        <f t="shared" si="127"/>
        <v>0</v>
      </c>
      <c r="AG520" s="58">
        <f t="shared" si="128"/>
        <v>0</v>
      </c>
      <c r="AH520" s="203"/>
      <c r="AJ520" s="203"/>
      <c r="AL520" s="203"/>
      <c r="AM520" s="203" t="str">
        <f t="shared" si="129"/>
        <v/>
      </c>
    </row>
    <row r="521" spans="1:39" s="56" customFormat="1" ht="14.25">
      <c r="A521" s="44"/>
      <c r="B521" s="45"/>
      <c r="C521" s="46">
        <f>IF(B521&lt;&gt;"",VLOOKUP(B521,'Tipo Projeto'!$A$3:$B$35,2,0),0)</f>
        <v>0</v>
      </c>
      <c r="D521" s="203"/>
      <c r="E521" s="203"/>
      <c r="F521" s="48"/>
      <c r="G521" s="203"/>
      <c r="H521" s="49"/>
      <c r="I521" s="50"/>
      <c r="J521" s="51"/>
      <c r="K521" s="52"/>
      <c r="L521" s="53" t="str">
        <f t="shared" si="117"/>
        <v/>
      </c>
      <c r="M521" s="48" t="str">
        <f t="shared" si="118"/>
        <v/>
      </c>
      <c r="N521" s="54" t="str">
        <f t="shared" si="119"/>
        <v/>
      </c>
      <c r="O521" s="55">
        <f t="shared" si="120"/>
        <v>0</v>
      </c>
      <c r="P521" s="55">
        <f t="shared" si="121"/>
        <v>0</v>
      </c>
      <c r="Q521" s="54">
        <f t="shared" si="122"/>
        <v>0</v>
      </c>
      <c r="R521" s="203"/>
      <c r="T521" s="57"/>
      <c r="U521" s="45"/>
      <c r="V521" s="46">
        <f>IF(U521&lt;&gt;"",VLOOKUP(U521,'Tipo Projeto'!$A$3:$B$35,2,0),0)</f>
        <v>0</v>
      </c>
      <c r="W521" s="203"/>
      <c r="X521" s="49"/>
      <c r="Y521" s="50"/>
      <c r="Z521" s="51"/>
      <c r="AA521" s="52"/>
      <c r="AB521" s="53" t="str">
        <f t="shared" si="123"/>
        <v/>
      </c>
      <c r="AC521" s="48" t="str">
        <f t="shared" si="124"/>
        <v/>
      </c>
      <c r="AD521" s="54" t="str">
        <f t="shared" si="125"/>
        <v/>
      </c>
      <c r="AE521" s="55">
        <f t="shared" si="126"/>
        <v>0</v>
      </c>
      <c r="AF521" s="55">
        <f t="shared" si="127"/>
        <v>0</v>
      </c>
      <c r="AG521" s="58">
        <f t="shared" si="128"/>
        <v>0</v>
      </c>
      <c r="AH521" s="203"/>
      <c r="AJ521" s="203"/>
      <c r="AL521" s="203"/>
      <c r="AM521" s="203" t="str">
        <f t="shared" si="129"/>
        <v/>
      </c>
    </row>
    <row r="522" spans="1:39" s="56" customFormat="1" ht="14.25">
      <c r="A522" s="44"/>
      <c r="B522" s="45"/>
      <c r="C522" s="46">
        <f>IF(B522&lt;&gt;"",VLOOKUP(B522,'Tipo Projeto'!$A$3:$B$35,2,0),0)</f>
        <v>0</v>
      </c>
      <c r="D522" s="203"/>
      <c r="E522" s="203"/>
      <c r="F522" s="48"/>
      <c r="G522" s="203"/>
      <c r="H522" s="49"/>
      <c r="I522" s="50"/>
      <c r="J522" s="51"/>
      <c r="K522" s="52"/>
      <c r="L522" s="53" t="str">
        <f t="shared" si="117"/>
        <v/>
      </c>
      <c r="M522" s="48" t="str">
        <f t="shared" si="118"/>
        <v/>
      </c>
      <c r="N522" s="54" t="str">
        <f t="shared" si="119"/>
        <v/>
      </c>
      <c r="O522" s="55">
        <f t="shared" si="120"/>
        <v>0</v>
      </c>
      <c r="P522" s="55">
        <f t="shared" si="121"/>
        <v>0</v>
      </c>
      <c r="Q522" s="54">
        <f t="shared" si="122"/>
        <v>0</v>
      </c>
      <c r="R522" s="203"/>
      <c r="T522" s="57"/>
      <c r="U522" s="45"/>
      <c r="V522" s="46">
        <f>IF(U522&lt;&gt;"",VLOOKUP(U522,'Tipo Projeto'!$A$3:$B$35,2,0),0)</f>
        <v>0</v>
      </c>
      <c r="W522" s="203"/>
      <c r="X522" s="49"/>
      <c r="Y522" s="50"/>
      <c r="Z522" s="51"/>
      <c r="AA522" s="52"/>
      <c r="AB522" s="53" t="str">
        <f t="shared" si="123"/>
        <v/>
      </c>
      <c r="AC522" s="48" t="str">
        <f t="shared" si="124"/>
        <v/>
      </c>
      <c r="AD522" s="54" t="str">
        <f t="shared" si="125"/>
        <v/>
      </c>
      <c r="AE522" s="55">
        <f t="shared" si="126"/>
        <v>0</v>
      </c>
      <c r="AF522" s="55">
        <f t="shared" si="127"/>
        <v>0</v>
      </c>
      <c r="AG522" s="58">
        <f t="shared" si="128"/>
        <v>0</v>
      </c>
      <c r="AH522" s="203"/>
      <c r="AJ522" s="203"/>
      <c r="AL522" s="203"/>
      <c r="AM522" s="203" t="str">
        <f t="shared" si="129"/>
        <v/>
      </c>
    </row>
    <row r="523" spans="1:39" s="56" customFormat="1" ht="14.25">
      <c r="A523" s="44"/>
      <c r="B523" s="45"/>
      <c r="C523" s="46">
        <f>IF(B523&lt;&gt;"",VLOOKUP(B523,'Tipo Projeto'!$A$3:$B$35,2,0),0)</f>
        <v>0</v>
      </c>
      <c r="D523" s="203"/>
      <c r="E523" s="203"/>
      <c r="F523" s="48"/>
      <c r="G523" s="203"/>
      <c r="H523" s="49"/>
      <c r="I523" s="50"/>
      <c r="J523" s="51"/>
      <c r="K523" s="52"/>
      <c r="L523" s="53" t="str">
        <f t="shared" si="117"/>
        <v/>
      </c>
      <c r="M523" s="48" t="str">
        <f t="shared" si="118"/>
        <v/>
      </c>
      <c r="N523" s="54" t="str">
        <f t="shared" si="119"/>
        <v/>
      </c>
      <c r="O523" s="55">
        <f t="shared" si="120"/>
        <v>0</v>
      </c>
      <c r="P523" s="55">
        <f t="shared" si="121"/>
        <v>0</v>
      </c>
      <c r="Q523" s="54">
        <f t="shared" si="122"/>
        <v>0</v>
      </c>
      <c r="R523" s="203"/>
      <c r="T523" s="57"/>
      <c r="U523" s="45"/>
      <c r="V523" s="46">
        <f>IF(U523&lt;&gt;"",VLOOKUP(U523,'Tipo Projeto'!$A$3:$B$35,2,0),0)</f>
        <v>0</v>
      </c>
      <c r="W523" s="203"/>
      <c r="X523" s="49"/>
      <c r="Y523" s="50"/>
      <c r="Z523" s="51"/>
      <c r="AA523" s="52"/>
      <c r="AB523" s="53" t="str">
        <f t="shared" si="123"/>
        <v/>
      </c>
      <c r="AC523" s="48" t="str">
        <f t="shared" si="124"/>
        <v/>
      </c>
      <c r="AD523" s="54" t="str">
        <f t="shared" si="125"/>
        <v/>
      </c>
      <c r="AE523" s="55">
        <f t="shared" si="126"/>
        <v>0</v>
      </c>
      <c r="AF523" s="55">
        <f t="shared" si="127"/>
        <v>0</v>
      </c>
      <c r="AG523" s="58">
        <f t="shared" si="128"/>
        <v>0</v>
      </c>
      <c r="AH523" s="203"/>
      <c r="AJ523" s="203"/>
      <c r="AL523" s="203"/>
      <c r="AM523" s="203" t="str">
        <f t="shared" si="129"/>
        <v/>
      </c>
    </row>
    <row r="524" spans="1:39" s="56" customFormat="1" ht="14.25">
      <c r="A524" s="44"/>
      <c r="B524" s="45"/>
      <c r="C524" s="46">
        <f>IF(B524&lt;&gt;"",VLOOKUP(B524,'Tipo Projeto'!$A$3:$B$35,2,0),0)</f>
        <v>0</v>
      </c>
      <c r="D524" s="203"/>
      <c r="E524" s="203"/>
      <c r="F524" s="48"/>
      <c r="G524" s="203"/>
      <c r="H524" s="49"/>
      <c r="I524" s="50"/>
      <c r="J524" s="51"/>
      <c r="K524" s="52"/>
      <c r="L524" s="53" t="str">
        <f t="shared" si="117"/>
        <v/>
      </c>
      <c r="M524" s="48" t="str">
        <f t="shared" si="118"/>
        <v/>
      </c>
      <c r="N524" s="54" t="str">
        <f t="shared" si="119"/>
        <v/>
      </c>
      <c r="O524" s="55">
        <f t="shared" si="120"/>
        <v>0</v>
      </c>
      <c r="P524" s="55">
        <f t="shared" si="121"/>
        <v>0</v>
      </c>
      <c r="Q524" s="54">
        <f t="shared" si="122"/>
        <v>0</v>
      </c>
      <c r="R524" s="203"/>
      <c r="T524" s="57"/>
      <c r="U524" s="45"/>
      <c r="V524" s="46">
        <f>IF(U524&lt;&gt;"",VLOOKUP(U524,'Tipo Projeto'!$A$3:$B$35,2,0),0)</f>
        <v>0</v>
      </c>
      <c r="W524" s="203"/>
      <c r="X524" s="49"/>
      <c r="Y524" s="50"/>
      <c r="Z524" s="51"/>
      <c r="AA524" s="52"/>
      <c r="AB524" s="53" t="str">
        <f t="shared" si="123"/>
        <v/>
      </c>
      <c r="AC524" s="48" t="str">
        <f t="shared" si="124"/>
        <v/>
      </c>
      <c r="AD524" s="54" t="str">
        <f t="shared" si="125"/>
        <v/>
      </c>
      <c r="AE524" s="55">
        <f t="shared" si="126"/>
        <v>0</v>
      </c>
      <c r="AF524" s="55">
        <f t="shared" si="127"/>
        <v>0</v>
      </c>
      <c r="AG524" s="58">
        <f t="shared" si="128"/>
        <v>0</v>
      </c>
      <c r="AH524" s="203"/>
      <c r="AJ524" s="203"/>
      <c r="AL524" s="203"/>
      <c r="AM524" s="203" t="str">
        <f t="shared" si="129"/>
        <v/>
      </c>
    </row>
    <row r="525" spans="1:39" s="56" customFormat="1" ht="14.25">
      <c r="A525" s="44"/>
      <c r="B525" s="45"/>
      <c r="C525" s="46">
        <f>IF(B525&lt;&gt;"",VLOOKUP(B525,'Tipo Projeto'!$A$3:$B$35,2,0),0)</f>
        <v>0</v>
      </c>
      <c r="D525" s="203"/>
      <c r="E525" s="203"/>
      <c r="F525" s="48"/>
      <c r="G525" s="203"/>
      <c r="H525" s="49"/>
      <c r="I525" s="50"/>
      <c r="J525" s="51"/>
      <c r="K525" s="52"/>
      <c r="L525" s="53" t="str">
        <f t="shared" si="117"/>
        <v/>
      </c>
      <c r="M525" s="48" t="str">
        <f t="shared" si="118"/>
        <v/>
      </c>
      <c r="N525" s="54" t="str">
        <f t="shared" si="119"/>
        <v/>
      </c>
      <c r="O525" s="55">
        <f t="shared" si="120"/>
        <v>0</v>
      </c>
      <c r="P525" s="55">
        <f t="shared" si="121"/>
        <v>0</v>
      </c>
      <c r="Q525" s="54">
        <f t="shared" si="122"/>
        <v>0</v>
      </c>
      <c r="R525" s="203"/>
      <c r="T525" s="57"/>
      <c r="U525" s="45"/>
      <c r="V525" s="46">
        <f>IF(U525&lt;&gt;"",VLOOKUP(U525,'Tipo Projeto'!$A$3:$B$35,2,0),0)</f>
        <v>0</v>
      </c>
      <c r="W525" s="203"/>
      <c r="X525" s="49"/>
      <c r="Y525" s="50"/>
      <c r="Z525" s="51"/>
      <c r="AA525" s="52"/>
      <c r="AB525" s="53" t="str">
        <f t="shared" si="123"/>
        <v/>
      </c>
      <c r="AC525" s="48" t="str">
        <f t="shared" si="124"/>
        <v/>
      </c>
      <c r="AD525" s="54" t="str">
        <f t="shared" si="125"/>
        <v/>
      </c>
      <c r="AE525" s="55">
        <f t="shared" si="126"/>
        <v>0</v>
      </c>
      <c r="AF525" s="55">
        <f t="shared" si="127"/>
        <v>0</v>
      </c>
      <c r="AG525" s="58">
        <f t="shared" si="128"/>
        <v>0</v>
      </c>
      <c r="AH525" s="203"/>
      <c r="AJ525" s="203"/>
      <c r="AL525" s="203"/>
      <c r="AM525" s="203" t="str">
        <f t="shared" si="129"/>
        <v/>
      </c>
    </row>
    <row r="526" spans="1:39" s="56" customFormat="1" ht="14.25">
      <c r="A526" s="44"/>
      <c r="B526" s="45"/>
      <c r="C526" s="46">
        <f>IF(B526&lt;&gt;"",VLOOKUP(B526,'Tipo Projeto'!$A$3:$B$35,2,0),0)</f>
        <v>0</v>
      </c>
      <c r="D526" s="203"/>
      <c r="E526" s="203"/>
      <c r="F526" s="48"/>
      <c r="G526" s="203"/>
      <c r="H526" s="49"/>
      <c r="I526" s="50"/>
      <c r="J526" s="51"/>
      <c r="K526" s="52"/>
      <c r="L526" s="53" t="str">
        <f t="shared" si="117"/>
        <v/>
      </c>
      <c r="M526" s="48" t="str">
        <f t="shared" si="118"/>
        <v/>
      </c>
      <c r="N526" s="54" t="str">
        <f t="shared" si="119"/>
        <v/>
      </c>
      <c r="O526" s="55">
        <f t="shared" si="120"/>
        <v>0</v>
      </c>
      <c r="P526" s="55">
        <f t="shared" si="121"/>
        <v>0</v>
      </c>
      <c r="Q526" s="54">
        <f t="shared" si="122"/>
        <v>0</v>
      </c>
      <c r="R526" s="203"/>
      <c r="T526" s="57"/>
      <c r="U526" s="45"/>
      <c r="V526" s="46">
        <f>IF(U526&lt;&gt;"",VLOOKUP(U526,'Tipo Projeto'!$A$3:$B$35,2,0),0)</f>
        <v>0</v>
      </c>
      <c r="W526" s="203"/>
      <c r="X526" s="49"/>
      <c r="Y526" s="50"/>
      <c r="Z526" s="51"/>
      <c r="AA526" s="52"/>
      <c r="AB526" s="53" t="str">
        <f t="shared" si="123"/>
        <v/>
      </c>
      <c r="AC526" s="48" t="str">
        <f t="shared" si="124"/>
        <v/>
      </c>
      <c r="AD526" s="54" t="str">
        <f t="shared" si="125"/>
        <v/>
      </c>
      <c r="AE526" s="55">
        <f t="shared" si="126"/>
        <v>0</v>
      </c>
      <c r="AF526" s="55">
        <f t="shared" si="127"/>
        <v>0</v>
      </c>
      <c r="AG526" s="58">
        <f t="shared" si="128"/>
        <v>0</v>
      </c>
      <c r="AH526" s="203"/>
      <c r="AJ526" s="203"/>
      <c r="AL526" s="203"/>
      <c r="AM526" s="203" t="str">
        <f t="shared" si="129"/>
        <v/>
      </c>
    </row>
    <row r="527" spans="1:39" s="56" customFormat="1" ht="14.25">
      <c r="A527" s="44"/>
      <c r="B527" s="45"/>
      <c r="C527" s="46">
        <f>IF(B527&lt;&gt;"",VLOOKUP(B527,'Tipo Projeto'!$A$3:$B$35,2,0),0)</f>
        <v>0</v>
      </c>
      <c r="D527" s="203"/>
      <c r="E527" s="203"/>
      <c r="F527" s="48"/>
      <c r="G527" s="203"/>
      <c r="H527" s="49"/>
      <c r="I527" s="50"/>
      <c r="J527" s="51"/>
      <c r="K527" s="52"/>
      <c r="L527" s="53" t="str">
        <f t="shared" si="117"/>
        <v/>
      </c>
      <c r="M527" s="48" t="str">
        <f t="shared" si="118"/>
        <v/>
      </c>
      <c r="N527" s="54" t="str">
        <f t="shared" si="119"/>
        <v/>
      </c>
      <c r="O527" s="55">
        <f t="shared" si="120"/>
        <v>0</v>
      </c>
      <c r="P527" s="55">
        <f t="shared" si="121"/>
        <v>0</v>
      </c>
      <c r="Q527" s="54">
        <f t="shared" si="122"/>
        <v>0</v>
      </c>
      <c r="R527" s="203"/>
      <c r="T527" s="57"/>
      <c r="U527" s="45"/>
      <c r="V527" s="46">
        <f>IF(U527&lt;&gt;"",VLOOKUP(U527,'Tipo Projeto'!$A$3:$B$35,2,0),0)</f>
        <v>0</v>
      </c>
      <c r="W527" s="203"/>
      <c r="X527" s="49"/>
      <c r="Y527" s="50"/>
      <c r="Z527" s="51"/>
      <c r="AA527" s="52"/>
      <c r="AB527" s="53" t="str">
        <f t="shared" si="123"/>
        <v/>
      </c>
      <c r="AC527" s="48" t="str">
        <f t="shared" si="124"/>
        <v/>
      </c>
      <c r="AD527" s="54" t="str">
        <f t="shared" si="125"/>
        <v/>
      </c>
      <c r="AE527" s="55">
        <f t="shared" si="126"/>
        <v>0</v>
      </c>
      <c r="AF527" s="55">
        <f t="shared" si="127"/>
        <v>0</v>
      </c>
      <c r="AG527" s="58">
        <f t="shared" si="128"/>
        <v>0</v>
      </c>
      <c r="AH527" s="203"/>
      <c r="AJ527" s="203"/>
      <c r="AL527" s="203"/>
      <c r="AM527" s="203" t="str">
        <f t="shared" si="129"/>
        <v/>
      </c>
    </row>
    <row r="528" spans="1:39" s="56" customFormat="1" ht="14.25">
      <c r="A528" s="44"/>
      <c r="B528" s="45"/>
      <c r="C528" s="46">
        <f>IF(B528&lt;&gt;"",VLOOKUP(B528,'Tipo Projeto'!$A$3:$B$35,2,0),0)</f>
        <v>0</v>
      </c>
      <c r="D528" s="203"/>
      <c r="E528" s="203"/>
      <c r="F528" s="48"/>
      <c r="G528" s="203"/>
      <c r="H528" s="49"/>
      <c r="I528" s="50"/>
      <c r="J528" s="51"/>
      <c r="K528" s="52"/>
      <c r="L528" s="53" t="str">
        <f t="shared" si="117"/>
        <v/>
      </c>
      <c r="M528" s="48" t="str">
        <f t="shared" si="118"/>
        <v/>
      </c>
      <c r="N528" s="54" t="str">
        <f t="shared" si="119"/>
        <v/>
      </c>
      <c r="O528" s="55">
        <f t="shared" si="120"/>
        <v>0</v>
      </c>
      <c r="P528" s="55">
        <f t="shared" si="121"/>
        <v>0</v>
      </c>
      <c r="Q528" s="54">
        <f t="shared" si="122"/>
        <v>0</v>
      </c>
      <c r="R528" s="203"/>
      <c r="T528" s="57"/>
      <c r="U528" s="45"/>
      <c r="V528" s="46">
        <f>IF(U528&lt;&gt;"",VLOOKUP(U528,'Tipo Projeto'!$A$3:$B$35,2,0),0)</f>
        <v>0</v>
      </c>
      <c r="W528" s="203"/>
      <c r="X528" s="49"/>
      <c r="Y528" s="50"/>
      <c r="Z528" s="51"/>
      <c r="AA528" s="52"/>
      <c r="AB528" s="53" t="str">
        <f t="shared" si="123"/>
        <v/>
      </c>
      <c r="AC528" s="48" t="str">
        <f t="shared" si="124"/>
        <v/>
      </c>
      <c r="AD528" s="54" t="str">
        <f t="shared" si="125"/>
        <v/>
      </c>
      <c r="AE528" s="55">
        <f t="shared" si="126"/>
        <v>0</v>
      </c>
      <c r="AF528" s="55">
        <f t="shared" si="127"/>
        <v>0</v>
      </c>
      <c r="AG528" s="58">
        <f t="shared" si="128"/>
        <v>0</v>
      </c>
      <c r="AH528" s="203"/>
      <c r="AJ528" s="203"/>
      <c r="AL528" s="203"/>
      <c r="AM528" s="203" t="str">
        <f t="shared" si="129"/>
        <v/>
      </c>
    </row>
    <row r="529" spans="1:39" s="56" customFormat="1" ht="14.25">
      <c r="A529" s="44"/>
      <c r="B529" s="45"/>
      <c r="C529" s="46">
        <f>IF(B529&lt;&gt;"",VLOOKUP(B529,'Tipo Projeto'!$A$3:$B$35,2,0),0)</f>
        <v>0</v>
      </c>
      <c r="D529" s="203"/>
      <c r="E529" s="203"/>
      <c r="F529" s="48"/>
      <c r="G529" s="203"/>
      <c r="H529" s="49"/>
      <c r="I529" s="50"/>
      <c r="J529" s="51"/>
      <c r="K529" s="52"/>
      <c r="L529" s="53" t="str">
        <f t="shared" si="117"/>
        <v/>
      </c>
      <c r="M529" s="48" t="str">
        <f t="shared" si="118"/>
        <v/>
      </c>
      <c r="N529" s="54" t="str">
        <f t="shared" si="119"/>
        <v/>
      </c>
      <c r="O529" s="55">
        <f t="shared" si="120"/>
        <v>0</v>
      </c>
      <c r="P529" s="55">
        <f t="shared" si="121"/>
        <v>0</v>
      </c>
      <c r="Q529" s="54">
        <f t="shared" si="122"/>
        <v>0</v>
      </c>
      <c r="R529" s="203"/>
      <c r="T529" s="57"/>
      <c r="U529" s="45"/>
      <c r="V529" s="46">
        <f>IF(U529&lt;&gt;"",VLOOKUP(U529,'Tipo Projeto'!$A$3:$B$35,2,0),0)</f>
        <v>0</v>
      </c>
      <c r="W529" s="203"/>
      <c r="X529" s="49"/>
      <c r="Y529" s="50"/>
      <c r="Z529" s="51"/>
      <c r="AA529" s="52"/>
      <c r="AB529" s="53" t="str">
        <f t="shared" si="123"/>
        <v/>
      </c>
      <c r="AC529" s="48" t="str">
        <f t="shared" si="124"/>
        <v/>
      </c>
      <c r="AD529" s="54" t="str">
        <f t="shared" si="125"/>
        <v/>
      </c>
      <c r="AE529" s="55">
        <f t="shared" si="126"/>
        <v>0</v>
      </c>
      <c r="AF529" s="55">
        <f t="shared" si="127"/>
        <v>0</v>
      </c>
      <c r="AG529" s="58">
        <f t="shared" si="128"/>
        <v>0</v>
      </c>
      <c r="AH529" s="203"/>
      <c r="AJ529" s="203"/>
      <c r="AL529" s="203"/>
      <c r="AM529" s="203" t="str">
        <f t="shared" si="129"/>
        <v/>
      </c>
    </row>
    <row r="530" spans="1:39" s="56" customFormat="1" ht="14.25">
      <c r="A530" s="44"/>
      <c r="B530" s="45"/>
      <c r="C530" s="46">
        <f>IF(B530&lt;&gt;"",VLOOKUP(B530,'Tipo Projeto'!$A$3:$B$35,2,0),0)</f>
        <v>0</v>
      </c>
      <c r="D530" s="203"/>
      <c r="E530" s="203"/>
      <c r="F530" s="48"/>
      <c r="G530" s="203"/>
      <c r="H530" s="49"/>
      <c r="I530" s="50"/>
      <c r="J530" s="51"/>
      <c r="K530" s="52"/>
      <c r="L530" s="53" t="str">
        <f t="shared" si="117"/>
        <v/>
      </c>
      <c r="M530" s="48" t="str">
        <f t="shared" si="118"/>
        <v/>
      </c>
      <c r="N530" s="54" t="str">
        <f t="shared" si="119"/>
        <v/>
      </c>
      <c r="O530" s="55">
        <f t="shared" si="120"/>
        <v>0</v>
      </c>
      <c r="P530" s="55">
        <f t="shared" si="121"/>
        <v>0</v>
      </c>
      <c r="Q530" s="54">
        <f t="shared" si="122"/>
        <v>0</v>
      </c>
      <c r="R530" s="203"/>
      <c r="T530" s="57"/>
      <c r="U530" s="45"/>
      <c r="V530" s="46">
        <f>IF(U530&lt;&gt;"",VLOOKUP(U530,'Tipo Projeto'!$A$3:$B$35,2,0),0)</f>
        <v>0</v>
      </c>
      <c r="W530" s="203"/>
      <c r="X530" s="49"/>
      <c r="Y530" s="50"/>
      <c r="Z530" s="51"/>
      <c r="AA530" s="52"/>
      <c r="AB530" s="53" t="str">
        <f t="shared" si="123"/>
        <v/>
      </c>
      <c r="AC530" s="48" t="str">
        <f t="shared" si="124"/>
        <v/>
      </c>
      <c r="AD530" s="54" t="str">
        <f t="shared" si="125"/>
        <v/>
      </c>
      <c r="AE530" s="55">
        <f t="shared" si="126"/>
        <v>0</v>
      </c>
      <c r="AF530" s="55">
        <f t="shared" si="127"/>
        <v>0</v>
      </c>
      <c r="AG530" s="58">
        <f t="shared" si="128"/>
        <v>0</v>
      </c>
      <c r="AH530" s="203"/>
      <c r="AJ530" s="203"/>
      <c r="AL530" s="203"/>
      <c r="AM530" s="203" t="str">
        <f t="shared" si="129"/>
        <v/>
      </c>
    </row>
    <row r="531" spans="1:39" s="56" customFormat="1" ht="14.25">
      <c r="A531" s="44"/>
      <c r="B531" s="45"/>
      <c r="C531" s="46">
        <f>IF(B531&lt;&gt;"",VLOOKUP(B531,'Tipo Projeto'!$A$3:$B$35,2,0),0)</f>
        <v>0</v>
      </c>
      <c r="D531" s="203"/>
      <c r="E531" s="203"/>
      <c r="F531" s="48"/>
      <c r="G531" s="203"/>
      <c r="H531" s="49"/>
      <c r="I531" s="50"/>
      <c r="J531" s="51"/>
      <c r="K531" s="52"/>
      <c r="L531" s="53" t="str">
        <f t="shared" si="117"/>
        <v/>
      </c>
      <c r="M531" s="48" t="str">
        <f t="shared" si="118"/>
        <v/>
      </c>
      <c r="N531" s="54" t="str">
        <f t="shared" si="119"/>
        <v/>
      </c>
      <c r="O531" s="55">
        <f t="shared" si="120"/>
        <v>0</v>
      </c>
      <c r="P531" s="55">
        <f t="shared" si="121"/>
        <v>0</v>
      </c>
      <c r="Q531" s="54">
        <f t="shared" si="122"/>
        <v>0</v>
      </c>
      <c r="R531" s="203"/>
      <c r="T531" s="57"/>
      <c r="U531" s="45"/>
      <c r="V531" s="46">
        <f>IF(U531&lt;&gt;"",VLOOKUP(U531,'Tipo Projeto'!$A$3:$B$35,2,0),0)</f>
        <v>0</v>
      </c>
      <c r="W531" s="203"/>
      <c r="X531" s="49"/>
      <c r="Y531" s="50"/>
      <c r="Z531" s="51"/>
      <c r="AA531" s="52"/>
      <c r="AB531" s="53" t="str">
        <f t="shared" si="123"/>
        <v/>
      </c>
      <c r="AC531" s="48" t="str">
        <f t="shared" si="124"/>
        <v/>
      </c>
      <c r="AD531" s="54" t="str">
        <f t="shared" si="125"/>
        <v/>
      </c>
      <c r="AE531" s="55">
        <f t="shared" si="126"/>
        <v>0</v>
      </c>
      <c r="AF531" s="55">
        <f t="shared" si="127"/>
        <v>0</v>
      </c>
      <c r="AG531" s="58">
        <f t="shared" si="128"/>
        <v>0</v>
      </c>
      <c r="AH531" s="203"/>
      <c r="AJ531" s="203"/>
      <c r="AL531" s="203"/>
      <c r="AM531" s="203" t="str">
        <f t="shared" si="129"/>
        <v/>
      </c>
    </row>
    <row r="532" spans="1:39" s="56" customFormat="1" ht="14.25">
      <c r="A532" s="44"/>
      <c r="B532" s="45"/>
      <c r="C532" s="46">
        <f>IF(B532&lt;&gt;"",VLOOKUP(B532,'Tipo Projeto'!$A$3:$B$35,2,0),0)</f>
        <v>0</v>
      </c>
      <c r="D532" s="203"/>
      <c r="E532" s="203"/>
      <c r="F532" s="48"/>
      <c r="G532" s="203"/>
      <c r="H532" s="49"/>
      <c r="I532" s="50"/>
      <c r="J532" s="51"/>
      <c r="K532" s="52"/>
      <c r="L532" s="53" t="str">
        <f t="shared" si="117"/>
        <v/>
      </c>
      <c r="M532" s="48" t="str">
        <f t="shared" si="118"/>
        <v/>
      </c>
      <c r="N532" s="54" t="str">
        <f t="shared" si="119"/>
        <v/>
      </c>
      <c r="O532" s="55">
        <f t="shared" si="120"/>
        <v>0</v>
      </c>
      <c r="P532" s="55">
        <f t="shared" si="121"/>
        <v>0</v>
      </c>
      <c r="Q532" s="54">
        <f t="shared" si="122"/>
        <v>0</v>
      </c>
      <c r="R532" s="203"/>
      <c r="T532" s="57"/>
      <c r="U532" s="45"/>
      <c r="V532" s="46">
        <f>IF(U532&lt;&gt;"",VLOOKUP(U532,'Tipo Projeto'!$A$3:$B$35,2,0),0)</f>
        <v>0</v>
      </c>
      <c r="W532" s="203"/>
      <c r="X532" s="49"/>
      <c r="Y532" s="50"/>
      <c r="Z532" s="51"/>
      <c r="AA532" s="52"/>
      <c r="AB532" s="53" t="str">
        <f t="shared" si="123"/>
        <v/>
      </c>
      <c r="AC532" s="48" t="str">
        <f t="shared" si="124"/>
        <v/>
      </c>
      <c r="AD532" s="54" t="str">
        <f t="shared" si="125"/>
        <v/>
      </c>
      <c r="AE532" s="55">
        <f t="shared" si="126"/>
        <v>0</v>
      </c>
      <c r="AF532" s="55">
        <f t="shared" si="127"/>
        <v>0</v>
      </c>
      <c r="AG532" s="58">
        <f t="shared" si="128"/>
        <v>0</v>
      </c>
      <c r="AH532" s="203"/>
      <c r="AJ532" s="203"/>
      <c r="AL532" s="203"/>
      <c r="AM532" s="203" t="str">
        <f t="shared" si="129"/>
        <v/>
      </c>
    </row>
    <row r="533" spans="1:39" s="56" customFormat="1" ht="14.25">
      <c r="A533" s="44"/>
      <c r="B533" s="45"/>
      <c r="C533" s="46">
        <f>IF(B533&lt;&gt;"",VLOOKUP(B533,'Tipo Projeto'!$A$3:$B$35,2,0),0)</f>
        <v>0</v>
      </c>
      <c r="D533" s="203"/>
      <c r="E533" s="203"/>
      <c r="F533" s="48"/>
      <c r="G533" s="203"/>
      <c r="H533" s="49"/>
      <c r="I533" s="50"/>
      <c r="J533" s="51"/>
      <c r="K533" s="52"/>
      <c r="L533" s="53" t="str">
        <f t="shared" si="117"/>
        <v/>
      </c>
      <c r="M533" s="48" t="str">
        <f t="shared" si="118"/>
        <v/>
      </c>
      <c r="N533" s="54" t="str">
        <f t="shared" si="119"/>
        <v/>
      </c>
      <c r="O533" s="55">
        <f t="shared" si="120"/>
        <v>0</v>
      </c>
      <c r="P533" s="55">
        <f t="shared" si="121"/>
        <v>0</v>
      </c>
      <c r="Q533" s="54">
        <f t="shared" si="122"/>
        <v>0</v>
      </c>
      <c r="R533" s="203"/>
      <c r="T533" s="57"/>
      <c r="U533" s="45"/>
      <c r="V533" s="46">
        <f>IF(U533&lt;&gt;"",VLOOKUP(U533,'Tipo Projeto'!$A$3:$B$35,2,0),0)</f>
        <v>0</v>
      </c>
      <c r="W533" s="203"/>
      <c r="X533" s="49"/>
      <c r="Y533" s="50"/>
      <c r="Z533" s="51"/>
      <c r="AA533" s="52"/>
      <c r="AB533" s="53" t="str">
        <f t="shared" si="123"/>
        <v/>
      </c>
      <c r="AC533" s="48" t="str">
        <f t="shared" si="124"/>
        <v/>
      </c>
      <c r="AD533" s="54" t="str">
        <f t="shared" si="125"/>
        <v/>
      </c>
      <c r="AE533" s="55">
        <f t="shared" si="126"/>
        <v>0</v>
      </c>
      <c r="AF533" s="55">
        <f t="shared" si="127"/>
        <v>0</v>
      </c>
      <c r="AG533" s="58">
        <f t="shared" si="128"/>
        <v>0</v>
      </c>
      <c r="AH533" s="203"/>
      <c r="AJ533" s="203"/>
      <c r="AL533" s="203"/>
      <c r="AM533" s="203" t="str">
        <f t="shared" si="129"/>
        <v/>
      </c>
    </row>
    <row r="534" spans="1:39" s="56" customFormat="1" ht="14.25">
      <c r="A534" s="44"/>
      <c r="B534" s="45"/>
      <c r="C534" s="46">
        <f>IF(B534&lt;&gt;"",VLOOKUP(B534,'Tipo Projeto'!$A$3:$B$35,2,0),0)</f>
        <v>0</v>
      </c>
      <c r="D534" s="203"/>
      <c r="E534" s="203"/>
      <c r="F534" s="48"/>
      <c r="G534" s="203"/>
      <c r="H534" s="49"/>
      <c r="I534" s="50"/>
      <c r="J534" s="51"/>
      <c r="K534" s="52"/>
      <c r="L534" s="53" t="str">
        <f t="shared" si="117"/>
        <v/>
      </c>
      <c r="M534" s="48" t="str">
        <f t="shared" si="118"/>
        <v/>
      </c>
      <c r="N534" s="54" t="str">
        <f t="shared" si="119"/>
        <v/>
      </c>
      <c r="O534" s="55">
        <f t="shared" si="120"/>
        <v>0</v>
      </c>
      <c r="P534" s="55">
        <f t="shared" si="121"/>
        <v>0</v>
      </c>
      <c r="Q534" s="54">
        <f t="shared" si="122"/>
        <v>0</v>
      </c>
      <c r="R534" s="203"/>
      <c r="T534" s="57"/>
      <c r="U534" s="45"/>
      <c r="V534" s="46">
        <f>IF(U534&lt;&gt;"",VLOOKUP(U534,'Tipo Projeto'!$A$3:$B$35,2,0),0)</f>
        <v>0</v>
      </c>
      <c r="W534" s="203"/>
      <c r="X534" s="49"/>
      <c r="Y534" s="50"/>
      <c r="Z534" s="51"/>
      <c r="AA534" s="52"/>
      <c r="AB534" s="53" t="str">
        <f t="shared" si="123"/>
        <v/>
      </c>
      <c r="AC534" s="48" t="str">
        <f t="shared" si="124"/>
        <v/>
      </c>
      <c r="AD534" s="54" t="str">
        <f t="shared" si="125"/>
        <v/>
      </c>
      <c r="AE534" s="55">
        <f t="shared" si="126"/>
        <v>0</v>
      </c>
      <c r="AF534" s="55">
        <f t="shared" si="127"/>
        <v>0</v>
      </c>
      <c r="AG534" s="58">
        <f t="shared" si="128"/>
        <v>0</v>
      </c>
      <c r="AH534" s="203"/>
      <c r="AJ534" s="203"/>
      <c r="AL534" s="203"/>
      <c r="AM534" s="203" t="str">
        <f t="shared" si="129"/>
        <v/>
      </c>
    </row>
    <row r="535" spans="1:39" s="56" customFormat="1" ht="14.25">
      <c r="A535" s="44"/>
      <c r="B535" s="45"/>
      <c r="C535" s="46">
        <f>IF(B535&lt;&gt;"",VLOOKUP(B535,'Tipo Projeto'!$A$3:$B$35,2,0),0)</f>
        <v>0</v>
      </c>
      <c r="D535" s="203"/>
      <c r="E535" s="203"/>
      <c r="F535" s="48"/>
      <c r="G535" s="203"/>
      <c r="H535" s="49"/>
      <c r="I535" s="50"/>
      <c r="J535" s="51"/>
      <c r="K535" s="52"/>
      <c r="L535" s="53" t="str">
        <f t="shared" si="117"/>
        <v/>
      </c>
      <c r="M535" s="48" t="str">
        <f t="shared" si="118"/>
        <v/>
      </c>
      <c r="N535" s="54" t="str">
        <f t="shared" si="119"/>
        <v/>
      </c>
      <c r="O535" s="55">
        <f t="shared" si="120"/>
        <v>0</v>
      </c>
      <c r="P535" s="55">
        <f t="shared" si="121"/>
        <v>0</v>
      </c>
      <c r="Q535" s="54">
        <f t="shared" si="122"/>
        <v>0</v>
      </c>
      <c r="R535" s="203"/>
      <c r="T535" s="57"/>
      <c r="U535" s="45"/>
      <c r="V535" s="46">
        <f>IF(U535&lt;&gt;"",VLOOKUP(U535,'Tipo Projeto'!$A$3:$B$35,2,0),0)</f>
        <v>0</v>
      </c>
      <c r="W535" s="203"/>
      <c r="X535" s="49"/>
      <c r="Y535" s="50"/>
      <c r="Z535" s="51"/>
      <c r="AA535" s="52"/>
      <c r="AB535" s="53" t="str">
        <f t="shared" si="123"/>
        <v/>
      </c>
      <c r="AC535" s="48" t="str">
        <f t="shared" si="124"/>
        <v/>
      </c>
      <c r="AD535" s="54" t="str">
        <f t="shared" si="125"/>
        <v/>
      </c>
      <c r="AE535" s="55">
        <f t="shared" si="126"/>
        <v>0</v>
      </c>
      <c r="AF535" s="55">
        <f t="shared" si="127"/>
        <v>0</v>
      </c>
      <c r="AG535" s="58">
        <f t="shared" si="128"/>
        <v>0</v>
      </c>
      <c r="AH535" s="203"/>
      <c r="AJ535" s="203"/>
      <c r="AL535" s="203"/>
      <c r="AM535" s="203" t="str">
        <f t="shared" si="129"/>
        <v/>
      </c>
    </row>
    <row r="536" spans="1:39" s="56" customFormat="1" ht="14.25">
      <c r="A536" s="44"/>
      <c r="B536" s="45"/>
      <c r="C536" s="46">
        <f>IF(B536&lt;&gt;"",VLOOKUP(B536,'Tipo Projeto'!$A$3:$B$35,2,0),0)</f>
        <v>0</v>
      </c>
      <c r="D536" s="203"/>
      <c r="E536" s="203"/>
      <c r="F536" s="48"/>
      <c r="G536" s="203"/>
      <c r="H536" s="49"/>
      <c r="I536" s="50"/>
      <c r="J536" s="51"/>
      <c r="K536" s="52"/>
      <c r="L536" s="53" t="str">
        <f t="shared" si="117"/>
        <v/>
      </c>
      <c r="M536" s="48" t="str">
        <f t="shared" si="118"/>
        <v/>
      </c>
      <c r="N536" s="54" t="str">
        <f t="shared" si="119"/>
        <v/>
      </c>
      <c r="O536" s="55">
        <f t="shared" si="120"/>
        <v>0</v>
      </c>
      <c r="P536" s="55">
        <f t="shared" si="121"/>
        <v>0</v>
      </c>
      <c r="Q536" s="54">
        <f t="shared" si="122"/>
        <v>0</v>
      </c>
      <c r="R536" s="203"/>
      <c r="T536" s="57"/>
      <c r="U536" s="45"/>
      <c r="V536" s="46">
        <f>IF(U536&lt;&gt;"",VLOOKUP(U536,'Tipo Projeto'!$A$3:$B$35,2,0),0)</f>
        <v>0</v>
      </c>
      <c r="W536" s="203"/>
      <c r="X536" s="49"/>
      <c r="Y536" s="50"/>
      <c r="Z536" s="51"/>
      <c r="AA536" s="52"/>
      <c r="AB536" s="53" t="str">
        <f t="shared" si="123"/>
        <v/>
      </c>
      <c r="AC536" s="48" t="str">
        <f t="shared" si="124"/>
        <v/>
      </c>
      <c r="AD536" s="54" t="str">
        <f t="shared" si="125"/>
        <v/>
      </c>
      <c r="AE536" s="55">
        <f t="shared" si="126"/>
        <v>0</v>
      </c>
      <c r="AF536" s="55">
        <f t="shared" si="127"/>
        <v>0</v>
      </c>
      <c r="AG536" s="58">
        <f t="shared" si="128"/>
        <v>0</v>
      </c>
      <c r="AH536" s="203"/>
      <c r="AJ536" s="203"/>
      <c r="AL536" s="203"/>
      <c r="AM536" s="203" t="str">
        <f t="shared" si="129"/>
        <v/>
      </c>
    </row>
    <row r="537" spans="1:39" s="56" customFormat="1" ht="14.25">
      <c r="A537" s="44"/>
      <c r="B537" s="45"/>
      <c r="C537" s="46">
        <f>IF(B537&lt;&gt;"",VLOOKUP(B537,'Tipo Projeto'!$A$3:$B$35,2,0),0)</f>
        <v>0</v>
      </c>
      <c r="D537" s="203"/>
      <c r="E537" s="203"/>
      <c r="F537" s="48"/>
      <c r="G537" s="203"/>
      <c r="H537" s="49"/>
      <c r="I537" s="50"/>
      <c r="J537" s="51"/>
      <c r="K537" s="52"/>
      <c r="L537" s="53" t="str">
        <f t="shared" si="117"/>
        <v/>
      </c>
      <c r="M537" s="48" t="str">
        <f t="shared" si="118"/>
        <v/>
      </c>
      <c r="N537" s="54" t="str">
        <f t="shared" si="119"/>
        <v/>
      </c>
      <c r="O537" s="55">
        <f t="shared" si="120"/>
        <v>0</v>
      </c>
      <c r="P537" s="55">
        <f t="shared" si="121"/>
        <v>0</v>
      </c>
      <c r="Q537" s="54">
        <f t="shared" si="122"/>
        <v>0</v>
      </c>
      <c r="R537" s="203"/>
      <c r="T537" s="57"/>
      <c r="U537" s="45"/>
      <c r="V537" s="46">
        <f>IF(U537&lt;&gt;"",VLOOKUP(U537,'Tipo Projeto'!$A$3:$B$35,2,0),0)</f>
        <v>0</v>
      </c>
      <c r="W537" s="203"/>
      <c r="X537" s="49"/>
      <c r="Y537" s="50"/>
      <c r="Z537" s="51"/>
      <c r="AA537" s="52"/>
      <c r="AB537" s="53" t="str">
        <f t="shared" si="123"/>
        <v/>
      </c>
      <c r="AC537" s="48" t="str">
        <f t="shared" si="124"/>
        <v/>
      </c>
      <c r="AD537" s="54" t="str">
        <f t="shared" si="125"/>
        <v/>
      </c>
      <c r="AE537" s="55">
        <f t="shared" si="126"/>
        <v>0</v>
      </c>
      <c r="AF537" s="55">
        <f t="shared" si="127"/>
        <v>0</v>
      </c>
      <c r="AG537" s="58">
        <f t="shared" si="128"/>
        <v>0</v>
      </c>
      <c r="AH537" s="203"/>
      <c r="AJ537" s="203"/>
      <c r="AL537" s="203"/>
      <c r="AM537" s="203" t="str">
        <f t="shared" si="129"/>
        <v/>
      </c>
    </row>
    <row r="538" spans="1:39" s="56" customFormat="1" ht="14.25">
      <c r="A538" s="44"/>
      <c r="B538" s="45"/>
      <c r="C538" s="46">
        <f>IF(B538&lt;&gt;"",VLOOKUP(B538,'Tipo Projeto'!$A$3:$B$35,2,0),0)</f>
        <v>0</v>
      </c>
      <c r="D538" s="203"/>
      <c r="E538" s="203"/>
      <c r="F538" s="48"/>
      <c r="G538" s="203"/>
      <c r="H538" s="49"/>
      <c r="I538" s="50"/>
      <c r="J538" s="51"/>
      <c r="K538" s="52"/>
      <c r="L538" s="53" t="str">
        <f t="shared" si="117"/>
        <v/>
      </c>
      <c r="M538" s="48" t="str">
        <f t="shared" si="118"/>
        <v/>
      </c>
      <c r="N538" s="54" t="str">
        <f t="shared" si="119"/>
        <v/>
      </c>
      <c r="O538" s="55">
        <f t="shared" si="120"/>
        <v>0</v>
      </c>
      <c r="P538" s="55">
        <f t="shared" si="121"/>
        <v>0</v>
      </c>
      <c r="Q538" s="54">
        <f t="shared" si="122"/>
        <v>0</v>
      </c>
      <c r="R538" s="203"/>
      <c r="T538" s="57"/>
      <c r="U538" s="45"/>
      <c r="V538" s="46">
        <f>IF(U538&lt;&gt;"",VLOOKUP(U538,'Tipo Projeto'!$A$3:$B$35,2,0),0)</f>
        <v>0</v>
      </c>
      <c r="W538" s="203"/>
      <c r="X538" s="49"/>
      <c r="Y538" s="50"/>
      <c r="Z538" s="51"/>
      <c r="AA538" s="52"/>
      <c r="AB538" s="53" t="str">
        <f t="shared" si="123"/>
        <v/>
      </c>
      <c r="AC538" s="48" t="str">
        <f t="shared" si="124"/>
        <v/>
      </c>
      <c r="AD538" s="54" t="str">
        <f t="shared" si="125"/>
        <v/>
      </c>
      <c r="AE538" s="55">
        <f t="shared" si="126"/>
        <v>0</v>
      </c>
      <c r="AF538" s="55">
        <f t="shared" si="127"/>
        <v>0</v>
      </c>
      <c r="AG538" s="58">
        <f t="shared" si="128"/>
        <v>0</v>
      </c>
      <c r="AH538" s="203"/>
      <c r="AJ538" s="203"/>
      <c r="AL538" s="203"/>
      <c r="AM538" s="203" t="str">
        <f t="shared" si="129"/>
        <v/>
      </c>
    </row>
    <row r="539" spans="1:39" s="56" customFormat="1" ht="14.25">
      <c r="A539" s="44"/>
      <c r="B539" s="45"/>
      <c r="C539" s="46">
        <f>IF(B539&lt;&gt;"",VLOOKUP(B539,'Tipo Projeto'!$A$3:$B$35,2,0),0)</f>
        <v>0</v>
      </c>
      <c r="D539" s="203"/>
      <c r="E539" s="203"/>
      <c r="F539" s="48"/>
      <c r="G539" s="203"/>
      <c r="H539" s="49"/>
      <c r="I539" s="50"/>
      <c r="J539" s="51"/>
      <c r="K539" s="52"/>
      <c r="L539" s="53" t="str">
        <f t="shared" si="117"/>
        <v/>
      </c>
      <c r="M539" s="48" t="str">
        <f t="shared" si="118"/>
        <v/>
      </c>
      <c r="N539" s="54" t="str">
        <f t="shared" si="119"/>
        <v/>
      </c>
      <c r="O539" s="55">
        <f t="shared" si="120"/>
        <v>0</v>
      </c>
      <c r="P539" s="55">
        <f t="shared" si="121"/>
        <v>0</v>
      </c>
      <c r="Q539" s="54">
        <f t="shared" si="122"/>
        <v>0</v>
      </c>
      <c r="R539" s="203"/>
      <c r="T539" s="57"/>
      <c r="U539" s="45"/>
      <c r="V539" s="46">
        <f>IF(U539&lt;&gt;"",VLOOKUP(U539,'Tipo Projeto'!$A$3:$B$35,2,0),0)</f>
        <v>0</v>
      </c>
      <c r="W539" s="203"/>
      <c r="X539" s="49"/>
      <c r="Y539" s="50"/>
      <c r="Z539" s="51"/>
      <c r="AA539" s="52"/>
      <c r="AB539" s="53" t="str">
        <f t="shared" si="123"/>
        <v/>
      </c>
      <c r="AC539" s="48" t="str">
        <f t="shared" si="124"/>
        <v/>
      </c>
      <c r="AD539" s="54" t="str">
        <f t="shared" si="125"/>
        <v/>
      </c>
      <c r="AE539" s="55">
        <f t="shared" si="126"/>
        <v>0</v>
      </c>
      <c r="AF539" s="55">
        <f t="shared" si="127"/>
        <v>0</v>
      </c>
      <c r="AG539" s="58">
        <f t="shared" si="128"/>
        <v>0</v>
      </c>
      <c r="AH539" s="203"/>
      <c r="AJ539" s="203"/>
      <c r="AL539" s="203"/>
      <c r="AM539" s="203" t="str">
        <f t="shared" si="129"/>
        <v/>
      </c>
    </row>
    <row r="540" spans="1:39" s="56" customFormat="1" ht="14.25">
      <c r="A540" s="44"/>
      <c r="B540" s="45"/>
      <c r="C540" s="46">
        <f>IF(B540&lt;&gt;"",VLOOKUP(B540,'Tipo Projeto'!$A$3:$B$35,2,0),0)</f>
        <v>0</v>
      </c>
      <c r="D540" s="203"/>
      <c r="E540" s="203"/>
      <c r="F540" s="48"/>
      <c r="G540" s="203"/>
      <c r="H540" s="49"/>
      <c r="I540" s="50"/>
      <c r="J540" s="51"/>
      <c r="K540" s="52"/>
      <c r="L540" s="53" t="str">
        <f t="shared" si="117"/>
        <v/>
      </c>
      <c r="M540" s="48" t="str">
        <f t="shared" si="118"/>
        <v/>
      </c>
      <c r="N540" s="54" t="str">
        <f t="shared" si="119"/>
        <v/>
      </c>
      <c r="O540" s="55">
        <f t="shared" si="120"/>
        <v>0</v>
      </c>
      <c r="P540" s="55">
        <f t="shared" si="121"/>
        <v>0</v>
      </c>
      <c r="Q540" s="54">
        <f t="shared" si="122"/>
        <v>0</v>
      </c>
      <c r="R540" s="203"/>
      <c r="T540" s="57"/>
      <c r="U540" s="45"/>
      <c r="V540" s="46">
        <f>IF(U540&lt;&gt;"",VLOOKUP(U540,'Tipo Projeto'!$A$3:$B$35,2,0),0)</f>
        <v>0</v>
      </c>
      <c r="W540" s="203"/>
      <c r="X540" s="49"/>
      <c r="Y540" s="50"/>
      <c r="Z540" s="51"/>
      <c r="AA540" s="52"/>
      <c r="AB540" s="53" t="str">
        <f t="shared" si="123"/>
        <v/>
      </c>
      <c r="AC540" s="48" t="str">
        <f t="shared" si="124"/>
        <v/>
      </c>
      <c r="AD540" s="54" t="str">
        <f t="shared" si="125"/>
        <v/>
      </c>
      <c r="AE540" s="55">
        <f t="shared" si="126"/>
        <v>0</v>
      </c>
      <c r="AF540" s="55">
        <f t="shared" si="127"/>
        <v>0</v>
      </c>
      <c r="AG540" s="58">
        <f t="shared" si="128"/>
        <v>0</v>
      </c>
      <c r="AH540" s="203"/>
      <c r="AJ540" s="203"/>
      <c r="AL540" s="203"/>
      <c r="AM540" s="203" t="str">
        <f t="shared" si="129"/>
        <v/>
      </c>
    </row>
    <row r="541" spans="1:39" s="56" customFormat="1" ht="14.25">
      <c r="A541" s="44"/>
      <c r="B541" s="45"/>
      <c r="C541" s="46">
        <f>IF(B541&lt;&gt;"",VLOOKUP(B541,'Tipo Projeto'!$A$3:$B$35,2,0),0)</f>
        <v>0</v>
      </c>
      <c r="D541" s="203"/>
      <c r="E541" s="203"/>
      <c r="F541" s="48"/>
      <c r="G541" s="203"/>
      <c r="H541" s="49"/>
      <c r="I541" s="50"/>
      <c r="J541" s="51"/>
      <c r="K541" s="52"/>
      <c r="L541" s="53" t="str">
        <f t="shared" si="117"/>
        <v/>
      </c>
      <c r="M541" s="48" t="str">
        <f t="shared" si="118"/>
        <v/>
      </c>
      <c r="N541" s="54" t="str">
        <f t="shared" si="119"/>
        <v/>
      </c>
      <c r="O541" s="55">
        <f t="shared" si="120"/>
        <v>0</v>
      </c>
      <c r="P541" s="55">
        <f t="shared" si="121"/>
        <v>0</v>
      </c>
      <c r="Q541" s="54">
        <f t="shared" si="122"/>
        <v>0</v>
      </c>
      <c r="R541" s="203"/>
      <c r="T541" s="57"/>
      <c r="U541" s="45"/>
      <c r="V541" s="46">
        <f>IF(U541&lt;&gt;"",VLOOKUP(U541,'Tipo Projeto'!$A$3:$B$35,2,0),0)</f>
        <v>0</v>
      </c>
      <c r="W541" s="203"/>
      <c r="X541" s="49"/>
      <c r="Y541" s="50"/>
      <c r="Z541" s="51"/>
      <c r="AA541" s="52"/>
      <c r="AB541" s="53" t="str">
        <f t="shared" si="123"/>
        <v/>
      </c>
      <c r="AC541" s="48" t="str">
        <f t="shared" si="124"/>
        <v/>
      </c>
      <c r="AD541" s="54" t="str">
        <f t="shared" si="125"/>
        <v/>
      </c>
      <c r="AE541" s="55">
        <f t="shared" si="126"/>
        <v>0</v>
      </c>
      <c r="AF541" s="55">
        <f t="shared" si="127"/>
        <v>0</v>
      </c>
      <c r="AG541" s="58">
        <f t="shared" si="128"/>
        <v>0</v>
      </c>
      <c r="AH541" s="203"/>
      <c r="AJ541" s="203"/>
      <c r="AL541" s="203"/>
      <c r="AM541" s="203" t="str">
        <f t="shared" si="129"/>
        <v/>
      </c>
    </row>
    <row r="542" spans="1:39" s="56" customFormat="1" ht="14.25">
      <c r="A542" s="44"/>
      <c r="B542" s="45"/>
      <c r="C542" s="46">
        <f>IF(B542&lt;&gt;"",VLOOKUP(B542,'Tipo Projeto'!$A$3:$B$35,2,0),0)</f>
        <v>0</v>
      </c>
      <c r="D542" s="203"/>
      <c r="E542" s="203"/>
      <c r="F542" s="48"/>
      <c r="G542" s="203"/>
      <c r="H542" s="49"/>
      <c r="I542" s="50"/>
      <c r="J542" s="51"/>
      <c r="K542" s="52"/>
      <c r="L542" s="53" t="str">
        <f t="shared" si="117"/>
        <v/>
      </c>
      <c r="M542" s="48" t="str">
        <f t="shared" si="118"/>
        <v/>
      </c>
      <c r="N542" s="54" t="str">
        <f t="shared" si="119"/>
        <v/>
      </c>
      <c r="O542" s="55">
        <f t="shared" si="120"/>
        <v>0</v>
      </c>
      <c r="P542" s="55">
        <f t="shared" si="121"/>
        <v>0</v>
      </c>
      <c r="Q542" s="54">
        <f t="shared" si="122"/>
        <v>0</v>
      </c>
      <c r="R542" s="203"/>
      <c r="T542" s="57"/>
      <c r="U542" s="45"/>
      <c r="V542" s="46">
        <f>IF(U542&lt;&gt;"",VLOOKUP(U542,'Tipo Projeto'!$A$3:$B$35,2,0),0)</f>
        <v>0</v>
      </c>
      <c r="W542" s="203"/>
      <c r="X542" s="49"/>
      <c r="Y542" s="50"/>
      <c r="Z542" s="51"/>
      <c r="AA542" s="52"/>
      <c r="AB542" s="53" t="str">
        <f t="shared" si="123"/>
        <v/>
      </c>
      <c r="AC542" s="48" t="str">
        <f t="shared" si="124"/>
        <v/>
      </c>
      <c r="AD542" s="54" t="str">
        <f t="shared" si="125"/>
        <v/>
      </c>
      <c r="AE542" s="55">
        <f t="shared" si="126"/>
        <v>0</v>
      </c>
      <c r="AF542" s="55">
        <f t="shared" si="127"/>
        <v>0</v>
      </c>
      <c r="AG542" s="58">
        <f t="shared" si="128"/>
        <v>0</v>
      </c>
      <c r="AH542" s="203"/>
      <c r="AJ542" s="203"/>
      <c r="AL542" s="203"/>
      <c r="AM542" s="203" t="str">
        <f t="shared" si="129"/>
        <v/>
      </c>
    </row>
    <row r="543" spans="1:39" s="56" customFormat="1" ht="14.25">
      <c r="A543" s="44"/>
      <c r="B543" s="45"/>
      <c r="C543" s="46">
        <f>IF(B543&lt;&gt;"",VLOOKUP(B543,'Tipo Projeto'!$A$3:$B$35,2,0),0)</f>
        <v>0</v>
      </c>
      <c r="D543" s="203"/>
      <c r="E543" s="203"/>
      <c r="F543" s="48"/>
      <c r="G543" s="203"/>
      <c r="H543" s="49"/>
      <c r="I543" s="50"/>
      <c r="J543" s="51"/>
      <c r="K543" s="52"/>
      <c r="L543" s="53" t="str">
        <f t="shared" si="117"/>
        <v/>
      </c>
      <c r="M543" s="48" t="str">
        <f t="shared" si="118"/>
        <v/>
      </c>
      <c r="N543" s="54" t="str">
        <f t="shared" si="119"/>
        <v/>
      </c>
      <c r="O543" s="55">
        <f t="shared" si="120"/>
        <v>0</v>
      </c>
      <c r="P543" s="55">
        <f t="shared" si="121"/>
        <v>0</v>
      </c>
      <c r="Q543" s="54">
        <f t="shared" si="122"/>
        <v>0</v>
      </c>
      <c r="R543" s="203"/>
      <c r="T543" s="57"/>
      <c r="U543" s="45"/>
      <c r="V543" s="46">
        <f>IF(U543&lt;&gt;"",VLOOKUP(U543,'Tipo Projeto'!$A$3:$B$35,2,0),0)</f>
        <v>0</v>
      </c>
      <c r="W543" s="203"/>
      <c r="X543" s="49"/>
      <c r="Y543" s="50"/>
      <c r="Z543" s="51"/>
      <c r="AA543" s="52"/>
      <c r="AB543" s="53" t="str">
        <f t="shared" si="123"/>
        <v/>
      </c>
      <c r="AC543" s="48" t="str">
        <f t="shared" si="124"/>
        <v/>
      </c>
      <c r="AD543" s="54" t="str">
        <f t="shared" si="125"/>
        <v/>
      </c>
      <c r="AE543" s="55">
        <f t="shared" si="126"/>
        <v>0</v>
      </c>
      <c r="AF543" s="55">
        <f t="shared" si="127"/>
        <v>0</v>
      </c>
      <c r="AG543" s="58">
        <f t="shared" si="128"/>
        <v>0</v>
      </c>
      <c r="AH543" s="203"/>
      <c r="AJ543" s="203"/>
      <c r="AL543" s="203"/>
      <c r="AM543" s="203" t="str">
        <f t="shared" si="129"/>
        <v/>
      </c>
    </row>
    <row r="544" spans="1:39" s="56" customFormat="1" ht="14.25">
      <c r="A544" s="44"/>
      <c r="B544" s="45"/>
      <c r="C544" s="46">
        <f>IF(B544&lt;&gt;"",VLOOKUP(B544,'Tipo Projeto'!$A$3:$B$35,2,0),0)</f>
        <v>0</v>
      </c>
      <c r="D544" s="203"/>
      <c r="E544" s="203"/>
      <c r="F544" s="48"/>
      <c r="G544" s="203"/>
      <c r="H544" s="49"/>
      <c r="I544" s="50"/>
      <c r="J544" s="51"/>
      <c r="K544" s="52"/>
      <c r="L544" s="53" t="str">
        <f t="shared" si="117"/>
        <v/>
      </c>
      <c r="M544" s="48" t="str">
        <f t="shared" si="118"/>
        <v/>
      </c>
      <c r="N544" s="54" t="str">
        <f t="shared" si="119"/>
        <v/>
      </c>
      <c r="O544" s="55">
        <f t="shared" si="120"/>
        <v>0</v>
      </c>
      <c r="P544" s="55">
        <f t="shared" si="121"/>
        <v>0</v>
      </c>
      <c r="Q544" s="54">
        <f t="shared" si="122"/>
        <v>0</v>
      </c>
      <c r="R544" s="203"/>
      <c r="T544" s="57"/>
      <c r="U544" s="45"/>
      <c r="V544" s="46">
        <f>IF(U544&lt;&gt;"",VLOOKUP(U544,'Tipo Projeto'!$A$3:$B$35,2,0),0)</f>
        <v>0</v>
      </c>
      <c r="W544" s="203"/>
      <c r="X544" s="49"/>
      <c r="Y544" s="50"/>
      <c r="Z544" s="51"/>
      <c r="AA544" s="52"/>
      <c r="AB544" s="53" t="str">
        <f t="shared" si="123"/>
        <v/>
      </c>
      <c r="AC544" s="48" t="str">
        <f t="shared" si="124"/>
        <v/>
      </c>
      <c r="AD544" s="54" t="str">
        <f t="shared" si="125"/>
        <v/>
      </c>
      <c r="AE544" s="55">
        <f t="shared" si="126"/>
        <v>0</v>
      </c>
      <c r="AF544" s="55">
        <f t="shared" si="127"/>
        <v>0</v>
      </c>
      <c r="AG544" s="58">
        <f t="shared" si="128"/>
        <v>0</v>
      </c>
      <c r="AH544" s="203"/>
      <c r="AJ544" s="203"/>
      <c r="AL544" s="203"/>
      <c r="AM544" s="203" t="str">
        <f t="shared" si="129"/>
        <v/>
      </c>
    </row>
    <row r="545" spans="1:39" s="56" customFormat="1" ht="14.25">
      <c r="A545" s="44"/>
      <c r="B545" s="45"/>
      <c r="C545" s="46">
        <f>IF(B545&lt;&gt;"",VLOOKUP(B545,'Tipo Projeto'!$A$3:$B$35,2,0),0)</f>
        <v>0</v>
      </c>
      <c r="D545" s="203"/>
      <c r="E545" s="203"/>
      <c r="F545" s="48"/>
      <c r="G545" s="203"/>
      <c r="H545" s="49"/>
      <c r="I545" s="50"/>
      <c r="J545" s="51"/>
      <c r="K545" s="52"/>
      <c r="L545" s="53" t="str">
        <f t="shared" si="117"/>
        <v/>
      </c>
      <c r="M545" s="48" t="str">
        <f t="shared" si="118"/>
        <v/>
      </c>
      <c r="N545" s="54" t="str">
        <f t="shared" si="119"/>
        <v/>
      </c>
      <c r="O545" s="55">
        <f t="shared" si="120"/>
        <v>0</v>
      </c>
      <c r="P545" s="55">
        <f t="shared" si="121"/>
        <v>0</v>
      </c>
      <c r="Q545" s="54">
        <f t="shared" si="122"/>
        <v>0</v>
      </c>
      <c r="R545" s="203"/>
      <c r="T545" s="57"/>
      <c r="U545" s="45"/>
      <c r="V545" s="46">
        <f>IF(U545&lt;&gt;"",VLOOKUP(U545,'Tipo Projeto'!$A$3:$B$35,2,0),0)</f>
        <v>0</v>
      </c>
      <c r="W545" s="203"/>
      <c r="X545" s="49"/>
      <c r="Y545" s="50"/>
      <c r="Z545" s="51"/>
      <c r="AA545" s="52"/>
      <c r="AB545" s="53" t="str">
        <f t="shared" si="123"/>
        <v/>
      </c>
      <c r="AC545" s="48" t="str">
        <f t="shared" si="124"/>
        <v/>
      </c>
      <c r="AD545" s="54" t="str">
        <f t="shared" si="125"/>
        <v/>
      </c>
      <c r="AE545" s="55">
        <f t="shared" si="126"/>
        <v>0</v>
      </c>
      <c r="AF545" s="55">
        <f t="shared" si="127"/>
        <v>0</v>
      </c>
      <c r="AG545" s="58">
        <f t="shared" si="128"/>
        <v>0</v>
      </c>
      <c r="AH545" s="203"/>
      <c r="AJ545" s="203"/>
      <c r="AL545" s="203"/>
      <c r="AM545" s="203" t="str">
        <f t="shared" si="129"/>
        <v/>
      </c>
    </row>
    <row r="546" spans="1:39" s="56" customFormat="1" ht="14.25">
      <c r="A546" s="44"/>
      <c r="B546" s="45"/>
      <c r="C546" s="46">
        <f>IF(B546&lt;&gt;"",VLOOKUP(B546,'Tipo Projeto'!$A$3:$B$35,2,0),0)</f>
        <v>0</v>
      </c>
      <c r="D546" s="203"/>
      <c r="E546" s="203"/>
      <c r="F546" s="48"/>
      <c r="G546" s="203"/>
      <c r="H546" s="49"/>
      <c r="I546" s="50"/>
      <c r="J546" s="51"/>
      <c r="K546" s="52"/>
      <c r="L546" s="53" t="str">
        <f t="shared" si="117"/>
        <v/>
      </c>
      <c r="M546" s="48" t="str">
        <f t="shared" si="118"/>
        <v/>
      </c>
      <c r="N546" s="54" t="str">
        <f t="shared" si="119"/>
        <v/>
      </c>
      <c r="O546" s="55">
        <f t="shared" si="120"/>
        <v>0</v>
      </c>
      <c r="P546" s="55">
        <f t="shared" si="121"/>
        <v>0</v>
      </c>
      <c r="Q546" s="54">
        <f t="shared" si="122"/>
        <v>0</v>
      </c>
      <c r="R546" s="203"/>
      <c r="T546" s="57"/>
      <c r="U546" s="45"/>
      <c r="V546" s="46">
        <f>IF(U546&lt;&gt;"",VLOOKUP(U546,'Tipo Projeto'!$A$3:$B$35,2,0),0)</f>
        <v>0</v>
      </c>
      <c r="W546" s="203"/>
      <c r="X546" s="49"/>
      <c r="Y546" s="50"/>
      <c r="Z546" s="51"/>
      <c r="AA546" s="52"/>
      <c r="AB546" s="53" t="str">
        <f t="shared" si="123"/>
        <v/>
      </c>
      <c r="AC546" s="48" t="str">
        <f t="shared" si="124"/>
        <v/>
      </c>
      <c r="AD546" s="54" t="str">
        <f t="shared" si="125"/>
        <v/>
      </c>
      <c r="AE546" s="55">
        <f t="shared" si="126"/>
        <v>0</v>
      </c>
      <c r="AF546" s="55">
        <f t="shared" si="127"/>
        <v>0</v>
      </c>
      <c r="AG546" s="58">
        <f t="shared" si="128"/>
        <v>0</v>
      </c>
      <c r="AH546" s="203"/>
      <c r="AJ546" s="203"/>
      <c r="AL546" s="203"/>
      <c r="AM546" s="203" t="str">
        <f t="shared" si="129"/>
        <v/>
      </c>
    </row>
    <row r="547" spans="1:39" s="56" customFormat="1" ht="14.25">
      <c r="A547" s="44"/>
      <c r="B547" s="45"/>
      <c r="C547" s="46">
        <f>IF(B547&lt;&gt;"",VLOOKUP(B547,'Tipo Projeto'!$A$3:$B$35,2,0),0)</f>
        <v>0</v>
      </c>
      <c r="D547" s="203"/>
      <c r="E547" s="203"/>
      <c r="F547" s="48"/>
      <c r="G547" s="203"/>
      <c r="H547" s="49"/>
      <c r="I547" s="50"/>
      <c r="J547" s="51"/>
      <c r="K547" s="52"/>
      <c r="L547" s="53" t="str">
        <f t="shared" si="117"/>
        <v/>
      </c>
      <c r="M547" s="48" t="str">
        <f t="shared" si="118"/>
        <v/>
      </c>
      <c r="N547" s="54" t="str">
        <f t="shared" si="119"/>
        <v/>
      </c>
      <c r="O547" s="55">
        <f t="shared" si="120"/>
        <v>0</v>
      </c>
      <c r="P547" s="55">
        <f t="shared" si="121"/>
        <v>0</v>
      </c>
      <c r="Q547" s="54">
        <f t="shared" si="122"/>
        <v>0</v>
      </c>
      <c r="R547" s="203"/>
      <c r="T547" s="57"/>
      <c r="U547" s="45"/>
      <c r="V547" s="46">
        <f>IF(U547&lt;&gt;"",VLOOKUP(U547,'Tipo Projeto'!$A$3:$B$35,2,0),0)</f>
        <v>0</v>
      </c>
      <c r="W547" s="203"/>
      <c r="X547" s="49"/>
      <c r="Y547" s="50"/>
      <c r="Z547" s="51"/>
      <c r="AA547" s="52"/>
      <c r="AB547" s="53" t="str">
        <f t="shared" si="123"/>
        <v/>
      </c>
      <c r="AC547" s="48" t="str">
        <f t="shared" si="124"/>
        <v/>
      </c>
      <c r="AD547" s="54" t="str">
        <f t="shared" si="125"/>
        <v/>
      </c>
      <c r="AE547" s="55">
        <f t="shared" si="126"/>
        <v>0</v>
      </c>
      <c r="AF547" s="55">
        <f t="shared" si="127"/>
        <v>0</v>
      </c>
      <c r="AG547" s="58">
        <f t="shared" si="128"/>
        <v>0</v>
      </c>
      <c r="AH547" s="203"/>
      <c r="AJ547" s="203"/>
      <c r="AL547" s="203"/>
      <c r="AM547" s="203" t="str">
        <f t="shared" si="129"/>
        <v/>
      </c>
    </row>
    <row r="548" spans="1:39" s="56" customFormat="1" ht="14.25">
      <c r="A548" s="44"/>
      <c r="B548" s="45"/>
      <c r="C548" s="46">
        <f>IF(B548&lt;&gt;"",VLOOKUP(B548,'Tipo Projeto'!$A$3:$B$35,2,0),0)</f>
        <v>0</v>
      </c>
      <c r="D548" s="203"/>
      <c r="E548" s="203"/>
      <c r="F548" s="48"/>
      <c r="G548" s="203"/>
      <c r="H548" s="49"/>
      <c r="I548" s="50"/>
      <c r="J548" s="51"/>
      <c r="K548" s="52"/>
      <c r="L548" s="53" t="str">
        <f t="shared" si="117"/>
        <v/>
      </c>
      <c r="M548" s="48" t="str">
        <f t="shared" si="118"/>
        <v/>
      </c>
      <c r="N548" s="54" t="str">
        <f t="shared" si="119"/>
        <v/>
      </c>
      <c r="O548" s="55">
        <f t="shared" si="120"/>
        <v>0</v>
      </c>
      <c r="P548" s="55">
        <f t="shared" si="121"/>
        <v>0</v>
      </c>
      <c r="Q548" s="54">
        <f t="shared" si="122"/>
        <v>0</v>
      </c>
      <c r="R548" s="203"/>
      <c r="T548" s="57"/>
      <c r="U548" s="45"/>
      <c r="V548" s="46">
        <f>IF(U548&lt;&gt;"",VLOOKUP(U548,'Tipo Projeto'!$A$3:$B$35,2,0),0)</f>
        <v>0</v>
      </c>
      <c r="W548" s="203"/>
      <c r="X548" s="49"/>
      <c r="Y548" s="50"/>
      <c r="Z548" s="51"/>
      <c r="AA548" s="52"/>
      <c r="AB548" s="53" t="str">
        <f t="shared" si="123"/>
        <v/>
      </c>
      <c r="AC548" s="48" t="str">
        <f t="shared" si="124"/>
        <v/>
      </c>
      <c r="AD548" s="54" t="str">
        <f t="shared" si="125"/>
        <v/>
      </c>
      <c r="AE548" s="55">
        <f t="shared" si="126"/>
        <v>0</v>
      </c>
      <c r="AF548" s="55">
        <f t="shared" si="127"/>
        <v>0</v>
      </c>
      <c r="AG548" s="58">
        <f t="shared" si="128"/>
        <v>0</v>
      </c>
      <c r="AH548" s="203"/>
      <c r="AJ548" s="203"/>
      <c r="AL548" s="203"/>
      <c r="AM548" s="203" t="str">
        <f t="shared" si="129"/>
        <v/>
      </c>
    </row>
    <row r="549" spans="1:39" s="56" customFormat="1" ht="14.25">
      <c r="A549" s="44"/>
      <c r="B549" s="45"/>
      <c r="C549" s="46">
        <f>IF(B549&lt;&gt;"",VLOOKUP(B549,'Tipo Projeto'!$A$3:$B$35,2,0),0)</f>
        <v>0</v>
      </c>
      <c r="D549" s="203"/>
      <c r="E549" s="203"/>
      <c r="F549" s="48"/>
      <c r="G549" s="203"/>
      <c r="H549" s="49"/>
      <c r="I549" s="50"/>
      <c r="J549" s="51"/>
      <c r="K549" s="52"/>
      <c r="L549" s="53" t="str">
        <f t="shared" si="117"/>
        <v/>
      </c>
      <c r="M549" s="48" t="str">
        <f t="shared" si="118"/>
        <v/>
      </c>
      <c r="N549" s="54" t="str">
        <f t="shared" si="119"/>
        <v/>
      </c>
      <c r="O549" s="55">
        <f t="shared" si="120"/>
        <v>0</v>
      </c>
      <c r="P549" s="55">
        <f t="shared" si="121"/>
        <v>0</v>
      </c>
      <c r="Q549" s="54">
        <f t="shared" si="122"/>
        <v>0</v>
      </c>
      <c r="R549" s="203"/>
      <c r="T549" s="57"/>
      <c r="U549" s="45"/>
      <c r="V549" s="46">
        <f>IF(U549&lt;&gt;"",VLOOKUP(U549,'Tipo Projeto'!$A$3:$B$35,2,0),0)</f>
        <v>0</v>
      </c>
      <c r="W549" s="203"/>
      <c r="X549" s="49"/>
      <c r="Y549" s="50"/>
      <c r="Z549" s="51"/>
      <c r="AA549" s="52"/>
      <c r="AB549" s="53" t="str">
        <f t="shared" si="123"/>
        <v/>
      </c>
      <c r="AC549" s="48" t="str">
        <f t="shared" si="124"/>
        <v/>
      </c>
      <c r="AD549" s="54" t="str">
        <f t="shared" si="125"/>
        <v/>
      </c>
      <c r="AE549" s="55">
        <f t="shared" si="126"/>
        <v>0</v>
      </c>
      <c r="AF549" s="55">
        <f t="shared" si="127"/>
        <v>0</v>
      </c>
      <c r="AG549" s="58">
        <f t="shared" si="128"/>
        <v>0</v>
      </c>
      <c r="AH549" s="203"/>
      <c r="AJ549" s="203"/>
      <c r="AL549" s="203"/>
      <c r="AM549" s="203" t="str">
        <f t="shared" si="129"/>
        <v/>
      </c>
    </row>
    <row r="550" spans="1:39" s="56" customFormat="1" ht="14.25">
      <c r="A550" s="44"/>
      <c r="B550" s="45"/>
      <c r="C550" s="46">
        <f>IF(B550&lt;&gt;"",VLOOKUP(B550,'Tipo Projeto'!$A$3:$B$35,2,0),0)</f>
        <v>0</v>
      </c>
      <c r="D550" s="203"/>
      <c r="E550" s="203"/>
      <c r="F550" s="48"/>
      <c r="G550" s="203"/>
      <c r="H550" s="49"/>
      <c r="I550" s="50"/>
      <c r="J550" s="51"/>
      <c r="K550" s="52"/>
      <c r="L550" s="53" t="str">
        <f t="shared" si="117"/>
        <v/>
      </c>
      <c r="M550" s="48" t="str">
        <f t="shared" si="118"/>
        <v/>
      </c>
      <c r="N550" s="54" t="str">
        <f t="shared" si="119"/>
        <v/>
      </c>
      <c r="O550" s="55">
        <f t="shared" si="120"/>
        <v>0</v>
      </c>
      <c r="P550" s="55">
        <f t="shared" si="121"/>
        <v>0</v>
      </c>
      <c r="Q550" s="54">
        <f t="shared" si="122"/>
        <v>0</v>
      </c>
      <c r="R550" s="203"/>
      <c r="T550" s="57"/>
      <c r="U550" s="45"/>
      <c r="V550" s="46">
        <f>IF(U550&lt;&gt;"",VLOOKUP(U550,'Tipo Projeto'!$A$3:$B$35,2,0),0)</f>
        <v>0</v>
      </c>
      <c r="W550" s="203"/>
      <c r="X550" s="49"/>
      <c r="Y550" s="50"/>
      <c r="Z550" s="51"/>
      <c r="AA550" s="52"/>
      <c r="AB550" s="53" t="str">
        <f t="shared" si="123"/>
        <v/>
      </c>
      <c r="AC550" s="48" t="str">
        <f t="shared" si="124"/>
        <v/>
      </c>
      <c r="AD550" s="54" t="str">
        <f t="shared" si="125"/>
        <v/>
      </c>
      <c r="AE550" s="55">
        <f t="shared" si="126"/>
        <v>0</v>
      </c>
      <c r="AF550" s="55">
        <f t="shared" si="127"/>
        <v>0</v>
      </c>
      <c r="AG550" s="58">
        <f t="shared" si="128"/>
        <v>0</v>
      </c>
      <c r="AH550" s="203"/>
      <c r="AJ550" s="203"/>
      <c r="AL550" s="203"/>
      <c r="AM550" s="203" t="str">
        <f t="shared" si="129"/>
        <v/>
      </c>
    </row>
    <row r="551" spans="1:39" s="56" customFormat="1" ht="14.25">
      <c r="A551" s="44"/>
      <c r="B551" s="45"/>
      <c r="C551" s="46">
        <f>IF(B551&lt;&gt;"",VLOOKUP(B551,'Tipo Projeto'!$A$3:$B$35,2,0),0)</f>
        <v>0</v>
      </c>
      <c r="D551" s="203"/>
      <c r="E551" s="203"/>
      <c r="F551" s="48"/>
      <c r="G551" s="203"/>
      <c r="H551" s="49"/>
      <c r="I551" s="50"/>
      <c r="J551" s="51"/>
      <c r="K551" s="52"/>
      <c r="L551" s="53" t="str">
        <f t="shared" si="117"/>
        <v/>
      </c>
      <c r="M551" s="48" t="str">
        <f t="shared" si="118"/>
        <v/>
      </c>
      <c r="N551" s="54" t="str">
        <f t="shared" si="119"/>
        <v/>
      </c>
      <c r="O551" s="55">
        <f t="shared" si="120"/>
        <v>0</v>
      </c>
      <c r="P551" s="55">
        <f t="shared" si="121"/>
        <v>0</v>
      </c>
      <c r="Q551" s="54">
        <f t="shared" si="122"/>
        <v>0</v>
      </c>
      <c r="R551" s="203"/>
      <c r="T551" s="57"/>
      <c r="U551" s="45"/>
      <c r="V551" s="46">
        <f>IF(U551&lt;&gt;"",VLOOKUP(U551,'Tipo Projeto'!$A$3:$B$35,2,0),0)</f>
        <v>0</v>
      </c>
      <c r="W551" s="203"/>
      <c r="X551" s="49"/>
      <c r="Y551" s="50"/>
      <c r="Z551" s="51"/>
      <c r="AA551" s="52"/>
      <c r="AB551" s="53" t="str">
        <f t="shared" si="123"/>
        <v/>
      </c>
      <c r="AC551" s="48" t="str">
        <f t="shared" si="124"/>
        <v/>
      </c>
      <c r="AD551" s="54" t="str">
        <f t="shared" si="125"/>
        <v/>
      </c>
      <c r="AE551" s="55">
        <f t="shared" si="126"/>
        <v>0</v>
      </c>
      <c r="AF551" s="55">
        <f t="shared" si="127"/>
        <v>0</v>
      </c>
      <c r="AG551" s="58">
        <f t="shared" si="128"/>
        <v>0</v>
      </c>
      <c r="AH551" s="203"/>
      <c r="AJ551" s="203"/>
      <c r="AL551" s="203"/>
      <c r="AM551" s="203" t="str">
        <f t="shared" si="129"/>
        <v/>
      </c>
    </row>
    <row r="552" spans="1:39" s="56" customFormat="1" ht="14.25">
      <c r="A552" s="44"/>
      <c r="B552" s="45"/>
      <c r="C552" s="46">
        <f>IF(B552&lt;&gt;"",VLOOKUP(B552,'Tipo Projeto'!$A$3:$B$35,2,0),0)</f>
        <v>0</v>
      </c>
      <c r="D552" s="203"/>
      <c r="E552" s="203"/>
      <c r="F552" s="48"/>
      <c r="G552" s="203"/>
      <c r="H552" s="49"/>
      <c r="I552" s="50"/>
      <c r="J552" s="51"/>
      <c r="K552" s="52"/>
      <c r="L552" s="53" t="str">
        <f t="shared" si="117"/>
        <v/>
      </c>
      <c r="M552" s="48" t="str">
        <f t="shared" si="118"/>
        <v/>
      </c>
      <c r="N552" s="54" t="str">
        <f t="shared" si="119"/>
        <v/>
      </c>
      <c r="O552" s="55">
        <f t="shared" si="120"/>
        <v>0</v>
      </c>
      <c r="P552" s="55">
        <f t="shared" si="121"/>
        <v>0</v>
      </c>
      <c r="Q552" s="54">
        <f t="shared" si="122"/>
        <v>0</v>
      </c>
      <c r="R552" s="203"/>
      <c r="T552" s="57"/>
      <c r="U552" s="45"/>
      <c r="V552" s="46">
        <f>IF(U552&lt;&gt;"",VLOOKUP(U552,'Tipo Projeto'!$A$3:$B$35,2,0),0)</f>
        <v>0</v>
      </c>
      <c r="W552" s="203"/>
      <c r="X552" s="49"/>
      <c r="Y552" s="50"/>
      <c r="Z552" s="51"/>
      <c r="AA552" s="52"/>
      <c r="AB552" s="53" t="str">
        <f t="shared" si="123"/>
        <v/>
      </c>
      <c r="AC552" s="48" t="str">
        <f t="shared" si="124"/>
        <v/>
      </c>
      <c r="AD552" s="54" t="str">
        <f t="shared" si="125"/>
        <v/>
      </c>
      <c r="AE552" s="55">
        <f t="shared" si="126"/>
        <v>0</v>
      </c>
      <c r="AF552" s="55">
        <f t="shared" si="127"/>
        <v>0</v>
      </c>
      <c r="AG552" s="58">
        <f t="shared" si="128"/>
        <v>0</v>
      </c>
      <c r="AH552" s="203"/>
      <c r="AJ552" s="203"/>
      <c r="AL552" s="203"/>
      <c r="AM552" s="203" t="str">
        <f t="shared" si="129"/>
        <v/>
      </c>
    </row>
    <row r="553" spans="1:39" s="56" customFormat="1" ht="14.25">
      <c r="A553" s="44"/>
      <c r="B553" s="45"/>
      <c r="C553" s="46">
        <f>IF(B553&lt;&gt;"",VLOOKUP(B553,'Tipo Projeto'!$A$3:$B$35,2,0),0)</f>
        <v>0</v>
      </c>
      <c r="D553" s="203"/>
      <c r="E553" s="203"/>
      <c r="F553" s="48"/>
      <c r="G553" s="203"/>
      <c r="H553" s="49"/>
      <c r="I553" s="50"/>
      <c r="J553" s="51"/>
      <c r="K553" s="52"/>
      <c r="L553" s="53" t="str">
        <f t="shared" si="117"/>
        <v/>
      </c>
      <c r="M553" s="48" t="str">
        <f t="shared" si="118"/>
        <v/>
      </c>
      <c r="N553" s="54" t="str">
        <f t="shared" si="119"/>
        <v/>
      </c>
      <c r="O553" s="55">
        <f t="shared" si="120"/>
        <v>0</v>
      </c>
      <c r="P553" s="55">
        <f t="shared" si="121"/>
        <v>0</v>
      </c>
      <c r="Q553" s="54">
        <f t="shared" si="122"/>
        <v>0</v>
      </c>
      <c r="R553" s="203"/>
      <c r="T553" s="57"/>
      <c r="U553" s="45"/>
      <c r="V553" s="46">
        <f>IF(U553&lt;&gt;"",VLOOKUP(U553,'Tipo Projeto'!$A$3:$B$35,2,0),0)</f>
        <v>0</v>
      </c>
      <c r="W553" s="203"/>
      <c r="X553" s="49"/>
      <c r="Y553" s="50"/>
      <c r="Z553" s="51"/>
      <c r="AA553" s="52"/>
      <c r="AB553" s="53" t="str">
        <f t="shared" si="123"/>
        <v/>
      </c>
      <c r="AC553" s="48" t="str">
        <f t="shared" si="124"/>
        <v/>
      </c>
      <c r="AD553" s="54" t="str">
        <f t="shared" si="125"/>
        <v/>
      </c>
      <c r="AE553" s="55">
        <f t="shared" si="126"/>
        <v>0</v>
      </c>
      <c r="AF553" s="55">
        <f t="shared" si="127"/>
        <v>0</v>
      </c>
      <c r="AG553" s="58">
        <f t="shared" si="128"/>
        <v>0</v>
      </c>
      <c r="AH553" s="203"/>
      <c r="AJ553" s="203"/>
      <c r="AL553" s="203"/>
      <c r="AM553" s="203" t="str">
        <f t="shared" si="129"/>
        <v/>
      </c>
    </row>
    <row r="554" spans="1:39" s="56" customFormat="1" ht="14.25">
      <c r="A554" s="44"/>
      <c r="B554" s="45"/>
      <c r="C554" s="46">
        <f>IF(B554&lt;&gt;"",VLOOKUP(B554,'Tipo Projeto'!$A$3:$B$35,2,0),0)</f>
        <v>0</v>
      </c>
      <c r="D554" s="203"/>
      <c r="E554" s="203"/>
      <c r="F554" s="48"/>
      <c r="G554" s="203"/>
      <c r="H554" s="49"/>
      <c r="I554" s="50"/>
      <c r="J554" s="51"/>
      <c r="K554" s="52"/>
      <c r="L554" s="53" t="str">
        <f t="shared" si="117"/>
        <v/>
      </c>
      <c r="M554" s="48" t="str">
        <f t="shared" si="118"/>
        <v/>
      </c>
      <c r="N554" s="54" t="str">
        <f t="shared" si="119"/>
        <v/>
      </c>
      <c r="O554" s="55">
        <f t="shared" si="120"/>
        <v>0</v>
      </c>
      <c r="P554" s="55">
        <f t="shared" si="121"/>
        <v>0</v>
      </c>
      <c r="Q554" s="54">
        <f t="shared" si="122"/>
        <v>0</v>
      </c>
      <c r="R554" s="203"/>
      <c r="T554" s="57"/>
      <c r="U554" s="45"/>
      <c r="V554" s="46">
        <f>IF(U554&lt;&gt;"",VLOOKUP(U554,'Tipo Projeto'!$A$3:$B$35,2,0),0)</f>
        <v>0</v>
      </c>
      <c r="W554" s="203"/>
      <c r="X554" s="49"/>
      <c r="Y554" s="50"/>
      <c r="Z554" s="51"/>
      <c r="AA554" s="52"/>
      <c r="AB554" s="53" t="str">
        <f t="shared" si="123"/>
        <v/>
      </c>
      <c r="AC554" s="48" t="str">
        <f t="shared" si="124"/>
        <v/>
      </c>
      <c r="AD554" s="54" t="str">
        <f t="shared" si="125"/>
        <v/>
      </c>
      <c r="AE554" s="55">
        <f t="shared" si="126"/>
        <v>0</v>
      </c>
      <c r="AF554" s="55">
        <f t="shared" si="127"/>
        <v>0</v>
      </c>
      <c r="AG554" s="58">
        <f t="shared" si="128"/>
        <v>0</v>
      </c>
      <c r="AH554" s="203"/>
      <c r="AJ554" s="203"/>
      <c r="AL554" s="203"/>
      <c r="AM554" s="203" t="str">
        <f t="shared" si="129"/>
        <v/>
      </c>
    </row>
    <row r="555" spans="1:39" s="56" customFormat="1" ht="14.25">
      <c r="A555" s="44"/>
      <c r="B555" s="45"/>
      <c r="C555" s="46">
        <f>IF(B555&lt;&gt;"",VLOOKUP(B555,'Tipo Projeto'!$A$3:$B$35,2,0),0)</f>
        <v>0</v>
      </c>
      <c r="D555" s="203"/>
      <c r="E555" s="203"/>
      <c r="F555" s="48"/>
      <c r="G555" s="203"/>
      <c r="H555" s="49"/>
      <c r="I555" s="50"/>
      <c r="J555" s="51"/>
      <c r="K555" s="52"/>
      <c r="L555" s="53" t="str">
        <f t="shared" si="117"/>
        <v/>
      </c>
      <c r="M555" s="48" t="str">
        <f t="shared" si="118"/>
        <v/>
      </c>
      <c r="N555" s="54" t="str">
        <f t="shared" si="119"/>
        <v/>
      </c>
      <c r="O555" s="55">
        <f t="shared" si="120"/>
        <v>0</v>
      </c>
      <c r="P555" s="55">
        <f t="shared" si="121"/>
        <v>0</v>
      </c>
      <c r="Q555" s="54">
        <f t="shared" si="122"/>
        <v>0</v>
      </c>
      <c r="R555" s="203"/>
      <c r="T555" s="57"/>
      <c r="U555" s="45"/>
      <c r="V555" s="46">
        <f>IF(U555&lt;&gt;"",VLOOKUP(U555,'Tipo Projeto'!$A$3:$B$35,2,0),0)</f>
        <v>0</v>
      </c>
      <c r="W555" s="203"/>
      <c r="X555" s="49"/>
      <c r="Y555" s="50"/>
      <c r="Z555" s="51"/>
      <c r="AA555" s="52"/>
      <c r="AB555" s="53" t="str">
        <f t="shared" si="123"/>
        <v/>
      </c>
      <c r="AC555" s="48" t="str">
        <f t="shared" si="124"/>
        <v/>
      </c>
      <c r="AD555" s="54" t="str">
        <f t="shared" si="125"/>
        <v/>
      </c>
      <c r="AE555" s="55">
        <f t="shared" si="126"/>
        <v>0</v>
      </c>
      <c r="AF555" s="55">
        <f t="shared" si="127"/>
        <v>0</v>
      </c>
      <c r="AG555" s="58">
        <f t="shared" si="128"/>
        <v>0</v>
      </c>
      <c r="AH555" s="203"/>
      <c r="AJ555" s="203"/>
      <c r="AL555" s="203"/>
      <c r="AM555" s="203" t="str">
        <f t="shared" si="129"/>
        <v/>
      </c>
    </row>
    <row r="556" spans="1:39" s="56" customFormat="1" ht="14.25">
      <c r="A556" s="44"/>
      <c r="B556" s="45"/>
      <c r="C556" s="46">
        <f>IF(B556&lt;&gt;"",VLOOKUP(B556,'Tipo Projeto'!$A$3:$B$35,2,0),0)</f>
        <v>0</v>
      </c>
      <c r="D556" s="203"/>
      <c r="E556" s="203"/>
      <c r="F556" s="48"/>
      <c r="G556" s="203"/>
      <c r="H556" s="49"/>
      <c r="I556" s="50"/>
      <c r="J556" s="51"/>
      <c r="K556" s="52"/>
      <c r="L556" s="53" t="str">
        <f t="shared" si="117"/>
        <v/>
      </c>
      <c r="M556" s="48" t="str">
        <f t="shared" si="118"/>
        <v/>
      </c>
      <c r="N556" s="54" t="str">
        <f t="shared" si="119"/>
        <v/>
      </c>
      <c r="O556" s="55">
        <f t="shared" si="120"/>
        <v>0</v>
      </c>
      <c r="P556" s="55">
        <f t="shared" si="121"/>
        <v>0</v>
      </c>
      <c r="Q556" s="54">
        <f t="shared" si="122"/>
        <v>0</v>
      </c>
      <c r="R556" s="203"/>
      <c r="T556" s="57"/>
      <c r="U556" s="45"/>
      <c r="V556" s="46">
        <f>IF(U556&lt;&gt;"",VLOOKUP(U556,'Tipo Projeto'!$A$3:$B$35,2,0),0)</f>
        <v>0</v>
      </c>
      <c r="W556" s="203"/>
      <c r="X556" s="49"/>
      <c r="Y556" s="50"/>
      <c r="Z556" s="51"/>
      <c r="AA556" s="52"/>
      <c r="AB556" s="53" t="str">
        <f t="shared" si="123"/>
        <v/>
      </c>
      <c r="AC556" s="48" t="str">
        <f t="shared" si="124"/>
        <v/>
      </c>
      <c r="AD556" s="54" t="str">
        <f t="shared" si="125"/>
        <v/>
      </c>
      <c r="AE556" s="55">
        <f t="shared" si="126"/>
        <v>0</v>
      </c>
      <c r="AF556" s="55">
        <f t="shared" si="127"/>
        <v>0</v>
      </c>
      <c r="AG556" s="58">
        <f t="shared" si="128"/>
        <v>0</v>
      </c>
      <c r="AH556" s="203"/>
      <c r="AJ556" s="203"/>
      <c r="AL556" s="203"/>
      <c r="AM556" s="203" t="str">
        <f t="shared" si="129"/>
        <v/>
      </c>
    </row>
    <row r="557" spans="1:39" s="56" customFormat="1" ht="14.25">
      <c r="A557" s="44"/>
      <c r="B557" s="45"/>
      <c r="C557" s="46">
        <f>IF(B557&lt;&gt;"",VLOOKUP(B557,'Tipo Projeto'!$A$3:$B$35,2,0),0)</f>
        <v>0</v>
      </c>
      <c r="D557" s="203"/>
      <c r="E557" s="203"/>
      <c r="F557" s="48"/>
      <c r="G557" s="203"/>
      <c r="H557" s="49"/>
      <c r="I557" s="50"/>
      <c r="J557" s="51"/>
      <c r="K557" s="52"/>
      <c r="L557" s="53" t="str">
        <f t="shared" si="117"/>
        <v/>
      </c>
      <c r="M557" s="48" t="str">
        <f t="shared" si="118"/>
        <v/>
      </c>
      <c r="N557" s="54" t="str">
        <f t="shared" si="119"/>
        <v/>
      </c>
      <c r="O557" s="55">
        <f t="shared" si="120"/>
        <v>0</v>
      </c>
      <c r="P557" s="55">
        <f t="shared" si="121"/>
        <v>0</v>
      </c>
      <c r="Q557" s="54">
        <f t="shared" si="122"/>
        <v>0</v>
      </c>
      <c r="R557" s="203"/>
      <c r="T557" s="57"/>
      <c r="U557" s="45"/>
      <c r="V557" s="46">
        <f>IF(U557&lt;&gt;"",VLOOKUP(U557,'Tipo Projeto'!$A$3:$B$35,2,0),0)</f>
        <v>0</v>
      </c>
      <c r="W557" s="203"/>
      <c r="X557" s="49"/>
      <c r="Y557" s="50"/>
      <c r="Z557" s="51"/>
      <c r="AA557" s="52"/>
      <c r="AB557" s="53" t="str">
        <f t="shared" si="123"/>
        <v/>
      </c>
      <c r="AC557" s="48" t="str">
        <f t="shared" si="124"/>
        <v/>
      </c>
      <c r="AD557" s="54" t="str">
        <f t="shared" si="125"/>
        <v/>
      </c>
      <c r="AE557" s="55">
        <f t="shared" si="126"/>
        <v>0</v>
      </c>
      <c r="AF557" s="55">
        <f t="shared" si="127"/>
        <v>0</v>
      </c>
      <c r="AG557" s="58">
        <f t="shared" si="128"/>
        <v>0</v>
      </c>
      <c r="AH557" s="203"/>
      <c r="AJ557" s="203"/>
      <c r="AL557" s="203"/>
      <c r="AM557" s="203" t="str">
        <f t="shared" si="129"/>
        <v/>
      </c>
    </row>
    <row r="558" spans="1:39" s="56" customFormat="1" ht="14.25">
      <c r="A558" s="44"/>
      <c r="B558" s="45"/>
      <c r="C558" s="46">
        <f>IF(B558&lt;&gt;"",VLOOKUP(B558,'Tipo Projeto'!$A$3:$B$35,2,0),0)</f>
        <v>0</v>
      </c>
      <c r="D558" s="203"/>
      <c r="E558" s="203"/>
      <c r="F558" s="48"/>
      <c r="G558" s="203"/>
      <c r="H558" s="49"/>
      <c r="I558" s="50"/>
      <c r="J558" s="51"/>
      <c r="K558" s="52"/>
      <c r="L558" s="53" t="str">
        <f t="shared" si="117"/>
        <v/>
      </c>
      <c r="M558" s="48" t="str">
        <f t="shared" si="118"/>
        <v/>
      </c>
      <c r="N558" s="54" t="str">
        <f t="shared" si="119"/>
        <v/>
      </c>
      <c r="O558" s="55">
        <f t="shared" si="120"/>
        <v>0</v>
      </c>
      <c r="P558" s="55">
        <f t="shared" si="121"/>
        <v>0</v>
      </c>
      <c r="Q558" s="54">
        <f t="shared" si="122"/>
        <v>0</v>
      </c>
      <c r="R558" s="203"/>
      <c r="T558" s="57"/>
      <c r="U558" s="45"/>
      <c r="V558" s="46">
        <f>IF(U558&lt;&gt;"",VLOOKUP(U558,'Tipo Projeto'!$A$3:$B$35,2,0),0)</f>
        <v>0</v>
      </c>
      <c r="W558" s="203"/>
      <c r="X558" s="49"/>
      <c r="Y558" s="50"/>
      <c r="Z558" s="51"/>
      <c r="AA558" s="52"/>
      <c r="AB558" s="53" t="str">
        <f t="shared" si="123"/>
        <v/>
      </c>
      <c r="AC558" s="48" t="str">
        <f t="shared" si="124"/>
        <v/>
      </c>
      <c r="AD558" s="54" t="str">
        <f t="shared" si="125"/>
        <v/>
      </c>
      <c r="AE558" s="55">
        <f t="shared" si="126"/>
        <v>0</v>
      </c>
      <c r="AF558" s="55">
        <f t="shared" si="127"/>
        <v>0</v>
      </c>
      <c r="AG558" s="58">
        <f t="shared" si="128"/>
        <v>0</v>
      </c>
      <c r="AH558" s="203"/>
      <c r="AJ558" s="203"/>
      <c r="AL558" s="203"/>
      <c r="AM558" s="203" t="str">
        <f t="shared" si="129"/>
        <v/>
      </c>
    </row>
    <row r="559" spans="1:39" s="56" customFormat="1" ht="14.25">
      <c r="A559" s="44"/>
      <c r="B559" s="45"/>
      <c r="C559" s="46">
        <f>IF(B559&lt;&gt;"",VLOOKUP(B559,'Tipo Projeto'!$A$3:$B$35,2,0),0)</f>
        <v>0</v>
      </c>
      <c r="D559" s="203"/>
      <c r="E559" s="203"/>
      <c r="F559" s="48"/>
      <c r="G559" s="203"/>
      <c r="H559" s="49"/>
      <c r="I559" s="50"/>
      <c r="J559" s="51"/>
      <c r="K559" s="52"/>
      <c r="L559" s="53" t="str">
        <f t="shared" si="117"/>
        <v/>
      </c>
      <c r="M559" s="48" t="str">
        <f t="shared" si="118"/>
        <v/>
      </c>
      <c r="N559" s="54" t="str">
        <f t="shared" si="119"/>
        <v/>
      </c>
      <c r="O559" s="55">
        <f t="shared" si="120"/>
        <v>0</v>
      </c>
      <c r="P559" s="55">
        <f t="shared" si="121"/>
        <v>0</v>
      </c>
      <c r="Q559" s="54">
        <f t="shared" si="122"/>
        <v>0</v>
      </c>
      <c r="R559" s="203"/>
      <c r="T559" s="57"/>
      <c r="U559" s="45"/>
      <c r="V559" s="46">
        <f>IF(U559&lt;&gt;"",VLOOKUP(U559,'Tipo Projeto'!$A$3:$B$35,2,0),0)</f>
        <v>0</v>
      </c>
      <c r="W559" s="203"/>
      <c r="X559" s="49"/>
      <c r="Y559" s="50"/>
      <c r="Z559" s="51"/>
      <c r="AA559" s="52"/>
      <c r="AB559" s="53" t="str">
        <f t="shared" si="123"/>
        <v/>
      </c>
      <c r="AC559" s="48" t="str">
        <f t="shared" si="124"/>
        <v/>
      </c>
      <c r="AD559" s="54" t="str">
        <f t="shared" si="125"/>
        <v/>
      </c>
      <c r="AE559" s="55">
        <f t="shared" si="126"/>
        <v>0</v>
      </c>
      <c r="AF559" s="55">
        <f t="shared" si="127"/>
        <v>0</v>
      </c>
      <c r="AG559" s="58">
        <f t="shared" si="128"/>
        <v>0</v>
      </c>
      <c r="AH559" s="203"/>
      <c r="AJ559" s="203"/>
      <c r="AL559" s="203"/>
      <c r="AM559" s="203" t="str">
        <f t="shared" si="129"/>
        <v/>
      </c>
    </row>
    <row r="560" spans="1:39" s="56" customFormat="1" ht="14.25">
      <c r="A560" s="44"/>
      <c r="B560" s="45"/>
      <c r="C560" s="46">
        <f>IF(B560&lt;&gt;"",VLOOKUP(B560,'Tipo Projeto'!$A$3:$B$35,2,0),0)</f>
        <v>0</v>
      </c>
      <c r="D560" s="203"/>
      <c r="E560" s="203"/>
      <c r="F560" s="48"/>
      <c r="G560" s="203"/>
      <c r="H560" s="49"/>
      <c r="I560" s="50"/>
      <c r="J560" s="51"/>
      <c r="K560" s="52"/>
      <c r="L560" s="53" t="str">
        <f t="shared" si="117"/>
        <v/>
      </c>
      <c r="M560" s="48" t="str">
        <f t="shared" si="118"/>
        <v/>
      </c>
      <c r="N560" s="54" t="str">
        <f t="shared" si="119"/>
        <v/>
      </c>
      <c r="O560" s="55">
        <f t="shared" si="120"/>
        <v>0</v>
      </c>
      <c r="P560" s="55">
        <f t="shared" si="121"/>
        <v>0</v>
      </c>
      <c r="Q560" s="54">
        <f t="shared" si="122"/>
        <v>0</v>
      </c>
      <c r="R560" s="203"/>
      <c r="T560" s="57"/>
      <c r="U560" s="45"/>
      <c r="V560" s="46">
        <f>IF(U560&lt;&gt;"",VLOOKUP(U560,'Tipo Projeto'!$A$3:$B$35,2,0),0)</f>
        <v>0</v>
      </c>
      <c r="W560" s="203"/>
      <c r="X560" s="49"/>
      <c r="Y560" s="50"/>
      <c r="Z560" s="51"/>
      <c r="AA560" s="52"/>
      <c r="AB560" s="53" t="str">
        <f t="shared" si="123"/>
        <v/>
      </c>
      <c r="AC560" s="48" t="str">
        <f t="shared" si="124"/>
        <v/>
      </c>
      <c r="AD560" s="54" t="str">
        <f t="shared" si="125"/>
        <v/>
      </c>
      <c r="AE560" s="55">
        <f t="shared" si="126"/>
        <v>0</v>
      </c>
      <c r="AF560" s="55">
        <f t="shared" si="127"/>
        <v>0</v>
      </c>
      <c r="AG560" s="58">
        <f t="shared" si="128"/>
        <v>0</v>
      </c>
      <c r="AH560" s="203"/>
      <c r="AJ560" s="203"/>
      <c r="AL560" s="203"/>
      <c r="AM560" s="203" t="str">
        <f t="shared" si="129"/>
        <v/>
      </c>
    </row>
    <row r="561" spans="1:39" s="56" customFormat="1" ht="14.25">
      <c r="A561" s="44"/>
      <c r="B561" s="45"/>
      <c r="C561" s="46">
        <f>IF(B561&lt;&gt;"",VLOOKUP(B561,'Tipo Projeto'!$A$3:$B$35,2,0),0)</f>
        <v>0</v>
      </c>
      <c r="D561" s="203"/>
      <c r="E561" s="203"/>
      <c r="F561" s="48"/>
      <c r="G561" s="203"/>
      <c r="H561" s="49"/>
      <c r="I561" s="50"/>
      <c r="J561" s="51"/>
      <c r="K561" s="52"/>
      <c r="L561" s="53" t="str">
        <f t="shared" si="117"/>
        <v/>
      </c>
      <c r="M561" s="48" t="str">
        <f t="shared" si="118"/>
        <v/>
      </c>
      <c r="N561" s="54" t="str">
        <f t="shared" si="119"/>
        <v/>
      </c>
      <c r="O561" s="55">
        <f t="shared" si="120"/>
        <v>0</v>
      </c>
      <c r="P561" s="55">
        <f t="shared" si="121"/>
        <v>0</v>
      </c>
      <c r="Q561" s="54">
        <f t="shared" si="122"/>
        <v>0</v>
      </c>
      <c r="R561" s="203"/>
      <c r="T561" s="57"/>
      <c r="U561" s="45"/>
      <c r="V561" s="46">
        <f>IF(U561&lt;&gt;"",VLOOKUP(U561,'Tipo Projeto'!$A$3:$B$35,2,0),0)</f>
        <v>0</v>
      </c>
      <c r="W561" s="203"/>
      <c r="X561" s="49"/>
      <c r="Y561" s="50"/>
      <c r="Z561" s="51"/>
      <c r="AA561" s="52"/>
      <c r="AB561" s="53" t="str">
        <f t="shared" si="123"/>
        <v/>
      </c>
      <c r="AC561" s="48" t="str">
        <f t="shared" si="124"/>
        <v/>
      </c>
      <c r="AD561" s="54" t="str">
        <f t="shared" si="125"/>
        <v/>
      </c>
      <c r="AE561" s="55">
        <f t="shared" si="126"/>
        <v>0</v>
      </c>
      <c r="AF561" s="55">
        <f t="shared" si="127"/>
        <v>0</v>
      </c>
      <c r="AG561" s="58">
        <f t="shared" si="128"/>
        <v>0</v>
      </c>
      <c r="AH561" s="203"/>
      <c r="AJ561" s="203"/>
      <c r="AL561" s="203"/>
      <c r="AM561" s="203" t="str">
        <f t="shared" si="129"/>
        <v/>
      </c>
    </row>
    <row r="562" spans="1:39" s="56" customFormat="1" ht="14.25">
      <c r="A562" s="44"/>
      <c r="B562" s="45"/>
      <c r="C562" s="46">
        <f>IF(B562&lt;&gt;"",VLOOKUP(B562,'Tipo Projeto'!$A$3:$B$35,2,0),0)</f>
        <v>0</v>
      </c>
      <c r="D562" s="203"/>
      <c r="E562" s="203"/>
      <c r="F562" s="48"/>
      <c r="G562" s="203"/>
      <c r="H562" s="49"/>
      <c r="I562" s="50"/>
      <c r="J562" s="51"/>
      <c r="K562" s="52"/>
      <c r="L562" s="53" t="str">
        <f t="shared" si="117"/>
        <v/>
      </c>
      <c r="M562" s="48" t="str">
        <f t="shared" si="118"/>
        <v/>
      </c>
      <c r="N562" s="54" t="str">
        <f t="shared" si="119"/>
        <v/>
      </c>
      <c r="O562" s="55">
        <f t="shared" si="120"/>
        <v>0</v>
      </c>
      <c r="P562" s="55">
        <f t="shared" si="121"/>
        <v>0</v>
      </c>
      <c r="Q562" s="54">
        <f t="shared" si="122"/>
        <v>0</v>
      </c>
      <c r="R562" s="203"/>
      <c r="T562" s="57"/>
      <c r="U562" s="45"/>
      <c r="V562" s="46">
        <f>IF(U562&lt;&gt;"",VLOOKUP(U562,'Tipo Projeto'!$A$3:$B$35,2,0),0)</f>
        <v>0</v>
      </c>
      <c r="W562" s="203"/>
      <c r="X562" s="49"/>
      <c r="Y562" s="50"/>
      <c r="Z562" s="51"/>
      <c r="AA562" s="52"/>
      <c r="AB562" s="53" t="str">
        <f t="shared" si="123"/>
        <v/>
      </c>
      <c r="AC562" s="48" t="str">
        <f t="shared" si="124"/>
        <v/>
      </c>
      <c r="AD562" s="54" t="str">
        <f t="shared" si="125"/>
        <v/>
      </c>
      <c r="AE562" s="55">
        <f t="shared" si="126"/>
        <v>0</v>
      </c>
      <c r="AF562" s="55">
        <f t="shared" si="127"/>
        <v>0</v>
      </c>
      <c r="AG562" s="58">
        <f t="shared" si="128"/>
        <v>0</v>
      </c>
      <c r="AH562" s="203"/>
      <c r="AJ562" s="203"/>
      <c r="AL562" s="203"/>
      <c r="AM562" s="203" t="str">
        <f t="shared" si="129"/>
        <v/>
      </c>
    </row>
    <row r="563" spans="1:39" s="56" customFormat="1" ht="14.25">
      <c r="A563" s="44"/>
      <c r="B563" s="45"/>
      <c r="C563" s="46">
        <f>IF(B563&lt;&gt;"",VLOOKUP(B563,'Tipo Projeto'!$A$3:$B$35,2,0),0)</f>
        <v>0</v>
      </c>
      <c r="D563" s="203"/>
      <c r="E563" s="203"/>
      <c r="F563" s="48"/>
      <c r="G563" s="203"/>
      <c r="H563" s="49"/>
      <c r="I563" s="50"/>
      <c r="J563" s="51"/>
      <c r="K563" s="52"/>
      <c r="L563" s="53" t="str">
        <f t="shared" si="117"/>
        <v/>
      </c>
      <c r="M563" s="48" t="str">
        <f t="shared" si="118"/>
        <v/>
      </c>
      <c r="N563" s="54" t="str">
        <f t="shared" si="119"/>
        <v/>
      </c>
      <c r="O563" s="55">
        <f t="shared" si="120"/>
        <v>0</v>
      </c>
      <c r="P563" s="55">
        <f t="shared" si="121"/>
        <v>0</v>
      </c>
      <c r="Q563" s="54">
        <f t="shared" si="122"/>
        <v>0</v>
      </c>
      <c r="R563" s="203"/>
      <c r="T563" s="57"/>
      <c r="U563" s="45"/>
      <c r="V563" s="46">
        <f>IF(U563&lt;&gt;"",VLOOKUP(U563,'Tipo Projeto'!$A$3:$B$35,2,0),0)</f>
        <v>0</v>
      </c>
      <c r="W563" s="203"/>
      <c r="X563" s="49"/>
      <c r="Y563" s="50"/>
      <c r="Z563" s="51"/>
      <c r="AA563" s="52"/>
      <c r="AB563" s="53" t="str">
        <f t="shared" si="123"/>
        <v/>
      </c>
      <c r="AC563" s="48" t="str">
        <f t="shared" si="124"/>
        <v/>
      </c>
      <c r="AD563" s="54" t="str">
        <f t="shared" si="125"/>
        <v/>
      </c>
      <c r="AE563" s="55">
        <f t="shared" si="126"/>
        <v>0</v>
      </c>
      <c r="AF563" s="55">
        <f t="shared" si="127"/>
        <v>0</v>
      </c>
      <c r="AG563" s="58">
        <f t="shared" si="128"/>
        <v>0</v>
      </c>
      <c r="AH563" s="203"/>
      <c r="AJ563" s="203"/>
      <c r="AL563" s="203"/>
      <c r="AM563" s="203" t="str">
        <f t="shared" si="129"/>
        <v/>
      </c>
    </row>
    <row r="564" spans="1:39" s="56" customFormat="1" ht="14.25">
      <c r="A564" s="44"/>
      <c r="B564" s="45"/>
      <c r="C564" s="46">
        <f>IF(B564&lt;&gt;"",VLOOKUP(B564,'Tipo Projeto'!$A$3:$B$35,2,0),0)</f>
        <v>0</v>
      </c>
      <c r="D564" s="203"/>
      <c r="E564" s="203"/>
      <c r="F564" s="48"/>
      <c r="G564" s="203"/>
      <c r="H564" s="49"/>
      <c r="I564" s="50"/>
      <c r="J564" s="51"/>
      <c r="K564" s="52"/>
      <c r="L564" s="53" t="str">
        <f t="shared" si="117"/>
        <v/>
      </c>
      <c r="M564" s="48" t="str">
        <f t="shared" si="118"/>
        <v/>
      </c>
      <c r="N564" s="54" t="str">
        <f t="shared" si="119"/>
        <v/>
      </c>
      <c r="O564" s="55">
        <f t="shared" si="120"/>
        <v>0</v>
      </c>
      <c r="P564" s="55">
        <f t="shared" si="121"/>
        <v>0</v>
      </c>
      <c r="Q564" s="54">
        <f t="shared" si="122"/>
        <v>0</v>
      </c>
      <c r="R564" s="203"/>
      <c r="T564" s="57"/>
      <c r="U564" s="45"/>
      <c r="V564" s="46">
        <f>IF(U564&lt;&gt;"",VLOOKUP(U564,'Tipo Projeto'!$A$3:$B$35,2,0),0)</f>
        <v>0</v>
      </c>
      <c r="W564" s="203"/>
      <c r="X564" s="49"/>
      <c r="Y564" s="50"/>
      <c r="Z564" s="51"/>
      <c r="AA564" s="52"/>
      <c r="AB564" s="53" t="str">
        <f t="shared" si="123"/>
        <v/>
      </c>
      <c r="AC564" s="48" t="str">
        <f t="shared" si="124"/>
        <v/>
      </c>
      <c r="AD564" s="54" t="str">
        <f t="shared" si="125"/>
        <v/>
      </c>
      <c r="AE564" s="55">
        <f t="shared" si="126"/>
        <v>0</v>
      </c>
      <c r="AF564" s="55">
        <f t="shared" si="127"/>
        <v>0</v>
      </c>
      <c r="AG564" s="58">
        <f t="shared" si="128"/>
        <v>0</v>
      </c>
      <c r="AH564" s="203"/>
      <c r="AJ564" s="203"/>
      <c r="AL564" s="203"/>
      <c r="AM564" s="203" t="str">
        <f t="shared" si="129"/>
        <v/>
      </c>
    </row>
    <row r="565" spans="1:39" s="56" customFormat="1" ht="14.25">
      <c r="A565" s="44"/>
      <c r="B565" s="45"/>
      <c r="C565" s="46">
        <f>IF(B565&lt;&gt;"",VLOOKUP(B565,'Tipo Projeto'!$A$3:$B$35,2,0),0)</f>
        <v>0</v>
      </c>
      <c r="D565" s="203"/>
      <c r="E565" s="203"/>
      <c r="F565" s="48"/>
      <c r="G565" s="203"/>
      <c r="H565" s="49"/>
      <c r="I565" s="50"/>
      <c r="J565" s="51"/>
      <c r="K565" s="52"/>
      <c r="L565" s="53" t="str">
        <f t="shared" si="117"/>
        <v/>
      </c>
      <c r="M565" s="48" t="str">
        <f t="shared" si="118"/>
        <v/>
      </c>
      <c r="N565" s="54" t="str">
        <f t="shared" si="119"/>
        <v/>
      </c>
      <c r="O565" s="55">
        <f t="shared" si="120"/>
        <v>0</v>
      </c>
      <c r="P565" s="55">
        <f t="shared" si="121"/>
        <v>0</v>
      </c>
      <c r="Q565" s="54">
        <f t="shared" si="122"/>
        <v>0</v>
      </c>
      <c r="R565" s="203"/>
      <c r="T565" s="57"/>
      <c r="U565" s="45"/>
      <c r="V565" s="46">
        <f>IF(U565&lt;&gt;"",VLOOKUP(U565,'Tipo Projeto'!$A$3:$B$35,2,0),0)</f>
        <v>0</v>
      </c>
      <c r="W565" s="203"/>
      <c r="X565" s="49"/>
      <c r="Y565" s="50"/>
      <c r="Z565" s="51"/>
      <c r="AA565" s="52"/>
      <c r="AB565" s="53" t="str">
        <f t="shared" si="123"/>
        <v/>
      </c>
      <c r="AC565" s="48" t="str">
        <f t="shared" si="124"/>
        <v/>
      </c>
      <c r="AD565" s="54" t="str">
        <f t="shared" si="125"/>
        <v/>
      </c>
      <c r="AE565" s="55">
        <f t="shared" si="126"/>
        <v>0</v>
      </c>
      <c r="AF565" s="55">
        <f t="shared" si="127"/>
        <v>0</v>
      </c>
      <c r="AG565" s="58">
        <f t="shared" si="128"/>
        <v>0</v>
      </c>
      <c r="AH565" s="203"/>
      <c r="AJ565" s="203"/>
      <c r="AL565" s="203"/>
      <c r="AM565" s="203" t="str">
        <f t="shared" si="129"/>
        <v/>
      </c>
    </row>
    <row r="566" spans="1:39" s="56" customFormat="1" ht="14.25">
      <c r="A566" s="44"/>
      <c r="B566" s="45"/>
      <c r="C566" s="46">
        <f>IF(B566&lt;&gt;"",VLOOKUP(B566,'Tipo Projeto'!$A$3:$B$35,2,0),0)</f>
        <v>0</v>
      </c>
      <c r="D566" s="203"/>
      <c r="E566" s="203"/>
      <c r="F566" s="48"/>
      <c r="G566" s="203"/>
      <c r="H566" s="49"/>
      <c r="I566" s="50"/>
      <c r="J566" s="51"/>
      <c r="K566" s="52"/>
      <c r="L566" s="53" t="str">
        <f t="shared" si="117"/>
        <v/>
      </c>
      <c r="M566" s="48" t="str">
        <f t="shared" si="118"/>
        <v/>
      </c>
      <c r="N566" s="54" t="str">
        <f t="shared" si="119"/>
        <v/>
      </c>
      <c r="O566" s="55">
        <f t="shared" si="120"/>
        <v>0</v>
      </c>
      <c r="P566" s="55">
        <f t="shared" si="121"/>
        <v>0</v>
      </c>
      <c r="Q566" s="54">
        <f t="shared" si="122"/>
        <v>0</v>
      </c>
      <c r="R566" s="203"/>
      <c r="T566" s="57"/>
      <c r="U566" s="45"/>
      <c r="V566" s="46">
        <f>IF(U566&lt;&gt;"",VLOOKUP(U566,'Tipo Projeto'!$A$3:$B$35,2,0),0)</f>
        <v>0</v>
      </c>
      <c r="W566" s="203"/>
      <c r="X566" s="49"/>
      <c r="Y566" s="50"/>
      <c r="Z566" s="51"/>
      <c r="AA566" s="52"/>
      <c r="AB566" s="53" t="str">
        <f t="shared" si="123"/>
        <v/>
      </c>
      <c r="AC566" s="48" t="str">
        <f t="shared" si="124"/>
        <v/>
      </c>
      <c r="AD566" s="54" t="str">
        <f t="shared" si="125"/>
        <v/>
      </c>
      <c r="AE566" s="55">
        <f t="shared" si="126"/>
        <v>0</v>
      </c>
      <c r="AF566" s="55">
        <f t="shared" si="127"/>
        <v>0</v>
      </c>
      <c r="AG566" s="58">
        <f t="shared" si="128"/>
        <v>0</v>
      </c>
      <c r="AH566" s="203"/>
      <c r="AJ566" s="203"/>
      <c r="AL566" s="203"/>
      <c r="AM566" s="203" t="str">
        <f t="shared" si="129"/>
        <v/>
      </c>
    </row>
    <row r="567" spans="1:39" s="56" customFormat="1" ht="14.25">
      <c r="A567" s="44"/>
      <c r="B567" s="45"/>
      <c r="C567" s="46">
        <f>IF(B567&lt;&gt;"",VLOOKUP(B567,'Tipo Projeto'!$A$3:$B$35,2,0),0)</f>
        <v>0</v>
      </c>
      <c r="D567" s="203"/>
      <c r="E567" s="203"/>
      <c r="F567" s="48"/>
      <c r="G567" s="203"/>
      <c r="H567" s="49"/>
      <c r="I567" s="50"/>
      <c r="J567" s="51"/>
      <c r="K567" s="52"/>
      <c r="L567" s="53" t="str">
        <f t="shared" si="117"/>
        <v/>
      </c>
      <c r="M567" s="48" t="str">
        <f t="shared" si="118"/>
        <v/>
      </c>
      <c r="N567" s="54" t="str">
        <f t="shared" si="119"/>
        <v/>
      </c>
      <c r="O567" s="55">
        <f t="shared" si="120"/>
        <v>0</v>
      </c>
      <c r="P567" s="55">
        <f t="shared" si="121"/>
        <v>0</v>
      </c>
      <c r="Q567" s="54">
        <f t="shared" si="122"/>
        <v>0</v>
      </c>
      <c r="R567" s="203"/>
      <c r="T567" s="57"/>
      <c r="U567" s="45"/>
      <c r="V567" s="46">
        <f>IF(U567&lt;&gt;"",VLOOKUP(U567,'Tipo Projeto'!$A$3:$B$35,2,0),0)</f>
        <v>0</v>
      </c>
      <c r="W567" s="203"/>
      <c r="X567" s="49"/>
      <c r="Y567" s="50"/>
      <c r="Z567" s="51"/>
      <c r="AA567" s="52"/>
      <c r="AB567" s="53" t="str">
        <f t="shared" si="123"/>
        <v/>
      </c>
      <c r="AC567" s="48" t="str">
        <f t="shared" si="124"/>
        <v/>
      </c>
      <c r="AD567" s="54" t="str">
        <f t="shared" si="125"/>
        <v/>
      </c>
      <c r="AE567" s="55">
        <f t="shared" si="126"/>
        <v>0</v>
      </c>
      <c r="AF567" s="55">
        <f t="shared" si="127"/>
        <v>0</v>
      </c>
      <c r="AG567" s="58">
        <f t="shared" si="128"/>
        <v>0</v>
      </c>
      <c r="AH567" s="203"/>
      <c r="AJ567" s="203"/>
      <c r="AL567" s="203"/>
      <c r="AM567" s="203" t="str">
        <f t="shared" si="129"/>
        <v/>
      </c>
    </row>
    <row r="568" spans="1:39" s="56" customFormat="1" ht="14.25">
      <c r="A568" s="44"/>
      <c r="B568" s="45"/>
      <c r="C568" s="46">
        <f>IF(B568&lt;&gt;"",VLOOKUP(B568,'Tipo Projeto'!$A$3:$B$35,2,0),0)</f>
        <v>0</v>
      </c>
      <c r="D568" s="203"/>
      <c r="E568" s="203"/>
      <c r="F568" s="48"/>
      <c r="G568" s="203"/>
      <c r="H568" s="49"/>
      <c r="I568" s="50"/>
      <c r="J568" s="51"/>
      <c r="K568" s="52"/>
      <c r="L568" s="53" t="str">
        <f t="shared" si="117"/>
        <v/>
      </c>
      <c r="M568" s="48" t="str">
        <f t="shared" si="118"/>
        <v/>
      </c>
      <c r="N568" s="54" t="str">
        <f t="shared" si="119"/>
        <v/>
      </c>
      <c r="O568" s="55">
        <f t="shared" si="120"/>
        <v>0</v>
      </c>
      <c r="P568" s="55">
        <f t="shared" si="121"/>
        <v>0</v>
      </c>
      <c r="Q568" s="54">
        <f t="shared" si="122"/>
        <v>0</v>
      </c>
      <c r="R568" s="203"/>
      <c r="T568" s="57"/>
      <c r="U568" s="45"/>
      <c r="V568" s="46">
        <f>IF(U568&lt;&gt;"",VLOOKUP(U568,'Tipo Projeto'!$A$3:$B$35,2,0),0)</f>
        <v>0</v>
      </c>
      <c r="W568" s="203"/>
      <c r="X568" s="49"/>
      <c r="Y568" s="50"/>
      <c r="Z568" s="51"/>
      <c r="AA568" s="52"/>
      <c r="AB568" s="53" t="str">
        <f t="shared" si="123"/>
        <v/>
      </c>
      <c r="AC568" s="48" t="str">
        <f t="shared" si="124"/>
        <v/>
      </c>
      <c r="AD568" s="54" t="str">
        <f t="shared" si="125"/>
        <v/>
      </c>
      <c r="AE568" s="55">
        <f t="shared" si="126"/>
        <v>0</v>
      </c>
      <c r="AF568" s="55">
        <f t="shared" si="127"/>
        <v>0</v>
      </c>
      <c r="AG568" s="58">
        <f t="shared" si="128"/>
        <v>0</v>
      </c>
      <c r="AH568" s="203"/>
      <c r="AJ568" s="203"/>
      <c r="AL568" s="203"/>
      <c r="AM568" s="203" t="str">
        <f t="shared" si="129"/>
        <v/>
      </c>
    </row>
    <row r="569" spans="1:39" s="56" customFormat="1" ht="14.25">
      <c r="A569" s="44"/>
      <c r="B569" s="45"/>
      <c r="C569" s="46">
        <f>IF(B569&lt;&gt;"",VLOOKUP(B569,'Tipo Projeto'!$A$3:$B$35,2,0),0)</f>
        <v>0</v>
      </c>
      <c r="D569" s="203"/>
      <c r="E569" s="203"/>
      <c r="F569" s="48"/>
      <c r="G569" s="203"/>
      <c r="H569" s="49"/>
      <c r="I569" s="50"/>
      <c r="J569" s="51"/>
      <c r="K569" s="52"/>
      <c r="L569" s="53" t="str">
        <f t="shared" si="117"/>
        <v/>
      </c>
      <c r="M569" s="48" t="str">
        <f t="shared" si="118"/>
        <v/>
      </c>
      <c r="N569" s="54" t="str">
        <f t="shared" si="119"/>
        <v/>
      </c>
      <c r="O569" s="55">
        <f t="shared" si="120"/>
        <v>0</v>
      </c>
      <c r="P569" s="55">
        <f t="shared" si="121"/>
        <v>0</v>
      </c>
      <c r="Q569" s="54">
        <f t="shared" si="122"/>
        <v>0</v>
      </c>
      <c r="R569" s="203"/>
      <c r="T569" s="57"/>
      <c r="U569" s="45"/>
      <c r="V569" s="46">
        <f>IF(U569&lt;&gt;"",VLOOKUP(U569,'Tipo Projeto'!$A$3:$B$35,2,0),0)</f>
        <v>0</v>
      </c>
      <c r="W569" s="203"/>
      <c r="X569" s="49"/>
      <c r="Y569" s="50"/>
      <c r="Z569" s="51"/>
      <c r="AA569" s="52"/>
      <c r="AB569" s="53" t="str">
        <f t="shared" si="123"/>
        <v/>
      </c>
      <c r="AC569" s="48" t="str">
        <f t="shared" si="124"/>
        <v/>
      </c>
      <c r="AD569" s="54" t="str">
        <f t="shared" si="125"/>
        <v/>
      </c>
      <c r="AE569" s="55">
        <f t="shared" si="126"/>
        <v>0</v>
      </c>
      <c r="AF569" s="55">
        <f t="shared" si="127"/>
        <v>0</v>
      </c>
      <c r="AG569" s="58">
        <f t="shared" si="128"/>
        <v>0</v>
      </c>
      <c r="AH569" s="203"/>
      <c r="AJ569" s="203"/>
      <c r="AL569" s="203"/>
      <c r="AM569" s="203" t="str">
        <f t="shared" si="129"/>
        <v/>
      </c>
    </row>
    <row r="570" spans="1:39" s="56" customFormat="1" ht="14.25">
      <c r="A570" s="44"/>
      <c r="B570" s="45"/>
      <c r="C570" s="46">
        <f>IF(B570&lt;&gt;"",VLOOKUP(B570,'Tipo Projeto'!$A$3:$B$35,2,0),0)</f>
        <v>0</v>
      </c>
      <c r="D570" s="203"/>
      <c r="E570" s="203"/>
      <c r="F570" s="48"/>
      <c r="G570" s="203"/>
      <c r="H570" s="49"/>
      <c r="I570" s="50"/>
      <c r="J570" s="51"/>
      <c r="K570" s="52"/>
      <c r="L570" s="53" t="str">
        <f t="shared" si="117"/>
        <v/>
      </c>
      <c r="M570" s="48" t="str">
        <f t="shared" si="118"/>
        <v/>
      </c>
      <c r="N570" s="54" t="str">
        <f t="shared" si="119"/>
        <v/>
      </c>
      <c r="O570" s="55">
        <f t="shared" si="120"/>
        <v>0</v>
      </c>
      <c r="P570" s="55">
        <f t="shared" si="121"/>
        <v>0</v>
      </c>
      <c r="Q570" s="54">
        <f t="shared" si="122"/>
        <v>0</v>
      </c>
      <c r="R570" s="203"/>
      <c r="T570" s="57"/>
      <c r="U570" s="45"/>
      <c r="V570" s="46">
        <f>IF(U570&lt;&gt;"",VLOOKUP(U570,'Tipo Projeto'!$A$3:$B$35,2,0),0)</f>
        <v>0</v>
      </c>
      <c r="W570" s="203"/>
      <c r="X570" s="49"/>
      <c r="Y570" s="50"/>
      <c r="Z570" s="51"/>
      <c r="AA570" s="52"/>
      <c r="AB570" s="53" t="str">
        <f t="shared" si="123"/>
        <v/>
      </c>
      <c r="AC570" s="48" t="str">
        <f t="shared" si="124"/>
        <v/>
      </c>
      <c r="AD570" s="54" t="str">
        <f t="shared" si="125"/>
        <v/>
      </c>
      <c r="AE570" s="55">
        <f t="shared" si="126"/>
        <v>0</v>
      </c>
      <c r="AF570" s="55">
        <f t="shared" si="127"/>
        <v>0</v>
      </c>
      <c r="AG570" s="58">
        <f t="shared" si="128"/>
        <v>0</v>
      </c>
      <c r="AH570" s="203"/>
      <c r="AJ570" s="203"/>
      <c r="AL570" s="203"/>
      <c r="AM570" s="203" t="str">
        <f t="shared" si="129"/>
        <v/>
      </c>
    </row>
    <row r="571" spans="1:39" s="56" customFormat="1" ht="14.25">
      <c r="A571" s="44"/>
      <c r="B571" s="45"/>
      <c r="C571" s="46">
        <f>IF(B571&lt;&gt;"",VLOOKUP(B571,'Tipo Projeto'!$A$3:$B$35,2,0),0)</f>
        <v>0</v>
      </c>
      <c r="D571" s="203"/>
      <c r="E571" s="203"/>
      <c r="F571" s="48"/>
      <c r="G571" s="203"/>
      <c r="H571" s="49"/>
      <c r="I571" s="50"/>
      <c r="J571" s="51"/>
      <c r="K571" s="52"/>
      <c r="L571" s="53" t="str">
        <f t="shared" si="117"/>
        <v/>
      </c>
      <c r="M571" s="48" t="str">
        <f t="shared" si="118"/>
        <v/>
      </c>
      <c r="N571" s="54" t="str">
        <f t="shared" si="119"/>
        <v/>
      </c>
      <c r="O571" s="55">
        <f t="shared" si="120"/>
        <v>0</v>
      </c>
      <c r="P571" s="55">
        <f t="shared" si="121"/>
        <v>0</v>
      </c>
      <c r="Q571" s="54">
        <f t="shared" si="122"/>
        <v>0</v>
      </c>
      <c r="R571" s="203"/>
      <c r="T571" s="57"/>
      <c r="U571" s="45"/>
      <c r="V571" s="46">
        <f>IF(U571&lt;&gt;"",VLOOKUP(U571,'Tipo Projeto'!$A$3:$B$35,2,0),0)</f>
        <v>0</v>
      </c>
      <c r="W571" s="203"/>
      <c r="X571" s="49"/>
      <c r="Y571" s="50"/>
      <c r="Z571" s="51"/>
      <c r="AA571" s="52"/>
      <c r="AB571" s="53" t="str">
        <f t="shared" si="123"/>
        <v/>
      </c>
      <c r="AC571" s="48" t="str">
        <f t="shared" si="124"/>
        <v/>
      </c>
      <c r="AD571" s="54" t="str">
        <f t="shared" si="125"/>
        <v/>
      </c>
      <c r="AE571" s="55">
        <f t="shared" si="126"/>
        <v>0</v>
      </c>
      <c r="AF571" s="55">
        <f t="shared" si="127"/>
        <v>0</v>
      </c>
      <c r="AG571" s="58">
        <f t="shared" si="128"/>
        <v>0</v>
      </c>
      <c r="AH571" s="203"/>
      <c r="AJ571" s="203"/>
      <c r="AL571" s="203"/>
      <c r="AM571" s="203" t="str">
        <f t="shared" si="129"/>
        <v/>
      </c>
    </row>
    <row r="572" spans="1:39" s="56" customFormat="1" ht="14.25">
      <c r="A572" s="44"/>
      <c r="B572" s="45"/>
      <c r="C572" s="46">
        <f>IF(B572&lt;&gt;"",VLOOKUP(B572,'Tipo Projeto'!$A$3:$B$35,2,0),0)</f>
        <v>0</v>
      </c>
      <c r="D572" s="203"/>
      <c r="E572" s="203"/>
      <c r="F572" s="48"/>
      <c r="G572" s="203"/>
      <c r="H572" s="49"/>
      <c r="I572" s="50"/>
      <c r="J572" s="51"/>
      <c r="K572" s="52"/>
      <c r="L572" s="53" t="str">
        <f t="shared" si="117"/>
        <v/>
      </c>
      <c r="M572" s="48" t="str">
        <f t="shared" si="118"/>
        <v/>
      </c>
      <c r="N572" s="54" t="str">
        <f t="shared" si="119"/>
        <v/>
      </c>
      <c r="O572" s="55">
        <f t="shared" si="120"/>
        <v>0</v>
      </c>
      <c r="P572" s="55">
        <f t="shared" si="121"/>
        <v>0</v>
      </c>
      <c r="Q572" s="54">
        <f t="shared" si="122"/>
        <v>0</v>
      </c>
      <c r="R572" s="203"/>
      <c r="T572" s="57"/>
      <c r="U572" s="45"/>
      <c r="V572" s="46">
        <f>IF(U572&lt;&gt;"",VLOOKUP(U572,'Tipo Projeto'!$A$3:$B$35,2,0),0)</f>
        <v>0</v>
      </c>
      <c r="W572" s="203"/>
      <c r="X572" s="49"/>
      <c r="Y572" s="50"/>
      <c r="Z572" s="51"/>
      <c r="AA572" s="52"/>
      <c r="AB572" s="53" t="str">
        <f t="shared" si="123"/>
        <v/>
      </c>
      <c r="AC572" s="48" t="str">
        <f t="shared" si="124"/>
        <v/>
      </c>
      <c r="AD572" s="54" t="str">
        <f t="shared" si="125"/>
        <v/>
      </c>
      <c r="AE572" s="55">
        <f t="shared" si="126"/>
        <v>0</v>
      </c>
      <c r="AF572" s="55">
        <f t="shared" si="127"/>
        <v>0</v>
      </c>
      <c r="AG572" s="58">
        <f t="shared" si="128"/>
        <v>0</v>
      </c>
      <c r="AH572" s="203"/>
      <c r="AJ572" s="203"/>
      <c r="AL572" s="203"/>
      <c r="AM572" s="203" t="str">
        <f t="shared" si="129"/>
        <v/>
      </c>
    </row>
    <row r="573" spans="1:39" s="56" customFormat="1" ht="14.25">
      <c r="A573" s="44"/>
      <c r="B573" s="45"/>
      <c r="C573" s="46">
        <f>IF(B573&lt;&gt;"",VLOOKUP(B573,'Tipo Projeto'!$A$3:$B$35,2,0),0)</f>
        <v>0</v>
      </c>
      <c r="D573" s="203"/>
      <c r="E573" s="203"/>
      <c r="F573" s="48"/>
      <c r="G573" s="203"/>
      <c r="H573" s="49"/>
      <c r="I573" s="50"/>
      <c r="J573" s="51"/>
      <c r="K573" s="52"/>
      <c r="L573" s="53" t="str">
        <f t="shared" ref="L573:L627" si="130">IF(G573="EE",IF(OR(AND(OR(J573=1,J573=0),H573&gt;0,H573&lt;5),AND(OR(J573=1,J573=0),H573&gt;4,H573&lt;16),AND(J573=2,H573&gt;0,H573&lt;5)),"Simples",IF(OR(AND(OR(J573=1,J573=0),H573&gt;15),AND(J573=2,H573&gt;4,H573&lt;16),AND(J573&gt;2,H573&gt;0,H573&lt;5)),"Médio",IF(OR(AND(J573=2,H573&gt;15),AND(J573&gt;2,H573&gt;4,H573&lt;16),AND(J573&gt;2,H573&gt;15)),"Complexo",""))), IF(OR(G573="CE",G573="SE"),IF(OR(AND(OR(J573=1,J573=0),H573&gt;0,H573&lt;6),AND(OR(J573=1,J573=0),H573&gt;5,H573&lt;20),AND(J573&gt;1,J573&lt;4,H573&gt;0,H573&lt;6)),"Simples",IF(OR(AND(OR(J573=1,J573=0),H573&gt;19),AND(J573&gt;1,J573&lt;4,H573&gt;5,H573&lt;20),AND(J573&gt;3,H573&gt;0,H573&lt;6)),"Médio",IF(OR(AND(J573&gt;1,J573&lt;4,H573&gt;19),AND(J573&gt;3,H573&gt;5,H573&lt;20),AND(J573&gt;3,H573&gt;19)),"Complexo",""))),""))</f>
        <v/>
      </c>
      <c r="M573" s="48" t="str">
        <f t="shared" ref="M573:M627" si="131">IF(G573="ALI",IF(OR(AND(OR(J573=1,J573=0),H573&gt;0,H573&lt;20),AND(OR(J573=1,J573=0),H573&gt;19,H573&lt;51),AND(J573&gt;1,J573&lt;6,H573&gt;0,H573&lt;20)),"Simples",IF(OR(AND(OR(J573=1,J573=0),H573&gt;50),AND(J573&gt;1,J573&lt;6,H573&gt;19,H573&lt;51),AND(J573&gt;5,H573&gt;0,H573&lt;20)),"Médio",IF(OR(AND(J573&gt;1,J573&lt;6,H573&gt;50),AND(J573&gt;5,H573&gt;19,H573&lt;51),AND(J573&gt;5,H573&gt;50)),"Complexo",""))), IF(G573="AIE",IF(OR(AND(OR(J573=1, J573=0),H573&gt;0,H573&lt;20),AND(OR(J573=1, J573=0),H573&gt;19,H573&lt;51),AND(J573&gt;1,J573&lt;6,H573&gt;0,H573&lt;20)),"Simples",IF(OR(AND(OR(J573=1, J573=0),H573&gt;50),AND(J573&gt;1,J573&lt;6,H573&gt;19,H573&lt;51),AND(J573&gt;5,H573&gt;0,H573&lt;20)),"Médio",IF(OR(AND(J573&gt;1,J573&lt;6,H573&gt;50),AND(J573&gt;5,H573&gt;19,H573&lt;51),AND(J573&gt;5,H573&gt;50)),"Complexo",""))),""))</f>
        <v/>
      </c>
      <c r="N573" s="54" t="str">
        <f t="shared" ref="N573:N627" si="132">IF(L573="",M573,IF(M573="",L573,""))</f>
        <v/>
      </c>
      <c r="O573" s="55">
        <f t="shared" ref="O573:O627" si="133">IF(AND(OR(G573="EE",G573="CE"),N573="Simples"),3, IF(AND(OR(G573="EE",G573="CE"),N573="Médio"),4, IF(AND(OR(G573="EE",G573="CE"),N573="Complexo"),6, IF(AND(G573="SE",N573="Simples"),4, IF(AND(G573="SE",N573="Médio"),5, IF(AND(G573="SE",N573="Complexo"),7,0))))))</f>
        <v>0</v>
      </c>
      <c r="P573" s="55">
        <f t="shared" ref="P573:P627" si="134">IF(AND(G573="ALI",M573="Simples"),7, IF(AND(G573="ALI",M573="Médio"),10, IF(AND(G573="ALI",M573="Complexo"),15, IF(AND(G573="AIE",M573="Simples"),5, IF(AND(G573="AIE",M573="Médio"),7, IF(AND(G573="AIE",M573="Complexo"),10,0))))))</f>
        <v>0</v>
      </c>
      <c r="Q573" s="54">
        <f t="shared" ref="Q573:Q627" si="135">IF(B573&lt;&gt;"Manutenção em interface",IF(B573&lt;&gt;"Desenv., Manutenção e Publicação de Páginas Estáticas",(O573+P573)*C573,C573),C573)</f>
        <v>0</v>
      </c>
      <c r="R573" s="203"/>
      <c r="T573" s="57"/>
      <c r="U573" s="45"/>
      <c r="V573" s="46">
        <f>IF(U573&lt;&gt;"",VLOOKUP(U573,'Tipo Projeto'!$A$3:$B$35,2,0),0)</f>
        <v>0</v>
      </c>
      <c r="W573" s="203"/>
      <c r="X573" s="49"/>
      <c r="Y573" s="50"/>
      <c r="Z573" s="51"/>
      <c r="AA573" s="52"/>
      <c r="AB573" s="53" t="str">
        <f t="shared" ref="AB573:AB627" si="136">IF(W573="EE",IF(OR(AND(OR(Z573=1,Z573=0),X573&gt;0,X573&lt;5),AND(OR(Z573=1,Z573=0),X573&gt;4,X573&lt;16),AND(Z573=2,X573&gt;0,X573&lt;5)),"Simples",IF(OR(AND(OR(Z573=1,Z573=0),X573&gt;15),AND(Z573=2,X573&gt;4,X573&lt;16),AND(Z573&gt;2,X573&gt;0,X573&lt;5)),"Médio",IF(OR(AND(Z573=2,X573&gt;15),AND(Z573&gt;2,X573&gt;4,X573&lt;16),AND(Z573&gt;2,X573&gt;15)),"Complexo",""))), IF(OR(W573="CE",W573="SE"),IF(OR(AND(OR(Z573=1,Z573=0),X573&gt;0,X573&lt;6),AND(OR(Z573=1,Z573=0),X573&gt;5,X573&lt;20),AND(Z573&gt;1,Z573&lt;4,X573&gt;0,X573&lt;6)),"Simples",IF(OR(AND(OR(Z573=1,Z573=0),X573&gt;19),AND(Z573&gt;1,Z573&lt;4,X573&gt;5,X573&lt;20),AND(Z573&gt;3,X573&gt;0,X573&lt;6)),"Médio",IF(OR(AND(Z573&gt;1,Z573&lt;4,X573&gt;19),AND(Z573&gt;3,X573&gt;5,X573&lt;20),AND(Z573&gt;3,X573&gt;19)),"Complexo",""))),""))</f>
        <v/>
      </c>
      <c r="AC573" s="48" t="str">
        <f t="shared" ref="AC573:AC627" si="137">IF(W573="ALI",IF(OR(AND(OR(Z573=1,Z573=0),X573&gt;0,X573&lt;20),AND(OR(Z573=1,Z573=0),X573&gt;19,X573&lt;51),AND(Z573&gt;1,Z573&lt;6,X573&gt;0,X573&lt;20)),"Simples",IF(OR(AND(OR(Z573=1,Z573=0),X573&gt;50),AND(Z573&gt;1,Z573&lt;6,X573&gt;19,X573&lt;51),AND(Z573&gt;5,X573&gt;0,X573&lt;20)),"Médio",IF(OR(AND(Z573&gt;1,Z573&lt;6,X573&gt;50),AND(Z573&gt;5,X573&gt;19,X573&lt;51),AND(Z573&gt;5,X573&gt;50)),"Complexo",""))), IF(W573="AIE",IF(OR(AND(OR(Z573=1, Z573=0),X573&gt;0,X573&lt;20),AND(OR(Z573=1, Z573=0),X573&gt;19,X573&lt;51),AND(Z573&gt;1,Z573&lt;6,X573&gt;0,X573&lt;20)),"Simples",IF(OR(AND(OR(Z573=1, Z573=0),X573&gt;50),AND(Z573&gt;1,Z573&lt;6,X573&gt;19,X573&lt;51),AND(Z573&gt;5,X573&gt;0,X573&lt;20)),"Médio",IF(OR(AND(Z573&gt;1,Z573&lt;6,X573&gt;50),AND(Z573&gt;5,X573&gt;19,X573&lt;51),AND(Z573&gt;5,X573&gt;50)),"Complexo",""))),""))</f>
        <v/>
      </c>
      <c r="AD573" s="54" t="str">
        <f t="shared" ref="AD573:AD627" si="138">IF(AB573="",AC573,IF(AC573="",AB573,""))</f>
        <v/>
      </c>
      <c r="AE573" s="55">
        <f t="shared" ref="AE573:AE627" si="139">IF(AND(OR(W573="EE",W573="CE"),AD573="Simples"),3, IF(AND(OR(W573="EE",W573="CE"),AD573="Médio"),4, IF(AND(OR(W573="EE",W573="CE"),AD573="Complexo"),6, IF(AND(W573="SE",AD573="Simples"),4, IF(AND(W573="SE",AD573="Médio"),5, IF(AND(W573="SE",AD573="Complexo"),7,0))))))</f>
        <v>0</v>
      </c>
      <c r="AF573" s="55">
        <f t="shared" ref="AF573:AF627" si="140">IF(AND(W573="ALI",AC573="Simples"),7, IF(AND(W573="ALI",AC573="Médio"),10, IF(AND(W573="ALI",AC573="Complexo"),15, IF(AND(W573="AIE",AC573="Simples"),5, IF(AND(W573="AIE",AC573="Médio"),7, IF(AND(W573="AIE",AC573="Complexo"),10,0))))))</f>
        <v>0</v>
      </c>
      <c r="AG573" s="58">
        <f t="shared" ref="AG573:AG627" si="141">IF(T573="OK",Q573,( IF(U573&lt;&gt;"Manutenção em interface",IF(U573&lt;&gt;"Desenv., Manutenção e Publicação de Páginas Estáticas",(AE573+AF573)*V573,V573),V573)))</f>
        <v>0</v>
      </c>
      <c r="AH573" s="203"/>
      <c r="AJ573" s="203"/>
      <c r="AL573" s="203"/>
      <c r="AM573" s="203" t="str">
        <f t="shared" ref="AM573:AM627" si="142">IF(AG573=0,"",IF(AG573=Q573,"OK","Divergente"))</f>
        <v/>
      </c>
    </row>
    <row r="574" spans="1:39" s="56" customFormat="1" ht="14.25">
      <c r="A574" s="44"/>
      <c r="B574" s="45"/>
      <c r="C574" s="46">
        <f>IF(B574&lt;&gt;"",VLOOKUP(B574,'Tipo Projeto'!$A$3:$B$35,2,0),0)</f>
        <v>0</v>
      </c>
      <c r="D574" s="203"/>
      <c r="E574" s="203"/>
      <c r="F574" s="48"/>
      <c r="G574" s="203"/>
      <c r="H574" s="49"/>
      <c r="I574" s="50"/>
      <c r="J574" s="51"/>
      <c r="K574" s="52"/>
      <c r="L574" s="53" t="str">
        <f t="shared" si="130"/>
        <v/>
      </c>
      <c r="M574" s="48" t="str">
        <f t="shared" si="131"/>
        <v/>
      </c>
      <c r="N574" s="54" t="str">
        <f t="shared" si="132"/>
        <v/>
      </c>
      <c r="O574" s="55">
        <f t="shared" si="133"/>
        <v>0</v>
      </c>
      <c r="P574" s="55">
        <f t="shared" si="134"/>
        <v>0</v>
      </c>
      <c r="Q574" s="54">
        <f t="shared" si="135"/>
        <v>0</v>
      </c>
      <c r="R574" s="203"/>
      <c r="T574" s="57"/>
      <c r="U574" s="45"/>
      <c r="V574" s="46">
        <f>IF(U574&lt;&gt;"",VLOOKUP(U574,'Tipo Projeto'!$A$3:$B$35,2,0),0)</f>
        <v>0</v>
      </c>
      <c r="W574" s="203"/>
      <c r="X574" s="49"/>
      <c r="Y574" s="50"/>
      <c r="Z574" s="51"/>
      <c r="AA574" s="52"/>
      <c r="AB574" s="53" t="str">
        <f t="shared" si="136"/>
        <v/>
      </c>
      <c r="AC574" s="48" t="str">
        <f t="shared" si="137"/>
        <v/>
      </c>
      <c r="AD574" s="54" t="str">
        <f t="shared" si="138"/>
        <v/>
      </c>
      <c r="AE574" s="55">
        <f t="shared" si="139"/>
        <v>0</v>
      </c>
      <c r="AF574" s="55">
        <f t="shared" si="140"/>
        <v>0</v>
      </c>
      <c r="AG574" s="58">
        <f t="shared" si="141"/>
        <v>0</v>
      </c>
      <c r="AH574" s="203"/>
      <c r="AJ574" s="203"/>
      <c r="AL574" s="203"/>
      <c r="AM574" s="203" t="str">
        <f t="shared" si="142"/>
        <v/>
      </c>
    </row>
    <row r="575" spans="1:39" s="56" customFormat="1" ht="14.25">
      <c r="A575" s="44"/>
      <c r="B575" s="45"/>
      <c r="C575" s="46">
        <f>IF(B575&lt;&gt;"",VLOOKUP(B575,'Tipo Projeto'!$A$3:$B$35,2,0),0)</f>
        <v>0</v>
      </c>
      <c r="D575" s="203"/>
      <c r="E575" s="203"/>
      <c r="F575" s="48"/>
      <c r="G575" s="203"/>
      <c r="H575" s="49"/>
      <c r="I575" s="50"/>
      <c r="J575" s="51"/>
      <c r="K575" s="52"/>
      <c r="L575" s="53" t="str">
        <f t="shared" si="130"/>
        <v/>
      </c>
      <c r="M575" s="48" t="str">
        <f t="shared" si="131"/>
        <v/>
      </c>
      <c r="N575" s="54" t="str">
        <f t="shared" si="132"/>
        <v/>
      </c>
      <c r="O575" s="55">
        <f t="shared" si="133"/>
        <v>0</v>
      </c>
      <c r="P575" s="55">
        <f t="shared" si="134"/>
        <v>0</v>
      </c>
      <c r="Q575" s="54">
        <f t="shared" si="135"/>
        <v>0</v>
      </c>
      <c r="R575" s="203"/>
      <c r="T575" s="57"/>
      <c r="U575" s="45"/>
      <c r="V575" s="46">
        <f>IF(U575&lt;&gt;"",VLOOKUP(U575,'Tipo Projeto'!$A$3:$B$35,2,0),0)</f>
        <v>0</v>
      </c>
      <c r="W575" s="203"/>
      <c r="X575" s="49"/>
      <c r="Y575" s="50"/>
      <c r="Z575" s="51"/>
      <c r="AA575" s="52"/>
      <c r="AB575" s="53" t="str">
        <f t="shared" si="136"/>
        <v/>
      </c>
      <c r="AC575" s="48" t="str">
        <f t="shared" si="137"/>
        <v/>
      </c>
      <c r="AD575" s="54" t="str">
        <f t="shared" si="138"/>
        <v/>
      </c>
      <c r="AE575" s="55">
        <f t="shared" si="139"/>
        <v>0</v>
      </c>
      <c r="AF575" s="55">
        <f t="shared" si="140"/>
        <v>0</v>
      </c>
      <c r="AG575" s="58">
        <f t="shared" si="141"/>
        <v>0</v>
      </c>
      <c r="AH575" s="203"/>
      <c r="AJ575" s="203"/>
      <c r="AL575" s="203"/>
      <c r="AM575" s="203" t="str">
        <f t="shared" si="142"/>
        <v/>
      </c>
    </row>
    <row r="576" spans="1:39" s="56" customFormat="1" ht="14.25">
      <c r="A576" s="44"/>
      <c r="B576" s="45"/>
      <c r="C576" s="46">
        <f>IF(B576&lt;&gt;"",VLOOKUP(B576,'Tipo Projeto'!$A$3:$B$35,2,0),0)</f>
        <v>0</v>
      </c>
      <c r="D576" s="203"/>
      <c r="E576" s="203"/>
      <c r="F576" s="48"/>
      <c r="G576" s="203"/>
      <c r="H576" s="49"/>
      <c r="I576" s="50"/>
      <c r="J576" s="51"/>
      <c r="K576" s="52"/>
      <c r="L576" s="53" t="str">
        <f t="shared" si="130"/>
        <v/>
      </c>
      <c r="M576" s="48" t="str">
        <f t="shared" si="131"/>
        <v/>
      </c>
      <c r="N576" s="54" t="str">
        <f t="shared" si="132"/>
        <v/>
      </c>
      <c r="O576" s="55">
        <f t="shared" si="133"/>
        <v>0</v>
      </c>
      <c r="P576" s="55">
        <f t="shared" si="134"/>
        <v>0</v>
      </c>
      <c r="Q576" s="54">
        <f t="shared" si="135"/>
        <v>0</v>
      </c>
      <c r="R576" s="203"/>
      <c r="T576" s="57"/>
      <c r="U576" s="45"/>
      <c r="V576" s="46">
        <f>IF(U576&lt;&gt;"",VLOOKUP(U576,'Tipo Projeto'!$A$3:$B$35,2,0),0)</f>
        <v>0</v>
      </c>
      <c r="W576" s="203"/>
      <c r="X576" s="49"/>
      <c r="Y576" s="50"/>
      <c r="Z576" s="51"/>
      <c r="AA576" s="52"/>
      <c r="AB576" s="53" t="str">
        <f t="shared" si="136"/>
        <v/>
      </c>
      <c r="AC576" s="48" t="str">
        <f t="shared" si="137"/>
        <v/>
      </c>
      <c r="AD576" s="54" t="str">
        <f t="shared" si="138"/>
        <v/>
      </c>
      <c r="AE576" s="55">
        <f t="shared" si="139"/>
        <v>0</v>
      </c>
      <c r="AF576" s="55">
        <f t="shared" si="140"/>
        <v>0</v>
      </c>
      <c r="AG576" s="58">
        <f t="shared" si="141"/>
        <v>0</v>
      </c>
      <c r="AH576" s="203"/>
      <c r="AJ576" s="203"/>
      <c r="AL576" s="203"/>
      <c r="AM576" s="203" t="str">
        <f t="shared" si="142"/>
        <v/>
      </c>
    </row>
    <row r="577" spans="1:39" s="56" customFormat="1" ht="14.25">
      <c r="A577" s="44"/>
      <c r="B577" s="45"/>
      <c r="C577" s="46">
        <f>IF(B577&lt;&gt;"",VLOOKUP(B577,'Tipo Projeto'!$A$3:$B$35,2,0),0)</f>
        <v>0</v>
      </c>
      <c r="D577" s="203"/>
      <c r="E577" s="203"/>
      <c r="F577" s="48"/>
      <c r="G577" s="203"/>
      <c r="H577" s="49"/>
      <c r="I577" s="50"/>
      <c r="J577" s="51"/>
      <c r="K577" s="52"/>
      <c r="L577" s="53" t="str">
        <f t="shared" si="130"/>
        <v/>
      </c>
      <c r="M577" s="48" t="str">
        <f t="shared" si="131"/>
        <v/>
      </c>
      <c r="N577" s="54" t="str">
        <f t="shared" si="132"/>
        <v/>
      </c>
      <c r="O577" s="55">
        <f t="shared" si="133"/>
        <v>0</v>
      </c>
      <c r="P577" s="55">
        <f t="shared" si="134"/>
        <v>0</v>
      </c>
      <c r="Q577" s="54">
        <f t="shared" si="135"/>
        <v>0</v>
      </c>
      <c r="R577" s="203"/>
      <c r="T577" s="57"/>
      <c r="U577" s="45"/>
      <c r="V577" s="46">
        <f>IF(U577&lt;&gt;"",VLOOKUP(U577,'Tipo Projeto'!$A$3:$B$35,2,0),0)</f>
        <v>0</v>
      </c>
      <c r="W577" s="203"/>
      <c r="X577" s="49"/>
      <c r="Y577" s="50"/>
      <c r="Z577" s="51"/>
      <c r="AA577" s="52"/>
      <c r="AB577" s="53" t="str">
        <f t="shared" si="136"/>
        <v/>
      </c>
      <c r="AC577" s="48" t="str">
        <f t="shared" si="137"/>
        <v/>
      </c>
      <c r="AD577" s="54" t="str">
        <f t="shared" si="138"/>
        <v/>
      </c>
      <c r="AE577" s="55">
        <f t="shared" si="139"/>
        <v>0</v>
      </c>
      <c r="AF577" s="55">
        <f t="shared" si="140"/>
        <v>0</v>
      </c>
      <c r="AG577" s="58">
        <f t="shared" si="141"/>
        <v>0</v>
      </c>
      <c r="AH577" s="203"/>
      <c r="AJ577" s="203"/>
      <c r="AL577" s="203"/>
      <c r="AM577" s="203" t="str">
        <f t="shared" si="142"/>
        <v/>
      </c>
    </row>
    <row r="578" spans="1:39" s="56" customFormat="1" ht="14.25">
      <c r="A578" s="44"/>
      <c r="B578" s="45"/>
      <c r="C578" s="46">
        <f>IF(B578&lt;&gt;"",VLOOKUP(B578,'Tipo Projeto'!$A$3:$B$35,2,0),0)</f>
        <v>0</v>
      </c>
      <c r="D578" s="203"/>
      <c r="E578" s="203"/>
      <c r="F578" s="48"/>
      <c r="G578" s="203"/>
      <c r="H578" s="49"/>
      <c r="I578" s="50"/>
      <c r="J578" s="51"/>
      <c r="K578" s="52"/>
      <c r="L578" s="53" t="str">
        <f t="shared" si="130"/>
        <v/>
      </c>
      <c r="M578" s="48" t="str">
        <f t="shared" si="131"/>
        <v/>
      </c>
      <c r="N578" s="54" t="str">
        <f t="shared" si="132"/>
        <v/>
      </c>
      <c r="O578" s="55">
        <f t="shared" si="133"/>
        <v>0</v>
      </c>
      <c r="P578" s="55">
        <f t="shared" si="134"/>
        <v>0</v>
      </c>
      <c r="Q578" s="54">
        <f t="shared" si="135"/>
        <v>0</v>
      </c>
      <c r="R578" s="203"/>
      <c r="T578" s="57"/>
      <c r="U578" s="45"/>
      <c r="V578" s="46">
        <f>IF(U578&lt;&gt;"",VLOOKUP(U578,'Tipo Projeto'!$A$3:$B$35,2,0),0)</f>
        <v>0</v>
      </c>
      <c r="W578" s="203"/>
      <c r="X578" s="49"/>
      <c r="Y578" s="50"/>
      <c r="Z578" s="51"/>
      <c r="AA578" s="52"/>
      <c r="AB578" s="53" t="str">
        <f t="shared" si="136"/>
        <v/>
      </c>
      <c r="AC578" s="48" t="str">
        <f t="shared" si="137"/>
        <v/>
      </c>
      <c r="AD578" s="54" t="str">
        <f t="shared" si="138"/>
        <v/>
      </c>
      <c r="AE578" s="55">
        <f t="shared" si="139"/>
        <v>0</v>
      </c>
      <c r="AF578" s="55">
        <f t="shared" si="140"/>
        <v>0</v>
      </c>
      <c r="AG578" s="58">
        <f t="shared" si="141"/>
        <v>0</v>
      </c>
      <c r="AH578" s="203"/>
      <c r="AJ578" s="203"/>
      <c r="AL578" s="203"/>
      <c r="AM578" s="203" t="str">
        <f t="shared" si="142"/>
        <v/>
      </c>
    </row>
    <row r="579" spans="1:39" s="56" customFormat="1" ht="14.25">
      <c r="A579" s="44"/>
      <c r="B579" s="45"/>
      <c r="C579" s="46">
        <f>IF(B579&lt;&gt;"",VLOOKUP(B579,'Tipo Projeto'!$A$3:$B$35,2,0),0)</f>
        <v>0</v>
      </c>
      <c r="D579" s="203"/>
      <c r="E579" s="203"/>
      <c r="F579" s="48"/>
      <c r="G579" s="203"/>
      <c r="H579" s="49"/>
      <c r="I579" s="50"/>
      <c r="J579" s="51"/>
      <c r="K579" s="52"/>
      <c r="L579" s="53" t="str">
        <f t="shared" si="130"/>
        <v/>
      </c>
      <c r="M579" s="48" t="str">
        <f t="shared" si="131"/>
        <v/>
      </c>
      <c r="N579" s="54" t="str">
        <f t="shared" si="132"/>
        <v/>
      </c>
      <c r="O579" s="55">
        <f t="shared" si="133"/>
        <v>0</v>
      </c>
      <c r="P579" s="55">
        <f t="shared" si="134"/>
        <v>0</v>
      </c>
      <c r="Q579" s="54">
        <f t="shared" si="135"/>
        <v>0</v>
      </c>
      <c r="R579" s="203"/>
      <c r="T579" s="57"/>
      <c r="U579" s="45"/>
      <c r="V579" s="46">
        <f>IF(U579&lt;&gt;"",VLOOKUP(U579,'Tipo Projeto'!$A$3:$B$35,2,0),0)</f>
        <v>0</v>
      </c>
      <c r="W579" s="203"/>
      <c r="X579" s="49"/>
      <c r="Y579" s="50"/>
      <c r="Z579" s="51"/>
      <c r="AA579" s="52"/>
      <c r="AB579" s="53" t="str">
        <f t="shared" si="136"/>
        <v/>
      </c>
      <c r="AC579" s="48" t="str">
        <f t="shared" si="137"/>
        <v/>
      </c>
      <c r="AD579" s="54" t="str">
        <f t="shared" si="138"/>
        <v/>
      </c>
      <c r="AE579" s="55">
        <f t="shared" si="139"/>
        <v>0</v>
      </c>
      <c r="AF579" s="55">
        <f t="shared" si="140"/>
        <v>0</v>
      </c>
      <c r="AG579" s="58">
        <f t="shared" si="141"/>
        <v>0</v>
      </c>
      <c r="AH579" s="203"/>
      <c r="AJ579" s="203"/>
      <c r="AL579" s="203"/>
      <c r="AM579" s="203" t="str">
        <f t="shared" si="142"/>
        <v/>
      </c>
    </row>
    <row r="580" spans="1:39" s="56" customFormat="1" ht="14.25">
      <c r="A580" s="44"/>
      <c r="B580" s="45"/>
      <c r="C580" s="46">
        <f>IF(B580&lt;&gt;"",VLOOKUP(B580,'Tipo Projeto'!$A$3:$B$35,2,0),0)</f>
        <v>0</v>
      </c>
      <c r="D580" s="203"/>
      <c r="E580" s="203"/>
      <c r="F580" s="48"/>
      <c r="G580" s="203"/>
      <c r="H580" s="49"/>
      <c r="I580" s="50"/>
      <c r="J580" s="51"/>
      <c r="K580" s="52"/>
      <c r="L580" s="53" t="str">
        <f t="shared" si="130"/>
        <v/>
      </c>
      <c r="M580" s="48" t="str">
        <f t="shared" si="131"/>
        <v/>
      </c>
      <c r="N580" s="54" t="str">
        <f t="shared" si="132"/>
        <v/>
      </c>
      <c r="O580" s="55">
        <f t="shared" si="133"/>
        <v>0</v>
      </c>
      <c r="P580" s="55">
        <f t="shared" si="134"/>
        <v>0</v>
      </c>
      <c r="Q580" s="54">
        <f t="shared" si="135"/>
        <v>0</v>
      </c>
      <c r="R580" s="203"/>
      <c r="T580" s="57"/>
      <c r="U580" s="45"/>
      <c r="V580" s="46">
        <f>IF(U580&lt;&gt;"",VLOOKUP(U580,'Tipo Projeto'!$A$3:$B$35,2,0),0)</f>
        <v>0</v>
      </c>
      <c r="W580" s="203"/>
      <c r="X580" s="49"/>
      <c r="Y580" s="50"/>
      <c r="Z580" s="51"/>
      <c r="AA580" s="52"/>
      <c r="AB580" s="53" t="str">
        <f t="shared" si="136"/>
        <v/>
      </c>
      <c r="AC580" s="48" t="str">
        <f t="shared" si="137"/>
        <v/>
      </c>
      <c r="AD580" s="54" t="str">
        <f t="shared" si="138"/>
        <v/>
      </c>
      <c r="AE580" s="55">
        <f t="shared" si="139"/>
        <v>0</v>
      </c>
      <c r="AF580" s="55">
        <f t="shared" si="140"/>
        <v>0</v>
      </c>
      <c r="AG580" s="58">
        <f t="shared" si="141"/>
        <v>0</v>
      </c>
      <c r="AH580" s="203"/>
      <c r="AJ580" s="203"/>
      <c r="AL580" s="203"/>
      <c r="AM580" s="203" t="str">
        <f t="shared" si="142"/>
        <v/>
      </c>
    </row>
    <row r="581" spans="1:39" s="56" customFormat="1" ht="14.25">
      <c r="A581" s="44"/>
      <c r="B581" s="45"/>
      <c r="C581" s="46">
        <f>IF(B581&lt;&gt;"",VLOOKUP(B581,'Tipo Projeto'!$A$3:$B$35,2,0),0)</f>
        <v>0</v>
      </c>
      <c r="D581" s="203"/>
      <c r="E581" s="203"/>
      <c r="F581" s="48"/>
      <c r="G581" s="203"/>
      <c r="H581" s="49"/>
      <c r="I581" s="50"/>
      <c r="J581" s="51"/>
      <c r="K581" s="52"/>
      <c r="L581" s="53" t="str">
        <f t="shared" si="130"/>
        <v/>
      </c>
      <c r="M581" s="48" t="str">
        <f t="shared" si="131"/>
        <v/>
      </c>
      <c r="N581" s="54" t="str">
        <f t="shared" si="132"/>
        <v/>
      </c>
      <c r="O581" s="55">
        <f t="shared" si="133"/>
        <v>0</v>
      </c>
      <c r="P581" s="55">
        <f t="shared" si="134"/>
        <v>0</v>
      </c>
      <c r="Q581" s="54">
        <f t="shared" si="135"/>
        <v>0</v>
      </c>
      <c r="R581" s="203"/>
      <c r="T581" s="57"/>
      <c r="U581" s="45"/>
      <c r="V581" s="46">
        <f>IF(U581&lt;&gt;"",VLOOKUP(U581,'Tipo Projeto'!$A$3:$B$35,2,0),0)</f>
        <v>0</v>
      </c>
      <c r="W581" s="203"/>
      <c r="X581" s="49"/>
      <c r="Y581" s="50"/>
      <c r="Z581" s="51"/>
      <c r="AA581" s="52"/>
      <c r="AB581" s="53" t="str">
        <f t="shared" si="136"/>
        <v/>
      </c>
      <c r="AC581" s="48" t="str">
        <f t="shared" si="137"/>
        <v/>
      </c>
      <c r="AD581" s="54" t="str">
        <f t="shared" si="138"/>
        <v/>
      </c>
      <c r="AE581" s="55">
        <f t="shared" si="139"/>
        <v>0</v>
      </c>
      <c r="AF581" s="55">
        <f t="shared" si="140"/>
        <v>0</v>
      </c>
      <c r="AG581" s="58">
        <f t="shared" si="141"/>
        <v>0</v>
      </c>
      <c r="AH581" s="203"/>
      <c r="AJ581" s="203"/>
      <c r="AL581" s="203"/>
      <c r="AM581" s="203" t="str">
        <f t="shared" si="142"/>
        <v/>
      </c>
    </row>
    <row r="582" spans="1:39" s="56" customFormat="1" ht="14.25">
      <c r="A582" s="44"/>
      <c r="B582" s="45"/>
      <c r="C582" s="46">
        <f>IF(B582&lt;&gt;"",VLOOKUP(B582,'Tipo Projeto'!$A$3:$B$35,2,0),0)</f>
        <v>0</v>
      </c>
      <c r="D582" s="203"/>
      <c r="E582" s="203"/>
      <c r="F582" s="48"/>
      <c r="G582" s="203"/>
      <c r="H582" s="49"/>
      <c r="I582" s="50"/>
      <c r="J582" s="51"/>
      <c r="K582" s="52"/>
      <c r="L582" s="53" t="str">
        <f t="shared" si="130"/>
        <v/>
      </c>
      <c r="M582" s="48" t="str">
        <f t="shared" si="131"/>
        <v/>
      </c>
      <c r="N582" s="54" t="str">
        <f t="shared" si="132"/>
        <v/>
      </c>
      <c r="O582" s="55">
        <f t="shared" si="133"/>
        <v>0</v>
      </c>
      <c r="P582" s="55">
        <f t="shared" si="134"/>
        <v>0</v>
      </c>
      <c r="Q582" s="54">
        <f t="shared" si="135"/>
        <v>0</v>
      </c>
      <c r="R582" s="203"/>
      <c r="T582" s="57"/>
      <c r="U582" s="45"/>
      <c r="V582" s="46">
        <f>IF(U582&lt;&gt;"",VLOOKUP(U582,'Tipo Projeto'!$A$3:$B$35,2,0),0)</f>
        <v>0</v>
      </c>
      <c r="W582" s="203"/>
      <c r="X582" s="49"/>
      <c r="Y582" s="50"/>
      <c r="Z582" s="51"/>
      <c r="AA582" s="52"/>
      <c r="AB582" s="53" t="str">
        <f t="shared" si="136"/>
        <v/>
      </c>
      <c r="AC582" s="48" t="str">
        <f t="shared" si="137"/>
        <v/>
      </c>
      <c r="AD582" s="54" t="str">
        <f t="shared" si="138"/>
        <v/>
      </c>
      <c r="AE582" s="55">
        <f t="shared" si="139"/>
        <v>0</v>
      </c>
      <c r="AF582" s="55">
        <f t="shared" si="140"/>
        <v>0</v>
      </c>
      <c r="AG582" s="58">
        <f t="shared" si="141"/>
        <v>0</v>
      </c>
      <c r="AH582" s="203"/>
      <c r="AJ582" s="203"/>
      <c r="AL582" s="203"/>
      <c r="AM582" s="203" t="str">
        <f t="shared" si="142"/>
        <v/>
      </c>
    </row>
    <row r="583" spans="1:39" s="56" customFormat="1" ht="14.25">
      <c r="A583" s="44"/>
      <c r="B583" s="45"/>
      <c r="C583" s="46">
        <f>IF(B583&lt;&gt;"",VLOOKUP(B583,'Tipo Projeto'!$A$3:$B$35,2,0),0)</f>
        <v>0</v>
      </c>
      <c r="D583" s="203"/>
      <c r="E583" s="203"/>
      <c r="F583" s="48"/>
      <c r="G583" s="203"/>
      <c r="H583" s="49"/>
      <c r="I583" s="50"/>
      <c r="J583" s="51"/>
      <c r="K583" s="52"/>
      <c r="L583" s="53" t="str">
        <f t="shared" si="130"/>
        <v/>
      </c>
      <c r="M583" s="48" t="str">
        <f t="shared" si="131"/>
        <v/>
      </c>
      <c r="N583" s="54" t="str">
        <f t="shared" si="132"/>
        <v/>
      </c>
      <c r="O583" s="55">
        <f t="shared" si="133"/>
        <v>0</v>
      </c>
      <c r="P583" s="55">
        <f t="shared" si="134"/>
        <v>0</v>
      </c>
      <c r="Q583" s="54">
        <f t="shared" si="135"/>
        <v>0</v>
      </c>
      <c r="R583" s="203"/>
      <c r="T583" s="57"/>
      <c r="U583" s="45"/>
      <c r="V583" s="46">
        <f>IF(U583&lt;&gt;"",VLOOKUP(U583,'Tipo Projeto'!$A$3:$B$35,2,0),0)</f>
        <v>0</v>
      </c>
      <c r="W583" s="203"/>
      <c r="X583" s="49"/>
      <c r="Y583" s="50"/>
      <c r="Z583" s="51"/>
      <c r="AA583" s="52"/>
      <c r="AB583" s="53" t="str">
        <f t="shared" si="136"/>
        <v/>
      </c>
      <c r="AC583" s="48" t="str">
        <f t="shared" si="137"/>
        <v/>
      </c>
      <c r="AD583" s="54" t="str">
        <f t="shared" si="138"/>
        <v/>
      </c>
      <c r="AE583" s="55">
        <f t="shared" si="139"/>
        <v>0</v>
      </c>
      <c r="AF583" s="55">
        <f t="shared" si="140"/>
        <v>0</v>
      </c>
      <c r="AG583" s="58">
        <f t="shared" si="141"/>
        <v>0</v>
      </c>
      <c r="AH583" s="203"/>
      <c r="AJ583" s="203"/>
      <c r="AL583" s="203"/>
      <c r="AM583" s="203" t="str">
        <f t="shared" si="142"/>
        <v/>
      </c>
    </row>
    <row r="584" spans="1:39" s="56" customFormat="1" ht="14.25">
      <c r="A584" s="44"/>
      <c r="B584" s="45"/>
      <c r="C584" s="46">
        <f>IF(B584&lt;&gt;"",VLOOKUP(B584,'Tipo Projeto'!$A$3:$B$35,2,0),0)</f>
        <v>0</v>
      </c>
      <c r="D584" s="203"/>
      <c r="E584" s="203"/>
      <c r="F584" s="48"/>
      <c r="G584" s="203"/>
      <c r="H584" s="49"/>
      <c r="I584" s="50"/>
      <c r="J584" s="51"/>
      <c r="K584" s="52"/>
      <c r="L584" s="53" t="str">
        <f t="shared" si="130"/>
        <v/>
      </c>
      <c r="M584" s="48" t="str">
        <f t="shared" si="131"/>
        <v/>
      </c>
      <c r="N584" s="54" t="str">
        <f t="shared" si="132"/>
        <v/>
      </c>
      <c r="O584" s="55">
        <f t="shared" si="133"/>
        <v>0</v>
      </c>
      <c r="P584" s="55">
        <f t="shared" si="134"/>
        <v>0</v>
      </c>
      <c r="Q584" s="54">
        <f t="shared" si="135"/>
        <v>0</v>
      </c>
      <c r="R584" s="203"/>
      <c r="T584" s="57"/>
      <c r="U584" s="45"/>
      <c r="V584" s="46">
        <f>IF(U584&lt;&gt;"",VLOOKUP(U584,'Tipo Projeto'!$A$3:$B$35,2,0),0)</f>
        <v>0</v>
      </c>
      <c r="W584" s="203"/>
      <c r="X584" s="49"/>
      <c r="Y584" s="50"/>
      <c r="Z584" s="51"/>
      <c r="AA584" s="52"/>
      <c r="AB584" s="53" t="str">
        <f t="shared" si="136"/>
        <v/>
      </c>
      <c r="AC584" s="48" t="str">
        <f t="shared" si="137"/>
        <v/>
      </c>
      <c r="AD584" s="54" t="str">
        <f t="shared" si="138"/>
        <v/>
      </c>
      <c r="AE584" s="55">
        <f t="shared" si="139"/>
        <v>0</v>
      </c>
      <c r="AF584" s="55">
        <f t="shared" si="140"/>
        <v>0</v>
      </c>
      <c r="AG584" s="58">
        <f t="shared" si="141"/>
        <v>0</v>
      </c>
      <c r="AH584" s="203"/>
      <c r="AJ584" s="203"/>
      <c r="AL584" s="203"/>
      <c r="AM584" s="203" t="str">
        <f t="shared" si="142"/>
        <v/>
      </c>
    </row>
    <row r="585" spans="1:39" s="56" customFormat="1" ht="14.25">
      <c r="A585" s="44"/>
      <c r="B585" s="45"/>
      <c r="C585" s="46">
        <f>IF(B585&lt;&gt;"",VLOOKUP(B585,'Tipo Projeto'!$A$3:$B$35,2,0),0)</f>
        <v>0</v>
      </c>
      <c r="D585" s="203"/>
      <c r="E585" s="203"/>
      <c r="F585" s="48"/>
      <c r="G585" s="203"/>
      <c r="H585" s="49"/>
      <c r="I585" s="50"/>
      <c r="J585" s="51"/>
      <c r="K585" s="52"/>
      <c r="L585" s="53" t="str">
        <f t="shared" si="130"/>
        <v/>
      </c>
      <c r="M585" s="48" t="str">
        <f t="shared" si="131"/>
        <v/>
      </c>
      <c r="N585" s="54" t="str">
        <f t="shared" si="132"/>
        <v/>
      </c>
      <c r="O585" s="55">
        <f t="shared" si="133"/>
        <v>0</v>
      </c>
      <c r="P585" s="55">
        <f t="shared" si="134"/>
        <v>0</v>
      </c>
      <c r="Q585" s="54">
        <f t="shared" si="135"/>
        <v>0</v>
      </c>
      <c r="R585" s="203"/>
      <c r="T585" s="57"/>
      <c r="U585" s="45"/>
      <c r="V585" s="46">
        <f>IF(U585&lt;&gt;"",VLOOKUP(U585,'Tipo Projeto'!$A$3:$B$35,2,0),0)</f>
        <v>0</v>
      </c>
      <c r="W585" s="203"/>
      <c r="X585" s="49"/>
      <c r="Y585" s="50"/>
      <c r="Z585" s="51"/>
      <c r="AA585" s="52"/>
      <c r="AB585" s="53" t="str">
        <f t="shared" si="136"/>
        <v/>
      </c>
      <c r="AC585" s="48" t="str">
        <f t="shared" si="137"/>
        <v/>
      </c>
      <c r="AD585" s="54" t="str">
        <f t="shared" si="138"/>
        <v/>
      </c>
      <c r="AE585" s="55">
        <f t="shared" si="139"/>
        <v>0</v>
      </c>
      <c r="AF585" s="55">
        <f t="shared" si="140"/>
        <v>0</v>
      </c>
      <c r="AG585" s="58">
        <f t="shared" si="141"/>
        <v>0</v>
      </c>
      <c r="AH585" s="203"/>
      <c r="AJ585" s="203"/>
      <c r="AL585" s="203"/>
      <c r="AM585" s="203" t="str">
        <f t="shared" si="142"/>
        <v/>
      </c>
    </row>
    <row r="586" spans="1:39" s="56" customFormat="1" ht="14.25">
      <c r="A586" s="44"/>
      <c r="B586" s="45"/>
      <c r="C586" s="46">
        <f>IF(B586&lt;&gt;"",VLOOKUP(B586,'Tipo Projeto'!$A$3:$B$35,2,0),0)</f>
        <v>0</v>
      </c>
      <c r="D586" s="203"/>
      <c r="E586" s="203"/>
      <c r="F586" s="48"/>
      <c r="G586" s="203"/>
      <c r="H586" s="49"/>
      <c r="I586" s="50"/>
      <c r="J586" s="51"/>
      <c r="K586" s="52"/>
      <c r="L586" s="53" t="str">
        <f t="shared" si="130"/>
        <v/>
      </c>
      <c r="M586" s="48" t="str">
        <f t="shared" si="131"/>
        <v/>
      </c>
      <c r="N586" s="54" t="str">
        <f t="shared" si="132"/>
        <v/>
      </c>
      <c r="O586" s="55">
        <f t="shared" si="133"/>
        <v>0</v>
      </c>
      <c r="P586" s="55">
        <f t="shared" si="134"/>
        <v>0</v>
      </c>
      <c r="Q586" s="54">
        <f t="shared" si="135"/>
        <v>0</v>
      </c>
      <c r="R586" s="203"/>
      <c r="T586" s="57"/>
      <c r="U586" s="45"/>
      <c r="V586" s="46">
        <f>IF(U586&lt;&gt;"",VLOOKUP(U586,'Tipo Projeto'!$A$3:$B$35,2,0),0)</f>
        <v>0</v>
      </c>
      <c r="W586" s="203"/>
      <c r="X586" s="49"/>
      <c r="Y586" s="50"/>
      <c r="Z586" s="51"/>
      <c r="AA586" s="52"/>
      <c r="AB586" s="53" t="str">
        <f t="shared" si="136"/>
        <v/>
      </c>
      <c r="AC586" s="48" t="str">
        <f t="shared" si="137"/>
        <v/>
      </c>
      <c r="AD586" s="54" t="str">
        <f t="shared" si="138"/>
        <v/>
      </c>
      <c r="AE586" s="55">
        <f t="shared" si="139"/>
        <v>0</v>
      </c>
      <c r="AF586" s="55">
        <f t="shared" si="140"/>
        <v>0</v>
      </c>
      <c r="AG586" s="58">
        <f t="shared" si="141"/>
        <v>0</v>
      </c>
      <c r="AH586" s="203"/>
      <c r="AJ586" s="203"/>
      <c r="AL586" s="203"/>
      <c r="AM586" s="203" t="str">
        <f t="shared" si="142"/>
        <v/>
      </c>
    </row>
    <row r="587" spans="1:39" s="56" customFormat="1" ht="14.25">
      <c r="A587" s="44"/>
      <c r="B587" s="45"/>
      <c r="C587" s="46">
        <f>IF(B587&lt;&gt;"",VLOOKUP(B587,'Tipo Projeto'!$A$3:$B$35,2,0),0)</f>
        <v>0</v>
      </c>
      <c r="D587" s="203"/>
      <c r="E587" s="203"/>
      <c r="F587" s="48"/>
      <c r="G587" s="203"/>
      <c r="H587" s="49"/>
      <c r="I587" s="50"/>
      <c r="J587" s="51"/>
      <c r="K587" s="52"/>
      <c r="L587" s="53" t="str">
        <f t="shared" si="130"/>
        <v/>
      </c>
      <c r="M587" s="48" t="str">
        <f t="shared" si="131"/>
        <v/>
      </c>
      <c r="N587" s="54" t="str">
        <f t="shared" si="132"/>
        <v/>
      </c>
      <c r="O587" s="55">
        <f t="shared" si="133"/>
        <v>0</v>
      </c>
      <c r="P587" s="55">
        <f t="shared" si="134"/>
        <v>0</v>
      </c>
      <c r="Q587" s="54">
        <f t="shared" si="135"/>
        <v>0</v>
      </c>
      <c r="R587" s="203"/>
      <c r="T587" s="57"/>
      <c r="U587" s="45"/>
      <c r="V587" s="46">
        <f>IF(U587&lt;&gt;"",VLOOKUP(U587,'Tipo Projeto'!$A$3:$B$35,2,0),0)</f>
        <v>0</v>
      </c>
      <c r="W587" s="203"/>
      <c r="X587" s="49"/>
      <c r="Y587" s="50"/>
      <c r="Z587" s="51"/>
      <c r="AA587" s="52"/>
      <c r="AB587" s="53" t="str">
        <f t="shared" si="136"/>
        <v/>
      </c>
      <c r="AC587" s="48" t="str">
        <f t="shared" si="137"/>
        <v/>
      </c>
      <c r="AD587" s="54" t="str">
        <f t="shared" si="138"/>
        <v/>
      </c>
      <c r="AE587" s="55">
        <f t="shared" si="139"/>
        <v>0</v>
      </c>
      <c r="AF587" s="55">
        <f t="shared" si="140"/>
        <v>0</v>
      </c>
      <c r="AG587" s="58">
        <f t="shared" si="141"/>
        <v>0</v>
      </c>
      <c r="AH587" s="203"/>
      <c r="AJ587" s="203"/>
      <c r="AL587" s="203"/>
      <c r="AM587" s="203" t="str">
        <f t="shared" si="142"/>
        <v/>
      </c>
    </row>
    <row r="588" spans="1:39" s="56" customFormat="1" ht="14.25">
      <c r="A588" s="44"/>
      <c r="B588" s="45"/>
      <c r="C588" s="46">
        <f>IF(B588&lt;&gt;"",VLOOKUP(B588,'Tipo Projeto'!$A$3:$B$35,2,0),0)</f>
        <v>0</v>
      </c>
      <c r="D588" s="203"/>
      <c r="E588" s="203"/>
      <c r="F588" s="48"/>
      <c r="G588" s="203"/>
      <c r="H588" s="49"/>
      <c r="I588" s="50"/>
      <c r="J588" s="51"/>
      <c r="K588" s="52"/>
      <c r="L588" s="53" t="str">
        <f t="shared" si="130"/>
        <v/>
      </c>
      <c r="M588" s="48" t="str">
        <f t="shared" si="131"/>
        <v/>
      </c>
      <c r="N588" s="54" t="str">
        <f t="shared" si="132"/>
        <v/>
      </c>
      <c r="O588" s="55">
        <f t="shared" si="133"/>
        <v>0</v>
      </c>
      <c r="P588" s="55">
        <f t="shared" si="134"/>
        <v>0</v>
      </c>
      <c r="Q588" s="54">
        <f t="shared" si="135"/>
        <v>0</v>
      </c>
      <c r="R588" s="203"/>
      <c r="T588" s="57"/>
      <c r="U588" s="45"/>
      <c r="V588" s="46">
        <f>IF(U588&lt;&gt;"",VLOOKUP(U588,'Tipo Projeto'!$A$3:$B$35,2,0),0)</f>
        <v>0</v>
      </c>
      <c r="W588" s="203"/>
      <c r="X588" s="49"/>
      <c r="Y588" s="50"/>
      <c r="Z588" s="51"/>
      <c r="AA588" s="52"/>
      <c r="AB588" s="53" t="str">
        <f t="shared" si="136"/>
        <v/>
      </c>
      <c r="AC588" s="48" t="str">
        <f t="shared" si="137"/>
        <v/>
      </c>
      <c r="AD588" s="54" t="str">
        <f t="shared" si="138"/>
        <v/>
      </c>
      <c r="AE588" s="55">
        <f t="shared" si="139"/>
        <v>0</v>
      </c>
      <c r="AF588" s="55">
        <f t="shared" si="140"/>
        <v>0</v>
      </c>
      <c r="AG588" s="58">
        <f t="shared" si="141"/>
        <v>0</v>
      </c>
      <c r="AH588" s="203"/>
      <c r="AJ588" s="203"/>
      <c r="AL588" s="203"/>
      <c r="AM588" s="203" t="str">
        <f t="shared" si="142"/>
        <v/>
      </c>
    </row>
    <row r="589" spans="1:39" s="56" customFormat="1" ht="14.25">
      <c r="A589" s="44"/>
      <c r="B589" s="45"/>
      <c r="C589" s="46">
        <f>IF(B589&lt;&gt;"",VLOOKUP(B589,'Tipo Projeto'!$A$3:$B$35,2,0),0)</f>
        <v>0</v>
      </c>
      <c r="D589" s="203"/>
      <c r="E589" s="203"/>
      <c r="F589" s="48"/>
      <c r="G589" s="203"/>
      <c r="H589" s="49"/>
      <c r="I589" s="50"/>
      <c r="J589" s="51"/>
      <c r="K589" s="52"/>
      <c r="L589" s="53" t="str">
        <f t="shared" si="130"/>
        <v/>
      </c>
      <c r="M589" s="48" t="str">
        <f t="shared" si="131"/>
        <v/>
      </c>
      <c r="N589" s="54" t="str">
        <f t="shared" si="132"/>
        <v/>
      </c>
      <c r="O589" s="55">
        <f t="shared" si="133"/>
        <v>0</v>
      </c>
      <c r="P589" s="55">
        <f t="shared" si="134"/>
        <v>0</v>
      </c>
      <c r="Q589" s="54">
        <f t="shared" si="135"/>
        <v>0</v>
      </c>
      <c r="R589" s="203"/>
      <c r="T589" s="57"/>
      <c r="U589" s="45"/>
      <c r="V589" s="46">
        <f>IF(U589&lt;&gt;"",VLOOKUP(U589,'Tipo Projeto'!$A$3:$B$35,2,0),0)</f>
        <v>0</v>
      </c>
      <c r="W589" s="203"/>
      <c r="X589" s="49"/>
      <c r="Y589" s="50"/>
      <c r="Z589" s="51"/>
      <c r="AA589" s="52"/>
      <c r="AB589" s="53" t="str">
        <f t="shared" si="136"/>
        <v/>
      </c>
      <c r="AC589" s="48" t="str">
        <f t="shared" si="137"/>
        <v/>
      </c>
      <c r="AD589" s="54" t="str">
        <f t="shared" si="138"/>
        <v/>
      </c>
      <c r="AE589" s="55">
        <f t="shared" si="139"/>
        <v>0</v>
      </c>
      <c r="AF589" s="55">
        <f t="shared" si="140"/>
        <v>0</v>
      </c>
      <c r="AG589" s="58">
        <f t="shared" si="141"/>
        <v>0</v>
      </c>
      <c r="AH589" s="203"/>
      <c r="AJ589" s="203"/>
      <c r="AL589" s="203"/>
      <c r="AM589" s="203" t="str">
        <f t="shared" si="142"/>
        <v/>
      </c>
    </row>
    <row r="590" spans="1:39" s="56" customFormat="1" ht="14.25">
      <c r="A590" s="44"/>
      <c r="B590" s="45"/>
      <c r="C590" s="46">
        <f>IF(B590&lt;&gt;"",VLOOKUP(B590,'Tipo Projeto'!$A$3:$B$35,2,0),0)</f>
        <v>0</v>
      </c>
      <c r="D590" s="203"/>
      <c r="E590" s="203"/>
      <c r="F590" s="48"/>
      <c r="G590" s="203"/>
      <c r="H590" s="49"/>
      <c r="I590" s="50"/>
      <c r="J590" s="51"/>
      <c r="K590" s="52"/>
      <c r="L590" s="53" t="str">
        <f t="shared" si="130"/>
        <v/>
      </c>
      <c r="M590" s="48" t="str">
        <f t="shared" si="131"/>
        <v/>
      </c>
      <c r="N590" s="54" t="str">
        <f t="shared" si="132"/>
        <v/>
      </c>
      <c r="O590" s="55">
        <f t="shared" si="133"/>
        <v>0</v>
      </c>
      <c r="P590" s="55">
        <f t="shared" si="134"/>
        <v>0</v>
      </c>
      <c r="Q590" s="54">
        <f t="shared" si="135"/>
        <v>0</v>
      </c>
      <c r="R590" s="203"/>
      <c r="T590" s="57"/>
      <c r="U590" s="45"/>
      <c r="V590" s="46">
        <f>IF(U590&lt;&gt;"",VLOOKUP(U590,'Tipo Projeto'!$A$3:$B$35,2,0),0)</f>
        <v>0</v>
      </c>
      <c r="W590" s="203"/>
      <c r="X590" s="49"/>
      <c r="Y590" s="50"/>
      <c r="Z590" s="51"/>
      <c r="AA590" s="52"/>
      <c r="AB590" s="53" t="str">
        <f t="shared" si="136"/>
        <v/>
      </c>
      <c r="AC590" s="48" t="str">
        <f t="shared" si="137"/>
        <v/>
      </c>
      <c r="AD590" s="54" t="str">
        <f t="shared" si="138"/>
        <v/>
      </c>
      <c r="AE590" s="55">
        <f t="shared" si="139"/>
        <v>0</v>
      </c>
      <c r="AF590" s="55">
        <f t="shared" si="140"/>
        <v>0</v>
      </c>
      <c r="AG590" s="58">
        <f t="shared" si="141"/>
        <v>0</v>
      </c>
      <c r="AH590" s="203"/>
      <c r="AJ590" s="203"/>
      <c r="AL590" s="203"/>
      <c r="AM590" s="203" t="str">
        <f t="shared" si="142"/>
        <v/>
      </c>
    </row>
    <row r="591" spans="1:39" s="56" customFormat="1" ht="14.25">
      <c r="A591" s="44"/>
      <c r="B591" s="45"/>
      <c r="C591" s="46">
        <f>IF(B591&lt;&gt;"",VLOOKUP(B591,'Tipo Projeto'!$A$3:$B$35,2,0),0)</f>
        <v>0</v>
      </c>
      <c r="D591" s="203"/>
      <c r="E591" s="203"/>
      <c r="F591" s="48"/>
      <c r="G591" s="203"/>
      <c r="H591" s="49"/>
      <c r="I591" s="50"/>
      <c r="J591" s="51"/>
      <c r="K591" s="52"/>
      <c r="L591" s="53" t="str">
        <f t="shared" si="130"/>
        <v/>
      </c>
      <c r="M591" s="48" t="str">
        <f t="shared" si="131"/>
        <v/>
      </c>
      <c r="N591" s="54" t="str">
        <f t="shared" si="132"/>
        <v/>
      </c>
      <c r="O591" s="55">
        <f t="shared" si="133"/>
        <v>0</v>
      </c>
      <c r="P591" s="55">
        <f t="shared" si="134"/>
        <v>0</v>
      </c>
      <c r="Q591" s="54">
        <f t="shared" si="135"/>
        <v>0</v>
      </c>
      <c r="R591" s="203"/>
      <c r="T591" s="57"/>
      <c r="U591" s="45"/>
      <c r="V591" s="46">
        <f>IF(U591&lt;&gt;"",VLOOKUP(U591,'Tipo Projeto'!$A$3:$B$35,2,0),0)</f>
        <v>0</v>
      </c>
      <c r="W591" s="203"/>
      <c r="X591" s="49"/>
      <c r="Y591" s="50"/>
      <c r="Z591" s="51"/>
      <c r="AA591" s="52"/>
      <c r="AB591" s="53" t="str">
        <f t="shared" si="136"/>
        <v/>
      </c>
      <c r="AC591" s="48" t="str">
        <f t="shared" si="137"/>
        <v/>
      </c>
      <c r="AD591" s="54" t="str">
        <f t="shared" si="138"/>
        <v/>
      </c>
      <c r="AE591" s="55">
        <f t="shared" si="139"/>
        <v>0</v>
      </c>
      <c r="AF591" s="55">
        <f t="shared" si="140"/>
        <v>0</v>
      </c>
      <c r="AG591" s="58">
        <f t="shared" si="141"/>
        <v>0</v>
      </c>
      <c r="AH591" s="203"/>
      <c r="AJ591" s="203"/>
      <c r="AL591" s="203"/>
      <c r="AM591" s="203" t="str">
        <f t="shared" si="142"/>
        <v/>
      </c>
    </row>
    <row r="592" spans="1:39" s="56" customFormat="1" ht="14.25">
      <c r="A592" s="44"/>
      <c r="B592" s="45"/>
      <c r="C592" s="46">
        <f>IF(B592&lt;&gt;"",VLOOKUP(B592,'Tipo Projeto'!$A$3:$B$35,2,0),0)</f>
        <v>0</v>
      </c>
      <c r="D592" s="203"/>
      <c r="E592" s="203"/>
      <c r="F592" s="48"/>
      <c r="G592" s="203"/>
      <c r="H592" s="49"/>
      <c r="I592" s="50"/>
      <c r="J592" s="51"/>
      <c r="K592" s="52"/>
      <c r="L592" s="53" t="str">
        <f t="shared" si="130"/>
        <v/>
      </c>
      <c r="M592" s="48" t="str">
        <f t="shared" si="131"/>
        <v/>
      </c>
      <c r="N592" s="54" t="str">
        <f t="shared" si="132"/>
        <v/>
      </c>
      <c r="O592" s="55">
        <f t="shared" si="133"/>
        <v>0</v>
      </c>
      <c r="P592" s="55">
        <f t="shared" si="134"/>
        <v>0</v>
      </c>
      <c r="Q592" s="54">
        <f t="shared" si="135"/>
        <v>0</v>
      </c>
      <c r="R592" s="203"/>
      <c r="T592" s="57"/>
      <c r="U592" s="45"/>
      <c r="V592" s="46">
        <f>IF(U592&lt;&gt;"",VLOOKUP(U592,'Tipo Projeto'!$A$3:$B$35,2,0),0)</f>
        <v>0</v>
      </c>
      <c r="W592" s="203"/>
      <c r="X592" s="49"/>
      <c r="Y592" s="50"/>
      <c r="Z592" s="51"/>
      <c r="AA592" s="52"/>
      <c r="AB592" s="53" t="str">
        <f t="shared" si="136"/>
        <v/>
      </c>
      <c r="AC592" s="48" t="str">
        <f t="shared" si="137"/>
        <v/>
      </c>
      <c r="AD592" s="54" t="str">
        <f t="shared" si="138"/>
        <v/>
      </c>
      <c r="AE592" s="55">
        <f t="shared" si="139"/>
        <v>0</v>
      </c>
      <c r="AF592" s="55">
        <f t="shared" si="140"/>
        <v>0</v>
      </c>
      <c r="AG592" s="58">
        <f t="shared" si="141"/>
        <v>0</v>
      </c>
      <c r="AH592" s="203"/>
      <c r="AJ592" s="203"/>
      <c r="AL592" s="203"/>
      <c r="AM592" s="203" t="str">
        <f t="shared" si="142"/>
        <v/>
      </c>
    </row>
    <row r="593" spans="1:39" s="56" customFormat="1" ht="14.25">
      <c r="A593" s="44"/>
      <c r="B593" s="45"/>
      <c r="C593" s="46">
        <f>IF(B593&lt;&gt;"",VLOOKUP(B593,'Tipo Projeto'!$A$3:$B$35,2,0),0)</f>
        <v>0</v>
      </c>
      <c r="D593" s="203"/>
      <c r="E593" s="203"/>
      <c r="F593" s="48"/>
      <c r="G593" s="203"/>
      <c r="H593" s="49"/>
      <c r="I593" s="50"/>
      <c r="J593" s="51"/>
      <c r="K593" s="52"/>
      <c r="L593" s="53" t="str">
        <f t="shared" si="130"/>
        <v/>
      </c>
      <c r="M593" s="48" t="str">
        <f t="shared" si="131"/>
        <v/>
      </c>
      <c r="N593" s="54" t="str">
        <f t="shared" si="132"/>
        <v/>
      </c>
      <c r="O593" s="55">
        <f t="shared" si="133"/>
        <v>0</v>
      </c>
      <c r="P593" s="55">
        <f t="shared" si="134"/>
        <v>0</v>
      </c>
      <c r="Q593" s="54">
        <f t="shared" si="135"/>
        <v>0</v>
      </c>
      <c r="R593" s="203"/>
      <c r="T593" s="57"/>
      <c r="U593" s="45"/>
      <c r="V593" s="46">
        <f>IF(U593&lt;&gt;"",VLOOKUP(U593,'Tipo Projeto'!$A$3:$B$35,2,0),0)</f>
        <v>0</v>
      </c>
      <c r="W593" s="203"/>
      <c r="X593" s="49"/>
      <c r="Y593" s="50"/>
      <c r="Z593" s="51"/>
      <c r="AA593" s="52"/>
      <c r="AB593" s="53" t="str">
        <f t="shared" si="136"/>
        <v/>
      </c>
      <c r="AC593" s="48" t="str">
        <f t="shared" si="137"/>
        <v/>
      </c>
      <c r="AD593" s="54" t="str">
        <f t="shared" si="138"/>
        <v/>
      </c>
      <c r="AE593" s="55">
        <f t="shared" si="139"/>
        <v>0</v>
      </c>
      <c r="AF593" s="55">
        <f t="shared" si="140"/>
        <v>0</v>
      </c>
      <c r="AG593" s="58">
        <f t="shared" si="141"/>
        <v>0</v>
      </c>
      <c r="AH593" s="203"/>
      <c r="AJ593" s="203"/>
      <c r="AL593" s="203"/>
      <c r="AM593" s="203" t="str">
        <f t="shared" si="142"/>
        <v/>
      </c>
    </row>
    <row r="594" spans="1:39" s="56" customFormat="1" ht="14.25">
      <c r="A594" s="44"/>
      <c r="B594" s="45"/>
      <c r="C594" s="46">
        <f>IF(B594&lt;&gt;"",VLOOKUP(B594,'Tipo Projeto'!$A$3:$B$35,2,0),0)</f>
        <v>0</v>
      </c>
      <c r="D594" s="203"/>
      <c r="E594" s="203"/>
      <c r="F594" s="48"/>
      <c r="G594" s="203"/>
      <c r="H594" s="49"/>
      <c r="I594" s="50"/>
      <c r="J594" s="51"/>
      <c r="K594" s="52"/>
      <c r="L594" s="53" t="str">
        <f t="shared" si="130"/>
        <v/>
      </c>
      <c r="M594" s="48" t="str">
        <f t="shared" si="131"/>
        <v/>
      </c>
      <c r="N594" s="54" t="str">
        <f t="shared" si="132"/>
        <v/>
      </c>
      <c r="O594" s="55">
        <f t="shared" si="133"/>
        <v>0</v>
      </c>
      <c r="P594" s="55">
        <f t="shared" si="134"/>
        <v>0</v>
      </c>
      <c r="Q594" s="54">
        <f t="shared" si="135"/>
        <v>0</v>
      </c>
      <c r="R594" s="203"/>
      <c r="T594" s="57"/>
      <c r="U594" s="45"/>
      <c r="V594" s="46">
        <f>IF(U594&lt;&gt;"",VLOOKUP(U594,'Tipo Projeto'!$A$3:$B$35,2,0),0)</f>
        <v>0</v>
      </c>
      <c r="W594" s="203"/>
      <c r="X594" s="49"/>
      <c r="Y594" s="50"/>
      <c r="Z594" s="51"/>
      <c r="AA594" s="52"/>
      <c r="AB594" s="53" t="str">
        <f t="shared" si="136"/>
        <v/>
      </c>
      <c r="AC594" s="48" t="str">
        <f t="shared" si="137"/>
        <v/>
      </c>
      <c r="AD594" s="54" t="str">
        <f t="shared" si="138"/>
        <v/>
      </c>
      <c r="AE594" s="55">
        <f t="shared" si="139"/>
        <v>0</v>
      </c>
      <c r="AF594" s="55">
        <f t="shared" si="140"/>
        <v>0</v>
      </c>
      <c r="AG594" s="58">
        <f t="shared" si="141"/>
        <v>0</v>
      </c>
      <c r="AH594" s="203"/>
      <c r="AJ594" s="203"/>
      <c r="AL594" s="203"/>
      <c r="AM594" s="203" t="str">
        <f t="shared" si="142"/>
        <v/>
      </c>
    </row>
    <row r="595" spans="1:39" s="56" customFormat="1" ht="14.25">
      <c r="A595" s="44"/>
      <c r="B595" s="45"/>
      <c r="C595" s="46">
        <f>IF(B595&lt;&gt;"",VLOOKUP(B595,'Tipo Projeto'!$A$3:$B$35,2,0),0)</f>
        <v>0</v>
      </c>
      <c r="D595" s="203"/>
      <c r="E595" s="203"/>
      <c r="F595" s="48"/>
      <c r="G595" s="203"/>
      <c r="H595" s="49"/>
      <c r="I595" s="50"/>
      <c r="J595" s="51"/>
      <c r="K595" s="52"/>
      <c r="L595" s="53" t="str">
        <f t="shared" si="130"/>
        <v/>
      </c>
      <c r="M595" s="48" t="str">
        <f t="shared" si="131"/>
        <v/>
      </c>
      <c r="N595" s="54" t="str">
        <f t="shared" si="132"/>
        <v/>
      </c>
      <c r="O595" s="55">
        <f t="shared" si="133"/>
        <v>0</v>
      </c>
      <c r="P595" s="55">
        <f t="shared" si="134"/>
        <v>0</v>
      </c>
      <c r="Q595" s="54">
        <f t="shared" si="135"/>
        <v>0</v>
      </c>
      <c r="R595" s="203"/>
      <c r="T595" s="57"/>
      <c r="U595" s="45"/>
      <c r="V595" s="46">
        <f>IF(U595&lt;&gt;"",VLOOKUP(U595,'Tipo Projeto'!$A$3:$B$35,2,0),0)</f>
        <v>0</v>
      </c>
      <c r="W595" s="203"/>
      <c r="X595" s="49"/>
      <c r="Y595" s="50"/>
      <c r="Z595" s="51"/>
      <c r="AA595" s="52"/>
      <c r="AB595" s="53" t="str">
        <f t="shared" si="136"/>
        <v/>
      </c>
      <c r="AC595" s="48" t="str">
        <f t="shared" si="137"/>
        <v/>
      </c>
      <c r="AD595" s="54" t="str">
        <f t="shared" si="138"/>
        <v/>
      </c>
      <c r="AE595" s="55">
        <f t="shared" si="139"/>
        <v>0</v>
      </c>
      <c r="AF595" s="55">
        <f t="shared" si="140"/>
        <v>0</v>
      </c>
      <c r="AG595" s="58">
        <f t="shared" si="141"/>
        <v>0</v>
      </c>
      <c r="AH595" s="203"/>
      <c r="AJ595" s="203"/>
      <c r="AL595" s="203"/>
      <c r="AM595" s="203" t="str">
        <f t="shared" si="142"/>
        <v/>
      </c>
    </row>
    <row r="596" spans="1:39" s="56" customFormat="1" ht="14.25">
      <c r="A596" s="44"/>
      <c r="B596" s="45"/>
      <c r="C596" s="46">
        <f>IF(B596&lt;&gt;"",VLOOKUP(B596,'Tipo Projeto'!$A$3:$B$35,2,0),0)</f>
        <v>0</v>
      </c>
      <c r="D596" s="203"/>
      <c r="E596" s="203"/>
      <c r="F596" s="48"/>
      <c r="G596" s="203"/>
      <c r="H596" s="49"/>
      <c r="I596" s="50"/>
      <c r="J596" s="51"/>
      <c r="K596" s="52"/>
      <c r="L596" s="53" t="str">
        <f t="shared" si="130"/>
        <v/>
      </c>
      <c r="M596" s="48" t="str">
        <f t="shared" si="131"/>
        <v/>
      </c>
      <c r="N596" s="54" t="str">
        <f t="shared" si="132"/>
        <v/>
      </c>
      <c r="O596" s="55">
        <f t="shared" si="133"/>
        <v>0</v>
      </c>
      <c r="P596" s="55">
        <f t="shared" si="134"/>
        <v>0</v>
      </c>
      <c r="Q596" s="54">
        <f t="shared" si="135"/>
        <v>0</v>
      </c>
      <c r="R596" s="203"/>
      <c r="T596" s="57"/>
      <c r="U596" s="45"/>
      <c r="V596" s="46">
        <f>IF(U596&lt;&gt;"",VLOOKUP(U596,'Tipo Projeto'!$A$3:$B$35,2,0),0)</f>
        <v>0</v>
      </c>
      <c r="W596" s="203"/>
      <c r="X596" s="49"/>
      <c r="Y596" s="50"/>
      <c r="Z596" s="51"/>
      <c r="AA596" s="52"/>
      <c r="AB596" s="53" t="str">
        <f t="shared" si="136"/>
        <v/>
      </c>
      <c r="AC596" s="48" t="str">
        <f t="shared" si="137"/>
        <v/>
      </c>
      <c r="AD596" s="54" t="str">
        <f t="shared" si="138"/>
        <v/>
      </c>
      <c r="AE596" s="55">
        <f t="shared" si="139"/>
        <v>0</v>
      </c>
      <c r="AF596" s="55">
        <f t="shared" si="140"/>
        <v>0</v>
      </c>
      <c r="AG596" s="58">
        <f t="shared" si="141"/>
        <v>0</v>
      </c>
      <c r="AH596" s="203"/>
      <c r="AJ596" s="203"/>
      <c r="AL596" s="203"/>
      <c r="AM596" s="203" t="str">
        <f t="shared" si="142"/>
        <v/>
      </c>
    </row>
    <row r="597" spans="1:39" s="56" customFormat="1" ht="14.25">
      <c r="A597" s="44"/>
      <c r="B597" s="45"/>
      <c r="C597" s="46">
        <f>IF(B597&lt;&gt;"",VLOOKUP(B597,'Tipo Projeto'!$A$3:$B$35,2,0),0)</f>
        <v>0</v>
      </c>
      <c r="D597" s="203"/>
      <c r="E597" s="203"/>
      <c r="F597" s="48"/>
      <c r="G597" s="203"/>
      <c r="H597" s="49"/>
      <c r="I597" s="50"/>
      <c r="J597" s="51"/>
      <c r="K597" s="52"/>
      <c r="L597" s="53" t="str">
        <f t="shared" si="130"/>
        <v/>
      </c>
      <c r="M597" s="48" t="str">
        <f t="shared" si="131"/>
        <v/>
      </c>
      <c r="N597" s="54" t="str">
        <f t="shared" si="132"/>
        <v/>
      </c>
      <c r="O597" s="55">
        <f t="shared" si="133"/>
        <v>0</v>
      </c>
      <c r="P597" s="55">
        <f t="shared" si="134"/>
        <v>0</v>
      </c>
      <c r="Q597" s="54">
        <f t="shared" si="135"/>
        <v>0</v>
      </c>
      <c r="R597" s="203"/>
      <c r="T597" s="57"/>
      <c r="U597" s="45"/>
      <c r="V597" s="46">
        <f>IF(U597&lt;&gt;"",VLOOKUP(U597,'Tipo Projeto'!$A$3:$B$35,2,0),0)</f>
        <v>0</v>
      </c>
      <c r="W597" s="203"/>
      <c r="X597" s="49"/>
      <c r="Y597" s="50"/>
      <c r="Z597" s="51"/>
      <c r="AA597" s="52"/>
      <c r="AB597" s="53" t="str">
        <f t="shared" si="136"/>
        <v/>
      </c>
      <c r="AC597" s="48" t="str">
        <f t="shared" si="137"/>
        <v/>
      </c>
      <c r="AD597" s="54" t="str">
        <f t="shared" si="138"/>
        <v/>
      </c>
      <c r="AE597" s="55">
        <f t="shared" si="139"/>
        <v>0</v>
      </c>
      <c r="AF597" s="55">
        <f t="shared" si="140"/>
        <v>0</v>
      </c>
      <c r="AG597" s="58">
        <f t="shared" si="141"/>
        <v>0</v>
      </c>
      <c r="AH597" s="203"/>
      <c r="AJ597" s="203"/>
      <c r="AL597" s="203"/>
      <c r="AM597" s="203" t="str">
        <f t="shared" si="142"/>
        <v/>
      </c>
    </row>
    <row r="598" spans="1:39" s="56" customFormat="1" ht="14.25">
      <c r="A598" s="44"/>
      <c r="B598" s="45"/>
      <c r="C598" s="46">
        <f>IF(B598&lt;&gt;"",VLOOKUP(B598,'Tipo Projeto'!$A$3:$B$35,2,0),0)</f>
        <v>0</v>
      </c>
      <c r="D598" s="203"/>
      <c r="E598" s="203"/>
      <c r="F598" s="48"/>
      <c r="G598" s="203"/>
      <c r="H598" s="49"/>
      <c r="I598" s="50"/>
      <c r="J598" s="51"/>
      <c r="K598" s="52"/>
      <c r="L598" s="53" t="str">
        <f t="shared" si="130"/>
        <v/>
      </c>
      <c r="M598" s="48" t="str">
        <f t="shared" si="131"/>
        <v/>
      </c>
      <c r="N598" s="54" t="str">
        <f t="shared" si="132"/>
        <v/>
      </c>
      <c r="O598" s="55">
        <f t="shared" si="133"/>
        <v>0</v>
      </c>
      <c r="P598" s="55">
        <f t="shared" si="134"/>
        <v>0</v>
      </c>
      <c r="Q598" s="54">
        <f t="shared" si="135"/>
        <v>0</v>
      </c>
      <c r="R598" s="203"/>
      <c r="T598" s="57"/>
      <c r="U598" s="45"/>
      <c r="V598" s="46">
        <f>IF(U598&lt;&gt;"",VLOOKUP(U598,'Tipo Projeto'!$A$3:$B$35,2,0),0)</f>
        <v>0</v>
      </c>
      <c r="W598" s="203"/>
      <c r="X598" s="49"/>
      <c r="Y598" s="50"/>
      <c r="Z598" s="51"/>
      <c r="AA598" s="52"/>
      <c r="AB598" s="53" t="str">
        <f t="shared" si="136"/>
        <v/>
      </c>
      <c r="AC598" s="48" t="str">
        <f t="shared" si="137"/>
        <v/>
      </c>
      <c r="AD598" s="54" t="str">
        <f t="shared" si="138"/>
        <v/>
      </c>
      <c r="AE598" s="55">
        <f t="shared" si="139"/>
        <v>0</v>
      </c>
      <c r="AF598" s="55">
        <f t="shared" si="140"/>
        <v>0</v>
      </c>
      <c r="AG598" s="58">
        <f t="shared" si="141"/>
        <v>0</v>
      </c>
      <c r="AH598" s="203"/>
      <c r="AJ598" s="203"/>
      <c r="AL598" s="203"/>
      <c r="AM598" s="203" t="str">
        <f t="shared" si="142"/>
        <v/>
      </c>
    </row>
    <row r="599" spans="1:39" s="56" customFormat="1" ht="14.25">
      <c r="A599" s="44"/>
      <c r="B599" s="45"/>
      <c r="C599" s="46">
        <f>IF(B599&lt;&gt;"",VLOOKUP(B599,'Tipo Projeto'!$A$3:$B$35,2,0),0)</f>
        <v>0</v>
      </c>
      <c r="D599" s="203"/>
      <c r="E599" s="203"/>
      <c r="F599" s="48"/>
      <c r="G599" s="203"/>
      <c r="H599" s="49"/>
      <c r="I599" s="50"/>
      <c r="J599" s="51"/>
      <c r="K599" s="52"/>
      <c r="L599" s="53" t="str">
        <f t="shared" si="130"/>
        <v/>
      </c>
      <c r="M599" s="48" t="str">
        <f t="shared" si="131"/>
        <v/>
      </c>
      <c r="N599" s="54" t="str">
        <f t="shared" si="132"/>
        <v/>
      </c>
      <c r="O599" s="55">
        <f t="shared" si="133"/>
        <v>0</v>
      </c>
      <c r="P599" s="55">
        <f t="shared" si="134"/>
        <v>0</v>
      </c>
      <c r="Q599" s="54">
        <f t="shared" si="135"/>
        <v>0</v>
      </c>
      <c r="R599" s="203"/>
      <c r="T599" s="57"/>
      <c r="U599" s="45"/>
      <c r="V599" s="46">
        <f>IF(U599&lt;&gt;"",VLOOKUP(U599,'Tipo Projeto'!$A$3:$B$35,2,0),0)</f>
        <v>0</v>
      </c>
      <c r="W599" s="203"/>
      <c r="X599" s="49"/>
      <c r="Y599" s="50"/>
      <c r="Z599" s="51"/>
      <c r="AA599" s="52"/>
      <c r="AB599" s="53" t="str">
        <f t="shared" si="136"/>
        <v/>
      </c>
      <c r="AC599" s="48" t="str">
        <f t="shared" si="137"/>
        <v/>
      </c>
      <c r="AD599" s="54" t="str">
        <f t="shared" si="138"/>
        <v/>
      </c>
      <c r="AE599" s="55">
        <f t="shared" si="139"/>
        <v>0</v>
      </c>
      <c r="AF599" s="55">
        <f t="shared" si="140"/>
        <v>0</v>
      </c>
      <c r="AG599" s="58">
        <f t="shared" si="141"/>
        <v>0</v>
      </c>
      <c r="AH599" s="203"/>
      <c r="AJ599" s="203"/>
      <c r="AL599" s="203"/>
      <c r="AM599" s="203" t="str">
        <f t="shared" si="142"/>
        <v/>
      </c>
    </row>
    <row r="600" spans="1:39" s="56" customFormat="1" ht="14.25">
      <c r="A600" s="44"/>
      <c r="B600" s="45"/>
      <c r="C600" s="46">
        <f>IF(B600&lt;&gt;"",VLOOKUP(B600,'Tipo Projeto'!$A$3:$B$35,2,0),0)</f>
        <v>0</v>
      </c>
      <c r="D600" s="203"/>
      <c r="E600" s="203"/>
      <c r="F600" s="48"/>
      <c r="G600" s="203"/>
      <c r="H600" s="49"/>
      <c r="I600" s="50"/>
      <c r="J600" s="51"/>
      <c r="K600" s="52"/>
      <c r="L600" s="53" t="str">
        <f t="shared" si="130"/>
        <v/>
      </c>
      <c r="M600" s="48" t="str">
        <f t="shared" si="131"/>
        <v/>
      </c>
      <c r="N600" s="54" t="str">
        <f t="shared" si="132"/>
        <v/>
      </c>
      <c r="O600" s="55">
        <f t="shared" si="133"/>
        <v>0</v>
      </c>
      <c r="P600" s="55">
        <f t="shared" si="134"/>
        <v>0</v>
      </c>
      <c r="Q600" s="54">
        <f t="shared" si="135"/>
        <v>0</v>
      </c>
      <c r="R600" s="203"/>
      <c r="T600" s="57"/>
      <c r="U600" s="45"/>
      <c r="V600" s="46">
        <f>IF(U600&lt;&gt;"",VLOOKUP(U600,'Tipo Projeto'!$A$3:$B$35,2,0),0)</f>
        <v>0</v>
      </c>
      <c r="W600" s="203"/>
      <c r="X600" s="49"/>
      <c r="Y600" s="50"/>
      <c r="Z600" s="51"/>
      <c r="AA600" s="52"/>
      <c r="AB600" s="53" t="str">
        <f t="shared" si="136"/>
        <v/>
      </c>
      <c r="AC600" s="48" t="str">
        <f t="shared" si="137"/>
        <v/>
      </c>
      <c r="AD600" s="54" t="str">
        <f t="shared" si="138"/>
        <v/>
      </c>
      <c r="AE600" s="55">
        <f t="shared" si="139"/>
        <v>0</v>
      </c>
      <c r="AF600" s="55">
        <f t="shared" si="140"/>
        <v>0</v>
      </c>
      <c r="AG600" s="58">
        <f t="shared" si="141"/>
        <v>0</v>
      </c>
      <c r="AH600" s="203"/>
      <c r="AJ600" s="203"/>
      <c r="AL600" s="203"/>
      <c r="AM600" s="203" t="str">
        <f t="shared" si="142"/>
        <v/>
      </c>
    </row>
    <row r="601" spans="1:39" s="56" customFormat="1" ht="14.25">
      <c r="A601" s="44"/>
      <c r="B601" s="45"/>
      <c r="C601" s="46">
        <f>IF(B601&lt;&gt;"",VLOOKUP(B601,'Tipo Projeto'!$A$3:$B$35,2,0),0)</f>
        <v>0</v>
      </c>
      <c r="D601" s="203"/>
      <c r="E601" s="203"/>
      <c r="F601" s="48"/>
      <c r="G601" s="203"/>
      <c r="H601" s="49"/>
      <c r="I601" s="50"/>
      <c r="J601" s="51"/>
      <c r="K601" s="52"/>
      <c r="L601" s="53" t="str">
        <f t="shared" si="130"/>
        <v/>
      </c>
      <c r="M601" s="48" t="str">
        <f t="shared" si="131"/>
        <v/>
      </c>
      <c r="N601" s="54" t="str">
        <f t="shared" si="132"/>
        <v/>
      </c>
      <c r="O601" s="55">
        <f t="shared" si="133"/>
        <v>0</v>
      </c>
      <c r="P601" s="55">
        <f t="shared" si="134"/>
        <v>0</v>
      </c>
      <c r="Q601" s="54">
        <f t="shared" si="135"/>
        <v>0</v>
      </c>
      <c r="R601" s="203"/>
      <c r="T601" s="57"/>
      <c r="U601" s="45"/>
      <c r="V601" s="46">
        <f>IF(U601&lt;&gt;"",VLOOKUP(U601,'Tipo Projeto'!$A$3:$B$35,2,0),0)</f>
        <v>0</v>
      </c>
      <c r="W601" s="203"/>
      <c r="X601" s="49"/>
      <c r="Y601" s="50"/>
      <c r="Z601" s="51"/>
      <c r="AA601" s="52"/>
      <c r="AB601" s="53" t="str">
        <f t="shared" si="136"/>
        <v/>
      </c>
      <c r="AC601" s="48" t="str">
        <f t="shared" si="137"/>
        <v/>
      </c>
      <c r="AD601" s="54" t="str">
        <f t="shared" si="138"/>
        <v/>
      </c>
      <c r="AE601" s="55">
        <f t="shared" si="139"/>
        <v>0</v>
      </c>
      <c r="AF601" s="55">
        <f t="shared" si="140"/>
        <v>0</v>
      </c>
      <c r="AG601" s="58">
        <f t="shared" si="141"/>
        <v>0</v>
      </c>
      <c r="AH601" s="203"/>
      <c r="AJ601" s="203"/>
      <c r="AL601" s="203"/>
      <c r="AM601" s="203" t="str">
        <f t="shared" si="142"/>
        <v/>
      </c>
    </row>
    <row r="602" spans="1:39" s="56" customFormat="1" ht="14.25">
      <c r="A602" s="44"/>
      <c r="B602" s="45"/>
      <c r="C602" s="46">
        <f>IF(B602&lt;&gt;"",VLOOKUP(B602,'Tipo Projeto'!$A$3:$B$35,2,0),0)</f>
        <v>0</v>
      </c>
      <c r="D602" s="203"/>
      <c r="E602" s="203"/>
      <c r="F602" s="48"/>
      <c r="G602" s="203"/>
      <c r="H602" s="49"/>
      <c r="I602" s="50"/>
      <c r="J602" s="51"/>
      <c r="K602" s="52"/>
      <c r="L602" s="53" t="str">
        <f t="shared" si="130"/>
        <v/>
      </c>
      <c r="M602" s="48" t="str">
        <f t="shared" si="131"/>
        <v/>
      </c>
      <c r="N602" s="54" t="str">
        <f t="shared" si="132"/>
        <v/>
      </c>
      <c r="O602" s="55">
        <f t="shared" si="133"/>
        <v>0</v>
      </c>
      <c r="P602" s="55">
        <f t="shared" si="134"/>
        <v>0</v>
      </c>
      <c r="Q602" s="54">
        <f t="shared" si="135"/>
        <v>0</v>
      </c>
      <c r="R602" s="203"/>
      <c r="T602" s="57"/>
      <c r="U602" s="45"/>
      <c r="V602" s="46">
        <f>IF(U602&lt;&gt;"",VLOOKUP(U602,'Tipo Projeto'!$A$3:$B$35,2,0),0)</f>
        <v>0</v>
      </c>
      <c r="W602" s="203"/>
      <c r="X602" s="49"/>
      <c r="Y602" s="50"/>
      <c r="Z602" s="51"/>
      <c r="AA602" s="52"/>
      <c r="AB602" s="53" t="str">
        <f t="shared" si="136"/>
        <v/>
      </c>
      <c r="AC602" s="48" t="str">
        <f t="shared" si="137"/>
        <v/>
      </c>
      <c r="AD602" s="54" t="str">
        <f t="shared" si="138"/>
        <v/>
      </c>
      <c r="AE602" s="55">
        <f t="shared" si="139"/>
        <v>0</v>
      </c>
      <c r="AF602" s="55">
        <f t="shared" si="140"/>
        <v>0</v>
      </c>
      <c r="AG602" s="58">
        <f t="shared" si="141"/>
        <v>0</v>
      </c>
      <c r="AH602" s="203"/>
      <c r="AJ602" s="203"/>
      <c r="AL602" s="203"/>
      <c r="AM602" s="203" t="str">
        <f t="shared" si="142"/>
        <v/>
      </c>
    </row>
    <row r="603" spans="1:39" s="56" customFormat="1" ht="14.25">
      <c r="A603" s="44"/>
      <c r="B603" s="45"/>
      <c r="C603" s="46">
        <f>IF(B603&lt;&gt;"",VLOOKUP(B603,'Tipo Projeto'!$A$3:$B$35,2,0),0)</f>
        <v>0</v>
      </c>
      <c r="D603" s="203"/>
      <c r="E603" s="203"/>
      <c r="F603" s="48"/>
      <c r="G603" s="203"/>
      <c r="H603" s="49"/>
      <c r="I603" s="50"/>
      <c r="J603" s="51"/>
      <c r="K603" s="52"/>
      <c r="L603" s="53" t="str">
        <f t="shared" si="130"/>
        <v/>
      </c>
      <c r="M603" s="48" t="str">
        <f t="shared" si="131"/>
        <v/>
      </c>
      <c r="N603" s="54" t="str">
        <f t="shared" si="132"/>
        <v/>
      </c>
      <c r="O603" s="55">
        <f t="shared" si="133"/>
        <v>0</v>
      </c>
      <c r="P603" s="55">
        <f t="shared" si="134"/>
        <v>0</v>
      </c>
      <c r="Q603" s="54">
        <f t="shared" si="135"/>
        <v>0</v>
      </c>
      <c r="R603" s="203"/>
      <c r="T603" s="57"/>
      <c r="U603" s="45"/>
      <c r="V603" s="46">
        <f>IF(U603&lt;&gt;"",VLOOKUP(U603,'Tipo Projeto'!$A$3:$B$35,2,0),0)</f>
        <v>0</v>
      </c>
      <c r="W603" s="203"/>
      <c r="X603" s="49"/>
      <c r="Y603" s="50"/>
      <c r="Z603" s="51"/>
      <c r="AA603" s="52"/>
      <c r="AB603" s="53" t="str">
        <f t="shared" si="136"/>
        <v/>
      </c>
      <c r="AC603" s="48" t="str">
        <f t="shared" si="137"/>
        <v/>
      </c>
      <c r="AD603" s="54" t="str">
        <f t="shared" si="138"/>
        <v/>
      </c>
      <c r="AE603" s="55">
        <f t="shared" si="139"/>
        <v>0</v>
      </c>
      <c r="AF603" s="55">
        <f t="shared" si="140"/>
        <v>0</v>
      </c>
      <c r="AG603" s="58">
        <f t="shared" si="141"/>
        <v>0</v>
      </c>
      <c r="AH603" s="203"/>
      <c r="AJ603" s="203"/>
      <c r="AL603" s="203"/>
      <c r="AM603" s="203" t="str">
        <f t="shared" si="142"/>
        <v/>
      </c>
    </row>
    <row r="604" spans="1:39" s="56" customFormat="1" ht="14.25">
      <c r="A604" s="44"/>
      <c r="B604" s="45"/>
      <c r="C604" s="46">
        <f>IF(B604&lt;&gt;"",VLOOKUP(B604,'Tipo Projeto'!$A$3:$B$35,2,0),0)</f>
        <v>0</v>
      </c>
      <c r="D604" s="203"/>
      <c r="E604" s="203"/>
      <c r="F604" s="48"/>
      <c r="G604" s="203"/>
      <c r="H604" s="49"/>
      <c r="I604" s="50"/>
      <c r="J604" s="51"/>
      <c r="K604" s="52"/>
      <c r="L604" s="53" t="str">
        <f t="shared" si="130"/>
        <v/>
      </c>
      <c r="M604" s="48" t="str">
        <f t="shared" si="131"/>
        <v/>
      </c>
      <c r="N604" s="54" t="str">
        <f t="shared" si="132"/>
        <v/>
      </c>
      <c r="O604" s="55">
        <f t="shared" si="133"/>
        <v>0</v>
      </c>
      <c r="P604" s="55">
        <f t="shared" si="134"/>
        <v>0</v>
      </c>
      <c r="Q604" s="54">
        <f t="shared" si="135"/>
        <v>0</v>
      </c>
      <c r="R604" s="203"/>
      <c r="T604" s="57"/>
      <c r="U604" s="45"/>
      <c r="V604" s="46">
        <f>IF(U604&lt;&gt;"",VLOOKUP(U604,'Tipo Projeto'!$A$3:$B$35,2,0),0)</f>
        <v>0</v>
      </c>
      <c r="W604" s="203"/>
      <c r="X604" s="49"/>
      <c r="Y604" s="50"/>
      <c r="Z604" s="51"/>
      <c r="AA604" s="52"/>
      <c r="AB604" s="53" t="str">
        <f t="shared" si="136"/>
        <v/>
      </c>
      <c r="AC604" s="48" t="str">
        <f t="shared" si="137"/>
        <v/>
      </c>
      <c r="AD604" s="54" t="str">
        <f t="shared" si="138"/>
        <v/>
      </c>
      <c r="AE604" s="55">
        <f t="shared" si="139"/>
        <v>0</v>
      </c>
      <c r="AF604" s="55">
        <f t="shared" si="140"/>
        <v>0</v>
      </c>
      <c r="AG604" s="58">
        <f t="shared" si="141"/>
        <v>0</v>
      </c>
      <c r="AH604" s="203"/>
      <c r="AJ604" s="203"/>
      <c r="AL604" s="203"/>
      <c r="AM604" s="203" t="str">
        <f t="shared" si="142"/>
        <v/>
      </c>
    </row>
    <row r="605" spans="1:39" s="56" customFormat="1" ht="14.25">
      <c r="A605" s="44"/>
      <c r="B605" s="45"/>
      <c r="C605" s="46">
        <f>IF(B605&lt;&gt;"",VLOOKUP(B605,'Tipo Projeto'!$A$3:$B$35,2,0),0)</f>
        <v>0</v>
      </c>
      <c r="D605" s="203"/>
      <c r="E605" s="203"/>
      <c r="F605" s="48"/>
      <c r="G605" s="203"/>
      <c r="H605" s="49"/>
      <c r="I605" s="50"/>
      <c r="J605" s="51"/>
      <c r="K605" s="52"/>
      <c r="L605" s="53" t="str">
        <f t="shared" si="130"/>
        <v/>
      </c>
      <c r="M605" s="48" t="str">
        <f t="shared" si="131"/>
        <v/>
      </c>
      <c r="N605" s="54" t="str">
        <f t="shared" si="132"/>
        <v/>
      </c>
      <c r="O605" s="55">
        <f t="shared" si="133"/>
        <v>0</v>
      </c>
      <c r="P605" s="55">
        <f t="shared" si="134"/>
        <v>0</v>
      </c>
      <c r="Q605" s="54">
        <f t="shared" si="135"/>
        <v>0</v>
      </c>
      <c r="R605" s="203"/>
      <c r="T605" s="57"/>
      <c r="U605" s="45"/>
      <c r="V605" s="46">
        <f>IF(U605&lt;&gt;"",VLOOKUP(U605,'Tipo Projeto'!$A$3:$B$35,2,0),0)</f>
        <v>0</v>
      </c>
      <c r="W605" s="203"/>
      <c r="X605" s="49"/>
      <c r="Y605" s="50"/>
      <c r="Z605" s="51"/>
      <c r="AA605" s="52"/>
      <c r="AB605" s="53" t="str">
        <f t="shared" si="136"/>
        <v/>
      </c>
      <c r="AC605" s="48" t="str">
        <f t="shared" si="137"/>
        <v/>
      </c>
      <c r="AD605" s="54" t="str">
        <f t="shared" si="138"/>
        <v/>
      </c>
      <c r="AE605" s="55">
        <f t="shared" si="139"/>
        <v>0</v>
      </c>
      <c r="AF605" s="55">
        <f t="shared" si="140"/>
        <v>0</v>
      </c>
      <c r="AG605" s="58">
        <f t="shared" si="141"/>
        <v>0</v>
      </c>
      <c r="AH605" s="203"/>
      <c r="AJ605" s="203"/>
      <c r="AL605" s="203"/>
      <c r="AM605" s="203" t="str">
        <f t="shared" si="142"/>
        <v/>
      </c>
    </row>
    <row r="606" spans="1:39" s="56" customFormat="1" ht="14.25">
      <c r="A606" s="44"/>
      <c r="B606" s="45"/>
      <c r="C606" s="46">
        <f>IF(B606&lt;&gt;"",VLOOKUP(B606,'Tipo Projeto'!$A$3:$B$35,2,0),0)</f>
        <v>0</v>
      </c>
      <c r="D606" s="203"/>
      <c r="E606" s="203"/>
      <c r="F606" s="48"/>
      <c r="G606" s="203"/>
      <c r="H606" s="49"/>
      <c r="I606" s="50"/>
      <c r="J606" s="51"/>
      <c r="K606" s="52"/>
      <c r="L606" s="53" t="str">
        <f t="shared" si="130"/>
        <v/>
      </c>
      <c r="M606" s="48" t="str">
        <f t="shared" si="131"/>
        <v/>
      </c>
      <c r="N606" s="54" t="str">
        <f t="shared" si="132"/>
        <v/>
      </c>
      <c r="O606" s="55">
        <f t="shared" si="133"/>
        <v>0</v>
      </c>
      <c r="P606" s="55">
        <f t="shared" si="134"/>
        <v>0</v>
      </c>
      <c r="Q606" s="54">
        <f t="shared" si="135"/>
        <v>0</v>
      </c>
      <c r="R606" s="203"/>
      <c r="T606" s="57"/>
      <c r="U606" s="45"/>
      <c r="V606" s="46">
        <f>IF(U606&lt;&gt;"",VLOOKUP(U606,'Tipo Projeto'!$A$3:$B$35,2,0),0)</f>
        <v>0</v>
      </c>
      <c r="W606" s="203"/>
      <c r="X606" s="49"/>
      <c r="Y606" s="50"/>
      <c r="Z606" s="51"/>
      <c r="AA606" s="52"/>
      <c r="AB606" s="53" t="str">
        <f t="shared" si="136"/>
        <v/>
      </c>
      <c r="AC606" s="48" t="str">
        <f t="shared" si="137"/>
        <v/>
      </c>
      <c r="AD606" s="54" t="str">
        <f t="shared" si="138"/>
        <v/>
      </c>
      <c r="AE606" s="55">
        <f t="shared" si="139"/>
        <v>0</v>
      </c>
      <c r="AF606" s="55">
        <f t="shared" si="140"/>
        <v>0</v>
      </c>
      <c r="AG606" s="58">
        <f t="shared" si="141"/>
        <v>0</v>
      </c>
      <c r="AH606" s="203"/>
      <c r="AJ606" s="203"/>
      <c r="AL606" s="203"/>
      <c r="AM606" s="203" t="str">
        <f t="shared" si="142"/>
        <v/>
      </c>
    </row>
    <row r="607" spans="1:39" s="56" customFormat="1" ht="14.25">
      <c r="A607" s="44"/>
      <c r="B607" s="45"/>
      <c r="C607" s="46">
        <f>IF(B607&lt;&gt;"",VLOOKUP(B607,'Tipo Projeto'!$A$3:$B$35,2,0),0)</f>
        <v>0</v>
      </c>
      <c r="D607" s="203"/>
      <c r="E607" s="203"/>
      <c r="F607" s="48"/>
      <c r="G607" s="203"/>
      <c r="H607" s="49"/>
      <c r="I607" s="50"/>
      <c r="J607" s="51"/>
      <c r="K607" s="52"/>
      <c r="L607" s="53" t="str">
        <f t="shared" si="130"/>
        <v/>
      </c>
      <c r="M607" s="48" t="str">
        <f t="shared" si="131"/>
        <v/>
      </c>
      <c r="N607" s="54" t="str">
        <f t="shared" si="132"/>
        <v/>
      </c>
      <c r="O607" s="55">
        <f t="shared" si="133"/>
        <v>0</v>
      </c>
      <c r="P607" s="55">
        <f t="shared" si="134"/>
        <v>0</v>
      </c>
      <c r="Q607" s="54">
        <f t="shared" si="135"/>
        <v>0</v>
      </c>
      <c r="R607" s="203"/>
      <c r="T607" s="57"/>
      <c r="U607" s="45"/>
      <c r="V607" s="46">
        <f>IF(U607&lt;&gt;"",VLOOKUP(U607,'Tipo Projeto'!$A$3:$B$35,2,0),0)</f>
        <v>0</v>
      </c>
      <c r="W607" s="203"/>
      <c r="X607" s="49"/>
      <c r="Y607" s="50"/>
      <c r="Z607" s="51"/>
      <c r="AA607" s="52"/>
      <c r="AB607" s="53" t="str">
        <f t="shared" si="136"/>
        <v/>
      </c>
      <c r="AC607" s="48" t="str">
        <f t="shared" si="137"/>
        <v/>
      </c>
      <c r="AD607" s="54" t="str">
        <f t="shared" si="138"/>
        <v/>
      </c>
      <c r="AE607" s="55">
        <f t="shared" si="139"/>
        <v>0</v>
      </c>
      <c r="AF607" s="55">
        <f t="shared" si="140"/>
        <v>0</v>
      </c>
      <c r="AG607" s="58">
        <f t="shared" si="141"/>
        <v>0</v>
      </c>
      <c r="AH607" s="203"/>
      <c r="AJ607" s="203"/>
      <c r="AL607" s="203"/>
      <c r="AM607" s="203" t="str">
        <f t="shared" si="142"/>
        <v/>
      </c>
    </row>
    <row r="608" spans="1:39" s="56" customFormat="1" ht="14.25">
      <c r="A608" s="44"/>
      <c r="B608" s="45"/>
      <c r="C608" s="46">
        <f>IF(B608&lt;&gt;"",VLOOKUP(B608,'Tipo Projeto'!$A$3:$B$35,2,0),0)</f>
        <v>0</v>
      </c>
      <c r="D608" s="203"/>
      <c r="E608" s="203"/>
      <c r="F608" s="48"/>
      <c r="G608" s="203"/>
      <c r="H608" s="49"/>
      <c r="I608" s="50"/>
      <c r="J608" s="51"/>
      <c r="K608" s="52"/>
      <c r="L608" s="53" t="str">
        <f t="shared" si="130"/>
        <v/>
      </c>
      <c r="M608" s="48" t="str">
        <f t="shared" si="131"/>
        <v/>
      </c>
      <c r="N608" s="54" t="str">
        <f t="shared" si="132"/>
        <v/>
      </c>
      <c r="O608" s="55">
        <f t="shared" si="133"/>
        <v>0</v>
      </c>
      <c r="P608" s="55">
        <f t="shared" si="134"/>
        <v>0</v>
      </c>
      <c r="Q608" s="54">
        <f t="shared" si="135"/>
        <v>0</v>
      </c>
      <c r="R608" s="203"/>
      <c r="T608" s="57"/>
      <c r="U608" s="45"/>
      <c r="V608" s="46">
        <f>IF(U608&lt;&gt;"",VLOOKUP(U608,'Tipo Projeto'!$A$3:$B$35,2,0),0)</f>
        <v>0</v>
      </c>
      <c r="W608" s="203"/>
      <c r="X608" s="49"/>
      <c r="Y608" s="50"/>
      <c r="Z608" s="51"/>
      <c r="AA608" s="52"/>
      <c r="AB608" s="53" t="str">
        <f t="shared" si="136"/>
        <v/>
      </c>
      <c r="AC608" s="48" t="str">
        <f t="shared" si="137"/>
        <v/>
      </c>
      <c r="AD608" s="54" t="str">
        <f t="shared" si="138"/>
        <v/>
      </c>
      <c r="AE608" s="55">
        <f t="shared" si="139"/>
        <v>0</v>
      </c>
      <c r="AF608" s="55">
        <f t="shared" si="140"/>
        <v>0</v>
      </c>
      <c r="AG608" s="58">
        <f t="shared" si="141"/>
        <v>0</v>
      </c>
      <c r="AH608" s="203"/>
      <c r="AJ608" s="203"/>
      <c r="AL608" s="203"/>
      <c r="AM608" s="203" t="str">
        <f t="shared" si="142"/>
        <v/>
      </c>
    </row>
    <row r="609" spans="1:39" s="56" customFormat="1" ht="14.25">
      <c r="A609" s="44"/>
      <c r="B609" s="45"/>
      <c r="C609" s="46">
        <f>IF(B609&lt;&gt;"",VLOOKUP(B609,'Tipo Projeto'!$A$3:$B$35,2,0),0)</f>
        <v>0</v>
      </c>
      <c r="D609" s="203"/>
      <c r="E609" s="203"/>
      <c r="F609" s="48"/>
      <c r="G609" s="203"/>
      <c r="H609" s="49"/>
      <c r="I609" s="50"/>
      <c r="J609" s="51"/>
      <c r="K609" s="52"/>
      <c r="L609" s="53" t="str">
        <f t="shared" si="130"/>
        <v/>
      </c>
      <c r="M609" s="48" t="str">
        <f t="shared" si="131"/>
        <v/>
      </c>
      <c r="N609" s="54" t="str">
        <f t="shared" si="132"/>
        <v/>
      </c>
      <c r="O609" s="55">
        <f t="shared" si="133"/>
        <v>0</v>
      </c>
      <c r="P609" s="55">
        <f t="shared" si="134"/>
        <v>0</v>
      </c>
      <c r="Q609" s="54">
        <f t="shared" si="135"/>
        <v>0</v>
      </c>
      <c r="R609" s="203"/>
      <c r="T609" s="57"/>
      <c r="U609" s="45"/>
      <c r="V609" s="46">
        <f>IF(U609&lt;&gt;"",VLOOKUP(U609,'Tipo Projeto'!$A$3:$B$35,2,0),0)</f>
        <v>0</v>
      </c>
      <c r="W609" s="203"/>
      <c r="X609" s="49"/>
      <c r="Y609" s="50"/>
      <c r="Z609" s="51"/>
      <c r="AA609" s="52"/>
      <c r="AB609" s="53" t="str">
        <f t="shared" si="136"/>
        <v/>
      </c>
      <c r="AC609" s="48" t="str">
        <f t="shared" si="137"/>
        <v/>
      </c>
      <c r="AD609" s="54" t="str">
        <f t="shared" si="138"/>
        <v/>
      </c>
      <c r="AE609" s="55">
        <f t="shared" si="139"/>
        <v>0</v>
      </c>
      <c r="AF609" s="55">
        <f t="shared" si="140"/>
        <v>0</v>
      </c>
      <c r="AG609" s="58">
        <f t="shared" si="141"/>
        <v>0</v>
      </c>
      <c r="AH609" s="203"/>
      <c r="AJ609" s="203"/>
      <c r="AL609" s="203"/>
      <c r="AM609" s="203" t="str">
        <f t="shared" si="142"/>
        <v/>
      </c>
    </row>
    <row r="610" spans="1:39" s="56" customFormat="1" ht="14.25">
      <c r="A610" s="44"/>
      <c r="B610" s="45"/>
      <c r="C610" s="46">
        <f>IF(B610&lt;&gt;"",VLOOKUP(B610,'Tipo Projeto'!$A$3:$B$35,2,0),0)</f>
        <v>0</v>
      </c>
      <c r="D610" s="203"/>
      <c r="E610" s="203"/>
      <c r="F610" s="48"/>
      <c r="G610" s="203"/>
      <c r="H610" s="49"/>
      <c r="I610" s="50"/>
      <c r="J610" s="51"/>
      <c r="K610" s="52"/>
      <c r="L610" s="53" t="str">
        <f t="shared" si="130"/>
        <v/>
      </c>
      <c r="M610" s="48" t="str">
        <f t="shared" si="131"/>
        <v/>
      </c>
      <c r="N610" s="54" t="str">
        <f t="shared" si="132"/>
        <v/>
      </c>
      <c r="O610" s="55">
        <f t="shared" si="133"/>
        <v>0</v>
      </c>
      <c r="P610" s="55">
        <f t="shared" si="134"/>
        <v>0</v>
      </c>
      <c r="Q610" s="54">
        <f t="shared" si="135"/>
        <v>0</v>
      </c>
      <c r="R610" s="203"/>
      <c r="T610" s="57"/>
      <c r="U610" s="45"/>
      <c r="V610" s="46">
        <f>IF(U610&lt;&gt;"",VLOOKUP(U610,'Tipo Projeto'!$A$3:$B$35,2,0),0)</f>
        <v>0</v>
      </c>
      <c r="W610" s="203"/>
      <c r="X610" s="49"/>
      <c r="Y610" s="50"/>
      <c r="Z610" s="51"/>
      <c r="AA610" s="52"/>
      <c r="AB610" s="53" t="str">
        <f t="shared" si="136"/>
        <v/>
      </c>
      <c r="AC610" s="48" t="str">
        <f t="shared" si="137"/>
        <v/>
      </c>
      <c r="AD610" s="54" t="str">
        <f t="shared" si="138"/>
        <v/>
      </c>
      <c r="AE610" s="55">
        <f t="shared" si="139"/>
        <v>0</v>
      </c>
      <c r="AF610" s="55">
        <f t="shared" si="140"/>
        <v>0</v>
      </c>
      <c r="AG610" s="58">
        <f t="shared" si="141"/>
        <v>0</v>
      </c>
      <c r="AH610" s="203"/>
      <c r="AJ610" s="203"/>
      <c r="AL610" s="203"/>
      <c r="AM610" s="203" t="str">
        <f t="shared" si="142"/>
        <v/>
      </c>
    </row>
    <row r="611" spans="1:39" s="56" customFormat="1" ht="14.25">
      <c r="A611" s="44"/>
      <c r="B611" s="45"/>
      <c r="C611" s="46">
        <f>IF(B611&lt;&gt;"",VLOOKUP(B611,'Tipo Projeto'!$A$3:$B$35,2,0),0)</f>
        <v>0</v>
      </c>
      <c r="D611" s="203"/>
      <c r="E611" s="203"/>
      <c r="F611" s="48"/>
      <c r="G611" s="203"/>
      <c r="H611" s="49"/>
      <c r="I611" s="50"/>
      <c r="J611" s="51"/>
      <c r="K611" s="52"/>
      <c r="L611" s="53" t="str">
        <f t="shared" si="130"/>
        <v/>
      </c>
      <c r="M611" s="48" t="str">
        <f t="shared" si="131"/>
        <v/>
      </c>
      <c r="N611" s="54" t="str">
        <f t="shared" si="132"/>
        <v/>
      </c>
      <c r="O611" s="55">
        <f t="shared" si="133"/>
        <v>0</v>
      </c>
      <c r="P611" s="55">
        <f t="shared" si="134"/>
        <v>0</v>
      </c>
      <c r="Q611" s="54">
        <f t="shared" si="135"/>
        <v>0</v>
      </c>
      <c r="R611" s="203"/>
      <c r="T611" s="57"/>
      <c r="U611" s="45"/>
      <c r="V611" s="46">
        <f>IF(U611&lt;&gt;"",VLOOKUP(U611,'Tipo Projeto'!$A$3:$B$35,2,0),0)</f>
        <v>0</v>
      </c>
      <c r="W611" s="203"/>
      <c r="X611" s="49"/>
      <c r="Y611" s="50"/>
      <c r="Z611" s="51"/>
      <c r="AA611" s="52"/>
      <c r="AB611" s="53" t="str">
        <f t="shared" si="136"/>
        <v/>
      </c>
      <c r="AC611" s="48" t="str">
        <f t="shared" si="137"/>
        <v/>
      </c>
      <c r="AD611" s="54" t="str">
        <f t="shared" si="138"/>
        <v/>
      </c>
      <c r="AE611" s="55">
        <f t="shared" si="139"/>
        <v>0</v>
      </c>
      <c r="AF611" s="55">
        <f t="shared" si="140"/>
        <v>0</v>
      </c>
      <c r="AG611" s="58">
        <f t="shared" si="141"/>
        <v>0</v>
      </c>
      <c r="AH611" s="203"/>
      <c r="AJ611" s="203"/>
      <c r="AL611" s="203"/>
      <c r="AM611" s="203" t="str">
        <f t="shared" si="142"/>
        <v/>
      </c>
    </row>
    <row r="612" spans="1:39" s="56" customFormat="1" ht="14.25">
      <c r="A612" s="44"/>
      <c r="B612" s="45"/>
      <c r="C612" s="46">
        <f>IF(B612&lt;&gt;"",VLOOKUP(B612,'Tipo Projeto'!$A$3:$B$35,2,0),0)</f>
        <v>0</v>
      </c>
      <c r="D612" s="203"/>
      <c r="E612" s="203"/>
      <c r="F612" s="48"/>
      <c r="G612" s="203"/>
      <c r="H612" s="49"/>
      <c r="I612" s="50"/>
      <c r="J612" s="51"/>
      <c r="K612" s="52"/>
      <c r="L612" s="53" t="str">
        <f t="shared" si="130"/>
        <v/>
      </c>
      <c r="M612" s="48" t="str">
        <f t="shared" si="131"/>
        <v/>
      </c>
      <c r="N612" s="54" t="str">
        <f t="shared" si="132"/>
        <v/>
      </c>
      <c r="O612" s="55">
        <f t="shared" si="133"/>
        <v>0</v>
      </c>
      <c r="P612" s="55">
        <f t="shared" si="134"/>
        <v>0</v>
      </c>
      <c r="Q612" s="54">
        <f t="shared" si="135"/>
        <v>0</v>
      </c>
      <c r="R612" s="203"/>
      <c r="T612" s="57"/>
      <c r="U612" s="45"/>
      <c r="V612" s="46">
        <f>IF(U612&lt;&gt;"",VLOOKUP(U612,'Tipo Projeto'!$A$3:$B$35,2,0),0)</f>
        <v>0</v>
      </c>
      <c r="W612" s="203"/>
      <c r="X612" s="49"/>
      <c r="Y612" s="50"/>
      <c r="Z612" s="51"/>
      <c r="AA612" s="52"/>
      <c r="AB612" s="53" t="str">
        <f t="shared" si="136"/>
        <v/>
      </c>
      <c r="AC612" s="48" t="str">
        <f t="shared" si="137"/>
        <v/>
      </c>
      <c r="AD612" s="54" t="str">
        <f t="shared" si="138"/>
        <v/>
      </c>
      <c r="AE612" s="55">
        <f t="shared" si="139"/>
        <v>0</v>
      </c>
      <c r="AF612" s="55">
        <f t="shared" si="140"/>
        <v>0</v>
      </c>
      <c r="AG612" s="58">
        <f t="shared" si="141"/>
        <v>0</v>
      </c>
      <c r="AH612" s="203"/>
      <c r="AJ612" s="203"/>
      <c r="AL612" s="203"/>
      <c r="AM612" s="203" t="str">
        <f t="shared" si="142"/>
        <v/>
      </c>
    </row>
    <row r="613" spans="1:39" s="56" customFormat="1" ht="14.25">
      <c r="A613" s="44"/>
      <c r="B613" s="45"/>
      <c r="C613" s="46">
        <f>IF(B613&lt;&gt;"",VLOOKUP(B613,'Tipo Projeto'!$A$3:$B$35,2,0),0)</f>
        <v>0</v>
      </c>
      <c r="D613" s="203"/>
      <c r="E613" s="203"/>
      <c r="F613" s="48"/>
      <c r="G613" s="203"/>
      <c r="H613" s="49"/>
      <c r="I613" s="50"/>
      <c r="J613" s="51"/>
      <c r="K613" s="52"/>
      <c r="L613" s="53" t="str">
        <f t="shared" si="130"/>
        <v/>
      </c>
      <c r="M613" s="48" t="str">
        <f t="shared" si="131"/>
        <v/>
      </c>
      <c r="N613" s="54" t="str">
        <f t="shared" si="132"/>
        <v/>
      </c>
      <c r="O613" s="55">
        <f t="shared" si="133"/>
        <v>0</v>
      </c>
      <c r="P613" s="55">
        <f t="shared" si="134"/>
        <v>0</v>
      </c>
      <c r="Q613" s="54">
        <f t="shared" si="135"/>
        <v>0</v>
      </c>
      <c r="R613" s="203"/>
      <c r="T613" s="57"/>
      <c r="U613" s="45"/>
      <c r="V613" s="46">
        <f>IF(U613&lt;&gt;"",VLOOKUP(U613,'Tipo Projeto'!$A$3:$B$35,2,0),0)</f>
        <v>0</v>
      </c>
      <c r="W613" s="203"/>
      <c r="X613" s="49"/>
      <c r="Y613" s="50"/>
      <c r="Z613" s="51"/>
      <c r="AA613" s="52"/>
      <c r="AB613" s="53" t="str">
        <f t="shared" si="136"/>
        <v/>
      </c>
      <c r="AC613" s="48" t="str">
        <f t="shared" si="137"/>
        <v/>
      </c>
      <c r="AD613" s="54" t="str">
        <f t="shared" si="138"/>
        <v/>
      </c>
      <c r="AE613" s="55">
        <f t="shared" si="139"/>
        <v>0</v>
      </c>
      <c r="AF613" s="55">
        <f t="shared" si="140"/>
        <v>0</v>
      </c>
      <c r="AG613" s="58">
        <f t="shared" si="141"/>
        <v>0</v>
      </c>
      <c r="AH613" s="203"/>
      <c r="AJ613" s="203"/>
      <c r="AL613" s="203"/>
      <c r="AM613" s="203" t="str">
        <f t="shared" si="142"/>
        <v/>
      </c>
    </row>
    <row r="614" spans="1:39" s="56" customFormat="1" ht="14.25">
      <c r="A614" s="44"/>
      <c r="B614" s="45"/>
      <c r="C614" s="46">
        <f>IF(B614&lt;&gt;"",VLOOKUP(B614,'Tipo Projeto'!$A$3:$B$35,2,0),0)</f>
        <v>0</v>
      </c>
      <c r="D614" s="203"/>
      <c r="E614" s="203"/>
      <c r="F614" s="48"/>
      <c r="G614" s="203"/>
      <c r="H614" s="49"/>
      <c r="I614" s="50"/>
      <c r="J614" s="51"/>
      <c r="K614" s="52"/>
      <c r="L614" s="53" t="str">
        <f t="shared" si="130"/>
        <v/>
      </c>
      <c r="M614" s="48" t="str">
        <f t="shared" si="131"/>
        <v/>
      </c>
      <c r="N614" s="54" t="str">
        <f t="shared" si="132"/>
        <v/>
      </c>
      <c r="O614" s="55">
        <f t="shared" si="133"/>
        <v>0</v>
      </c>
      <c r="P614" s="55">
        <f t="shared" si="134"/>
        <v>0</v>
      </c>
      <c r="Q614" s="54">
        <f t="shared" si="135"/>
        <v>0</v>
      </c>
      <c r="R614" s="203"/>
      <c r="T614" s="57"/>
      <c r="U614" s="45"/>
      <c r="V614" s="46">
        <f>IF(U614&lt;&gt;"",VLOOKUP(U614,'Tipo Projeto'!$A$3:$B$35,2,0),0)</f>
        <v>0</v>
      </c>
      <c r="W614" s="203"/>
      <c r="X614" s="49"/>
      <c r="Y614" s="50"/>
      <c r="Z614" s="51"/>
      <c r="AA614" s="52"/>
      <c r="AB614" s="53" t="str">
        <f t="shared" si="136"/>
        <v/>
      </c>
      <c r="AC614" s="48" t="str">
        <f t="shared" si="137"/>
        <v/>
      </c>
      <c r="AD614" s="54" t="str">
        <f t="shared" si="138"/>
        <v/>
      </c>
      <c r="AE614" s="55">
        <f t="shared" si="139"/>
        <v>0</v>
      </c>
      <c r="AF614" s="55">
        <f t="shared" si="140"/>
        <v>0</v>
      </c>
      <c r="AG614" s="58">
        <f t="shared" si="141"/>
        <v>0</v>
      </c>
      <c r="AH614" s="203"/>
      <c r="AJ614" s="203"/>
      <c r="AL614" s="203"/>
      <c r="AM614" s="203" t="str">
        <f t="shared" si="142"/>
        <v/>
      </c>
    </row>
    <row r="615" spans="1:39" s="56" customFormat="1" ht="14.25">
      <c r="A615" s="44"/>
      <c r="B615" s="45"/>
      <c r="C615" s="46">
        <f>IF(B615&lt;&gt;"",VLOOKUP(B615,'Tipo Projeto'!$A$3:$B$35,2,0),0)</f>
        <v>0</v>
      </c>
      <c r="D615" s="203"/>
      <c r="E615" s="203"/>
      <c r="F615" s="48"/>
      <c r="G615" s="203"/>
      <c r="H615" s="49"/>
      <c r="I615" s="50"/>
      <c r="J615" s="51"/>
      <c r="K615" s="52"/>
      <c r="L615" s="53" t="str">
        <f t="shared" si="130"/>
        <v/>
      </c>
      <c r="M615" s="48" t="str">
        <f t="shared" si="131"/>
        <v/>
      </c>
      <c r="N615" s="54" t="str">
        <f t="shared" si="132"/>
        <v/>
      </c>
      <c r="O615" s="55">
        <f t="shared" si="133"/>
        <v>0</v>
      </c>
      <c r="P615" s="55">
        <f t="shared" si="134"/>
        <v>0</v>
      </c>
      <c r="Q615" s="54">
        <f t="shared" si="135"/>
        <v>0</v>
      </c>
      <c r="R615" s="203"/>
      <c r="T615" s="57"/>
      <c r="U615" s="45"/>
      <c r="V615" s="46">
        <f>IF(U615&lt;&gt;"",VLOOKUP(U615,'Tipo Projeto'!$A$3:$B$35,2,0),0)</f>
        <v>0</v>
      </c>
      <c r="W615" s="203"/>
      <c r="X615" s="49"/>
      <c r="Y615" s="50"/>
      <c r="Z615" s="51"/>
      <c r="AA615" s="52"/>
      <c r="AB615" s="53" t="str">
        <f t="shared" si="136"/>
        <v/>
      </c>
      <c r="AC615" s="48" t="str">
        <f t="shared" si="137"/>
        <v/>
      </c>
      <c r="AD615" s="54" t="str">
        <f t="shared" si="138"/>
        <v/>
      </c>
      <c r="AE615" s="55">
        <f t="shared" si="139"/>
        <v>0</v>
      </c>
      <c r="AF615" s="55">
        <f t="shared" si="140"/>
        <v>0</v>
      </c>
      <c r="AG615" s="58">
        <f t="shared" si="141"/>
        <v>0</v>
      </c>
      <c r="AH615" s="203"/>
      <c r="AJ615" s="203"/>
      <c r="AL615" s="203"/>
      <c r="AM615" s="203" t="str">
        <f t="shared" si="142"/>
        <v/>
      </c>
    </row>
    <row r="616" spans="1:39" s="56" customFormat="1" ht="14.25">
      <c r="A616" s="44"/>
      <c r="B616" s="45"/>
      <c r="C616" s="46">
        <f>IF(B616&lt;&gt;"",VLOOKUP(B616,'Tipo Projeto'!$A$3:$B$35,2,0),0)</f>
        <v>0</v>
      </c>
      <c r="D616" s="203"/>
      <c r="E616" s="203"/>
      <c r="F616" s="48"/>
      <c r="G616" s="203"/>
      <c r="H616" s="49"/>
      <c r="I616" s="50"/>
      <c r="J616" s="51"/>
      <c r="K616" s="52"/>
      <c r="L616" s="53" t="str">
        <f t="shared" si="130"/>
        <v/>
      </c>
      <c r="M616" s="48" t="str">
        <f t="shared" si="131"/>
        <v/>
      </c>
      <c r="N616" s="54" t="str">
        <f t="shared" si="132"/>
        <v/>
      </c>
      <c r="O616" s="55">
        <f t="shared" si="133"/>
        <v>0</v>
      </c>
      <c r="P616" s="55">
        <f t="shared" si="134"/>
        <v>0</v>
      </c>
      <c r="Q616" s="54">
        <f t="shared" si="135"/>
        <v>0</v>
      </c>
      <c r="R616" s="203"/>
      <c r="T616" s="57"/>
      <c r="U616" s="45"/>
      <c r="V616" s="46">
        <f>IF(U616&lt;&gt;"",VLOOKUP(U616,'Tipo Projeto'!$A$3:$B$35,2,0),0)</f>
        <v>0</v>
      </c>
      <c r="W616" s="203"/>
      <c r="X616" s="49"/>
      <c r="Y616" s="50"/>
      <c r="Z616" s="51"/>
      <c r="AA616" s="52"/>
      <c r="AB616" s="53" t="str">
        <f t="shared" si="136"/>
        <v/>
      </c>
      <c r="AC616" s="48" t="str">
        <f t="shared" si="137"/>
        <v/>
      </c>
      <c r="AD616" s="54" t="str">
        <f t="shared" si="138"/>
        <v/>
      </c>
      <c r="AE616" s="55">
        <f t="shared" si="139"/>
        <v>0</v>
      </c>
      <c r="AF616" s="55">
        <f t="shared" si="140"/>
        <v>0</v>
      </c>
      <c r="AG616" s="58">
        <f t="shared" si="141"/>
        <v>0</v>
      </c>
      <c r="AH616" s="203"/>
      <c r="AJ616" s="203"/>
      <c r="AL616" s="203"/>
      <c r="AM616" s="203" t="str">
        <f t="shared" si="142"/>
        <v/>
      </c>
    </row>
    <row r="617" spans="1:39" s="56" customFormat="1" ht="14.25">
      <c r="A617" s="44"/>
      <c r="B617" s="45"/>
      <c r="C617" s="46">
        <f>IF(B617&lt;&gt;"",VLOOKUP(B617,'Tipo Projeto'!$A$3:$B$35,2,0),0)</f>
        <v>0</v>
      </c>
      <c r="D617" s="203"/>
      <c r="E617" s="203"/>
      <c r="F617" s="48"/>
      <c r="G617" s="203"/>
      <c r="H617" s="49"/>
      <c r="I617" s="50"/>
      <c r="J617" s="51"/>
      <c r="K617" s="52"/>
      <c r="L617" s="53" t="str">
        <f t="shared" si="130"/>
        <v/>
      </c>
      <c r="M617" s="48" t="str">
        <f t="shared" si="131"/>
        <v/>
      </c>
      <c r="N617" s="54" t="str">
        <f t="shared" si="132"/>
        <v/>
      </c>
      <c r="O617" s="55">
        <f t="shared" si="133"/>
        <v>0</v>
      </c>
      <c r="P617" s="55">
        <f t="shared" si="134"/>
        <v>0</v>
      </c>
      <c r="Q617" s="54">
        <f t="shared" si="135"/>
        <v>0</v>
      </c>
      <c r="R617" s="203"/>
      <c r="T617" s="57"/>
      <c r="U617" s="45"/>
      <c r="V617" s="46">
        <f>IF(U617&lt;&gt;"",VLOOKUP(U617,'Tipo Projeto'!$A$3:$B$35,2,0),0)</f>
        <v>0</v>
      </c>
      <c r="W617" s="203"/>
      <c r="X617" s="49"/>
      <c r="Y617" s="50"/>
      <c r="Z617" s="51"/>
      <c r="AA617" s="52"/>
      <c r="AB617" s="53" t="str">
        <f t="shared" si="136"/>
        <v/>
      </c>
      <c r="AC617" s="48" t="str">
        <f t="shared" si="137"/>
        <v/>
      </c>
      <c r="AD617" s="54" t="str">
        <f t="shared" si="138"/>
        <v/>
      </c>
      <c r="AE617" s="55">
        <f t="shared" si="139"/>
        <v>0</v>
      </c>
      <c r="AF617" s="55">
        <f t="shared" si="140"/>
        <v>0</v>
      </c>
      <c r="AG617" s="58">
        <f t="shared" si="141"/>
        <v>0</v>
      </c>
      <c r="AH617" s="203"/>
      <c r="AJ617" s="203"/>
      <c r="AL617" s="203"/>
      <c r="AM617" s="203" t="str">
        <f t="shared" si="142"/>
        <v/>
      </c>
    </row>
    <row r="618" spans="1:39" s="56" customFormat="1" ht="14.25">
      <c r="A618" s="44"/>
      <c r="B618" s="45"/>
      <c r="C618" s="46">
        <f>IF(B618&lt;&gt;"",VLOOKUP(B618,'Tipo Projeto'!$A$3:$B$35,2,0),0)</f>
        <v>0</v>
      </c>
      <c r="D618" s="203"/>
      <c r="E618" s="203"/>
      <c r="F618" s="48"/>
      <c r="G618" s="203"/>
      <c r="H618" s="49"/>
      <c r="I618" s="50"/>
      <c r="J618" s="51"/>
      <c r="K618" s="52"/>
      <c r="L618" s="53" t="str">
        <f t="shared" si="130"/>
        <v/>
      </c>
      <c r="M618" s="48" t="str">
        <f t="shared" si="131"/>
        <v/>
      </c>
      <c r="N618" s="54" t="str">
        <f t="shared" si="132"/>
        <v/>
      </c>
      <c r="O618" s="55">
        <f t="shared" si="133"/>
        <v>0</v>
      </c>
      <c r="P618" s="55">
        <f t="shared" si="134"/>
        <v>0</v>
      </c>
      <c r="Q618" s="54">
        <f t="shared" si="135"/>
        <v>0</v>
      </c>
      <c r="R618" s="203"/>
      <c r="T618" s="57"/>
      <c r="U618" s="45"/>
      <c r="V618" s="46">
        <f>IF(U618&lt;&gt;"",VLOOKUP(U618,'Tipo Projeto'!$A$3:$B$35,2,0),0)</f>
        <v>0</v>
      </c>
      <c r="W618" s="203"/>
      <c r="X618" s="49"/>
      <c r="Y618" s="50"/>
      <c r="Z618" s="51"/>
      <c r="AA618" s="52"/>
      <c r="AB618" s="53" t="str">
        <f t="shared" si="136"/>
        <v/>
      </c>
      <c r="AC618" s="48" t="str">
        <f t="shared" si="137"/>
        <v/>
      </c>
      <c r="AD618" s="54" t="str">
        <f t="shared" si="138"/>
        <v/>
      </c>
      <c r="AE618" s="55">
        <f t="shared" si="139"/>
        <v>0</v>
      </c>
      <c r="AF618" s="55">
        <f t="shared" si="140"/>
        <v>0</v>
      </c>
      <c r="AG618" s="58">
        <f t="shared" si="141"/>
        <v>0</v>
      </c>
      <c r="AH618" s="203"/>
      <c r="AJ618" s="203"/>
      <c r="AL618" s="203"/>
      <c r="AM618" s="203" t="str">
        <f t="shared" si="142"/>
        <v/>
      </c>
    </row>
    <row r="619" spans="1:39" s="56" customFormat="1" ht="14.25">
      <c r="A619" s="44"/>
      <c r="B619" s="45"/>
      <c r="C619" s="46">
        <f>IF(B619&lt;&gt;"",VLOOKUP(B619,'Tipo Projeto'!$A$3:$B$35,2,0),0)</f>
        <v>0</v>
      </c>
      <c r="D619" s="203"/>
      <c r="E619" s="203"/>
      <c r="F619" s="48"/>
      <c r="G619" s="203"/>
      <c r="H619" s="49"/>
      <c r="I619" s="50"/>
      <c r="J619" s="51"/>
      <c r="K619" s="52"/>
      <c r="L619" s="53" t="str">
        <f t="shared" si="130"/>
        <v/>
      </c>
      <c r="M619" s="48" t="str">
        <f t="shared" si="131"/>
        <v/>
      </c>
      <c r="N619" s="54" t="str">
        <f t="shared" si="132"/>
        <v/>
      </c>
      <c r="O619" s="55">
        <f t="shared" si="133"/>
        <v>0</v>
      </c>
      <c r="P619" s="55">
        <f t="shared" si="134"/>
        <v>0</v>
      </c>
      <c r="Q619" s="54">
        <f t="shared" si="135"/>
        <v>0</v>
      </c>
      <c r="R619" s="203"/>
      <c r="T619" s="57"/>
      <c r="U619" s="45"/>
      <c r="V619" s="46">
        <f>IF(U619&lt;&gt;"",VLOOKUP(U619,'Tipo Projeto'!$A$3:$B$35,2,0),0)</f>
        <v>0</v>
      </c>
      <c r="W619" s="203"/>
      <c r="X619" s="49"/>
      <c r="Y619" s="50"/>
      <c r="Z619" s="51"/>
      <c r="AA619" s="52"/>
      <c r="AB619" s="53" t="str">
        <f t="shared" si="136"/>
        <v/>
      </c>
      <c r="AC619" s="48" t="str">
        <f t="shared" si="137"/>
        <v/>
      </c>
      <c r="AD619" s="54" t="str">
        <f t="shared" si="138"/>
        <v/>
      </c>
      <c r="AE619" s="55">
        <f t="shared" si="139"/>
        <v>0</v>
      </c>
      <c r="AF619" s="55">
        <f t="shared" si="140"/>
        <v>0</v>
      </c>
      <c r="AG619" s="58">
        <f t="shared" si="141"/>
        <v>0</v>
      </c>
      <c r="AH619" s="203"/>
      <c r="AJ619" s="203"/>
      <c r="AL619" s="203"/>
      <c r="AM619" s="203" t="str">
        <f t="shared" si="142"/>
        <v/>
      </c>
    </row>
    <row r="620" spans="1:39" s="56" customFormat="1" ht="14.25">
      <c r="A620" s="44"/>
      <c r="B620" s="45"/>
      <c r="C620" s="46">
        <f>IF(B620&lt;&gt;"",VLOOKUP(B620,'Tipo Projeto'!$A$3:$B$35,2,0),0)</f>
        <v>0</v>
      </c>
      <c r="D620" s="203"/>
      <c r="E620" s="203"/>
      <c r="F620" s="48"/>
      <c r="G620" s="203"/>
      <c r="H620" s="49"/>
      <c r="I620" s="50"/>
      <c r="J620" s="51"/>
      <c r="K620" s="52"/>
      <c r="L620" s="53" t="str">
        <f t="shared" si="130"/>
        <v/>
      </c>
      <c r="M620" s="48" t="str">
        <f t="shared" si="131"/>
        <v/>
      </c>
      <c r="N620" s="54" t="str">
        <f t="shared" si="132"/>
        <v/>
      </c>
      <c r="O620" s="55">
        <f t="shared" si="133"/>
        <v>0</v>
      </c>
      <c r="P620" s="55">
        <f t="shared" si="134"/>
        <v>0</v>
      </c>
      <c r="Q620" s="54">
        <f t="shared" si="135"/>
        <v>0</v>
      </c>
      <c r="R620" s="203"/>
      <c r="T620" s="57"/>
      <c r="U620" s="45"/>
      <c r="V620" s="46">
        <f>IF(U620&lt;&gt;"",VLOOKUP(U620,'Tipo Projeto'!$A$3:$B$35,2,0),0)</f>
        <v>0</v>
      </c>
      <c r="W620" s="203"/>
      <c r="X620" s="49"/>
      <c r="Y620" s="50"/>
      <c r="Z620" s="51"/>
      <c r="AA620" s="52"/>
      <c r="AB620" s="53" t="str">
        <f t="shared" si="136"/>
        <v/>
      </c>
      <c r="AC620" s="48" t="str">
        <f t="shared" si="137"/>
        <v/>
      </c>
      <c r="AD620" s="54" t="str">
        <f t="shared" si="138"/>
        <v/>
      </c>
      <c r="AE620" s="55">
        <f t="shared" si="139"/>
        <v>0</v>
      </c>
      <c r="AF620" s="55">
        <f t="shared" si="140"/>
        <v>0</v>
      </c>
      <c r="AG620" s="58">
        <f t="shared" si="141"/>
        <v>0</v>
      </c>
      <c r="AH620" s="203"/>
      <c r="AJ620" s="203"/>
      <c r="AL620" s="203"/>
      <c r="AM620" s="203" t="str">
        <f t="shared" si="142"/>
        <v/>
      </c>
    </row>
    <row r="621" spans="1:39" s="56" customFormat="1" ht="14.25">
      <c r="A621" s="44"/>
      <c r="B621" s="45"/>
      <c r="C621" s="46">
        <f>IF(B621&lt;&gt;"",VLOOKUP(B621,'Tipo Projeto'!$A$3:$B$35,2,0),0)</f>
        <v>0</v>
      </c>
      <c r="D621" s="203"/>
      <c r="E621" s="203"/>
      <c r="F621" s="48"/>
      <c r="G621" s="203"/>
      <c r="H621" s="49"/>
      <c r="I621" s="50"/>
      <c r="J621" s="51"/>
      <c r="K621" s="52"/>
      <c r="L621" s="53" t="str">
        <f t="shared" si="130"/>
        <v/>
      </c>
      <c r="M621" s="48" t="str">
        <f t="shared" si="131"/>
        <v/>
      </c>
      <c r="N621" s="54" t="str">
        <f t="shared" si="132"/>
        <v/>
      </c>
      <c r="O621" s="55">
        <f t="shared" si="133"/>
        <v>0</v>
      </c>
      <c r="P621" s="55">
        <f t="shared" si="134"/>
        <v>0</v>
      </c>
      <c r="Q621" s="54">
        <f t="shared" si="135"/>
        <v>0</v>
      </c>
      <c r="R621" s="203"/>
      <c r="T621" s="57"/>
      <c r="U621" s="45"/>
      <c r="V621" s="46">
        <f>IF(U621&lt;&gt;"",VLOOKUP(U621,'Tipo Projeto'!$A$3:$B$35,2,0),0)</f>
        <v>0</v>
      </c>
      <c r="W621" s="203"/>
      <c r="X621" s="49"/>
      <c r="Y621" s="50"/>
      <c r="Z621" s="51"/>
      <c r="AA621" s="52"/>
      <c r="AB621" s="53" t="str">
        <f t="shared" si="136"/>
        <v/>
      </c>
      <c r="AC621" s="48" t="str">
        <f t="shared" si="137"/>
        <v/>
      </c>
      <c r="AD621" s="54" t="str">
        <f t="shared" si="138"/>
        <v/>
      </c>
      <c r="AE621" s="55">
        <f t="shared" si="139"/>
        <v>0</v>
      </c>
      <c r="AF621" s="55">
        <f t="shared" si="140"/>
        <v>0</v>
      </c>
      <c r="AG621" s="58">
        <f t="shared" si="141"/>
        <v>0</v>
      </c>
      <c r="AH621" s="203"/>
      <c r="AJ621" s="203"/>
      <c r="AL621" s="203"/>
      <c r="AM621" s="203" t="str">
        <f t="shared" si="142"/>
        <v/>
      </c>
    </row>
    <row r="622" spans="1:39" s="56" customFormat="1" ht="14.25">
      <c r="A622" s="44"/>
      <c r="B622" s="45"/>
      <c r="C622" s="46">
        <f>IF(B622&lt;&gt;"",VLOOKUP(B622,'Tipo Projeto'!$A$3:$B$35,2,0),0)</f>
        <v>0</v>
      </c>
      <c r="D622" s="203"/>
      <c r="E622" s="203"/>
      <c r="F622" s="48"/>
      <c r="G622" s="203"/>
      <c r="H622" s="49"/>
      <c r="I622" s="50"/>
      <c r="J622" s="51"/>
      <c r="K622" s="52"/>
      <c r="L622" s="53" t="str">
        <f t="shared" si="130"/>
        <v/>
      </c>
      <c r="M622" s="48" t="str">
        <f t="shared" si="131"/>
        <v/>
      </c>
      <c r="N622" s="54" t="str">
        <f t="shared" si="132"/>
        <v/>
      </c>
      <c r="O622" s="55">
        <f t="shared" si="133"/>
        <v>0</v>
      </c>
      <c r="P622" s="55">
        <f t="shared" si="134"/>
        <v>0</v>
      </c>
      <c r="Q622" s="54">
        <f t="shared" si="135"/>
        <v>0</v>
      </c>
      <c r="R622" s="203"/>
      <c r="T622" s="57"/>
      <c r="U622" s="45"/>
      <c r="V622" s="46">
        <f>IF(U622&lt;&gt;"",VLOOKUP(U622,'Tipo Projeto'!$A$3:$B$35,2,0),0)</f>
        <v>0</v>
      </c>
      <c r="W622" s="203"/>
      <c r="X622" s="49"/>
      <c r="Y622" s="50"/>
      <c r="Z622" s="51"/>
      <c r="AA622" s="52"/>
      <c r="AB622" s="53" t="str">
        <f t="shared" si="136"/>
        <v/>
      </c>
      <c r="AC622" s="48" t="str">
        <f t="shared" si="137"/>
        <v/>
      </c>
      <c r="AD622" s="54" t="str">
        <f t="shared" si="138"/>
        <v/>
      </c>
      <c r="AE622" s="55">
        <f t="shared" si="139"/>
        <v>0</v>
      </c>
      <c r="AF622" s="55">
        <f t="shared" si="140"/>
        <v>0</v>
      </c>
      <c r="AG622" s="58">
        <f t="shared" si="141"/>
        <v>0</v>
      </c>
      <c r="AH622" s="203"/>
      <c r="AJ622" s="203"/>
      <c r="AL622" s="203"/>
      <c r="AM622" s="203" t="str">
        <f t="shared" si="142"/>
        <v/>
      </c>
    </row>
    <row r="623" spans="1:39" s="56" customFormat="1" ht="14.25">
      <c r="A623" s="44"/>
      <c r="B623" s="45"/>
      <c r="C623" s="46">
        <f>IF(B623&lt;&gt;"",VLOOKUP(B623,'Tipo Projeto'!$A$3:$B$35,2,0),0)</f>
        <v>0</v>
      </c>
      <c r="D623" s="203"/>
      <c r="E623" s="203"/>
      <c r="F623" s="48"/>
      <c r="G623" s="203"/>
      <c r="H623" s="49"/>
      <c r="I623" s="50"/>
      <c r="J623" s="51"/>
      <c r="K623" s="52"/>
      <c r="L623" s="53" t="str">
        <f t="shared" si="130"/>
        <v/>
      </c>
      <c r="M623" s="48" t="str">
        <f t="shared" si="131"/>
        <v/>
      </c>
      <c r="N623" s="54" t="str">
        <f t="shared" si="132"/>
        <v/>
      </c>
      <c r="O623" s="55">
        <f t="shared" si="133"/>
        <v>0</v>
      </c>
      <c r="P623" s="55">
        <f t="shared" si="134"/>
        <v>0</v>
      </c>
      <c r="Q623" s="54">
        <f t="shared" si="135"/>
        <v>0</v>
      </c>
      <c r="R623" s="203"/>
      <c r="T623" s="57"/>
      <c r="U623" s="45"/>
      <c r="V623" s="46">
        <f>IF(U623&lt;&gt;"",VLOOKUP(U623,'Tipo Projeto'!$A$3:$B$35,2,0),0)</f>
        <v>0</v>
      </c>
      <c r="W623" s="203"/>
      <c r="X623" s="49"/>
      <c r="Y623" s="50"/>
      <c r="Z623" s="51"/>
      <c r="AA623" s="52"/>
      <c r="AB623" s="53" t="str">
        <f t="shared" si="136"/>
        <v/>
      </c>
      <c r="AC623" s="48" t="str">
        <f t="shared" si="137"/>
        <v/>
      </c>
      <c r="AD623" s="54" t="str">
        <f t="shared" si="138"/>
        <v/>
      </c>
      <c r="AE623" s="55">
        <f t="shared" si="139"/>
        <v>0</v>
      </c>
      <c r="AF623" s="55">
        <f t="shared" si="140"/>
        <v>0</v>
      </c>
      <c r="AG623" s="58">
        <f t="shared" si="141"/>
        <v>0</v>
      </c>
      <c r="AH623" s="203"/>
      <c r="AJ623" s="203"/>
      <c r="AL623" s="203"/>
      <c r="AM623" s="203" t="str">
        <f t="shared" si="142"/>
        <v/>
      </c>
    </row>
    <row r="624" spans="1:39" s="56" customFormat="1" ht="14.25">
      <c r="A624" s="44"/>
      <c r="B624" s="45"/>
      <c r="C624" s="46">
        <f>IF(B624&lt;&gt;"",VLOOKUP(B624,'Tipo Projeto'!$A$3:$B$35,2,0),0)</f>
        <v>0</v>
      </c>
      <c r="D624" s="203"/>
      <c r="E624" s="203"/>
      <c r="F624" s="48"/>
      <c r="G624" s="203"/>
      <c r="H624" s="49"/>
      <c r="I624" s="50"/>
      <c r="J624" s="51"/>
      <c r="K624" s="52"/>
      <c r="L624" s="53" t="str">
        <f t="shared" si="130"/>
        <v/>
      </c>
      <c r="M624" s="48" t="str">
        <f t="shared" si="131"/>
        <v/>
      </c>
      <c r="N624" s="54" t="str">
        <f t="shared" si="132"/>
        <v/>
      </c>
      <c r="O624" s="55">
        <f t="shared" si="133"/>
        <v>0</v>
      </c>
      <c r="P624" s="55">
        <f t="shared" si="134"/>
        <v>0</v>
      </c>
      <c r="Q624" s="54">
        <f t="shared" si="135"/>
        <v>0</v>
      </c>
      <c r="R624" s="203"/>
      <c r="T624" s="57"/>
      <c r="U624" s="45"/>
      <c r="V624" s="46">
        <f>IF(U624&lt;&gt;"",VLOOKUP(U624,'Tipo Projeto'!$A$3:$B$35,2,0),0)</f>
        <v>0</v>
      </c>
      <c r="W624" s="203"/>
      <c r="X624" s="49"/>
      <c r="Y624" s="50"/>
      <c r="Z624" s="51"/>
      <c r="AA624" s="52"/>
      <c r="AB624" s="53" t="str">
        <f t="shared" si="136"/>
        <v/>
      </c>
      <c r="AC624" s="48" t="str">
        <f t="shared" si="137"/>
        <v/>
      </c>
      <c r="AD624" s="54" t="str">
        <f t="shared" si="138"/>
        <v/>
      </c>
      <c r="AE624" s="55">
        <f t="shared" si="139"/>
        <v>0</v>
      </c>
      <c r="AF624" s="55">
        <f t="shared" si="140"/>
        <v>0</v>
      </c>
      <c r="AG624" s="58">
        <f t="shared" si="141"/>
        <v>0</v>
      </c>
      <c r="AH624" s="203"/>
      <c r="AJ624" s="203"/>
      <c r="AL624" s="203"/>
      <c r="AM624" s="203" t="str">
        <f t="shared" si="142"/>
        <v/>
      </c>
    </row>
    <row r="625" spans="1:39" s="56" customFormat="1" ht="14.25">
      <c r="A625" s="44"/>
      <c r="B625" s="45"/>
      <c r="C625" s="46">
        <f>IF(B625&lt;&gt;"",VLOOKUP(B625,'Tipo Projeto'!$A$3:$B$35,2,0),0)</f>
        <v>0</v>
      </c>
      <c r="D625" s="203"/>
      <c r="E625" s="203"/>
      <c r="F625" s="48"/>
      <c r="G625" s="203"/>
      <c r="H625" s="49"/>
      <c r="I625" s="50"/>
      <c r="J625" s="51"/>
      <c r="K625" s="52"/>
      <c r="L625" s="53" t="str">
        <f t="shared" si="130"/>
        <v/>
      </c>
      <c r="M625" s="48" t="str">
        <f t="shared" si="131"/>
        <v/>
      </c>
      <c r="N625" s="54" t="str">
        <f t="shared" si="132"/>
        <v/>
      </c>
      <c r="O625" s="55">
        <f t="shared" si="133"/>
        <v>0</v>
      </c>
      <c r="P625" s="55">
        <f t="shared" si="134"/>
        <v>0</v>
      </c>
      <c r="Q625" s="54">
        <f t="shared" si="135"/>
        <v>0</v>
      </c>
      <c r="R625" s="203"/>
      <c r="T625" s="57"/>
      <c r="U625" s="45"/>
      <c r="V625" s="46">
        <f>IF(U625&lt;&gt;"",VLOOKUP(U625,'Tipo Projeto'!$A$3:$B$35,2,0),0)</f>
        <v>0</v>
      </c>
      <c r="W625" s="203"/>
      <c r="X625" s="49"/>
      <c r="Y625" s="50"/>
      <c r="Z625" s="51"/>
      <c r="AA625" s="52"/>
      <c r="AB625" s="53" t="str">
        <f t="shared" si="136"/>
        <v/>
      </c>
      <c r="AC625" s="48" t="str">
        <f t="shared" si="137"/>
        <v/>
      </c>
      <c r="AD625" s="54" t="str">
        <f t="shared" si="138"/>
        <v/>
      </c>
      <c r="AE625" s="55">
        <f t="shared" si="139"/>
        <v>0</v>
      </c>
      <c r="AF625" s="55">
        <f t="shared" si="140"/>
        <v>0</v>
      </c>
      <c r="AG625" s="58">
        <f t="shared" si="141"/>
        <v>0</v>
      </c>
      <c r="AH625" s="203"/>
      <c r="AJ625" s="203"/>
      <c r="AL625" s="203"/>
      <c r="AM625" s="203" t="str">
        <f t="shared" si="142"/>
        <v/>
      </c>
    </row>
    <row r="626" spans="1:39" s="56" customFormat="1" ht="14.25">
      <c r="A626" s="44"/>
      <c r="B626" s="45"/>
      <c r="C626" s="46">
        <f>IF(B626&lt;&gt;"",VLOOKUP(B626,'Tipo Projeto'!$A$3:$B$35,2,0),0)</f>
        <v>0</v>
      </c>
      <c r="D626" s="203"/>
      <c r="E626" s="203"/>
      <c r="F626" s="48"/>
      <c r="G626" s="203"/>
      <c r="H626" s="49"/>
      <c r="I626" s="50"/>
      <c r="J626" s="51"/>
      <c r="K626" s="52"/>
      <c r="L626" s="53" t="str">
        <f t="shared" si="130"/>
        <v/>
      </c>
      <c r="M626" s="48" t="str">
        <f t="shared" si="131"/>
        <v/>
      </c>
      <c r="N626" s="54" t="str">
        <f t="shared" si="132"/>
        <v/>
      </c>
      <c r="O626" s="55">
        <f t="shared" si="133"/>
        <v>0</v>
      </c>
      <c r="P626" s="55">
        <f t="shared" si="134"/>
        <v>0</v>
      </c>
      <c r="Q626" s="54">
        <f t="shared" si="135"/>
        <v>0</v>
      </c>
      <c r="R626" s="203"/>
      <c r="T626" s="57"/>
      <c r="U626" s="45"/>
      <c r="V626" s="46">
        <f>IF(U626&lt;&gt;"",VLOOKUP(U626,'Tipo Projeto'!$A$3:$B$35,2,0),0)</f>
        <v>0</v>
      </c>
      <c r="W626" s="203"/>
      <c r="X626" s="49"/>
      <c r="Y626" s="50"/>
      <c r="Z626" s="51"/>
      <c r="AA626" s="52"/>
      <c r="AB626" s="53" t="str">
        <f t="shared" si="136"/>
        <v/>
      </c>
      <c r="AC626" s="48" t="str">
        <f t="shared" si="137"/>
        <v/>
      </c>
      <c r="AD626" s="54" t="str">
        <f t="shared" si="138"/>
        <v/>
      </c>
      <c r="AE626" s="55">
        <f t="shared" si="139"/>
        <v>0</v>
      </c>
      <c r="AF626" s="55">
        <f t="shared" si="140"/>
        <v>0</v>
      </c>
      <c r="AG626" s="58">
        <f t="shared" si="141"/>
        <v>0</v>
      </c>
      <c r="AH626" s="203"/>
      <c r="AJ626" s="203"/>
      <c r="AL626" s="203"/>
      <c r="AM626" s="203" t="str">
        <f t="shared" si="142"/>
        <v/>
      </c>
    </row>
    <row r="627" spans="1:39" s="56" customFormat="1" ht="14.25">
      <c r="A627" s="44"/>
      <c r="B627" s="45"/>
      <c r="C627" s="46">
        <f>IF(B627&lt;&gt;"",VLOOKUP(B627,'Tipo Projeto'!$A$3:$B$35,2,0),0)</f>
        <v>0</v>
      </c>
      <c r="D627" s="203"/>
      <c r="E627" s="203"/>
      <c r="F627" s="48"/>
      <c r="G627" s="203"/>
      <c r="H627" s="49"/>
      <c r="I627" s="50"/>
      <c r="J627" s="51"/>
      <c r="K627" s="52"/>
      <c r="L627" s="53" t="str">
        <f t="shared" si="130"/>
        <v/>
      </c>
      <c r="M627" s="48" t="str">
        <f t="shared" si="131"/>
        <v/>
      </c>
      <c r="N627" s="54" t="str">
        <f t="shared" si="132"/>
        <v/>
      </c>
      <c r="O627" s="55">
        <f t="shared" si="133"/>
        <v>0</v>
      </c>
      <c r="P627" s="55">
        <f t="shared" si="134"/>
        <v>0</v>
      </c>
      <c r="Q627" s="54">
        <f t="shared" si="135"/>
        <v>0</v>
      </c>
      <c r="R627" s="203"/>
      <c r="T627" s="57"/>
      <c r="U627" s="45"/>
      <c r="V627" s="46">
        <f>IF(U627&lt;&gt;"",VLOOKUP(U627,'Tipo Projeto'!$A$3:$B$35,2,0),0)</f>
        <v>0</v>
      </c>
      <c r="W627" s="203"/>
      <c r="X627" s="49"/>
      <c r="Y627" s="50"/>
      <c r="Z627" s="51"/>
      <c r="AA627" s="52"/>
      <c r="AB627" s="53" t="str">
        <f t="shared" si="136"/>
        <v/>
      </c>
      <c r="AC627" s="48" t="str">
        <f t="shared" si="137"/>
        <v/>
      </c>
      <c r="AD627" s="54" t="str">
        <f t="shared" si="138"/>
        <v/>
      </c>
      <c r="AE627" s="55">
        <f t="shared" si="139"/>
        <v>0</v>
      </c>
      <c r="AF627" s="55">
        <f t="shared" si="140"/>
        <v>0</v>
      </c>
      <c r="AG627" s="58">
        <f t="shared" si="141"/>
        <v>0</v>
      </c>
      <c r="AH627" s="203"/>
      <c r="AJ627" s="203"/>
      <c r="AL627" s="203"/>
      <c r="AM627" s="203" t="str">
        <f t="shared" si="142"/>
        <v/>
      </c>
    </row>
    <row r="628" spans="1:39" s="56" customFormat="1" ht="14.25">
      <c r="A628" s="44"/>
      <c r="B628" s="45"/>
      <c r="C628" s="46">
        <f>IF(B628&lt;&gt;"",VLOOKUP(B628,'Tipo Projeto'!$A$3:$B$35,2,0),0)</f>
        <v>0</v>
      </c>
      <c r="D628" s="47"/>
      <c r="E628" s="47"/>
      <c r="F628" s="48"/>
      <c r="G628" s="47"/>
      <c r="H628" s="49"/>
      <c r="I628" s="50"/>
      <c r="J628" s="51"/>
      <c r="K628" s="52"/>
      <c r="L628" s="53" t="str">
        <f>IF(G628="EE",IF(OR(AND(OR(J628=1,J628=0),H628&gt;0,H628&lt;5),AND(OR(J628=1,J628=0),H628&gt;4,H628&lt;16),AND(J628=2,H628&gt;0,H628&lt;5)),"Simples",IF(OR(AND(OR(J628=1,J628=0),H628&gt;15),AND(J628=2,H628&gt;4,H628&lt;16),AND(J628&gt;2,H628&gt;0,H628&lt;5)),"Médio",IF(OR(AND(J628=2,H628&gt;15),AND(J628&gt;2,H628&gt;4,H628&lt;16),AND(J628&gt;2,H628&gt;15)),"Complexo",""))), IF(OR(G628="CE",G628="SE"),IF(OR(AND(OR(J628=1,J628=0),H628&gt;0,H628&lt;6),AND(OR(J628=1,J628=0),H628&gt;5,H628&lt;20),AND(J628&gt;1,J628&lt;4,H628&gt;0,H628&lt;6)),"Simples",IF(OR(AND(OR(J628=1,J628=0),H628&gt;19),AND(J628&gt;1,J628&lt;4,H628&gt;5,H628&lt;20),AND(J628&gt;3,H628&gt;0,H628&lt;6)),"Médio",IF(OR(AND(J628&gt;1,J628&lt;4,H628&gt;19),AND(J628&gt;3,H628&gt;5,H628&lt;20),AND(J628&gt;3,H628&gt;19)),"Complexo",""))),""))</f>
        <v/>
      </c>
      <c r="M628" s="48" t="str">
        <f>IF(G628="ALI",IF(OR(AND(OR(J628=1,J628=0),H628&gt;0,H628&lt;20),AND(OR(J628=1,J628=0),H628&gt;19,H628&lt;51),AND(J628&gt;1,J628&lt;6,H628&gt;0,H628&lt;20)),"Simples",IF(OR(AND(OR(J628=1,J628=0),H628&gt;50),AND(J628&gt;1,J628&lt;6,H628&gt;19,H628&lt;51),AND(J628&gt;5,H628&gt;0,H628&lt;20)),"Médio",IF(OR(AND(J628&gt;1,J628&lt;6,H628&gt;50),AND(J628&gt;5,H628&gt;19,H628&lt;51),AND(J628&gt;5,H628&gt;50)),"Complexo",""))), IF(G628="AIE",IF(OR(AND(OR(J628=1, J628=0),H628&gt;0,H628&lt;20),AND(OR(J628=1, J628=0),H628&gt;19,H628&lt;51),AND(J628&gt;1,J628&lt;6,H628&gt;0,H628&lt;20)),"Simples",IF(OR(AND(OR(J628=1, J628=0),H628&gt;50),AND(J628&gt;1,J628&lt;6,H628&gt;19,H628&lt;51),AND(J628&gt;5,H628&gt;0,H628&lt;20)),"Médio",IF(OR(AND(J628&gt;1,J628&lt;6,H628&gt;50),AND(J628&gt;5,H628&gt;19,H628&lt;51),AND(J628&gt;5,H628&gt;50)),"Complexo",""))),""))</f>
        <v/>
      </c>
      <c r="N628" s="54" t="str">
        <f>IF(L628="",M628,IF(M628="",L628,""))</f>
        <v/>
      </c>
      <c r="O628" s="55">
        <f>IF(AND(OR(G628="EE",G628="CE"),N628="Simples"),3, IF(AND(OR(G628="EE",G628="CE"),N628="Médio"),4, IF(AND(OR(G628="EE",G628="CE"),N628="Complexo"),6, IF(AND(G628="SE",N628="Simples"),4, IF(AND(G628="SE",N628="Médio"),5, IF(AND(G628="SE",N628="Complexo"),7,0))))))</f>
        <v>0</v>
      </c>
      <c r="P628" s="55">
        <f>IF(AND(G628="ALI",M628="Simples"),7, IF(AND(G628="ALI",M628="Médio"),10, IF(AND(G628="ALI",M628="Complexo"),15, IF(AND(G628="AIE",M628="Simples"),5, IF(AND(G628="AIE",M628="Médio"),7, IF(AND(G628="AIE",M628="Complexo"),10,0))))))</f>
        <v>0</v>
      </c>
      <c r="Q628" s="54">
        <f>IF(B628&lt;&gt;"Manutenção em interface",IF(B628&lt;&gt;"Desenv., Manutenção e Publicação de Páginas Estáticas",(O628+P628)*C628,C628),C628)</f>
        <v>0</v>
      </c>
      <c r="R628" s="47"/>
      <c r="T628" s="57"/>
      <c r="U628" s="45"/>
      <c r="V628" s="46">
        <f>IF(U628&lt;&gt;"",VLOOKUP(U628,'Tipo Projeto'!$A$3:$B$35,2,0),0)</f>
        <v>0</v>
      </c>
      <c r="W628" s="47"/>
      <c r="X628" s="49"/>
      <c r="Y628" s="50"/>
      <c r="Z628" s="51"/>
      <c r="AA628" s="52"/>
      <c r="AB628" s="53" t="str">
        <f>IF(W628="EE",IF(OR(AND(OR(Z628=1,Z628=0),X628&gt;0,X628&lt;5),AND(OR(Z628=1,Z628=0),X628&gt;4,X628&lt;16),AND(Z628=2,X628&gt;0,X628&lt;5)),"Simples",IF(OR(AND(OR(Z628=1,Z628=0),X628&gt;15),AND(Z628=2,X628&gt;4,X628&lt;16),AND(Z628&gt;2,X628&gt;0,X628&lt;5)),"Médio",IF(OR(AND(Z628=2,X628&gt;15),AND(Z628&gt;2,X628&gt;4,X628&lt;16),AND(Z628&gt;2,X628&gt;15)),"Complexo",""))), IF(OR(W628="CE",W628="SE"),IF(OR(AND(OR(Z628=1,Z628=0),X628&gt;0,X628&lt;6),AND(OR(Z628=1,Z628=0),X628&gt;5,X628&lt;20),AND(Z628&gt;1,Z628&lt;4,X628&gt;0,X628&lt;6)),"Simples",IF(OR(AND(OR(Z628=1,Z628=0),X628&gt;19),AND(Z628&gt;1,Z628&lt;4,X628&gt;5,X628&lt;20),AND(Z628&gt;3,X628&gt;0,X628&lt;6)),"Médio",IF(OR(AND(Z628&gt;1,Z628&lt;4,X628&gt;19),AND(Z628&gt;3,X628&gt;5,X628&lt;20),AND(Z628&gt;3,X628&gt;19)),"Complexo",""))),""))</f>
        <v/>
      </c>
      <c r="AC628" s="48" t="str">
        <f>IF(W628="ALI",IF(OR(AND(OR(Z628=1,Z628=0),X628&gt;0,X628&lt;20),AND(OR(Z628=1,Z628=0),X628&gt;19,X628&lt;51),AND(Z628&gt;1,Z628&lt;6,X628&gt;0,X628&lt;20)),"Simples",IF(OR(AND(OR(Z628=1,Z628=0),X628&gt;50),AND(Z628&gt;1,Z628&lt;6,X628&gt;19,X628&lt;51),AND(Z628&gt;5,X628&gt;0,X628&lt;20)),"Médio",IF(OR(AND(Z628&gt;1,Z628&lt;6,X628&gt;50),AND(Z628&gt;5,X628&gt;19,X628&lt;51),AND(Z628&gt;5,X628&gt;50)),"Complexo",""))), IF(W628="AIE",IF(OR(AND(OR(Z628=1, Z628=0),X628&gt;0,X628&lt;20),AND(OR(Z628=1, Z628=0),X628&gt;19,X628&lt;51),AND(Z628&gt;1,Z628&lt;6,X628&gt;0,X628&lt;20)),"Simples",IF(OR(AND(OR(Z628=1, Z628=0),X628&gt;50),AND(Z628&gt;1,Z628&lt;6,X628&gt;19,X628&lt;51),AND(Z628&gt;5,X628&gt;0,X628&lt;20)),"Médio",IF(OR(AND(Z628&gt;1,Z628&lt;6,X628&gt;50),AND(Z628&gt;5,X628&gt;19,X628&lt;51),AND(Z628&gt;5,X628&gt;50)),"Complexo",""))),""))</f>
        <v/>
      </c>
      <c r="AD628" s="54" t="str">
        <f>IF(AB628="",AC628,IF(AC628="",AB628,""))</f>
        <v/>
      </c>
      <c r="AE628" s="55">
        <f>IF(AND(OR(W628="EE",W628="CE"),AD628="Simples"),3, IF(AND(OR(W628="EE",W628="CE"),AD628="Médio"),4, IF(AND(OR(W628="EE",W628="CE"),AD628="Complexo"),6, IF(AND(W628="SE",AD628="Simples"),4, IF(AND(W628="SE",AD628="Médio"),5, IF(AND(W628="SE",AD628="Complexo"),7,0))))))</f>
        <v>0</v>
      </c>
      <c r="AF628" s="55">
        <f>IF(AND(W628="ALI",AC628="Simples"),7, IF(AND(W628="ALI",AC628="Médio"),10, IF(AND(W628="ALI",AC628="Complexo"),15, IF(AND(W628="AIE",AC628="Simples"),5, IF(AND(W628="AIE",AC628="Médio"),7, IF(AND(W628="AIE",AC628="Complexo"),10,0))))))</f>
        <v>0</v>
      </c>
      <c r="AG628" s="58">
        <f>IF(T628="OK",Q628,( IF(U628&lt;&gt;"Manutenção em interface",IF(U628&lt;&gt;"Desenv., Manutenção e Publicação de Páginas Estáticas",(AE628+AF628)*V628,V628),V628)))</f>
        <v>0</v>
      </c>
      <c r="AH628" s="47"/>
      <c r="AJ628" s="47"/>
      <c r="AL628" s="47"/>
      <c r="AM628" s="47" t="str">
        <f>IF(AG628=0,"",IF(AG628=Q628,"OK","Divergente"))</f>
        <v/>
      </c>
    </row>
    <row r="629" spans="1:39" s="56" customFormat="1" ht="14.25">
      <c r="A629" s="44"/>
      <c r="B629" s="45"/>
      <c r="C629" s="46">
        <f>IF(B629&lt;&gt;"",VLOOKUP(B629,'Tipo Projeto'!$A$3:$B$35,2,0),0)</f>
        <v>0</v>
      </c>
      <c r="D629" s="47"/>
      <c r="E629" s="47"/>
      <c r="F629" s="48"/>
      <c r="G629" s="47"/>
      <c r="H629" s="49"/>
      <c r="I629" s="50"/>
      <c r="J629" s="59"/>
      <c r="K629" s="52"/>
      <c r="L629" s="53" t="str">
        <f>IF(G629="EE",IF(OR(AND(OR(J629=1,J629=0),H629&gt;0,H629&lt;5),AND(OR(J629=1,J629=0),H629&gt;4,H629&lt;16),AND(J629=2,H629&gt;0,H629&lt;5)),"Simples",IF(OR(AND(OR(J629=1,J629=0),H629&gt;15),AND(J629=2,H629&gt;4,H629&lt;16),AND(J629&gt;2,H629&gt;0,H629&lt;5)),"Médio",IF(OR(AND(J629=2,H629&gt;15),AND(J629&gt;2,H629&gt;4,H629&lt;16),AND(J629&gt;2,H629&gt;15)),"Complexo",""))), IF(OR(G629="CE",G629="SE"),IF(OR(AND(OR(J629=1,J629=0),H629&gt;0,H629&lt;6),AND(OR(J629=1,J629=0),H629&gt;5,H629&lt;20),AND(J629&gt;1,J629&lt;4,H629&gt;0,H629&lt;6)),"Simples",IF(OR(AND(OR(J629=1,J629=0),H629&gt;19),AND(J629&gt;1,J629&lt;4,H629&gt;5,H629&lt;20),AND(J629&gt;3,H629&gt;0,H629&lt;6)),"Médio",IF(OR(AND(J629&gt;1,J629&lt;4,H629&gt;19),AND(J629&gt;3,H629&gt;5,H629&lt;20),AND(J629&gt;3,H629&gt;19)),"Complexo",""))),""))</f>
        <v/>
      </c>
      <c r="M629" s="48" t="str">
        <f>IF(G629="ALI",IF(OR(AND(OR(J629=1,J629=0),H629&gt;0,H629&lt;20),AND(OR(J629=1,J629=0),H629&gt;19,H629&lt;51),AND(J629&gt;1,J629&lt;6,H629&gt;0,H629&lt;20)),"Simples",IF(OR(AND(OR(J629=1,J629=0),H629&gt;50),AND(J629&gt;1,J629&lt;6,H629&gt;19,H629&lt;51),AND(J629&gt;5,H629&gt;0,H629&lt;20)),"Médio",IF(OR(AND(J629&gt;1,J629&lt;6,H629&gt;50),AND(J629&gt;5,H629&gt;19,H629&lt;51),AND(J629&gt;5,H629&gt;50)),"Complexo",""))), IF(G629="AIE",IF(OR(AND(OR(J629=1, J629=0),H629&gt;0,H629&lt;20),AND(OR(J629=1, J629=0),H629&gt;19,H629&lt;51),AND(J629&gt;1,J629&lt;6,H629&gt;0,H629&lt;20)),"Simples",IF(OR(AND(OR(J629=1, J629=0),H629&gt;50),AND(J629&gt;1,J629&lt;6,H629&gt;19,H629&lt;51),AND(J629&gt;5,H629&gt;0,H629&lt;20)),"Médio",IF(OR(AND(J629&gt;1,J629&lt;6,H629&gt;50),AND(J629&gt;5,H629&gt;19,H629&lt;51),AND(J629&gt;5,H629&gt;50)),"Complexo",""))),""))</f>
        <v/>
      </c>
      <c r="N629" s="54" t="str">
        <f>IF(L629="",M629,IF(M629="",L629,""))</f>
        <v/>
      </c>
      <c r="O629" s="55">
        <f>IF(AND(OR(G629="EE",G629="CE"),N629="Simples"),3, IF(AND(OR(G629="EE",G629="CE"),N629="Médio"),4, IF(AND(OR(G629="EE",G629="CE"),N629="Complexo"),6, IF(AND(G629="SE",N629="Simples"),4, IF(AND(G629="SE",N629="Médio"),5, IF(AND(G629="SE",N629="Complexo"),7,0))))))</f>
        <v>0</v>
      </c>
      <c r="P629" s="55">
        <f>IF(AND(G629="ALI",M629="Simples"),7, IF(AND(G629="ALI",M629="Médio"),10, IF(AND(G629="ALI",M629="Complexo"),15, IF(AND(G629="AIE",M629="Simples"),5, IF(AND(G629="AIE",M629="Médio"),7, IF(AND(G629="AIE",M629="Complexo"),10,0))))))</f>
        <v>0</v>
      </c>
      <c r="Q629" s="54">
        <f>IF(B629&lt;&gt;"Manutenção em interface",IF(B629&lt;&gt;"Desenv., Manutenção e Publicação de Páginas Estáticas",(O629+P629)*C629,C629),C629)</f>
        <v>0</v>
      </c>
      <c r="R629" s="47"/>
      <c r="T629" s="57"/>
      <c r="U629" s="45"/>
      <c r="V629" s="46">
        <f>IF(U629&lt;&gt;"",VLOOKUP(U629,'Tipo Projeto'!$A$3:$B$35,2,0),0)</f>
        <v>0</v>
      </c>
      <c r="W629" s="47"/>
      <c r="X629" s="49"/>
      <c r="Y629" s="50"/>
      <c r="Z629" s="51"/>
      <c r="AA629" s="52"/>
      <c r="AB629" s="53" t="str">
        <f>IF(W629="EE",IF(OR(AND(OR(Z629=1,Z629=0),X629&gt;0,X629&lt;5),AND(OR(Z629=1,Z629=0),X629&gt;4,X629&lt;16),AND(Z629=2,X629&gt;0,X629&lt;5)),"Simples",IF(OR(AND(OR(Z629=1,Z629=0),X629&gt;15),AND(Z629=2,X629&gt;4,X629&lt;16),AND(Z629&gt;2,X629&gt;0,X629&lt;5)),"Médio",IF(OR(AND(Z629=2,X629&gt;15),AND(Z629&gt;2,X629&gt;4,X629&lt;16),AND(Z629&gt;2,X629&gt;15)),"Complexo",""))), IF(OR(W629="CE",W629="SE"),IF(OR(AND(OR(Z629=1,Z629=0),X629&gt;0,X629&lt;6),AND(OR(Z629=1,Z629=0),X629&gt;5,X629&lt;20),AND(Z629&gt;1,Z629&lt;4,X629&gt;0,X629&lt;6)),"Simples",IF(OR(AND(OR(Z629=1,Z629=0),X629&gt;19),AND(Z629&gt;1,Z629&lt;4,X629&gt;5,X629&lt;20),AND(Z629&gt;3,X629&gt;0,X629&lt;6)),"Médio",IF(OR(AND(Z629&gt;1,Z629&lt;4,X629&gt;19),AND(Z629&gt;3,X629&gt;5,X629&lt;20),AND(Z629&gt;3,X629&gt;19)),"Complexo",""))),""))</f>
        <v/>
      </c>
      <c r="AC629" s="48" t="str">
        <f>IF(W629="ALI",IF(OR(AND(OR(Z629=1,Z629=0),X629&gt;0,X629&lt;20),AND(OR(Z629=1,Z629=0),X629&gt;19,X629&lt;51),AND(Z629&gt;1,Z629&lt;6,X629&gt;0,X629&lt;20)),"Simples",IF(OR(AND(OR(Z629=1,Z629=0),X629&gt;50),AND(Z629&gt;1,Z629&lt;6,X629&gt;19,X629&lt;51),AND(Z629&gt;5,X629&gt;0,X629&lt;20)),"Médio",IF(OR(AND(Z629&gt;1,Z629&lt;6,X629&gt;50),AND(Z629&gt;5,X629&gt;19,X629&lt;51),AND(Z629&gt;5,X629&gt;50)),"Complexo",""))), IF(W629="AIE",IF(OR(AND(OR(Z629=1, Z629=0),X629&gt;0,X629&lt;20),AND(OR(Z629=1, Z629=0),X629&gt;19,X629&lt;51),AND(Z629&gt;1,Z629&lt;6,X629&gt;0,X629&lt;20)),"Simples",IF(OR(AND(OR(Z629=1, Z629=0),X629&gt;50),AND(Z629&gt;1,Z629&lt;6,X629&gt;19,X629&lt;51),AND(Z629&gt;5,X629&gt;0,X629&lt;20)),"Médio",IF(OR(AND(Z629&gt;1,Z629&lt;6,X629&gt;50),AND(Z629&gt;5,X629&gt;19,X629&lt;51),AND(Z629&gt;5,X629&gt;50)),"Complexo",""))),""))</f>
        <v/>
      </c>
      <c r="AD629" s="54" t="str">
        <f>IF(AB629="",AC629,IF(AC629="",AB629,""))</f>
        <v/>
      </c>
      <c r="AE629" s="55">
        <f>IF(AND(OR(W629="EE",W629="CE"),AD629="Simples"),3, IF(AND(OR(W629="EE",W629="CE"),AD629="Médio"),4, IF(AND(OR(W629="EE",W629="CE"),AD629="Complexo"),6, IF(AND(W629="SE",AD629="Simples"),4, IF(AND(W629="SE",AD629="Médio"),5, IF(AND(W629="SE",AD629="Complexo"),7,0))))))</f>
        <v>0</v>
      </c>
      <c r="AF629" s="55">
        <f>IF(AND(W629="ALI",AC629="Simples"),7, IF(AND(W629="ALI",AC629="Médio"),10, IF(AND(W629="ALI",AC629="Complexo"),15, IF(AND(W629="AIE",AC629="Simples"),5, IF(AND(W629="AIE",AC629="Médio"),7, IF(AND(W629="AIE",AC629="Complexo"),10,0))))))</f>
        <v>0</v>
      </c>
      <c r="AG629" s="58">
        <f>IF(T629="OK",Q629,( IF(U629&lt;&gt;"Manutenção em interface",IF(U629&lt;&gt;"Desenv., Manutenção e Publicação de Páginas Estáticas",(AE629+AF629)*V629,V629),V629)))</f>
        <v>0</v>
      </c>
      <c r="AH629" s="47"/>
      <c r="AJ629" s="47"/>
      <c r="AL629" s="47"/>
      <c r="AM629" s="47" t="str">
        <f>IF(AG629=0,"",IF(AG629=Q629,"OK","Divergente"))</f>
        <v/>
      </c>
    </row>
    <row r="630" spans="1:39" s="56" customFormat="1" ht="14.25">
      <c r="A630" s="60" t="s">
        <v>66</v>
      </c>
      <c r="B630" s="61"/>
      <c r="C630" s="61"/>
      <c r="D630" s="61"/>
      <c r="E630" s="61"/>
      <c r="F630" s="61"/>
      <c r="G630" s="61"/>
      <c r="H630" s="61"/>
      <c r="I630" s="62"/>
      <c r="J630" s="63"/>
      <c r="K630" s="64"/>
      <c r="L630" s="61"/>
      <c r="M630" s="61"/>
      <c r="N630" s="61"/>
      <c r="O630" s="61"/>
      <c r="P630" s="61"/>
      <c r="Q630" s="61"/>
      <c r="R630" s="65"/>
      <c r="T630" s="60" t="s">
        <v>66</v>
      </c>
      <c r="U630" s="61"/>
      <c r="V630" s="61"/>
      <c r="W630" s="61"/>
      <c r="X630" s="61"/>
      <c r="Y630" s="61"/>
      <c r="Z630" s="61"/>
      <c r="AA630" s="61"/>
      <c r="AB630" s="61"/>
      <c r="AC630" s="61"/>
      <c r="AD630" s="61"/>
      <c r="AE630" s="61"/>
      <c r="AF630" s="61"/>
      <c r="AG630" s="61"/>
      <c r="AH630" s="61"/>
      <c r="AJ630" s="61"/>
      <c r="AL630" s="61"/>
      <c r="AM630" s="61"/>
    </row>
    <row r="631" spans="1:39" ht="25.5">
      <c r="A631" s="66"/>
      <c r="B631" s="67"/>
      <c r="C631" s="67"/>
      <c r="D631" s="68"/>
      <c r="E631" s="68"/>
      <c r="G631" s="66"/>
      <c r="H631" s="66"/>
      <c r="I631" s="69"/>
      <c r="J631" s="66"/>
      <c r="K631" s="69"/>
      <c r="L631" s="67"/>
      <c r="M631" s="67"/>
      <c r="N631" s="70" t="s">
        <v>67</v>
      </c>
      <c r="O631" s="67"/>
      <c r="P631" s="48">
        <f>IF(AND(G631="ALI",M631="Simples"),7, IF(AND(G631="ALI",M631="Médio"),10, IF(AND(G631="ALI",M631="Complexo"),15, IF(AND(G631="AIE",M631="Simples"),5, IF(AND(G631="AIE",M631="Médio"),7, IF(AND(G631="AIE",M631="Complexo"),10,0))))))</f>
        <v>0</v>
      </c>
      <c r="Q631" s="71">
        <f>SUM(Q10:Q630)</f>
        <v>0</v>
      </c>
      <c r="R631" s="72"/>
      <c r="AD631" s="70" t="s">
        <v>67</v>
      </c>
      <c r="AE631" s="67"/>
      <c r="AF631" s="48">
        <f>IF(AND(W631="ALI",AC631="Simples"),7, IF(AND(W631="ALI",AC631="Médio"),10, IF(AND(W631="ALI",AC631="Complexo"),15, IF(AND(W631="AIE",AC631="Simples"),5, IF(AND(W631="AIE",AC631="Médio"),7, IF(AND(W631="AIE",AC631="Complexo"),10,0))))))</f>
        <v>0</v>
      </c>
      <c r="AG631" s="71">
        <f>SUM(AG10:AG629)</f>
        <v>0</v>
      </c>
      <c r="AH631" s="72"/>
      <c r="AJ631" s="72"/>
      <c r="AL631" s="72"/>
      <c r="AM631" s="72"/>
    </row>
  </sheetData>
  <mergeCells count="45">
    <mergeCell ref="A5:C5"/>
    <mergeCell ref="E5:E6"/>
    <mergeCell ref="G5:K5"/>
    <mergeCell ref="N5:R5"/>
    <mergeCell ref="W5:AA5"/>
    <mergeCell ref="AD3:AH3"/>
    <mergeCell ref="G4:K4"/>
    <mergeCell ref="N4:R4"/>
    <mergeCell ref="W4:AA4"/>
    <mergeCell ref="AD4:AH4"/>
    <mergeCell ref="C1:R1"/>
    <mergeCell ref="G3:K3"/>
    <mergeCell ref="N3:R3"/>
    <mergeCell ref="T3:V6"/>
    <mergeCell ref="W3:AA3"/>
    <mergeCell ref="A6:C6"/>
    <mergeCell ref="G6:K6"/>
    <mergeCell ref="N6:R6"/>
    <mergeCell ref="W6:AA6"/>
    <mergeCell ref="F8:F9"/>
    <mergeCell ref="G8:G9"/>
    <mergeCell ref="H8:I8"/>
    <mergeCell ref="J8:K8"/>
    <mergeCell ref="A8:A9"/>
    <mergeCell ref="B8:B9"/>
    <mergeCell ref="C8:C9"/>
    <mergeCell ref="D8:D9"/>
    <mergeCell ref="E8:E9"/>
    <mergeCell ref="Q8:Q9"/>
    <mergeCell ref="N8:N9"/>
    <mergeCell ref="R8:R9"/>
    <mergeCell ref="T8:T9"/>
    <mergeCell ref="U8:U9"/>
    <mergeCell ref="V8:V9"/>
    <mergeCell ref="AD5:AH5"/>
    <mergeCell ref="AD6:AH6"/>
    <mergeCell ref="AH8:AH9"/>
    <mergeCell ref="AL8:AL9"/>
    <mergeCell ref="AM8:AM9"/>
    <mergeCell ref="W8:W9"/>
    <mergeCell ref="X8:Y8"/>
    <mergeCell ref="Z8:AA8"/>
    <mergeCell ref="AD8:AD9"/>
    <mergeCell ref="AG8:AG9"/>
    <mergeCell ref="AJ8:AJ9"/>
  </mergeCells>
  <conditionalFormatting sqref="G22:G629">
    <cfRule type="cellIs" dxfId="22" priority="4" operator="between">
      <formula>"Desenvolvimento"</formula>
      <formula>"Manutenção"</formula>
    </cfRule>
  </conditionalFormatting>
  <conditionalFormatting sqref="G10 G12:G21">
    <cfRule type="cellIs" dxfId="21" priority="5" operator="between">
      <formula>"Desenvolvimento"</formula>
      <formula>"Manutenção"</formula>
    </cfRule>
  </conditionalFormatting>
  <conditionalFormatting sqref="W10 W290:W629">
    <cfRule type="cellIs" dxfId="20" priority="6" operator="between">
      <formula>"Desenvolvimento"</formula>
      <formula>"Manutenção"</formula>
    </cfRule>
  </conditionalFormatting>
  <conditionalFormatting sqref="U10:AD10 U290:AD629">
    <cfRule type="expression" dxfId="19" priority="7">
      <formula>$T10="OK"</formula>
    </cfRule>
  </conditionalFormatting>
  <conditionalFormatting sqref="B26">
    <cfRule type="expression" dxfId="18" priority="9">
      <formula>$T26="OK"</formula>
    </cfRule>
  </conditionalFormatting>
  <conditionalFormatting sqref="G11">
    <cfRule type="cellIs" dxfId="17" priority="10" operator="between">
      <formula>"Desenvolvimento"</formula>
      <formula>"Manutenção"</formula>
    </cfRule>
  </conditionalFormatting>
  <conditionalFormatting sqref="W11:W289">
    <cfRule type="cellIs" dxfId="16" priority="1" operator="between">
      <formula>"Desenvolvimento"</formula>
      <formula>"Manutenção"</formula>
    </cfRule>
  </conditionalFormatting>
  <conditionalFormatting sqref="U11:AD289">
    <cfRule type="expression" dxfId="15" priority="2">
      <formula>$T11="OK"</formula>
    </cfRule>
  </conditionalFormatting>
  <dataValidations count="3">
    <dataValidation type="list" allowBlank="1" showInputMessage="1" showErrorMessage="1" errorTitle="Erro" error="Selecione uma das opções apresentada" sqref="G10:G629 W10:W629">
      <formula1>"-------,EE,SE,CE,ALI,AIE"</formula1>
      <formula2>0</formula2>
    </dataValidation>
    <dataValidation type="list" allowBlank="1" showInputMessage="1" showErrorMessage="1" sqref="B10:B629 U10:U629">
      <formula1>TipoProjeto</formula1>
      <formula2>0</formula2>
    </dataValidation>
    <dataValidation type="list" allowBlank="1" showInputMessage="1" showErrorMessage="1" sqref="T10:T629">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A1:BE385"/>
  <sheetViews>
    <sheetView showGridLines="0" zoomScaleNormal="100" workbookViewId="0">
      <selection activeCell="B8" sqref="B8:B9"/>
    </sheetView>
  </sheetViews>
  <sheetFormatPr defaultColWidth="8.85546875" defaultRowHeight="12.75"/>
  <cols>
    <col min="1" max="1" width="5.5703125" style="15" customWidth="1" collapsed="1"/>
    <col min="2" max="2" width="37.140625" style="16" customWidth="1" collapsed="1"/>
    <col min="3" max="3" width="8.42578125" style="16" customWidth="1" collapsed="1"/>
    <col min="4" max="4" width="7.5703125" style="17" customWidth="1" collapsed="1"/>
    <col min="5" max="5" width="9.5703125" style="17" customWidth="1" collapsed="1"/>
    <col min="6" max="6" width="11.5703125" style="17" customWidth="1" collapsed="1"/>
    <col min="7" max="7" width="16.42578125" style="17" customWidth="1" collapsed="1"/>
    <col min="8" max="8" width="38.42578125" style="18" customWidth="1" collapsed="1"/>
    <col min="9" max="9" width="6.42578125" style="15" customWidth="1" collapsed="1"/>
    <col min="10" max="11" width="8.140625" style="15" customWidth="1" collapsed="1"/>
    <col min="12" max="12" width="7.85546875" style="15" customWidth="1" collapsed="1"/>
    <col min="13" max="13" width="12.42578125" style="15" customWidth="1" collapsed="1"/>
    <col min="14" max="15" width="15.5703125" style="16" hidden="1" customWidth="1" collapsed="1"/>
    <col min="16" max="16" width="15.140625" style="15" customWidth="1" collapsed="1"/>
    <col min="17" max="18" width="16.5703125" style="16" hidden="1" customWidth="1" collapsed="1"/>
    <col min="19" max="19" width="8.42578125" style="16" customWidth="1" collapsed="1"/>
    <col min="20" max="20" width="46" style="16" customWidth="1" collapsed="1"/>
    <col min="21" max="21" width="9.140625" style="16" customWidth="1" collapsed="1"/>
    <col min="22" max="22" width="16.42578125" style="16" customWidth="1" collapsed="1"/>
    <col min="23" max="23" width="37.140625" style="16" customWidth="1" collapsed="1"/>
    <col min="24" max="24" width="8.42578125" style="16" customWidth="1" collapsed="1"/>
    <col min="25" max="25" width="6.42578125" style="15" customWidth="1" collapsed="1"/>
    <col min="26" max="27" width="8.140625" style="15" customWidth="1" collapsed="1"/>
    <col min="28" max="28" width="7.85546875" style="15" customWidth="1" collapsed="1"/>
    <col min="29" max="29" width="12.42578125" style="15" customWidth="1" collapsed="1"/>
    <col min="30" max="31" width="15.5703125" style="16" hidden="1" customWidth="1" collapsed="1"/>
    <col min="32" max="32" width="15.140625" style="15" customWidth="1" collapsed="1"/>
    <col min="33" max="34" width="16.5703125" style="16" hidden="1" customWidth="1" collapsed="1"/>
    <col min="35" max="35" width="8.42578125" style="16" customWidth="1" collapsed="1"/>
    <col min="36" max="36" width="45.42578125" style="16" customWidth="1" collapsed="1"/>
    <col min="37" max="16384" width="8.85546875" style="16"/>
  </cols>
  <sheetData>
    <row r="1" spans="1:57" ht="69" customHeight="1">
      <c r="A1" s="2" t="str">
        <f>Resumo!A1</f>
        <v>Template V.2.0</v>
      </c>
      <c r="B1" s="20"/>
      <c r="C1" s="230" t="s">
        <v>68</v>
      </c>
      <c r="D1" s="230"/>
      <c r="E1" s="230"/>
      <c r="F1" s="230"/>
      <c r="G1" s="230"/>
      <c r="H1" s="230"/>
      <c r="I1" s="230"/>
      <c r="J1" s="230"/>
      <c r="K1" s="230"/>
      <c r="L1" s="230"/>
      <c r="M1" s="230"/>
      <c r="N1" s="230"/>
      <c r="O1" s="230"/>
      <c r="P1" s="230"/>
      <c r="Q1" s="230"/>
      <c r="R1" s="230"/>
      <c r="S1" s="230"/>
      <c r="T1" s="230"/>
      <c r="Y1" s="16"/>
      <c r="Z1" s="16"/>
      <c r="AA1" s="16"/>
      <c r="AB1" s="16"/>
      <c r="AC1" s="16"/>
      <c r="AF1" s="16"/>
    </row>
    <row r="2" spans="1:57" ht="9" customHeight="1">
      <c r="A2" s="21"/>
      <c r="B2" s="21"/>
      <c r="C2" s="22"/>
      <c r="D2" s="22"/>
      <c r="E2" s="22"/>
      <c r="F2" s="22"/>
      <c r="G2" s="22"/>
      <c r="H2" s="22"/>
      <c r="I2" s="22"/>
      <c r="J2" s="22"/>
      <c r="K2" s="22"/>
      <c r="L2" s="22"/>
      <c r="M2" s="22"/>
      <c r="N2" s="22"/>
      <c r="O2" s="22"/>
      <c r="P2" s="22"/>
      <c r="Q2" s="22"/>
      <c r="R2" s="22"/>
      <c r="S2" s="22"/>
      <c r="T2" s="22"/>
      <c r="Y2" s="22"/>
      <c r="Z2" s="22"/>
      <c r="AA2" s="22"/>
      <c r="AB2" s="22"/>
      <c r="AC2" s="22"/>
      <c r="AD2" s="22"/>
      <c r="AE2" s="22"/>
      <c r="AF2" s="22"/>
      <c r="AG2" s="22"/>
      <c r="AH2" s="22"/>
      <c r="AI2" s="22"/>
      <c r="AJ2" s="22"/>
      <c r="AL2" s="43"/>
      <c r="AM2" s="43"/>
      <c r="AN2" s="43"/>
      <c r="AO2" s="43"/>
      <c r="AP2" s="43"/>
      <c r="AQ2" s="43"/>
      <c r="AR2" s="43"/>
      <c r="AS2" s="43"/>
      <c r="AT2" s="43"/>
      <c r="AU2" s="43"/>
      <c r="AV2" s="43"/>
      <c r="AW2" s="43"/>
      <c r="AX2" s="43"/>
      <c r="AY2" s="43"/>
      <c r="AZ2" s="43"/>
      <c r="BA2" s="43"/>
      <c r="BB2" s="43"/>
      <c r="BC2" s="43"/>
      <c r="BD2" s="43"/>
      <c r="BE2" s="43"/>
    </row>
    <row r="3" spans="1:57" ht="18.600000000000001" customHeight="1">
      <c r="A3" s="16"/>
      <c r="B3" s="24"/>
      <c r="C3" s="22"/>
      <c r="D3" s="22"/>
      <c r="E3" s="22"/>
      <c r="F3" s="22"/>
      <c r="G3" s="22"/>
      <c r="H3" s="22"/>
      <c r="I3" s="22"/>
      <c r="J3" s="22"/>
      <c r="K3" s="228" t="s">
        <v>7</v>
      </c>
      <c r="L3" s="228"/>
      <c r="M3" s="228"/>
      <c r="N3" s="25"/>
      <c r="O3" s="25"/>
      <c r="P3" s="224"/>
      <c r="Q3" s="224"/>
      <c r="R3" s="224"/>
      <c r="S3" s="224"/>
      <c r="T3" s="224"/>
      <c r="V3" s="231" t="s">
        <v>38</v>
      </c>
      <c r="W3" s="231"/>
      <c r="X3" s="231"/>
      <c r="Y3" s="244" t="s">
        <v>7</v>
      </c>
      <c r="Z3" s="245"/>
      <c r="AA3" s="245"/>
      <c r="AB3" s="245"/>
      <c r="AC3" s="246"/>
      <c r="AD3" s="25"/>
      <c r="AE3" s="25"/>
      <c r="AF3" s="238" t="s">
        <v>39</v>
      </c>
      <c r="AG3" s="239"/>
      <c r="AH3" s="239"/>
      <c r="AI3" s="239"/>
      <c r="AJ3" s="240"/>
      <c r="AL3" s="43"/>
      <c r="AM3" s="43"/>
      <c r="AN3" s="43"/>
      <c r="AO3" s="43"/>
      <c r="AP3" s="43"/>
      <c r="AQ3" s="43"/>
      <c r="AR3" s="43"/>
      <c r="AS3" s="43"/>
      <c r="AT3" s="43"/>
      <c r="AU3" s="43"/>
      <c r="AV3" s="43"/>
      <c r="AW3" s="43"/>
      <c r="AX3" s="43"/>
      <c r="AY3" s="43"/>
      <c r="AZ3" s="43"/>
      <c r="BA3" s="43"/>
      <c r="BB3" s="43"/>
      <c r="BC3" s="43"/>
      <c r="BD3" s="43"/>
      <c r="BE3" s="43"/>
    </row>
    <row r="4" spans="1:57" ht="18.600000000000001" customHeight="1">
      <c r="A4" s="16"/>
      <c r="B4" s="24"/>
      <c r="C4" s="22"/>
      <c r="D4" s="22"/>
      <c r="E4" s="22"/>
      <c r="F4" s="22"/>
      <c r="G4" s="22"/>
      <c r="H4" s="22"/>
      <c r="I4" s="22"/>
      <c r="J4" s="22"/>
      <c r="K4" s="228" t="s">
        <v>8</v>
      </c>
      <c r="L4" s="228"/>
      <c r="M4" s="228"/>
      <c r="N4" s="25"/>
      <c r="O4" s="25"/>
      <c r="P4" s="225"/>
      <c r="Q4" s="225"/>
      <c r="R4" s="225"/>
      <c r="S4" s="225"/>
      <c r="T4" s="225"/>
      <c r="V4" s="231"/>
      <c r="W4" s="231"/>
      <c r="X4" s="231"/>
      <c r="Y4" s="244" t="s">
        <v>8</v>
      </c>
      <c r="Z4" s="245"/>
      <c r="AA4" s="245"/>
      <c r="AB4" s="245"/>
      <c r="AC4" s="246"/>
      <c r="AD4" s="25"/>
      <c r="AE4" s="25"/>
      <c r="AF4" s="238"/>
      <c r="AG4" s="239"/>
      <c r="AH4" s="239"/>
      <c r="AI4" s="239"/>
      <c r="AJ4" s="240"/>
      <c r="AL4" s="43"/>
      <c r="AM4" s="43"/>
      <c r="AN4" s="43"/>
      <c r="AO4" s="43"/>
      <c r="AP4" s="43"/>
      <c r="AQ4" s="43"/>
      <c r="AR4" s="43"/>
      <c r="AS4" s="43"/>
      <c r="AT4" s="43"/>
      <c r="AU4" s="43"/>
      <c r="AV4" s="43"/>
      <c r="AW4" s="43"/>
      <c r="AX4" s="43"/>
      <c r="AY4" s="43"/>
      <c r="AZ4" s="43"/>
      <c r="BA4" s="43"/>
      <c r="BB4" s="43"/>
      <c r="BC4" s="43"/>
      <c r="BD4" s="43"/>
      <c r="BE4" s="43"/>
    </row>
    <row r="5" spans="1:57" ht="18.600000000000001" customHeight="1">
      <c r="A5" s="227" t="s">
        <v>41</v>
      </c>
      <c r="B5" s="227"/>
      <c r="C5" s="227"/>
      <c r="D5" s="236" t="str">
        <f>TEXT(S385,"#.##0,0#")</f>
        <v>0,0</v>
      </c>
      <c r="E5" s="237"/>
      <c r="F5" s="22"/>
      <c r="G5" s="22"/>
      <c r="H5" s="22"/>
      <c r="I5" s="22"/>
      <c r="J5" s="22"/>
      <c r="K5" s="228" t="s">
        <v>9</v>
      </c>
      <c r="L5" s="228"/>
      <c r="M5" s="228"/>
      <c r="N5" s="25"/>
      <c r="O5" s="25"/>
      <c r="P5" s="224"/>
      <c r="Q5" s="224"/>
      <c r="R5" s="224"/>
      <c r="S5" s="224"/>
      <c r="T5" s="224"/>
      <c r="V5" s="231"/>
      <c r="W5" s="231"/>
      <c r="X5" s="231"/>
      <c r="Y5" s="244" t="s">
        <v>9</v>
      </c>
      <c r="Z5" s="245"/>
      <c r="AA5" s="245"/>
      <c r="AB5" s="245"/>
      <c r="AC5" s="246"/>
      <c r="AD5" s="25"/>
      <c r="AE5" s="25"/>
      <c r="AF5" s="238"/>
      <c r="AG5" s="239"/>
      <c r="AH5" s="239"/>
      <c r="AI5" s="239"/>
      <c r="AJ5" s="240"/>
      <c r="AL5" s="43"/>
      <c r="AM5" s="43"/>
      <c r="AN5" s="43"/>
      <c r="AO5" s="43"/>
      <c r="AP5" s="43"/>
      <c r="AQ5" s="43"/>
      <c r="AR5" s="43"/>
      <c r="AS5" s="43"/>
      <c r="AT5" s="43"/>
      <c r="AU5" s="43"/>
      <c r="AV5" s="43"/>
      <c r="AW5" s="43"/>
      <c r="AX5" s="43"/>
      <c r="AY5" s="43"/>
      <c r="AZ5" s="43"/>
      <c r="BA5" s="43"/>
      <c r="BB5" s="43"/>
      <c r="BC5" s="43"/>
      <c r="BD5" s="43"/>
      <c r="BE5" s="43"/>
    </row>
    <row r="6" spans="1:57" ht="18.600000000000001" customHeight="1">
      <c r="A6" s="227" t="s">
        <v>42</v>
      </c>
      <c r="B6" s="227"/>
      <c r="C6" s="227"/>
      <c r="D6" s="236" t="str">
        <f>TEXT(AI385,"#.##0,0#")</f>
        <v>0,0</v>
      </c>
      <c r="E6" s="237"/>
      <c r="F6" s="22"/>
      <c r="G6" s="22"/>
      <c r="H6" s="22"/>
      <c r="I6" s="22"/>
      <c r="J6" s="22"/>
      <c r="K6" s="228" t="s">
        <v>10</v>
      </c>
      <c r="L6" s="228"/>
      <c r="M6" s="228"/>
      <c r="N6" s="25"/>
      <c r="O6" s="25"/>
      <c r="P6" s="225"/>
      <c r="Q6" s="225"/>
      <c r="R6" s="225"/>
      <c r="S6" s="225"/>
      <c r="T6" s="225"/>
      <c r="V6" s="231"/>
      <c r="W6" s="231"/>
      <c r="X6" s="231"/>
      <c r="Y6" s="244" t="s">
        <v>10</v>
      </c>
      <c r="Z6" s="245"/>
      <c r="AA6" s="245"/>
      <c r="AB6" s="245"/>
      <c r="AC6" s="246"/>
      <c r="AD6" s="25"/>
      <c r="AE6" s="25"/>
      <c r="AF6" s="238"/>
      <c r="AG6" s="239"/>
      <c r="AH6" s="239"/>
      <c r="AI6" s="239"/>
      <c r="AJ6" s="240"/>
      <c r="AL6" s="43"/>
      <c r="AM6" s="43"/>
      <c r="AN6" s="43"/>
      <c r="AO6" s="43"/>
      <c r="AP6" s="43"/>
      <c r="AQ6" s="43"/>
      <c r="AR6" s="43"/>
      <c r="AS6" s="43"/>
      <c r="AT6" s="43"/>
      <c r="AU6" s="43"/>
      <c r="AV6" s="43"/>
      <c r="AW6" s="43"/>
      <c r="AX6" s="43"/>
      <c r="AY6" s="43"/>
      <c r="AZ6" s="43"/>
      <c r="BA6" s="43"/>
      <c r="BB6" s="43"/>
      <c r="BC6" s="43"/>
      <c r="BD6" s="43"/>
      <c r="BE6" s="43"/>
    </row>
    <row r="7" spans="1:57" ht="9" customHeight="1">
      <c r="A7" s="234"/>
      <c r="B7" s="234"/>
      <c r="C7" s="234"/>
      <c r="D7" s="234"/>
      <c r="E7" s="234"/>
      <c r="F7" s="234"/>
      <c r="G7" s="234"/>
      <c r="H7" s="234"/>
      <c r="I7" s="234"/>
      <c r="J7" s="234"/>
      <c r="K7" s="234"/>
      <c r="L7" s="234"/>
      <c r="M7" s="234"/>
      <c r="N7" s="234"/>
      <c r="O7" s="234"/>
      <c r="P7" s="234"/>
      <c r="Q7" s="234"/>
      <c r="R7" s="234"/>
      <c r="S7" s="234"/>
      <c r="T7" s="234"/>
      <c r="V7" s="79"/>
      <c r="W7" s="247"/>
      <c r="X7" s="248"/>
      <c r="Y7" s="248"/>
      <c r="Z7" s="248"/>
      <c r="AA7" s="248"/>
      <c r="AB7" s="248"/>
      <c r="AC7" s="248"/>
      <c r="AD7" s="248"/>
      <c r="AE7" s="248"/>
      <c r="AF7" s="248"/>
      <c r="AG7" s="248"/>
      <c r="AH7" s="248"/>
      <c r="AI7" s="248"/>
      <c r="AJ7" s="234"/>
      <c r="AL7" s="43"/>
      <c r="AM7" s="43"/>
      <c r="AN7" s="43"/>
      <c r="AO7" s="43"/>
      <c r="AP7" s="43"/>
      <c r="AQ7" s="43"/>
      <c r="AR7" s="43"/>
      <c r="AS7" s="43"/>
      <c r="AT7" s="43"/>
      <c r="AU7" s="43"/>
      <c r="AV7" s="43"/>
      <c r="AW7" s="43"/>
      <c r="AX7" s="43"/>
      <c r="AY7" s="43"/>
      <c r="AZ7" s="43"/>
      <c r="BA7" s="43"/>
      <c r="BB7" s="43"/>
      <c r="BC7" s="43"/>
      <c r="BD7" s="43"/>
      <c r="BE7" s="43"/>
    </row>
    <row r="8" spans="1:57" s="38" customFormat="1" ht="18.600000000000001" customHeight="1">
      <c r="A8" s="226" t="s">
        <v>43</v>
      </c>
      <c r="B8" s="223" t="s">
        <v>44</v>
      </c>
      <c r="C8" s="223" t="s">
        <v>45</v>
      </c>
      <c r="D8" s="223" t="s">
        <v>70</v>
      </c>
      <c r="E8" s="235" t="s">
        <v>71</v>
      </c>
      <c r="F8" s="223" t="s">
        <v>46</v>
      </c>
      <c r="G8" s="223" t="s">
        <v>47</v>
      </c>
      <c r="H8" s="229" t="s">
        <v>48</v>
      </c>
      <c r="I8" s="74"/>
      <c r="J8" s="218" t="s">
        <v>72</v>
      </c>
      <c r="K8" s="218"/>
      <c r="L8" s="218"/>
      <c r="M8" s="218"/>
      <c r="N8" s="218"/>
      <c r="O8" s="218"/>
      <c r="P8" s="218"/>
      <c r="Q8" s="218"/>
      <c r="R8" s="218"/>
      <c r="S8" s="218"/>
      <c r="T8" s="218" t="s">
        <v>73</v>
      </c>
      <c r="V8" s="235" t="s">
        <v>55</v>
      </c>
      <c r="W8" s="235" t="s">
        <v>44</v>
      </c>
      <c r="X8" s="235" t="s">
        <v>45</v>
      </c>
      <c r="Y8" s="202"/>
      <c r="Z8" s="218" t="s">
        <v>72</v>
      </c>
      <c r="AA8" s="218"/>
      <c r="AB8" s="218"/>
      <c r="AC8" s="218"/>
      <c r="AD8" s="218"/>
      <c r="AE8" s="218"/>
      <c r="AF8" s="218"/>
      <c r="AG8" s="218"/>
      <c r="AH8" s="218"/>
      <c r="AI8" s="218"/>
      <c r="AJ8" s="218" t="s">
        <v>73</v>
      </c>
      <c r="AL8" s="43"/>
      <c r="AM8" s="43"/>
      <c r="AN8" s="43"/>
      <c r="AO8" s="43"/>
      <c r="AP8" s="43"/>
      <c r="AQ8" s="43"/>
      <c r="AR8" s="43"/>
      <c r="AS8" s="43"/>
      <c r="AT8" s="43"/>
      <c r="AU8" s="43"/>
      <c r="AV8" s="43"/>
      <c r="AW8" s="43"/>
      <c r="AX8" s="43"/>
      <c r="AY8" s="43"/>
      <c r="AZ8" s="43"/>
      <c r="BA8" s="43"/>
      <c r="BB8" s="43"/>
      <c r="BC8" s="43"/>
      <c r="BD8" s="43"/>
      <c r="BE8" s="43"/>
    </row>
    <row r="9" spans="1:57" s="43" customFormat="1" ht="15.75">
      <c r="A9" s="226"/>
      <c r="B9" s="223"/>
      <c r="C9" s="223"/>
      <c r="D9" s="223"/>
      <c r="E9" s="223"/>
      <c r="F9" s="223"/>
      <c r="G9" s="223"/>
      <c r="H9" s="229"/>
      <c r="I9" s="73" t="s">
        <v>49</v>
      </c>
      <c r="J9" s="73" t="s">
        <v>74</v>
      </c>
      <c r="K9" s="73" t="s">
        <v>75</v>
      </c>
      <c r="L9" s="73" t="s">
        <v>76</v>
      </c>
      <c r="M9" s="35" t="s">
        <v>49</v>
      </c>
      <c r="N9" s="35" t="s">
        <v>62</v>
      </c>
      <c r="O9" s="35" t="s">
        <v>63</v>
      </c>
      <c r="P9" s="35" t="s">
        <v>52</v>
      </c>
      <c r="Q9" s="35" t="s">
        <v>64</v>
      </c>
      <c r="R9" s="35" t="s">
        <v>65</v>
      </c>
      <c r="S9" s="35" t="s">
        <v>53</v>
      </c>
      <c r="T9" s="218"/>
      <c r="V9" s="235"/>
      <c r="W9" s="235"/>
      <c r="X9" s="235"/>
      <c r="Y9" s="202" t="s">
        <v>49</v>
      </c>
      <c r="Z9" s="202" t="s">
        <v>74</v>
      </c>
      <c r="AA9" s="202" t="s">
        <v>75</v>
      </c>
      <c r="AB9" s="202" t="s">
        <v>76</v>
      </c>
      <c r="AC9" s="201" t="s">
        <v>49</v>
      </c>
      <c r="AD9" s="201" t="s">
        <v>62</v>
      </c>
      <c r="AE9" s="201" t="s">
        <v>63</v>
      </c>
      <c r="AF9" s="201" t="s">
        <v>52</v>
      </c>
      <c r="AG9" s="201" t="s">
        <v>64</v>
      </c>
      <c r="AH9" s="201" t="s">
        <v>65</v>
      </c>
      <c r="AI9" s="201" t="s">
        <v>53</v>
      </c>
      <c r="AJ9" s="218"/>
    </row>
    <row r="10" spans="1:57" s="56" customFormat="1" ht="14.25">
      <c r="A10" s="233" t="s">
        <v>77</v>
      </c>
      <c r="B10" s="233"/>
      <c r="C10" s="233"/>
      <c r="D10" s="233"/>
      <c r="E10" s="233"/>
      <c r="F10" s="233"/>
      <c r="G10" s="233"/>
      <c r="H10" s="233"/>
      <c r="I10" s="233"/>
      <c r="J10" s="233"/>
      <c r="K10" s="233"/>
      <c r="L10" s="233"/>
      <c r="M10" s="233"/>
      <c r="N10" s="233"/>
      <c r="O10" s="233"/>
      <c r="P10" s="233"/>
      <c r="Q10" s="233"/>
      <c r="R10" s="233"/>
      <c r="S10" s="233"/>
      <c r="T10" s="233"/>
      <c r="V10" s="241" t="s">
        <v>77</v>
      </c>
      <c r="W10" s="242"/>
      <c r="X10" s="242"/>
      <c r="Y10" s="242"/>
      <c r="Z10" s="242"/>
      <c r="AA10" s="242"/>
      <c r="AB10" s="242"/>
      <c r="AC10" s="242"/>
      <c r="AD10" s="242"/>
      <c r="AE10" s="242"/>
      <c r="AF10" s="242"/>
      <c r="AG10" s="242"/>
      <c r="AH10" s="242"/>
      <c r="AI10" s="242"/>
      <c r="AJ10" s="243"/>
    </row>
    <row r="11" spans="1:57" s="56" customFormat="1" ht="14.25">
      <c r="A11" s="44"/>
      <c r="B11" s="45"/>
      <c r="C11" s="46">
        <f t="shared" ref="C11:C74" si="0">IF($B11&lt;&gt;"",VLOOKUP($B11,Matriz_INM,2,0),0)</f>
        <v>0</v>
      </c>
      <c r="D11" s="47"/>
      <c r="E11" s="47"/>
      <c r="F11" s="47"/>
      <c r="G11" s="47"/>
      <c r="H11" s="48"/>
      <c r="I11" s="75" t="str">
        <f t="shared" ref="I11:I74" si="1">IFERROR(VLOOKUP($B11,Matriz_INM,3,0),"")</f>
        <v/>
      </c>
      <c r="J11" s="49"/>
      <c r="K11" s="49"/>
      <c r="L11" s="49"/>
      <c r="M11" s="47"/>
      <c r="N11" s="48"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8"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6" t="str">
        <f t="shared" ref="P11:P74" si="4">IF(N11="",O11,IF(O11="",N11,""))</f>
        <v/>
      </c>
      <c r="Q11" s="77">
        <f t="shared" ref="Q11:Q74" si="5">IF(AND(OR(M11="EE",M11="CE"),P11="Simples"),3, IF(AND(OR(M11="EE",M11="CE"),P11="Médio"),4, IF(AND(OR(M11="EE",M11="CE"),P11="Complexo"),6, IF(AND(M11="SE",P11="Simples"),4, IF(AND(M11="SE",P11="Médio"),5, IF(AND(M11="SE",P11="Complexo"),7,0))))))</f>
        <v>0</v>
      </c>
      <c r="R11" s="77">
        <f t="shared" ref="R11:R74" si="6">IF(AND(M11="ALI",O11="Simples"),7, IF(AND(M11="ALI",O11="Médio"),10, IF(AND(M11="ALI",O11="Complexo"),15, IF(AND(M11="AIE",O11="Simples"),5, IF(AND(M11="AIE",O11="Médio"),7, IF(AND(M11="AIE",O11="Complexo"),10,0))))))</f>
        <v>0</v>
      </c>
      <c r="S11" s="76">
        <f>IF($I11="%",($Q11+$R11)*$C11,$C11*J11)</f>
        <v>0</v>
      </c>
      <c r="T11" s="47"/>
      <c r="V11" s="57"/>
      <c r="W11" s="45"/>
      <c r="X11" s="46">
        <f>IF($W11&lt;&gt;"",VLOOKUP($W11,Matriz_INM,2,0),0)</f>
        <v>0</v>
      </c>
      <c r="Y11" s="75" t="str">
        <f>IFERROR(VLOOKUP($W11,Matriz_INM,3,0),"")</f>
        <v/>
      </c>
      <c r="Z11" s="49"/>
      <c r="AA11" s="49"/>
      <c r="AB11" s="49"/>
      <c r="AC11" s="203"/>
      <c r="AD11" s="48" t="str">
        <f t="shared" ref="AD11:AD74" si="7">IF(AC11="EE",IF(OR(AND(OR(AB11=1,AB11=0),AA11&gt;0,AA11&lt;5),AND(OR(AB11=1,AB11=0),AA11&gt;4,AA11&lt;16),AND(AB11=2,AA11&gt;0,AA11&lt;5)),"Simples",IF(OR(AND(OR(AB11=1,AB11=0),AA11&gt;15),AND(AB11=2,AA11&gt;4,AA11&lt;16),AND(AB11&gt;2,AA11&gt;0,AA11&lt;5)),"Médio",IF(OR(AND(AB11=2,AA11&gt;15),AND(AB11&gt;2,AA11&gt;4,AA11&lt;16),AND(AB11&gt;2,AA11&gt;15)),"Complexo",""))), IF(OR(AC11="CE",AC11="SE"),IF(OR(AND(OR(AB11=1,AB11=0),AA11&gt;0,AA11&lt;6),AND(OR(AB11=1,AB11=0),AA11&gt;5,AA11&lt;20),AND(AB11&gt;1,AB11&lt;4,AA11&gt;0,AA11&lt;6)),"Simples",IF(OR(AND(OR(AB11=1,AB11=0),AA11&gt;19),AND(AB11&gt;1,AB11&lt;4,AA11&gt;5,AA11&lt;20),AND(AB11&gt;3,AA11&gt;0,AA11&lt;6)),"Médio",IF(OR(AND(AB11&gt;1,AB11&lt;4,AA11&gt;19),AND(AB11&gt;3,AA11&gt;5,AA11&lt;20),AND(AB11&gt;3,AA11&gt;19)),"Complexo",""))),""))</f>
        <v/>
      </c>
      <c r="AE11" s="48" t="str">
        <f t="shared" ref="AE11:AE74" si="8">IF(AC11="ALI",IF(OR(AND(OR(AB11=1,AB11=0),AA11&gt;0,AA11&lt;20),AND(OR(AB11=1,AB11=0),AA11&gt;19,AA11&lt;51),AND(AB11&gt;1,AB11&lt;6,AA11&gt;0,AA11&lt;20)),"Simples",IF(OR(AND(OR(AB11=1,AB11=0),AA11&gt;50),AND(AB11&gt;1,AB11&lt;6,AA11&gt;19,AA11&lt;51),AND(AB11&gt;5,AA11&gt;0,AA11&lt;20)),"Médio",IF(OR(AND(AB11&gt;1,AB11&lt;6,AA11&gt;50),AND(AB11&gt;5,AA11&gt;19,AA11&lt;51),AND(AB11&gt;5,AA11&gt;50)),"Complexo",""))), IF(AC11="AIE",IF(OR(AND(OR(AB11=1, AB11=0),AA11&gt;0,AA11&lt;20),AND(OR(AB11=1, AB11=0),AA11&gt;19,AA11&lt;51),AND(AB11&gt;1,AB11&lt;6,AA11&gt;0,AA11&lt;20)),"Simples",IF(OR(AND(OR(AB11=1, AB11=0),AA11&gt;50),AND(AB11&gt;1,AB11&lt;6,AA11&gt;19,AA11&lt;51),AND(AB11&gt;5,AA11&gt;0,AA11&lt;20)),"Médio",IF(OR(AND(AB11&gt;1,AB11&lt;6,AA11&gt;50),AND(AB11&gt;5,AA11&gt;19,AA11&lt;51),AND(AB11&gt;5,AA11&gt;50)),"Complexo",""))),""))</f>
        <v/>
      </c>
      <c r="AF11" s="76" t="str">
        <f t="shared" ref="AF11:AF74" si="9">IF(AD11="",AE11,IF(AE11="",AD11,""))</f>
        <v/>
      </c>
      <c r="AG11" s="77">
        <f t="shared" ref="AG11:AG74" si="10">IF(AND(OR(AC11="EE",AC11="CE"),AF11="Simples"),3, IF(AND(OR(AC11="EE",AC11="CE"),AF11="Médio"),4, IF(AND(OR(AC11="EE",AC11="CE"),AF11="Complexo"),6, IF(AND(AC11="SE",AF11="Simples"),4, IF(AND(AC11="SE",AF11="Médio"),5, IF(AND(AC11="SE",AF11="Complexo"),7,0))))))</f>
        <v>0</v>
      </c>
      <c r="AH11" s="77">
        <f t="shared" ref="AH11:AH74" si="11">IF(AND(AC11="ALI",AE11="Simples"),7, IF(AND(AC11="ALI",AE11="Médio"),10, IF(AND(AC11="ALI",AE11="Complexo"),15, IF(AND(AC11="AIE",AE11="Simples"),5, IF(AND(AC11="AIE",AE11="Médio"),7, IF(AND(AC11="AIE",AE11="Complexo"),10,0))))))</f>
        <v>0</v>
      </c>
      <c r="AI11" s="76">
        <f>IF(V11="OK",S11,IF($Y11="%",($AG11+$AH11)*$X11,$X11*Z11))</f>
        <v>0</v>
      </c>
      <c r="AJ11" s="203"/>
    </row>
    <row r="12" spans="1:57" s="56" customFormat="1" ht="14.25">
      <c r="A12" s="44"/>
      <c r="B12" s="45"/>
      <c r="C12" s="46">
        <f t="shared" si="0"/>
        <v>0</v>
      </c>
      <c r="D12" s="47"/>
      <c r="E12" s="47"/>
      <c r="F12" s="47"/>
      <c r="G12" s="47"/>
      <c r="H12" s="48"/>
      <c r="I12" s="75" t="str">
        <f t="shared" si="1"/>
        <v/>
      </c>
      <c r="J12" s="49"/>
      <c r="K12" s="49"/>
      <c r="L12" s="49"/>
      <c r="M12" s="47"/>
      <c r="N12" s="48" t="str">
        <f t="shared" si="2"/>
        <v/>
      </c>
      <c r="O12" s="48" t="str">
        <f t="shared" si="3"/>
        <v/>
      </c>
      <c r="P12" s="76" t="str">
        <f t="shared" si="4"/>
        <v/>
      </c>
      <c r="Q12" s="77">
        <f t="shared" si="5"/>
        <v>0</v>
      </c>
      <c r="R12" s="77">
        <f t="shared" si="6"/>
        <v>0</v>
      </c>
      <c r="S12" s="76">
        <f t="shared" ref="S12:S75" si="12">IF($I12="%",($Q12+$R12)*$C12,$C12)</f>
        <v>0</v>
      </c>
      <c r="T12" s="47"/>
      <c r="V12" s="57"/>
      <c r="W12" s="45"/>
      <c r="X12" s="46">
        <f t="shared" ref="X12:X74" si="13">IF($B12&lt;&gt;"",VLOOKUP($B12,Matriz_INM,2,0),0)</f>
        <v>0</v>
      </c>
      <c r="Y12" s="75" t="str">
        <f t="shared" ref="Y12:Y74" si="14">IFERROR(VLOOKUP($B12,Matriz_INM,3,0),"")</f>
        <v/>
      </c>
      <c r="Z12" s="49"/>
      <c r="AA12" s="49"/>
      <c r="AB12" s="49"/>
      <c r="AC12" s="204"/>
      <c r="AD12" s="48" t="str">
        <f t="shared" si="7"/>
        <v/>
      </c>
      <c r="AE12" s="48" t="str">
        <f t="shared" si="8"/>
        <v/>
      </c>
      <c r="AF12" s="76" t="str">
        <f t="shared" si="9"/>
        <v/>
      </c>
      <c r="AG12" s="77">
        <f t="shared" si="10"/>
        <v>0</v>
      </c>
      <c r="AH12" s="77">
        <f t="shared" si="11"/>
        <v>0</v>
      </c>
      <c r="AI12" s="76">
        <f t="shared" ref="AI12:AI75" si="15">IF($I12="%",($Q12+$R12)*$C12,$C12)</f>
        <v>0</v>
      </c>
      <c r="AJ12" s="203"/>
    </row>
    <row r="13" spans="1:57" s="56" customFormat="1" ht="14.25">
      <c r="A13" s="44"/>
      <c r="B13" s="45"/>
      <c r="C13" s="46">
        <f t="shared" si="0"/>
        <v>0</v>
      </c>
      <c r="D13" s="47"/>
      <c r="E13" s="47"/>
      <c r="F13" s="47"/>
      <c r="G13" s="47"/>
      <c r="H13" s="48"/>
      <c r="I13" s="75" t="str">
        <f t="shared" si="1"/>
        <v/>
      </c>
      <c r="J13" s="49"/>
      <c r="K13" s="49"/>
      <c r="L13" s="49"/>
      <c r="M13" s="47"/>
      <c r="N13" s="48" t="str">
        <f t="shared" si="2"/>
        <v/>
      </c>
      <c r="O13" s="48" t="str">
        <f t="shared" si="3"/>
        <v/>
      </c>
      <c r="P13" s="76" t="str">
        <f t="shared" si="4"/>
        <v/>
      </c>
      <c r="Q13" s="77">
        <f t="shared" si="5"/>
        <v>0</v>
      </c>
      <c r="R13" s="77">
        <f t="shared" si="6"/>
        <v>0</v>
      </c>
      <c r="S13" s="76">
        <f t="shared" si="12"/>
        <v>0</v>
      </c>
      <c r="T13" s="47"/>
      <c r="V13" s="57"/>
      <c r="W13" s="45"/>
      <c r="X13" s="46">
        <f t="shared" si="13"/>
        <v>0</v>
      </c>
      <c r="Y13" s="75" t="str">
        <f t="shared" si="14"/>
        <v/>
      </c>
      <c r="Z13" s="49"/>
      <c r="AA13" s="49"/>
      <c r="AB13" s="49"/>
      <c r="AC13" s="204"/>
      <c r="AD13" s="48" t="str">
        <f t="shared" si="7"/>
        <v/>
      </c>
      <c r="AE13" s="48" t="str">
        <f t="shared" si="8"/>
        <v/>
      </c>
      <c r="AF13" s="76" t="str">
        <f t="shared" si="9"/>
        <v/>
      </c>
      <c r="AG13" s="77">
        <f t="shared" si="10"/>
        <v>0</v>
      </c>
      <c r="AH13" s="77">
        <f t="shared" si="11"/>
        <v>0</v>
      </c>
      <c r="AI13" s="76">
        <f t="shared" si="15"/>
        <v>0</v>
      </c>
      <c r="AJ13" s="203"/>
    </row>
    <row r="14" spans="1:57" s="56" customFormat="1" ht="14.25">
      <c r="A14" s="44"/>
      <c r="B14" s="45"/>
      <c r="C14" s="46">
        <f t="shared" si="0"/>
        <v>0</v>
      </c>
      <c r="D14" s="47"/>
      <c r="E14" s="47"/>
      <c r="F14" s="47"/>
      <c r="G14" s="47"/>
      <c r="H14" s="48"/>
      <c r="I14" s="75" t="str">
        <f t="shared" si="1"/>
        <v/>
      </c>
      <c r="J14" s="49"/>
      <c r="K14" s="49"/>
      <c r="L14" s="49"/>
      <c r="M14" s="47"/>
      <c r="N14" s="48" t="str">
        <f t="shared" si="2"/>
        <v/>
      </c>
      <c r="O14" s="48" t="str">
        <f t="shared" si="3"/>
        <v/>
      </c>
      <c r="P14" s="76" t="str">
        <f t="shared" si="4"/>
        <v/>
      </c>
      <c r="Q14" s="77">
        <f t="shared" si="5"/>
        <v>0</v>
      </c>
      <c r="R14" s="77">
        <f t="shared" si="6"/>
        <v>0</v>
      </c>
      <c r="S14" s="76">
        <f t="shared" si="12"/>
        <v>0</v>
      </c>
      <c r="T14" s="47"/>
      <c r="V14" s="57"/>
      <c r="W14" s="45"/>
      <c r="X14" s="46">
        <f t="shared" si="13"/>
        <v>0</v>
      </c>
      <c r="Y14" s="75" t="str">
        <f t="shared" si="14"/>
        <v/>
      </c>
      <c r="Z14" s="49"/>
      <c r="AA14" s="49"/>
      <c r="AB14" s="49"/>
      <c r="AC14" s="204"/>
      <c r="AD14" s="48" t="str">
        <f t="shared" si="7"/>
        <v/>
      </c>
      <c r="AE14" s="48" t="str">
        <f t="shared" si="8"/>
        <v/>
      </c>
      <c r="AF14" s="76" t="str">
        <f t="shared" si="9"/>
        <v/>
      </c>
      <c r="AG14" s="77">
        <f t="shared" si="10"/>
        <v>0</v>
      </c>
      <c r="AH14" s="77">
        <f t="shared" si="11"/>
        <v>0</v>
      </c>
      <c r="AI14" s="76">
        <f t="shared" si="15"/>
        <v>0</v>
      </c>
      <c r="AJ14" s="203"/>
    </row>
    <row r="15" spans="1:57" s="56" customFormat="1" ht="14.25">
      <c r="A15" s="44"/>
      <c r="B15" s="45"/>
      <c r="C15" s="46">
        <f t="shared" si="0"/>
        <v>0</v>
      </c>
      <c r="D15" s="47"/>
      <c r="E15" s="47"/>
      <c r="F15" s="47"/>
      <c r="G15" s="47"/>
      <c r="H15" s="48"/>
      <c r="I15" s="75" t="str">
        <f t="shared" si="1"/>
        <v/>
      </c>
      <c r="J15" s="49"/>
      <c r="K15" s="49"/>
      <c r="L15" s="49"/>
      <c r="M15" s="47"/>
      <c r="N15" s="48" t="str">
        <f t="shared" si="2"/>
        <v/>
      </c>
      <c r="O15" s="48" t="str">
        <f t="shared" si="3"/>
        <v/>
      </c>
      <c r="P15" s="76" t="str">
        <f t="shared" si="4"/>
        <v/>
      </c>
      <c r="Q15" s="77">
        <f t="shared" si="5"/>
        <v>0</v>
      </c>
      <c r="R15" s="77">
        <f t="shared" si="6"/>
        <v>0</v>
      </c>
      <c r="S15" s="76">
        <f t="shared" si="12"/>
        <v>0</v>
      </c>
      <c r="T15" s="47"/>
      <c r="V15" s="57"/>
      <c r="W15" s="45"/>
      <c r="X15" s="46">
        <f t="shared" si="13"/>
        <v>0</v>
      </c>
      <c r="Y15" s="75" t="str">
        <f t="shared" si="14"/>
        <v/>
      </c>
      <c r="Z15" s="49"/>
      <c r="AA15" s="49"/>
      <c r="AB15" s="49"/>
      <c r="AC15" s="204"/>
      <c r="AD15" s="48" t="str">
        <f t="shared" si="7"/>
        <v/>
      </c>
      <c r="AE15" s="48" t="str">
        <f t="shared" si="8"/>
        <v/>
      </c>
      <c r="AF15" s="76" t="str">
        <f t="shared" si="9"/>
        <v/>
      </c>
      <c r="AG15" s="77">
        <f t="shared" si="10"/>
        <v>0</v>
      </c>
      <c r="AH15" s="77">
        <f t="shared" si="11"/>
        <v>0</v>
      </c>
      <c r="AI15" s="76">
        <f t="shared" si="15"/>
        <v>0</v>
      </c>
      <c r="AJ15" s="203"/>
    </row>
    <row r="16" spans="1:57" s="56" customFormat="1" ht="14.25">
      <c r="A16" s="44"/>
      <c r="B16" s="45"/>
      <c r="C16" s="46">
        <f t="shared" si="0"/>
        <v>0</v>
      </c>
      <c r="D16" s="47"/>
      <c r="E16" s="47"/>
      <c r="F16" s="47"/>
      <c r="G16" s="47"/>
      <c r="H16" s="48"/>
      <c r="I16" s="75" t="str">
        <f t="shared" si="1"/>
        <v/>
      </c>
      <c r="J16" s="49"/>
      <c r="K16" s="49"/>
      <c r="L16" s="49"/>
      <c r="M16" s="47"/>
      <c r="N16" s="48" t="str">
        <f t="shared" si="2"/>
        <v/>
      </c>
      <c r="O16" s="48" t="str">
        <f t="shared" si="3"/>
        <v/>
      </c>
      <c r="P16" s="76" t="str">
        <f t="shared" si="4"/>
        <v/>
      </c>
      <c r="Q16" s="77">
        <f t="shared" si="5"/>
        <v>0</v>
      </c>
      <c r="R16" s="77">
        <f t="shared" si="6"/>
        <v>0</v>
      </c>
      <c r="S16" s="76">
        <f t="shared" si="12"/>
        <v>0</v>
      </c>
      <c r="T16" s="47"/>
      <c r="V16" s="57"/>
      <c r="W16" s="45"/>
      <c r="X16" s="46">
        <f t="shared" si="13"/>
        <v>0</v>
      </c>
      <c r="Y16" s="75" t="str">
        <f t="shared" si="14"/>
        <v/>
      </c>
      <c r="Z16" s="49"/>
      <c r="AA16" s="49"/>
      <c r="AB16" s="49"/>
      <c r="AC16" s="204"/>
      <c r="AD16" s="48" t="str">
        <f t="shared" si="7"/>
        <v/>
      </c>
      <c r="AE16" s="48" t="str">
        <f t="shared" si="8"/>
        <v/>
      </c>
      <c r="AF16" s="76" t="str">
        <f t="shared" si="9"/>
        <v/>
      </c>
      <c r="AG16" s="77">
        <f t="shared" si="10"/>
        <v>0</v>
      </c>
      <c r="AH16" s="77">
        <f t="shared" si="11"/>
        <v>0</v>
      </c>
      <c r="AI16" s="76">
        <f t="shared" si="15"/>
        <v>0</v>
      </c>
      <c r="AJ16" s="203"/>
    </row>
    <row r="17" spans="1:36" s="56" customFormat="1" ht="14.25">
      <c r="A17" s="44"/>
      <c r="B17" s="45"/>
      <c r="C17" s="46">
        <f t="shared" si="0"/>
        <v>0</v>
      </c>
      <c r="D17" s="47"/>
      <c r="E17" s="47"/>
      <c r="F17" s="47"/>
      <c r="G17" s="47"/>
      <c r="H17" s="48"/>
      <c r="I17" s="75" t="str">
        <f t="shared" si="1"/>
        <v/>
      </c>
      <c r="J17" s="49"/>
      <c r="K17" s="49"/>
      <c r="L17" s="49"/>
      <c r="M17" s="47"/>
      <c r="N17" s="48" t="str">
        <f t="shared" si="2"/>
        <v/>
      </c>
      <c r="O17" s="48" t="str">
        <f t="shared" si="3"/>
        <v/>
      </c>
      <c r="P17" s="76" t="str">
        <f t="shared" si="4"/>
        <v/>
      </c>
      <c r="Q17" s="77">
        <f t="shared" si="5"/>
        <v>0</v>
      </c>
      <c r="R17" s="77">
        <f t="shared" si="6"/>
        <v>0</v>
      </c>
      <c r="S17" s="76">
        <f t="shared" si="12"/>
        <v>0</v>
      </c>
      <c r="T17" s="47"/>
      <c r="V17" s="57"/>
      <c r="W17" s="45"/>
      <c r="X17" s="46">
        <f t="shared" si="13"/>
        <v>0</v>
      </c>
      <c r="Y17" s="75" t="str">
        <f t="shared" si="14"/>
        <v/>
      </c>
      <c r="Z17" s="49"/>
      <c r="AA17" s="49"/>
      <c r="AB17" s="49"/>
      <c r="AC17" s="204"/>
      <c r="AD17" s="48" t="str">
        <f t="shared" si="7"/>
        <v/>
      </c>
      <c r="AE17" s="48" t="str">
        <f t="shared" si="8"/>
        <v/>
      </c>
      <c r="AF17" s="76" t="str">
        <f t="shared" si="9"/>
        <v/>
      </c>
      <c r="AG17" s="77">
        <f t="shared" si="10"/>
        <v>0</v>
      </c>
      <c r="AH17" s="77">
        <f t="shared" si="11"/>
        <v>0</v>
      </c>
      <c r="AI17" s="76">
        <f t="shared" si="15"/>
        <v>0</v>
      </c>
      <c r="AJ17" s="203"/>
    </row>
    <row r="18" spans="1:36" s="56" customFormat="1" ht="14.25">
      <c r="A18" s="44"/>
      <c r="B18" s="45"/>
      <c r="C18" s="46">
        <f t="shared" si="0"/>
        <v>0</v>
      </c>
      <c r="D18" s="47"/>
      <c r="E18" s="47"/>
      <c r="F18" s="47"/>
      <c r="G18" s="47"/>
      <c r="H18" s="48"/>
      <c r="I18" s="75" t="str">
        <f t="shared" si="1"/>
        <v/>
      </c>
      <c r="J18" s="49"/>
      <c r="K18" s="49"/>
      <c r="L18" s="49"/>
      <c r="M18" s="47"/>
      <c r="N18" s="48" t="str">
        <f t="shared" si="2"/>
        <v/>
      </c>
      <c r="O18" s="48" t="str">
        <f t="shared" si="3"/>
        <v/>
      </c>
      <c r="P18" s="76" t="str">
        <f t="shared" si="4"/>
        <v/>
      </c>
      <c r="Q18" s="77">
        <f t="shared" si="5"/>
        <v>0</v>
      </c>
      <c r="R18" s="77">
        <f t="shared" si="6"/>
        <v>0</v>
      </c>
      <c r="S18" s="76">
        <f t="shared" si="12"/>
        <v>0</v>
      </c>
      <c r="T18" s="47"/>
      <c r="V18" s="57"/>
      <c r="W18" s="45"/>
      <c r="X18" s="46">
        <f t="shared" si="13"/>
        <v>0</v>
      </c>
      <c r="Y18" s="75" t="str">
        <f t="shared" si="14"/>
        <v/>
      </c>
      <c r="Z18" s="49"/>
      <c r="AA18" s="49"/>
      <c r="AB18" s="49"/>
      <c r="AC18" s="204"/>
      <c r="AD18" s="48" t="str">
        <f t="shared" si="7"/>
        <v/>
      </c>
      <c r="AE18" s="48" t="str">
        <f t="shared" si="8"/>
        <v/>
      </c>
      <c r="AF18" s="76" t="str">
        <f t="shared" si="9"/>
        <v/>
      </c>
      <c r="AG18" s="77">
        <f t="shared" si="10"/>
        <v>0</v>
      </c>
      <c r="AH18" s="77">
        <f t="shared" si="11"/>
        <v>0</v>
      </c>
      <c r="AI18" s="76">
        <f t="shared" si="15"/>
        <v>0</v>
      </c>
      <c r="AJ18" s="203"/>
    </row>
    <row r="19" spans="1:36" s="56" customFormat="1" ht="14.25">
      <c r="A19" s="44"/>
      <c r="B19" s="45"/>
      <c r="C19" s="46">
        <f t="shared" si="0"/>
        <v>0</v>
      </c>
      <c r="D19" s="47"/>
      <c r="E19" s="47"/>
      <c r="F19" s="47"/>
      <c r="G19" s="47"/>
      <c r="H19" s="48"/>
      <c r="I19" s="75" t="str">
        <f t="shared" si="1"/>
        <v/>
      </c>
      <c r="J19" s="49"/>
      <c r="K19" s="49"/>
      <c r="L19" s="49"/>
      <c r="M19" s="47"/>
      <c r="N19" s="48" t="str">
        <f t="shared" si="2"/>
        <v/>
      </c>
      <c r="O19" s="48" t="str">
        <f t="shared" si="3"/>
        <v/>
      </c>
      <c r="P19" s="76" t="str">
        <f t="shared" si="4"/>
        <v/>
      </c>
      <c r="Q19" s="77">
        <f t="shared" si="5"/>
        <v>0</v>
      </c>
      <c r="R19" s="77">
        <f t="shared" si="6"/>
        <v>0</v>
      </c>
      <c r="S19" s="76">
        <f t="shared" si="12"/>
        <v>0</v>
      </c>
      <c r="T19" s="47"/>
      <c r="V19" s="57"/>
      <c r="W19" s="45"/>
      <c r="X19" s="46">
        <f t="shared" si="13"/>
        <v>0</v>
      </c>
      <c r="Y19" s="75" t="str">
        <f t="shared" si="14"/>
        <v/>
      </c>
      <c r="Z19" s="49"/>
      <c r="AA19" s="49"/>
      <c r="AB19" s="49"/>
      <c r="AC19" s="204"/>
      <c r="AD19" s="48" t="str">
        <f t="shared" si="7"/>
        <v/>
      </c>
      <c r="AE19" s="48" t="str">
        <f t="shared" si="8"/>
        <v/>
      </c>
      <c r="AF19" s="76" t="str">
        <f t="shared" si="9"/>
        <v/>
      </c>
      <c r="AG19" s="77">
        <f t="shared" si="10"/>
        <v>0</v>
      </c>
      <c r="AH19" s="77">
        <f t="shared" si="11"/>
        <v>0</v>
      </c>
      <c r="AI19" s="76">
        <f t="shared" si="15"/>
        <v>0</v>
      </c>
      <c r="AJ19" s="203"/>
    </row>
    <row r="20" spans="1:36" s="56" customFormat="1" ht="14.25">
      <c r="A20" s="44"/>
      <c r="B20" s="45"/>
      <c r="C20" s="46">
        <f t="shared" si="0"/>
        <v>0</v>
      </c>
      <c r="D20" s="47"/>
      <c r="E20" s="47"/>
      <c r="F20" s="47"/>
      <c r="G20" s="47"/>
      <c r="H20" s="48"/>
      <c r="I20" s="75" t="str">
        <f t="shared" si="1"/>
        <v/>
      </c>
      <c r="J20" s="49"/>
      <c r="K20" s="49"/>
      <c r="L20" s="49"/>
      <c r="M20" s="47"/>
      <c r="N20" s="48" t="str">
        <f t="shared" si="2"/>
        <v/>
      </c>
      <c r="O20" s="48" t="str">
        <f t="shared" si="3"/>
        <v/>
      </c>
      <c r="P20" s="76" t="str">
        <f t="shared" si="4"/>
        <v/>
      </c>
      <c r="Q20" s="77">
        <f t="shared" si="5"/>
        <v>0</v>
      </c>
      <c r="R20" s="77">
        <f t="shared" si="6"/>
        <v>0</v>
      </c>
      <c r="S20" s="76">
        <f t="shared" si="12"/>
        <v>0</v>
      </c>
      <c r="T20" s="47"/>
      <c r="V20" s="57"/>
      <c r="W20" s="45"/>
      <c r="X20" s="46">
        <f t="shared" si="13"/>
        <v>0</v>
      </c>
      <c r="Y20" s="75" t="str">
        <f t="shared" si="14"/>
        <v/>
      </c>
      <c r="Z20" s="49"/>
      <c r="AA20" s="49"/>
      <c r="AB20" s="49"/>
      <c r="AC20" s="204"/>
      <c r="AD20" s="48" t="str">
        <f t="shared" si="7"/>
        <v/>
      </c>
      <c r="AE20" s="48" t="str">
        <f t="shared" si="8"/>
        <v/>
      </c>
      <c r="AF20" s="76" t="str">
        <f t="shared" si="9"/>
        <v/>
      </c>
      <c r="AG20" s="77">
        <f t="shared" si="10"/>
        <v>0</v>
      </c>
      <c r="AH20" s="77">
        <f t="shared" si="11"/>
        <v>0</v>
      </c>
      <c r="AI20" s="76">
        <f t="shared" si="15"/>
        <v>0</v>
      </c>
      <c r="AJ20" s="203"/>
    </row>
    <row r="21" spans="1:36" s="56" customFormat="1" ht="14.25">
      <c r="A21" s="44"/>
      <c r="B21" s="45"/>
      <c r="C21" s="46">
        <f t="shared" si="0"/>
        <v>0</v>
      </c>
      <c r="D21" s="47"/>
      <c r="E21" s="47"/>
      <c r="F21" s="47"/>
      <c r="G21" s="47"/>
      <c r="H21" s="48"/>
      <c r="I21" s="75" t="str">
        <f t="shared" si="1"/>
        <v/>
      </c>
      <c r="J21" s="49"/>
      <c r="K21" s="49"/>
      <c r="L21" s="49"/>
      <c r="M21" s="47"/>
      <c r="N21" s="48" t="str">
        <f t="shared" si="2"/>
        <v/>
      </c>
      <c r="O21" s="48" t="str">
        <f t="shared" si="3"/>
        <v/>
      </c>
      <c r="P21" s="76" t="str">
        <f t="shared" si="4"/>
        <v/>
      </c>
      <c r="Q21" s="77">
        <f t="shared" si="5"/>
        <v>0</v>
      </c>
      <c r="R21" s="77">
        <f t="shared" si="6"/>
        <v>0</v>
      </c>
      <c r="S21" s="76">
        <f t="shared" si="12"/>
        <v>0</v>
      </c>
      <c r="T21" s="47"/>
      <c r="V21" s="57"/>
      <c r="W21" s="45"/>
      <c r="X21" s="46">
        <f t="shared" si="13"/>
        <v>0</v>
      </c>
      <c r="Y21" s="75" t="str">
        <f t="shared" si="14"/>
        <v/>
      </c>
      <c r="Z21" s="49"/>
      <c r="AA21" s="49"/>
      <c r="AB21" s="49"/>
      <c r="AC21" s="204"/>
      <c r="AD21" s="48" t="str">
        <f t="shared" si="7"/>
        <v/>
      </c>
      <c r="AE21" s="48" t="str">
        <f t="shared" si="8"/>
        <v/>
      </c>
      <c r="AF21" s="76" t="str">
        <f t="shared" si="9"/>
        <v/>
      </c>
      <c r="AG21" s="77">
        <f t="shared" si="10"/>
        <v>0</v>
      </c>
      <c r="AH21" s="77">
        <f t="shared" si="11"/>
        <v>0</v>
      </c>
      <c r="AI21" s="76">
        <f t="shared" si="15"/>
        <v>0</v>
      </c>
      <c r="AJ21" s="203"/>
    </row>
    <row r="22" spans="1:36" s="56" customFormat="1" ht="14.25">
      <c r="A22" s="44"/>
      <c r="B22" s="45"/>
      <c r="C22" s="46">
        <f t="shared" si="0"/>
        <v>0</v>
      </c>
      <c r="D22" s="47"/>
      <c r="E22" s="47"/>
      <c r="F22" s="47"/>
      <c r="G22" s="47"/>
      <c r="H22" s="48"/>
      <c r="I22" s="75" t="str">
        <f t="shared" si="1"/>
        <v/>
      </c>
      <c r="J22" s="49"/>
      <c r="K22" s="49"/>
      <c r="L22" s="49"/>
      <c r="M22" s="47"/>
      <c r="N22" s="48" t="str">
        <f t="shared" si="2"/>
        <v/>
      </c>
      <c r="O22" s="48" t="str">
        <f t="shared" si="3"/>
        <v/>
      </c>
      <c r="P22" s="76" t="str">
        <f t="shared" si="4"/>
        <v/>
      </c>
      <c r="Q22" s="77">
        <f t="shared" si="5"/>
        <v>0</v>
      </c>
      <c r="R22" s="77">
        <f t="shared" si="6"/>
        <v>0</v>
      </c>
      <c r="S22" s="76">
        <f t="shared" si="12"/>
        <v>0</v>
      </c>
      <c r="T22" s="47"/>
      <c r="V22" s="57"/>
      <c r="W22" s="45"/>
      <c r="X22" s="46">
        <f t="shared" si="13"/>
        <v>0</v>
      </c>
      <c r="Y22" s="75" t="str">
        <f t="shared" si="14"/>
        <v/>
      </c>
      <c r="Z22" s="49"/>
      <c r="AA22" s="49"/>
      <c r="AB22" s="49"/>
      <c r="AC22" s="204"/>
      <c r="AD22" s="48" t="str">
        <f t="shared" si="7"/>
        <v/>
      </c>
      <c r="AE22" s="48" t="str">
        <f t="shared" si="8"/>
        <v/>
      </c>
      <c r="AF22" s="76" t="str">
        <f t="shared" si="9"/>
        <v/>
      </c>
      <c r="AG22" s="77">
        <f t="shared" si="10"/>
        <v>0</v>
      </c>
      <c r="AH22" s="77">
        <f t="shared" si="11"/>
        <v>0</v>
      </c>
      <c r="AI22" s="76">
        <f t="shared" si="15"/>
        <v>0</v>
      </c>
      <c r="AJ22" s="203"/>
    </row>
    <row r="23" spans="1:36" s="56" customFormat="1" ht="14.25">
      <c r="A23" s="44"/>
      <c r="B23" s="45"/>
      <c r="C23" s="46">
        <f t="shared" si="0"/>
        <v>0</v>
      </c>
      <c r="D23" s="47"/>
      <c r="E23" s="47"/>
      <c r="F23" s="47"/>
      <c r="G23" s="47"/>
      <c r="H23" s="48"/>
      <c r="I23" s="75" t="str">
        <f t="shared" si="1"/>
        <v/>
      </c>
      <c r="J23" s="49"/>
      <c r="K23" s="49"/>
      <c r="L23" s="49"/>
      <c r="M23" s="47"/>
      <c r="N23" s="48" t="str">
        <f t="shared" si="2"/>
        <v/>
      </c>
      <c r="O23" s="48" t="str">
        <f t="shared" si="3"/>
        <v/>
      </c>
      <c r="P23" s="76" t="str">
        <f t="shared" si="4"/>
        <v/>
      </c>
      <c r="Q23" s="77">
        <f t="shared" si="5"/>
        <v>0</v>
      </c>
      <c r="R23" s="77">
        <f t="shared" si="6"/>
        <v>0</v>
      </c>
      <c r="S23" s="76">
        <f t="shared" si="12"/>
        <v>0</v>
      </c>
      <c r="T23" s="47"/>
      <c r="V23" s="57"/>
      <c r="W23" s="45"/>
      <c r="X23" s="46">
        <f t="shared" si="13"/>
        <v>0</v>
      </c>
      <c r="Y23" s="75" t="str">
        <f t="shared" si="14"/>
        <v/>
      </c>
      <c r="Z23" s="49"/>
      <c r="AA23" s="49"/>
      <c r="AB23" s="49"/>
      <c r="AC23" s="204"/>
      <c r="AD23" s="48" t="str">
        <f t="shared" si="7"/>
        <v/>
      </c>
      <c r="AE23" s="48" t="str">
        <f t="shared" si="8"/>
        <v/>
      </c>
      <c r="AF23" s="76" t="str">
        <f t="shared" si="9"/>
        <v/>
      </c>
      <c r="AG23" s="77">
        <f t="shared" si="10"/>
        <v>0</v>
      </c>
      <c r="AH23" s="77">
        <f t="shared" si="11"/>
        <v>0</v>
      </c>
      <c r="AI23" s="76">
        <f t="shared" si="15"/>
        <v>0</v>
      </c>
      <c r="AJ23" s="203"/>
    </row>
    <row r="24" spans="1:36" s="56" customFormat="1" ht="14.25">
      <c r="A24" s="44"/>
      <c r="B24" s="45"/>
      <c r="C24" s="46">
        <f t="shared" si="0"/>
        <v>0</v>
      </c>
      <c r="D24" s="47"/>
      <c r="E24" s="47"/>
      <c r="F24" s="47"/>
      <c r="G24" s="47"/>
      <c r="H24" s="48"/>
      <c r="I24" s="75" t="str">
        <f t="shared" si="1"/>
        <v/>
      </c>
      <c r="J24" s="49"/>
      <c r="K24" s="49"/>
      <c r="L24" s="49"/>
      <c r="M24" s="47"/>
      <c r="N24" s="48" t="str">
        <f t="shared" si="2"/>
        <v/>
      </c>
      <c r="O24" s="48" t="str">
        <f t="shared" si="3"/>
        <v/>
      </c>
      <c r="P24" s="76" t="str">
        <f t="shared" si="4"/>
        <v/>
      </c>
      <c r="Q24" s="77">
        <f t="shared" si="5"/>
        <v>0</v>
      </c>
      <c r="R24" s="77">
        <f t="shared" si="6"/>
        <v>0</v>
      </c>
      <c r="S24" s="76">
        <f t="shared" si="12"/>
        <v>0</v>
      </c>
      <c r="T24" s="47"/>
      <c r="V24" s="57"/>
      <c r="W24" s="45"/>
      <c r="X24" s="46">
        <f t="shared" si="13"/>
        <v>0</v>
      </c>
      <c r="Y24" s="75" t="str">
        <f t="shared" si="14"/>
        <v/>
      </c>
      <c r="Z24" s="49"/>
      <c r="AA24" s="49"/>
      <c r="AB24" s="49"/>
      <c r="AC24" s="204"/>
      <c r="AD24" s="48" t="str">
        <f t="shared" si="7"/>
        <v/>
      </c>
      <c r="AE24" s="48" t="str">
        <f t="shared" si="8"/>
        <v/>
      </c>
      <c r="AF24" s="76" t="str">
        <f t="shared" si="9"/>
        <v/>
      </c>
      <c r="AG24" s="77">
        <f t="shared" si="10"/>
        <v>0</v>
      </c>
      <c r="AH24" s="77">
        <f t="shared" si="11"/>
        <v>0</v>
      </c>
      <c r="AI24" s="76">
        <f t="shared" si="15"/>
        <v>0</v>
      </c>
      <c r="AJ24" s="203"/>
    </row>
    <row r="25" spans="1:36" s="56" customFormat="1" ht="14.25">
      <c r="A25" s="44"/>
      <c r="B25" s="45"/>
      <c r="C25" s="46">
        <f t="shared" si="0"/>
        <v>0</v>
      </c>
      <c r="D25" s="47"/>
      <c r="E25" s="47"/>
      <c r="F25" s="47"/>
      <c r="G25" s="47"/>
      <c r="H25" s="48"/>
      <c r="I25" s="75" t="str">
        <f t="shared" si="1"/>
        <v/>
      </c>
      <c r="J25" s="49"/>
      <c r="K25" s="49"/>
      <c r="L25" s="49"/>
      <c r="M25" s="47"/>
      <c r="N25" s="48" t="str">
        <f t="shared" si="2"/>
        <v/>
      </c>
      <c r="O25" s="48" t="str">
        <f t="shared" si="3"/>
        <v/>
      </c>
      <c r="P25" s="76" t="str">
        <f t="shared" si="4"/>
        <v/>
      </c>
      <c r="Q25" s="77">
        <f t="shared" si="5"/>
        <v>0</v>
      </c>
      <c r="R25" s="77">
        <f t="shared" si="6"/>
        <v>0</v>
      </c>
      <c r="S25" s="76">
        <f t="shared" si="12"/>
        <v>0</v>
      </c>
      <c r="T25" s="47"/>
      <c r="V25" s="57"/>
      <c r="W25" s="45"/>
      <c r="X25" s="46">
        <f t="shared" si="13"/>
        <v>0</v>
      </c>
      <c r="Y25" s="75" t="str">
        <f t="shared" si="14"/>
        <v/>
      </c>
      <c r="Z25" s="49"/>
      <c r="AA25" s="49"/>
      <c r="AB25" s="49"/>
      <c r="AC25" s="204"/>
      <c r="AD25" s="48" t="str">
        <f t="shared" si="7"/>
        <v/>
      </c>
      <c r="AE25" s="48" t="str">
        <f t="shared" si="8"/>
        <v/>
      </c>
      <c r="AF25" s="76" t="str">
        <f t="shared" si="9"/>
        <v/>
      </c>
      <c r="AG25" s="77">
        <f t="shared" si="10"/>
        <v>0</v>
      </c>
      <c r="AH25" s="77">
        <f t="shared" si="11"/>
        <v>0</v>
      </c>
      <c r="AI25" s="76">
        <f t="shared" si="15"/>
        <v>0</v>
      </c>
      <c r="AJ25" s="203"/>
    </row>
    <row r="26" spans="1:36" s="56" customFormat="1" ht="14.25">
      <c r="A26" s="44"/>
      <c r="B26" s="45"/>
      <c r="C26" s="46">
        <f t="shared" si="0"/>
        <v>0</v>
      </c>
      <c r="D26" s="47"/>
      <c r="E26" s="47"/>
      <c r="F26" s="47"/>
      <c r="G26" s="47"/>
      <c r="H26" s="48"/>
      <c r="I26" s="75" t="str">
        <f t="shared" si="1"/>
        <v/>
      </c>
      <c r="J26" s="49"/>
      <c r="K26" s="49"/>
      <c r="L26" s="49"/>
      <c r="M26" s="47"/>
      <c r="N26" s="48" t="str">
        <f t="shared" si="2"/>
        <v/>
      </c>
      <c r="O26" s="48" t="str">
        <f t="shared" si="3"/>
        <v/>
      </c>
      <c r="P26" s="76" t="str">
        <f t="shared" si="4"/>
        <v/>
      </c>
      <c r="Q26" s="77">
        <f t="shared" si="5"/>
        <v>0</v>
      </c>
      <c r="R26" s="77">
        <f t="shared" si="6"/>
        <v>0</v>
      </c>
      <c r="S26" s="76">
        <f t="shared" si="12"/>
        <v>0</v>
      </c>
      <c r="T26" s="47"/>
      <c r="V26" s="57"/>
      <c r="W26" s="45"/>
      <c r="X26" s="46">
        <f t="shared" si="13"/>
        <v>0</v>
      </c>
      <c r="Y26" s="75" t="str">
        <f t="shared" si="14"/>
        <v/>
      </c>
      <c r="Z26" s="49"/>
      <c r="AA26" s="49"/>
      <c r="AB26" s="49"/>
      <c r="AC26" s="204"/>
      <c r="AD26" s="48" t="str">
        <f t="shared" si="7"/>
        <v/>
      </c>
      <c r="AE26" s="48" t="str">
        <f t="shared" si="8"/>
        <v/>
      </c>
      <c r="AF26" s="76" t="str">
        <f t="shared" si="9"/>
        <v/>
      </c>
      <c r="AG26" s="77">
        <f t="shared" si="10"/>
        <v>0</v>
      </c>
      <c r="AH26" s="77">
        <f t="shared" si="11"/>
        <v>0</v>
      </c>
      <c r="AI26" s="76">
        <f t="shared" si="15"/>
        <v>0</v>
      </c>
      <c r="AJ26" s="203"/>
    </row>
    <row r="27" spans="1:36" s="56" customFormat="1" ht="14.25">
      <c r="A27" s="44"/>
      <c r="B27" s="45"/>
      <c r="C27" s="46">
        <f t="shared" si="0"/>
        <v>0</v>
      </c>
      <c r="D27" s="47"/>
      <c r="E27" s="47"/>
      <c r="F27" s="47"/>
      <c r="G27" s="47"/>
      <c r="H27" s="48"/>
      <c r="I27" s="75" t="str">
        <f t="shared" si="1"/>
        <v/>
      </c>
      <c r="J27" s="49"/>
      <c r="K27" s="49"/>
      <c r="L27" s="49"/>
      <c r="M27" s="47"/>
      <c r="N27" s="48" t="str">
        <f t="shared" si="2"/>
        <v/>
      </c>
      <c r="O27" s="48" t="str">
        <f t="shared" si="3"/>
        <v/>
      </c>
      <c r="P27" s="76" t="str">
        <f t="shared" si="4"/>
        <v/>
      </c>
      <c r="Q27" s="77">
        <f t="shared" si="5"/>
        <v>0</v>
      </c>
      <c r="R27" s="77">
        <f t="shared" si="6"/>
        <v>0</v>
      </c>
      <c r="S27" s="76">
        <f t="shared" si="12"/>
        <v>0</v>
      </c>
      <c r="T27" s="47"/>
      <c r="V27" s="57"/>
      <c r="W27" s="45"/>
      <c r="X27" s="46">
        <f t="shared" si="13"/>
        <v>0</v>
      </c>
      <c r="Y27" s="75" t="str">
        <f t="shared" si="14"/>
        <v/>
      </c>
      <c r="Z27" s="49"/>
      <c r="AA27" s="49"/>
      <c r="AB27" s="49"/>
      <c r="AC27" s="204"/>
      <c r="AD27" s="48" t="str">
        <f t="shared" si="7"/>
        <v/>
      </c>
      <c r="AE27" s="48" t="str">
        <f t="shared" si="8"/>
        <v/>
      </c>
      <c r="AF27" s="76" t="str">
        <f t="shared" si="9"/>
        <v/>
      </c>
      <c r="AG27" s="77">
        <f t="shared" si="10"/>
        <v>0</v>
      </c>
      <c r="AH27" s="77">
        <f t="shared" si="11"/>
        <v>0</v>
      </c>
      <c r="AI27" s="76">
        <f t="shared" si="15"/>
        <v>0</v>
      </c>
      <c r="AJ27" s="203"/>
    </row>
    <row r="28" spans="1:36" s="56" customFormat="1" ht="14.25">
      <c r="A28" s="44"/>
      <c r="B28" s="45"/>
      <c r="C28" s="46">
        <f t="shared" si="0"/>
        <v>0</v>
      </c>
      <c r="D28" s="47"/>
      <c r="E28" s="47"/>
      <c r="F28" s="47"/>
      <c r="G28" s="47"/>
      <c r="H28" s="48"/>
      <c r="I28" s="75" t="str">
        <f t="shared" si="1"/>
        <v/>
      </c>
      <c r="J28" s="49"/>
      <c r="K28" s="49"/>
      <c r="L28" s="49"/>
      <c r="M28" s="47"/>
      <c r="N28" s="48" t="str">
        <f t="shared" si="2"/>
        <v/>
      </c>
      <c r="O28" s="48" t="str">
        <f t="shared" si="3"/>
        <v/>
      </c>
      <c r="P28" s="76" t="str">
        <f t="shared" si="4"/>
        <v/>
      </c>
      <c r="Q28" s="77">
        <f t="shared" si="5"/>
        <v>0</v>
      </c>
      <c r="R28" s="77">
        <f t="shared" si="6"/>
        <v>0</v>
      </c>
      <c r="S28" s="76">
        <f t="shared" si="12"/>
        <v>0</v>
      </c>
      <c r="T28" s="47"/>
      <c r="V28" s="57"/>
      <c r="W28" s="45"/>
      <c r="X28" s="46">
        <f t="shared" si="13"/>
        <v>0</v>
      </c>
      <c r="Y28" s="75" t="str">
        <f t="shared" si="14"/>
        <v/>
      </c>
      <c r="Z28" s="49"/>
      <c r="AA28" s="49"/>
      <c r="AB28" s="49"/>
      <c r="AC28" s="204"/>
      <c r="AD28" s="48" t="str">
        <f t="shared" si="7"/>
        <v/>
      </c>
      <c r="AE28" s="48" t="str">
        <f t="shared" si="8"/>
        <v/>
      </c>
      <c r="AF28" s="76" t="str">
        <f t="shared" si="9"/>
        <v/>
      </c>
      <c r="AG28" s="77">
        <f t="shared" si="10"/>
        <v>0</v>
      </c>
      <c r="AH28" s="77">
        <f t="shared" si="11"/>
        <v>0</v>
      </c>
      <c r="AI28" s="76">
        <f t="shared" si="15"/>
        <v>0</v>
      </c>
      <c r="AJ28" s="203"/>
    </row>
    <row r="29" spans="1:36" s="56" customFormat="1" ht="14.25">
      <c r="A29" s="44"/>
      <c r="B29" s="45"/>
      <c r="C29" s="46">
        <f t="shared" si="0"/>
        <v>0</v>
      </c>
      <c r="D29" s="47"/>
      <c r="E29" s="47"/>
      <c r="F29" s="47"/>
      <c r="G29" s="47"/>
      <c r="H29" s="48"/>
      <c r="I29" s="75" t="str">
        <f t="shared" si="1"/>
        <v/>
      </c>
      <c r="J29" s="49"/>
      <c r="K29" s="49"/>
      <c r="L29" s="49"/>
      <c r="M29" s="47"/>
      <c r="N29" s="48" t="str">
        <f t="shared" si="2"/>
        <v/>
      </c>
      <c r="O29" s="48" t="str">
        <f t="shared" si="3"/>
        <v/>
      </c>
      <c r="P29" s="76" t="str">
        <f t="shared" si="4"/>
        <v/>
      </c>
      <c r="Q29" s="77">
        <f t="shared" si="5"/>
        <v>0</v>
      </c>
      <c r="R29" s="77">
        <f t="shared" si="6"/>
        <v>0</v>
      </c>
      <c r="S29" s="76">
        <f t="shared" si="12"/>
        <v>0</v>
      </c>
      <c r="T29" s="47"/>
      <c r="V29" s="57"/>
      <c r="W29" s="45"/>
      <c r="X29" s="46">
        <f t="shared" si="13"/>
        <v>0</v>
      </c>
      <c r="Y29" s="75" t="str">
        <f t="shared" si="14"/>
        <v/>
      </c>
      <c r="Z29" s="49"/>
      <c r="AA29" s="49"/>
      <c r="AB29" s="49"/>
      <c r="AC29" s="204"/>
      <c r="AD29" s="48" t="str">
        <f t="shared" si="7"/>
        <v/>
      </c>
      <c r="AE29" s="48" t="str">
        <f t="shared" si="8"/>
        <v/>
      </c>
      <c r="AF29" s="76" t="str">
        <f t="shared" si="9"/>
        <v/>
      </c>
      <c r="AG29" s="77">
        <f t="shared" si="10"/>
        <v>0</v>
      </c>
      <c r="AH29" s="77">
        <f t="shared" si="11"/>
        <v>0</v>
      </c>
      <c r="AI29" s="76">
        <f t="shared" si="15"/>
        <v>0</v>
      </c>
      <c r="AJ29" s="203"/>
    </row>
    <row r="30" spans="1:36" s="56" customFormat="1" ht="14.25">
      <c r="A30" s="44"/>
      <c r="B30" s="45"/>
      <c r="C30" s="46">
        <f t="shared" si="0"/>
        <v>0</v>
      </c>
      <c r="D30" s="47"/>
      <c r="E30" s="47"/>
      <c r="F30" s="47"/>
      <c r="G30" s="47"/>
      <c r="H30" s="48"/>
      <c r="I30" s="75" t="str">
        <f t="shared" si="1"/>
        <v/>
      </c>
      <c r="J30" s="49"/>
      <c r="K30" s="49"/>
      <c r="L30" s="49"/>
      <c r="M30" s="47"/>
      <c r="N30" s="48" t="str">
        <f t="shared" si="2"/>
        <v/>
      </c>
      <c r="O30" s="48" t="str">
        <f t="shared" si="3"/>
        <v/>
      </c>
      <c r="P30" s="76" t="str">
        <f t="shared" si="4"/>
        <v/>
      </c>
      <c r="Q30" s="77">
        <f t="shared" si="5"/>
        <v>0</v>
      </c>
      <c r="R30" s="77">
        <f t="shared" si="6"/>
        <v>0</v>
      </c>
      <c r="S30" s="76">
        <f t="shared" si="12"/>
        <v>0</v>
      </c>
      <c r="T30" s="47"/>
      <c r="V30" s="57"/>
      <c r="W30" s="45"/>
      <c r="X30" s="46">
        <f t="shared" si="13"/>
        <v>0</v>
      </c>
      <c r="Y30" s="75" t="str">
        <f t="shared" si="14"/>
        <v/>
      </c>
      <c r="Z30" s="49"/>
      <c r="AA30" s="49"/>
      <c r="AB30" s="49"/>
      <c r="AC30" s="204"/>
      <c r="AD30" s="48" t="str">
        <f t="shared" si="7"/>
        <v/>
      </c>
      <c r="AE30" s="48" t="str">
        <f t="shared" si="8"/>
        <v/>
      </c>
      <c r="AF30" s="76" t="str">
        <f t="shared" si="9"/>
        <v/>
      </c>
      <c r="AG30" s="77">
        <f t="shared" si="10"/>
        <v>0</v>
      </c>
      <c r="AH30" s="77">
        <f t="shared" si="11"/>
        <v>0</v>
      </c>
      <c r="AI30" s="76">
        <f t="shared" si="15"/>
        <v>0</v>
      </c>
      <c r="AJ30" s="203"/>
    </row>
    <row r="31" spans="1:36" s="56" customFormat="1" ht="14.25">
      <c r="A31" s="44"/>
      <c r="B31" s="45"/>
      <c r="C31" s="46">
        <f t="shared" si="0"/>
        <v>0</v>
      </c>
      <c r="D31" s="47"/>
      <c r="E31" s="47"/>
      <c r="F31" s="47"/>
      <c r="G31" s="47"/>
      <c r="H31" s="48"/>
      <c r="I31" s="75" t="str">
        <f t="shared" si="1"/>
        <v/>
      </c>
      <c r="J31" s="49"/>
      <c r="K31" s="49"/>
      <c r="L31" s="49"/>
      <c r="M31" s="47"/>
      <c r="N31" s="48" t="str">
        <f t="shared" si="2"/>
        <v/>
      </c>
      <c r="O31" s="48" t="str">
        <f t="shared" si="3"/>
        <v/>
      </c>
      <c r="P31" s="76" t="str">
        <f t="shared" si="4"/>
        <v/>
      </c>
      <c r="Q31" s="77">
        <f t="shared" si="5"/>
        <v>0</v>
      </c>
      <c r="R31" s="77">
        <f t="shared" si="6"/>
        <v>0</v>
      </c>
      <c r="S31" s="76">
        <f t="shared" si="12"/>
        <v>0</v>
      </c>
      <c r="T31" s="47"/>
      <c r="V31" s="57"/>
      <c r="W31" s="45"/>
      <c r="X31" s="46">
        <f t="shared" si="13"/>
        <v>0</v>
      </c>
      <c r="Y31" s="75" t="str">
        <f t="shared" si="14"/>
        <v/>
      </c>
      <c r="Z31" s="49"/>
      <c r="AA31" s="49"/>
      <c r="AB31" s="49"/>
      <c r="AC31" s="204"/>
      <c r="AD31" s="48" t="str">
        <f t="shared" si="7"/>
        <v/>
      </c>
      <c r="AE31" s="48" t="str">
        <f t="shared" si="8"/>
        <v/>
      </c>
      <c r="AF31" s="76" t="str">
        <f t="shared" si="9"/>
        <v/>
      </c>
      <c r="AG31" s="77">
        <f t="shared" si="10"/>
        <v>0</v>
      </c>
      <c r="AH31" s="77">
        <f t="shared" si="11"/>
        <v>0</v>
      </c>
      <c r="AI31" s="76">
        <f t="shared" si="15"/>
        <v>0</v>
      </c>
      <c r="AJ31" s="203"/>
    </row>
    <row r="32" spans="1:36" s="56" customFormat="1" ht="14.25">
      <c r="A32" s="44"/>
      <c r="B32" s="45"/>
      <c r="C32" s="46">
        <f t="shared" si="0"/>
        <v>0</v>
      </c>
      <c r="D32" s="47"/>
      <c r="E32" s="47"/>
      <c r="F32" s="47"/>
      <c r="G32" s="47"/>
      <c r="H32" s="48"/>
      <c r="I32" s="75" t="str">
        <f t="shared" si="1"/>
        <v/>
      </c>
      <c r="J32" s="49"/>
      <c r="K32" s="49"/>
      <c r="L32" s="49"/>
      <c r="M32" s="47"/>
      <c r="N32" s="48" t="str">
        <f t="shared" si="2"/>
        <v/>
      </c>
      <c r="O32" s="48" t="str">
        <f t="shared" si="3"/>
        <v/>
      </c>
      <c r="P32" s="76" t="str">
        <f t="shared" si="4"/>
        <v/>
      </c>
      <c r="Q32" s="77">
        <f t="shared" si="5"/>
        <v>0</v>
      </c>
      <c r="R32" s="77">
        <f t="shared" si="6"/>
        <v>0</v>
      </c>
      <c r="S32" s="76">
        <f t="shared" si="12"/>
        <v>0</v>
      </c>
      <c r="T32" s="47"/>
      <c r="V32" s="57"/>
      <c r="W32" s="45"/>
      <c r="X32" s="46">
        <f t="shared" si="13"/>
        <v>0</v>
      </c>
      <c r="Y32" s="75" t="str">
        <f t="shared" si="14"/>
        <v/>
      </c>
      <c r="Z32" s="49"/>
      <c r="AA32" s="49"/>
      <c r="AB32" s="49"/>
      <c r="AC32" s="204"/>
      <c r="AD32" s="48" t="str">
        <f t="shared" si="7"/>
        <v/>
      </c>
      <c r="AE32" s="48" t="str">
        <f t="shared" si="8"/>
        <v/>
      </c>
      <c r="AF32" s="76" t="str">
        <f t="shared" si="9"/>
        <v/>
      </c>
      <c r="AG32" s="77">
        <f t="shared" si="10"/>
        <v>0</v>
      </c>
      <c r="AH32" s="77">
        <f t="shared" si="11"/>
        <v>0</v>
      </c>
      <c r="AI32" s="76">
        <f t="shared" si="15"/>
        <v>0</v>
      </c>
      <c r="AJ32" s="203"/>
    </row>
    <row r="33" spans="1:36" s="56" customFormat="1" ht="14.25">
      <c r="A33" s="44"/>
      <c r="B33" s="45"/>
      <c r="C33" s="46">
        <f t="shared" si="0"/>
        <v>0</v>
      </c>
      <c r="D33" s="47"/>
      <c r="E33" s="47"/>
      <c r="F33" s="47"/>
      <c r="G33" s="47"/>
      <c r="H33" s="48"/>
      <c r="I33" s="75" t="str">
        <f t="shared" si="1"/>
        <v/>
      </c>
      <c r="J33" s="49"/>
      <c r="K33" s="49"/>
      <c r="L33" s="49"/>
      <c r="M33" s="47"/>
      <c r="N33" s="48" t="str">
        <f t="shared" si="2"/>
        <v/>
      </c>
      <c r="O33" s="48" t="str">
        <f t="shared" si="3"/>
        <v/>
      </c>
      <c r="P33" s="76" t="str">
        <f t="shared" si="4"/>
        <v/>
      </c>
      <c r="Q33" s="77">
        <f t="shared" si="5"/>
        <v>0</v>
      </c>
      <c r="R33" s="77">
        <f t="shared" si="6"/>
        <v>0</v>
      </c>
      <c r="S33" s="76">
        <f t="shared" si="12"/>
        <v>0</v>
      </c>
      <c r="T33" s="47"/>
      <c r="V33" s="57"/>
      <c r="W33" s="45"/>
      <c r="X33" s="46">
        <f t="shared" si="13"/>
        <v>0</v>
      </c>
      <c r="Y33" s="75" t="str">
        <f t="shared" si="14"/>
        <v/>
      </c>
      <c r="Z33" s="49"/>
      <c r="AA33" s="49"/>
      <c r="AB33" s="49"/>
      <c r="AC33" s="204"/>
      <c r="AD33" s="48" t="str">
        <f t="shared" si="7"/>
        <v/>
      </c>
      <c r="AE33" s="48" t="str">
        <f t="shared" si="8"/>
        <v/>
      </c>
      <c r="AF33" s="76" t="str">
        <f t="shared" si="9"/>
        <v/>
      </c>
      <c r="AG33" s="77">
        <f t="shared" si="10"/>
        <v>0</v>
      </c>
      <c r="AH33" s="77">
        <f t="shared" si="11"/>
        <v>0</v>
      </c>
      <c r="AI33" s="76">
        <f t="shared" si="15"/>
        <v>0</v>
      </c>
      <c r="AJ33" s="203"/>
    </row>
    <row r="34" spans="1:36" s="56" customFormat="1" ht="14.25">
      <c r="A34" s="44"/>
      <c r="B34" s="45"/>
      <c r="C34" s="46">
        <f t="shared" si="0"/>
        <v>0</v>
      </c>
      <c r="D34" s="47"/>
      <c r="E34" s="47"/>
      <c r="F34" s="47"/>
      <c r="G34" s="47"/>
      <c r="H34" s="48"/>
      <c r="I34" s="75" t="str">
        <f t="shared" si="1"/>
        <v/>
      </c>
      <c r="J34" s="49"/>
      <c r="K34" s="49"/>
      <c r="L34" s="49"/>
      <c r="M34" s="47"/>
      <c r="N34" s="48" t="str">
        <f t="shared" si="2"/>
        <v/>
      </c>
      <c r="O34" s="48" t="str">
        <f t="shared" si="3"/>
        <v/>
      </c>
      <c r="P34" s="76" t="str">
        <f t="shared" si="4"/>
        <v/>
      </c>
      <c r="Q34" s="77">
        <f t="shared" si="5"/>
        <v>0</v>
      </c>
      <c r="R34" s="77">
        <f t="shared" si="6"/>
        <v>0</v>
      </c>
      <c r="S34" s="76">
        <f t="shared" si="12"/>
        <v>0</v>
      </c>
      <c r="T34" s="47"/>
      <c r="V34" s="57"/>
      <c r="W34" s="45"/>
      <c r="X34" s="46">
        <f t="shared" si="13"/>
        <v>0</v>
      </c>
      <c r="Y34" s="75" t="str">
        <f t="shared" si="14"/>
        <v/>
      </c>
      <c r="Z34" s="49"/>
      <c r="AA34" s="49"/>
      <c r="AB34" s="49"/>
      <c r="AC34" s="204"/>
      <c r="AD34" s="48" t="str">
        <f t="shared" si="7"/>
        <v/>
      </c>
      <c r="AE34" s="48" t="str">
        <f t="shared" si="8"/>
        <v/>
      </c>
      <c r="AF34" s="76" t="str">
        <f t="shared" si="9"/>
        <v/>
      </c>
      <c r="AG34" s="77">
        <f t="shared" si="10"/>
        <v>0</v>
      </c>
      <c r="AH34" s="77">
        <f t="shared" si="11"/>
        <v>0</v>
      </c>
      <c r="AI34" s="76">
        <f t="shared" si="15"/>
        <v>0</v>
      </c>
      <c r="AJ34" s="203"/>
    </row>
    <row r="35" spans="1:36" s="56" customFormat="1" ht="14.25">
      <c r="A35" s="44"/>
      <c r="B35" s="45"/>
      <c r="C35" s="46">
        <f t="shared" si="0"/>
        <v>0</v>
      </c>
      <c r="D35" s="47"/>
      <c r="E35" s="47"/>
      <c r="F35" s="47"/>
      <c r="G35" s="47"/>
      <c r="H35" s="48"/>
      <c r="I35" s="75" t="str">
        <f t="shared" si="1"/>
        <v/>
      </c>
      <c r="J35" s="49"/>
      <c r="K35" s="49"/>
      <c r="L35" s="49"/>
      <c r="M35" s="47"/>
      <c r="N35" s="48" t="str">
        <f t="shared" si="2"/>
        <v/>
      </c>
      <c r="O35" s="48" t="str">
        <f t="shared" si="3"/>
        <v/>
      </c>
      <c r="P35" s="76" t="str">
        <f t="shared" si="4"/>
        <v/>
      </c>
      <c r="Q35" s="77">
        <f t="shared" si="5"/>
        <v>0</v>
      </c>
      <c r="R35" s="77">
        <f t="shared" si="6"/>
        <v>0</v>
      </c>
      <c r="S35" s="76">
        <f t="shared" si="12"/>
        <v>0</v>
      </c>
      <c r="T35" s="47"/>
      <c r="V35" s="57"/>
      <c r="W35" s="45"/>
      <c r="X35" s="46">
        <f t="shared" si="13"/>
        <v>0</v>
      </c>
      <c r="Y35" s="75" t="str">
        <f t="shared" si="14"/>
        <v/>
      </c>
      <c r="Z35" s="49"/>
      <c r="AA35" s="49"/>
      <c r="AB35" s="49"/>
      <c r="AC35" s="204"/>
      <c r="AD35" s="48" t="str">
        <f t="shared" si="7"/>
        <v/>
      </c>
      <c r="AE35" s="48" t="str">
        <f t="shared" si="8"/>
        <v/>
      </c>
      <c r="AF35" s="76" t="str">
        <f t="shared" si="9"/>
        <v/>
      </c>
      <c r="AG35" s="77">
        <f t="shared" si="10"/>
        <v>0</v>
      </c>
      <c r="AH35" s="77">
        <f t="shared" si="11"/>
        <v>0</v>
      </c>
      <c r="AI35" s="76">
        <f t="shared" si="15"/>
        <v>0</v>
      </c>
      <c r="AJ35" s="203"/>
    </row>
    <row r="36" spans="1:36" s="56" customFormat="1" ht="14.25">
      <c r="A36" s="44"/>
      <c r="B36" s="45"/>
      <c r="C36" s="46">
        <f t="shared" si="0"/>
        <v>0</v>
      </c>
      <c r="D36" s="47"/>
      <c r="E36" s="47"/>
      <c r="F36" s="47"/>
      <c r="G36" s="47"/>
      <c r="H36" s="48"/>
      <c r="I36" s="75" t="str">
        <f t="shared" si="1"/>
        <v/>
      </c>
      <c r="J36" s="49"/>
      <c r="K36" s="49"/>
      <c r="L36" s="49"/>
      <c r="M36" s="47"/>
      <c r="N36" s="48" t="str">
        <f t="shared" si="2"/>
        <v/>
      </c>
      <c r="O36" s="48" t="str">
        <f t="shared" si="3"/>
        <v/>
      </c>
      <c r="P36" s="76" t="str">
        <f t="shared" si="4"/>
        <v/>
      </c>
      <c r="Q36" s="77">
        <f t="shared" si="5"/>
        <v>0</v>
      </c>
      <c r="R36" s="77">
        <f t="shared" si="6"/>
        <v>0</v>
      </c>
      <c r="S36" s="76">
        <f t="shared" si="12"/>
        <v>0</v>
      </c>
      <c r="T36" s="47"/>
      <c r="V36" s="57"/>
      <c r="W36" s="45"/>
      <c r="X36" s="46">
        <f t="shared" si="13"/>
        <v>0</v>
      </c>
      <c r="Y36" s="75" t="str">
        <f t="shared" si="14"/>
        <v/>
      </c>
      <c r="Z36" s="49"/>
      <c r="AA36" s="49"/>
      <c r="AB36" s="49"/>
      <c r="AC36" s="204"/>
      <c r="AD36" s="48" t="str">
        <f t="shared" si="7"/>
        <v/>
      </c>
      <c r="AE36" s="48" t="str">
        <f t="shared" si="8"/>
        <v/>
      </c>
      <c r="AF36" s="76" t="str">
        <f t="shared" si="9"/>
        <v/>
      </c>
      <c r="AG36" s="77">
        <f t="shared" si="10"/>
        <v>0</v>
      </c>
      <c r="AH36" s="77">
        <f t="shared" si="11"/>
        <v>0</v>
      </c>
      <c r="AI36" s="76">
        <f t="shared" si="15"/>
        <v>0</v>
      </c>
      <c r="AJ36" s="203"/>
    </row>
    <row r="37" spans="1:36" s="56" customFormat="1" ht="14.25">
      <c r="A37" s="44"/>
      <c r="B37" s="45"/>
      <c r="C37" s="46">
        <f t="shared" si="0"/>
        <v>0</v>
      </c>
      <c r="D37" s="47"/>
      <c r="E37" s="47"/>
      <c r="F37" s="47"/>
      <c r="G37" s="47"/>
      <c r="H37" s="48"/>
      <c r="I37" s="75" t="str">
        <f t="shared" si="1"/>
        <v/>
      </c>
      <c r="J37" s="49"/>
      <c r="K37" s="49"/>
      <c r="L37" s="49"/>
      <c r="M37" s="47"/>
      <c r="N37" s="48" t="str">
        <f t="shared" si="2"/>
        <v/>
      </c>
      <c r="O37" s="48" t="str">
        <f t="shared" si="3"/>
        <v/>
      </c>
      <c r="P37" s="76" t="str">
        <f t="shared" si="4"/>
        <v/>
      </c>
      <c r="Q37" s="77">
        <f t="shared" si="5"/>
        <v>0</v>
      </c>
      <c r="R37" s="77">
        <f t="shared" si="6"/>
        <v>0</v>
      </c>
      <c r="S37" s="76">
        <f t="shared" si="12"/>
        <v>0</v>
      </c>
      <c r="T37" s="47"/>
      <c r="V37" s="57"/>
      <c r="W37" s="45"/>
      <c r="X37" s="46">
        <f t="shared" si="13"/>
        <v>0</v>
      </c>
      <c r="Y37" s="75" t="str">
        <f t="shared" si="14"/>
        <v/>
      </c>
      <c r="Z37" s="49"/>
      <c r="AA37" s="49"/>
      <c r="AB37" s="49"/>
      <c r="AC37" s="204"/>
      <c r="AD37" s="48" t="str">
        <f t="shared" si="7"/>
        <v/>
      </c>
      <c r="AE37" s="48" t="str">
        <f t="shared" si="8"/>
        <v/>
      </c>
      <c r="AF37" s="76" t="str">
        <f t="shared" si="9"/>
        <v/>
      </c>
      <c r="AG37" s="77">
        <f t="shared" si="10"/>
        <v>0</v>
      </c>
      <c r="AH37" s="77">
        <f t="shared" si="11"/>
        <v>0</v>
      </c>
      <c r="AI37" s="76">
        <f t="shared" si="15"/>
        <v>0</v>
      </c>
      <c r="AJ37" s="203"/>
    </row>
    <row r="38" spans="1:36" s="56" customFormat="1" ht="14.25">
      <c r="A38" s="44"/>
      <c r="B38" s="45"/>
      <c r="C38" s="46">
        <f t="shared" si="0"/>
        <v>0</v>
      </c>
      <c r="D38" s="47"/>
      <c r="E38" s="47"/>
      <c r="F38" s="47"/>
      <c r="G38" s="47"/>
      <c r="H38" s="48"/>
      <c r="I38" s="75" t="str">
        <f t="shared" si="1"/>
        <v/>
      </c>
      <c r="J38" s="49"/>
      <c r="K38" s="49"/>
      <c r="L38" s="49"/>
      <c r="M38" s="47"/>
      <c r="N38" s="48" t="str">
        <f t="shared" si="2"/>
        <v/>
      </c>
      <c r="O38" s="48" t="str">
        <f t="shared" si="3"/>
        <v/>
      </c>
      <c r="P38" s="76" t="str">
        <f t="shared" si="4"/>
        <v/>
      </c>
      <c r="Q38" s="77">
        <f t="shared" si="5"/>
        <v>0</v>
      </c>
      <c r="R38" s="77">
        <f t="shared" si="6"/>
        <v>0</v>
      </c>
      <c r="S38" s="76">
        <f t="shared" si="12"/>
        <v>0</v>
      </c>
      <c r="T38" s="47"/>
      <c r="V38" s="57"/>
      <c r="W38" s="45"/>
      <c r="X38" s="46">
        <f t="shared" si="13"/>
        <v>0</v>
      </c>
      <c r="Y38" s="75" t="str">
        <f t="shared" si="14"/>
        <v/>
      </c>
      <c r="Z38" s="49"/>
      <c r="AA38" s="49"/>
      <c r="AB38" s="49"/>
      <c r="AC38" s="204"/>
      <c r="AD38" s="48" t="str">
        <f t="shared" si="7"/>
        <v/>
      </c>
      <c r="AE38" s="48" t="str">
        <f t="shared" si="8"/>
        <v/>
      </c>
      <c r="AF38" s="76" t="str">
        <f t="shared" si="9"/>
        <v/>
      </c>
      <c r="AG38" s="77">
        <f t="shared" si="10"/>
        <v>0</v>
      </c>
      <c r="AH38" s="77">
        <f t="shared" si="11"/>
        <v>0</v>
      </c>
      <c r="AI38" s="76">
        <f t="shared" si="15"/>
        <v>0</v>
      </c>
      <c r="AJ38" s="203"/>
    </row>
    <row r="39" spans="1:36" s="56" customFormat="1" ht="14.25">
      <c r="A39" s="44"/>
      <c r="B39" s="45"/>
      <c r="C39" s="46">
        <f t="shared" si="0"/>
        <v>0</v>
      </c>
      <c r="D39" s="47"/>
      <c r="E39" s="47"/>
      <c r="F39" s="47"/>
      <c r="G39" s="47"/>
      <c r="H39" s="48"/>
      <c r="I39" s="75" t="str">
        <f t="shared" si="1"/>
        <v/>
      </c>
      <c r="J39" s="49"/>
      <c r="K39" s="49"/>
      <c r="L39" s="49"/>
      <c r="M39" s="47"/>
      <c r="N39" s="48" t="str">
        <f t="shared" si="2"/>
        <v/>
      </c>
      <c r="O39" s="48" t="str">
        <f t="shared" si="3"/>
        <v/>
      </c>
      <c r="P39" s="76" t="str">
        <f t="shared" si="4"/>
        <v/>
      </c>
      <c r="Q39" s="77">
        <f t="shared" si="5"/>
        <v>0</v>
      </c>
      <c r="R39" s="77">
        <f t="shared" si="6"/>
        <v>0</v>
      </c>
      <c r="S39" s="76">
        <f t="shared" si="12"/>
        <v>0</v>
      </c>
      <c r="T39" s="47"/>
      <c r="V39" s="57"/>
      <c r="W39" s="45"/>
      <c r="X39" s="46">
        <f t="shared" si="13"/>
        <v>0</v>
      </c>
      <c r="Y39" s="75" t="str">
        <f t="shared" si="14"/>
        <v/>
      </c>
      <c r="Z39" s="49"/>
      <c r="AA39" s="49"/>
      <c r="AB39" s="49"/>
      <c r="AC39" s="204"/>
      <c r="AD39" s="48" t="str">
        <f t="shared" si="7"/>
        <v/>
      </c>
      <c r="AE39" s="48" t="str">
        <f t="shared" si="8"/>
        <v/>
      </c>
      <c r="AF39" s="76" t="str">
        <f t="shared" si="9"/>
        <v/>
      </c>
      <c r="AG39" s="77">
        <f t="shared" si="10"/>
        <v>0</v>
      </c>
      <c r="AH39" s="77">
        <f t="shared" si="11"/>
        <v>0</v>
      </c>
      <c r="AI39" s="76">
        <f t="shared" si="15"/>
        <v>0</v>
      </c>
      <c r="AJ39" s="203"/>
    </row>
    <row r="40" spans="1:36" s="56" customFormat="1" ht="14.25">
      <c r="A40" s="44"/>
      <c r="B40" s="45"/>
      <c r="C40" s="46">
        <f t="shared" si="0"/>
        <v>0</v>
      </c>
      <c r="D40" s="47"/>
      <c r="E40" s="47"/>
      <c r="F40" s="47"/>
      <c r="G40" s="47"/>
      <c r="H40" s="48"/>
      <c r="I40" s="75" t="str">
        <f t="shared" si="1"/>
        <v/>
      </c>
      <c r="J40" s="49"/>
      <c r="K40" s="49"/>
      <c r="L40" s="49"/>
      <c r="M40" s="47"/>
      <c r="N40" s="48" t="str">
        <f t="shared" si="2"/>
        <v/>
      </c>
      <c r="O40" s="48" t="str">
        <f t="shared" si="3"/>
        <v/>
      </c>
      <c r="P40" s="76" t="str">
        <f t="shared" si="4"/>
        <v/>
      </c>
      <c r="Q40" s="77">
        <f t="shared" si="5"/>
        <v>0</v>
      </c>
      <c r="R40" s="77">
        <f t="shared" si="6"/>
        <v>0</v>
      </c>
      <c r="S40" s="76">
        <f t="shared" si="12"/>
        <v>0</v>
      </c>
      <c r="T40" s="47"/>
      <c r="V40" s="57"/>
      <c r="W40" s="45"/>
      <c r="X40" s="46">
        <f t="shared" si="13"/>
        <v>0</v>
      </c>
      <c r="Y40" s="75" t="str">
        <f t="shared" si="14"/>
        <v/>
      </c>
      <c r="Z40" s="49"/>
      <c r="AA40" s="49"/>
      <c r="AB40" s="49"/>
      <c r="AC40" s="204"/>
      <c r="AD40" s="48" t="str">
        <f t="shared" si="7"/>
        <v/>
      </c>
      <c r="AE40" s="48" t="str">
        <f t="shared" si="8"/>
        <v/>
      </c>
      <c r="AF40" s="76" t="str">
        <f t="shared" si="9"/>
        <v/>
      </c>
      <c r="AG40" s="77">
        <f t="shared" si="10"/>
        <v>0</v>
      </c>
      <c r="AH40" s="77">
        <f t="shared" si="11"/>
        <v>0</v>
      </c>
      <c r="AI40" s="76">
        <f t="shared" si="15"/>
        <v>0</v>
      </c>
      <c r="AJ40" s="203"/>
    </row>
    <row r="41" spans="1:36" s="56" customFormat="1" ht="14.25">
      <c r="A41" s="44"/>
      <c r="B41" s="45"/>
      <c r="C41" s="46">
        <f t="shared" si="0"/>
        <v>0</v>
      </c>
      <c r="D41" s="47"/>
      <c r="E41" s="47"/>
      <c r="F41" s="47"/>
      <c r="G41" s="47"/>
      <c r="H41" s="48"/>
      <c r="I41" s="75" t="str">
        <f t="shared" si="1"/>
        <v/>
      </c>
      <c r="J41" s="49"/>
      <c r="K41" s="49"/>
      <c r="L41" s="49"/>
      <c r="M41" s="47"/>
      <c r="N41" s="48" t="str">
        <f t="shared" si="2"/>
        <v/>
      </c>
      <c r="O41" s="48" t="str">
        <f t="shared" si="3"/>
        <v/>
      </c>
      <c r="P41" s="76" t="str">
        <f t="shared" si="4"/>
        <v/>
      </c>
      <c r="Q41" s="77">
        <f t="shared" si="5"/>
        <v>0</v>
      </c>
      <c r="R41" s="77">
        <f t="shared" si="6"/>
        <v>0</v>
      </c>
      <c r="S41" s="76">
        <f t="shared" si="12"/>
        <v>0</v>
      </c>
      <c r="T41" s="47"/>
      <c r="V41" s="57"/>
      <c r="W41" s="45"/>
      <c r="X41" s="46">
        <f t="shared" si="13"/>
        <v>0</v>
      </c>
      <c r="Y41" s="75" t="str">
        <f t="shared" si="14"/>
        <v/>
      </c>
      <c r="Z41" s="49"/>
      <c r="AA41" s="49"/>
      <c r="AB41" s="49"/>
      <c r="AC41" s="204"/>
      <c r="AD41" s="48" t="str">
        <f t="shared" si="7"/>
        <v/>
      </c>
      <c r="AE41" s="48" t="str">
        <f t="shared" si="8"/>
        <v/>
      </c>
      <c r="AF41" s="76" t="str">
        <f t="shared" si="9"/>
        <v/>
      </c>
      <c r="AG41" s="77">
        <f t="shared" si="10"/>
        <v>0</v>
      </c>
      <c r="AH41" s="77">
        <f t="shared" si="11"/>
        <v>0</v>
      </c>
      <c r="AI41" s="76">
        <f t="shared" si="15"/>
        <v>0</v>
      </c>
      <c r="AJ41" s="203"/>
    </row>
    <row r="42" spans="1:36" s="56" customFormat="1" ht="14.25">
      <c r="A42" s="44"/>
      <c r="B42" s="45"/>
      <c r="C42" s="46">
        <f t="shared" si="0"/>
        <v>0</v>
      </c>
      <c r="D42" s="47"/>
      <c r="E42" s="47"/>
      <c r="F42" s="47"/>
      <c r="G42" s="47"/>
      <c r="H42" s="48"/>
      <c r="I42" s="75" t="str">
        <f t="shared" si="1"/>
        <v/>
      </c>
      <c r="J42" s="49"/>
      <c r="K42" s="49"/>
      <c r="L42" s="49"/>
      <c r="M42" s="47"/>
      <c r="N42" s="48" t="str">
        <f t="shared" si="2"/>
        <v/>
      </c>
      <c r="O42" s="48" t="str">
        <f t="shared" si="3"/>
        <v/>
      </c>
      <c r="P42" s="76" t="str">
        <f t="shared" si="4"/>
        <v/>
      </c>
      <c r="Q42" s="77">
        <f t="shared" si="5"/>
        <v>0</v>
      </c>
      <c r="R42" s="77">
        <f t="shared" si="6"/>
        <v>0</v>
      </c>
      <c r="S42" s="76">
        <f t="shared" si="12"/>
        <v>0</v>
      </c>
      <c r="T42" s="47"/>
      <c r="V42" s="57"/>
      <c r="W42" s="45"/>
      <c r="X42" s="46">
        <f t="shared" si="13"/>
        <v>0</v>
      </c>
      <c r="Y42" s="75" t="str">
        <f t="shared" si="14"/>
        <v/>
      </c>
      <c r="Z42" s="49"/>
      <c r="AA42" s="49"/>
      <c r="AB42" s="49"/>
      <c r="AC42" s="204"/>
      <c r="AD42" s="48" t="str">
        <f t="shared" si="7"/>
        <v/>
      </c>
      <c r="AE42" s="48" t="str">
        <f t="shared" si="8"/>
        <v/>
      </c>
      <c r="AF42" s="76" t="str">
        <f t="shared" si="9"/>
        <v/>
      </c>
      <c r="AG42" s="77">
        <f t="shared" si="10"/>
        <v>0</v>
      </c>
      <c r="AH42" s="77">
        <f t="shared" si="11"/>
        <v>0</v>
      </c>
      <c r="AI42" s="76">
        <f t="shared" si="15"/>
        <v>0</v>
      </c>
      <c r="AJ42" s="203"/>
    </row>
    <row r="43" spans="1:36" s="56" customFormat="1" ht="14.25">
      <c r="A43" s="44"/>
      <c r="B43" s="45"/>
      <c r="C43" s="46">
        <f t="shared" si="0"/>
        <v>0</v>
      </c>
      <c r="D43" s="47"/>
      <c r="E43" s="47"/>
      <c r="F43" s="47"/>
      <c r="G43" s="47"/>
      <c r="H43" s="48"/>
      <c r="I43" s="75" t="str">
        <f t="shared" si="1"/>
        <v/>
      </c>
      <c r="J43" s="49"/>
      <c r="K43" s="49"/>
      <c r="L43" s="49"/>
      <c r="M43" s="47"/>
      <c r="N43" s="48" t="str">
        <f t="shared" si="2"/>
        <v/>
      </c>
      <c r="O43" s="48" t="str">
        <f t="shared" si="3"/>
        <v/>
      </c>
      <c r="P43" s="76" t="str">
        <f t="shared" si="4"/>
        <v/>
      </c>
      <c r="Q43" s="77">
        <f t="shared" si="5"/>
        <v>0</v>
      </c>
      <c r="R43" s="77">
        <f t="shared" si="6"/>
        <v>0</v>
      </c>
      <c r="S43" s="76">
        <f t="shared" si="12"/>
        <v>0</v>
      </c>
      <c r="T43" s="47"/>
      <c r="V43" s="57"/>
      <c r="W43" s="45"/>
      <c r="X43" s="46">
        <f t="shared" si="13"/>
        <v>0</v>
      </c>
      <c r="Y43" s="75" t="str">
        <f t="shared" si="14"/>
        <v/>
      </c>
      <c r="Z43" s="49"/>
      <c r="AA43" s="49"/>
      <c r="AB43" s="49"/>
      <c r="AC43" s="204"/>
      <c r="AD43" s="48" t="str">
        <f t="shared" si="7"/>
        <v/>
      </c>
      <c r="AE43" s="48" t="str">
        <f t="shared" si="8"/>
        <v/>
      </c>
      <c r="AF43" s="76" t="str">
        <f t="shared" si="9"/>
        <v/>
      </c>
      <c r="AG43" s="77">
        <f t="shared" si="10"/>
        <v>0</v>
      </c>
      <c r="AH43" s="77">
        <f t="shared" si="11"/>
        <v>0</v>
      </c>
      <c r="AI43" s="76">
        <f t="shared" si="15"/>
        <v>0</v>
      </c>
      <c r="AJ43" s="203"/>
    </row>
    <row r="44" spans="1:36" s="56" customFormat="1" ht="14.25">
      <c r="A44" s="44"/>
      <c r="B44" s="45"/>
      <c r="C44" s="46">
        <f t="shared" si="0"/>
        <v>0</v>
      </c>
      <c r="D44" s="47"/>
      <c r="E44" s="47"/>
      <c r="F44" s="47"/>
      <c r="G44" s="47"/>
      <c r="H44" s="48"/>
      <c r="I44" s="75" t="str">
        <f t="shared" si="1"/>
        <v/>
      </c>
      <c r="J44" s="49"/>
      <c r="K44" s="49"/>
      <c r="L44" s="49"/>
      <c r="M44" s="47"/>
      <c r="N44" s="48" t="str">
        <f t="shared" si="2"/>
        <v/>
      </c>
      <c r="O44" s="48" t="str">
        <f t="shared" si="3"/>
        <v/>
      </c>
      <c r="P44" s="76" t="str">
        <f t="shared" si="4"/>
        <v/>
      </c>
      <c r="Q44" s="77">
        <f t="shared" si="5"/>
        <v>0</v>
      </c>
      <c r="R44" s="77">
        <f t="shared" si="6"/>
        <v>0</v>
      </c>
      <c r="S44" s="76">
        <f t="shared" si="12"/>
        <v>0</v>
      </c>
      <c r="T44" s="47"/>
      <c r="V44" s="57"/>
      <c r="W44" s="45"/>
      <c r="X44" s="46">
        <f t="shared" si="13"/>
        <v>0</v>
      </c>
      <c r="Y44" s="75" t="str">
        <f t="shared" si="14"/>
        <v/>
      </c>
      <c r="Z44" s="49"/>
      <c r="AA44" s="49"/>
      <c r="AB44" s="49"/>
      <c r="AC44" s="204"/>
      <c r="AD44" s="48" t="str">
        <f t="shared" si="7"/>
        <v/>
      </c>
      <c r="AE44" s="48" t="str">
        <f t="shared" si="8"/>
        <v/>
      </c>
      <c r="AF44" s="76" t="str">
        <f t="shared" si="9"/>
        <v/>
      </c>
      <c r="AG44" s="77">
        <f t="shared" si="10"/>
        <v>0</v>
      </c>
      <c r="AH44" s="77">
        <f t="shared" si="11"/>
        <v>0</v>
      </c>
      <c r="AI44" s="76">
        <f t="shared" si="15"/>
        <v>0</v>
      </c>
      <c r="AJ44" s="203"/>
    </row>
    <row r="45" spans="1:36" s="56" customFormat="1" ht="14.25">
      <c r="A45" s="44"/>
      <c r="B45" s="45"/>
      <c r="C45" s="46">
        <f t="shared" si="0"/>
        <v>0</v>
      </c>
      <c r="D45" s="47"/>
      <c r="E45" s="47"/>
      <c r="F45" s="47"/>
      <c r="G45" s="47"/>
      <c r="H45" s="48"/>
      <c r="I45" s="75" t="str">
        <f t="shared" si="1"/>
        <v/>
      </c>
      <c r="J45" s="49"/>
      <c r="K45" s="49"/>
      <c r="L45" s="49"/>
      <c r="M45" s="47"/>
      <c r="N45" s="48" t="str">
        <f t="shared" si="2"/>
        <v/>
      </c>
      <c r="O45" s="48" t="str">
        <f t="shared" si="3"/>
        <v/>
      </c>
      <c r="P45" s="76" t="str">
        <f t="shared" si="4"/>
        <v/>
      </c>
      <c r="Q45" s="77">
        <f t="shared" si="5"/>
        <v>0</v>
      </c>
      <c r="R45" s="77">
        <f t="shared" si="6"/>
        <v>0</v>
      </c>
      <c r="S45" s="76">
        <f t="shared" si="12"/>
        <v>0</v>
      </c>
      <c r="T45" s="47"/>
      <c r="V45" s="57"/>
      <c r="W45" s="45"/>
      <c r="X45" s="46">
        <f t="shared" si="13"/>
        <v>0</v>
      </c>
      <c r="Y45" s="75" t="str">
        <f t="shared" si="14"/>
        <v/>
      </c>
      <c r="Z45" s="49"/>
      <c r="AA45" s="49"/>
      <c r="AB45" s="49"/>
      <c r="AC45" s="204"/>
      <c r="AD45" s="48" t="str">
        <f t="shared" si="7"/>
        <v/>
      </c>
      <c r="AE45" s="48" t="str">
        <f t="shared" si="8"/>
        <v/>
      </c>
      <c r="AF45" s="76" t="str">
        <f t="shared" si="9"/>
        <v/>
      </c>
      <c r="AG45" s="77">
        <f t="shared" si="10"/>
        <v>0</v>
      </c>
      <c r="AH45" s="77">
        <f t="shared" si="11"/>
        <v>0</v>
      </c>
      <c r="AI45" s="76">
        <f t="shared" si="15"/>
        <v>0</v>
      </c>
      <c r="AJ45" s="203"/>
    </row>
    <row r="46" spans="1:36" s="56" customFormat="1" ht="14.25">
      <c r="A46" s="44"/>
      <c r="B46" s="45"/>
      <c r="C46" s="46">
        <f t="shared" si="0"/>
        <v>0</v>
      </c>
      <c r="D46" s="47"/>
      <c r="E46" s="47"/>
      <c r="F46" s="47"/>
      <c r="G46" s="47"/>
      <c r="H46" s="48"/>
      <c r="I46" s="75" t="str">
        <f t="shared" si="1"/>
        <v/>
      </c>
      <c r="J46" s="49"/>
      <c r="K46" s="49"/>
      <c r="L46" s="49"/>
      <c r="M46" s="47"/>
      <c r="N46" s="48" t="str">
        <f t="shared" si="2"/>
        <v/>
      </c>
      <c r="O46" s="48" t="str">
        <f t="shared" si="3"/>
        <v/>
      </c>
      <c r="P46" s="76" t="str">
        <f t="shared" si="4"/>
        <v/>
      </c>
      <c r="Q46" s="77">
        <f t="shared" si="5"/>
        <v>0</v>
      </c>
      <c r="R46" s="77">
        <f t="shared" si="6"/>
        <v>0</v>
      </c>
      <c r="S46" s="76">
        <f t="shared" si="12"/>
        <v>0</v>
      </c>
      <c r="T46" s="47"/>
      <c r="V46" s="57"/>
      <c r="W46" s="45"/>
      <c r="X46" s="46">
        <f t="shared" si="13"/>
        <v>0</v>
      </c>
      <c r="Y46" s="75" t="str">
        <f t="shared" si="14"/>
        <v/>
      </c>
      <c r="Z46" s="49"/>
      <c r="AA46" s="49"/>
      <c r="AB46" s="49"/>
      <c r="AC46" s="204"/>
      <c r="AD46" s="48" t="str">
        <f t="shared" si="7"/>
        <v/>
      </c>
      <c r="AE46" s="48" t="str">
        <f t="shared" si="8"/>
        <v/>
      </c>
      <c r="AF46" s="76" t="str">
        <f t="shared" si="9"/>
        <v/>
      </c>
      <c r="AG46" s="77">
        <f t="shared" si="10"/>
        <v>0</v>
      </c>
      <c r="AH46" s="77">
        <f t="shared" si="11"/>
        <v>0</v>
      </c>
      <c r="AI46" s="76">
        <f t="shared" si="15"/>
        <v>0</v>
      </c>
      <c r="AJ46" s="203"/>
    </row>
    <row r="47" spans="1:36" s="56" customFormat="1" ht="14.25">
      <c r="A47" s="44"/>
      <c r="B47" s="45"/>
      <c r="C47" s="46">
        <f t="shared" si="0"/>
        <v>0</v>
      </c>
      <c r="D47" s="47"/>
      <c r="E47" s="47"/>
      <c r="F47" s="47"/>
      <c r="G47" s="47"/>
      <c r="H47" s="48"/>
      <c r="I47" s="75" t="str">
        <f t="shared" si="1"/>
        <v/>
      </c>
      <c r="J47" s="49"/>
      <c r="K47" s="49"/>
      <c r="L47" s="49"/>
      <c r="M47" s="47"/>
      <c r="N47" s="48" t="str">
        <f t="shared" si="2"/>
        <v/>
      </c>
      <c r="O47" s="48" t="str">
        <f t="shared" si="3"/>
        <v/>
      </c>
      <c r="P47" s="76" t="str">
        <f t="shared" si="4"/>
        <v/>
      </c>
      <c r="Q47" s="77">
        <f t="shared" si="5"/>
        <v>0</v>
      </c>
      <c r="R47" s="77">
        <f t="shared" si="6"/>
        <v>0</v>
      </c>
      <c r="S47" s="76">
        <f t="shared" si="12"/>
        <v>0</v>
      </c>
      <c r="T47" s="47"/>
      <c r="V47" s="57"/>
      <c r="W47" s="45"/>
      <c r="X47" s="46">
        <f t="shared" si="13"/>
        <v>0</v>
      </c>
      <c r="Y47" s="75" t="str">
        <f t="shared" si="14"/>
        <v/>
      </c>
      <c r="Z47" s="49"/>
      <c r="AA47" s="49"/>
      <c r="AB47" s="49"/>
      <c r="AC47" s="204"/>
      <c r="AD47" s="48" t="str">
        <f t="shared" si="7"/>
        <v/>
      </c>
      <c r="AE47" s="48" t="str">
        <f t="shared" si="8"/>
        <v/>
      </c>
      <c r="AF47" s="76" t="str">
        <f t="shared" si="9"/>
        <v/>
      </c>
      <c r="AG47" s="77">
        <f t="shared" si="10"/>
        <v>0</v>
      </c>
      <c r="AH47" s="77">
        <f t="shared" si="11"/>
        <v>0</v>
      </c>
      <c r="AI47" s="76">
        <f t="shared" si="15"/>
        <v>0</v>
      </c>
      <c r="AJ47" s="203"/>
    </row>
    <row r="48" spans="1:36" s="56" customFormat="1" ht="14.25">
      <c r="A48" s="44"/>
      <c r="B48" s="45"/>
      <c r="C48" s="46">
        <f t="shared" si="0"/>
        <v>0</v>
      </c>
      <c r="D48" s="47"/>
      <c r="E48" s="47"/>
      <c r="F48" s="47"/>
      <c r="G48" s="47"/>
      <c r="H48" s="48"/>
      <c r="I48" s="75" t="str">
        <f t="shared" si="1"/>
        <v/>
      </c>
      <c r="J48" s="49"/>
      <c r="K48" s="49"/>
      <c r="L48" s="49"/>
      <c r="M48" s="47"/>
      <c r="N48" s="48" t="str">
        <f t="shared" si="2"/>
        <v/>
      </c>
      <c r="O48" s="48" t="str">
        <f t="shared" si="3"/>
        <v/>
      </c>
      <c r="P48" s="76" t="str">
        <f t="shared" si="4"/>
        <v/>
      </c>
      <c r="Q48" s="77">
        <f t="shared" si="5"/>
        <v>0</v>
      </c>
      <c r="R48" s="77">
        <f t="shared" si="6"/>
        <v>0</v>
      </c>
      <c r="S48" s="76">
        <f t="shared" si="12"/>
        <v>0</v>
      </c>
      <c r="T48" s="47"/>
      <c r="V48" s="57"/>
      <c r="W48" s="45"/>
      <c r="X48" s="46">
        <f t="shared" si="13"/>
        <v>0</v>
      </c>
      <c r="Y48" s="75" t="str">
        <f t="shared" si="14"/>
        <v/>
      </c>
      <c r="Z48" s="49"/>
      <c r="AA48" s="49"/>
      <c r="AB48" s="49"/>
      <c r="AC48" s="204"/>
      <c r="AD48" s="48" t="str">
        <f t="shared" si="7"/>
        <v/>
      </c>
      <c r="AE48" s="48" t="str">
        <f t="shared" si="8"/>
        <v/>
      </c>
      <c r="AF48" s="76" t="str">
        <f t="shared" si="9"/>
        <v/>
      </c>
      <c r="AG48" s="77">
        <f t="shared" si="10"/>
        <v>0</v>
      </c>
      <c r="AH48" s="77">
        <f t="shared" si="11"/>
        <v>0</v>
      </c>
      <c r="AI48" s="76">
        <f t="shared" si="15"/>
        <v>0</v>
      </c>
      <c r="AJ48" s="203"/>
    </row>
    <row r="49" spans="1:36" s="56" customFormat="1" ht="14.25">
      <c r="A49" s="44"/>
      <c r="B49" s="45"/>
      <c r="C49" s="46">
        <f t="shared" si="0"/>
        <v>0</v>
      </c>
      <c r="D49" s="47"/>
      <c r="E49" s="47"/>
      <c r="F49" s="47"/>
      <c r="G49" s="47"/>
      <c r="H49" s="48"/>
      <c r="I49" s="75" t="str">
        <f t="shared" si="1"/>
        <v/>
      </c>
      <c r="J49" s="49"/>
      <c r="K49" s="49"/>
      <c r="L49" s="49"/>
      <c r="M49" s="47"/>
      <c r="N49" s="48" t="str">
        <f t="shared" si="2"/>
        <v/>
      </c>
      <c r="O49" s="48" t="str">
        <f t="shared" si="3"/>
        <v/>
      </c>
      <c r="P49" s="76" t="str">
        <f t="shared" si="4"/>
        <v/>
      </c>
      <c r="Q49" s="77">
        <f t="shared" si="5"/>
        <v>0</v>
      </c>
      <c r="R49" s="77">
        <f t="shared" si="6"/>
        <v>0</v>
      </c>
      <c r="S49" s="76">
        <f t="shared" si="12"/>
        <v>0</v>
      </c>
      <c r="T49" s="47"/>
      <c r="V49" s="57"/>
      <c r="W49" s="45"/>
      <c r="X49" s="46">
        <f t="shared" si="13"/>
        <v>0</v>
      </c>
      <c r="Y49" s="75" t="str">
        <f t="shared" si="14"/>
        <v/>
      </c>
      <c r="Z49" s="49"/>
      <c r="AA49" s="49"/>
      <c r="AB49" s="49"/>
      <c r="AC49" s="204"/>
      <c r="AD49" s="48" t="str">
        <f t="shared" si="7"/>
        <v/>
      </c>
      <c r="AE49" s="48" t="str">
        <f t="shared" si="8"/>
        <v/>
      </c>
      <c r="AF49" s="76" t="str">
        <f t="shared" si="9"/>
        <v/>
      </c>
      <c r="AG49" s="77">
        <f t="shared" si="10"/>
        <v>0</v>
      </c>
      <c r="AH49" s="77">
        <f t="shared" si="11"/>
        <v>0</v>
      </c>
      <c r="AI49" s="76">
        <f t="shared" si="15"/>
        <v>0</v>
      </c>
      <c r="AJ49" s="203"/>
    </row>
    <row r="50" spans="1:36" s="56" customFormat="1" ht="14.25">
      <c r="A50" s="44"/>
      <c r="B50" s="45"/>
      <c r="C50" s="46">
        <f t="shared" si="0"/>
        <v>0</v>
      </c>
      <c r="D50" s="47"/>
      <c r="E50" s="47"/>
      <c r="F50" s="47"/>
      <c r="G50" s="47"/>
      <c r="H50" s="48"/>
      <c r="I50" s="75" t="str">
        <f t="shared" si="1"/>
        <v/>
      </c>
      <c r="J50" s="49"/>
      <c r="K50" s="49"/>
      <c r="L50" s="49"/>
      <c r="M50" s="47"/>
      <c r="N50" s="48" t="str">
        <f t="shared" si="2"/>
        <v/>
      </c>
      <c r="O50" s="48" t="str">
        <f t="shared" si="3"/>
        <v/>
      </c>
      <c r="P50" s="76" t="str">
        <f t="shared" si="4"/>
        <v/>
      </c>
      <c r="Q50" s="77">
        <f t="shared" si="5"/>
        <v>0</v>
      </c>
      <c r="R50" s="77">
        <f t="shared" si="6"/>
        <v>0</v>
      </c>
      <c r="S50" s="76">
        <f t="shared" si="12"/>
        <v>0</v>
      </c>
      <c r="T50" s="47"/>
      <c r="V50" s="57"/>
      <c r="W50" s="45"/>
      <c r="X50" s="46">
        <f t="shared" si="13"/>
        <v>0</v>
      </c>
      <c r="Y50" s="75" t="str">
        <f t="shared" si="14"/>
        <v/>
      </c>
      <c r="Z50" s="49"/>
      <c r="AA50" s="49"/>
      <c r="AB50" s="49"/>
      <c r="AC50" s="204"/>
      <c r="AD50" s="48" t="str">
        <f t="shared" si="7"/>
        <v/>
      </c>
      <c r="AE50" s="48" t="str">
        <f t="shared" si="8"/>
        <v/>
      </c>
      <c r="AF50" s="76" t="str">
        <f t="shared" si="9"/>
        <v/>
      </c>
      <c r="AG50" s="77">
        <f t="shared" si="10"/>
        <v>0</v>
      </c>
      <c r="AH50" s="77">
        <f t="shared" si="11"/>
        <v>0</v>
      </c>
      <c r="AI50" s="76">
        <f t="shared" si="15"/>
        <v>0</v>
      </c>
      <c r="AJ50" s="203"/>
    </row>
    <row r="51" spans="1:36" s="56" customFormat="1" ht="14.25">
      <c r="A51" s="44"/>
      <c r="B51" s="45"/>
      <c r="C51" s="46">
        <f t="shared" si="0"/>
        <v>0</v>
      </c>
      <c r="D51" s="47"/>
      <c r="E51" s="47"/>
      <c r="F51" s="47"/>
      <c r="G51" s="47"/>
      <c r="H51" s="48"/>
      <c r="I51" s="75" t="str">
        <f t="shared" si="1"/>
        <v/>
      </c>
      <c r="J51" s="49"/>
      <c r="K51" s="49"/>
      <c r="L51" s="49"/>
      <c r="M51" s="47"/>
      <c r="N51" s="48" t="str">
        <f t="shared" si="2"/>
        <v/>
      </c>
      <c r="O51" s="48" t="str">
        <f t="shared" si="3"/>
        <v/>
      </c>
      <c r="P51" s="76" t="str">
        <f t="shared" si="4"/>
        <v/>
      </c>
      <c r="Q51" s="77">
        <f t="shared" si="5"/>
        <v>0</v>
      </c>
      <c r="R51" s="77">
        <f t="shared" si="6"/>
        <v>0</v>
      </c>
      <c r="S51" s="76">
        <f t="shared" si="12"/>
        <v>0</v>
      </c>
      <c r="T51" s="47"/>
      <c r="V51" s="57"/>
      <c r="W51" s="45"/>
      <c r="X51" s="46">
        <f t="shared" si="13"/>
        <v>0</v>
      </c>
      <c r="Y51" s="75" t="str">
        <f t="shared" si="14"/>
        <v/>
      </c>
      <c r="Z51" s="49"/>
      <c r="AA51" s="49"/>
      <c r="AB51" s="49"/>
      <c r="AC51" s="204"/>
      <c r="AD51" s="48" t="str">
        <f t="shared" si="7"/>
        <v/>
      </c>
      <c r="AE51" s="48" t="str">
        <f t="shared" si="8"/>
        <v/>
      </c>
      <c r="AF51" s="76" t="str">
        <f t="shared" si="9"/>
        <v/>
      </c>
      <c r="AG51" s="77">
        <f t="shared" si="10"/>
        <v>0</v>
      </c>
      <c r="AH51" s="77">
        <f t="shared" si="11"/>
        <v>0</v>
      </c>
      <c r="AI51" s="76">
        <f t="shared" si="15"/>
        <v>0</v>
      </c>
      <c r="AJ51" s="203"/>
    </row>
    <row r="52" spans="1:36" s="56" customFormat="1" ht="14.25">
      <c r="A52" s="44"/>
      <c r="B52" s="45"/>
      <c r="C52" s="46">
        <f t="shared" si="0"/>
        <v>0</v>
      </c>
      <c r="D52" s="47"/>
      <c r="E52" s="47"/>
      <c r="F52" s="47"/>
      <c r="G52" s="47"/>
      <c r="H52" s="48"/>
      <c r="I52" s="75" t="str">
        <f t="shared" si="1"/>
        <v/>
      </c>
      <c r="J52" s="49"/>
      <c r="K52" s="49"/>
      <c r="L52" s="49"/>
      <c r="M52" s="47"/>
      <c r="N52" s="48" t="str">
        <f t="shared" si="2"/>
        <v/>
      </c>
      <c r="O52" s="48" t="str">
        <f t="shared" si="3"/>
        <v/>
      </c>
      <c r="P52" s="76" t="str">
        <f t="shared" si="4"/>
        <v/>
      </c>
      <c r="Q52" s="77">
        <f t="shared" si="5"/>
        <v>0</v>
      </c>
      <c r="R52" s="77">
        <f t="shared" si="6"/>
        <v>0</v>
      </c>
      <c r="S52" s="76">
        <f t="shared" si="12"/>
        <v>0</v>
      </c>
      <c r="T52" s="47"/>
      <c r="V52" s="57"/>
      <c r="W52" s="45"/>
      <c r="X52" s="46">
        <f t="shared" si="13"/>
        <v>0</v>
      </c>
      <c r="Y52" s="75" t="str">
        <f t="shared" si="14"/>
        <v/>
      </c>
      <c r="Z52" s="49"/>
      <c r="AA52" s="49"/>
      <c r="AB52" s="49"/>
      <c r="AC52" s="204"/>
      <c r="AD52" s="48" t="str">
        <f t="shared" si="7"/>
        <v/>
      </c>
      <c r="AE52" s="48" t="str">
        <f t="shared" si="8"/>
        <v/>
      </c>
      <c r="AF52" s="76" t="str">
        <f t="shared" si="9"/>
        <v/>
      </c>
      <c r="AG52" s="77">
        <f t="shared" si="10"/>
        <v>0</v>
      </c>
      <c r="AH52" s="77">
        <f t="shared" si="11"/>
        <v>0</v>
      </c>
      <c r="AI52" s="76">
        <f t="shared" si="15"/>
        <v>0</v>
      </c>
      <c r="AJ52" s="203"/>
    </row>
    <row r="53" spans="1:36" s="56" customFormat="1" ht="14.25">
      <c r="A53" s="44"/>
      <c r="B53" s="45"/>
      <c r="C53" s="46">
        <f t="shared" si="0"/>
        <v>0</v>
      </c>
      <c r="D53" s="47"/>
      <c r="E53" s="47"/>
      <c r="F53" s="47"/>
      <c r="G53" s="47"/>
      <c r="H53" s="48"/>
      <c r="I53" s="75" t="str">
        <f t="shared" si="1"/>
        <v/>
      </c>
      <c r="J53" s="49"/>
      <c r="K53" s="49"/>
      <c r="L53" s="49"/>
      <c r="M53" s="47"/>
      <c r="N53" s="48" t="str">
        <f t="shared" si="2"/>
        <v/>
      </c>
      <c r="O53" s="48" t="str">
        <f t="shared" si="3"/>
        <v/>
      </c>
      <c r="P53" s="76" t="str">
        <f t="shared" si="4"/>
        <v/>
      </c>
      <c r="Q53" s="77">
        <f t="shared" si="5"/>
        <v>0</v>
      </c>
      <c r="R53" s="77">
        <f t="shared" si="6"/>
        <v>0</v>
      </c>
      <c r="S53" s="76">
        <f t="shared" si="12"/>
        <v>0</v>
      </c>
      <c r="T53" s="47"/>
      <c r="V53" s="57"/>
      <c r="W53" s="45"/>
      <c r="X53" s="46">
        <f t="shared" si="13"/>
        <v>0</v>
      </c>
      <c r="Y53" s="75" t="str">
        <f t="shared" si="14"/>
        <v/>
      </c>
      <c r="Z53" s="49"/>
      <c r="AA53" s="49"/>
      <c r="AB53" s="49"/>
      <c r="AC53" s="204"/>
      <c r="AD53" s="48" t="str">
        <f t="shared" si="7"/>
        <v/>
      </c>
      <c r="AE53" s="48" t="str">
        <f t="shared" si="8"/>
        <v/>
      </c>
      <c r="AF53" s="76" t="str">
        <f t="shared" si="9"/>
        <v/>
      </c>
      <c r="AG53" s="77">
        <f t="shared" si="10"/>
        <v>0</v>
      </c>
      <c r="AH53" s="77">
        <f t="shared" si="11"/>
        <v>0</v>
      </c>
      <c r="AI53" s="76">
        <f t="shared" si="15"/>
        <v>0</v>
      </c>
      <c r="AJ53" s="203"/>
    </row>
    <row r="54" spans="1:36" s="56" customFormat="1" ht="14.25">
      <c r="A54" s="44"/>
      <c r="B54" s="45"/>
      <c r="C54" s="46">
        <f t="shared" si="0"/>
        <v>0</v>
      </c>
      <c r="D54" s="47"/>
      <c r="E54" s="47"/>
      <c r="F54" s="47"/>
      <c r="G54" s="47"/>
      <c r="H54" s="48"/>
      <c r="I54" s="75" t="str">
        <f t="shared" si="1"/>
        <v/>
      </c>
      <c r="J54" s="49"/>
      <c r="K54" s="49"/>
      <c r="L54" s="49"/>
      <c r="M54" s="47"/>
      <c r="N54" s="48" t="str">
        <f t="shared" si="2"/>
        <v/>
      </c>
      <c r="O54" s="48" t="str">
        <f t="shared" si="3"/>
        <v/>
      </c>
      <c r="P54" s="76" t="str">
        <f t="shared" si="4"/>
        <v/>
      </c>
      <c r="Q54" s="77">
        <f t="shared" si="5"/>
        <v>0</v>
      </c>
      <c r="R54" s="77">
        <f t="shared" si="6"/>
        <v>0</v>
      </c>
      <c r="S54" s="76">
        <f t="shared" si="12"/>
        <v>0</v>
      </c>
      <c r="T54" s="47"/>
      <c r="V54" s="57"/>
      <c r="W54" s="45"/>
      <c r="X54" s="46">
        <f t="shared" si="13"/>
        <v>0</v>
      </c>
      <c r="Y54" s="75" t="str">
        <f t="shared" si="14"/>
        <v/>
      </c>
      <c r="Z54" s="49"/>
      <c r="AA54" s="49"/>
      <c r="AB54" s="49"/>
      <c r="AC54" s="204"/>
      <c r="AD54" s="48" t="str">
        <f t="shared" si="7"/>
        <v/>
      </c>
      <c r="AE54" s="48" t="str">
        <f t="shared" si="8"/>
        <v/>
      </c>
      <c r="AF54" s="76" t="str">
        <f t="shared" si="9"/>
        <v/>
      </c>
      <c r="AG54" s="77">
        <f t="shared" si="10"/>
        <v>0</v>
      </c>
      <c r="AH54" s="77">
        <f t="shared" si="11"/>
        <v>0</v>
      </c>
      <c r="AI54" s="76">
        <f t="shared" si="15"/>
        <v>0</v>
      </c>
      <c r="AJ54" s="203"/>
    </row>
    <row r="55" spans="1:36" s="56" customFormat="1" ht="14.25">
      <c r="A55" s="44"/>
      <c r="B55" s="45"/>
      <c r="C55" s="46">
        <f t="shared" si="0"/>
        <v>0</v>
      </c>
      <c r="D55" s="47"/>
      <c r="E55" s="47"/>
      <c r="F55" s="47"/>
      <c r="G55" s="47"/>
      <c r="H55" s="48"/>
      <c r="I55" s="75" t="str">
        <f t="shared" si="1"/>
        <v/>
      </c>
      <c r="J55" s="49"/>
      <c r="K55" s="49"/>
      <c r="L55" s="49"/>
      <c r="M55" s="47"/>
      <c r="N55" s="48" t="str">
        <f t="shared" si="2"/>
        <v/>
      </c>
      <c r="O55" s="48" t="str">
        <f t="shared" si="3"/>
        <v/>
      </c>
      <c r="P55" s="76" t="str">
        <f t="shared" si="4"/>
        <v/>
      </c>
      <c r="Q55" s="77">
        <f t="shared" si="5"/>
        <v>0</v>
      </c>
      <c r="R55" s="77">
        <f t="shared" si="6"/>
        <v>0</v>
      </c>
      <c r="S55" s="76">
        <f t="shared" si="12"/>
        <v>0</v>
      </c>
      <c r="T55" s="47"/>
      <c r="V55" s="57"/>
      <c r="W55" s="45"/>
      <c r="X55" s="46">
        <f t="shared" si="13"/>
        <v>0</v>
      </c>
      <c r="Y55" s="75" t="str">
        <f t="shared" si="14"/>
        <v/>
      </c>
      <c r="Z55" s="49"/>
      <c r="AA55" s="49"/>
      <c r="AB55" s="49"/>
      <c r="AC55" s="204"/>
      <c r="AD55" s="48" t="str">
        <f t="shared" si="7"/>
        <v/>
      </c>
      <c r="AE55" s="48" t="str">
        <f t="shared" si="8"/>
        <v/>
      </c>
      <c r="AF55" s="76" t="str">
        <f t="shared" si="9"/>
        <v/>
      </c>
      <c r="AG55" s="77">
        <f t="shared" si="10"/>
        <v>0</v>
      </c>
      <c r="AH55" s="77">
        <f t="shared" si="11"/>
        <v>0</v>
      </c>
      <c r="AI55" s="76">
        <f t="shared" si="15"/>
        <v>0</v>
      </c>
      <c r="AJ55" s="203"/>
    </row>
    <row r="56" spans="1:36" s="56" customFormat="1" ht="14.25">
      <c r="A56" s="44"/>
      <c r="B56" s="45"/>
      <c r="C56" s="46">
        <f t="shared" si="0"/>
        <v>0</v>
      </c>
      <c r="D56" s="47"/>
      <c r="E56" s="47"/>
      <c r="F56" s="47"/>
      <c r="G56" s="47"/>
      <c r="H56" s="48"/>
      <c r="I56" s="75" t="str">
        <f t="shared" si="1"/>
        <v/>
      </c>
      <c r="J56" s="49"/>
      <c r="K56" s="49"/>
      <c r="L56" s="49"/>
      <c r="M56" s="47"/>
      <c r="N56" s="48" t="str">
        <f t="shared" si="2"/>
        <v/>
      </c>
      <c r="O56" s="48" t="str">
        <f t="shared" si="3"/>
        <v/>
      </c>
      <c r="P56" s="76" t="str">
        <f t="shared" si="4"/>
        <v/>
      </c>
      <c r="Q56" s="77">
        <f t="shared" si="5"/>
        <v>0</v>
      </c>
      <c r="R56" s="77">
        <f t="shared" si="6"/>
        <v>0</v>
      </c>
      <c r="S56" s="76">
        <f t="shared" si="12"/>
        <v>0</v>
      </c>
      <c r="T56" s="47"/>
      <c r="V56" s="57"/>
      <c r="W56" s="45"/>
      <c r="X56" s="46">
        <f t="shared" si="13"/>
        <v>0</v>
      </c>
      <c r="Y56" s="75" t="str">
        <f t="shared" si="14"/>
        <v/>
      </c>
      <c r="Z56" s="49"/>
      <c r="AA56" s="49"/>
      <c r="AB56" s="49"/>
      <c r="AC56" s="204"/>
      <c r="AD56" s="48" t="str">
        <f t="shared" si="7"/>
        <v/>
      </c>
      <c r="AE56" s="48" t="str">
        <f t="shared" si="8"/>
        <v/>
      </c>
      <c r="AF56" s="76" t="str">
        <f t="shared" si="9"/>
        <v/>
      </c>
      <c r="AG56" s="77">
        <f t="shared" si="10"/>
        <v>0</v>
      </c>
      <c r="AH56" s="77">
        <f t="shared" si="11"/>
        <v>0</v>
      </c>
      <c r="AI56" s="76">
        <f t="shared" si="15"/>
        <v>0</v>
      </c>
      <c r="AJ56" s="203"/>
    </row>
    <row r="57" spans="1:36" s="56" customFormat="1" ht="14.25">
      <c r="A57" s="44"/>
      <c r="B57" s="45"/>
      <c r="C57" s="46">
        <f t="shared" si="0"/>
        <v>0</v>
      </c>
      <c r="D57" s="47"/>
      <c r="E57" s="47"/>
      <c r="F57" s="47"/>
      <c r="G57" s="47"/>
      <c r="H57" s="48"/>
      <c r="I57" s="75" t="str">
        <f t="shared" si="1"/>
        <v/>
      </c>
      <c r="J57" s="49"/>
      <c r="K57" s="49"/>
      <c r="L57" s="49"/>
      <c r="M57" s="47"/>
      <c r="N57" s="48" t="str">
        <f t="shared" si="2"/>
        <v/>
      </c>
      <c r="O57" s="48" t="str">
        <f t="shared" si="3"/>
        <v/>
      </c>
      <c r="P57" s="76" t="str">
        <f t="shared" si="4"/>
        <v/>
      </c>
      <c r="Q57" s="77">
        <f t="shared" si="5"/>
        <v>0</v>
      </c>
      <c r="R57" s="77">
        <f t="shared" si="6"/>
        <v>0</v>
      </c>
      <c r="S57" s="76">
        <f t="shared" si="12"/>
        <v>0</v>
      </c>
      <c r="T57" s="47"/>
      <c r="V57" s="57"/>
      <c r="W57" s="45"/>
      <c r="X57" s="46">
        <f t="shared" si="13"/>
        <v>0</v>
      </c>
      <c r="Y57" s="75" t="str">
        <f t="shared" si="14"/>
        <v/>
      </c>
      <c r="Z57" s="49"/>
      <c r="AA57" s="49"/>
      <c r="AB57" s="49"/>
      <c r="AC57" s="204"/>
      <c r="AD57" s="48" t="str">
        <f t="shared" si="7"/>
        <v/>
      </c>
      <c r="AE57" s="48" t="str">
        <f t="shared" si="8"/>
        <v/>
      </c>
      <c r="AF57" s="76" t="str">
        <f t="shared" si="9"/>
        <v/>
      </c>
      <c r="AG57" s="77">
        <f t="shared" si="10"/>
        <v>0</v>
      </c>
      <c r="AH57" s="77">
        <f t="shared" si="11"/>
        <v>0</v>
      </c>
      <c r="AI57" s="76">
        <f t="shared" si="15"/>
        <v>0</v>
      </c>
      <c r="AJ57" s="203"/>
    </row>
    <row r="58" spans="1:36" s="56" customFormat="1" ht="14.25">
      <c r="A58" s="44"/>
      <c r="B58" s="45"/>
      <c r="C58" s="46">
        <f t="shared" si="0"/>
        <v>0</v>
      </c>
      <c r="D58" s="47"/>
      <c r="E58" s="47"/>
      <c r="F58" s="47"/>
      <c r="G58" s="47"/>
      <c r="H58" s="48"/>
      <c r="I58" s="75" t="str">
        <f t="shared" si="1"/>
        <v/>
      </c>
      <c r="J58" s="49"/>
      <c r="K58" s="49"/>
      <c r="L58" s="49"/>
      <c r="M58" s="47"/>
      <c r="N58" s="48" t="str">
        <f t="shared" si="2"/>
        <v/>
      </c>
      <c r="O58" s="48" t="str">
        <f t="shared" si="3"/>
        <v/>
      </c>
      <c r="P58" s="76" t="str">
        <f t="shared" si="4"/>
        <v/>
      </c>
      <c r="Q58" s="77">
        <f t="shared" si="5"/>
        <v>0</v>
      </c>
      <c r="R58" s="77">
        <f t="shared" si="6"/>
        <v>0</v>
      </c>
      <c r="S58" s="76">
        <f t="shared" si="12"/>
        <v>0</v>
      </c>
      <c r="T58" s="47"/>
      <c r="V58" s="57"/>
      <c r="W58" s="45"/>
      <c r="X58" s="46">
        <f t="shared" si="13"/>
        <v>0</v>
      </c>
      <c r="Y58" s="75" t="str">
        <f t="shared" si="14"/>
        <v/>
      </c>
      <c r="Z58" s="49"/>
      <c r="AA58" s="49"/>
      <c r="AB58" s="49"/>
      <c r="AC58" s="204"/>
      <c r="AD58" s="48" t="str">
        <f t="shared" si="7"/>
        <v/>
      </c>
      <c r="AE58" s="48" t="str">
        <f t="shared" si="8"/>
        <v/>
      </c>
      <c r="AF58" s="76" t="str">
        <f t="shared" si="9"/>
        <v/>
      </c>
      <c r="AG58" s="77">
        <f t="shared" si="10"/>
        <v>0</v>
      </c>
      <c r="AH58" s="77">
        <f t="shared" si="11"/>
        <v>0</v>
      </c>
      <c r="AI58" s="76">
        <f t="shared" si="15"/>
        <v>0</v>
      </c>
      <c r="AJ58" s="203"/>
    </row>
    <row r="59" spans="1:36" s="56" customFormat="1" ht="14.25">
      <c r="A59" s="44"/>
      <c r="B59" s="45"/>
      <c r="C59" s="46">
        <f t="shared" si="0"/>
        <v>0</v>
      </c>
      <c r="D59" s="47"/>
      <c r="E59" s="47"/>
      <c r="F59" s="47"/>
      <c r="G59" s="47"/>
      <c r="H59" s="48"/>
      <c r="I59" s="75" t="str">
        <f t="shared" si="1"/>
        <v/>
      </c>
      <c r="J59" s="49"/>
      <c r="K59" s="49"/>
      <c r="L59" s="49"/>
      <c r="M59" s="47"/>
      <c r="N59" s="48" t="str">
        <f t="shared" si="2"/>
        <v/>
      </c>
      <c r="O59" s="48" t="str">
        <f t="shared" si="3"/>
        <v/>
      </c>
      <c r="P59" s="76" t="str">
        <f t="shared" si="4"/>
        <v/>
      </c>
      <c r="Q59" s="77">
        <f t="shared" si="5"/>
        <v>0</v>
      </c>
      <c r="R59" s="77">
        <f t="shared" si="6"/>
        <v>0</v>
      </c>
      <c r="S59" s="76">
        <f t="shared" si="12"/>
        <v>0</v>
      </c>
      <c r="T59" s="47"/>
      <c r="V59" s="57"/>
      <c r="W59" s="45"/>
      <c r="X59" s="46">
        <f t="shared" si="13"/>
        <v>0</v>
      </c>
      <c r="Y59" s="75" t="str">
        <f t="shared" si="14"/>
        <v/>
      </c>
      <c r="Z59" s="49"/>
      <c r="AA59" s="49"/>
      <c r="AB59" s="49"/>
      <c r="AC59" s="204"/>
      <c r="AD59" s="48" t="str">
        <f t="shared" si="7"/>
        <v/>
      </c>
      <c r="AE59" s="48" t="str">
        <f t="shared" si="8"/>
        <v/>
      </c>
      <c r="AF59" s="76" t="str">
        <f t="shared" si="9"/>
        <v/>
      </c>
      <c r="AG59" s="77">
        <f t="shared" si="10"/>
        <v>0</v>
      </c>
      <c r="AH59" s="77">
        <f t="shared" si="11"/>
        <v>0</v>
      </c>
      <c r="AI59" s="76">
        <f t="shared" si="15"/>
        <v>0</v>
      </c>
      <c r="AJ59" s="203"/>
    </row>
    <row r="60" spans="1:36" s="56" customFormat="1" ht="14.25">
      <c r="A60" s="44"/>
      <c r="B60" s="45"/>
      <c r="C60" s="46">
        <f t="shared" si="0"/>
        <v>0</v>
      </c>
      <c r="D60" s="47"/>
      <c r="E60" s="47"/>
      <c r="F60" s="47"/>
      <c r="G60" s="47"/>
      <c r="H60" s="48"/>
      <c r="I60" s="75" t="str">
        <f t="shared" si="1"/>
        <v/>
      </c>
      <c r="J60" s="49"/>
      <c r="K60" s="49"/>
      <c r="L60" s="49"/>
      <c r="M60" s="47"/>
      <c r="N60" s="48" t="str">
        <f t="shared" si="2"/>
        <v/>
      </c>
      <c r="O60" s="48" t="str">
        <f t="shared" si="3"/>
        <v/>
      </c>
      <c r="P60" s="76" t="str">
        <f t="shared" si="4"/>
        <v/>
      </c>
      <c r="Q60" s="77">
        <f t="shared" si="5"/>
        <v>0</v>
      </c>
      <c r="R60" s="77">
        <f t="shared" si="6"/>
        <v>0</v>
      </c>
      <c r="S60" s="76">
        <f t="shared" si="12"/>
        <v>0</v>
      </c>
      <c r="T60" s="47"/>
      <c r="V60" s="57"/>
      <c r="W60" s="45"/>
      <c r="X60" s="46">
        <f t="shared" si="13"/>
        <v>0</v>
      </c>
      <c r="Y60" s="75" t="str">
        <f t="shared" si="14"/>
        <v/>
      </c>
      <c r="Z60" s="49"/>
      <c r="AA60" s="49"/>
      <c r="AB60" s="49"/>
      <c r="AC60" s="204"/>
      <c r="AD60" s="48" t="str">
        <f t="shared" si="7"/>
        <v/>
      </c>
      <c r="AE60" s="48" t="str">
        <f t="shared" si="8"/>
        <v/>
      </c>
      <c r="AF60" s="76" t="str">
        <f t="shared" si="9"/>
        <v/>
      </c>
      <c r="AG60" s="77">
        <f t="shared" si="10"/>
        <v>0</v>
      </c>
      <c r="AH60" s="77">
        <f t="shared" si="11"/>
        <v>0</v>
      </c>
      <c r="AI60" s="76">
        <f t="shared" si="15"/>
        <v>0</v>
      </c>
      <c r="AJ60" s="203"/>
    </row>
    <row r="61" spans="1:36" s="56" customFormat="1" ht="14.25">
      <c r="A61" s="44"/>
      <c r="B61" s="45"/>
      <c r="C61" s="46">
        <f t="shared" si="0"/>
        <v>0</v>
      </c>
      <c r="D61" s="47"/>
      <c r="E61" s="47"/>
      <c r="F61" s="47"/>
      <c r="G61" s="47"/>
      <c r="H61" s="48"/>
      <c r="I61" s="75" t="str">
        <f t="shared" si="1"/>
        <v/>
      </c>
      <c r="J61" s="49"/>
      <c r="K61" s="49"/>
      <c r="L61" s="49"/>
      <c r="M61" s="47"/>
      <c r="N61" s="48" t="str">
        <f t="shared" si="2"/>
        <v/>
      </c>
      <c r="O61" s="48" t="str">
        <f t="shared" si="3"/>
        <v/>
      </c>
      <c r="P61" s="76" t="str">
        <f t="shared" si="4"/>
        <v/>
      </c>
      <c r="Q61" s="77">
        <f t="shared" si="5"/>
        <v>0</v>
      </c>
      <c r="R61" s="77">
        <f t="shared" si="6"/>
        <v>0</v>
      </c>
      <c r="S61" s="76">
        <f t="shared" si="12"/>
        <v>0</v>
      </c>
      <c r="T61" s="47"/>
      <c r="V61" s="57"/>
      <c r="W61" s="45"/>
      <c r="X61" s="46">
        <f t="shared" si="13"/>
        <v>0</v>
      </c>
      <c r="Y61" s="75" t="str">
        <f t="shared" si="14"/>
        <v/>
      </c>
      <c r="Z61" s="49"/>
      <c r="AA61" s="49"/>
      <c r="AB61" s="49"/>
      <c r="AC61" s="204"/>
      <c r="AD61" s="48" t="str">
        <f t="shared" si="7"/>
        <v/>
      </c>
      <c r="AE61" s="48" t="str">
        <f t="shared" si="8"/>
        <v/>
      </c>
      <c r="AF61" s="76" t="str">
        <f t="shared" si="9"/>
        <v/>
      </c>
      <c r="AG61" s="77">
        <f t="shared" si="10"/>
        <v>0</v>
      </c>
      <c r="AH61" s="77">
        <f t="shared" si="11"/>
        <v>0</v>
      </c>
      <c r="AI61" s="76">
        <f t="shared" si="15"/>
        <v>0</v>
      </c>
      <c r="AJ61" s="203"/>
    </row>
    <row r="62" spans="1:36" s="56" customFormat="1" ht="14.25">
      <c r="A62" s="44"/>
      <c r="B62" s="45"/>
      <c r="C62" s="46">
        <f t="shared" si="0"/>
        <v>0</v>
      </c>
      <c r="D62" s="47"/>
      <c r="E62" s="47"/>
      <c r="F62" s="47"/>
      <c r="G62" s="47"/>
      <c r="H62" s="48"/>
      <c r="I62" s="75" t="str">
        <f t="shared" si="1"/>
        <v/>
      </c>
      <c r="J62" s="49"/>
      <c r="K62" s="49"/>
      <c r="L62" s="49"/>
      <c r="M62" s="47"/>
      <c r="N62" s="48" t="str">
        <f t="shared" si="2"/>
        <v/>
      </c>
      <c r="O62" s="48" t="str">
        <f t="shared" si="3"/>
        <v/>
      </c>
      <c r="P62" s="76" t="str">
        <f t="shared" si="4"/>
        <v/>
      </c>
      <c r="Q62" s="77">
        <f t="shared" si="5"/>
        <v>0</v>
      </c>
      <c r="R62" s="77">
        <f t="shared" si="6"/>
        <v>0</v>
      </c>
      <c r="S62" s="76">
        <f t="shared" si="12"/>
        <v>0</v>
      </c>
      <c r="T62" s="47"/>
      <c r="V62" s="57"/>
      <c r="W62" s="45"/>
      <c r="X62" s="46">
        <f t="shared" si="13"/>
        <v>0</v>
      </c>
      <c r="Y62" s="75" t="str">
        <f t="shared" si="14"/>
        <v/>
      </c>
      <c r="Z62" s="49"/>
      <c r="AA62" s="49"/>
      <c r="AB62" s="49"/>
      <c r="AC62" s="204"/>
      <c r="AD62" s="48" t="str">
        <f t="shared" si="7"/>
        <v/>
      </c>
      <c r="AE62" s="48" t="str">
        <f t="shared" si="8"/>
        <v/>
      </c>
      <c r="AF62" s="76" t="str">
        <f t="shared" si="9"/>
        <v/>
      </c>
      <c r="AG62" s="77">
        <f t="shared" si="10"/>
        <v>0</v>
      </c>
      <c r="AH62" s="77">
        <f t="shared" si="11"/>
        <v>0</v>
      </c>
      <c r="AI62" s="76">
        <f t="shared" si="15"/>
        <v>0</v>
      </c>
      <c r="AJ62" s="203"/>
    </row>
    <row r="63" spans="1:36" s="56" customFormat="1" ht="14.25">
      <c r="A63" s="44"/>
      <c r="B63" s="45"/>
      <c r="C63" s="46">
        <f t="shared" si="0"/>
        <v>0</v>
      </c>
      <c r="D63" s="47"/>
      <c r="E63" s="47"/>
      <c r="F63" s="47"/>
      <c r="G63" s="47"/>
      <c r="H63" s="48"/>
      <c r="I63" s="75" t="str">
        <f t="shared" si="1"/>
        <v/>
      </c>
      <c r="J63" s="49"/>
      <c r="K63" s="49"/>
      <c r="L63" s="49"/>
      <c r="M63" s="47"/>
      <c r="N63" s="48" t="str">
        <f t="shared" si="2"/>
        <v/>
      </c>
      <c r="O63" s="48" t="str">
        <f t="shared" si="3"/>
        <v/>
      </c>
      <c r="P63" s="76" t="str">
        <f t="shared" si="4"/>
        <v/>
      </c>
      <c r="Q63" s="77">
        <f t="shared" si="5"/>
        <v>0</v>
      </c>
      <c r="R63" s="77">
        <f t="shared" si="6"/>
        <v>0</v>
      </c>
      <c r="S63" s="76">
        <f t="shared" si="12"/>
        <v>0</v>
      </c>
      <c r="T63" s="47"/>
      <c r="V63" s="57"/>
      <c r="W63" s="45"/>
      <c r="X63" s="46">
        <f t="shared" si="13"/>
        <v>0</v>
      </c>
      <c r="Y63" s="75" t="str">
        <f t="shared" si="14"/>
        <v/>
      </c>
      <c r="Z63" s="49"/>
      <c r="AA63" s="49"/>
      <c r="AB63" s="49"/>
      <c r="AC63" s="204"/>
      <c r="AD63" s="48" t="str">
        <f t="shared" si="7"/>
        <v/>
      </c>
      <c r="AE63" s="48" t="str">
        <f t="shared" si="8"/>
        <v/>
      </c>
      <c r="AF63" s="76" t="str">
        <f t="shared" si="9"/>
        <v/>
      </c>
      <c r="AG63" s="77">
        <f t="shared" si="10"/>
        <v>0</v>
      </c>
      <c r="AH63" s="77">
        <f t="shared" si="11"/>
        <v>0</v>
      </c>
      <c r="AI63" s="76">
        <f t="shared" si="15"/>
        <v>0</v>
      </c>
      <c r="AJ63" s="203"/>
    </row>
    <row r="64" spans="1:36" s="56" customFormat="1" ht="14.25">
      <c r="A64" s="44"/>
      <c r="B64" s="45"/>
      <c r="C64" s="46">
        <f t="shared" si="0"/>
        <v>0</v>
      </c>
      <c r="D64" s="47"/>
      <c r="E64" s="47"/>
      <c r="F64" s="47"/>
      <c r="G64" s="47"/>
      <c r="H64" s="48"/>
      <c r="I64" s="75" t="str">
        <f t="shared" si="1"/>
        <v/>
      </c>
      <c r="J64" s="49"/>
      <c r="K64" s="49"/>
      <c r="L64" s="49"/>
      <c r="M64" s="47"/>
      <c r="N64" s="48" t="str">
        <f t="shared" si="2"/>
        <v/>
      </c>
      <c r="O64" s="48" t="str">
        <f t="shared" si="3"/>
        <v/>
      </c>
      <c r="P64" s="76" t="str">
        <f t="shared" si="4"/>
        <v/>
      </c>
      <c r="Q64" s="77">
        <f t="shared" si="5"/>
        <v>0</v>
      </c>
      <c r="R64" s="77">
        <f t="shared" si="6"/>
        <v>0</v>
      </c>
      <c r="S64" s="76">
        <f t="shared" si="12"/>
        <v>0</v>
      </c>
      <c r="T64" s="47"/>
      <c r="V64" s="57"/>
      <c r="W64" s="45"/>
      <c r="X64" s="46">
        <f t="shared" si="13"/>
        <v>0</v>
      </c>
      <c r="Y64" s="75" t="str">
        <f t="shared" si="14"/>
        <v/>
      </c>
      <c r="Z64" s="49"/>
      <c r="AA64" s="49"/>
      <c r="AB64" s="49"/>
      <c r="AC64" s="204"/>
      <c r="AD64" s="48" t="str">
        <f t="shared" si="7"/>
        <v/>
      </c>
      <c r="AE64" s="48" t="str">
        <f t="shared" si="8"/>
        <v/>
      </c>
      <c r="AF64" s="76" t="str">
        <f t="shared" si="9"/>
        <v/>
      </c>
      <c r="AG64" s="77">
        <f t="shared" si="10"/>
        <v>0</v>
      </c>
      <c r="AH64" s="77">
        <f t="shared" si="11"/>
        <v>0</v>
      </c>
      <c r="AI64" s="76">
        <f t="shared" si="15"/>
        <v>0</v>
      </c>
      <c r="AJ64" s="203"/>
    </row>
    <row r="65" spans="1:36" s="56" customFormat="1" ht="14.25">
      <c r="A65" s="44"/>
      <c r="B65" s="45"/>
      <c r="C65" s="46">
        <f t="shared" si="0"/>
        <v>0</v>
      </c>
      <c r="D65" s="47"/>
      <c r="E65" s="47"/>
      <c r="F65" s="47"/>
      <c r="G65" s="47"/>
      <c r="H65" s="48"/>
      <c r="I65" s="75" t="str">
        <f t="shared" si="1"/>
        <v/>
      </c>
      <c r="J65" s="49"/>
      <c r="K65" s="49"/>
      <c r="L65" s="49"/>
      <c r="M65" s="47"/>
      <c r="N65" s="48" t="str">
        <f t="shared" si="2"/>
        <v/>
      </c>
      <c r="O65" s="48" t="str">
        <f t="shared" si="3"/>
        <v/>
      </c>
      <c r="P65" s="76" t="str">
        <f t="shared" si="4"/>
        <v/>
      </c>
      <c r="Q65" s="77">
        <f t="shared" si="5"/>
        <v>0</v>
      </c>
      <c r="R65" s="77">
        <f t="shared" si="6"/>
        <v>0</v>
      </c>
      <c r="S65" s="76">
        <f t="shared" si="12"/>
        <v>0</v>
      </c>
      <c r="T65" s="47"/>
      <c r="V65" s="57"/>
      <c r="W65" s="45"/>
      <c r="X65" s="46">
        <f t="shared" si="13"/>
        <v>0</v>
      </c>
      <c r="Y65" s="75" t="str">
        <f t="shared" si="14"/>
        <v/>
      </c>
      <c r="Z65" s="49"/>
      <c r="AA65" s="49"/>
      <c r="AB65" s="49"/>
      <c r="AC65" s="204"/>
      <c r="AD65" s="48" t="str">
        <f t="shared" si="7"/>
        <v/>
      </c>
      <c r="AE65" s="48" t="str">
        <f t="shared" si="8"/>
        <v/>
      </c>
      <c r="AF65" s="76" t="str">
        <f t="shared" si="9"/>
        <v/>
      </c>
      <c r="AG65" s="77">
        <f t="shared" si="10"/>
        <v>0</v>
      </c>
      <c r="AH65" s="77">
        <f t="shared" si="11"/>
        <v>0</v>
      </c>
      <c r="AI65" s="76">
        <f t="shared" si="15"/>
        <v>0</v>
      </c>
      <c r="AJ65" s="203"/>
    </row>
    <row r="66" spans="1:36" s="56" customFormat="1" ht="14.25">
      <c r="A66" s="44"/>
      <c r="B66" s="45"/>
      <c r="C66" s="46">
        <f t="shared" si="0"/>
        <v>0</v>
      </c>
      <c r="D66" s="47"/>
      <c r="E66" s="47"/>
      <c r="F66" s="47"/>
      <c r="G66" s="47"/>
      <c r="H66" s="48"/>
      <c r="I66" s="75" t="str">
        <f t="shared" si="1"/>
        <v/>
      </c>
      <c r="J66" s="49"/>
      <c r="K66" s="49"/>
      <c r="L66" s="49"/>
      <c r="M66" s="47"/>
      <c r="N66" s="48" t="str">
        <f t="shared" si="2"/>
        <v/>
      </c>
      <c r="O66" s="48" t="str">
        <f t="shared" si="3"/>
        <v/>
      </c>
      <c r="P66" s="76" t="str">
        <f t="shared" si="4"/>
        <v/>
      </c>
      <c r="Q66" s="77">
        <f t="shared" si="5"/>
        <v>0</v>
      </c>
      <c r="R66" s="77">
        <f t="shared" si="6"/>
        <v>0</v>
      </c>
      <c r="S66" s="76">
        <f t="shared" si="12"/>
        <v>0</v>
      </c>
      <c r="T66" s="47"/>
      <c r="V66" s="57"/>
      <c r="W66" s="45"/>
      <c r="X66" s="46">
        <f t="shared" si="13"/>
        <v>0</v>
      </c>
      <c r="Y66" s="75" t="str">
        <f t="shared" si="14"/>
        <v/>
      </c>
      <c r="Z66" s="49"/>
      <c r="AA66" s="49"/>
      <c r="AB66" s="49"/>
      <c r="AC66" s="204"/>
      <c r="AD66" s="48" t="str">
        <f t="shared" si="7"/>
        <v/>
      </c>
      <c r="AE66" s="48" t="str">
        <f t="shared" si="8"/>
        <v/>
      </c>
      <c r="AF66" s="76" t="str">
        <f t="shared" si="9"/>
        <v/>
      </c>
      <c r="AG66" s="77">
        <f t="shared" si="10"/>
        <v>0</v>
      </c>
      <c r="AH66" s="77">
        <f t="shared" si="11"/>
        <v>0</v>
      </c>
      <c r="AI66" s="76">
        <f t="shared" si="15"/>
        <v>0</v>
      </c>
      <c r="AJ66" s="203"/>
    </row>
    <row r="67" spans="1:36" s="56" customFormat="1" ht="14.25">
      <c r="A67" s="44"/>
      <c r="B67" s="45"/>
      <c r="C67" s="46">
        <f t="shared" si="0"/>
        <v>0</v>
      </c>
      <c r="D67" s="47"/>
      <c r="E67" s="47"/>
      <c r="F67" s="47"/>
      <c r="G67" s="47"/>
      <c r="H67" s="48"/>
      <c r="I67" s="75" t="str">
        <f t="shared" si="1"/>
        <v/>
      </c>
      <c r="J67" s="49"/>
      <c r="K67" s="49"/>
      <c r="L67" s="49"/>
      <c r="M67" s="47"/>
      <c r="N67" s="48" t="str">
        <f t="shared" si="2"/>
        <v/>
      </c>
      <c r="O67" s="48" t="str">
        <f t="shared" si="3"/>
        <v/>
      </c>
      <c r="P67" s="76" t="str">
        <f t="shared" si="4"/>
        <v/>
      </c>
      <c r="Q67" s="77">
        <f t="shared" si="5"/>
        <v>0</v>
      </c>
      <c r="R67" s="77">
        <f t="shared" si="6"/>
        <v>0</v>
      </c>
      <c r="S67" s="76">
        <f t="shared" si="12"/>
        <v>0</v>
      </c>
      <c r="T67" s="47"/>
      <c r="V67" s="57"/>
      <c r="W67" s="45"/>
      <c r="X67" s="46">
        <f t="shared" si="13"/>
        <v>0</v>
      </c>
      <c r="Y67" s="75" t="str">
        <f t="shared" si="14"/>
        <v/>
      </c>
      <c r="Z67" s="49"/>
      <c r="AA67" s="49"/>
      <c r="AB67" s="49"/>
      <c r="AC67" s="204"/>
      <c r="AD67" s="48" t="str">
        <f t="shared" si="7"/>
        <v/>
      </c>
      <c r="AE67" s="48" t="str">
        <f t="shared" si="8"/>
        <v/>
      </c>
      <c r="AF67" s="76" t="str">
        <f t="shared" si="9"/>
        <v/>
      </c>
      <c r="AG67" s="77">
        <f t="shared" si="10"/>
        <v>0</v>
      </c>
      <c r="AH67" s="77">
        <f t="shared" si="11"/>
        <v>0</v>
      </c>
      <c r="AI67" s="76">
        <f t="shared" si="15"/>
        <v>0</v>
      </c>
      <c r="AJ67" s="203"/>
    </row>
    <row r="68" spans="1:36" s="56" customFormat="1" ht="14.25">
      <c r="A68" s="44"/>
      <c r="B68" s="45"/>
      <c r="C68" s="46">
        <f t="shared" si="0"/>
        <v>0</v>
      </c>
      <c r="D68" s="47"/>
      <c r="E68" s="47"/>
      <c r="F68" s="47"/>
      <c r="G68" s="47"/>
      <c r="H68" s="48"/>
      <c r="I68" s="75" t="str">
        <f t="shared" si="1"/>
        <v/>
      </c>
      <c r="J68" s="49"/>
      <c r="K68" s="49"/>
      <c r="L68" s="49"/>
      <c r="M68" s="47"/>
      <c r="N68" s="48" t="str">
        <f t="shared" si="2"/>
        <v/>
      </c>
      <c r="O68" s="48" t="str">
        <f t="shared" si="3"/>
        <v/>
      </c>
      <c r="P68" s="76" t="str">
        <f t="shared" si="4"/>
        <v/>
      </c>
      <c r="Q68" s="77">
        <f t="shared" si="5"/>
        <v>0</v>
      </c>
      <c r="R68" s="77">
        <f t="shared" si="6"/>
        <v>0</v>
      </c>
      <c r="S68" s="76">
        <f t="shared" si="12"/>
        <v>0</v>
      </c>
      <c r="T68" s="47"/>
      <c r="V68" s="57"/>
      <c r="W68" s="45"/>
      <c r="X68" s="46">
        <f t="shared" si="13"/>
        <v>0</v>
      </c>
      <c r="Y68" s="75" t="str">
        <f t="shared" si="14"/>
        <v/>
      </c>
      <c r="Z68" s="49"/>
      <c r="AA68" s="49"/>
      <c r="AB68" s="49"/>
      <c r="AC68" s="204"/>
      <c r="AD68" s="48" t="str">
        <f t="shared" si="7"/>
        <v/>
      </c>
      <c r="AE68" s="48" t="str">
        <f t="shared" si="8"/>
        <v/>
      </c>
      <c r="AF68" s="76" t="str">
        <f t="shared" si="9"/>
        <v/>
      </c>
      <c r="AG68" s="77">
        <f t="shared" si="10"/>
        <v>0</v>
      </c>
      <c r="AH68" s="77">
        <f t="shared" si="11"/>
        <v>0</v>
      </c>
      <c r="AI68" s="76">
        <f t="shared" si="15"/>
        <v>0</v>
      </c>
      <c r="AJ68" s="203"/>
    </row>
    <row r="69" spans="1:36" s="56" customFormat="1" ht="14.25">
      <c r="A69" s="44"/>
      <c r="B69" s="45"/>
      <c r="C69" s="46">
        <f t="shared" si="0"/>
        <v>0</v>
      </c>
      <c r="D69" s="47"/>
      <c r="E69" s="47"/>
      <c r="F69" s="47"/>
      <c r="G69" s="47"/>
      <c r="H69" s="48"/>
      <c r="I69" s="75" t="str">
        <f t="shared" si="1"/>
        <v/>
      </c>
      <c r="J69" s="49"/>
      <c r="K69" s="49"/>
      <c r="L69" s="49"/>
      <c r="M69" s="47"/>
      <c r="N69" s="48" t="str">
        <f t="shared" si="2"/>
        <v/>
      </c>
      <c r="O69" s="48" t="str">
        <f t="shared" si="3"/>
        <v/>
      </c>
      <c r="P69" s="76" t="str">
        <f t="shared" si="4"/>
        <v/>
      </c>
      <c r="Q69" s="77">
        <f t="shared" si="5"/>
        <v>0</v>
      </c>
      <c r="R69" s="77">
        <f t="shared" si="6"/>
        <v>0</v>
      </c>
      <c r="S69" s="76">
        <f t="shared" si="12"/>
        <v>0</v>
      </c>
      <c r="T69" s="47"/>
      <c r="V69" s="57"/>
      <c r="W69" s="45"/>
      <c r="X69" s="46">
        <f t="shared" si="13"/>
        <v>0</v>
      </c>
      <c r="Y69" s="75" t="str">
        <f t="shared" si="14"/>
        <v/>
      </c>
      <c r="Z69" s="49"/>
      <c r="AA69" s="49"/>
      <c r="AB69" s="49"/>
      <c r="AC69" s="204"/>
      <c r="AD69" s="48" t="str">
        <f t="shared" si="7"/>
        <v/>
      </c>
      <c r="AE69" s="48" t="str">
        <f t="shared" si="8"/>
        <v/>
      </c>
      <c r="AF69" s="76" t="str">
        <f t="shared" si="9"/>
        <v/>
      </c>
      <c r="AG69" s="77">
        <f t="shared" si="10"/>
        <v>0</v>
      </c>
      <c r="AH69" s="77">
        <f t="shared" si="11"/>
        <v>0</v>
      </c>
      <c r="AI69" s="76">
        <f t="shared" si="15"/>
        <v>0</v>
      </c>
      <c r="AJ69" s="203"/>
    </row>
    <row r="70" spans="1:36" s="56" customFormat="1" ht="14.25">
      <c r="A70" s="44"/>
      <c r="B70" s="45"/>
      <c r="C70" s="46">
        <f t="shared" si="0"/>
        <v>0</v>
      </c>
      <c r="D70" s="47"/>
      <c r="E70" s="47"/>
      <c r="F70" s="47"/>
      <c r="G70" s="47"/>
      <c r="H70" s="48"/>
      <c r="I70" s="75" t="str">
        <f t="shared" si="1"/>
        <v/>
      </c>
      <c r="J70" s="49"/>
      <c r="K70" s="49"/>
      <c r="L70" s="49"/>
      <c r="M70" s="47"/>
      <c r="N70" s="48" t="str">
        <f t="shared" si="2"/>
        <v/>
      </c>
      <c r="O70" s="48" t="str">
        <f t="shared" si="3"/>
        <v/>
      </c>
      <c r="P70" s="76" t="str">
        <f t="shared" si="4"/>
        <v/>
      </c>
      <c r="Q70" s="77">
        <f t="shared" si="5"/>
        <v>0</v>
      </c>
      <c r="R70" s="77">
        <f t="shared" si="6"/>
        <v>0</v>
      </c>
      <c r="S70" s="76">
        <f t="shared" si="12"/>
        <v>0</v>
      </c>
      <c r="T70" s="47"/>
      <c r="V70" s="57"/>
      <c r="W70" s="45"/>
      <c r="X70" s="46">
        <f t="shared" si="13"/>
        <v>0</v>
      </c>
      <c r="Y70" s="75" t="str">
        <f t="shared" si="14"/>
        <v/>
      </c>
      <c r="Z70" s="49"/>
      <c r="AA70" s="49"/>
      <c r="AB70" s="49"/>
      <c r="AC70" s="204"/>
      <c r="AD70" s="48" t="str">
        <f t="shared" si="7"/>
        <v/>
      </c>
      <c r="AE70" s="48" t="str">
        <f t="shared" si="8"/>
        <v/>
      </c>
      <c r="AF70" s="76" t="str">
        <f t="shared" si="9"/>
        <v/>
      </c>
      <c r="AG70" s="77">
        <f t="shared" si="10"/>
        <v>0</v>
      </c>
      <c r="AH70" s="77">
        <f t="shared" si="11"/>
        <v>0</v>
      </c>
      <c r="AI70" s="76">
        <f t="shared" si="15"/>
        <v>0</v>
      </c>
      <c r="AJ70" s="203"/>
    </row>
    <row r="71" spans="1:36" s="56" customFormat="1" ht="14.25">
      <c r="A71" s="44"/>
      <c r="B71" s="45"/>
      <c r="C71" s="46">
        <f t="shared" si="0"/>
        <v>0</v>
      </c>
      <c r="D71" s="47"/>
      <c r="E71" s="47"/>
      <c r="F71" s="47"/>
      <c r="G71" s="47"/>
      <c r="H71" s="48"/>
      <c r="I71" s="75" t="str">
        <f t="shared" si="1"/>
        <v/>
      </c>
      <c r="J71" s="49"/>
      <c r="K71" s="49"/>
      <c r="L71" s="49"/>
      <c r="M71" s="47"/>
      <c r="N71" s="48" t="str">
        <f t="shared" si="2"/>
        <v/>
      </c>
      <c r="O71" s="48" t="str">
        <f t="shared" si="3"/>
        <v/>
      </c>
      <c r="P71" s="76" t="str">
        <f t="shared" si="4"/>
        <v/>
      </c>
      <c r="Q71" s="77">
        <f t="shared" si="5"/>
        <v>0</v>
      </c>
      <c r="R71" s="77">
        <f t="shared" si="6"/>
        <v>0</v>
      </c>
      <c r="S71" s="76">
        <f t="shared" si="12"/>
        <v>0</v>
      </c>
      <c r="T71" s="47"/>
      <c r="V71" s="57"/>
      <c r="W71" s="45"/>
      <c r="X71" s="46">
        <f t="shared" si="13"/>
        <v>0</v>
      </c>
      <c r="Y71" s="75" t="str">
        <f t="shared" si="14"/>
        <v/>
      </c>
      <c r="Z71" s="49"/>
      <c r="AA71" s="49"/>
      <c r="AB71" s="49"/>
      <c r="AC71" s="204"/>
      <c r="AD71" s="48" t="str">
        <f t="shared" si="7"/>
        <v/>
      </c>
      <c r="AE71" s="48" t="str">
        <f t="shared" si="8"/>
        <v/>
      </c>
      <c r="AF71" s="76" t="str">
        <f t="shared" si="9"/>
        <v/>
      </c>
      <c r="AG71" s="77">
        <f t="shared" si="10"/>
        <v>0</v>
      </c>
      <c r="AH71" s="77">
        <f t="shared" si="11"/>
        <v>0</v>
      </c>
      <c r="AI71" s="76">
        <f t="shared" si="15"/>
        <v>0</v>
      </c>
      <c r="AJ71" s="203"/>
    </row>
    <row r="72" spans="1:36" s="56" customFormat="1" ht="14.25">
      <c r="A72" s="44"/>
      <c r="B72" s="45"/>
      <c r="C72" s="46">
        <f t="shared" si="0"/>
        <v>0</v>
      </c>
      <c r="D72" s="47"/>
      <c r="E72" s="47"/>
      <c r="F72" s="47"/>
      <c r="G72" s="47"/>
      <c r="H72" s="48"/>
      <c r="I72" s="75" t="str">
        <f t="shared" si="1"/>
        <v/>
      </c>
      <c r="J72" s="49"/>
      <c r="K72" s="49"/>
      <c r="L72" s="49"/>
      <c r="M72" s="47"/>
      <c r="N72" s="48" t="str">
        <f t="shared" si="2"/>
        <v/>
      </c>
      <c r="O72" s="48" t="str">
        <f t="shared" si="3"/>
        <v/>
      </c>
      <c r="P72" s="76" t="str">
        <f t="shared" si="4"/>
        <v/>
      </c>
      <c r="Q72" s="77">
        <f t="shared" si="5"/>
        <v>0</v>
      </c>
      <c r="R72" s="77">
        <f t="shared" si="6"/>
        <v>0</v>
      </c>
      <c r="S72" s="76">
        <f t="shared" si="12"/>
        <v>0</v>
      </c>
      <c r="T72" s="47"/>
      <c r="V72" s="57"/>
      <c r="W72" s="45"/>
      <c r="X72" s="46">
        <f t="shared" si="13"/>
        <v>0</v>
      </c>
      <c r="Y72" s="75" t="str">
        <f t="shared" si="14"/>
        <v/>
      </c>
      <c r="Z72" s="49"/>
      <c r="AA72" s="49"/>
      <c r="AB72" s="49"/>
      <c r="AC72" s="204"/>
      <c r="AD72" s="48" t="str">
        <f t="shared" si="7"/>
        <v/>
      </c>
      <c r="AE72" s="48" t="str">
        <f t="shared" si="8"/>
        <v/>
      </c>
      <c r="AF72" s="76" t="str">
        <f t="shared" si="9"/>
        <v/>
      </c>
      <c r="AG72" s="77">
        <f t="shared" si="10"/>
        <v>0</v>
      </c>
      <c r="AH72" s="77">
        <f t="shared" si="11"/>
        <v>0</v>
      </c>
      <c r="AI72" s="76">
        <f t="shared" si="15"/>
        <v>0</v>
      </c>
      <c r="AJ72" s="203"/>
    </row>
    <row r="73" spans="1:36" s="56" customFormat="1" ht="14.25">
      <c r="A73" s="44"/>
      <c r="B73" s="45"/>
      <c r="C73" s="46">
        <f t="shared" si="0"/>
        <v>0</v>
      </c>
      <c r="D73" s="47"/>
      <c r="E73" s="47"/>
      <c r="F73" s="47"/>
      <c r="G73" s="47"/>
      <c r="H73" s="48"/>
      <c r="I73" s="75" t="str">
        <f t="shared" si="1"/>
        <v/>
      </c>
      <c r="J73" s="49"/>
      <c r="K73" s="49"/>
      <c r="L73" s="49"/>
      <c r="M73" s="47"/>
      <c r="N73" s="48" t="str">
        <f t="shared" si="2"/>
        <v/>
      </c>
      <c r="O73" s="48" t="str">
        <f t="shared" si="3"/>
        <v/>
      </c>
      <c r="P73" s="76" t="str">
        <f t="shared" si="4"/>
        <v/>
      </c>
      <c r="Q73" s="77">
        <f t="shared" si="5"/>
        <v>0</v>
      </c>
      <c r="R73" s="77">
        <f t="shared" si="6"/>
        <v>0</v>
      </c>
      <c r="S73" s="76">
        <f t="shared" si="12"/>
        <v>0</v>
      </c>
      <c r="T73" s="47"/>
      <c r="V73" s="57"/>
      <c r="W73" s="45"/>
      <c r="X73" s="46">
        <f t="shared" si="13"/>
        <v>0</v>
      </c>
      <c r="Y73" s="75" t="str">
        <f t="shared" si="14"/>
        <v/>
      </c>
      <c r="Z73" s="49"/>
      <c r="AA73" s="49"/>
      <c r="AB73" s="49"/>
      <c r="AC73" s="204"/>
      <c r="AD73" s="48" t="str">
        <f t="shared" si="7"/>
        <v/>
      </c>
      <c r="AE73" s="48" t="str">
        <f t="shared" si="8"/>
        <v/>
      </c>
      <c r="AF73" s="76" t="str">
        <f t="shared" si="9"/>
        <v/>
      </c>
      <c r="AG73" s="77">
        <f t="shared" si="10"/>
        <v>0</v>
      </c>
      <c r="AH73" s="77">
        <f t="shared" si="11"/>
        <v>0</v>
      </c>
      <c r="AI73" s="76">
        <f t="shared" si="15"/>
        <v>0</v>
      </c>
      <c r="AJ73" s="203"/>
    </row>
    <row r="74" spans="1:36" s="56" customFormat="1" ht="14.25">
      <c r="A74" s="44"/>
      <c r="B74" s="45"/>
      <c r="C74" s="46">
        <f t="shared" si="0"/>
        <v>0</v>
      </c>
      <c r="D74" s="47"/>
      <c r="E74" s="47"/>
      <c r="F74" s="47"/>
      <c r="G74" s="47"/>
      <c r="H74" s="48"/>
      <c r="I74" s="75" t="str">
        <f t="shared" si="1"/>
        <v/>
      </c>
      <c r="J74" s="49"/>
      <c r="K74" s="49"/>
      <c r="L74" s="49"/>
      <c r="M74" s="47"/>
      <c r="N74" s="48" t="str">
        <f t="shared" si="2"/>
        <v/>
      </c>
      <c r="O74" s="48" t="str">
        <f t="shared" si="3"/>
        <v/>
      </c>
      <c r="P74" s="76" t="str">
        <f t="shared" si="4"/>
        <v/>
      </c>
      <c r="Q74" s="77">
        <f t="shared" si="5"/>
        <v>0</v>
      </c>
      <c r="R74" s="77">
        <f t="shared" si="6"/>
        <v>0</v>
      </c>
      <c r="S74" s="76">
        <f t="shared" si="12"/>
        <v>0</v>
      </c>
      <c r="T74" s="47"/>
      <c r="V74" s="57"/>
      <c r="W74" s="45"/>
      <c r="X74" s="46">
        <f t="shared" si="13"/>
        <v>0</v>
      </c>
      <c r="Y74" s="75" t="str">
        <f t="shared" si="14"/>
        <v/>
      </c>
      <c r="Z74" s="49"/>
      <c r="AA74" s="49"/>
      <c r="AB74" s="49"/>
      <c r="AC74" s="204"/>
      <c r="AD74" s="48" t="str">
        <f t="shared" si="7"/>
        <v/>
      </c>
      <c r="AE74" s="48" t="str">
        <f t="shared" si="8"/>
        <v/>
      </c>
      <c r="AF74" s="76" t="str">
        <f t="shared" si="9"/>
        <v/>
      </c>
      <c r="AG74" s="77">
        <f t="shared" si="10"/>
        <v>0</v>
      </c>
      <c r="AH74" s="77">
        <f t="shared" si="11"/>
        <v>0</v>
      </c>
      <c r="AI74" s="76">
        <f t="shared" si="15"/>
        <v>0</v>
      </c>
      <c r="AJ74" s="203"/>
    </row>
    <row r="75" spans="1:36" s="56" customFormat="1" ht="14.25">
      <c r="A75" s="44"/>
      <c r="B75" s="45"/>
      <c r="C75" s="46">
        <f t="shared" ref="C75:C138" si="16">IF($B75&lt;&gt;"",VLOOKUP($B75,Matriz_INM,2,0),0)</f>
        <v>0</v>
      </c>
      <c r="D75" s="47"/>
      <c r="E75" s="47"/>
      <c r="F75" s="47"/>
      <c r="G75" s="47"/>
      <c r="H75" s="48"/>
      <c r="I75" s="75" t="str">
        <f t="shared" ref="I75:I138" si="17">IFERROR(VLOOKUP($B75,Matriz_INM,3,0),"")</f>
        <v/>
      </c>
      <c r="J75" s="49"/>
      <c r="K75" s="49"/>
      <c r="L75" s="49"/>
      <c r="M75" s="47"/>
      <c r="N75" s="48" t="str">
        <f t="shared" ref="N75:N138" si="18">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8" t="str">
        <f t="shared" ref="O75:O138" si="19">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6" t="str">
        <f t="shared" ref="P75:P138" si="20">IF(N75="",O75,IF(O75="",N75,""))</f>
        <v/>
      </c>
      <c r="Q75" s="77">
        <f t="shared" ref="Q75:Q138" si="21">IF(AND(OR(M75="EE",M75="CE"),P75="Simples"),3, IF(AND(OR(M75="EE",M75="CE"),P75="Médio"),4, IF(AND(OR(M75="EE",M75="CE"),P75="Complexo"),6, IF(AND(M75="SE",P75="Simples"),4, IF(AND(M75="SE",P75="Médio"),5, IF(AND(M75="SE",P75="Complexo"),7,0))))))</f>
        <v>0</v>
      </c>
      <c r="R75" s="77">
        <f t="shared" ref="R75:R138" si="22">IF(AND(M75="ALI",O75="Simples"),7, IF(AND(M75="ALI",O75="Médio"),10, IF(AND(M75="ALI",O75="Complexo"),15, IF(AND(M75="AIE",O75="Simples"),5, IF(AND(M75="AIE",O75="Médio"),7, IF(AND(M75="AIE",O75="Complexo"),10,0))))))</f>
        <v>0</v>
      </c>
      <c r="S75" s="76">
        <f t="shared" si="12"/>
        <v>0</v>
      </c>
      <c r="T75" s="47"/>
      <c r="V75" s="57"/>
      <c r="W75" s="45"/>
      <c r="X75" s="46">
        <f t="shared" ref="X75:X138" si="23">IF($B75&lt;&gt;"",VLOOKUP($B75,Matriz_INM,2,0),0)</f>
        <v>0</v>
      </c>
      <c r="Y75" s="75" t="str">
        <f t="shared" ref="Y75:Y138" si="24">IFERROR(VLOOKUP($B75,Matriz_INM,3,0),"")</f>
        <v/>
      </c>
      <c r="Z75" s="49"/>
      <c r="AA75" s="49"/>
      <c r="AB75" s="49"/>
      <c r="AC75" s="204"/>
      <c r="AD75" s="48" t="str">
        <f t="shared" ref="AD75:AD138" si="25">IF(AC75="EE",IF(OR(AND(OR(AB75=1,AB75=0),AA75&gt;0,AA75&lt;5),AND(OR(AB75=1,AB75=0),AA75&gt;4,AA75&lt;16),AND(AB75=2,AA75&gt;0,AA75&lt;5)),"Simples",IF(OR(AND(OR(AB75=1,AB75=0),AA75&gt;15),AND(AB75=2,AA75&gt;4,AA75&lt;16),AND(AB75&gt;2,AA75&gt;0,AA75&lt;5)),"Médio",IF(OR(AND(AB75=2,AA75&gt;15),AND(AB75&gt;2,AA75&gt;4,AA75&lt;16),AND(AB75&gt;2,AA75&gt;15)),"Complexo",""))), IF(OR(AC75="CE",AC75="SE"),IF(OR(AND(OR(AB75=1,AB75=0),AA75&gt;0,AA75&lt;6),AND(OR(AB75=1,AB75=0),AA75&gt;5,AA75&lt;20),AND(AB75&gt;1,AB75&lt;4,AA75&gt;0,AA75&lt;6)),"Simples",IF(OR(AND(OR(AB75=1,AB75=0),AA75&gt;19),AND(AB75&gt;1,AB75&lt;4,AA75&gt;5,AA75&lt;20),AND(AB75&gt;3,AA75&gt;0,AA75&lt;6)),"Médio",IF(OR(AND(AB75&gt;1,AB75&lt;4,AA75&gt;19),AND(AB75&gt;3,AA75&gt;5,AA75&lt;20),AND(AB75&gt;3,AA75&gt;19)),"Complexo",""))),""))</f>
        <v/>
      </c>
      <c r="AE75" s="48" t="str">
        <f t="shared" ref="AE75:AE138" si="26">IF(AC75="ALI",IF(OR(AND(OR(AB75=1,AB75=0),AA75&gt;0,AA75&lt;20),AND(OR(AB75=1,AB75=0),AA75&gt;19,AA75&lt;51),AND(AB75&gt;1,AB75&lt;6,AA75&gt;0,AA75&lt;20)),"Simples",IF(OR(AND(OR(AB75=1,AB75=0),AA75&gt;50),AND(AB75&gt;1,AB75&lt;6,AA75&gt;19,AA75&lt;51),AND(AB75&gt;5,AA75&gt;0,AA75&lt;20)),"Médio",IF(OR(AND(AB75&gt;1,AB75&lt;6,AA75&gt;50),AND(AB75&gt;5,AA75&gt;19,AA75&lt;51),AND(AB75&gt;5,AA75&gt;50)),"Complexo",""))), IF(AC75="AIE",IF(OR(AND(OR(AB75=1, AB75=0),AA75&gt;0,AA75&lt;20),AND(OR(AB75=1, AB75=0),AA75&gt;19,AA75&lt;51),AND(AB75&gt;1,AB75&lt;6,AA75&gt;0,AA75&lt;20)),"Simples",IF(OR(AND(OR(AB75=1, AB75=0),AA75&gt;50),AND(AB75&gt;1,AB75&lt;6,AA75&gt;19,AA75&lt;51),AND(AB75&gt;5,AA75&gt;0,AA75&lt;20)),"Médio",IF(OR(AND(AB75&gt;1,AB75&lt;6,AA75&gt;50),AND(AB75&gt;5,AA75&gt;19,AA75&lt;51),AND(AB75&gt;5,AA75&gt;50)),"Complexo",""))),""))</f>
        <v/>
      </c>
      <c r="AF75" s="76" t="str">
        <f t="shared" ref="AF75:AF138" si="27">IF(AD75="",AE75,IF(AE75="",AD75,""))</f>
        <v/>
      </c>
      <c r="AG75" s="77">
        <f t="shared" ref="AG75:AG138" si="28">IF(AND(OR(AC75="EE",AC75="CE"),AF75="Simples"),3, IF(AND(OR(AC75="EE",AC75="CE"),AF75="Médio"),4, IF(AND(OR(AC75="EE",AC75="CE"),AF75="Complexo"),6, IF(AND(AC75="SE",AF75="Simples"),4, IF(AND(AC75="SE",AF75="Médio"),5, IF(AND(AC75="SE",AF75="Complexo"),7,0))))))</f>
        <v>0</v>
      </c>
      <c r="AH75" s="77">
        <f t="shared" ref="AH75:AH138" si="29">IF(AND(AC75="ALI",AE75="Simples"),7, IF(AND(AC75="ALI",AE75="Médio"),10, IF(AND(AC75="ALI",AE75="Complexo"),15, IF(AND(AC75="AIE",AE75="Simples"),5, IF(AND(AC75="AIE",AE75="Médio"),7, IF(AND(AC75="AIE",AE75="Complexo"),10,0))))))</f>
        <v>0</v>
      </c>
      <c r="AI75" s="76">
        <f t="shared" si="15"/>
        <v>0</v>
      </c>
      <c r="AJ75" s="203"/>
    </row>
    <row r="76" spans="1:36" s="56" customFormat="1" ht="14.25">
      <c r="A76" s="44"/>
      <c r="B76" s="45"/>
      <c r="C76" s="46">
        <f t="shared" si="16"/>
        <v>0</v>
      </c>
      <c r="D76" s="47"/>
      <c r="E76" s="47"/>
      <c r="F76" s="47"/>
      <c r="G76" s="47"/>
      <c r="H76" s="48"/>
      <c r="I76" s="75" t="str">
        <f t="shared" si="17"/>
        <v/>
      </c>
      <c r="J76" s="49"/>
      <c r="K76" s="49"/>
      <c r="L76" s="49"/>
      <c r="M76" s="47"/>
      <c r="N76" s="48" t="str">
        <f t="shared" si="18"/>
        <v/>
      </c>
      <c r="O76" s="48" t="str">
        <f t="shared" si="19"/>
        <v/>
      </c>
      <c r="P76" s="76" t="str">
        <f t="shared" si="20"/>
        <v/>
      </c>
      <c r="Q76" s="77">
        <f t="shared" si="21"/>
        <v>0</v>
      </c>
      <c r="R76" s="77">
        <f t="shared" si="22"/>
        <v>0</v>
      </c>
      <c r="S76" s="76">
        <f t="shared" ref="S76:S139" si="30">IF($I76="%",($Q76+$R76)*$C76,$C76)</f>
        <v>0</v>
      </c>
      <c r="T76" s="47"/>
      <c r="V76" s="57"/>
      <c r="W76" s="45"/>
      <c r="X76" s="46">
        <f t="shared" si="23"/>
        <v>0</v>
      </c>
      <c r="Y76" s="75" t="str">
        <f t="shared" si="24"/>
        <v/>
      </c>
      <c r="Z76" s="49"/>
      <c r="AA76" s="49"/>
      <c r="AB76" s="49"/>
      <c r="AC76" s="204"/>
      <c r="AD76" s="48" t="str">
        <f t="shared" si="25"/>
        <v/>
      </c>
      <c r="AE76" s="48" t="str">
        <f t="shared" si="26"/>
        <v/>
      </c>
      <c r="AF76" s="76" t="str">
        <f t="shared" si="27"/>
        <v/>
      </c>
      <c r="AG76" s="77">
        <f t="shared" si="28"/>
        <v>0</v>
      </c>
      <c r="AH76" s="77">
        <f t="shared" si="29"/>
        <v>0</v>
      </c>
      <c r="AI76" s="76">
        <f t="shared" ref="AI76:AI139" si="31">IF($I76="%",($Q76+$R76)*$C76,$C76)</f>
        <v>0</v>
      </c>
      <c r="AJ76" s="203"/>
    </row>
    <row r="77" spans="1:36" s="56" customFormat="1" ht="14.25">
      <c r="A77" s="44"/>
      <c r="B77" s="45"/>
      <c r="C77" s="46">
        <f t="shared" si="16"/>
        <v>0</v>
      </c>
      <c r="D77" s="47"/>
      <c r="E77" s="47"/>
      <c r="F77" s="47"/>
      <c r="G77" s="47"/>
      <c r="H77" s="48"/>
      <c r="I77" s="75" t="str">
        <f t="shared" si="17"/>
        <v/>
      </c>
      <c r="J77" s="49"/>
      <c r="K77" s="49"/>
      <c r="L77" s="49"/>
      <c r="M77" s="47"/>
      <c r="N77" s="48" t="str">
        <f t="shared" si="18"/>
        <v/>
      </c>
      <c r="O77" s="48" t="str">
        <f t="shared" si="19"/>
        <v/>
      </c>
      <c r="P77" s="76" t="str">
        <f t="shared" si="20"/>
        <v/>
      </c>
      <c r="Q77" s="77">
        <f t="shared" si="21"/>
        <v>0</v>
      </c>
      <c r="R77" s="77">
        <f t="shared" si="22"/>
        <v>0</v>
      </c>
      <c r="S77" s="76">
        <f t="shared" si="30"/>
        <v>0</v>
      </c>
      <c r="T77" s="47"/>
      <c r="V77" s="57"/>
      <c r="W77" s="45"/>
      <c r="X77" s="46">
        <f t="shared" si="23"/>
        <v>0</v>
      </c>
      <c r="Y77" s="75" t="str">
        <f t="shared" si="24"/>
        <v/>
      </c>
      <c r="Z77" s="49"/>
      <c r="AA77" s="49"/>
      <c r="AB77" s="49"/>
      <c r="AC77" s="204"/>
      <c r="AD77" s="48" t="str">
        <f t="shared" si="25"/>
        <v/>
      </c>
      <c r="AE77" s="48" t="str">
        <f t="shared" si="26"/>
        <v/>
      </c>
      <c r="AF77" s="76" t="str">
        <f t="shared" si="27"/>
        <v/>
      </c>
      <c r="AG77" s="77">
        <f t="shared" si="28"/>
        <v>0</v>
      </c>
      <c r="AH77" s="77">
        <f t="shared" si="29"/>
        <v>0</v>
      </c>
      <c r="AI77" s="76">
        <f t="shared" si="31"/>
        <v>0</v>
      </c>
      <c r="AJ77" s="203"/>
    </row>
    <row r="78" spans="1:36" s="56" customFormat="1" ht="14.25">
      <c r="A78" s="44"/>
      <c r="B78" s="45"/>
      <c r="C78" s="46">
        <f t="shared" si="16"/>
        <v>0</v>
      </c>
      <c r="D78" s="47"/>
      <c r="E78" s="47"/>
      <c r="F78" s="47"/>
      <c r="G78" s="47"/>
      <c r="H78" s="48"/>
      <c r="I78" s="75" t="str">
        <f t="shared" si="17"/>
        <v/>
      </c>
      <c r="J78" s="49"/>
      <c r="K78" s="49"/>
      <c r="L78" s="49"/>
      <c r="M78" s="47"/>
      <c r="N78" s="48" t="str">
        <f t="shared" si="18"/>
        <v/>
      </c>
      <c r="O78" s="48" t="str">
        <f t="shared" si="19"/>
        <v/>
      </c>
      <c r="P78" s="76" t="str">
        <f t="shared" si="20"/>
        <v/>
      </c>
      <c r="Q78" s="77">
        <f t="shared" si="21"/>
        <v>0</v>
      </c>
      <c r="R78" s="77">
        <f t="shared" si="22"/>
        <v>0</v>
      </c>
      <c r="S78" s="76">
        <f t="shared" si="30"/>
        <v>0</v>
      </c>
      <c r="T78" s="47"/>
      <c r="V78" s="57"/>
      <c r="W78" s="45"/>
      <c r="X78" s="46">
        <f t="shared" si="23"/>
        <v>0</v>
      </c>
      <c r="Y78" s="75" t="str">
        <f t="shared" si="24"/>
        <v/>
      </c>
      <c r="Z78" s="49"/>
      <c r="AA78" s="49"/>
      <c r="AB78" s="49"/>
      <c r="AC78" s="204"/>
      <c r="AD78" s="48" t="str">
        <f t="shared" si="25"/>
        <v/>
      </c>
      <c r="AE78" s="48" t="str">
        <f t="shared" si="26"/>
        <v/>
      </c>
      <c r="AF78" s="76" t="str">
        <f t="shared" si="27"/>
        <v/>
      </c>
      <c r="AG78" s="77">
        <f t="shared" si="28"/>
        <v>0</v>
      </c>
      <c r="AH78" s="77">
        <f t="shared" si="29"/>
        <v>0</v>
      </c>
      <c r="AI78" s="76">
        <f t="shared" si="31"/>
        <v>0</v>
      </c>
      <c r="AJ78" s="203"/>
    </row>
    <row r="79" spans="1:36" s="56" customFormat="1" ht="14.25">
      <c r="A79" s="44"/>
      <c r="B79" s="45"/>
      <c r="C79" s="46">
        <f t="shared" si="16"/>
        <v>0</v>
      </c>
      <c r="D79" s="47"/>
      <c r="E79" s="47"/>
      <c r="F79" s="47"/>
      <c r="G79" s="47"/>
      <c r="H79" s="48"/>
      <c r="I79" s="75" t="str">
        <f t="shared" si="17"/>
        <v/>
      </c>
      <c r="J79" s="49"/>
      <c r="K79" s="49"/>
      <c r="L79" s="49"/>
      <c r="M79" s="47"/>
      <c r="N79" s="48" t="str">
        <f t="shared" si="18"/>
        <v/>
      </c>
      <c r="O79" s="48" t="str">
        <f t="shared" si="19"/>
        <v/>
      </c>
      <c r="P79" s="76" t="str">
        <f t="shared" si="20"/>
        <v/>
      </c>
      <c r="Q79" s="77">
        <f t="shared" si="21"/>
        <v>0</v>
      </c>
      <c r="R79" s="77">
        <f t="shared" si="22"/>
        <v>0</v>
      </c>
      <c r="S79" s="76">
        <f t="shared" si="30"/>
        <v>0</v>
      </c>
      <c r="T79" s="47"/>
      <c r="V79" s="57"/>
      <c r="W79" s="45"/>
      <c r="X79" s="46">
        <f t="shared" si="23"/>
        <v>0</v>
      </c>
      <c r="Y79" s="75" t="str">
        <f t="shared" si="24"/>
        <v/>
      </c>
      <c r="Z79" s="49"/>
      <c r="AA79" s="49"/>
      <c r="AB79" s="49"/>
      <c r="AC79" s="204"/>
      <c r="AD79" s="48" t="str">
        <f t="shared" si="25"/>
        <v/>
      </c>
      <c r="AE79" s="48" t="str">
        <f t="shared" si="26"/>
        <v/>
      </c>
      <c r="AF79" s="76" t="str">
        <f t="shared" si="27"/>
        <v/>
      </c>
      <c r="AG79" s="77">
        <f t="shared" si="28"/>
        <v>0</v>
      </c>
      <c r="AH79" s="77">
        <f t="shared" si="29"/>
        <v>0</v>
      </c>
      <c r="AI79" s="76">
        <f t="shared" si="31"/>
        <v>0</v>
      </c>
      <c r="AJ79" s="203"/>
    </row>
    <row r="80" spans="1:36" s="56" customFormat="1" ht="14.25">
      <c r="A80" s="44"/>
      <c r="B80" s="45"/>
      <c r="C80" s="46">
        <f t="shared" si="16"/>
        <v>0</v>
      </c>
      <c r="D80" s="47"/>
      <c r="E80" s="47"/>
      <c r="F80" s="47"/>
      <c r="G80" s="47"/>
      <c r="H80" s="48"/>
      <c r="I80" s="75" t="str">
        <f t="shared" si="17"/>
        <v/>
      </c>
      <c r="J80" s="49"/>
      <c r="K80" s="49"/>
      <c r="L80" s="49"/>
      <c r="M80" s="47"/>
      <c r="N80" s="48" t="str">
        <f t="shared" si="18"/>
        <v/>
      </c>
      <c r="O80" s="48" t="str">
        <f t="shared" si="19"/>
        <v/>
      </c>
      <c r="P80" s="76" t="str">
        <f t="shared" si="20"/>
        <v/>
      </c>
      <c r="Q80" s="77">
        <f t="shared" si="21"/>
        <v>0</v>
      </c>
      <c r="R80" s="77">
        <f t="shared" si="22"/>
        <v>0</v>
      </c>
      <c r="S80" s="76">
        <f t="shared" si="30"/>
        <v>0</v>
      </c>
      <c r="T80" s="47"/>
      <c r="V80" s="57"/>
      <c r="W80" s="45"/>
      <c r="X80" s="46">
        <f t="shared" si="23"/>
        <v>0</v>
      </c>
      <c r="Y80" s="75" t="str">
        <f t="shared" si="24"/>
        <v/>
      </c>
      <c r="Z80" s="49"/>
      <c r="AA80" s="49"/>
      <c r="AB80" s="49"/>
      <c r="AC80" s="204"/>
      <c r="AD80" s="48" t="str">
        <f t="shared" si="25"/>
        <v/>
      </c>
      <c r="AE80" s="48" t="str">
        <f t="shared" si="26"/>
        <v/>
      </c>
      <c r="AF80" s="76" t="str">
        <f t="shared" si="27"/>
        <v/>
      </c>
      <c r="AG80" s="77">
        <f t="shared" si="28"/>
        <v>0</v>
      </c>
      <c r="AH80" s="77">
        <f t="shared" si="29"/>
        <v>0</v>
      </c>
      <c r="AI80" s="76">
        <f t="shared" si="31"/>
        <v>0</v>
      </c>
      <c r="AJ80" s="203"/>
    </row>
    <row r="81" spans="1:36" s="56" customFormat="1" ht="14.25">
      <c r="A81" s="44"/>
      <c r="B81" s="45"/>
      <c r="C81" s="46">
        <f t="shared" si="16"/>
        <v>0</v>
      </c>
      <c r="D81" s="47"/>
      <c r="E81" s="47"/>
      <c r="F81" s="47"/>
      <c r="G81" s="47"/>
      <c r="H81" s="48"/>
      <c r="I81" s="75" t="str">
        <f t="shared" si="17"/>
        <v/>
      </c>
      <c r="J81" s="49"/>
      <c r="K81" s="49"/>
      <c r="L81" s="49"/>
      <c r="M81" s="47"/>
      <c r="N81" s="48" t="str">
        <f t="shared" si="18"/>
        <v/>
      </c>
      <c r="O81" s="48" t="str">
        <f t="shared" si="19"/>
        <v/>
      </c>
      <c r="P81" s="76" t="str">
        <f t="shared" si="20"/>
        <v/>
      </c>
      <c r="Q81" s="77">
        <f t="shared" si="21"/>
        <v>0</v>
      </c>
      <c r="R81" s="77">
        <f t="shared" si="22"/>
        <v>0</v>
      </c>
      <c r="S81" s="76">
        <f t="shared" si="30"/>
        <v>0</v>
      </c>
      <c r="T81" s="47"/>
      <c r="V81" s="57"/>
      <c r="W81" s="45"/>
      <c r="X81" s="46">
        <f t="shared" si="23"/>
        <v>0</v>
      </c>
      <c r="Y81" s="75" t="str">
        <f t="shared" si="24"/>
        <v/>
      </c>
      <c r="Z81" s="49"/>
      <c r="AA81" s="49"/>
      <c r="AB81" s="49"/>
      <c r="AC81" s="204"/>
      <c r="AD81" s="48" t="str">
        <f t="shared" si="25"/>
        <v/>
      </c>
      <c r="AE81" s="48" t="str">
        <f t="shared" si="26"/>
        <v/>
      </c>
      <c r="AF81" s="76" t="str">
        <f t="shared" si="27"/>
        <v/>
      </c>
      <c r="AG81" s="77">
        <f t="shared" si="28"/>
        <v>0</v>
      </c>
      <c r="AH81" s="77">
        <f t="shared" si="29"/>
        <v>0</v>
      </c>
      <c r="AI81" s="76">
        <f t="shared" si="31"/>
        <v>0</v>
      </c>
      <c r="AJ81" s="203"/>
    </row>
    <row r="82" spans="1:36" s="56" customFormat="1" ht="14.25">
      <c r="A82" s="44"/>
      <c r="B82" s="45"/>
      <c r="C82" s="46">
        <f t="shared" si="16"/>
        <v>0</v>
      </c>
      <c r="D82" s="47"/>
      <c r="E82" s="47"/>
      <c r="F82" s="47"/>
      <c r="G82" s="47"/>
      <c r="H82" s="48"/>
      <c r="I82" s="75" t="str">
        <f t="shared" si="17"/>
        <v/>
      </c>
      <c r="J82" s="49"/>
      <c r="K82" s="49"/>
      <c r="L82" s="49"/>
      <c r="M82" s="47"/>
      <c r="N82" s="48" t="str">
        <f t="shared" si="18"/>
        <v/>
      </c>
      <c r="O82" s="48" t="str">
        <f t="shared" si="19"/>
        <v/>
      </c>
      <c r="P82" s="76" t="str">
        <f t="shared" si="20"/>
        <v/>
      </c>
      <c r="Q82" s="77">
        <f t="shared" si="21"/>
        <v>0</v>
      </c>
      <c r="R82" s="77">
        <f t="shared" si="22"/>
        <v>0</v>
      </c>
      <c r="S82" s="76">
        <f t="shared" si="30"/>
        <v>0</v>
      </c>
      <c r="T82" s="47"/>
      <c r="V82" s="57"/>
      <c r="W82" s="45"/>
      <c r="X82" s="46">
        <f t="shared" si="23"/>
        <v>0</v>
      </c>
      <c r="Y82" s="75" t="str">
        <f t="shared" si="24"/>
        <v/>
      </c>
      <c r="Z82" s="49"/>
      <c r="AA82" s="49"/>
      <c r="AB82" s="49"/>
      <c r="AC82" s="204"/>
      <c r="AD82" s="48" t="str">
        <f t="shared" si="25"/>
        <v/>
      </c>
      <c r="AE82" s="48" t="str">
        <f t="shared" si="26"/>
        <v/>
      </c>
      <c r="AF82" s="76" t="str">
        <f t="shared" si="27"/>
        <v/>
      </c>
      <c r="AG82" s="77">
        <f t="shared" si="28"/>
        <v>0</v>
      </c>
      <c r="AH82" s="77">
        <f t="shared" si="29"/>
        <v>0</v>
      </c>
      <c r="AI82" s="76">
        <f t="shared" si="31"/>
        <v>0</v>
      </c>
      <c r="AJ82" s="203"/>
    </row>
    <row r="83" spans="1:36" s="56" customFormat="1" ht="14.25">
      <c r="A83" s="44"/>
      <c r="B83" s="45"/>
      <c r="C83" s="46">
        <f t="shared" si="16"/>
        <v>0</v>
      </c>
      <c r="D83" s="47"/>
      <c r="E83" s="47"/>
      <c r="F83" s="47"/>
      <c r="G83" s="47"/>
      <c r="H83" s="48"/>
      <c r="I83" s="75" t="str">
        <f t="shared" si="17"/>
        <v/>
      </c>
      <c r="J83" s="49"/>
      <c r="K83" s="49"/>
      <c r="L83" s="49"/>
      <c r="M83" s="47"/>
      <c r="N83" s="48" t="str">
        <f t="shared" si="18"/>
        <v/>
      </c>
      <c r="O83" s="48" t="str">
        <f t="shared" si="19"/>
        <v/>
      </c>
      <c r="P83" s="76" t="str">
        <f t="shared" si="20"/>
        <v/>
      </c>
      <c r="Q83" s="77">
        <f t="shared" si="21"/>
        <v>0</v>
      </c>
      <c r="R83" s="77">
        <f t="shared" si="22"/>
        <v>0</v>
      </c>
      <c r="S83" s="76">
        <f t="shared" si="30"/>
        <v>0</v>
      </c>
      <c r="T83" s="47"/>
      <c r="V83" s="57"/>
      <c r="W83" s="45"/>
      <c r="X83" s="46">
        <f t="shared" si="23"/>
        <v>0</v>
      </c>
      <c r="Y83" s="75" t="str">
        <f t="shared" si="24"/>
        <v/>
      </c>
      <c r="Z83" s="49"/>
      <c r="AA83" s="49"/>
      <c r="AB83" s="49"/>
      <c r="AC83" s="204"/>
      <c r="AD83" s="48" t="str">
        <f t="shared" si="25"/>
        <v/>
      </c>
      <c r="AE83" s="48" t="str">
        <f t="shared" si="26"/>
        <v/>
      </c>
      <c r="AF83" s="76" t="str">
        <f t="shared" si="27"/>
        <v/>
      </c>
      <c r="AG83" s="77">
        <f t="shared" si="28"/>
        <v>0</v>
      </c>
      <c r="AH83" s="77">
        <f t="shared" si="29"/>
        <v>0</v>
      </c>
      <c r="AI83" s="76">
        <f t="shared" si="31"/>
        <v>0</v>
      </c>
      <c r="AJ83" s="203"/>
    </row>
    <row r="84" spans="1:36" s="56" customFormat="1" ht="14.25">
      <c r="A84" s="44"/>
      <c r="B84" s="45"/>
      <c r="C84" s="46">
        <f t="shared" si="16"/>
        <v>0</v>
      </c>
      <c r="D84" s="47"/>
      <c r="E84" s="47"/>
      <c r="F84" s="47"/>
      <c r="G84" s="47"/>
      <c r="H84" s="48"/>
      <c r="I84" s="75" t="str">
        <f t="shared" si="17"/>
        <v/>
      </c>
      <c r="J84" s="49"/>
      <c r="K84" s="49"/>
      <c r="L84" s="49"/>
      <c r="M84" s="47"/>
      <c r="N84" s="48" t="str">
        <f t="shared" si="18"/>
        <v/>
      </c>
      <c r="O84" s="48" t="str">
        <f t="shared" si="19"/>
        <v/>
      </c>
      <c r="P84" s="76" t="str">
        <f t="shared" si="20"/>
        <v/>
      </c>
      <c r="Q84" s="77">
        <f t="shared" si="21"/>
        <v>0</v>
      </c>
      <c r="R84" s="77">
        <f t="shared" si="22"/>
        <v>0</v>
      </c>
      <c r="S84" s="76">
        <f t="shared" si="30"/>
        <v>0</v>
      </c>
      <c r="T84" s="47"/>
      <c r="V84" s="57"/>
      <c r="W84" s="45"/>
      <c r="X84" s="46">
        <f t="shared" si="23"/>
        <v>0</v>
      </c>
      <c r="Y84" s="75" t="str">
        <f t="shared" si="24"/>
        <v/>
      </c>
      <c r="Z84" s="49"/>
      <c r="AA84" s="49"/>
      <c r="AB84" s="49"/>
      <c r="AC84" s="204"/>
      <c r="AD84" s="48" t="str">
        <f t="shared" si="25"/>
        <v/>
      </c>
      <c r="AE84" s="48" t="str">
        <f t="shared" si="26"/>
        <v/>
      </c>
      <c r="AF84" s="76" t="str">
        <f t="shared" si="27"/>
        <v/>
      </c>
      <c r="AG84" s="77">
        <f t="shared" si="28"/>
        <v>0</v>
      </c>
      <c r="AH84" s="77">
        <f t="shared" si="29"/>
        <v>0</v>
      </c>
      <c r="AI84" s="76">
        <f t="shared" si="31"/>
        <v>0</v>
      </c>
      <c r="AJ84" s="203"/>
    </row>
    <row r="85" spans="1:36" s="56" customFormat="1" ht="14.25">
      <c r="A85" s="44"/>
      <c r="B85" s="45"/>
      <c r="C85" s="46">
        <f t="shared" si="16"/>
        <v>0</v>
      </c>
      <c r="D85" s="47"/>
      <c r="E85" s="47"/>
      <c r="F85" s="47"/>
      <c r="G85" s="47"/>
      <c r="H85" s="48"/>
      <c r="I85" s="75" t="str">
        <f t="shared" si="17"/>
        <v/>
      </c>
      <c r="J85" s="49"/>
      <c r="K85" s="49"/>
      <c r="L85" s="49"/>
      <c r="M85" s="47"/>
      <c r="N85" s="48" t="str">
        <f t="shared" si="18"/>
        <v/>
      </c>
      <c r="O85" s="48" t="str">
        <f t="shared" si="19"/>
        <v/>
      </c>
      <c r="P85" s="76" t="str">
        <f t="shared" si="20"/>
        <v/>
      </c>
      <c r="Q85" s="77">
        <f t="shared" si="21"/>
        <v>0</v>
      </c>
      <c r="R85" s="77">
        <f t="shared" si="22"/>
        <v>0</v>
      </c>
      <c r="S85" s="76">
        <f t="shared" si="30"/>
        <v>0</v>
      </c>
      <c r="T85" s="47"/>
      <c r="V85" s="57"/>
      <c r="W85" s="45"/>
      <c r="X85" s="46">
        <f t="shared" si="23"/>
        <v>0</v>
      </c>
      <c r="Y85" s="75" t="str">
        <f t="shared" si="24"/>
        <v/>
      </c>
      <c r="Z85" s="49"/>
      <c r="AA85" s="49"/>
      <c r="AB85" s="49"/>
      <c r="AC85" s="204"/>
      <c r="AD85" s="48" t="str">
        <f t="shared" si="25"/>
        <v/>
      </c>
      <c r="AE85" s="48" t="str">
        <f t="shared" si="26"/>
        <v/>
      </c>
      <c r="AF85" s="76" t="str">
        <f t="shared" si="27"/>
        <v/>
      </c>
      <c r="AG85" s="77">
        <f t="shared" si="28"/>
        <v>0</v>
      </c>
      <c r="AH85" s="77">
        <f t="shared" si="29"/>
        <v>0</v>
      </c>
      <c r="AI85" s="76">
        <f t="shared" si="31"/>
        <v>0</v>
      </c>
      <c r="AJ85" s="203"/>
    </row>
    <row r="86" spans="1:36" s="56" customFormat="1" ht="14.25">
      <c r="A86" s="44"/>
      <c r="B86" s="45"/>
      <c r="C86" s="46">
        <f t="shared" si="16"/>
        <v>0</v>
      </c>
      <c r="D86" s="47"/>
      <c r="E86" s="47"/>
      <c r="F86" s="47"/>
      <c r="G86" s="47"/>
      <c r="H86" s="48"/>
      <c r="I86" s="75" t="str">
        <f t="shared" si="17"/>
        <v/>
      </c>
      <c r="J86" s="49"/>
      <c r="K86" s="49"/>
      <c r="L86" s="49"/>
      <c r="M86" s="47"/>
      <c r="N86" s="48" t="str">
        <f t="shared" si="18"/>
        <v/>
      </c>
      <c r="O86" s="48" t="str">
        <f t="shared" si="19"/>
        <v/>
      </c>
      <c r="P86" s="76" t="str">
        <f t="shared" si="20"/>
        <v/>
      </c>
      <c r="Q86" s="77">
        <f t="shared" si="21"/>
        <v>0</v>
      </c>
      <c r="R86" s="77">
        <f t="shared" si="22"/>
        <v>0</v>
      </c>
      <c r="S86" s="76">
        <f t="shared" si="30"/>
        <v>0</v>
      </c>
      <c r="T86" s="47"/>
      <c r="V86" s="57"/>
      <c r="W86" s="45"/>
      <c r="X86" s="46">
        <f t="shared" si="23"/>
        <v>0</v>
      </c>
      <c r="Y86" s="75" t="str">
        <f t="shared" si="24"/>
        <v/>
      </c>
      <c r="Z86" s="49"/>
      <c r="AA86" s="49"/>
      <c r="AB86" s="49"/>
      <c r="AC86" s="204"/>
      <c r="AD86" s="48" t="str">
        <f t="shared" si="25"/>
        <v/>
      </c>
      <c r="AE86" s="48" t="str">
        <f t="shared" si="26"/>
        <v/>
      </c>
      <c r="AF86" s="76" t="str">
        <f t="shared" si="27"/>
        <v/>
      </c>
      <c r="AG86" s="77">
        <f t="shared" si="28"/>
        <v>0</v>
      </c>
      <c r="AH86" s="77">
        <f t="shared" si="29"/>
        <v>0</v>
      </c>
      <c r="AI86" s="76">
        <f t="shared" si="31"/>
        <v>0</v>
      </c>
      <c r="AJ86" s="203"/>
    </row>
    <row r="87" spans="1:36" s="56" customFormat="1" ht="14.25">
      <c r="A87" s="44"/>
      <c r="B87" s="45"/>
      <c r="C87" s="46">
        <f t="shared" si="16"/>
        <v>0</v>
      </c>
      <c r="D87" s="47"/>
      <c r="E87" s="47"/>
      <c r="F87" s="47"/>
      <c r="G87" s="47"/>
      <c r="H87" s="48"/>
      <c r="I87" s="75" t="str">
        <f t="shared" si="17"/>
        <v/>
      </c>
      <c r="J87" s="49"/>
      <c r="K87" s="49"/>
      <c r="L87" s="49"/>
      <c r="M87" s="47"/>
      <c r="N87" s="48" t="str">
        <f t="shared" si="18"/>
        <v/>
      </c>
      <c r="O87" s="48" t="str">
        <f t="shared" si="19"/>
        <v/>
      </c>
      <c r="P87" s="76" t="str">
        <f t="shared" si="20"/>
        <v/>
      </c>
      <c r="Q87" s="77">
        <f t="shared" si="21"/>
        <v>0</v>
      </c>
      <c r="R87" s="77">
        <f t="shared" si="22"/>
        <v>0</v>
      </c>
      <c r="S87" s="76">
        <f t="shared" si="30"/>
        <v>0</v>
      </c>
      <c r="T87" s="47"/>
      <c r="V87" s="57"/>
      <c r="W87" s="45"/>
      <c r="X87" s="46">
        <f t="shared" si="23"/>
        <v>0</v>
      </c>
      <c r="Y87" s="75" t="str">
        <f t="shared" si="24"/>
        <v/>
      </c>
      <c r="Z87" s="49"/>
      <c r="AA87" s="49"/>
      <c r="AB87" s="49"/>
      <c r="AC87" s="204"/>
      <c r="AD87" s="48" t="str">
        <f t="shared" si="25"/>
        <v/>
      </c>
      <c r="AE87" s="48" t="str">
        <f t="shared" si="26"/>
        <v/>
      </c>
      <c r="AF87" s="76" t="str">
        <f t="shared" si="27"/>
        <v/>
      </c>
      <c r="AG87" s="77">
        <f t="shared" si="28"/>
        <v>0</v>
      </c>
      <c r="AH87" s="77">
        <f t="shared" si="29"/>
        <v>0</v>
      </c>
      <c r="AI87" s="76">
        <f t="shared" si="31"/>
        <v>0</v>
      </c>
      <c r="AJ87" s="203"/>
    </row>
    <row r="88" spans="1:36" s="56" customFormat="1" ht="14.25">
      <c r="A88" s="44"/>
      <c r="B88" s="45"/>
      <c r="C88" s="46">
        <f t="shared" si="16"/>
        <v>0</v>
      </c>
      <c r="D88" s="47"/>
      <c r="E88" s="47"/>
      <c r="F88" s="47"/>
      <c r="G88" s="47"/>
      <c r="H88" s="48"/>
      <c r="I88" s="75" t="str">
        <f t="shared" si="17"/>
        <v/>
      </c>
      <c r="J88" s="49"/>
      <c r="K88" s="49"/>
      <c r="L88" s="49"/>
      <c r="M88" s="47"/>
      <c r="N88" s="48" t="str">
        <f t="shared" si="18"/>
        <v/>
      </c>
      <c r="O88" s="48" t="str">
        <f t="shared" si="19"/>
        <v/>
      </c>
      <c r="P88" s="76" t="str">
        <f t="shared" si="20"/>
        <v/>
      </c>
      <c r="Q88" s="77">
        <f t="shared" si="21"/>
        <v>0</v>
      </c>
      <c r="R88" s="77">
        <f t="shared" si="22"/>
        <v>0</v>
      </c>
      <c r="S88" s="76">
        <f t="shared" si="30"/>
        <v>0</v>
      </c>
      <c r="T88" s="47"/>
      <c r="V88" s="57"/>
      <c r="W88" s="45"/>
      <c r="X88" s="46">
        <f t="shared" si="23"/>
        <v>0</v>
      </c>
      <c r="Y88" s="75" t="str">
        <f t="shared" si="24"/>
        <v/>
      </c>
      <c r="Z88" s="49"/>
      <c r="AA88" s="49"/>
      <c r="AB88" s="49"/>
      <c r="AC88" s="204"/>
      <c r="AD88" s="48" t="str">
        <f t="shared" si="25"/>
        <v/>
      </c>
      <c r="AE88" s="48" t="str">
        <f t="shared" si="26"/>
        <v/>
      </c>
      <c r="AF88" s="76" t="str">
        <f t="shared" si="27"/>
        <v/>
      </c>
      <c r="AG88" s="77">
        <f t="shared" si="28"/>
        <v>0</v>
      </c>
      <c r="AH88" s="77">
        <f t="shared" si="29"/>
        <v>0</v>
      </c>
      <c r="AI88" s="76">
        <f t="shared" si="31"/>
        <v>0</v>
      </c>
      <c r="AJ88" s="203"/>
    </row>
    <row r="89" spans="1:36" s="56" customFormat="1" ht="14.25">
      <c r="A89" s="44"/>
      <c r="B89" s="45"/>
      <c r="C89" s="46">
        <f t="shared" si="16"/>
        <v>0</v>
      </c>
      <c r="D89" s="47"/>
      <c r="E89" s="47"/>
      <c r="F89" s="47"/>
      <c r="G89" s="47"/>
      <c r="H89" s="48"/>
      <c r="I89" s="75" t="str">
        <f t="shared" si="17"/>
        <v/>
      </c>
      <c r="J89" s="49"/>
      <c r="K89" s="49"/>
      <c r="L89" s="49"/>
      <c r="M89" s="47"/>
      <c r="N89" s="48" t="str">
        <f t="shared" si="18"/>
        <v/>
      </c>
      <c r="O89" s="48" t="str">
        <f t="shared" si="19"/>
        <v/>
      </c>
      <c r="P89" s="76" t="str">
        <f t="shared" si="20"/>
        <v/>
      </c>
      <c r="Q89" s="77">
        <f t="shared" si="21"/>
        <v>0</v>
      </c>
      <c r="R89" s="77">
        <f t="shared" si="22"/>
        <v>0</v>
      </c>
      <c r="S89" s="76">
        <f t="shared" si="30"/>
        <v>0</v>
      </c>
      <c r="T89" s="47"/>
      <c r="V89" s="57"/>
      <c r="W89" s="45"/>
      <c r="X89" s="46">
        <f t="shared" si="23"/>
        <v>0</v>
      </c>
      <c r="Y89" s="75" t="str">
        <f t="shared" si="24"/>
        <v/>
      </c>
      <c r="Z89" s="49"/>
      <c r="AA89" s="49"/>
      <c r="AB89" s="49"/>
      <c r="AC89" s="204"/>
      <c r="AD89" s="48" t="str">
        <f t="shared" si="25"/>
        <v/>
      </c>
      <c r="AE89" s="48" t="str">
        <f t="shared" si="26"/>
        <v/>
      </c>
      <c r="AF89" s="76" t="str">
        <f t="shared" si="27"/>
        <v/>
      </c>
      <c r="AG89" s="77">
        <f t="shared" si="28"/>
        <v>0</v>
      </c>
      <c r="AH89" s="77">
        <f t="shared" si="29"/>
        <v>0</v>
      </c>
      <c r="AI89" s="76">
        <f t="shared" si="31"/>
        <v>0</v>
      </c>
      <c r="AJ89" s="203"/>
    </row>
    <row r="90" spans="1:36" s="56" customFormat="1" ht="14.25">
      <c r="A90" s="44"/>
      <c r="B90" s="45"/>
      <c r="C90" s="46">
        <f t="shared" si="16"/>
        <v>0</v>
      </c>
      <c r="D90" s="47"/>
      <c r="E90" s="47"/>
      <c r="F90" s="47"/>
      <c r="G90" s="47"/>
      <c r="H90" s="48"/>
      <c r="I90" s="75" t="str">
        <f t="shared" si="17"/>
        <v/>
      </c>
      <c r="J90" s="49"/>
      <c r="K90" s="49"/>
      <c r="L90" s="49"/>
      <c r="M90" s="47"/>
      <c r="N90" s="48" t="str">
        <f t="shared" si="18"/>
        <v/>
      </c>
      <c r="O90" s="48" t="str">
        <f t="shared" si="19"/>
        <v/>
      </c>
      <c r="P90" s="76" t="str">
        <f t="shared" si="20"/>
        <v/>
      </c>
      <c r="Q90" s="77">
        <f t="shared" si="21"/>
        <v>0</v>
      </c>
      <c r="R90" s="77">
        <f t="shared" si="22"/>
        <v>0</v>
      </c>
      <c r="S90" s="76">
        <f t="shared" si="30"/>
        <v>0</v>
      </c>
      <c r="T90" s="47"/>
      <c r="V90" s="57"/>
      <c r="W90" s="45"/>
      <c r="X90" s="46">
        <f t="shared" si="23"/>
        <v>0</v>
      </c>
      <c r="Y90" s="75" t="str">
        <f t="shared" si="24"/>
        <v/>
      </c>
      <c r="Z90" s="49"/>
      <c r="AA90" s="49"/>
      <c r="AB90" s="49"/>
      <c r="AC90" s="204"/>
      <c r="AD90" s="48" t="str">
        <f t="shared" si="25"/>
        <v/>
      </c>
      <c r="AE90" s="48" t="str">
        <f t="shared" si="26"/>
        <v/>
      </c>
      <c r="AF90" s="76" t="str">
        <f t="shared" si="27"/>
        <v/>
      </c>
      <c r="AG90" s="77">
        <f t="shared" si="28"/>
        <v>0</v>
      </c>
      <c r="AH90" s="77">
        <f t="shared" si="29"/>
        <v>0</v>
      </c>
      <c r="AI90" s="76">
        <f t="shared" si="31"/>
        <v>0</v>
      </c>
      <c r="AJ90" s="203"/>
    </row>
    <row r="91" spans="1:36" s="56" customFormat="1" ht="14.25">
      <c r="A91" s="44"/>
      <c r="B91" s="45"/>
      <c r="C91" s="46">
        <f t="shared" si="16"/>
        <v>0</v>
      </c>
      <c r="D91" s="47"/>
      <c r="E91" s="47"/>
      <c r="F91" s="47"/>
      <c r="G91" s="47"/>
      <c r="H91" s="48"/>
      <c r="I91" s="75" t="str">
        <f t="shared" si="17"/>
        <v/>
      </c>
      <c r="J91" s="49"/>
      <c r="K91" s="49"/>
      <c r="L91" s="49"/>
      <c r="M91" s="47"/>
      <c r="N91" s="48" t="str">
        <f t="shared" si="18"/>
        <v/>
      </c>
      <c r="O91" s="48" t="str">
        <f t="shared" si="19"/>
        <v/>
      </c>
      <c r="P91" s="76" t="str">
        <f t="shared" si="20"/>
        <v/>
      </c>
      <c r="Q91" s="77">
        <f t="shared" si="21"/>
        <v>0</v>
      </c>
      <c r="R91" s="77">
        <f t="shared" si="22"/>
        <v>0</v>
      </c>
      <c r="S91" s="76">
        <f t="shared" si="30"/>
        <v>0</v>
      </c>
      <c r="T91" s="47"/>
      <c r="V91" s="57"/>
      <c r="W91" s="45"/>
      <c r="X91" s="46">
        <f t="shared" si="23"/>
        <v>0</v>
      </c>
      <c r="Y91" s="75" t="str">
        <f t="shared" si="24"/>
        <v/>
      </c>
      <c r="Z91" s="49"/>
      <c r="AA91" s="49"/>
      <c r="AB91" s="49"/>
      <c r="AC91" s="204"/>
      <c r="AD91" s="48" t="str">
        <f t="shared" si="25"/>
        <v/>
      </c>
      <c r="AE91" s="48" t="str">
        <f t="shared" si="26"/>
        <v/>
      </c>
      <c r="AF91" s="76" t="str">
        <f t="shared" si="27"/>
        <v/>
      </c>
      <c r="AG91" s="77">
        <f t="shared" si="28"/>
        <v>0</v>
      </c>
      <c r="AH91" s="77">
        <f t="shared" si="29"/>
        <v>0</v>
      </c>
      <c r="AI91" s="76">
        <f t="shared" si="31"/>
        <v>0</v>
      </c>
      <c r="AJ91" s="203"/>
    </row>
    <row r="92" spans="1:36" s="56" customFormat="1" ht="14.25">
      <c r="A92" s="44"/>
      <c r="B92" s="45"/>
      <c r="C92" s="46">
        <f t="shared" si="16"/>
        <v>0</v>
      </c>
      <c r="D92" s="47"/>
      <c r="E92" s="47"/>
      <c r="F92" s="47"/>
      <c r="G92" s="47"/>
      <c r="H92" s="48"/>
      <c r="I92" s="75" t="str">
        <f t="shared" si="17"/>
        <v/>
      </c>
      <c r="J92" s="49"/>
      <c r="K92" s="49"/>
      <c r="L92" s="49"/>
      <c r="M92" s="47"/>
      <c r="N92" s="48" t="str">
        <f t="shared" si="18"/>
        <v/>
      </c>
      <c r="O92" s="48" t="str">
        <f t="shared" si="19"/>
        <v/>
      </c>
      <c r="P92" s="76" t="str">
        <f t="shared" si="20"/>
        <v/>
      </c>
      <c r="Q92" s="77">
        <f t="shared" si="21"/>
        <v>0</v>
      </c>
      <c r="R92" s="77">
        <f t="shared" si="22"/>
        <v>0</v>
      </c>
      <c r="S92" s="76">
        <f t="shared" si="30"/>
        <v>0</v>
      </c>
      <c r="T92" s="47"/>
      <c r="V92" s="57"/>
      <c r="W92" s="45"/>
      <c r="X92" s="46">
        <f t="shared" si="23"/>
        <v>0</v>
      </c>
      <c r="Y92" s="75" t="str">
        <f t="shared" si="24"/>
        <v/>
      </c>
      <c r="Z92" s="49"/>
      <c r="AA92" s="49"/>
      <c r="AB92" s="49"/>
      <c r="AC92" s="204"/>
      <c r="AD92" s="48" t="str">
        <f t="shared" si="25"/>
        <v/>
      </c>
      <c r="AE92" s="48" t="str">
        <f t="shared" si="26"/>
        <v/>
      </c>
      <c r="AF92" s="76" t="str">
        <f t="shared" si="27"/>
        <v/>
      </c>
      <c r="AG92" s="77">
        <f t="shared" si="28"/>
        <v>0</v>
      </c>
      <c r="AH92" s="77">
        <f t="shared" si="29"/>
        <v>0</v>
      </c>
      <c r="AI92" s="76">
        <f t="shared" si="31"/>
        <v>0</v>
      </c>
      <c r="AJ92" s="203"/>
    </row>
    <row r="93" spans="1:36" s="56" customFormat="1" ht="14.25">
      <c r="A93" s="44"/>
      <c r="B93" s="45"/>
      <c r="C93" s="46">
        <f t="shared" si="16"/>
        <v>0</v>
      </c>
      <c r="D93" s="47"/>
      <c r="E93" s="47"/>
      <c r="F93" s="47"/>
      <c r="G93" s="47"/>
      <c r="H93" s="48"/>
      <c r="I93" s="75" t="str">
        <f t="shared" si="17"/>
        <v/>
      </c>
      <c r="J93" s="49"/>
      <c r="K93" s="49"/>
      <c r="L93" s="49"/>
      <c r="M93" s="47"/>
      <c r="N93" s="48" t="str">
        <f t="shared" si="18"/>
        <v/>
      </c>
      <c r="O93" s="48" t="str">
        <f t="shared" si="19"/>
        <v/>
      </c>
      <c r="P93" s="76" t="str">
        <f t="shared" si="20"/>
        <v/>
      </c>
      <c r="Q93" s="77">
        <f t="shared" si="21"/>
        <v>0</v>
      </c>
      <c r="R93" s="77">
        <f t="shared" si="22"/>
        <v>0</v>
      </c>
      <c r="S93" s="76">
        <f t="shared" si="30"/>
        <v>0</v>
      </c>
      <c r="T93" s="47"/>
      <c r="V93" s="57"/>
      <c r="W93" s="45"/>
      <c r="X93" s="46">
        <f t="shared" si="23"/>
        <v>0</v>
      </c>
      <c r="Y93" s="75" t="str">
        <f t="shared" si="24"/>
        <v/>
      </c>
      <c r="Z93" s="49"/>
      <c r="AA93" s="49"/>
      <c r="AB93" s="49"/>
      <c r="AC93" s="204"/>
      <c r="AD93" s="48" t="str">
        <f t="shared" si="25"/>
        <v/>
      </c>
      <c r="AE93" s="48" t="str">
        <f t="shared" si="26"/>
        <v/>
      </c>
      <c r="AF93" s="76" t="str">
        <f t="shared" si="27"/>
        <v/>
      </c>
      <c r="AG93" s="77">
        <f t="shared" si="28"/>
        <v>0</v>
      </c>
      <c r="AH93" s="77">
        <f t="shared" si="29"/>
        <v>0</v>
      </c>
      <c r="AI93" s="76">
        <f t="shared" si="31"/>
        <v>0</v>
      </c>
      <c r="AJ93" s="203"/>
    </row>
    <row r="94" spans="1:36" s="56" customFormat="1" ht="14.25">
      <c r="A94" s="44"/>
      <c r="B94" s="45"/>
      <c r="C94" s="46">
        <f t="shared" si="16"/>
        <v>0</v>
      </c>
      <c r="D94" s="47"/>
      <c r="E94" s="47"/>
      <c r="F94" s="47"/>
      <c r="G94" s="47"/>
      <c r="H94" s="48"/>
      <c r="I94" s="75" t="str">
        <f t="shared" si="17"/>
        <v/>
      </c>
      <c r="J94" s="49"/>
      <c r="K94" s="49"/>
      <c r="L94" s="49"/>
      <c r="M94" s="47"/>
      <c r="N94" s="48" t="str">
        <f t="shared" si="18"/>
        <v/>
      </c>
      <c r="O94" s="48" t="str">
        <f t="shared" si="19"/>
        <v/>
      </c>
      <c r="P94" s="76" t="str">
        <f t="shared" si="20"/>
        <v/>
      </c>
      <c r="Q94" s="77">
        <f t="shared" si="21"/>
        <v>0</v>
      </c>
      <c r="R94" s="77">
        <f t="shared" si="22"/>
        <v>0</v>
      </c>
      <c r="S94" s="76">
        <f t="shared" si="30"/>
        <v>0</v>
      </c>
      <c r="T94" s="47"/>
      <c r="V94" s="57"/>
      <c r="W94" s="45"/>
      <c r="X94" s="46">
        <f t="shared" si="23"/>
        <v>0</v>
      </c>
      <c r="Y94" s="75" t="str">
        <f t="shared" si="24"/>
        <v/>
      </c>
      <c r="Z94" s="49"/>
      <c r="AA94" s="49"/>
      <c r="AB94" s="49"/>
      <c r="AC94" s="204"/>
      <c r="AD94" s="48" t="str">
        <f t="shared" si="25"/>
        <v/>
      </c>
      <c r="AE94" s="48" t="str">
        <f t="shared" si="26"/>
        <v/>
      </c>
      <c r="AF94" s="76" t="str">
        <f t="shared" si="27"/>
        <v/>
      </c>
      <c r="AG94" s="77">
        <f t="shared" si="28"/>
        <v>0</v>
      </c>
      <c r="AH94" s="77">
        <f t="shared" si="29"/>
        <v>0</v>
      </c>
      <c r="AI94" s="76">
        <f t="shared" si="31"/>
        <v>0</v>
      </c>
      <c r="AJ94" s="203"/>
    </row>
    <row r="95" spans="1:36" s="56" customFormat="1" ht="14.25">
      <c r="A95" s="44"/>
      <c r="B95" s="45"/>
      <c r="C95" s="46">
        <f t="shared" si="16"/>
        <v>0</v>
      </c>
      <c r="D95" s="47"/>
      <c r="E95" s="47"/>
      <c r="F95" s="47"/>
      <c r="G95" s="47"/>
      <c r="H95" s="48"/>
      <c r="I95" s="75" t="str">
        <f t="shared" si="17"/>
        <v/>
      </c>
      <c r="J95" s="49"/>
      <c r="K95" s="49"/>
      <c r="L95" s="49"/>
      <c r="M95" s="47"/>
      <c r="N95" s="48" t="str">
        <f t="shared" si="18"/>
        <v/>
      </c>
      <c r="O95" s="48" t="str">
        <f t="shared" si="19"/>
        <v/>
      </c>
      <c r="P95" s="76" t="str">
        <f t="shared" si="20"/>
        <v/>
      </c>
      <c r="Q95" s="77">
        <f t="shared" si="21"/>
        <v>0</v>
      </c>
      <c r="R95" s="77">
        <f t="shared" si="22"/>
        <v>0</v>
      </c>
      <c r="S95" s="76">
        <f t="shared" si="30"/>
        <v>0</v>
      </c>
      <c r="T95" s="47"/>
      <c r="V95" s="57"/>
      <c r="W95" s="45"/>
      <c r="X95" s="46">
        <f t="shared" si="23"/>
        <v>0</v>
      </c>
      <c r="Y95" s="75" t="str">
        <f t="shared" si="24"/>
        <v/>
      </c>
      <c r="Z95" s="49"/>
      <c r="AA95" s="49"/>
      <c r="AB95" s="49"/>
      <c r="AC95" s="204"/>
      <c r="AD95" s="48" t="str">
        <f t="shared" si="25"/>
        <v/>
      </c>
      <c r="AE95" s="48" t="str">
        <f t="shared" si="26"/>
        <v/>
      </c>
      <c r="AF95" s="76" t="str">
        <f t="shared" si="27"/>
        <v/>
      </c>
      <c r="AG95" s="77">
        <f t="shared" si="28"/>
        <v>0</v>
      </c>
      <c r="AH95" s="77">
        <f t="shared" si="29"/>
        <v>0</v>
      </c>
      <c r="AI95" s="76">
        <f t="shared" si="31"/>
        <v>0</v>
      </c>
      <c r="AJ95" s="203"/>
    </row>
    <row r="96" spans="1:36" s="56" customFormat="1" ht="14.25">
      <c r="A96" s="44"/>
      <c r="B96" s="45"/>
      <c r="C96" s="46">
        <f t="shared" si="16"/>
        <v>0</v>
      </c>
      <c r="D96" s="47"/>
      <c r="E96" s="47"/>
      <c r="F96" s="47"/>
      <c r="G96" s="47"/>
      <c r="H96" s="48"/>
      <c r="I96" s="75" t="str">
        <f t="shared" si="17"/>
        <v/>
      </c>
      <c r="J96" s="49"/>
      <c r="K96" s="49"/>
      <c r="L96" s="49"/>
      <c r="M96" s="47"/>
      <c r="N96" s="48" t="str">
        <f t="shared" si="18"/>
        <v/>
      </c>
      <c r="O96" s="48" t="str">
        <f t="shared" si="19"/>
        <v/>
      </c>
      <c r="P96" s="76" t="str">
        <f t="shared" si="20"/>
        <v/>
      </c>
      <c r="Q96" s="77">
        <f t="shared" si="21"/>
        <v>0</v>
      </c>
      <c r="R96" s="77">
        <f t="shared" si="22"/>
        <v>0</v>
      </c>
      <c r="S96" s="76">
        <f t="shared" si="30"/>
        <v>0</v>
      </c>
      <c r="T96" s="47"/>
      <c r="V96" s="57"/>
      <c r="W96" s="45"/>
      <c r="X96" s="46">
        <f t="shared" si="23"/>
        <v>0</v>
      </c>
      <c r="Y96" s="75" t="str">
        <f t="shared" si="24"/>
        <v/>
      </c>
      <c r="Z96" s="49"/>
      <c r="AA96" s="49"/>
      <c r="AB96" s="49"/>
      <c r="AC96" s="204"/>
      <c r="AD96" s="48" t="str">
        <f t="shared" si="25"/>
        <v/>
      </c>
      <c r="AE96" s="48" t="str">
        <f t="shared" si="26"/>
        <v/>
      </c>
      <c r="AF96" s="76" t="str">
        <f t="shared" si="27"/>
        <v/>
      </c>
      <c r="AG96" s="77">
        <f t="shared" si="28"/>
        <v>0</v>
      </c>
      <c r="AH96" s="77">
        <f t="shared" si="29"/>
        <v>0</v>
      </c>
      <c r="AI96" s="76">
        <f t="shared" si="31"/>
        <v>0</v>
      </c>
      <c r="AJ96" s="203"/>
    </row>
    <row r="97" spans="1:36" s="56" customFormat="1" ht="14.25">
      <c r="A97" s="44"/>
      <c r="B97" s="45"/>
      <c r="C97" s="46">
        <f t="shared" si="16"/>
        <v>0</v>
      </c>
      <c r="D97" s="47"/>
      <c r="E97" s="47"/>
      <c r="F97" s="47"/>
      <c r="G97" s="47"/>
      <c r="H97" s="48"/>
      <c r="I97" s="75" t="str">
        <f t="shared" si="17"/>
        <v/>
      </c>
      <c r="J97" s="49"/>
      <c r="K97" s="49"/>
      <c r="L97" s="49"/>
      <c r="M97" s="47"/>
      <c r="N97" s="48" t="str">
        <f t="shared" si="18"/>
        <v/>
      </c>
      <c r="O97" s="48" t="str">
        <f t="shared" si="19"/>
        <v/>
      </c>
      <c r="P97" s="76" t="str">
        <f t="shared" si="20"/>
        <v/>
      </c>
      <c r="Q97" s="77">
        <f t="shared" si="21"/>
        <v>0</v>
      </c>
      <c r="R97" s="77">
        <f t="shared" si="22"/>
        <v>0</v>
      </c>
      <c r="S97" s="76">
        <f t="shared" si="30"/>
        <v>0</v>
      </c>
      <c r="T97" s="47"/>
      <c r="V97" s="57"/>
      <c r="W97" s="45"/>
      <c r="X97" s="46">
        <f t="shared" si="23"/>
        <v>0</v>
      </c>
      <c r="Y97" s="75" t="str">
        <f t="shared" si="24"/>
        <v/>
      </c>
      <c r="Z97" s="49"/>
      <c r="AA97" s="49"/>
      <c r="AB97" s="49"/>
      <c r="AC97" s="204"/>
      <c r="AD97" s="48" t="str">
        <f t="shared" si="25"/>
        <v/>
      </c>
      <c r="AE97" s="48" t="str">
        <f t="shared" si="26"/>
        <v/>
      </c>
      <c r="AF97" s="76" t="str">
        <f t="shared" si="27"/>
        <v/>
      </c>
      <c r="AG97" s="77">
        <f t="shared" si="28"/>
        <v>0</v>
      </c>
      <c r="AH97" s="77">
        <f t="shared" si="29"/>
        <v>0</v>
      </c>
      <c r="AI97" s="76">
        <f t="shared" si="31"/>
        <v>0</v>
      </c>
      <c r="AJ97" s="203"/>
    </row>
    <row r="98" spans="1:36" s="56" customFormat="1" ht="14.25">
      <c r="A98" s="44"/>
      <c r="B98" s="45"/>
      <c r="C98" s="46">
        <f t="shared" si="16"/>
        <v>0</v>
      </c>
      <c r="D98" s="47"/>
      <c r="E98" s="47"/>
      <c r="F98" s="47"/>
      <c r="G98" s="47"/>
      <c r="H98" s="48"/>
      <c r="I98" s="75" t="str">
        <f t="shared" si="17"/>
        <v/>
      </c>
      <c r="J98" s="49"/>
      <c r="K98" s="49"/>
      <c r="L98" s="49"/>
      <c r="M98" s="47"/>
      <c r="N98" s="48" t="str">
        <f t="shared" si="18"/>
        <v/>
      </c>
      <c r="O98" s="48" t="str">
        <f t="shared" si="19"/>
        <v/>
      </c>
      <c r="P98" s="76" t="str">
        <f t="shared" si="20"/>
        <v/>
      </c>
      <c r="Q98" s="77">
        <f t="shared" si="21"/>
        <v>0</v>
      </c>
      <c r="R98" s="77">
        <f t="shared" si="22"/>
        <v>0</v>
      </c>
      <c r="S98" s="76">
        <f t="shared" si="30"/>
        <v>0</v>
      </c>
      <c r="T98" s="47"/>
      <c r="V98" s="57"/>
      <c r="W98" s="45"/>
      <c r="X98" s="46">
        <f t="shared" si="23"/>
        <v>0</v>
      </c>
      <c r="Y98" s="75" t="str">
        <f t="shared" si="24"/>
        <v/>
      </c>
      <c r="Z98" s="49"/>
      <c r="AA98" s="49"/>
      <c r="AB98" s="49"/>
      <c r="AC98" s="204"/>
      <c r="AD98" s="48" t="str">
        <f t="shared" si="25"/>
        <v/>
      </c>
      <c r="AE98" s="48" t="str">
        <f t="shared" si="26"/>
        <v/>
      </c>
      <c r="AF98" s="76" t="str">
        <f t="shared" si="27"/>
        <v/>
      </c>
      <c r="AG98" s="77">
        <f t="shared" si="28"/>
        <v>0</v>
      </c>
      <c r="AH98" s="77">
        <f t="shared" si="29"/>
        <v>0</v>
      </c>
      <c r="AI98" s="76">
        <f t="shared" si="31"/>
        <v>0</v>
      </c>
      <c r="AJ98" s="203"/>
    </row>
    <row r="99" spans="1:36" s="56" customFormat="1" ht="14.25">
      <c r="A99" s="44"/>
      <c r="B99" s="45"/>
      <c r="C99" s="46">
        <f t="shared" si="16"/>
        <v>0</v>
      </c>
      <c r="D99" s="47"/>
      <c r="E99" s="47"/>
      <c r="F99" s="47"/>
      <c r="G99" s="47"/>
      <c r="H99" s="48"/>
      <c r="I99" s="75" t="str">
        <f t="shared" si="17"/>
        <v/>
      </c>
      <c r="J99" s="49"/>
      <c r="K99" s="49"/>
      <c r="L99" s="49"/>
      <c r="M99" s="47"/>
      <c r="N99" s="48" t="str">
        <f t="shared" si="18"/>
        <v/>
      </c>
      <c r="O99" s="48" t="str">
        <f t="shared" si="19"/>
        <v/>
      </c>
      <c r="P99" s="76" t="str">
        <f t="shared" si="20"/>
        <v/>
      </c>
      <c r="Q99" s="77">
        <f t="shared" si="21"/>
        <v>0</v>
      </c>
      <c r="R99" s="77">
        <f t="shared" si="22"/>
        <v>0</v>
      </c>
      <c r="S99" s="76">
        <f t="shared" si="30"/>
        <v>0</v>
      </c>
      <c r="T99" s="47"/>
      <c r="V99" s="57"/>
      <c r="W99" s="45"/>
      <c r="X99" s="46">
        <f t="shared" si="23"/>
        <v>0</v>
      </c>
      <c r="Y99" s="75" t="str">
        <f t="shared" si="24"/>
        <v/>
      </c>
      <c r="Z99" s="49"/>
      <c r="AA99" s="49"/>
      <c r="AB99" s="49"/>
      <c r="AC99" s="204"/>
      <c r="AD99" s="48" t="str">
        <f t="shared" si="25"/>
        <v/>
      </c>
      <c r="AE99" s="48" t="str">
        <f t="shared" si="26"/>
        <v/>
      </c>
      <c r="AF99" s="76" t="str">
        <f t="shared" si="27"/>
        <v/>
      </c>
      <c r="AG99" s="77">
        <f t="shared" si="28"/>
        <v>0</v>
      </c>
      <c r="AH99" s="77">
        <f t="shared" si="29"/>
        <v>0</v>
      </c>
      <c r="AI99" s="76">
        <f t="shared" si="31"/>
        <v>0</v>
      </c>
      <c r="AJ99" s="203"/>
    </row>
    <row r="100" spans="1:36" s="56" customFormat="1" ht="14.25">
      <c r="A100" s="44"/>
      <c r="B100" s="45"/>
      <c r="C100" s="46">
        <f t="shared" si="16"/>
        <v>0</v>
      </c>
      <c r="D100" s="47"/>
      <c r="E100" s="47"/>
      <c r="F100" s="47"/>
      <c r="G100" s="47"/>
      <c r="H100" s="48"/>
      <c r="I100" s="75" t="str">
        <f t="shared" si="17"/>
        <v/>
      </c>
      <c r="J100" s="49"/>
      <c r="K100" s="49"/>
      <c r="L100" s="49"/>
      <c r="M100" s="47"/>
      <c r="N100" s="48" t="str">
        <f t="shared" si="18"/>
        <v/>
      </c>
      <c r="O100" s="48" t="str">
        <f t="shared" si="19"/>
        <v/>
      </c>
      <c r="P100" s="76" t="str">
        <f t="shared" si="20"/>
        <v/>
      </c>
      <c r="Q100" s="77">
        <f t="shared" si="21"/>
        <v>0</v>
      </c>
      <c r="R100" s="77">
        <f t="shared" si="22"/>
        <v>0</v>
      </c>
      <c r="S100" s="76">
        <f t="shared" si="30"/>
        <v>0</v>
      </c>
      <c r="T100" s="47"/>
      <c r="V100" s="57"/>
      <c r="W100" s="45"/>
      <c r="X100" s="46">
        <f t="shared" si="23"/>
        <v>0</v>
      </c>
      <c r="Y100" s="75" t="str">
        <f t="shared" si="24"/>
        <v/>
      </c>
      <c r="Z100" s="49"/>
      <c r="AA100" s="49"/>
      <c r="AB100" s="49"/>
      <c r="AC100" s="204"/>
      <c r="AD100" s="48" t="str">
        <f t="shared" si="25"/>
        <v/>
      </c>
      <c r="AE100" s="48" t="str">
        <f t="shared" si="26"/>
        <v/>
      </c>
      <c r="AF100" s="76" t="str">
        <f t="shared" si="27"/>
        <v/>
      </c>
      <c r="AG100" s="77">
        <f t="shared" si="28"/>
        <v>0</v>
      </c>
      <c r="AH100" s="77">
        <f t="shared" si="29"/>
        <v>0</v>
      </c>
      <c r="AI100" s="76">
        <f t="shared" si="31"/>
        <v>0</v>
      </c>
      <c r="AJ100" s="203"/>
    </row>
    <row r="101" spans="1:36" s="56" customFormat="1" ht="14.25">
      <c r="A101" s="44"/>
      <c r="B101" s="45"/>
      <c r="C101" s="46">
        <f t="shared" si="16"/>
        <v>0</v>
      </c>
      <c r="D101" s="47"/>
      <c r="E101" s="47"/>
      <c r="F101" s="47"/>
      <c r="G101" s="47"/>
      <c r="H101" s="48"/>
      <c r="I101" s="75" t="str">
        <f t="shared" si="17"/>
        <v/>
      </c>
      <c r="J101" s="49"/>
      <c r="K101" s="49"/>
      <c r="L101" s="49"/>
      <c r="M101" s="47"/>
      <c r="N101" s="48" t="str">
        <f t="shared" si="18"/>
        <v/>
      </c>
      <c r="O101" s="48" t="str">
        <f t="shared" si="19"/>
        <v/>
      </c>
      <c r="P101" s="76" t="str">
        <f t="shared" si="20"/>
        <v/>
      </c>
      <c r="Q101" s="77">
        <f t="shared" si="21"/>
        <v>0</v>
      </c>
      <c r="R101" s="77">
        <f t="shared" si="22"/>
        <v>0</v>
      </c>
      <c r="S101" s="76">
        <f t="shared" si="30"/>
        <v>0</v>
      </c>
      <c r="T101" s="47"/>
      <c r="V101" s="57"/>
      <c r="W101" s="45"/>
      <c r="X101" s="46">
        <f t="shared" si="23"/>
        <v>0</v>
      </c>
      <c r="Y101" s="75" t="str">
        <f t="shared" si="24"/>
        <v/>
      </c>
      <c r="Z101" s="49"/>
      <c r="AA101" s="49"/>
      <c r="AB101" s="49"/>
      <c r="AC101" s="204"/>
      <c r="AD101" s="48" t="str">
        <f t="shared" si="25"/>
        <v/>
      </c>
      <c r="AE101" s="48" t="str">
        <f t="shared" si="26"/>
        <v/>
      </c>
      <c r="AF101" s="76" t="str">
        <f t="shared" si="27"/>
        <v/>
      </c>
      <c r="AG101" s="77">
        <f t="shared" si="28"/>
        <v>0</v>
      </c>
      <c r="AH101" s="77">
        <f t="shared" si="29"/>
        <v>0</v>
      </c>
      <c r="AI101" s="76">
        <f t="shared" si="31"/>
        <v>0</v>
      </c>
      <c r="AJ101" s="203"/>
    </row>
    <row r="102" spans="1:36" s="56" customFormat="1" ht="14.25">
      <c r="A102" s="44"/>
      <c r="B102" s="45"/>
      <c r="C102" s="46">
        <f t="shared" si="16"/>
        <v>0</v>
      </c>
      <c r="D102" s="47"/>
      <c r="E102" s="47"/>
      <c r="F102" s="47"/>
      <c r="G102" s="47"/>
      <c r="H102" s="48"/>
      <c r="I102" s="75" t="str">
        <f t="shared" si="17"/>
        <v/>
      </c>
      <c r="J102" s="49"/>
      <c r="K102" s="49"/>
      <c r="L102" s="49"/>
      <c r="M102" s="47"/>
      <c r="N102" s="48" t="str">
        <f t="shared" si="18"/>
        <v/>
      </c>
      <c r="O102" s="48" t="str">
        <f t="shared" si="19"/>
        <v/>
      </c>
      <c r="P102" s="76" t="str">
        <f t="shared" si="20"/>
        <v/>
      </c>
      <c r="Q102" s="77">
        <f t="shared" si="21"/>
        <v>0</v>
      </c>
      <c r="R102" s="77">
        <f t="shared" si="22"/>
        <v>0</v>
      </c>
      <c r="S102" s="76">
        <f t="shared" si="30"/>
        <v>0</v>
      </c>
      <c r="T102" s="47"/>
      <c r="V102" s="57"/>
      <c r="W102" s="45"/>
      <c r="X102" s="46">
        <f t="shared" si="23"/>
        <v>0</v>
      </c>
      <c r="Y102" s="75" t="str">
        <f t="shared" si="24"/>
        <v/>
      </c>
      <c r="Z102" s="49"/>
      <c r="AA102" s="49"/>
      <c r="AB102" s="49"/>
      <c r="AC102" s="204"/>
      <c r="AD102" s="48" t="str">
        <f t="shared" si="25"/>
        <v/>
      </c>
      <c r="AE102" s="48" t="str">
        <f t="shared" si="26"/>
        <v/>
      </c>
      <c r="AF102" s="76" t="str">
        <f t="shared" si="27"/>
        <v/>
      </c>
      <c r="AG102" s="77">
        <f t="shared" si="28"/>
        <v>0</v>
      </c>
      <c r="AH102" s="77">
        <f t="shared" si="29"/>
        <v>0</v>
      </c>
      <c r="AI102" s="76">
        <f t="shared" si="31"/>
        <v>0</v>
      </c>
      <c r="AJ102" s="203"/>
    </row>
    <row r="103" spans="1:36" s="56" customFormat="1" ht="14.25">
      <c r="A103" s="44"/>
      <c r="B103" s="45"/>
      <c r="C103" s="46">
        <f t="shared" si="16"/>
        <v>0</v>
      </c>
      <c r="D103" s="47"/>
      <c r="E103" s="47"/>
      <c r="F103" s="47"/>
      <c r="G103" s="47"/>
      <c r="H103" s="48"/>
      <c r="I103" s="75" t="str">
        <f t="shared" si="17"/>
        <v/>
      </c>
      <c r="J103" s="49"/>
      <c r="K103" s="49"/>
      <c r="L103" s="49"/>
      <c r="M103" s="47"/>
      <c r="N103" s="48" t="str">
        <f t="shared" si="18"/>
        <v/>
      </c>
      <c r="O103" s="48" t="str">
        <f t="shared" si="19"/>
        <v/>
      </c>
      <c r="P103" s="76" t="str">
        <f t="shared" si="20"/>
        <v/>
      </c>
      <c r="Q103" s="77">
        <f t="shared" si="21"/>
        <v>0</v>
      </c>
      <c r="R103" s="77">
        <f t="shared" si="22"/>
        <v>0</v>
      </c>
      <c r="S103" s="76">
        <f t="shared" si="30"/>
        <v>0</v>
      </c>
      <c r="T103" s="47"/>
      <c r="V103" s="57"/>
      <c r="W103" s="45"/>
      <c r="X103" s="46">
        <f t="shared" si="23"/>
        <v>0</v>
      </c>
      <c r="Y103" s="75" t="str">
        <f t="shared" si="24"/>
        <v/>
      </c>
      <c r="Z103" s="49"/>
      <c r="AA103" s="49"/>
      <c r="AB103" s="49"/>
      <c r="AC103" s="204"/>
      <c r="AD103" s="48" t="str">
        <f t="shared" si="25"/>
        <v/>
      </c>
      <c r="AE103" s="48" t="str">
        <f t="shared" si="26"/>
        <v/>
      </c>
      <c r="AF103" s="76" t="str">
        <f t="shared" si="27"/>
        <v/>
      </c>
      <c r="AG103" s="77">
        <f t="shared" si="28"/>
        <v>0</v>
      </c>
      <c r="AH103" s="77">
        <f t="shared" si="29"/>
        <v>0</v>
      </c>
      <c r="AI103" s="76">
        <f t="shared" si="31"/>
        <v>0</v>
      </c>
      <c r="AJ103" s="203"/>
    </row>
    <row r="104" spans="1:36" s="56" customFormat="1" ht="14.25">
      <c r="A104" s="44"/>
      <c r="B104" s="45"/>
      <c r="C104" s="46">
        <f t="shared" si="16"/>
        <v>0</v>
      </c>
      <c r="D104" s="47"/>
      <c r="E104" s="47"/>
      <c r="F104" s="47"/>
      <c r="G104" s="47"/>
      <c r="H104" s="48"/>
      <c r="I104" s="75" t="str">
        <f t="shared" si="17"/>
        <v/>
      </c>
      <c r="J104" s="49"/>
      <c r="K104" s="49"/>
      <c r="L104" s="49"/>
      <c r="M104" s="47"/>
      <c r="N104" s="48" t="str">
        <f t="shared" si="18"/>
        <v/>
      </c>
      <c r="O104" s="48" t="str">
        <f t="shared" si="19"/>
        <v/>
      </c>
      <c r="P104" s="76" t="str">
        <f t="shared" si="20"/>
        <v/>
      </c>
      <c r="Q104" s="77">
        <f t="shared" si="21"/>
        <v>0</v>
      </c>
      <c r="R104" s="77">
        <f t="shared" si="22"/>
        <v>0</v>
      </c>
      <c r="S104" s="76">
        <f t="shared" si="30"/>
        <v>0</v>
      </c>
      <c r="T104" s="47"/>
      <c r="V104" s="57"/>
      <c r="W104" s="45"/>
      <c r="X104" s="46">
        <f t="shared" si="23"/>
        <v>0</v>
      </c>
      <c r="Y104" s="75" t="str">
        <f t="shared" si="24"/>
        <v/>
      </c>
      <c r="Z104" s="49"/>
      <c r="AA104" s="49"/>
      <c r="AB104" s="49"/>
      <c r="AC104" s="204"/>
      <c r="AD104" s="48" t="str">
        <f t="shared" si="25"/>
        <v/>
      </c>
      <c r="AE104" s="48" t="str">
        <f t="shared" si="26"/>
        <v/>
      </c>
      <c r="AF104" s="76" t="str">
        <f t="shared" si="27"/>
        <v/>
      </c>
      <c r="AG104" s="77">
        <f t="shared" si="28"/>
        <v>0</v>
      </c>
      <c r="AH104" s="77">
        <f t="shared" si="29"/>
        <v>0</v>
      </c>
      <c r="AI104" s="76">
        <f t="shared" si="31"/>
        <v>0</v>
      </c>
      <c r="AJ104" s="203"/>
    </row>
    <row r="105" spans="1:36" s="56" customFormat="1" ht="14.25">
      <c r="A105" s="44"/>
      <c r="B105" s="45"/>
      <c r="C105" s="46">
        <f t="shared" si="16"/>
        <v>0</v>
      </c>
      <c r="D105" s="47"/>
      <c r="E105" s="47"/>
      <c r="F105" s="47"/>
      <c r="G105" s="47"/>
      <c r="H105" s="48"/>
      <c r="I105" s="75" t="str">
        <f t="shared" si="17"/>
        <v/>
      </c>
      <c r="J105" s="49"/>
      <c r="K105" s="49"/>
      <c r="L105" s="49"/>
      <c r="M105" s="47"/>
      <c r="N105" s="48" t="str">
        <f t="shared" si="18"/>
        <v/>
      </c>
      <c r="O105" s="48" t="str">
        <f t="shared" si="19"/>
        <v/>
      </c>
      <c r="P105" s="76" t="str">
        <f t="shared" si="20"/>
        <v/>
      </c>
      <c r="Q105" s="77">
        <f t="shared" si="21"/>
        <v>0</v>
      </c>
      <c r="R105" s="77">
        <f t="shared" si="22"/>
        <v>0</v>
      </c>
      <c r="S105" s="76">
        <f t="shared" si="30"/>
        <v>0</v>
      </c>
      <c r="T105" s="47"/>
      <c r="V105" s="57"/>
      <c r="W105" s="45"/>
      <c r="X105" s="46">
        <f t="shared" si="23"/>
        <v>0</v>
      </c>
      <c r="Y105" s="75" t="str">
        <f t="shared" si="24"/>
        <v/>
      </c>
      <c r="Z105" s="49"/>
      <c r="AA105" s="49"/>
      <c r="AB105" s="49"/>
      <c r="AC105" s="204"/>
      <c r="AD105" s="48" t="str">
        <f t="shared" si="25"/>
        <v/>
      </c>
      <c r="AE105" s="48" t="str">
        <f t="shared" si="26"/>
        <v/>
      </c>
      <c r="AF105" s="76" t="str">
        <f t="shared" si="27"/>
        <v/>
      </c>
      <c r="AG105" s="77">
        <f t="shared" si="28"/>
        <v>0</v>
      </c>
      <c r="AH105" s="77">
        <f t="shared" si="29"/>
        <v>0</v>
      </c>
      <c r="AI105" s="76">
        <f t="shared" si="31"/>
        <v>0</v>
      </c>
      <c r="AJ105" s="203"/>
    </row>
    <row r="106" spans="1:36" s="56" customFormat="1" ht="14.25">
      <c r="A106" s="44"/>
      <c r="B106" s="45"/>
      <c r="C106" s="46">
        <f t="shared" si="16"/>
        <v>0</v>
      </c>
      <c r="D106" s="47"/>
      <c r="E106" s="47"/>
      <c r="F106" s="47"/>
      <c r="G106" s="47"/>
      <c r="H106" s="48"/>
      <c r="I106" s="75" t="str">
        <f t="shared" si="17"/>
        <v/>
      </c>
      <c r="J106" s="49"/>
      <c r="K106" s="49"/>
      <c r="L106" s="49"/>
      <c r="M106" s="47"/>
      <c r="N106" s="48" t="str">
        <f t="shared" si="18"/>
        <v/>
      </c>
      <c r="O106" s="48" t="str">
        <f t="shared" si="19"/>
        <v/>
      </c>
      <c r="P106" s="76" t="str">
        <f t="shared" si="20"/>
        <v/>
      </c>
      <c r="Q106" s="77">
        <f t="shared" si="21"/>
        <v>0</v>
      </c>
      <c r="R106" s="77">
        <f t="shared" si="22"/>
        <v>0</v>
      </c>
      <c r="S106" s="76">
        <f t="shared" si="30"/>
        <v>0</v>
      </c>
      <c r="T106" s="47"/>
      <c r="V106" s="57"/>
      <c r="W106" s="45"/>
      <c r="X106" s="46">
        <f t="shared" si="23"/>
        <v>0</v>
      </c>
      <c r="Y106" s="75" t="str">
        <f t="shared" si="24"/>
        <v/>
      </c>
      <c r="Z106" s="49"/>
      <c r="AA106" s="49"/>
      <c r="AB106" s="49"/>
      <c r="AC106" s="204"/>
      <c r="AD106" s="48" t="str">
        <f t="shared" si="25"/>
        <v/>
      </c>
      <c r="AE106" s="48" t="str">
        <f t="shared" si="26"/>
        <v/>
      </c>
      <c r="AF106" s="76" t="str">
        <f t="shared" si="27"/>
        <v/>
      </c>
      <c r="AG106" s="77">
        <f t="shared" si="28"/>
        <v>0</v>
      </c>
      <c r="AH106" s="77">
        <f t="shared" si="29"/>
        <v>0</v>
      </c>
      <c r="AI106" s="76">
        <f t="shared" si="31"/>
        <v>0</v>
      </c>
      <c r="AJ106" s="203"/>
    </row>
    <row r="107" spans="1:36" s="56" customFormat="1" ht="14.25">
      <c r="A107" s="44"/>
      <c r="B107" s="45"/>
      <c r="C107" s="46">
        <f t="shared" si="16"/>
        <v>0</v>
      </c>
      <c r="D107" s="47"/>
      <c r="E107" s="47"/>
      <c r="F107" s="47"/>
      <c r="G107" s="47"/>
      <c r="H107" s="48"/>
      <c r="I107" s="75" t="str">
        <f t="shared" si="17"/>
        <v/>
      </c>
      <c r="J107" s="49"/>
      <c r="K107" s="49"/>
      <c r="L107" s="49"/>
      <c r="M107" s="47"/>
      <c r="N107" s="48" t="str">
        <f t="shared" si="18"/>
        <v/>
      </c>
      <c r="O107" s="48" t="str">
        <f t="shared" si="19"/>
        <v/>
      </c>
      <c r="P107" s="76" t="str">
        <f t="shared" si="20"/>
        <v/>
      </c>
      <c r="Q107" s="77">
        <f t="shared" si="21"/>
        <v>0</v>
      </c>
      <c r="R107" s="77">
        <f t="shared" si="22"/>
        <v>0</v>
      </c>
      <c r="S107" s="76">
        <f t="shared" si="30"/>
        <v>0</v>
      </c>
      <c r="T107" s="47"/>
      <c r="V107" s="57"/>
      <c r="W107" s="45"/>
      <c r="X107" s="46">
        <f t="shared" si="23"/>
        <v>0</v>
      </c>
      <c r="Y107" s="75" t="str">
        <f t="shared" si="24"/>
        <v/>
      </c>
      <c r="Z107" s="49"/>
      <c r="AA107" s="49"/>
      <c r="AB107" s="49"/>
      <c r="AC107" s="204"/>
      <c r="AD107" s="48" t="str">
        <f t="shared" si="25"/>
        <v/>
      </c>
      <c r="AE107" s="48" t="str">
        <f t="shared" si="26"/>
        <v/>
      </c>
      <c r="AF107" s="76" t="str">
        <f t="shared" si="27"/>
        <v/>
      </c>
      <c r="AG107" s="77">
        <f t="shared" si="28"/>
        <v>0</v>
      </c>
      <c r="AH107" s="77">
        <f t="shared" si="29"/>
        <v>0</v>
      </c>
      <c r="AI107" s="76">
        <f t="shared" si="31"/>
        <v>0</v>
      </c>
      <c r="AJ107" s="203"/>
    </row>
    <row r="108" spans="1:36" s="56" customFormat="1" ht="14.25">
      <c r="A108" s="44"/>
      <c r="B108" s="45"/>
      <c r="C108" s="46">
        <f t="shared" si="16"/>
        <v>0</v>
      </c>
      <c r="D108" s="47"/>
      <c r="E108" s="47"/>
      <c r="F108" s="47"/>
      <c r="G108" s="47"/>
      <c r="H108" s="48"/>
      <c r="I108" s="75" t="str">
        <f t="shared" si="17"/>
        <v/>
      </c>
      <c r="J108" s="49"/>
      <c r="K108" s="49"/>
      <c r="L108" s="49"/>
      <c r="M108" s="47"/>
      <c r="N108" s="48" t="str">
        <f t="shared" si="18"/>
        <v/>
      </c>
      <c r="O108" s="48" t="str">
        <f t="shared" si="19"/>
        <v/>
      </c>
      <c r="P108" s="76" t="str">
        <f t="shared" si="20"/>
        <v/>
      </c>
      <c r="Q108" s="77">
        <f t="shared" si="21"/>
        <v>0</v>
      </c>
      <c r="R108" s="77">
        <f t="shared" si="22"/>
        <v>0</v>
      </c>
      <c r="S108" s="76">
        <f t="shared" si="30"/>
        <v>0</v>
      </c>
      <c r="T108" s="47"/>
      <c r="V108" s="57"/>
      <c r="W108" s="45"/>
      <c r="X108" s="46">
        <f t="shared" si="23"/>
        <v>0</v>
      </c>
      <c r="Y108" s="75" t="str">
        <f t="shared" si="24"/>
        <v/>
      </c>
      <c r="Z108" s="49"/>
      <c r="AA108" s="49"/>
      <c r="AB108" s="49"/>
      <c r="AC108" s="204"/>
      <c r="AD108" s="48" t="str">
        <f t="shared" si="25"/>
        <v/>
      </c>
      <c r="AE108" s="48" t="str">
        <f t="shared" si="26"/>
        <v/>
      </c>
      <c r="AF108" s="76" t="str">
        <f t="shared" si="27"/>
        <v/>
      </c>
      <c r="AG108" s="77">
        <f t="shared" si="28"/>
        <v>0</v>
      </c>
      <c r="AH108" s="77">
        <f t="shared" si="29"/>
        <v>0</v>
      </c>
      <c r="AI108" s="76">
        <f t="shared" si="31"/>
        <v>0</v>
      </c>
      <c r="AJ108" s="203"/>
    </row>
    <row r="109" spans="1:36" s="56" customFormat="1" ht="14.25">
      <c r="A109" s="44"/>
      <c r="B109" s="45"/>
      <c r="C109" s="46">
        <f t="shared" si="16"/>
        <v>0</v>
      </c>
      <c r="D109" s="47"/>
      <c r="E109" s="47"/>
      <c r="F109" s="47"/>
      <c r="G109" s="47"/>
      <c r="H109" s="48"/>
      <c r="I109" s="75" t="str">
        <f t="shared" si="17"/>
        <v/>
      </c>
      <c r="J109" s="49"/>
      <c r="K109" s="49"/>
      <c r="L109" s="49"/>
      <c r="M109" s="47"/>
      <c r="N109" s="48" t="str">
        <f t="shared" si="18"/>
        <v/>
      </c>
      <c r="O109" s="48" t="str">
        <f t="shared" si="19"/>
        <v/>
      </c>
      <c r="P109" s="76" t="str">
        <f t="shared" si="20"/>
        <v/>
      </c>
      <c r="Q109" s="77">
        <f t="shared" si="21"/>
        <v>0</v>
      </c>
      <c r="R109" s="77">
        <f t="shared" si="22"/>
        <v>0</v>
      </c>
      <c r="S109" s="76">
        <f t="shared" si="30"/>
        <v>0</v>
      </c>
      <c r="T109" s="47"/>
      <c r="V109" s="57"/>
      <c r="W109" s="45"/>
      <c r="X109" s="46">
        <f t="shared" si="23"/>
        <v>0</v>
      </c>
      <c r="Y109" s="75" t="str">
        <f t="shared" si="24"/>
        <v/>
      </c>
      <c r="Z109" s="49"/>
      <c r="AA109" s="49"/>
      <c r="AB109" s="49"/>
      <c r="AC109" s="204"/>
      <c r="AD109" s="48" t="str">
        <f t="shared" si="25"/>
        <v/>
      </c>
      <c r="AE109" s="48" t="str">
        <f t="shared" si="26"/>
        <v/>
      </c>
      <c r="AF109" s="76" t="str">
        <f t="shared" si="27"/>
        <v/>
      </c>
      <c r="AG109" s="77">
        <f t="shared" si="28"/>
        <v>0</v>
      </c>
      <c r="AH109" s="77">
        <f t="shared" si="29"/>
        <v>0</v>
      </c>
      <c r="AI109" s="76">
        <f t="shared" si="31"/>
        <v>0</v>
      </c>
      <c r="AJ109" s="203"/>
    </row>
    <row r="110" spans="1:36" s="56" customFormat="1" ht="14.25">
      <c r="A110" s="44"/>
      <c r="B110" s="45"/>
      <c r="C110" s="46">
        <f t="shared" si="16"/>
        <v>0</v>
      </c>
      <c r="D110" s="47"/>
      <c r="E110" s="47"/>
      <c r="F110" s="47"/>
      <c r="G110" s="47"/>
      <c r="H110" s="48"/>
      <c r="I110" s="75" t="str">
        <f t="shared" si="17"/>
        <v/>
      </c>
      <c r="J110" s="49"/>
      <c r="K110" s="49"/>
      <c r="L110" s="49"/>
      <c r="M110" s="47"/>
      <c r="N110" s="48" t="str">
        <f t="shared" si="18"/>
        <v/>
      </c>
      <c r="O110" s="48" t="str">
        <f t="shared" si="19"/>
        <v/>
      </c>
      <c r="P110" s="76" t="str">
        <f t="shared" si="20"/>
        <v/>
      </c>
      <c r="Q110" s="77">
        <f t="shared" si="21"/>
        <v>0</v>
      </c>
      <c r="R110" s="77">
        <f t="shared" si="22"/>
        <v>0</v>
      </c>
      <c r="S110" s="76">
        <f t="shared" si="30"/>
        <v>0</v>
      </c>
      <c r="T110" s="47"/>
      <c r="V110" s="57"/>
      <c r="W110" s="45"/>
      <c r="X110" s="46">
        <f t="shared" si="23"/>
        <v>0</v>
      </c>
      <c r="Y110" s="75" t="str">
        <f t="shared" si="24"/>
        <v/>
      </c>
      <c r="Z110" s="49"/>
      <c r="AA110" s="49"/>
      <c r="AB110" s="49"/>
      <c r="AC110" s="204"/>
      <c r="AD110" s="48" t="str">
        <f t="shared" si="25"/>
        <v/>
      </c>
      <c r="AE110" s="48" t="str">
        <f t="shared" si="26"/>
        <v/>
      </c>
      <c r="AF110" s="76" t="str">
        <f t="shared" si="27"/>
        <v/>
      </c>
      <c r="AG110" s="77">
        <f t="shared" si="28"/>
        <v>0</v>
      </c>
      <c r="AH110" s="77">
        <f t="shared" si="29"/>
        <v>0</v>
      </c>
      <c r="AI110" s="76">
        <f t="shared" si="31"/>
        <v>0</v>
      </c>
      <c r="AJ110" s="203"/>
    </row>
    <row r="111" spans="1:36" s="56" customFormat="1" ht="14.25">
      <c r="A111" s="44"/>
      <c r="B111" s="45"/>
      <c r="C111" s="46">
        <f t="shared" si="16"/>
        <v>0</v>
      </c>
      <c r="D111" s="47"/>
      <c r="E111" s="47"/>
      <c r="F111" s="47"/>
      <c r="G111" s="47"/>
      <c r="H111" s="48"/>
      <c r="I111" s="75" t="str">
        <f t="shared" si="17"/>
        <v/>
      </c>
      <c r="J111" s="49"/>
      <c r="K111" s="49"/>
      <c r="L111" s="49"/>
      <c r="M111" s="47"/>
      <c r="N111" s="48" t="str">
        <f t="shared" si="18"/>
        <v/>
      </c>
      <c r="O111" s="48" t="str">
        <f t="shared" si="19"/>
        <v/>
      </c>
      <c r="P111" s="76" t="str">
        <f t="shared" si="20"/>
        <v/>
      </c>
      <c r="Q111" s="77">
        <f t="shared" si="21"/>
        <v>0</v>
      </c>
      <c r="R111" s="77">
        <f t="shared" si="22"/>
        <v>0</v>
      </c>
      <c r="S111" s="76">
        <f t="shared" si="30"/>
        <v>0</v>
      </c>
      <c r="T111" s="47"/>
      <c r="V111" s="57"/>
      <c r="W111" s="45"/>
      <c r="X111" s="46">
        <f t="shared" si="23"/>
        <v>0</v>
      </c>
      <c r="Y111" s="75" t="str">
        <f t="shared" si="24"/>
        <v/>
      </c>
      <c r="Z111" s="49"/>
      <c r="AA111" s="49"/>
      <c r="AB111" s="49"/>
      <c r="AC111" s="204"/>
      <c r="AD111" s="48" t="str">
        <f t="shared" si="25"/>
        <v/>
      </c>
      <c r="AE111" s="48" t="str">
        <f t="shared" si="26"/>
        <v/>
      </c>
      <c r="AF111" s="76" t="str">
        <f t="shared" si="27"/>
        <v/>
      </c>
      <c r="AG111" s="77">
        <f t="shared" si="28"/>
        <v>0</v>
      </c>
      <c r="AH111" s="77">
        <f t="shared" si="29"/>
        <v>0</v>
      </c>
      <c r="AI111" s="76">
        <f t="shared" si="31"/>
        <v>0</v>
      </c>
      <c r="AJ111" s="203"/>
    </row>
    <row r="112" spans="1:36" s="56" customFormat="1" ht="14.25">
      <c r="A112" s="44"/>
      <c r="B112" s="45"/>
      <c r="C112" s="46">
        <f t="shared" si="16"/>
        <v>0</v>
      </c>
      <c r="D112" s="47"/>
      <c r="E112" s="47"/>
      <c r="F112" s="47"/>
      <c r="G112" s="47"/>
      <c r="H112" s="48"/>
      <c r="I112" s="75" t="str">
        <f t="shared" si="17"/>
        <v/>
      </c>
      <c r="J112" s="49"/>
      <c r="K112" s="49"/>
      <c r="L112" s="49"/>
      <c r="M112" s="47"/>
      <c r="N112" s="48" t="str">
        <f t="shared" si="18"/>
        <v/>
      </c>
      <c r="O112" s="48" t="str">
        <f t="shared" si="19"/>
        <v/>
      </c>
      <c r="P112" s="76" t="str">
        <f t="shared" si="20"/>
        <v/>
      </c>
      <c r="Q112" s="77">
        <f t="shared" si="21"/>
        <v>0</v>
      </c>
      <c r="R112" s="77">
        <f t="shared" si="22"/>
        <v>0</v>
      </c>
      <c r="S112" s="76">
        <f t="shared" si="30"/>
        <v>0</v>
      </c>
      <c r="T112" s="47"/>
      <c r="V112" s="57"/>
      <c r="W112" s="45"/>
      <c r="X112" s="46">
        <f t="shared" si="23"/>
        <v>0</v>
      </c>
      <c r="Y112" s="75" t="str">
        <f t="shared" si="24"/>
        <v/>
      </c>
      <c r="Z112" s="49"/>
      <c r="AA112" s="49"/>
      <c r="AB112" s="49"/>
      <c r="AC112" s="204"/>
      <c r="AD112" s="48" t="str">
        <f t="shared" si="25"/>
        <v/>
      </c>
      <c r="AE112" s="48" t="str">
        <f t="shared" si="26"/>
        <v/>
      </c>
      <c r="AF112" s="76" t="str">
        <f t="shared" si="27"/>
        <v/>
      </c>
      <c r="AG112" s="77">
        <f t="shared" si="28"/>
        <v>0</v>
      </c>
      <c r="AH112" s="77">
        <f t="shared" si="29"/>
        <v>0</v>
      </c>
      <c r="AI112" s="76">
        <f t="shared" si="31"/>
        <v>0</v>
      </c>
      <c r="AJ112" s="203"/>
    </row>
    <row r="113" spans="1:36" s="56" customFormat="1" ht="14.25">
      <c r="A113" s="44"/>
      <c r="B113" s="45"/>
      <c r="C113" s="46">
        <f t="shared" si="16"/>
        <v>0</v>
      </c>
      <c r="D113" s="47"/>
      <c r="E113" s="47"/>
      <c r="F113" s="47"/>
      <c r="G113" s="47"/>
      <c r="H113" s="48"/>
      <c r="I113" s="75" t="str">
        <f t="shared" si="17"/>
        <v/>
      </c>
      <c r="J113" s="49"/>
      <c r="K113" s="49"/>
      <c r="L113" s="49"/>
      <c r="M113" s="47"/>
      <c r="N113" s="48" t="str">
        <f t="shared" si="18"/>
        <v/>
      </c>
      <c r="O113" s="48" t="str">
        <f t="shared" si="19"/>
        <v/>
      </c>
      <c r="P113" s="76" t="str">
        <f t="shared" si="20"/>
        <v/>
      </c>
      <c r="Q113" s="77">
        <f t="shared" si="21"/>
        <v>0</v>
      </c>
      <c r="R113" s="77">
        <f t="shared" si="22"/>
        <v>0</v>
      </c>
      <c r="S113" s="76">
        <f t="shared" si="30"/>
        <v>0</v>
      </c>
      <c r="T113" s="47"/>
      <c r="V113" s="57"/>
      <c r="W113" s="45"/>
      <c r="X113" s="46">
        <f t="shared" si="23"/>
        <v>0</v>
      </c>
      <c r="Y113" s="75" t="str">
        <f t="shared" si="24"/>
        <v/>
      </c>
      <c r="Z113" s="49"/>
      <c r="AA113" s="49"/>
      <c r="AB113" s="49"/>
      <c r="AC113" s="204"/>
      <c r="AD113" s="48" t="str">
        <f t="shared" si="25"/>
        <v/>
      </c>
      <c r="AE113" s="48" t="str">
        <f t="shared" si="26"/>
        <v/>
      </c>
      <c r="AF113" s="76" t="str">
        <f t="shared" si="27"/>
        <v/>
      </c>
      <c r="AG113" s="77">
        <f t="shared" si="28"/>
        <v>0</v>
      </c>
      <c r="AH113" s="77">
        <f t="shared" si="29"/>
        <v>0</v>
      </c>
      <c r="AI113" s="76">
        <f t="shared" si="31"/>
        <v>0</v>
      </c>
      <c r="AJ113" s="203"/>
    </row>
    <row r="114" spans="1:36" s="56" customFormat="1" ht="14.25">
      <c r="A114" s="44"/>
      <c r="B114" s="45"/>
      <c r="C114" s="46">
        <f t="shared" si="16"/>
        <v>0</v>
      </c>
      <c r="D114" s="47"/>
      <c r="E114" s="47"/>
      <c r="F114" s="47"/>
      <c r="G114" s="47"/>
      <c r="H114" s="48"/>
      <c r="I114" s="75" t="str">
        <f t="shared" si="17"/>
        <v/>
      </c>
      <c r="J114" s="49"/>
      <c r="K114" s="49"/>
      <c r="L114" s="49"/>
      <c r="M114" s="47"/>
      <c r="N114" s="48" t="str">
        <f t="shared" si="18"/>
        <v/>
      </c>
      <c r="O114" s="48" t="str">
        <f t="shared" si="19"/>
        <v/>
      </c>
      <c r="P114" s="76" t="str">
        <f t="shared" si="20"/>
        <v/>
      </c>
      <c r="Q114" s="77">
        <f t="shared" si="21"/>
        <v>0</v>
      </c>
      <c r="R114" s="77">
        <f t="shared" si="22"/>
        <v>0</v>
      </c>
      <c r="S114" s="76">
        <f t="shared" si="30"/>
        <v>0</v>
      </c>
      <c r="T114" s="47"/>
      <c r="V114" s="57"/>
      <c r="W114" s="45"/>
      <c r="X114" s="46">
        <f t="shared" si="23"/>
        <v>0</v>
      </c>
      <c r="Y114" s="75" t="str">
        <f t="shared" si="24"/>
        <v/>
      </c>
      <c r="Z114" s="49"/>
      <c r="AA114" s="49"/>
      <c r="AB114" s="49"/>
      <c r="AC114" s="204"/>
      <c r="AD114" s="48" t="str">
        <f t="shared" si="25"/>
        <v/>
      </c>
      <c r="AE114" s="48" t="str">
        <f t="shared" si="26"/>
        <v/>
      </c>
      <c r="AF114" s="76" t="str">
        <f t="shared" si="27"/>
        <v/>
      </c>
      <c r="AG114" s="77">
        <f t="shared" si="28"/>
        <v>0</v>
      </c>
      <c r="AH114" s="77">
        <f t="shared" si="29"/>
        <v>0</v>
      </c>
      <c r="AI114" s="76">
        <f t="shared" si="31"/>
        <v>0</v>
      </c>
      <c r="AJ114" s="203"/>
    </row>
    <row r="115" spans="1:36" s="56" customFormat="1" ht="14.25">
      <c r="A115" s="44"/>
      <c r="B115" s="45"/>
      <c r="C115" s="46">
        <f t="shared" si="16"/>
        <v>0</v>
      </c>
      <c r="D115" s="47"/>
      <c r="E115" s="47"/>
      <c r="F115" s="47"/>
      <c r="G115" s="47"/>
      <c r="H115" s="48"/>
      <c r="I115" s="75" t="str">
        <f t="shared" si="17"/>
        <v/>
      </c>
      <c r="J115" s="49"/>
      <c r="K115" s="49"/>
      <c r="L115" s="49"/>
      <c r="M115" s="47"/>
      <c r="N115" s="48" t="str">
        <f t="shared" si="18"/>
        <v/>
      </c>
      <c r="O115" s="48" t="str">
        <f t="shared" si="19"/>
        <v/>
      </c>
      <c r="P115" s="76" t="str">
        <f t="shared" si="20"/>
        <v/>
      </c>
      <c r="Q115" s="77">
        <f t="shared" si="21"/>
        <v>0</v>
      </c>
      <c r="R115" s="77">
        <f t="shared" si="22"/>
        <v>0</v>
      </c>
      <c r="S115" s="76">
        <f t="shared" si="30"/>
        <v>0</v>
      </c>
      <c r="T115" s="47"/>
      <c r="V115" s="57"/>
      <c r="W115" s="45"/>
      <c r="X115" s="46">
        <f t="shared" si="23"/>
        <v>0</v>
      </c>
      <c r="Y115" s="75" t="str">
        <f t="shared" si="24"/>
        <v/>
      </c>
      <c r="Z115" s="49"/>
      <c r="AA115" s="49"/>
      <c r="AB115" s="49"/>
      <c r="AC115" s="204"/>
      <c r="AD115" s="48" t="str">
        <f t="shared" si="25"/>
        <v/>
      </c>
      <c r="AE115" s="48" t="str">
        <f t="shared" si="26"/>
        <v/>
      </c>
      <c r="AF115" s="76" t="str">
        <f t="shared" si="27"/>
        <v/>
      </c>
      <c r="AG115" s="77">
        <f t="shared" si="28"/>
        <v>0</v>
      </c>
      <c r="AH115" s="77">
        <f t="shared" si="29"/>
        <v>0</v>
      </c>
      <c r="AI115" s="76">
        <f t="shared" si="31"/>
        <v>0</v>
      </c>
      <c r="AJ115" s="203"/>
    </row>
    <row r="116" spans="1:36" s="56" customFormat="1" ht="14.25">
      <c r="A116" s="44"/>
      <c r="B116" s="45"/>
      <c r="C116" s="46">
        <f t="shared" si="16"/>
        <v>0</v>
      </c>
      <c r="D116" s="47"/>
      <c r="E116" s="47"/>
      <c r="F116" s="47"/>
      <c r="G116" s="47"/>
      <c r="H116" s="48"/>
      <c r="I116" s="75" t="str">
        <f t="shared" si="17"/>
        <v/>
      </c>
      <c r="J116" s="49"/>
      <c r="K116" s="49"/>
      <c r="L116" s="49"/>
      <c r="M116" s="47"/>
      <c r="N116" s="48" t="str">
        <f t="shared" si="18"/>
        <v/>
      </c>
      <c r="O116" s="48" t="str">
        <f t="shared" si="19"/>
        <v/>
      </c>
      <c r="P116" s="76" t="str">
        <f t="shared" si="20"/>
        <v/>
      </c>
      <c r="Q116" s="77">
        <f t="shared" si="21"/>
        <v>0</v>
      </c>
      <c r="R116" s="77">
        <f t="shared" si="22"/>
        <v>0</v>
      </c>
      <c r="S116" s="76">
        <f t="shared" si="30"/>
        <v>0</v>
      </c>
      <c r="T116" s="47"/>
      <c r="V116" s="57"/>
      <c r="W116" s="45"/>
      <c r="X116" s="46">
        <f t="shared" si="23"/>
        <v>0</v>
      </c>
      <c r="Y116" s="75" t="str">
        <f t="shared" si="24"/>
        <v/>
      </c>
      <c r="Z116" s="49"/>
      <c r="AA116" s="49"/>
      <c r="AB116" s="49"/>
      <c r="AC116" s="204"/>
      <c r="AD116" s="48" t="str">
        <f t="shared" si="25"/>
        <v/>
      </c>
      <c r="AE116" s="48" t="str">
        <f t="shared" si="26"/>
        <v/>
      </c>
      <c r="AF116" s="76" t="str">
        <f t="shared" si="27"/>
        <v/>
      </c>
      <c r="AG116" s="77">
        <f t="shared" si="28"/>
        <v>0</v>
      </c>
      <c r="AH116" s="77">
        <f t="shared" si="29"/>
        <v>0</v>
      </c>
      <c r="AI116" s="76">
        <f t="shared" si="31"/>
        <v>0</v>
      </c>
      <c r="AJ116" s="203"/>
    </row>
    <row r="117" spans="1:36" s="56" customFormat="1" ht="14.25">
      <c r="A117" s="44"/>
      <c r="B117" s="45"/>
      <c r="C117" s="46">
        <f t="shared" si="16"/>
        <v>0</v>
      </c>
      <c r="D117" s="47"/>
      <c r="E117" s="47"/>
      <c r="F117" s="47"/>
      <c r="G117" s="47"/>
      <c r="H117" s="48"/>
      <c r="I117" s="75" t="str">
        <f t="shared" si="17"/>
        <v/>
      </c>
      <c r="J117" s="49"/>
      <c r="K117" s="49"/>
      <c r="L117" s="49"/>
      <c r="M117" s="47"/>
      <c r="N117" s="48" t="str">
        <f t="shared" si="18"/>
        <v/>
      </c>
      <c r="O117" s="48" t="str">
        <f t="shared" si="19"/>
        <v/>
      </c>
      <c r="P117" s="76" t="str">
        <f t="shared" si="20"/>
        <v/>
      </c>
      <c r="Q117" s="77">
        <f t="shared" si="21"/>
        <v>0</v>
      </c>
      <c r="R117" s="77">
        <f t="shared" si="22"/>
        <v>0</v>
      </c>
      <c r="S117" s="76">
        <f t="shared" si="30"/>
        <v>0</v>
      </c>
      <c r="T117" s="47"/>
      <c r="V117" s="57"/>
      <c r="W117" s="45"/>
      <c r="X117" s="46">
        <f t="shared" si="23"/>
        <v>0</v>
      </c>
      <c r="Y117" s="75" t="str">
        <f t="shared" si="24"/>
        <v/>
      </c>
      <c r="Z117" s="49"/>
      <c r="AA117" s="49"/>
      <c r="AB117" s="49"/>
      <c r="AC117" s="204"/>
      <c r="AD117" s="48" t="str">
        <f t="shared" si="25"/>
        <v/>
      </c>
      <c r="AE117" s="48" t="str">
        <f t="shared" si="26"/>
        <v/>
      </c>
      <c r="AF117" s="76" t="str">
        <f t="shared" si="27"/>
        <v/>
      </c>
      <c r="AG117" s="77">
        <f t="shared" si="28"/>
        <v>0</v>
      </c>
      <c r="AH117" s="77">
        <f t="shared" si="29"/>
        <v>0</v>
      </c>
      <c r="AI117" s="76">
        <f t="shared" si="31"/>
        <v>0</v>
      </c>
      <c r="AJ117" s="203"/>
    </row>
    <row r="118" spans="1:36" s="56" customFormat="1" ht="14.25">
      <c r="A118" s="44"/>
      <c r="B118" s="45"/>
      <c r="C118" s="46">
        <f t="shared" si="16"/>
        <v>0</v>
      </c>
      <c r="D118" s="47"/>
      <c r="E118" s="47"/>
      <c r="F118" s="47"/>
      <c r="G118" s="47"/>
      <c r="H118" s="48"/>
      <c r="I118" s="75" t="str">
        <f t="shared" si="17"/>
        <v/>
      </c>
      <c r="J118" s="49"/>
      <c r="K118" s="49"/>
      <c r="L118" s="49"/>
      <c r="M118" s="47"/>
      <c r="N118" s="48" t="str">
        <f t="shared" si="18"/>
        <v/>
      </c>
      <c r="O118" s="48" t="str">
        <f t="shared" si="19"/>
        <v/>
      </c>
      <c r="P118" s="76" t="str">
        <f t="shared" si="20"/>
        <v/>
      </c>
      <c r="Q118" s="77">
        <f t="shared" si="21"/>
        <v>0</v>
      </c>
      <c r="R118" s="77">
        <f t="shared" si="22"/>
        <v>0</v>
      </c>
      <c r="S118" s="76">
        <f t="shared" si="30"/>
        <v>0</v>
      </c>
      <c r="T118" s="47"/>
      <c r="V118" s="57"/>
      <c r="W118" s="45"/>
      <c r="X118" s="46">
        <f t="shared" si="23"/>
        <v>0</v>
      </c>
      <c r="Y118" s="75" t="str">
        <f t="shared" si="24"/>
        <v/>
      </c>
      <c r="Z118" s="49"/>
      <c r="AA118" s="49"/>
      <c r="AB118" s="49"/>
      <c r="AC118" s="204"/>
      <c r="AD118" s="48" t="str">
        <f t="shared" si="25"/>
        <v/>
      </c>
      <c r="AE118" s="48" t="str">
        <f t="shared" si="26"/>
        <v/>
      </c>
      <c r="AF118" s="76" t="str">
        <f t="shared" si="27"/>
        <v/>
      </c>
      <c r="AG118" s="77">
        <f t="shared" si="28"/>
        <v>0</v>
      </c>
      <c r="AH118" s="77">
        <f t="shared" si="29"/>
        <v>0</v>
      </c>
      <c r="AI118" s="76">
        <f t="shared" si="31"/>
        <v>0</v>
      </c>
      <c r="AJ118" s="203"/>
    </row>
    <row r="119" spans="1:36" s="56" customFormat="1" ht="14.25">
      <c r="A119" s="44"/>
      <c r="B119" s="45"/>
      <c r="C119" s="46">
        <f t="shared" si="16"/>
        <v>0</v>
      </c>
      <c r="D119" s="47"/>
      <c r="E119" s="47"/>
      <c r="F119" s="47"/>
      <c r="G119" s="47"/>
      <c r="H119" s="48"/>
      <c r="I119" s="75" t="str">
        <f t="shared" si="17"/>
        <v/>
      </c>
      <c r="J119" s="49"/>
      <c r="K119" s="49"/>
      <c r="L119" s="49"/>
      <c r="M119" s="47"/>
      <c r="N119" s="48" t="str">
        <f t="shared" si="18"/>
        <v/>
      </c>
      <c r="O119" s="48" t="str">
        <f t="shared" si="19"/>
        <v/>
      </c>
      <c r="P119" s="76" t="str">
        <f t="shared" si="20"/>
        <v/>
      </c>
      <c r="Q119" s="77">
        <f t="shared" si="21"/>
        <v>0</v>
      </c>
      <c r="R119" s="77">
        <f t="shared" si="22"/>
        <v>0</v>
      </c>
      <c r="S119" s="76">
        <f t="shared" si="30"/>
        <v>0</v>
      </c>
      <c r="T119" s="47"/>
      <c r="V119" s="57"/>
      <c r="W119" s="45"/>
      <c r="X119" s="46">
        <f t="shared" si="23"/>
        <v>0</v>
      </c>
      <c r="Y119" s="75" t="str">
        <f t="shared" si="24"/>
        <v/>
      </c>
      <c r="Z119" s="49"/>
      <c r="AA119" s="49"/>
      <c r="AB119" s="49"/>
      <c r="AC119" s="204"/>
      <c r="AD119" s="48" t="str">
        <f t="shared" si="25"/>
        <v/>
      </c>
      <c r="AE119" s="48" t="str">
        <f t="shared" si="26"/>
        <v/>
      </c>
      <c r="AF119" s="76" t="str">
        <f t="shared" si="27"/>
        <v/>
      </c>
      <c r="AG119" s="77">
        <f t="shared" si="28"/>
        <v>0</v>
      </c>
      <c r="AH119" s="77">
        <f t="shared" si="29"/>
        <v>0</v>
      </c>
      <c r="AI119" s="76">
        <f t="shared" si="31"/>
        <v>0</v>
      </c>
      <c r="AJ119" s="203"/>
    </row>
    <row r="120" spans="1:36" s="56" customFormat="1" ht="14.25">
      <c r="A120" s="44"/>
      <c r="B120" s="45"/>
      <c r="C120" s="46">
        <f t="shared" si="16"/>
        <v>0</v>
      </c>
      <c r="D120" s="47"/>
      <c r="E120" s="47"/>
      <c r="F120" s="47"/>
      <c r="G120" s="47"/>
      <c r="H120" s="48"/>
      <c r="I120" s="75" t="str">
        <f t="shared" si="17"/>
        <v/>
      </c>
      <c r="J120" s="49"/>
      <c r="K120" s="49"/>
      <c r="L120" s="49"/>
      <c r="M120" s="47"/>
      <c r="N120" s="48" t="str">
        <f t="shared" si="18"/>
        <v/>
      </c>
      <c r="O120" s="48" t="str">
        <f t="shared" si="19"/>
        <v/>
      </c>
      <c r="P120" s="76" t="str">
        <f t="shared" si="20"/>
        <v/>
      </c>
      <c r="Q120" s="77">
        <f t="shared" si="21"/>
        <v>0</v>
      </c>
      <c r="R120" s="77">
        <f t="shared" si="22"/>
        <v>0</v>
      </c>
      <c r="S120" s="76">
        <f t="shared" si="30"/>
        <v>0</v>
      </c>
      <c r="T120" s="47"/>
      <c r="V120" s="57"/>
      <c r="W120" s="45"/>
      <c r="X120" s="46">
        <f t="shared" si="23"/>
        <v>0</v>
      </c>
      <c r="Y120" s="75" t="str">
        <f t="shared" si="24"/>
        <v/>
      </c>
      <c r="Z120" s="49"/>
      <c r="AA120" s="49"/>
      <c r="AB120" s="49"/>
      <c r="AC120" s="204"/>
      <c r="AD120" s="48" t="str">
        <f t="shared" si="25"/>
        <v/>
      </c>
      <c r="AE120" s="48" t="str">
        <f t="shared" si="26"/>
        <v/>
      </c>
      <c r="AF120" s="76" t="str">
        <f t="shared" si="27"/>
        <v/>
      </c>
      <c r="AG120" s="77">
        <f t="shared" si="28"/>
        <v>0</v>
      </c>
      <c r="AH120" s="77">
        <f t="shared" si="29"/>
        <v>0</v>
      </c>
      <c r="AI120" s="76">
        <f t="shared" si="31"/>
        <v>0</v>
      </c>
      <c r="AJ120" s="203"/>
    </row>
    <row r="121" spans="1:36" s="56" customFormat="1" ht="14.25">
      <c r="A121" s="44"/>
      <c r="B121" s="45"/>
      <c r="C121" s="46">
        <f t="shared" si="16"/>
        <v>0</v>
      </c>
      <c r="D121" s="47"/>
      <c r="E121" s="47"/>
      <c r="F121" s="47"/>
      <c r="G121" s="47"/>
      <c r="H121" s="48"/>
      <c r="I121" s="75" t="str">
        <f t="shared" si="17"/>
        <v/>
      </c>
      <c r="J121" s="49"/>
      <c r="K121" s="49"/>
      <c r="L121" s="49"/>
      <c r="M121" s="47"/>
      <c r="N121" s="48" t="str">
        <f t="shared" si="18"/>
        <v/>
      </c>
      <c r="O121" s="48" t="str">
        <f t="shared" si="19"/>
        <v/>
      </c>
      <c r="P121" s="76" t="str">
        <f t="shared" si="20"/>
        <v/>
      </c>
      <c r="Q121" s="77">
        <f t="shared" si="21"/>
        <v>0</v>
      </c>
      <c r="R121" s="77">
        <f t="shared" si="22"/>
        <v>0</v>
      </c>
      <c r="S121" s="76">
        <f t="shared" si="30"/>
        <v>0</v>
      </c>
      <c r="T121" s="47"/>
      <c r="V121" s="57"/>
      <c r="W121" s="45"/>
      <c r="X121" s="46">
        <f t="shared" si="23"/>
        <v>0</v>
      </c>
      <c r="Y121" s="75" t="str">
        <f t="shared" si="24"/>
        <v/>
      </c>
      <c r="Z121" s="49"/>
      <c r="AA121" s="49"/>
      <c r="AB121" s="49"/>
      <c r="AC121" s="204"/>
      <c r="AD121" s="48" t="str">
        <f t="shared" si="25"/>
        <v/>
      </c>
      <c r="AE121" s="48" t="str">
        <f t="shared" si="26"/>
        <v/>
      </c>
      <c r="AF121" s="76" t="str">
        <f t="shared" si="27"/>
        <v/>
      </c>
      <c r="AG121" s="77">
        <f t="shared" si="28"/>
        <v>0</v>
      </c>
      <c r="AH121" s="77">
        <f t="shared" si="29"/>
        <v>0</v>
      </c>
      <c r="AI121" s="76">
        <f t="shared" si="31"/>
        <v>0</v>
      </c>
      <c r="AJ121" s="203"/>
    </row>
    <row r="122" spans="1:36" s="56" customFormat="1" ht="14.25">
      <c r="A122" s="44"/>
      <c r="B122" s="45"/>
      <c r="C122" s="46">
        <f t="shared" si="16"/>
        <v>0</v>
      </c>
      <c r="D122" s="47"/>
      <c r="E122" s="47"/>
      <c r="F122" s="47"/>
      <c r="G122" s="47"/>
      <c r="H122" s="48"/>
      <c r="I122" s="75" t="str">
        <f t="shared" si="17"/>
        <v/>
      </c>
      <c r="J122" s="49"/>
      <c r="K122" s="49"/>
      <c r="L122" s="49"/>
      <c r="M122" s="47"/>
      <c r="N122" s="48" t="str">
        <f t="shared" si="18"/>
        <v/>
      </c>
      <c r="O122" s="48" t="str">
        <f t="shared" si="19"/>
        <v/>
      </c>
      <c r="P122" s="76" t="str">
        <f t="shared" si="20"/>
        <v/>
      </c>
      <c r="Q122" s="77">
        <f t="shared" si="21"/>
        <v>0</v>
      </c>
      <c r="R122" s="77">
        <f t="shared" si="22"/>
        <v>0</v>
      </c>
      <c r="S122" s="76">
        <f t="shared" si="30"/>
        <v>0</v>
      </c>
      <c r="T122" s="47"/>
      <c r="V122" s="57"/>
      <c r="W122" s="45"/>
      <c r="X122" s="46">
        <f t="shared" si="23"/>
        <v>0</v>
      </c>
      <c r="Y122" s="75" t="str">
        <f t="shared" si="24"/>
        <v/>
      </c>
      <c r="Z122" s="49"/>
      <c r="AA122" s="49"/>
      <c r="AB122" s="49"/>
      <c r="AC122" s="204"/>
      <c r="AD122" s="48" t="str">
        <f t="shared" si="25"/>
        <v/>
      </c>
      <c r="AE122" s="48" t="str">
        <f t="shared" si="26"/>
        <v/>
      </c>
      <c r="AF122" s="76" t="str">
        <f t="shared" si="27"/>
        <v/>
      </c>
      <c r="AG122" s="77">
        <f t="shared" si="28"/>
        <v>0</v>
      </c>
      <c r="AH122" s="77">
        <f t="shared" si="29"/>
        <v>0</v>
      </c>
      <c r="AI122" s="76">
        <f t="shared" si="31"/>
        <v>0</v>
      </c>
      <c r="AJ122" s="203"/>
    </row>
    <row r="123" spans="1:36" s="56" customFormat="1" ht="14.25">
      <c r="A123" s="44"/>
      <c r="B123" s="45"/>
      <c r="C123" s="46">
        <f t="shared" si="16"/>
        <v>0</v>
      </c>
      <c r="D123" s="47"/>
      <c r="E123" s="47"/>
      <c r="F123" s="47"/>
      <c r="G123" s="47"/>
      <c r="H123" s="48"/>
      <c r="I123" s="75" t="str">
        <f t="shared" si="17"/>
        <v/>
      </c>
      <c r="J123" s="49"/>
      <c r="K123" s="49"/>
      <c r="L123" s="49"/>
      <c r="M123" s="47"/>
      <c r="N123" s="48" t="str">
        <f t="shared" si="18"/>
        <v/>
      </c>
      <c r="O123" s="48" t="str">
        <f t="shared" si="19"/>
        <v/>
      </c>
      <c r="P123" s="76" t="str">
        <f t="shared" si="20"/>
        <v/>
      </c>
      <c r="Q123" s="77">
        <f t="shared" si="21"/>
        <v>0</v>
      </c>
      <c r="R123" s="77">
        <f t="shared" si="22"/>
        <v>0</v>
      </c>
      <c r="S123" s="76">
        <f t="shared" si="30"/>
        <v>0</v>
      </c>
      <c r="T123" s="47"/>
      <c r="V123" s="57"/>
      <c r="W123" s="45"/>
      <c r="X123" s="46">
        <f t="shared" si="23"/>
        <v>0</v>
      </c>
      <c r="Y123" s="75" t="str">
        <f t="shared" si="24"/>
        <v/>
      </c>
      <c r="Z123" s="49"/>
      <c r="AA123" s="49"/>
      <c r="AB123" s="49"/>
      <c r="AC123" s="204"/>
      <c r="AD123" s="48" t="str">
        <f t="shared" si="25"/>
        <v/>
      </c>
      <c r="AE123" s="48" t="str">
        <f t="shared" si="26"/>
        <v/>
      </c>
      <c r="AF123" s="76" t="str">
        <f t="shared" si="27"/>
        <v/>
      </c>
      <c r="AG123" s="77">
        <f t="shared" si="28"/>
        <v>0</v>
      </c>
      <c r="AH123" s="77">
        <f t="shared" si="29"/>
        <v>0</v>
      </c>
      <c r="AI123" s="76">
        <f t="shared" si="31"/>
        <v>0</v>
      </c>
      <c r="AJ123" s="203"/>
    </row>
    <row r="124" spans="1:36" s="56" customFormat="1" ht="14.25">
      <c r="A124" s="44"/>
      <c r="B124" s="45"/>
      <c r="C124" s="46">
        <f t="shared" si="16"/>
        <v>0</v>
      </c>
      <c r="D124" s="47"/>
      <c r="E124" s="47"/>
      <c r="F124" s="47"/>
      <c r="G124" s="47"/>
      <c r="H124" s="48"/>
      <c r="I124" s="75" t="str">
        <f t="shared" si="17"/>
        <v/>
      </c>
      <c r="J124" s="49"/>
      <c r="K124" s="49"/>
      <c r="L124" s="49"/>
      <c r="M124" s="47"/>
      <c r="N124" s="48" t="str">
        <f t="shared" si="18"/>
        <v/>
      </c>
      <c r="O124" s="48" t="str">
        <f t="shared" si="19"/>
        <v/>
      </c>
      <c r="P124" s="76" t="str">
        <f t="shared" si="20"/>
        <v/>
      </c>
      <c r="Q124" s="77">
        <f t="shared" si="21"/>
        <v>0</v>
      </c>
      <c r="R124" s="77">
        <f t="shared" si="22"/>
        <v>0</v>
      </c>
      <c r="S124" s="76">
        <f t="shared" si="30"/>
        <v>0</v>
      </c>
      <c r="T124" s="47"/>
      <c r="V124" s="57"/>
      <c r="W124" s="45"/>
      <c r="X124" s="46">
        <f t="shared" si="23"/>
        <v>0</v>
      </c>
      <c r="Y124" s="75" t="str">
        <f t="shared" si="24"/>
        <v/>
      </c>
      <c r="Z124" s="49"/>
      <c r="AA124" s="49"/>
      <c r="AB124" s="49"/>
      <c r="AC124" s="204"/>
      <c r="AD124" s="48" t="str">
        <f t="shared" si="25"/>
        <v/>
      </c>
      <c r="AE124" s="48" t="str">
        <f t="shared" si="26"/>
        <v/>
      </c>
      <c r="AF124" s="76" t="str">
        <f t="shared" si="27"/>
        <v/>
      </c>
      <c r="AG124" s="77">
        <f t="shared" si="28"/>
        <v>0</v>
      </c>
      <c r="AH124" s="77">
        <f t="shared" si="29"/>
        <v>0</v>
      </c>
      <c r="AI124" s="76">
        <f t="shared" si="31"/>
        <v>0</v>
      </c>
      <c r="AJ124" s="203"/>
    </row>
    <row r="125" spans="1:36" s="56" customFormat="1" ht="14.25">
      <c r="A125" s="44"/>
      <c r="B125" s="45"/>
      <c r="C125" s="46">
        <f t="shared" si="16"/>
        <v>0</v>
      </c>
      <c r="D125" s="47"/>
      <c r="E125" s="47"/>
      <c r="F125" s="47"/>
      <c r="G125" s="47"/>
      <c r="H125" s="48"/>
      <c r="I125" s="75" t="str">
        <f t="shared" si="17"/>
        <v/>
      </c>
      <c r="J125" s="49"/>
      <c r="K125" s="49"/>
      <c r="L125" s="49"/>
      <c r="M125" s="47"/>
      <c r="N125" s="48" t="str">
        <f t="shared" si="18"/>
        <v/>
      </c>
      <c r="O125" s="48" t="str">
        <f t="shared" si="19"/>
        <v/>
      </c>
      <c r="P125" s="76" t="str">
        <f t="shared" si="20"/>
        <v/>
      </c>
      <c r="Q125" s="77">
        <f t="shared" si="21"/>
        <v>0</v>
      </c>
      <c r="R125" s="77">
        <f t="shared" si="22"/>
        <v>0</v>
      </c>
      <c r="S125" s="76">
        <f t="shared" si="30"/>
        <v>0</v>
      </c>
      <c r="T125" s="47"/>
      <c r="V125" s="57"/>
      <c r="W125" s="45"/>
      <c r="X125" s="46">
        <f t="shared" si="23"/>
        <v>0</v>
      </c>
      <c r="Y125" s="75" t="str">
        <f t="shared" si="24"/>
        <v/>
      </c>
      <c r="Z125" s="49"/>
      <c r="AA125" s="49"/>
      <c r="AB125" s="49"/>
      <c r="AC125" s="204"/>
      <c r="AD125" s="48" t="str">
        <f t="shared" si="25"/>
        <v/>
      </c>
      <c r="AE125" s="48" t="str">
        <f t="shared" si="26"/>
        <v/>
      </c>
      <c r="AF125" s="76" t="str">
        <f t="shared" si="27"/>
        <v/>
      </c>
      <c r="AG125" s="77">
        <f t="shared" si="28"/>
        <v>0</v>
      </c>
      <c r="AH125" s="77">
        <f t="shared" si="29"/>
        <v>0</v>
      </c>
      <c r="AI125" s="76">
        <f t="shared" si="31"/>
        <v>0</v>
      </c>
      <c r="AJ125" s="203"/>
    </row>
    <row r="126" spans="1:36" s="56" customFormat="1" ht="14.25">
      <c r="A126" s="44"/>
      <c r="B126" s="45"/>
      <c r="C126" s="46">
        <f t="shared" si="16"/>
        <v>0</v>
      </c>
      <c r="D126" s="47"/>
      <c r="E126" s="47"/>
      <c r="F126" s="47"/>
      <c r="G126" s="47"/>
      <c r="H126" s="48"/>
      <c r="I126" s="75" t="str">
        <f t="shared" si="17"/>
        <v/>
      </c>
      <c r="J126" s="49"/>
      <c r="K126" s="49"/>
      <c r="L126" s="49"/>
      <c r="M126" s="47"/>
      <c r="N126" s="48" t="str">
        <f t="shared" si="18"/>
        <v/>
      </c>
      <c r="O126" s="48" t="str">
        <f t="shared" si="19"/>
        <v/>
      </c>
      <c r="P126" s="76" t="str">
        <f t="shared" si="20"/>
        <v/>
      </c>
      <c r="Q126" s="77">
        <f t="shared" si="21"/>
        <v>0</v>
      </c>
      <c r="R126" s="77">
        <f t="shared" si="22"/>
        <v>0</v>
      </c>
      <c r="S126" s="76">
        <f t="shared" si="30"/>
        <v>0</v>
      </c>
      <c r="T126" s="47"/>
      <c r="V126" s="57"/>
      <c r="W126" s="45"/>
      <c r="X126" s="46">
        <f t="shared" si="23"/>
        <v>0</v>
      </c>
      <c r="Y126" s="75" t="str">
        <f t="shared" si="24"/>
        <v/>
      </c>
      <c r="Z126" s="49"/>
      <c r="AA126" s="49"/>
      <c r="AB126" s="49"/>
      <c r="AC126" s="204"/>
      <c r="AD126" s="48" t="str">
        <f t="shared" si="25"/>
        <v/>
      </c>
      <c r="AE126" s="48" t="str">
        <f t="shared" si="26"/>
        <v/>
      </c>
      <c r="AF126" s="76" t="str">
        <f t="shared" si="27"/>
        <v/>
      </c>
      <c r="AG126" s="77">
        <f t="shared" si="28"/>
        <v>0</v>
      </c>
      <c r="AH126" s="77">
        <f t="shared" si="29"/>
        <v>0</v>
      </c>
      <c r="AI126" s="76">
        <f t="shared" si="31"/>
        <v>0</v>
      </c>
      <c r="AJ126" s="203"/>
    </row>
    <row r="127" spans="1:36" s="56" customFormat="1" ht="14.25">
      <c r="A127" s="44"/>
      <c r="B127" s="45"/>
      <c r="C127" s="46">
        <f t="shared" si="16"/>
        <v>0</v>
      </c>
      <c r="D127" s="47"/>
      <c r="E127" s="47"/>
      <c r="F127" s="47"/>
      <c r="G127" s="47"/>
      <c r="H127" s="48"/>
      <c r="I127" s="75" t="str">
        <f t="shared" si="17"/>
        <v/>
      </c>
      <c r="J127" s="49"/>
      <c r="K127" s="49"/>
      <c r="L127" s="49"/>
      <c r="M127" s="47"/>
      <c r="N127" s="48" t="str">
        <f t="shared" si="18"/>
        <v/>
      </c>
      <c r="O127" s="48" t="str">
        <f t="shared" si="19"/>
        <v/>
      </c>
      <c r="P127" s="76" t="str">
        <f t="shared" si="20"/>
        <v/>
      </c>
      <c r="Q127" s="77">
        <f t="shared" si="21"/>
        <v>0</v>
      </c>
      <c r="R127" s="77">
        <f t="shared" si="22"/>
        <v>0</v>
      </c>
      <c r="S127" s="76">
        <f t="shared" si="30"/>
        <v>0</v>
      </c>
      <c r="T127" s="47"/>
      <c r="V127" s="57"/>
      <c r="W127" s="45"/>
      <c r="X127" s="46">
        <f t="shared" si="23"/>
        <v>0</v>
      </c>
      <c r="Y127" s="75" t="str">
        <f t="shared" si="24"/>
        <v/>
      </c>
      <c r="Z127" s="49"/>
      <c r="AA127" s="49"/>
      <c r="AB127" s="49"/>
      <c r="AC127" s="204"/>
      <c r="AD127" s="48" t="str">
        <f t="shared" si="25"/>
        <v/>
      </c>
      <c r="AE127" s="48" t="str">
        <f t="shared" si="26"/>
        <v/>
      </c>
      <c r="AF127" s="76" t="str">
        <f t="shared" si="27"/>
        <v/>
      </c>
      <c r="AG127" s="77">
        <f t="shared" si="28"/>
        <v>0</v>
      </c>
      <c r="AH127" s="77">
        <f t="shared" si="29"/>
        <v>0</v>
      </c>
      <c r="AI127" s="76">
        <f t="shared" si="31"/>
        <v>0</v>
      </c>
      <c r="AJ127" s="203"/>
    </row>
    <row r="128" spans="1:36" s="56" customFormat="1" ht="14.25">
      <c r="A128" s="44"/>
      <c r="B128" s="45"/>
      <c r="C128" s="46">
        <f t="shared" si="16"/>
        <v>0</v>
      </c>
      <c r="D128" s="47"/>
      <c r="E128" s="47"/>
      <c r="F128" s="47"/>
      <c r="G128" s="47"/>
      <c r="H128" s="48"/>
      <c r="I128" s="75" t="str">
        <f t="shared" si="17"/>
        <v/>
      </c>
      <c r="J128" s="49"/>
      <c r="K128" s="49"/>
      <c r="L128" s="49"/>
      <c r="M128" s="47"/>
      <c r="N128" s="48" t="str">
        <f t="shared" si="18"/>
        <v/>
      </c>
      <c r="O128" s="48" t="str">
        <f t="shared" si="19"/>
        <v/>
      </c>
      <c r="P128" s="76" t="str">
        <f t="shared" si="20"/>
        <v/>
      </c>
      <c r="Q128" s="77">
        <f t="shared" si="21"/>
        <v>0</v>
      </c>
      <c r="R128" s="77">
        <f t="shared" si="22"/>
        <v>0</v>
      </c>
      <c r="S128" s="76">
        <f t="shared" si="30"/>
        <v>0</v>
      </c>
      <c r="T128" s="47"/>
      <c r="V128" s="57"/>
      <c r="W128" s="45"/>
      <c r="X128" s="46">
        <f t="shared" si="23"/>
        <v>0</v>
      </c>
      <c r="Y128" s="75" t="str">
        <f t="shared" si="24"/>
        <v/>
      </c>
      <c r="Z128" s="49"/>
      <c r="AA128" s="49"/>
      <c r="AB128" s="49"/>
      <c r="AC128" s="204"/>
      <c r="AD128" s="48" t="str">
        <f t="shared" si="25"/>
        <v/>
      </c>
      <c r="AE128" s="48" t="str">
        <f t="shared" si="26"/>
        <v/>
      </c>
      <c r="AF128" s="76" t="str">
        <f t="shared" si="27"/>
        <v/>
      </c>
      <c r="AG128" s="77">
        <f t="shared" si="28"/>
        <v>0</v>
      </c>
      <c r="AH128" s="77">
        <f t="shared" si="29"/>
        <v>0</v>
      </c>
      <c r="AI128" s="76">
        <f t="shared" si="31"/>
        <v>0</v>
      </c>
      <c r="AJ128" s="203"/>
    </row>
    <row r="129" spans="1:36" s="56" customFormat="1" ht="14.25">
      <c r="A129" s="44"/>
      <c r="B129" s="45"/>
      <c r="C129" s="46">
        <f t="shared" si="16"/>
        <v>0</v>
      </c>
      <c r="D129" s="47"/>
      <c r="E129" s="47"/>
      <c r="F129" s="47"/>
      <c r="G129" s="47"/>
      <c r="H129" s="48"/>
      <c r="I129" s="75" t="str">
        <f t="shared" si="17"/>
        <v/>
      </c>
      <c r="J129" s="49"/>
      <c r="K129" s="49"/>
      <c r="L129" s="49"/>
      <c r="M129" s="47"/>
      <c r="N129" s="48" t="str">
        <f t="shared" si="18"/>
        <v/>
      </c>
      <c r="O129" s="48" t="str">
        <f t="shared" si="19"/>
        <v/>
      </c>
      <c r="P129" s="76" t="str">
        <f t="shared" si="20"/>
        <v/>
      </c>
      <c r="Q129" s="77">
        <f t="shared" si="21"/>
        <v>0</v>
      </c>
      <c r="R129" s="77">
        <f t="shared" si="22"/>
        <v>0</v>
      </c>
      <c r="S129" s="76">
        <f t="shared" si="30"/>
        <v>0</v>
      </c>
      <c r="T129" s="47"/>
      <c r="V129" s="57"/>
      <c r="W129" s="45"/>
      <c r="X129" s="46">
        <f t="shared" si="23"/>
        <v>0</v>
      </c>
      <c r="Y129" s="75" t="str">
        <f t="shared" si="24"/>
        <v/>
      </c>
      <c r="Z129" s="49"/>
      <c r="AA129" s="49"/>
      <c r="AB129" s="49"/>
      <c r="AC129" s="204"/>
      <c r="AD129" s="48" t="str">
        <f t="shared" si="25"/>
        <v/>
      </c>
      <c r="AE129" s="48" t="str">
        <f t="shared" si="26"/>
        <v/>
      </c>
      <c r="AF129" s="76" t="str">
        <f t="shared" si="27"/>
        <v/>
      </c>
      <c r="AG129" s="77">
        <f t="shared" si="28"/>
        <v>0</v>
      </c>
      <c r="AH129" s="77">
        <f t="shared" si="29"/>
        <v>0</v>
      </c>
      <c r="AI129" s="76">
        <f t="shared" si="31"/>
        <v>0</v>
      </c>
      <c r="AJ129" s="203"/>
    </row>
    <row r="130" spans="1:36" s="56" customFormat="1" ht="14.25">
      <c r="A130" s="44"/>
      <c r="B130" s="45"/>
      <c r="C130" s="46">
        <f t="shared" si="16"/>
        <v>0</v>
      </c>
      <c r="D130" s="47"/>
      <c r="E130" s="47"/>
      <c r="F130" s="47"/>
      <c r="G130" s="47"/>
      <c r="H130" s="48"/>
      <c r="I130" s="75" t="str">
        <f t="shared" si="17"/>
        <v/>
      </c>
      <c r="J130" s="49"/>
      <c r="K130" s="49"/>
      <c r="L130" s="49"/>
      <c r="M130" s="47"/>
      <c r="N130" s="48" t="str">
        <f t="shared" si="18"/>
        <v/>
      </c>
      <c r="O130" s="48" t="str">
        <f t="shared" si="19"/>
        <v/>
      </c>
      <c r="P130" s="76" t="str">
        <f t="shared" si="20"/>
        <v/>
      </c>
      <c r="Q130" s="77">
        <f t="shared" si="21"/>
        <v>0</v>
      </c>
      <c r="R130" s="77">
        <f t="shared" si="22"/>
        <v>0</v>
      </c>
      <c r="S130" s="76">
        <f t="shared" si="30"/>
        <v>0</v>
      </c>
      <c r="T130" s="47"/>
      <c r="V130" s="57"/>
      <c r="W130" s="45"/>
      <c r="X130" s="46">
        <f t="shared" si="23"/>
        <v>0</v>
      </c>
      <c r="Y130" s="75" t="str">
        <f t="shared" si="24"/>
        <v/>
      </c>
      <c r="Z130" s="49"/>
      <c r="AA130" s="49"/>
      <c r="AB130" s="49"/>
      <c r="AC130" s="204"/>
      <c r="AD130" s="48" t="str">
        <f t="shared" si="25"/>
        <v/>
      </c>
      <c r="AE130" s="48" t="str">
        <f t="shared" si="26"/>
        <v/>
      </c>
      <c r="AF130" s="76" t="str">
        <f t="shared" si="27"/>
        <v/>
      </c>
      <c r="AG130" s="77">
        <f t="shared" si="28"/>
        <v>0</v>
      </c>
      <c r="AH130" s="77">
        <f t="shared" si="29"/>
        <v>0</v>
      </c>
      <c r="AI130" s="76">
        <f t="shared" si="31"/>
        <v>0</v>
      </c>
      <c r="AJ130" s="203"/>
    </row>
    <row r="131" spans="1:36" s="56" customFormat="1" ht="14.25">
      <c r="A131" s="44"/>
      <c r="B131" s="45"/>
      <c r="C131" s="46">
        <f t="shared" si="16"/>
        <v>0</v>
      </c>
      <c r="D131" s="47"/>
      <c r="E131" s="47"/>
      <c r="F131" s="47"/>
      <c r="G131" s="47"/>
      <c r="H131" s="48"/>
      <c r="I131" s="75" t="str">
        <f t="shared" si="17"/>
        <v/>
      </c>
      <c r="J131" s="49"/>
      <c r="K131" s="49"/>
      <c r="L131" s="49"/>
      <c r="M131" s="47"/>
      <c r="N131" s="48" t="str">
        <f t="shared" si="18"/>
        <v/>
      </c>
      <c r="O131" s="48" t="str">
        <f t="shared" si="19"/>
        <v/>
      </c>
      <c r="P131" s="76" t="str">
        <f t="shared" si="20"/>
        <v/>
      </c>
      <c r="Q131" s="77">
        <f t="shared" si="21"/>
        <v>0</v>
      </c>
      <c r="R131" s="77">
        <f t="shared" si="22"/>
        <v>0</v>
      </c>
      <c r="S131" s="76">
        <f t="shared" si="30"/>
        <v>0</v>
      </c>
      <c r="T131" s="47"/>
      <c r="V131" s="57"/>
      <c r="W131" s="45"/>
      <c r="X131" s="46">
        <f t="shared" si="23"/>
        <v>0</v>
      </c>
      <c r="Y131" s="75" t="str">
        <f t="shared" si="24"/>
        <v/>
      </c>
      <c r="Z131" s="49"/>
      <c r="AA131" s="49"/>
      <c r="AB131" s="49"/>
      <c r="AC131" s="204"/>
      <c r="AD131" s="48" t="str">
        <f t="shared" si="25"/>
        <v/>
      </c>
      <c r="AE131" s="48" t="str">
        <f t="shared" si="26"/>
        <v/>
      </c>
      <c r="AF131" s="76" t="str">
        <f t="shared" si="27"/>
        <v/>
      </c>
      <c r="AG131" s="77">
        <f t="shared" si="28"/>
        <v>0</v>
      </c>
      <c r="AH131" s="77">
        <f t="shared" si="29"/>
        <v>0</v>
      </c>
      <c r="AI131" s="76">
        <f t="shared" si="31"/>
        <v>0</v>
      </c>
      <c r="AJ131" s="203"/>
    </row>
    <row r="132" spans="1:36" s="56" customFormat="1" ht="14.25">
      <c r="A132" s="44"/>
      <c r="B132" s="45"/>
      <c r="C132" s="46">
        <f t="shared" si="16"/>
        <v>0</v>
      </c>
      <c r="D132" s="47"/>
      <c r="E132" s="47"/>
      <c r="F132" s="47"/>
      <c r="G132" s="47"/>
      <c r="H132" s="48"/>
      <c r="I132" s="75" t="str">
        <f t="shared" si="17"/>
        <v/>
      </c>
      <c r="J132" s="49"/>
      <c r="K132" s="49"/>
      <c r="L132" s="49"/>
      <c r="M132" s="47"/>
      <c r="N132" s="48" t="str">
        <f t="shared" si="18"/>
        <v/>
      </c>
      <c r="O132" s="48" t="str">
        <f t="shared" si="19"/>
        <v/>
      </c>
      <c r="P132" s="76" t="str">
        <f t="shared" si="20"/>
        <v/>
      </c>
      <c r="Q132" s="77">
        <f t="shared" si="21"/>
        <v>0</v>
      </c>
      <c r="R132" s="77">
        <f t="shared" si="22"/>
        <v>0</v>
      </c>
      <c r="S132" s="76">
        <f t="shared" si="30"/>
        <v>0</v>
      </c>
      <c r="T132" s="47"/>
      <c r="V132" s="57"/>
      <c r="W132" s="45"/>
      <c r="X132" s="46">
        <f t="shared" si="23"/>
        <v>0</v>
      </c>
      <c r="Y132" s="75" t="str">
        <f t="shared" si="24"/>
        <v/>
      </c>
      <c r="Z132" s="49"/>
      <c r="AA132" s="49"/>
      <c r="AB132" s="49"/>
      <c r="AC132" s="204"/>
      <c r="AD132" s="48" t="str">
        <f t="shared" si="25"/>
        <v/>
      </c>
      <c r="AE132" s="48" t="str">
        <f t="shared" si="26"/>
        <v/>
      </c>
      <c r="AF132" s="76" t="str">
        <f t="shared" si="27"/>
        <v/>
      </c>
      <c r="AG132" s="77">
        <f t="shared" si="28"/>
        <v>0</v>
      </c>
      <c r="AH132" s="77">
        <f t="shared" si="29"/>
        <v>0</v>
      </c>
      <c r="AI132" s="76">
        <f t="shared" si="31"/>
        <v>0</v>
      </c>
      <c r="AJ132" s="203"/>
    </row>
    <row r="133" spans="1:36" s="56" customFormat="1" ht="14.25">
      <c r="A133" s="44"/>
      <c r="B133" s="45"/>
      <c r="C133" s="46">
        <f t="shared" si="16"/>
        <v>0</v>
      </c>
      <c r="D133" s="47"/>
      <c r="E133" s="47"/>
      <c r="F133" s="47"/>
      <c r="G133" s="47"/>
      <c r="H133" s="48"/>
      <c r="I133" s="75" t="str">
        <f t="shared" si="17"/>
        <v/>
      </c>
      <c r="J133" s="49"/>
      <c r="K133" s="49"/>
      <c r="L133" s="49"/>
      <c r="M133" s="47"/>
      <c r="N133" s="48" t="str">
        <f t="shared" si="18"/>
        <v/>
      </c>
      <c r="O133" s="48" t="str">
        <f t="shared" si="19"/>
        <v/>
      </c>
      <c r="P133" s="76" t="str">
        <f t="shared" si="20"/>
        <v/>
      </c>
      <c r="Q133" s="77">
        <f t="shared" si="21"/>
        <v>0</v>
      </c>
      <c r="R133" s="77">
        <f t="shared" si="22"/>
        <v>0</v>
      </c>
      <c r="S133" s="76">
        <f t="shared" si="30"/>
        <v>0</v>
      </c>
      <c r="T133" s="47"/>
      <c r="V133" s="57"/>
      <c r="W133" s="45"/>
      <c r="X133" s="46">
        <f t="shared" si="23"/>
        <v>0</v>
      </c>
      <c r="Y133" s="75" t="str">
        <f t="shared" si="24"/>
        <v/>
      </c>
      <c r="Z133" s="49"/>
      <c r="AA133" s="49"/>
      <c r="AB133" s="49"/>
      <c r="AC133" s="204"/>
      <c r="AD133" s="48" t="str">
        <f t="shared" si="25"/>
        <v/>
      </c>
      <c r="AE133" s="48" t="str">
        <f t="shared" si="26"/>
        <v/>
      </c>
      <c r="AF133" s="76" t="str">
        <f t="shared" si="27"/>
        <v/>
      </c>
      <c r="AG133" s="77">
        <f t="shared" si="28"/>
        <v>0</v>
      </c>
      <c r="AH133" s="77">
        <f t="shared" si="29"/>
        <v>0</v>
      </c>
      <c r="AI133" s="76">
        <f t="shared" si="31"/>
        <v>0</v>
      </c>
      <c r="AJ133" s="203"/>
    </row>
    <row r="134" spans="1:36" s="56" customFormat="1" ht="14.25">
      <c r="A134" s="44"/>
      <c r="B134" s="45"/>
      <c r="C134" s="46">
        <f t="shared" si="16"/>
        <v>0</v>
      </c>
      <c r="D134" s="47"/>
      <c r="E134" s="47"/>
      <c r="F134" s="47"/>
      <c r="G134" s="47"/>
      <c r="H134" s="48"/>
      <c r="I134" s="75" t="str">
        <f t="shared" si="17"/>
        <v/>
      </c>
      <c r="J134" s="49"/>
      <c r="K134" s="49"/>
      <c r="L134" s="49"/>
      <c r="M134" s="47"/>
      <c r="N134" s="48" t="str">
        <f t="shared" si="18"/>
        <v/>
      </c>
      <c r="O134" s="48" t="str">
        <f t="shared" si="19"/>
        <v/>
      </c>
      <c r="P134" s="76" t="str">
        <f t="shared" si="20"/>
        <v/>
      </c>
      <c r="Q134" s="77">
        <f t="shared" si="21"/>
        <v>0</v>
      </c>
      <c r="R134" s="77">
        <f t="shared" si="22"/>
        <v>0</v>
      </c>
      <c r="S134" s="76">
        <f t="shared" si="30"/>
        <v>0</v>
      </c>
      <c r="T134" s="47"/>
      <c r="V134" s="57"/>
      <c r="W134" s="45"/>
      <c r="X134" s="46">
        <f t="shared" si="23"/>
        <v>0</v>
      </c>
      <c r="Y134" s="75" t="str">
        <f t="shared" si="24"/>
        <v/>
      </c>
      <c r="Z134" s="49"/>
      <c r="AA134" s="49"/>
      <c r="AB134" s="49"/>
      <c r="AC134" s="204"/>
      <c r="AD134" s="48" t="str">
        <f t="shared" si="25"/>
        <v/>
      </c>
      <c r="AE134" s="48" t="str">
        <f t="shared" si="26"/>
        <v/>
      </c>
      <c r="AF134" s="76" t="str">
        <f t="shared" si="27"/>
        <v/>
      </c>
      <c r="AG134" s="77">
        <f t="shared" si="28"/>
        <v>0</v>
      </c>
      <c r="AH134" s="77">
        <f t="shared" si="29"/>
        <v>0</v>
      </c>
      <c r="AI134" s="76">
        <f t="shared" si="31"/>
        <v>0</v>
      </c>
      <c r="AJ134" s="203"/>
    </row>
    <row r="135" spans="1:36" s="56" customFormat="1" ht="14.25">
      <c r="A135" s="44"/>
      <c r="B135" s="45"/>
      <c r="C135" s="46">
        <f t="shared" si="16"/>
        <v>0</v>
      </c>
      <c r="D135" s="47"/>
      <c r="E135" s="47"/>
      <c r="F135" s="47"/>
      <c r="G135" s="47"/>
      <c r="H135" s="48"/>
      <c r="I135" s="75" t="str">
        <f t="shared" si="17"/>
        <v/>
      </c>
      <c r="J135" s="49"/>
      <c r="K135" s="49"/>
      <c r="L135" s="49"/>
      <c r="M135" s="47"/>
      <c r="N135" s="48" t="str">
        <f t="shared" si="18"/>
        <v/>
      </c>
      <c r="O135" s="48" t="str">
        <f t="shared" si="19"/>
        <v/>
      </c>
      <c r="P135" s="76" t="str">
        <f t="shared" si="20"/>
        <v/>
      </c>
      <c r="Q135" s="77">
        <f t="shared" si="21"/>
        <v>0</v>
      </c>
      <c r="R135" s="77">
        <f t="shared" si="22"/>
        <v>0</v>
      </c>
      <c r="S135" s="76">
        <f t="shared" si="30"/>
        <v>0</v>
      </c>
      <c r="T135" s="47"/>
      <c r="V135" s="57"/>
      <c r="W135" s="45"/>
      <c r="X135" s="46">
        <f t="shared" si="23"/>
        <v>0</v>
      </c>
      <c r="Y135" s="75" t="str">
        <f t="shared" si="24"/>
        <v/>
      </c>
      <c r="Z135" s="49"/>
      <c r="AA135" s="49"/>
      <c r="AB135" s="49"/>
      <c r="AC135" s="204"/>
      <c r="AD135" s="48" t="str">
        <f t="shared" si="25"/>
        <v/>
      </c>
      <c r="AE135" s="48" t="str">
        <f t="shared" si="26"/>
        <v/>
      </c>
      <c r="AF135" s="76" t="str">
        <f t="shared" si="27"/>
        <v/>
      </c>
      <c r="AG135" s="77">
        <f t="shared" si="28"/>
        <v>0</v>
      </c>
      <c r="AH135" s="77">
        <f t="shared" si="29"/>
        <v>0</v>
      </c>
      <c r="AI135" s="76">
        <f t="shared" si="31"/>
        <v>0</v>
      </c>
      <c r="AJ135" s="203"/>
    </row>
    <row r="136" spans="1:36" s="56" customFormat="1" ht="14.25">
      <c r="A136" s="44"/>
      <c r="B136" s="45"/>
      <c r="C136" s="46">
        <f t="shared" si="16"/>
        <v>0</v>
      </c>
      <c r="D136" s="47"/>
      <c r="E136" s="47"/>
      <c r="F136" s="47"/>
      <c r="G136" s="47"/>
      <c r="H136" s="48"/>
      <c r="I136" s="75" t="str">
        <f t="shared" si="17"/>
        <v/>
      </c>
      <c r="J136" s="49"/>
      <c r="K136" s="49"/>
      <c r="L136" s="49"/>
      <c r="M136" s="47"/>
      <c r="N136" s="48" t="str">
        <f t="shared" si="18"/>
        <v/>
      </c>
      <c r="O136" s="48" t="str">
        <f t="shared" si="19"/>
        <v/>
      </c>
      <c r="P136" s="76" t="str">
        <f t="shared" si="20"/>
        <v/>
      </c>
      <c r="Q136" s="77">
        <f t="shared" si="21"/>
        <v>0</v>
      </c>
      <c r="R136" s="77">
        <f t="shared" si="22"/>
        <v>0</v>
      </c>
      <c r="S136" s="76">
        <f t="shared" si="30"/>
        <v>0</v>
      </c>
      <c r="T136" s="47"/>
      <c r="V136" s="57"/>
      <c r="W136" s="45"/>
      <c r="X136" s="46">
        <f t="shared" si="23"/>
        <v>0</v>
      </c>
      <c r="Y136" s="75" t="str">
        <f t="shared" si="24"/>
        <v/>
      </c>
      <c r="Z136" s="49"/>
      <c r="AA136" s="49"/>
      <c r="AB136" s="49"/>
      <c r="AC136" s="204"/>
      <c r="AD136" s="48" t="str">
        <f t="shared" si="25"/>
        <v/>
      </c>
      <c r="AE136" s="48" t="str">
        <f t="shared" si="26"/>
        <v/>
      </c>
      <c r="AF136" s="76" t="str">
        <f t="shared" si="27"/>
        <v/>
      </c>
      <c r="AG136" s="77">
        <f t="shared" si="28"/>
        <v>0</v>
      </c>
      <c r="AH136" s="77">
        <f t="shared" si="29"/>
        <v>0</v>
      </c>
      <c r="AI136" s="76">
        <f t="shared" si="31"/>
        <v>0</v>
      </c>
      <c r="AJ136" s="203"/>
    </row>
    <row r="137" spans="1:36" s="56" customFormat="1" ht="14.25">
      <c r="A137" s="44"/>
      <c r="B137" s="45"/>
      <c r="C137" s="46">
        <f t="shared" si="16"/>
        <v>0</v>
      </c>
      <c r="D137" s="47"/>
      <c r="E137" s="47"/>
      <c r="F137" s="47"/>
      <c r="G137" s="47"/>
      <c r="H137" s="48"/>
      <c r="I137" s="75" t="str">
        <f t="shared" si="17"/>
        <v/>
      </c>
      <c r="J137" s="49"/>
      <c r="K137" s="49"/>
      <c r="L137" s="49"/>
      <c r="M137" s="47"/>
      <c r="N137" s="48" t="str">
        <f t="shared" si="18"/>
        <v/>
      </c>
      <c r="O137" s="48" t="str">
        <f t="shared" si="19"/>
        <v/>
      </c>
      <c r="P137" s="76" t="str">
        <f t="shared" si="20"/>
        <v/>
      </c>
      <c r="Q137" s="77">
        <f t="shared" si="21"/>
        <v>0</v>
      </c>
      <c r="R137" s="77">
        <f t="shared" si="22"/>
        <v>0</v>
      </c>
      <c r="S137" s="76">
        <f t="shared" si="30"/>
        <v>0</v>
      </c>
      <c r="T137" s="47"/>
      <c r="V137" s="57"/>
      <c r="W137" s="45"/>
      <c r="X137" s="46">
        <f t="shared" si="23"/>
        <v>0</v>
      </c>
      <c r="Y137" s="75" t="str">
        <f t="shared" si="24"/>
        <v/>
      </c>
      <c r="Z137" s="49"/>
      <c r="AA137" s="49"/>
      <c r="AB137" s="49"/>
      <c r="AC137" s="204"/>
      <c r="AD137" s="48" t="str">
        <f t="shared" si="25"/>
        <v/>
      </c>
      <c r="AE137" s="48" t="str">
        <f t="shared" si="26"/>
        <v/>
      </c>
      <c r="AF137" s="76" t="str">
        <f t="shared" si="27"/>
        <v/>
      </c>
      <c r="AG137" s="77">
        <f t="shared" si="28"/>
        <v>0</v>
      </c>
      <c r="AH137" s="77">
        <f t="shared" si="29"/>
        <v>0</v>
      </c>
      <c r="AI137" s="76">
        <f t="shared" si="31"/>
        <v>0</v>
      </c>
      <c r="AJ137" s="203"/>
    </row>
    <row r="138" spans="1:36" s="56" customFormat="1" ht="14.25">
      <c r="A138" s="44"/>
      <c r="B138" s="45"/>
      <c r="C138" s="46">
        <f t="shared" si="16"/>
        <v>0</v>
      </c>
      <c r="D138" s="47"/>
      <c r="E138" s="47"/>
      <c r="F138" s="47"/>
      <c r="G138" s="47"/>
      <c r="H138" s="48"/>
      <c r="I138" s="75" t="str">
        <f t="shared" si="17"/>
        <v/>
      </c>
      <c r="J138" s="49"/>
      <c r="K138" s="49"/>
      <c r="L138" s="49"/>
      <c r="M138" s="47"/>
      <c r="N138" s="48" t="str">
        <f t="shared" si="18"/>
        <v/>
      </c>
      <c r="O138" s="48" t="str">
        <f t="shared" si="19"/>
        <v/>
      </c>
      <c r="P138" s="76" t="str">
        <f t="shared" si="20"/>
        <v/>
      </c>
      <c r="Q138" s="77">
        <f t="shared" si="21"/>
        <v>0</v>
      </c>
      <c r="R138" s="77">
        <f t="shared" si="22"/>
        <v>0</v>
      </c>
      <c r="S138" s="76">
        <f t="shared" si="30"/>
        <v>0</v>
      </c>
      <c r="T138" s="47"/>
      <c r="V138" s="57"/>
      <c r="W138" s="45"/>
      <c r="X138" s="46">
        <f t="shared" si="23"/>
        <v>0</v>
      </c>
      <c r="Y138" s="75" t="str">
        <f t="shared" si="24"/>
        <v/>
      </c>
      <c r="Z138" s="49"/>
      <c r="AA138" s="49"/>
      <c r="AB138" s="49"/>
      <c r="AC138" s="204"/>
      <c r="AD138" s="48" t="str">
        <f t="shared" si="25"/>
        <v/>
      </c>
      <c r="AE138" s="48" t="str">
        <f t="shared" si="26"/>
        <v/>
      </c>
      <c r="AF138" s="76" t="str">
        <f t="shared" si="27"/>
        <v/>
      </c>
      <c r="AG138" s="77">
        <f t="shared" si="28"/>
        <v>0</v>
      </c>
      <c r="AH138" s="77">
        <f t="shared" si="29"/>
        <v>0</v>
      </c>
      <c r="AI138" s="76">
        <f t="shared" si="31"/>
        <v>0</v>
      </c>
      <c r="AJ138" s="203"/>
    </row>
    <row r="139" spans="1:36" s="56" customFormat="1" ht="14.25">
      <c r="A139" s="44"/>
      <c r="B139" s="45"/>
      <c r="C139" s="46">
        <f t="shared" ref="C139:C202" si="32">IF($B139&lt;&gt;"",VLOOKUP($B139,Matriz_INM,2,0),0)</f>
        <v>0</v>
      </c>
      <c r="D139" s="47"/>
      <c r="E139" s="47"/>
      <c r="F139" s="47"/>
      <c r="G139" s="47"/>
      <c r="H139" s="48"/>
      <c r="I139" s="75" t="str">
        <f t="shared" ref="I139:I202" si="33">IFERROR(VLOOKUP($B139,Matriz_INM,3,0),"")</f>
        <v/>
      </c>
      <c r="J139" s="49"/>
      <c r="K139" s="49"/>
      <c r="L139" s="49"/>
      <c r="M139" s="47"/>
      <c r="N139" s="48" t="str">
        <f t="shared" ref="N139:N202" si="34">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8" t="str">
        <f t="shared" ref="O139:O202" si="35">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6" t="str">
        <f t="shared" ref="P139:P202" si="36">IF(N139="",O139,IF(O139="",N139,""))</f>
        <v/>
      </c>
      <c r="Q139" s="77">
        <f t="shared" ref="Q139:Q202" si="37">IF(AND(OR(M139="EE",M139="CE"),P139="Simples"),3, IF(AND(OR(M139="EE",M139="CE"),P139="Médio"),4, IF(AND(OR(M139="EE",M139="CE"),P139="Complexo"),6, IF(AND(M139="SE",P139="Simples"),4, IF(AND(M139="SE",P139="Médio"),5, IF(AND(M139="SE",P139="Complexo"),7,0))))))</f>
        <v>0</v>
      </c>
      <c r="R139" s="77">
        <f t="shared" ref="R139:R202" si="38">IF(AND(M139="ALI",O139="Simples"),7, IF(AND(M139="ALI",O139="Médio"),10, IF(AND(M139="ALI",O139="Complexo"),15, IF(AND(M139="AIE",O139="Simples"),5, IF(AND(M139="AIE",O139="Médio"),7, IF(AND(M139="AIE",O139="Complexo"),10,0))))))</f>
        <v>0</v>
      </c>
      <c r="S139" s="76">
        <f t="shared" si="30"/>
        <v>0</v>
      </c>
      <c r="T139" s="47"/>
      <c r="V139" s="57"/>
      <c r="W139" s="45"/>
      <c r="X139" s="46">
        <f t="shared" ref="X139:X202" si="39">IF($B139&lt;&gt;"",VLOOKUP($B139,Matriz_INM,2,0),0)</f>
        <v>0</v>
      </c>
      <c r="Y139" s="75" t="str">
        <f t="shared" ref="Y139:Y202" si="40">IFERROR(VLOOKUP($B139,Matriz_INM,3,0),"")</f>
        <v/>
      </c>
      <c r="Z139" s="49"/>
      <c r="AA139" s="49"/>
      <c r="AB139" s="49"/>
      <c r="AC139" s="204"/>
      <c r="AD139" s="48" t="str">
        <f t="shared" ref="AD139:AD202" si="41">IF(AC139="EE",IF(OR(AND(OR(AB139=1,AB139=0),AA139&gt;0,AA139&lt;5),AND(OR(AB139=1,AB139=0),AA139&gt;4,AA139&lt;16),AND(AB139=2,AA139&gt;0,AA139&lt;5)),"Simples",IF(OR(AND(OR(AB139=1,AB139=0),AA139&gt;15),AND(AB139=2,AA139&gt;4,AA139&lt;16),AND(AB139&gt;2,AA139&gt;0,AA139&lt;5)),"Médio",IF(OR(AND(AB139=2,AA139&gt;15),AND(AB139&gt;2,AA139&gt;4,AA139&lt;16),AND(AB139&gt;2,AA139&gt;15)),"Complexo",""))), IF(OR(AC139="CE",AC139="SE"),IF(OR(AND(OR(AB139=1,AB139=0),AA139&gt;0,AA139&lt;6),AND(OR(AB139=1,AB139=0),AA139&gt;5,AA139&lt;20),AND(AB139&gt;1,AB139&lt;4,AA139&gt;0,AA139&lt;6)),"Simples",IF(OR(AND(OR(AB139=1,AB139=0),AA139&gt;19),AND(AB139&gt;1,AB139&lt;4,AA139&gt;5,AA139&lt;20),AND(AB139&gt;3,AA139&gt;0,AA139&lt;6)),"Médio",IF(OR(AND(AB139&gt;1,AB139&lt;4,AA139&gt;19),AND(AB139&gt;3,AA139&gt;5,AA139&lt;20),AND(AB139&gt;3,AA139&gt;19)),"Complexo",""))),""))</f>
        <v/>
      </c>
      <c r="AE139" s="48" t="str">
        <f t="shared" ref="AE139:AE202" si="42">IF(AC139="ALI",IF(OR(AND(OR(AB139=1,AB139=0),AA139&gt;0,AA139&lt;20),AND(OR(AB139=1,AB139=0),AA139&gt;19,AA139&lt;51),AND(AB139&gt;1,AB139&lt;6,AA139&gt;0,AA139&lt;20)),"Simples",IF(OR(AND(OR(AB139=1,AB139=0),AA139&gt;50),AND(AB139&gt;1,AB139&lt;6,AA139&gt;19,AA139&lt;51),AND(AB139&gt;5,AA139&gt;0,AA139&lt;20)),"Médio",IF(OR(AND(AB139&gt;1,AB139&lt;6,AA139&gt;50),AND(AB139&gt;5,AA139&gt;19,AA139&lt;51),AND(AB139&gt;5,AA139&gt;50)),"Complexo",""))), IF(AC139="AIE",IF(OR(AND(OR(AB139=1, AB139=0),AA139&gt;0,AA139&lt;20),AND(OR(AB139=1, AB139=0),AA139&gt;19,AA139&lt;51),AND(AB139&gt;1,AB139&lt;6,AA139&gt;0,AA139&lt;20)),"Simples",IF(OR(AND(OR(AB139=1, AB139=0),AA139&gt;50),AND(AB139&gt;1,AB139&lt;6,AA139&gt;19,AA139&lt;51),AND(AB139&gt;5,AA139&gt;0,AA139&lt;20)),"Médio",IF(OR(AND(AB139&gt;1,AB139&lt;6,AA139&gt;50),AND(AB139&gt;5,AA139&gt;19,AA139&lt;51),AND(AB139&gt;5,AA139&gt;50)),"Complexo",""))),""))</f>
        <v/>
      </c>
      <c r="AF139" s="76" t="str">
        <f t="shared" ref="AF139:AF202" si="43">IF(AD139="",AE139,IF(AE139="",AD139,""))</f>
        <v/>
      </c>
      <c r="AG139" s="77">
        <f t="shared" ref="AG139:AG202" si="44">IF(AND(OR(AC139="EE",AC139="CE"),AF139="Simples"),3, IF(AND(OR(AC139="EE",AC139="CE"),AF139="Médio"),4, IF(AND(OR(AC139="EE",AC139="CE"),AF139="Complexo"),6, IF(AND(AC139="SE",AF139="Simples"),4, IF(AND(AC139="SE",AF139="Médio"),5, IF(AND(AC139="SE",AF139="Complexo"),7,0))))))</f>
        <v>0</v>
      </c>
      <c r="AH139" s="77">
        <f t="shared" ref="AH139:AH202" si="45">IF(AND(AC139="ALI",AE139="Simples"),7, IF(AND(AC139="ALI",AE139="Médio"),10, IF(AND(AC139="ALI",AE139="Complexo"),15, IF(AND(AC139="AIE",AE139="Simples"),5, IF(AND(AC139="AIE",AE139="Médio"),7, IF(AND(AC139="AIE",AE139="Complexo"),10,0))))))</f>
        <v>0</v>
      </c>
      <c r="AI139" s="76">
        <f t="shared" si="31"/>
        <v>0</v>
      </c>
      <c r="AJ139" s="203"/>
    </row>
    <row r="140" spans="1:36" s="56" customFormat="1" ht="14.25">
      <c r="A140" s="44"/>
      <c r="B140" s="45"/>
      <c r="C140" s="46">
        <f t="shared" si="32"/>
        <v>0</v>
      </c>
      <c r="D140" s="47"/>
      <c r="E140" s="47"/>
      <c r="F140" s="47"/>
      <c r="G140" s="47"/>
      <c r="H140" s="48"/>
      <c r="I140" s="75" t="str">
        <f t="shared" si="33"/>
        <v/>
      </c>
      <c r="J140" s="49"/>
      <c r="K140" s="49"/>
      <c r="L140" s="49"/>
      <c r="M140" s="47"/>
      <c r="N140" s="48" t="str">
        <f t="shared" si="34"/>
        <v/>
      </c>
      <c r="O140" s="48" t="str">
        <f t="shared" si="35"/>
        <v/>
      </c>
      <c r="P140" s="76" t="str">
        <f t="shared" si="36"/>
        <v/>
      </c>
      <c r="Q140" s="77">
        <f t="shared" si="37"/>
        <v>0</v>
      </c>
      <c r="R140" s="77">
        <f t="shared" si="38"/>
        <v>0</v>
      </c>
      <c r="S140" s="76">
        <f t="shared" ref="S140:S203" si="46">IF($I140="%",($Q140+$R140)*$C140,$C140)</f>
        <v>0</v>
      </c>
      <c r="T140" s="47"/>
      <c r="V140" s="57"/>
      <c r="W140" s="45"/>
      <c r="X140" s="46">
        <f t="shared" si="39"/>
        <v>0</v>
      </c>
      <c r="Y140" s="75" t="str">
        <f t="shared" si="40"/>
        <v/>
      </c>
      <c r="Z140" s="49"/>
      <c r="AA140" s="49"/>
      <c r="AB140" s="49"/>
      <c r="AC140" s="204"/>
      <c r="AD140" s="48" t="str">
        <f t="shared" si="41"/>
        <v/>
      </c>
      <c r="AE140" s="48" t="str">
        <f t="shared" si="42"/>
        <v/>
      </c>
      <c r="AF140" s="76" t="str">
        <f t="shared" si="43"/>
        <v/>
      </c>
      <c r="AG140" s="77">
        <f t="shared" si="44"/>
        <v>0</v>
      </c>
      <c r="AH140" s="77">
        <f t="shared" si="45"/>
        <v>0</v>
      </c>
      <c r="AI140" s="76">
        <f t="shared" ref="AI140:AI203" si="47">IF($I140="%",($Q140+$R140)*$C140,$C140)</f>
        <v>0</v>
      </c>
      <c r="AJ140" s="203"/>
    </row>
    <row r="141" spans="1:36" s="56" customFormat="1" ht="14.25">
      <c r="A141" s="44"/>
      <c r="B141" s="45"/>
      <c r="C141" s="46">
        <f t="shared" si="32"/>
        <v>0</v>
      </c>
      <c r="D141" s="47"/>
      <c r="E141" s="47"/>
      <c r="F141" s="47"/>
      <c r="G141" s="47"/>
      <c r="H141" s="48"/>
      <c r="I141" s="75" t="str">
        <f t="shared" si="33"/>
        <v/>
      </c>
      <c r="J141" s="49"/>
      <c r="K141" s="49"/>
      <c r="L141" s="49"/>
      <c r="M141" s="47"/>
      <c r="N141" s="48" t="str">
        <f t="shared" si="34"/>
        <v/>
      </c>
      <c r="O141" s="48" t="str">
        <f t="shared" si="35"/>
        <v/>
      </c>
      <c r="P141" s="76" t="str">
        <f t="shared" si="36"/>
        <v/>
      </c>
      <c r="Q141" s="77">
        <f t="shared" si="37"/>
        <v>0</v>
      </c>
      <c r="R141" s="77">
        <f t="shared" si="38"/>
        <v>0</v>
      </c>
      <c r="S141" s="76">
        <f t="shared" si="46"/>
        <v>0</v>
      </c>
      <c r="T141" s="47"/>
      <c r="V141" s="57"/>
      <c r="W141" s="45"/>
      <c r="X141" s="46">
        <f t="shared" si="39"/>
        <v>0</v>
      </c>
      <c r="Y141" s="75" t="str">
        <f t="shared" si="40"/>
        <v/>
      </c>
      <c r="Z141" s="49"/>
      <c r="AA141" s="49"/>
      <c r="AB141" s="49"/>
      <c r="AC141" s="204"/>
      <c r="AD141" s="48" t="str">
        <f t="shared" si="41"/>
        <v/>
      </c>
      <c r="AE141" s="48" t="str">
        <f t="shared" si="42"/>
        <v/>
      </c>
      <c r="AF141" s="76" t="str">
        <f t="shared" si="43"/>
        <v/>
      </c>
      <c r="AG141" s="77">
        <f t="shared" si="44"/>
        <v>0</v>
      </c>
      <c r="AH141" s="77">
        <f t="shared" si="45"/>
        <v>0</v>
      </c>
      <c r="AI141" s="76">
        <f t="shared" si="47"/>
        <v>0</v>
      </c>
      <c r="AJ141" s="203"/>
    </row>
    <row r="142" spans="1:36" s="56" customFormat="1" ht="14.25">
      <c r="A142" s="44"/>
      <c r="B142" s="45"/>
      <c r="C142" s="46">
        <f t="shared" si="32"/>
        <v>0</v>
      </c>
      <c r="D142" s="47"/>
      <c r="E142" s="47"/>
      <c r="F142" s="47"/>
      <c r="G142" s="47"/>
      <c r="H142" s="48"/>
      <c r="I142" s="75" t="str">
        <f t="shared" si="33"/>
        <v/>
      </c>
      <c r="J142" s="49"/>
      <c r="K142" s="49"/>
      <c r="L142" s="49"/>
      <c r="M142" s="47"/>
      <c r="N142" s="48" t="str">
        <f t="shared" si="34"/>
        <v/>
      </c>
      <c r="O142" s="48" t="str">
        <f t="shared" si="35"/>
        <v/>
      </c>
      <c r="P142" s="76" t="str">
        <f t="shared" si="36"/>
        <v/>
      </c>
      <c r="Q142" s="77">
        <f t="shared" si="37"/>
        <v>0</v>
      </c>
      <c r="R142" s="77">
        <f t="shared" si="38"/>
        <v>0</v>
      </c>
      <c r="S142" s="76">
        <f t="shared" si="46"/>
        <v>0</v>
      </c>
      <c r="T142" s="47"/>
      <c r="V142" s="57"/>
      <c r="W142" s="45"/>
      <c r="X142" s="46">
        <f t="shared" si="39"/>
        <v>0</v>
      </c>
      <c r="Y142" s="75" t="str">
        <f t="shared" si="40"/>
        <v/>
      </c>
      <c r="Z142" s="49"/>
      <c r="AA142" s="49"/>
      <c r="AB142" s="49"/>
      <c r="AC142" s="204"/>
      <c r="AD142" s="48" t="str">
        <f t="shared" si="41"/>
        <v/>
      </c>
      <c r="AE142" s="48" t="str">
        <f t="shared" si="42"/>
        <v/>
      </c>
      <c r="AF142" s="76" t="str">
        <f t="shared" si="43"/>
        <v/>
      </c>
      <c r="AG142" s="77">
        <f t="shared" si="44"/>
        <v>0</v>
      </c>
      <c r="AH142" s="77">
        <f t="shared" si="45"/>
        <v>0</v>
      </c>
      <c r="AI142" s="76">
        <f t="shared" si="47"/>
        <v>0</v>
      </c>
      <c r="AJ142" s="203"/>
    </row>
    <row r="143" spans="1:36" s="56" customFormat="1" ht="14.25">
      <c r="A143" s="44"/>
      <c r="B143" s="45"/>
      <c r="C143" s="46">
        <f t="shared" si="32"/>
        <v>0</v>
      </c>
      <c r="D143" s="47"/>
      <c r="E143" s="47"/>
      <c r="F143" s="47"/>
      <c r="G143" s="47"/>
      <c r="H143" s="48"/>
      <c r="I143" s="75" t="str">
        <f t="shared" si="33"/>
        <v/>
      </c>
      <c r="J143" s="49"/>
      <c r="K143" s="49"/>
      <c r="L143" s="49"/>
      <c r="M143" s="47"/>
      <c r="N143" s="48" t="str">
        <f t="shared" si="34"/>
        <v/>
      </c>
      <c r="O143" s="48" t="str">
        <f t="shared" si="35"/>
        <v/>
      </c>
      <c r="P143" s="76" t="str">
        <f t="shared" si="36"/>
        <v/>
      </c>
      <c r="Q143" s="77">
        <f t="shared" si="37"/>
        <v>0</v>
      </c>
      <c r="R143" s="77">
        <f t="shared" si="38"/>
        <v>0</v>
      </c>
      <c r="S143" s="76">
        <f t="shared" si="46"/>
        <v>0</v>
      </c>
      <c r="T143" s="47"/>
      <c r="V143" s="57"/>
      <c r="W143" s="45"/>
      <c r="X143" s="46">
        <f t="shared" si="39"/>
        <v>0</v>
      </c>
      <c r="Y143" s="75" t="str">
        <f t="shared" si="40"/>
        <v/>
      </c>
      <c r="Z143" s="49"/>
      <c r="AA143" s="49"/>
      <c r="AB143" s="49"/>
      <c r="AC143" s="204"/>
      <c r="AD143" s="48" t="str">
        <f t="shared" si="41"/>
        <v/>
      </c>
      <c r="AE143" s="48" t="str">
        <f t="shared" si="42"/>
        <v/>
      </c>
      <c r="AF143" s="76" t="str">
        <f t="shared" si="43"/>
        <v/>
      </c>
      <c r="AG143" s="77">
        <f t="shared" si="44"/>
        <v>0</v>
      </c>
      <c r="AH143" s="77">
        <f t="shared" si="45"/>
        <v>0</v>
      </c>
      <c r="AI143" s="76">
        <f t="shared" si="47"/>
        <v>0</v>
      </c>
      <c r="AJ143" s="203"/>
    </row>
    <row r="144" spans="1:36" s="56" customFormat="1" ht="14.25">
      <c r="A144" s="44"/>
      <c r="B144" s="45"/>
      <c r="C144" s="46">
        <f t="shared" si="32"/>
        <v>0</v>
      </c>
      <c r="D144" s="47"/>
      <c r="E144" s="47"/>
      <c r="F144" s="47"/>
      <c r="G144" s="47"/>
      <c r="H144" s="48"/>
      <c r="I144" s="75" t="str">
        <f t="shared" si="33"/>
        <v/>
      </c>
      <c r="J144" s="49"/>
      <c r="K144" s="49"/>
      <c r="L144" s="49"/>
      <c r="M144" s="47"/>
      <c r="N144" s="48" t="str">
        <f t="shared" si="34"/>
        <v/>
      </c>
      <c r="O144" s="48" t="str">
        <f t="shared" si="35"/>
        <v/>
      </c>
      <c r="P144" s="76" t="str">
        <f t="shared" si="36"/>
        <v/>
      </c>
      <c r="Q144" s="77">
        <f t="shared" si="37"/>
        <v>0</v>
      </c>
      <c r="R144" s="77">
        <f t="shared" si="38"/>
        <v>0</v>
      </c>
      <c r="S144" s="76">
        <f t="shared" si="46"/>
        <v>0</v>
      </c>
      <c r="T144" s="47"/>
      <c r="V144" s="57"/>
      <c r="W144" s="45"/>
      <c r="X144" s="46">
        <f t="shared" si="39"/>
        <v>0</v>
      </c>
      <c r="Y144" s="75" t="str">
        <f t="shared" si="40"/>
        <v/>
      </c>
      <c r="Z144" s="49"/>
      <c r="AA144" s="49"/>
      <c r="AB144" s="49"/>
      <c r="AC144" s="204"/>
      <c r="AD144" s="48" t="str">
        <f t="shared" si="41"/>
        <v/>
      </c>
      <c r="AE144" s="48" t="str">
        <f t="shared" si="42"/>
        <v/>
      </c>
      <c r="AF144" s="76" t="str">
        <f t="shared" si="43"/>
        <v/>
      </c>
      <c r="AG144" s="77">
        <f t="shared" si="44"/>
        <v>0</v>
      </c>
      <c r="AH144" s="77">
        <f t="shared" si="45"/>
        <v>0</v>
      </c>
      <c r="AI144" s="76">
        <f t="shared" si="47"/>
        <v>0</v>
      </c>
      <c r="AJ144" s="203"/>
    </row>
    <row r="145" spans="1:36" s="56" customFormat="1" ht="14.25">
      <c r="A145" s="44"/>
      <c r="B145" s="45"/>
      <c r="C145" s="46">
        <f t="shared" si="32"/>
        <v>0</v>
      </c>
      <c r="D145" s="47"/>
      <c r="E145" s="47"/>
      <c r="F145" s="47"/>
      <c r="G145" s="47"/>
      <c r="H145" s="48"/>
      <c r="I145" s="75" t="str">
        <f t="shared" si="33"/>
        <v/>
      </c>
      <c r="J145" s="49"/>
      <c r="K145" s="49"/>
      <c r="L145" s="49"/>
      <c r="M145" s="47"/>
      <c r="N145" s="48" t="str">
        <f t="shared" si="34"/>
        <v/>
      </c>
      <c r="O145" s="48" t="str">
        <f t="shared" si="35"/>
        <v/>
      </c>
      <c r="P145" s="76" t="str">
        <f t="shared" si="36"/>
        <v/>
      </c>
      <c r="Q145" s="77">
        <f t="shared" si="37"/>
        <v>0</v>
      </c>
      <c r="R145" s="77">
        <f t="shared" si="38"/>
        <v>0</v>
      </c>
      <c r="S145" s="76">
        <f t="shared" si="46"/>
        <v>0</v>
      </c>
      <c r="T145" s="47"/>
      <c r="V145" s="57"/>
      <c r="W145" s="45"/>
      <c r="X145" s="46">
        <f t="shared" si="39"/>
        <v>0</v>
      </c>
      <c r="Y145" s="75" t="str">
        <f t="shared" si="40"/>
        <v/>
      </c>
      <c r="Z145" s="49"/>
      <c r="AA145" s="49"/>
      <c r="AB145" s="49"/>
      <c r="AC145" s="204"/>
      <c r="AD145" s="48" t="str">
        <f t="shared" si="41"/>
        <v/>
      </c>
      <c r="AE145" s="48" t="str">
        <f t="shared" si="42"/>
        <v/>
      </c>
      <c r="AF145" s="76" t="str">
        <f t="shared" si="43"/>
        <v/>
      </c>
      <c r="AG145" s="77">
        <f t="shared" si="44"/>
        <v>0</v>
      </c>
      <c r="AH145" s="77">
        <f t="shared" si="45"/>
        <v>0</v>
      </c>
      <c r="AI145" s="76">
        <f t="shared" si="47"/>
        <v>0</v>
      </c>
      <c r="AJ145" s="203"/>
    </row>
    <row r="146" spans="1:36" s="56" customFormat="1" ht="14.25">
      <c r="A146" s="44"/>
      <c r="B146" s="45"/>
      <c r="C146" s="46">
        <f t="shared" si="32"/>
        <v>0</v>
      </c>
      <c r="D146" s="47"/>
      <c r="E146" s="47"/>
      <c r="F146" s="47"/>
      <c r="G146" s="47"/>
      <c r="H146" s="48"/>
      <c r="I146" s="75" t="str">
        <f t="shared" si="33"/>
        <v/>
      </c>
      <c r="J146" s="49"/>
      <c r="K146" s="49"/>
      <c r="L146" s="49"/>
      <c r="M146" s="47"/>
      <c r="N146" s="48" t="str">
        <f t="shared" si="34"/>
        <v/>
      </c>
      <c r="O146" s="48" t="str">
        <f t="shared" si="35"/>
        <v/>
      </c>
      <c r="P146" s="76" t="str">
        <f t="shared" si="36"/>
        <v/>
      </c>
      <c r="Q146" s="77">
        <f t="shared" si="37"/>
        <v>0</v>
      </c>
      <c r="R146" s="77">
        <f t="shared" si="38"/>
        <v>0</v>
      </c>
      <c r="S146" s="76">
        <f t="shared" si="46"/>
        <v>0</v>
      </c>
      <c r="T146" s="47"/>
      <c r="V146" s="57"/>
      <c r="W146" s="45"/>
      <c r="X146" s="46">
        <f t="shared" si="39"/>
        <v>0</v>
      </c>
      <c r="Y146" s="75" t="str">
        <f t="shared" si="40"/>
        <v/>
      </c>
      <c r="Z146" s="49"/>
      <c r="AA146" s="49"/>
      <c r="AB146" s="49"/>
      <c r="AC146" s="204"/>
      <c r="AD146" s="48" t="str">
        <f t="shared" si="41"/>
        <v/>
      </c>
      <c r="AE146" s="48" t="str">
        <f t="shared" si="42"/>
        <v/>
      </c>
      <c r="AF146" s="76" t="str">
        <f t="shared" si="43"/>
        <v/>
      </c>
      <c r="AG146" s="77">
        <f t="shared" si="44"/>
        <v>0</v>
      </c>
      <c r="AH146" s="77">
        <f t="shared" si="45"/>
        <v>0</v>
      </c>
      <c r="AI146" s="76">
        <f t="shared" si="47"/>
        <v>0</v>
      </c>
      <c r="AJ146" s="203"/>
    </row>
    <row r="147" spans="1:36" s="56" customFormat="1" ht="14.25">
      <c r="A147" s="44"/>
      <c r="B147" s="45"/>
      <c r="C147" s="46">
        <f t="shared" si="32"/>
        <v>0</v>
      </c>
      <c r="D147" s="47"/>
      <c r="E147" s="47"/>
      <c r="F147" s="47"/>
      <c r="G147" s="47"/>
      <c r="H147" s="48"/>
      <c r="I147" s="75" t="str">
        <f t="shared" si="33"/>
        <v/>
      </c>
      <c r="J147" s="49"/>
      <c r="K147" s="49"/>
      <c r="L147" s="49"/>
      <c r="M147" s="47"/>
      <c r="N147" s="48" t="str">
        <f t="shared" si="34"/>
        <v/>
      </c>
      <c r="O147" s="48" t="str">
        <f t="shared" si="35"/>
        <v/>
      </c>
      <c r="P147" s="76" t="str">
        <f t="shared" si="36"/>
        <v/>
      </c>
      <c r="Q147" s="77">
        <f t="shared" si="37"/>
        <v>0</v>
      </c>
      <c r="R147" s="77">
        <f t="shared" si="38"/>
        <v>0</v>
      </c>
      <c r="S147" s="76">
        <f t="shared" si="46"/>
        <v>0</v>
      </c>
      <c r="T147" s="47"/>
      <c r="V147" s="57"/>
      <c r="W147" s="45"/>
      <c r="X147" s="46">
        <f t="shared" si="39"/>
        <v>0</v>
      </c>
      <c r="Y147" s="75" t="str">
        <f t="shared" si="40"/>
        <v/>
      </c>
      <c r="Z147" s="49"/>
      <c r="AA147" s="49"/>
      <c r="AB147" s="49"/>
      <c r="AC147" s="204"/>
      <c r="AD147" s="48" t="str">
        <f t="shared" si="41"/>
        <v/>
      </c>
      <c r="AE147" s="48" t="str">
        <f t="shared" si="42"/>
        <v/>
      </c>
      <c r="AF147" s="76" t="str">
        <f t="shared" si="43"/>
        <v/>
      </c>
      <c r="AG147" s="77">
        <f t="shared" si="44"/>
        <v>0</v>
      </c>
      <c r="AH147" s="77">
        <f t="shared" si="45"/>
        <v>0</v>
      </c>
      <c r="AI147" s="76">
        <f t="shared" si="47"/>
        <v>0</v>
      </c>
      <c r="AJ147" s="203"/>
    </row>
    <row r="148" spans="1:36" s="56" customFormat="1" ht="14.25">
      <c r="A148" s="44"/>
      <c r="B148" s="45"/>
      <c r="C148" s="46">
        <f t="shared" si="32"/>
        <v>0</v>
      </c>
      <c r="D148" s="47"/>
      <c r="E148" s="47"/>
      <c r="F148" s="47"/>
      <c r="G148" s="47"/>
      <c r="H148" s="48"/>
      <c r="I148" s="75" t="str">
        <f t="shared" si="33"/>
        <v/>
      </c>
      <c r="J148" s="49"/>
      <c r="K148" s="49"/>
      <c r="L148" s="49"/>
      <c r="M148" s="47"/>
      <c r="N148" s="48" t="str">
        <f t="shared" si="34"/>
        <v/>
      </c>
      <c r="O148" s="48" t="str">
        <f t="shared" si="35"/>
        <v/>
      </c>
      <c r="P148" s="76" t="str">
        <f t="shared" si="36"/>
        <v/>
      </c>
      <c r="Q148" s="77">
        <f t="shared" si="37"/>
        <v>0</v>
      </c>
      <c r="R148" s="77">
        <f t="shared" si="38"/>
        <v>0</v>
      </c>
      <c r="S148" s="76">
        <f t="shared" si="46"/>
        <v>0</v>
      </c>
      <c r="T148" s="47"/>
      <c r="V148" s="57"/>
      <c r="W148" s="45"/>
      <c r="X148" s="46">
        <f t="shared" si="39"/>
        <v>0</v>
      </c>
      <c r="Y148" s="75" t="str">
        <f t="shared" si="40"/>
        <v/>
      </c>
      <c r="Z148" s="49"/>
      <c r="AA148" s="49"/>
      <c r="AB148" s="49"/>
      <c r="AC148" s="204"/>
      <c r="AD148" s="48" t="str">
        <f t="shared" si="41"/>
        <v/>
      </c>
      <c r="AE148" s="48" t="str">
        <f t="shared" si="42"/>
        <v/>
      </c>
      <c r="AF148" s="76" t="str">
        <f t="shared" si="43"/>
        <v/>
      </c>
      <c r="AG148" s="77">
        <f t="shared" si="44"/>
        <v>0</v>
      </c>
      <c r="AH148" s="77">
        <f t="shared" si="45"/>
        <v>0</v>
      </c>
      <c r="AI148" s="76">
        <f t="shared" si="47"/>
        <v>0</v>
      </c>
      <c r="AJ148" s="203"/>
    </row>
    <row r="149" spans="1:36" s="56" customFormat="1" ht="14.25">
      <c r="A149" s="44"/>
      <c r="B149" s="45"/>
      <c r="C149" s="46">
        <f t="shared" si="32"/>
        <v>0</v>
      </c>
      <c r="D149" s="47"/>
      <c r="E149" s="47"/>
      <c r="F149" s="47"/>
      <c r="G149" s="47"/>
      <c r="H149" s="48"/>
      <c r="I149" s="75" t="str">
        <f t="shared" si="33"/>
        <v/>
      </c>
      <c r="J149" s="49"/>
      <c r="K149" s="49"/>
      <c r="L149" s="49"/>
      <c r="M149" s="47"/>
      <c r="N149" s="48" t="str">
        <f t="shared" si="34"/>
        <v/>
      </c>
      <c r="O149" s="48" t="str">
        <f t="shared" si="35"/>
        <v/>
      </c>
      <c r="P149" s="76" t="str">
        <f t="shared" si="36"/>
        <v/>
      </c>
      <c r="Q149" s="77">
        <f t="shared" si="37"/>
        <v>0</v>
      </c>
      <c r="R149" s="77">
        <f t="shared" si="38"/>
        <v>0</v>
      </c>
      <c r="S149" s="76">
        <f t="shared" si="46"/>
        <v>0</v>
      </c>
      <c r="T149" s="47"/>
      <c r="V149" s="57"/>
      <c r="W149" s="45"/>
      <c r="X149" s="46">
        <f t="shared" si="39"/>
        <v>0</v>
      </c>
      <c r="Y149" s="75" t="str">
        <f t="shared" si="40"/>
        <v/>
      </c>
      <c r="Z149" s="49"/>
      <c r="AA149" s="49"/>
      <c r="AB149" s="49"/>
      <c r="AC149" s="204"/>
      <c r="AD149" s="48" t="str">
        <f t="shared" si="41"/>
        <v/>
      </c>
      <c r="AE149" s="48" t="str">
        <f t="shared" si="42"/>
        <v/>
      </c>
      <c r="AF149" s="76" t="str">
        <f t="shared" si="43"/>
        <v/>
      </c>
      <c r="AG149" s="77">
        <f t="shared" si="44"/>
        <v>0</v>
      </c>
      <c r="AH149" s="77">
        <f t="shared" si="45"/>
        <v>0</v>
      </c>
      <c r="AI149" s="76">
        <f t="shared" si="47"/>
        <v>0</v>
      </c>
      <c r="AJ149" s="203"/>
    </row>
    <row r="150" spans="1:36" s="56" customFormat="1" ht="14.25">
      <c r="A150" s="44"/>
      <c r="B150" s="45"/>
      <c r="C150" s="46">
        <f t="shared" si="32"/>
        <v>0</v>
      </c>
      <c r="D150" s="47"/>
      <c r="E150" s="47"/>
      <c r="F150" s="47"/>
      <c r="G150" s="47"/>
      <c r="H150" s="48"/>
      <c r="I150" s="75" t="str">
        <f t="shared" si="33"/>
        <v/>
      </c>
      <c r="J150" s="49"/>
      <c r="K150" s="49"/>
      <c r="L150" s="49"/>
      <c r="M150" s="47"/>
      <c r="N150" s="48" t="str">
        <f t="shared" si="34"/>
        <v/>
      </c>
      <c r="O150" s="48" t="str">
        <f t="shared" si="35"/>
        <v/>
      </c>
      <c r="P150" s="76" t="str">
        <f t="shared" si="36"/>
        <v/>
      </c>
      <c r="Q150" s="77">
        <f t="shared" si="37"/>
        <v>0</v>
      </c>
      <c r="R150" s="77">
        <f t="shared" si="38"/>
        <v>0</v>
      </c>
      <c r="S150" s="76">
        <f t="shared" si="46"/>
        <v>0</v>
      </c>
      <c r="T150" s="47"/>
      <c r="V150" s="57"/>
      <c r="W150" s="45"/>
      <c r="X150" s="46">
        <f t="shared" si="39"/>
        <v>0</v>
      </c>
      <c r="Y150" s="75" t="str">
        <f t="shared" si="40"/>
        <v/>
      </c>
      <c r="Z150" s="49"/>
      <c r="AA150" s="49"/>
      <c r="AB150" s="49"/>
      <c r="AC150" s="204"/>
      <c r="AD150" s="48" t="str">
        <f t="shared" si="41"/>
        <v/>
      </c>
      <c r="AE150" s="48" t="str">
        <f t="shared" si="42"/>
        <v/>
      </c>
      <c r="AF150" s="76" t="str">
        <f t="shared" si="43"/>
        <v/>
      </c>
      <c r="AG150" s="77">
        <f t="shared" si="44"/>
        <v>0</v>
      </c>
      <c r="AH150" s="77">
        <f t="shared" si="45"/>
        <v>0</v>
      </c>
      <c r="AI150" s="76">
        <f t="shared" si="47"/>
        <v>0</v>
      </c>
      <c r="AJ150" s="203"/>
    </row>
    <row r="151" spans="1:36" s="56" customFormat="1" ht="14.25">
      <c r="A151" s="44"/>
      <c r="B151" s="45"/>
      <c r="C151" s="46">
        <f t="shared" si="32"/>
        <v>0</v>
      </c>
      <c r="D151" s="47"/>
      <c r="E151" s="47"/>
      <c r="F151" s="47"/>
      <c r="G151" s="47"/>
      <c r="H151" s="48"/>
      <c r="I151" s="75" t="str">
        <f t="shared" si="33"/>
        <v/>
      </c>
      <c r="J151" s="49"/>
      <c r="K151" s="49"/>
      <c r="L151" s="49"/>
      <c r="M151" s="47"/>
      <c r="N151" s="48" t="str">
        <f t="shared" si="34"/>
        <v/>
      </c>
      <c r="O151" s="48" t="str">
        <f t="shared" si="35"/>
        <v/>
      </c>
      <c r="P151" s="76" t="str">
        <f t="shared" si="36"/>
        <v/>
      </c>
      <c r="Q151" s="77">
        <f t="shared" si="37"/>
        <v>0</v>
      </c>
      <c r="R151" s="77">
        <f t="shared" si="38"/>
        <v>0</v>
      </c>
      <c r="S151" s="76">
        <f t="shared" si="46"/>
        <v>0</v>
      </c>
      <c r="T151" s="47"/>
      <c r="V151" s="57"/>
      <c r="W151" s="45"/>
      <c r="X151" s="46">
        <f t="shared" si="39"/>
        <v>0</v>
      </c>
      <c r="Y151" s="75" t="str">
        <f t="shared" si="40"/>
        <v/>
      </c>
      <c r="Z151" s="49"/>
      <c r="AA151" s="49"/>
      <c r="AB151" s="49"/>
      <c r="AC151" s="204"/>
      <c r="AD151" s="48" t="str">
        <f t="shared" si="41"/>
        <v/>
      </c>
      <c r="AE151" s="48" t="str">
        <f t="shared" si="42"/>
        <v/>
      </c>
      <c r="AF151" s="76" t="str">
        <f t="shared" si="43"/>
        <v/>
      </c>
      <c r="AG151" s="77">
        <f t="shared" si="44"/>
        <v>0</v>
      </c>
      <c r="AH151" s="77">
        <f t="shared" si="45"/>
        <v>0</v>
      </c>
      <c r="AI151" s="76">
        <f t="shared" si="47"/>
        <v>0</v>
      </c>
      <c r="AJ151" s="203"/>
    </row>
    <row r="152" spans="1:36" s="56" customFormat="1" ht="14.25">
      <c r="A152" s="44"/>
      <c r="B152" s="45"/>
      <c r="C152" s="46">
        <f t="shared" si="32"/>
        <v>0</v>
      </c>
      <c r="D152" s="47"/>
      <c r="E152" s="47"/>
      <c r="F152" s="47"/>
      <c r="G152" s="47"/>
      <c r="H152" s="48"/>
      <c r="I152" s="75" t="str">
        <f t="shared" si="33"/>
        <v/>
      </c>
      <c r="J152" s="49"/>
      <c r="K152" s="49"/>
      <c r="L152" s="49"/>
      <c r="M152" s="47"/>
      <c r="N152" s="48" t="str">
        <f t="shared" si="34"/>
        <v/>
      </c>
      <c r="O152" s="48" t="str">
        <f t="shared" si="35"/>
        <v/>
      </c>
      <c r="P152" s="76" t="str">
        <f t="shared" si="36"/>
        <v/>
      </c>
      <c r="Q152" s="77">
        <f t="shared" si="37"/>
        <v>0</v>
      </c>
      <c r="R152" s="77">
        <f t="shared" si="38"/>
        <v>0</v>
      </c>
      <c r="S152" s="76">
        <f t="shared" si="46"/>
        <v>0</v>
      </c>
      <c r="T152" s="47"/>
      <c r="V152" s="57"/>
      <c r="W152" s="45"/>
      <c r="X152" s="46">
        <f t="shared" si="39"/>
        <v>0</v>
      </c>
      <c r="Y152" s="75" t="str">
        <f t="shared" si="40"/>
        <v/>
      </c>
      <c r="Z152" s="49"/>
      <c r="AA152" s="49"/>
      <c r="AB152" s="49"/>
      <c r="AC152" s="204"/>
      <c r="AD152" s="48" t="str">
        <f t="shared" si="41"/>
        <v/>
      </c>
      <c r="AE152" s="48" t="str">
        <f t="shared" si="42"/>
        <v/>
      </c>
      <c r="AF152" s="76" t="str">
        <f t="shared" si="43"/>
        <v/>
      </c>
      <c r="AG152" s="77">
        <f t="shared" si="44"/>
        <v>0</v>
      </c>
      <c r="AH152" s="77">
        <f t="shared" si="45"/>
        <v>0</v>
      </c>
      <c r="AI152" s="76">
        <f t="shared" si="47"/>
        <v>0</v>
      </c>
      <c r="AJ152" s="203"/>
    </row>
    <row r="153" spans="1:36" s="56" customFormat="1" ht="14.25">
      <c r="A153" s="44"/>
      <c r="B153" s="45"/>
      <c r="C153" s="46">
        <f t="shared" si="32"/>
        <v>0</v>
      </c>
      <c r="D153" s="47"/>
      <c r="E153" s="47"/>
      <c r="F153" s="47"/>
      <c r="G153" s="47"/>
      <c r="H153" s="48"/>
      <c r="I153" s="75" t="str">
        <f t="shared" si="33"/>
        <v/>
      </c>
      <c r="J153" s="49"/>
      <c r="K153" s="49"/>
      <c r="L153" s="49"/>
      <c r="M153" s="47"/>
      <c r="N153" s="48" t="str">
        <f t="shared" si="34"/>
        <v/>
      </c>
      <c r="O153" s="48" t="str">
        <f t="shared" si="35"/>
        <v/>
      </c>
      <c r="P153" s="76" t="str">
        <f t="shared" si="36"/>
        <v/>
      </c>
      <c r="Q153" s="77">
        <f t="shared" si="37"/>
        <v>0</v>
      </c>
      <c r="R153" s="77">
        <f t="shared" si="38"/>
        <v>0</v>
      </c>
      <c r="S153" s="76">
        <f t="shared" si="46"/>
        <v>0</v>
      </c>
      <c r="T153" s="47"/>
      <c r="V153" s="57"/>
      <c r="W153" s="45"/>
      <c r="X153" s="46">
        <f t="shared" si="39"/>
        <v>0</v>
      </c>
      <c r="Y153" s="75" t="str">
        <f t="shared" si="40"/>
        <v/>
      </c>
      <c r="Z153" s="49"/>
      <c r="AA153" s="49"/>
      <c r="AB153" s="49"/>
      <c r="AC153" s="204"/>
      <c r="AD153" s="48" t="str">
        <f t="shared" si="41"/>
        <v/>
      </c>
      <c r="AE153" s="48" t="str">
        <f t="shared" si="42"/>
        <v/>
      </c>
      <c r="AF153" s="76" t="str">
        <f t="shared" si="43"/>
        <v/>
      </c>
      <c r="AG153" s="77">
        <f t="shared" si="44"/>
        <v>0</v>
      </c>
      <c r="AH153" s="77">
        <f t="shared" si="45"/>
        <v>0</v>
      </c>
      <c r="AI153" s="76">
        <f t="shared" si="47"/>
        <v>0</v>
      </c>
      <c r="AJ153" s="203"/>
    </row>
    <row r="154" spans="1:36" s="56" customFormat="1" ht="14.25">
      <c r="A154" s="44"/>
      <c r="B154" s="45"/>
      <c r="C154" s="46">
        <f t="shared" si="32"/>
        <v>0</v>
      </c>
      <c r="D154" s="47"/>
      <c r="E154" s="47"/>
      <c r="F154" s="47"/>
      <c r="G154" s="47"/>
      <c r="H154" s="48"/>
      <c r="I154" s="75" t="str">
        <f t="shared" si="33"/>
        <v/>
      </c>
      <c r="J154" s="49"/>
      <c r="K154" s="49"/>
      <c r="L154" s="49"/>
      <c r="M154" s="47"/>
      <c r="N154" s="48" t="str">
        <f t="shared" si="34"/>
        <v/>
      </c>
      <c r="O154" s="48" t="str">
        <f t="shared" si="35"/>
        <v/>
      </c>
      <c r="P154" s="76" t="str">
        <f t="shared" si="36"/>
        <v/>
      </c>
      <c r="Q154" s="77">
        <f t="shared" si="37"/>
        <v>0</v>
      </c>
      <c r="R154" s="77">
        <f t="shared" si="38"/>
        <v>0</v>
      </c>
      <c r="S154" s="76">
        <f t="shared" si="46"/>
        <v>0</v>
      </c>
      <c r="T154" s="47"/>
      <c r="V154" s="57"/>
      <c r="W154" s="45"/>
      <c r="X154" s="46">
        <f t="shared" si="39"/>
        <v>0</v>
      </c>
      <c r="Y154" s="75" t="str">
        <f t="shared" si="40"/>
        <v/>
      </c>
      <c r="Z154" s="49"/>
      <c r="AA154" s="49"/>
      <c r="AB154" s="49"/>
      <c r="AC154" s="204"/>
      <c r="AD154" s="48" t="str">
        <f t="shared" si="41"/>
        <v/>
      </c>
      <c r="AE154" s="48" t="str">
        <f t="shared" si="42"/>
        <v/>
      </c>
      <c r="AF154" s="76" t="str">
        <f t="shared" si="43"/>
        <v/>
      </c>
      <c r="AG154" s="77">
        <f t="shared" si="44"/>
        <v>0</v>
      </c>
      <c r="AH154" s="77">
        <f t="shared" si="45"/>
        <v>0</v>
      </c>
      <c r="AI154" s="76">
        <f t="shared" si="47"/>
        <v>0</v>
      </c>
      <c r="AJ154" s="203"/>
    </row>
    <row r="155" spans="1:36" s="56" customFormat="1" ht="14.25">
      <c r="A155" s="44"/>
      <c r="B155" s="45"/>
      <c r="C155" s="46">
        <f t="shared" si="32"/>
        <v>0</v>
      </c>
      <c r="D155" s="47"/>
      <c r="E155" s="47"/>
      <c r="F155" s="47"/>
      <c r="G155" s="47"/>
      <c r="H155" s="48"/>
      <c r="I155" s="75" t="str">
        <f t="shared" si="33"/>
        <v/>
      </c>
      <c r="J155" s="49"/>
      <c r="K155" s="49"/>
      <c r="L155" s="49"/>
      <c r="M155" s="47"/>
      <c r="N155" s="48" t="str">
        <f t="shared" si="34"/>
        <v/>
      </c>
      <c r="O155" s="48" t="str">
        <f t="shared" si="35"/>
        <v/>
      </c>
      <c r="P155" s="76" t="str">
        <f t="shared" si="36"/>
        <v/>
      </c>
      <c r="Q155" s="77">
        <f t="shared" si="37"/>
        <v>0</v>
      </c>
      <c r="R155" s="77">
        <f t="shared" si="38"/>
        <v>0</v>
      </c>
      <c r="S155" s="76">
        <f t="shared" si="46"/>
        <v>0</v>
      </c>
      <c r="T155" s="47"/>
      <c r="V155" s="57"/>
      <c r="W155" s="45"/>
      <c r="X155" s="46">
        <f t="shared" si="39"/>
        <v>0</v>
      </c>
      <c r="Y155" s="75" t="str">
        <f t="shared" si="40"/>
        <v/>
      </c>
      <c r="Z155" s="49"/>
      <c r="AA155" s="49"/>
      <c r="AB155" s="49"/>
      <c r="AC155" s="204"/>
      <c r="AD155" s="48" t="str">
        <f t="shared" si="41"/>
        <v/>
      </c>
      <c r="AE155" s="48" t="str">
        <f t="shared" si="42"/>
        <v/>
      </c>
      <c r="AF155" s="76" t="str">
        <f t="shared" si="43"/>
        <v/>
      </c>
      <c r="AG155" s="77">
        <f t="shared" si="44"/>
        <v>0</v>
      </c>
      <c r="AH155" s="77">
        <f t="shared" si="45"/>
        <v>0</v>
      </c>
      <c r="AI155" s="76">
        <f t="shared" si="47"/>
        <v>0</v>
      </c>
      <c r="AJ155" s="203"/>
    </row>
    <row r="156" spans="1:36" s="56" customFormat="1" ht="14.25">
      <c r="A156" s="44"/>
      <c r="B156" s="45"/>
      <c r="C156" s="46">
        <f t="shared" si="32"/>
        <v>0</v>
      </c>
      <c r="D156" s="47"/>
      <c r="E156" s="47"/>
      <c r="F156" s="47"/>
      <c r="G156" s="47"/>
      <c r="H156" s="48"/>
      <c r="I156" s="75" t="str">
        <f t="shared" si="33"/>
        <v/>
      </c>
      <c r="J156" s="49"/>
      <c r="K156" s="49"/>
      <c r="L156" s="49"/>
      <c r="M156" s="47"/>
      <c r="N156" s="48" t="str">
        <f t="shared" si="34"/>
        <v/>
      </c>
      <c r="O156" s="48" t="str">
        <f t="shared" si="35"/>
        <v/>
      </c>
      <c r="P156" s="76" t="str">
        <f t="shared" si="36"/>
        <v/>
      </c>
      <c r="Q156" s="77">
        <f t="shared" si="37"/>
        <v>0</v>
      </c>
      <c r="R156" s="77">
        <f t="shared" si="38"/>
        <v>0</v>
      </c>
      <c r="S156" s="76">
        <f t="shared" si="46"/>
        <v>0</v>
      </c>
      <c r="T156" s="47"/>
      <c r="V156" s="57"/>
      <c r="W156" s="45"/>
      <c r="X156" s="46">
        <f t="shared" si="39"/>
        <v>0</v>
      </c>
      <c r="Y156" s="75" t="str">
        <f t="shared" si="40"/>
        <v/>
      </c>
      <c r="Z156" s="49"/>
      <c r="AA156" s="49"/>
      <c r="AB156" s="49"/>
      <c r="AC156" s="204"/>
      <c r="AD156" s="48" t="str">
        <f t="shared" si="41"/>
        <v/>
      </c>
      <c r="AE156" s="48" t="str">
        <f t="shared" si="42"/>
        <v/>
      </c>
      <c r="AF156" s="76" t="str">
        <f t="shared" si="43"/>
        <v/>
      </c>
      <c r="AG156" s="77">
        <f t="shared" si="44"/>
        <v>0</v>
      </c>
      <c r="AH156" s="77">
        <f t="shared" si="45"/>
        <v>0</v>
      </c>
      <c r="AI156" s="76">
        <f t="shared" si="47"/>
        <v>0</v>
      </c>
      <c r="AJ156" s="203"/>
    </row>
    <row r="157" spans="1:36" s="56" customFormat="1" ht="14.25">
      <c r="A157" s="44"/>
      <c r="B157" s="45"/>
      <c r="C157" s="46">
        <f t="shared" si="32"/>
        <v>0</v>
      </c>
      <c r="D157" s="47"/>
      <c r="E157" s="47"/>
      <c r="F157" s="47"/>
      <c r="G157" s="47"/>
      <c r="H157" s="48"/>
      <c r="I157" s="75" t="str">
        <f t="shared" si="33"/>
        <v/>
      </c>
      <c r="J157" s="49"/>
      <c r="K157" s="49"/>
      <c r="L157" s="49"/>
      <c r="M157" s="47"/>
      <c r="N157" s="48" t="str">
        <f t="shared" si="34"/>
        <v/>
      </c>
      <c r="O157" s="48" t="str">
        <f t="shared" si="35"/>
        <v/>
      </c>
      <c r="P157" s="76" t="str">
        <f t="shared" si="36"/>
        <v/>
      </c>
      <c r="Q157" s="77">
        <f t="shared" si="37"/>
        <v>0</v>
      </c>
      <c r="R157" s="77">
        <f t="shared" si="38"/>
        <v>0</v>
      </c>
      <c r="S157" s="76">
        <f t="shared" si="46"/>
        <v>0</v>
      </c>
      <c r="T157" s="47"/>
      <c r="V157" s="57"/>
      <c r="W157" s="45"/>
      <c r="X157" s="46">
        <f t="shared" si="39"/>
        <v>0</v>
      </c>
      <c r="Y157" s="75" t="str">
        <f t="shared" si="40"/>
        <v/>
      </c>
      <c r="Z157" s="49"/>
      <c r="AA157" s="49"/>
      <c r="AB157" s="49"/>
      <c r="AC157" s="204"/>
      <c r="AD157" s="48" t="str">
        <f t="shared" si="41"/>
        <v/>
      </c>
      <c r="AE157" s="48" t="str">
        <f t="shared" si="42"/>
        <v/>
      </c>
      <c r="AF157" s="76" t="str">
        <f t="shared" si="43"/>
        <v/>
      </c>
      <c r="AG157" s="77">
        <f t="shared" si="44"/>
        <v>0</v>
      </c>
      <c r="AH157" s="77">
        <f t="shared" si="45"/>
        <v>0</v>
      </c>
      <c r="AI157" s="76">
        <f t="shared" si="47"/>
        <v>0</v>
      </c>
      <c r="AJ157" s="203"/>
    </row>
    <row r="158" spans="1:36" s="56" customFormat="1" ht="14.25">
      <c r="A158" s="44"/>
      <c r="B158" s="45"/>
      <c r="C158" s="46">
        <f t="shared" si="32"/>
        <v>0</v>
      </c>
      <c r="D158" s="47"/>
      <c r="E158" s="47"/>
      <c r="F158" s="47"/>
      <c r="G158" s="47"/>
      <c r="H158" s="48"/>
      <c r="I158" s="75" t="str">
        <f t="shared" si="33"/>
        <v/>
      </c>
      <c r="J158" s="49"/>
      <c r="K158" s="49"/>
      <c r="L158" s="49"/>
      <c r="M158" s="47"/>
      <c r="N158" s="48" t="str">
        <f t="shared" si="34"/>
        <v/>
      </c>
      <c r="O158" s="48" t="str">
        <f t="shared" si="35"/>
        <v/>
      </c>
      <c r="P158" s="76" t="str">
        <f t="shared" si="36"/>
        <v/>
      </c>
      <c r="Q158" s="77">
        <f t="shared" si="37"/>
        <v>0</v>
      </c>
      <c r="R158" s="77">
        <f t="shared" si="38"/>
        <v>0</v>
      </c>
      <c r="S158" s="76">
        <f t="shared" si="46"/>
        <v>0</v>
      </c>
      <c r="T158" s="47"/>
      <c r="V158" s="57"/>
      <c r="W158" s="45"/>
      <c r="X158" s="46">
        <f t="shared" si="39"/>
        <v>0</v>
      </c>
      <c r="Y158" s="75" t="str">
        <f t="shared" si="40"/>
        <v/>
      </c>
      <c r="Z158" s="49"/>
      <c r="AA158" s="49"/>
      <c r="AB158" s="49"/>
      <c r="AC158" s="204"/>
      <c r="AD158" s="48" t="str">
        <f t="shared" si="41"/>
        <v/>
      </c>
      <c r="AE158" s="48" t="str">
        <f t="shared" si="42"/>
        <v/>
      </c>
      <c r="AF158" s="76" t="str">
        <f t="shared" si="43"/>
        <v/>
      </c>
      <c r="AG158" s="77">
        <f t="shared" si="44"/>
        <v>0</v>
      </c>
      <c r="AH158" s="77">
        <f t="shared" si="45"/>
        <v>0</v>
      </c>
      <c r="AI158" s="76">
        <f t="shared" si="47"/>
        <v>0</v>
      </c>
      <c r="AJ158" s="203"/>
    </row>
    <row r="159" spans="1:36" s="56" customFormat="1" ht="14.25">
      <c r="A159" s="44"/>
      <c r="B159" s="45"/>
      <c r="C159" s="46">
        <f t="shared" si="32"/>
        <v>0</v>
      </c>
      <c r="D159" s="47"/>
      <c r="E159" s="47"/>
      <c r="F159" s="47"/>
      <c r="G159" s="47"/>
      <c r="H159" s="48"/>
      <c r="I159" s="75" t="str">
        <f t="shared" si="33"/>
        <v/>
      </c>
      <c r="J159" s="49"/>
      <c r="K159" s="49"/>
      <c r="L159" s="49"/>
      <c r="M159" s="47"/>
      <c r="N159" s="48" t="str">
        <f t="shared" si="34"/>
        <v/>
      </c>
      <c r="O159" s="48" t="str">
        <f t="shared" si="35"/>
        <v/>
      </c>
      <c r="P159" s="76" t="str">
        <f t="shared" si="36"/>
        <v/>
      </c>
      <c r="Q159" s="77">
        <f t="shared" si="37"/>
        <v>0</v>
      </c>
      <c r="R159" s="77">
        <f t="shared" si="38"/>
        <v>0</v>
      </c>
      <c r="S159" s="76">
        <f t="shared" si="46"/>
        <v>0</v>
      </c>
      <c r="T159" s="47"/>
      <c r="V159" s="57"/>
      <c r="W159" s="45"/>
      <c r="X159" s="46">
        <f t="shared" si="39"/>
        <v>0</v>
      </c>
      <c r="Y159" s="75" t="str">
        <f t="shared" si="40"/>
        <v/>
      </c>
      <c r="Z159" s="49"/>
      <c r="AA159" s="49"/>
      <c r="AB159" s="49"/>
      <c r="AC159" s="204"/>
      <c r="AD159" s="48" t="str">
        <f t="shared" si="41"/>
        <v/>
      </c>
      <c r="AE159" s="48" t="str">
        <f t="shared" si="42"/>
        <v/>
      </c>
      <c r="AF159" s="76" t="str">
        <f t="shared" si="43"/>
        <v/>
      </c>
      <c r="AG159" s="77">
        <f t="shared" si="44"/>
        <v>0</v>
      </c>
      <c r="AH159" s="77">
        <f t="shared" si="45"/>
        <v>0</v>
      </c>
      <c r="AI159" s="76">
        <f t="shared" si="47"/>
        <v>0</v>
      </c>
      <c r="AJ159" s="203"/>
    </row>
    <row r="160" spans="1:36" s="56" customFormat="1" ht="14.25">
      <c r="A160" s="44"/>
      <c r="B160" s="45"/>
      <c r="C160" s="46">
        <f t="shared" si="32"/>
        <v>0</v>
      </c>
      <c r="D160" s="47"/>
      <c r="E160" s="47"/>
      <c r="F160" s="47"/>
      <c r="G160" s="47"/>
      <c r="H160" s="48"/>
      <c r="I160" s="75" t="str">
        <f t="shared" si="33"/>
        <v/>
      </c>
      <c r="J160" s="49"/>
      <c r="K160" s="49"/>
      <c r="L160" s="49"/>
      <c r="M160" s="47"/>
      <c r="N160" s="48" t="str">
        <f t="shared" si="34"/>
        <v/>
      </c>
      <c r="O160" s="48" t="str">
        <f t="shared" si="35"/>
        <v/>
      </c>
      <c r="P160" s="76" t="str">
        <f t="shared" si="36"/>
        <v/>
      </c>
      <c r="Q160" s="77">
        <f t="shared" si="37"/>
        <v>0</v>
      </c>
      <c r="R160" s="77">
        <f t="shared" si="38"/>
        <v>0</v>
      </c>
      <c r="S160" s="76">
        <f t="shared" si="46"/>
        <v>0</v>
      </c>
      <c r="T160" s="47"/>
      <c r="V160" s="57"/>
      <c r="W160" s="45"/>
      <c r="X160" s="46">
        <f t="shared" si="39"/>
        <v>0</v>
      </c>
      <c r="Y160" s="75" t="str">
        <f t="shared" si="40"/>
        <v/>
      </c>
      <c r="Z160" s="49"/>
      <c r="AA160" s="49"/>
      <c r="AB160" s="49"/>
      <c r="AC160" s="204"/>
      <c r="AD160" s="48" t="str">
        <f t="shared" si="41"/>
        <v/>
      </c>
      <c r="AE160" s="48" t="str">
        <f t="shared" si="42"/>
        <v/>
      </c>
      <c r="AF160" s="76" t="str">
        <f t="shared" si="43"/>
        <v/>
      </c>
      <c r="AG160" s="77">
        <f t="shared" si="44"/>
        <v>0</v>
      </c>
      <c r="AH160" s="77">
        <f t="shared" si="45"/>
        <v>0</v>
      </c>
      <c r="AI160" s="76">
        <f t="shared" si="47"/>
        <v>0</v>
      </c>
      <c r="AJ160" s="203"/>
    </row>
    <row r="161" spans="1:36" s="56" customFormat="1" ht="14.25">
      <c r="A161" s="44"/>
      <c r="B161" s="45"/>
      <c r="C161" s="46">
        <f t="shared" si="32"/>
        <v>0</v>
      </c>
      <c r="D161" s="47"/>
      <c r="E161" s="47"/>
      <c r="F161" s="47"/>
      <c r="G161" s="47"/>
      <c r="H161" s="48"/>
      <c r="I161" s="75" t="str">
        <f t="shared" si="33"/>
        <v/>
      </c>
      <c r="J161" s="49"/>
      <c r="K161" s="49"/>
      <c r="L161" s="49"/>
      <c r="M161" s="47"/>
      <c r="N161" s="48" t="str">
        <f t="shared" si="34"/>
        <v/>
      </c>
      <c r="O161" s="48" t="str">
        <f t="shared" si="35"/>
        <v/>
      </c>
      <c r="P161" s="76" t="str">
        <f t="shared" si="36"/>
        <v/>
      </c>
      <c r="Q161" s="77">
        <f t="shared" si="37"/>
        <v>0</v>
      </c>
      <c r="R161" s="77">
        <f t="shared" si="38"/>
        <v>0</v>
      </c>
      <c r="S161" s="76">
        <f t="shared" si="46"/>
        <v>0</v>
      </c>
      <c r="T161" s="47"/>
      <c r="V161" s="57"/>
      <c r="W161" s="45"/>
      <c r="X161" s="46">
        <f t="shared" si="39"/>
        <v>0</v>
      </c>
      <c r="Y161" s="75" t="str">
        <f t="shared" si="40"/>
        <v/>
      </c>
      <c r="Z161" s="49"/>
      <c r="AA161" s="49"/>
      <c r="AB161" s="49"/>
      <c r="AC161" s="204"/>
      <c r="AD161" s="48" t="str">
        <f t="shared" si="41"/>
        <v/>
      </c>
      <c r="AE161" s="48" t="str">
        <f t="shared" si="42"/>
        <v/>
      </c>
      <c r="AF161" s="76" t="str">
        <f t="shared" si="43"/>
        <v/>
      </c>
      <c r="AG161" s="77">
        <f t="shared" si="44"/>
        <v>0</v>
      </c>
      <c r="AH161" s="77">
        <f t="shared" si="45"/>
        <v>0</v>
      </c>
      <c r="AI161" s="76">
        <f t="shared" si="47"/>
        <v>0</v>
      </c>
      <c r="AJ161" s="203"/>
    </row>
    <row r="162" spans="1:36" s="56" customFormat="1" ht="14.25">
      <c r="A162" s="44"/>
      <c r="B162" s="45"/>
      <c r="C162" s="46">
        <f t="shared" si="32"/>
        <v>0</v>
      </c>
      <c r="D162" s="47"/>
      <c r="E162" s="47"/>
      <c r="F162" s="47"/>
      <c r="G162" s="47"/>
      <c r="H162" s="48"/>
      <c r="I162" s="75" t="str">
        <f t="shared" si="33"/>
        <v/>
      </c>
      <c r="J162" s="49"/>
      <c r="K162" s="49"/>
      <c r="L162" s="49"/>
      <c r="M162" s="47"/>
      <c r="N162" s="48" t="str">
        <f t="shared" si="34"/>
        <v/>
      </c>
      <c r="O162" s="48" t="str">
        <f t="shared" si="35"/>
        <v/>
      </c>
      <c r="P162" s="76" t="str">
        <f t="shared" si="36"/>
        <v/>
      </c>
      <c r="Q162" s="77">
        <f t="shared" si="37"/>
        <v>0</v>
      </c>
      <c r="R162" s="77">
        <f t="shared" si="38"/>
        <v>0</v>
      </c>
      <c r="S162" s="76">
        <f t="shared" si="46"/>
        <v>0</v>
      </c>
      <c r="T162" s="47"/>
      <c r="V162" s="57"/>
      <c r="W162" s="45"/>
      <c r="X162" s="46">
        <f t="shared" si="39"/>
        <v>0</v>
      </c>
      <c r="Y162" s="75" t="str">
        <f t="shared" si="40"/>
        <v/>
      </c>
      <c r="Z162" s="49"/>
      <c r="AA162" s="49"/>
      <c r="AB162" s="49"/>
      <c r="AC162" s="204"/>
      <c r="AD162" s="48" t="str">
        <f t="shared" si="41"/>
        <v/>
      </c>
      <c r="AE162" s="48" t="str">
        <f t="shared" si="42"/>
        <v/>
      </c>
      <c r="AF162" s="76" t="str">
        <f t="shared" si="43"/>
        <v/>
      </c>
      <c r="AG162" s="77">
        <f t="shared" si="44"/>
        <v>0</v>
      </c>
      <c r="AH162" s="77">
        <f t="shared" si="45"/>
        <v>0</v>
      </c>
      <c r="AI162" s="76">
        <f t="shared" si="47"/>
        <v>0</v>
      </c>
      <c r="AJ162" s="203"/>
    </row>
    <row r="163" spans="1:36" s="56" customFormat="1" ht="14.25">
      <c r="A163" s="44"/>
      <c r="B163" s="45"/>
      <c r="C163" s="46">
        <f t="shared" si="32"/>
        <v>0</v>
      </c>
      <c r="D163" s="47"/>
      <c r="E163" s="47"/>
      <c r="F163" s="47"/>
      <c r="G163" s="47"/>
      <c r="H163" s="48"/>
      <c r="I163" s="75" t="str">
        <f t="shared" si="33"/>
        <v/>
      </c>
      <c r="J163" s="49"/>
      <c r="K163" s="49"/>
      <c r="L163" s="49"/>
      <c r="M163" s="47"/>
      <c r="N163" s="48" t="str">
        <f t="shared" si="34"/>
        <v/>
      </c>
      <c r="O163" s="48" t="str">
        <f t="shared" si="35"/>
        <v/>
      </c>
      <c r="P163" s="76" t="str">
        <f t="shared" si="36"/>
        <v/>
      </c>
      <c r="Q163" s="77">
        <f t="shared" si="37"/>
        <v>0</v>
      </c>
      <c r="R163" s="77">
        <f t="shared" si="38"/>
        <v>0</v>
      </c>
      <c r="S163" s="76">
        <f t="shared" si="46"/>
        <v>0</v>
      </c>
      <c r="T163" s="47"/>
      <c r="V163" s="57"/>
      <c r="W163" s="45"/>
      <c r="X163" s="46">
        <f t="shared" si="39"/>
        <v>0</v>
      </c>
      <c r="Y163" s="75" t="str">
        <f t="shared" si="40"/>
        <v/>
      </c>
      <c r="Z163" s="49"/>
      <c r="AA163" s="49"/>
      <c r="AB163" s="49"/>
      <c r="AC163" s="204"/>
      <c r="AD163" s="48" t="str">
        <f t="shared" si="41"/>
        <v/>
      </c>
      <c r="AE163" s="48" t="str">
        <f t="shared" si="42"/>
        <v/>
      </c>
      <c r="AF163" s="76" t="str">
        <f t="shared" si="43"/>
        <v/>
      </c>
      <c r="AG163" s="77">
        <f t="shared" si="44"/>
        <v>0</v>
      </c>
      <c r="AH163" s="77">
        <f t="shared" si="45"/>
        <v>0</v>
      </c>
      <c r="AI163" s="76">
        <f t="shared" si="47"/>
        <v>0</v>
      </c>
      <c r="AJ163" s="203"/>
    </row>
    <row r="164" spans="1:36" s="56" customFormat="1" ht="14.25">
      <c r="A164" s="44"/>
      <c r="B164" s="45"/>
      <c r="C164" s="46">
        <f t="shared" si="32"/>
        <v>0</v>
      </c>
      <c r="D164" s="47"/>
      <c r="E164" s="47"/>
      <c r="F164" s="47"/>
      <c r="G164" s="47"/>
      <c r="H164" s="48"/>
      <c r="I164" s="75" t="str">
        <f t="shared" si="33"/>
        <v/>
      </c>
      <c r="J164" s="49"/>
      <c r="K164" s="49"/>
      <c r="L164" s="49"/>
      <c r="M164" s="47"/>
      <c r="N164" s="48" t="str">
        <f t="shared" si="34"/>
        <v/>
      </c>
      <c r="O164" s="48" t="str">
        <f t="shared" si="35"/>
        <v/>
      </c>
      <c r="P164" s="76" t="str">
        <f t="shared" si="36"/>
        <v/>
      </c>
      <c r="Q164" s="77">
        <f t="shared" si="37"/>
        <v>0</v>
      </c>
      <c r="R164" s="77">
        <f t="shared" si="38"/>
        <v>0</v>
      </c>
      <c r="S164" s="76">
        <f t="shared" si="46"/>
        <v>0</v>
      </c>
      <c r="T164" s="47"/>
      <c r="V164" s="57"/>
      <c r="W164" s="45"/>
      <c r="X164" s="46">
        <f t="shared" si="39"/>
        <v>0</v>
      </c>
      <c r="Y164" s="75" t="str">
        <f t="shared" si="40"/>
        <v/>
      </c>
      <c r="Z164" s="49"/>
      <c r="AA164" s="49"/>
      <c r="AB164" s="49"/>
      <c r="AC164" s="204"/>
      <c r="AD164" s="48" t="str">
        <f t="shared" si="41"/>
        <v/>
      </c>
      <c r="AE164" s="48" t="str">
        <f t="shared" si="42"/>
        <v/>
      </c>
      <c r="AF164" s="76" t="str">
        <f t="shared" si="43"/>
        <v/>
      </c>
      <c r="AG164" s="77">
        <f t="shared" si="44"/>
        <v>0</v>
      </c>
      <c r="AH164" s="77">
        <f t="shared" si="45"/>
        <v>0</v>
      </c>
      <c r="AI164" s="76">
        <f t="shared" si="47"/>
        <v>0</v>
      </c>
      <c r="AJ164" s="203"/>
    </row>
    <row r="165" spans="1:36" s="56" customFormat="1" ht="14.25">
      <c r="A165" s="44"/>
      <c r="B165" s="45"/>
      <c r="C165" s="46">
        <f t="shared" si="32"/>
        <v>0</v>
      </c>
      <c r="D165" s="47"/>
      <c r="E165" s="47"/>
      <c r="F165" s="47"/>
      <c r="G165" s="47"/>
      <c r="H165" s="48"/>
      <c r="I165" s="75" t="str">
        <f t="shared" si="33"/>
        <v/>
      </c>
      <c r="J165" s="49"/>
      <c r="K165" s="49"/>
      <c r="L165" s="49"/>
      <c r="M165" s="47"/>
      <c r="N165" s="48" t="str">
        <f t="shared" si="34"/>
        <v/>
      </c>
      <c r="O165" s="48" t="str">
        <f t="shared" si="35"/>
        <v/>
      </c>
      <c r="P165" s="76" t="str">
        <f t="shared" si="36"/>
        <v/>
      </c>
      <c r="Q165" s="77">
        <f t="shared" si="37"/>
        <v>0</v>
      </c>
      <c r="R165" s="77">
        <f t="shared" si="38"/>
        <v>0</v>
      </c>
      <c r="S165" s="76">
        <f t="shared" si="46"/>
        <v>0</v>
      </c>
      <c r="T165" s="47"/>
      <c r="V165" s="57"/>
      <c r="W165" s="45"/>
      <c r="X165" s="46">
        <f t="shared" si="39"/>
        <v>0</v>
      </c>
      <c r="Y165" s="75" t="str">
        <f t="shared" si="40"/>
        <v/>
      </c>
      <c r="Z165" s="49"/>
      <c r="AA165" s="49"/>
      <c r="AB165" s="49"/>
      <c r="AC165" s="204"/>
      <c r="AD165" s="48" t="str">
        <f t="shared" si="41"/>
        <v/>
      </c>
      <c r="AE165" s="48" t="str">
        <f t="shared" si="42"/>
        <v/>
      </c>
      <c r="AF165" s="76" t="str">
        <f t="shared" si="43"/>
        <v/>
      </c>
      <c r="AG165" s="77">
        <f t="shared" si="44"/>
        <v>0</v>
      </c>
      <c r="AH165" s="77">
        <f t="shared" si="45"/>
        <v>0</v>
      </c>
      <c r="AI165" s="76">
        <f t="shared" si="47"/>
        <v>0</v>
      </c>
      <c r="AJ165" s="203"/>
    </row>
    <row r="166" spans="1:36" s="56" customFormat="1" ht="14.25">
      <c r="A166" s="44"/>
      <c r="B166" s="45"/>
      <c r="C166" s="46">
        <f t="shared" si="32"/>
        <v>0</v>
      </c>
      <c r="D166" s="47"/>
      <c r="E166" s="47"/>
      <c r="F166" s="47"/>
      <c r="G166" s="47"/>
      <c r="H166" s="48"/>
      <c r="I166" s="75" t="str">
        <f t="shared" si="33"/>
        <v/>
      </c>
      <c r="J166" s="49"/>
      <c r="K166" s="49"/>
      <c r="L166" s="49"/>
      <c r="M166" s="47"/>
      <c r="N166" s="48" t="str">
        <f t="shared" si="34"/>
        <v/>
      </c>
      <c r="O166" s="48" t="str">
        <f t="shared" si="35"/>
        <v/>
      </c>
      <c r="P166" s="76" t="str">
        <f t="shared" si="36"/>
        <v/>
      </c>
      <c r="Q166" s="77">
        <f t="shared" si="37"/>
        <v>0</v>
      </c>
      <c r="R166" s="77">
        <f t="shared" si="38"/>
        <v>0</v>
      </c>
      <c r="S166" s="76">
        <f t="shared" si="46"/>
        <v>0</v>
      </c>
      <c r="T166" s="47"/>
      <c r="V166" s="57"/>
      <c r="W166" s="45"/>
      <c r="X166" s="46">
        <f t="shared" si="39"/>
        <v>0</v>
      </c>
      <c r="Y166" s="75" t="str">
        <f t="shared" si="40"/>
        <v/>
      </c>
      <c r="Z166" s="49"/>
      <c r="AA166" s="49"/>
      <c r="AB166" s="49"/>
      <c r="AC166" s="204"/>
      <c r="AD166" s="48" t="str">
        <f t="shared" si="41"/>
        <v/>
      </c>
      <c r="AE166" s="48" t="str">
        <f t="shared" si="42"/>
        <v/>
      </c>
      <c r="AF166" s="76" t="str">
        <f t="shared" si="43"/>
        <v/>
      </c>
      <c r="AG166" s="77">
        <f t="shared" si="44"/>
        <v>0</v>
      </c>
      <c r="AH166" s="77">
        <f t="shared" si="45"/>
        <v>0</v>
      </c>
      <c r="AI166" s="76">
        <f t="shared" si="47"/>
        <v>0</v>
      </c>
      <c r="AJ166" s="203"/>
    </row>
    <row r="167" spans="1:36" s="56" customFormat="1" ht="14.25">
      <c r="A167" s="44"/>
      <c r="B167" s="45"/>
      <c r="C167" s="46">
        <f t="shared" si="32"/>
        <v>0</v>
      </c>
      <c r="D167" s="47"/>
      <c r="E167" s="47"/>
      <c r="F167" s="47"/>
      <c r="G167" s="47"/>
      <c r="H167" s="48"/>
      <c r="I167" s="75" t="str">
        <f t="shared" si="33"/>
        <v/>
      </c>
      <c r="J167" s="49"/>
      <c r="K167" s="49"/>
      <c r="L167" s="49"/>
      <c r="M167" s="47"/>
      <c r="N167" s="48" t="str">
        <f t="shared" si="34"/>
        <v/>
      </c>
      <c r="O167" s="48" t="str">
        <f t="shared" si="35"/>
        <v/>
      </c>
      <c r="P167" s="76" t="str">
        <f t="shared" si="36"/>
        <v/>
      </c>
      <c r="Q167" s="77">
        <f t="shared" si="37"/>
        <v>0</v>
      </c>
      <c r="R167" s="77">
        <f t="shared" si="38"/>
        <v>0</v>
      </c>
      <c r="S167" s="76">
        <f t="shared" si="46"/>
        <v>0</v>
      </c>
      <c r="T167" s="47"/>
      <c r="V167" s="57"/>
      <c r="W167" s="45"/>
      <c r="X167" s="46">
        <f t="shared" si="39"/>
        <v>0</v>
      </c>
      <c r="Y167" s="75" t="str">
        <f t="shared" si="40"/>
        <v/>
      </c>
      <c r="Z167" s="49"/>
      <c r="AA167" s="49"/>
      <c r="AB167" s="49"/>
      <c r="AC167" s="204"/>
      <c r="AD167" s="48" t="str">
        <f t="shared" si="41"/>
        <v/>
      </c>
      <c r="AE167" s="48" t="str">
        <f t="shared" si="42"/>
        <v/>
      </c>
      <c r="AF167" s="76" t="str">
        <f t="shared" si="43"/>
        <v/>
      </c>
      <c r="AG167" s="77">
        <f t="shared" si="44"/>
        <v>0</v>
      </c>
      <c r="AH167" s="77">
        <f t="shared" si="45"/>
        <v>0</v>
      </c>
      <c r="AI167" s="76">
        <f t="shared" si="47"/>
        <v>0</v>
      </c>
      <c r="AJ167" s="203"/>
    </row>
    <row r="168" spans="1:36" s="56" customFormat="1" ht="14.25">
      <c r="A168" s="44"/>
      <c r="B168" s="45"/>
      <c r="C168" s="46">
        <f t="shared" si="32"/>
        <v>0</v>
      </c>
      <c r="D168" s="47"/>
      <c r="E168" s="47"/>
      <c r="F168" s="47"/>
      <c r="G168" s="47"/>
      <c r="H168" s="48"/>
      <c r="I168" s="75" t="str">
        <f t="shared" si="33"/>
        <v/>
      </c>
      <c r="J168" s="49"/>
      <c r="K168" s="49"/>
      <c r="L168" s="49"/>
      <c r="M168" s="47"/>
      <c r="N168" s="48" t="str">
        <f t="shared" si="34"/>
        <v/>
      </c>
      <c r="O168" s="48" t="str">
        <f t="shared" si="35"/>
        <v/>
      </c>
      <c r="P168" s="76" t="str">
        <f t="shared" si="36"/>
        <v/>
      </c>
      <c r="Q168" s="77">
        <f t="shared" si="37"/>
        <v>0</v>
      </c>
      <c r="R168" s="77">
        <f t="shared" si="38"/>
        <v>0</v>
      </c>
      <c r="S168" s="76">
        <f t="shared" si="46"/>
        <v>0</v>
      </c>
      <c r="T168" s="47"/>
      <c r="V168" s="57"/>
      <c r="W168" s="45"/>
      <c r="X168" s="46">
        <f t="shared" si="39"/>
        <v>0</v>
      </c>
      <c r="Y168" s="75" t="str">
        <f t="shared" si="40"/>
        <v/>
      </c>
      <c r="Z168" s="49"/>
      <c r="AA168" s="49"/>
      <c r="AB168" s="49"/>
      <c r="AC168" s="204"/>
      <c r="AD168" s="48" t="str">
        <f t="shared" si="41"/>
        <v/>
      </c>
      <c r="AE168" s="48" t="str">
        <f t="shared" si="42"/>
        <v/>
      </c>
      <c r="AF168" s="76" t="str">
        <f t="shared" si="43"/>
        <v/>
      </c>
      <c r="AG168" s="77">
        <f t="shared" si="44"/>
        <v>0</v>
      </c>
      <c r="AH168" s="77">
        <f t="shared" si="45"/>
        <v>0</v>
      </c>
      <c r="AI168" s="76">
        <f t="shared" si="47"/>
        <v>0</v>
      </c>
      <c r="AJ168" s="203"/>
    </row>
    <row r="169" spans="1:36" s="56" customFormat="1" ht="14.25">
      <c r="A169" s="44"/>
      <c r="B169" s="45"/>
      <c r="C169" s="46">
        <f t="shared" si="32"/>
        <v>0</v>
      </c>
      <c r="D169" s="47"/>
      <c r="E169" s="47"/>
      <c r="F169" s="47"/>
      <c r="G169" s="47"/>
      <c r="H169" s="48"/>
      <c r="I169" s="75" t="str">
        <f t="shared" si="33"/>
        <v/>
      </c>
      <c r="J169" s="49"/>
      <c r="K169" s="49"/>
      <c r="L169" s="49"/>
      <c r="M169" s="47"/>
      <c r="N169" s="48" t="str">
        <f t="shared" si="34"/>
        <v/>
      </c>
      <c r="O169" s="48" t="str">
        <f t="shared" si="35"/>
        <v/>
      </c>
      <c r="P169" s="76" t="str">
        <f t="shared" si="36"/>
        <v/>
      </c>
      <c r="Q169" s="77">
        <f t="shared" si="37"/>
        <v>0</v>
      </c>
      <c r="R169" s="77">
        <f t="shared" si="38"/>
        <v>0</v>
      </c>
      <c r="S169" s="76">
        <f t="shared" si="46"/>
        <v>0</v>
      </c>
      <c r="T169" s="47"/>
      <c r="V169" s="57"/>
      <c r="W169" s="45"/>
      <c r="X169" s="46">
        <f t="shared" si="39"/>
        <v>0</v>
      </c>
      <c r="Y169" s="75" t="str">
        <f t="shared" si="40"/>
        <v/>
      </c>
      <c r="Z169" s="49"/>
      <c r="AA169" s="49"/>
      <c r="AB169" s="49"/>
      <c r="AC169" s="204"/>
      <c r="AD169" s="48" t="str">
        <f t="shared" si="41"/>
        <v/>
      </c>
      <c r="AE169" s="48" t="str">
        <f t="shared" si="42"/>
        <v/>
      </c>
      <c r="AF169" s="76" t="str">
        <f t="shared" si="43"/>
        <v/>
      </c>
      <c r="AG169" s="77">
        <f t="shared" si="44"/>
        <v>0</v>
      </c>
      <c r="AH169" s="77">
        <f t="shared" si="45"/>
        <v>0</v>
      </c>
      <c r="AI169" s="76">
        <f t="shared" si="47"/>
        <v>0</v>
      </c>
      <c r="AJ169" s="203"/>
    </row>
    <row r="170" spans="1:36" s="56" customFormat="1" ht="14.25">
      <c r="A170" s="44"/>
      <c r="B170" s="45"/>
      <c r="C170" s="46">
        <f t="shared" si="32"/>
        <v>0</v>
      </c>
      <c r="D170" s="47"/>
      <c r="E170" s="47"/>
      <c r="F170" s="47"/>
      <c r="G170" s="47"/>
      <c r="H170" s="48"/>
      <c r="I170" s="75" t="str">
        <f t="shared" si="33"/>
        <v/>
      </c>
      <c r="J170" s="49"/>
      <c r="K170" s="49"/>
      <c r="L170" s="49"/>
      <c r="M170" s="47"/>
      <c r="N170" s="48" t="str">
        <f t="shared" si="34"/>
        <v/>
      </c>
      <c r="O170" s="48" t="str">
        <f t="shared" si="35"/>
        <v/>
      </c>
      <c r="P170" s="76" t="str">
        <f t="shared" si="36"/>
        <v/>
      </c>
      <c r="Q170" s="77">
        <f t="shared" si="37"/>
        <v>0</v>
      </c>
      <c r="R170" s="77">
        <f t="shared" si="38"/>
        <v>0</v>
      </c>
      <c r="S170" s="76">
        <f t="shared" si="46"/>
        <v>0</v>
      </c>
      <c r="T170" s="47"/>
      <c r="V170" s="57"/>
      <c r="W170" s="45"/>
      <c r="X170" s="46">
        <f t="shared" si="39"/>
        <v>0</v>
      </c>
      <c r="Y170" s="75" t="str">
        <f t="shared" si="40"/>
        <v/>
      </c>
      <c r="Z170" s="49"/>
      <c r="AA170" s="49"/>
      <c r="AB170" s="49"/>
      <c r="AC170" s="204"/>
      <c r="AD170" s="48" t="str">
        <f t="shared" si="41"/>
        <v/>
      </c>
      <c r="AE170" s="48" t="str">
        <f t="shared" si="42"/>
        <v/>
      </c>
      <c r="AF170" s="76" t="str">
        <f t="shared" si="43"/>
        <v/>
      </c>
      <c r="AG170" s="77">
        <f t="shared" si="44"/>
        <v>0</v>
      </c>
      <c r="AH170" s="77">
        <f t="shared" si="45"/>
        <v>0</v>
      </c>
      <c r="AI170" s="76">
        <f t="shared" si="47"/>
        <v>0</v>
      </c>
      <c r="AJ170" s="203"/>
    </row>
    <row r="171" spans="1:36" s="56" customFormat="1" ht="14.25">
      <c r="A171" s="44"/>
      <c r="B171" s="45"/>
      <c r="C171" s="46">
        <f t="shared" si="32"/>
        <v>0</v>
      </c>
      <c r="D171" s="47"/>
      <c r="E171" s="47"/>
      <c r="F171" s="47"/>
      <c r="G171" s="47"/>
      <c r="H171" s="48"/>
      <c r="I171" s="75" t="str">
        <f t="shared" si="33"/>
        <v/>
      </c>
      <c r="J171" s="49"/>
      <c r="K171" s="49"/>
      <c r="L171" s="49"/>
      <c r="M171" s="47"/>
      <c r="N171" s="48" t="str">
        <f t="shared" si="34"/>
        <v/>
      </c>
      <c r="O171" s="48" t="str">
        <f t="shared" si="35"/>
        <v/>
      </c>
      <c r="P171" s="76" t="str">
        <f t="shared" si="36"/>
        <v/>
      </c>
      <c r="Q171" s="77">
        <f t="shared" si="37"/>
        <v>0</v>
      </c>
      <c r="R171" s="77">
        <f t="shared" si="38"/>
        <v>0</v>
      </c>
      <c r="S171" s="76">
        <f t="shared" si="46"/>
        <v>0</v>
      </c>
      <c r="T171" s="47"/>
      <c r="V171" s="57"/>
      <c r="W171" s="45"/>
      <c r="X171" s="46">
        <f t="shared" si="39"/>
        <v>0</v>
      </c>
      <c r="Y171" s="75" t="str">
        <f t="shared" si="40"/>
        <v/>
      </c>
      <c r="Z171" s="49"/>
      <c r="AA171" s="49"/>
      <c r="AB171" s="49"/>
      <c r="AC171" s="204"/>
      <c r="AD171" s="48" t="str">
        <f t="shared" si="41"/>
        <v/>
      </c>
      <c r="AE171" s="48" t="str">
        <f t="shared" si="42"/>
        <v/>
      </c>
      <c r="AF171" s="76" t="str">
        <f t="shared" si="43"/>
        <v/>
      </c>
      <c r="AG171" s="77">
        <f t="shared" si="44"/>
        <v>0</v>
      </c>
      <c r="AH171" s="77">
        <f t="shared" si="45"/>
        <v>0</v>
      </c>
      <c r="AI171" s="76">
        <f t="shared" si="47"/>
        <v>0</v>
      </c>
      <c r="AJ171" s="203"/>
    </row>
    <row r="172" spans="1:36" s="56" customFormat="1" ht="14.25">
      <c r="A172" s="44"/>
      <c r="B172" s="45"/>
      <c r="C172" s="46">
        <f t="shared" si="32"/>
        <v>0</v>
      </c>
      <c r="D172" s="47"/>
      <c r="E172" s="47"/>
      <c r="F172" s="47"/>
      <c r="G172" s="47"/>
      <c r="H172" s="48"/>
      <c r="I172" s="75" t="str">
        <f t="shared" si="33"/>
        <v/>
      </c>
      <c r="J172" s="49"/>
      <c r="K172" s="49"/>
      <c r="L172" s="49"/>
      <c r="M172" s="47"/>
      <c r="N172" s="48" t="str">
        <f t="shared" si="34"/>
        <v/>
      </c>
      <c r="O172" s="48" t="str">
        <f t="shared" si="35"/>
        <v/>
      </c>
      <c r="P172" s="76" t="str">
        <f t="shared" si="36"/>
        <v/>
      </c>
      <c r="Q172" s="77">
        <f t="shared" si="37"/>
        <v>0</v>
      </c>
      <c r="R172" s="77">
        <f t="shared" si="38"/>
        <v>0</v>
      </c>
      <c r="S172" s="76">
        <f t="shared" si="46"/>
        <v>0</v>
      </c>
      <c r="T172" s="47"/>
      <c r="V172" s="57"/>
      <c r="W172" s="45"/>
      <c r="X172" s="46">
        <f t="shared" si="39"/>
        <v>0</v>
      </c>
      <c r="Y172" s="75" t="str">
        <f t="shared" si="40"/>
        <v/>
      </c>
      <c r="Z172" s="49"/>
      <c r="AA172" s="49"/>
      <c r="AB172" s="49"/>
      <c r="AC172" s="204"/>
      <c r="AD172" s="48" t="str">
        <f t="shared" si="41"/>
        <v/>
      </c>
      <c r="AE172" s="48" t="str">
        <f t="shared" si="42"/>
        <v/>
      </c>
      <c r="AF172" s="76" t="str">
        <f t="shared" si="43"/>
        <v/>
      </c>
      <c r="AG172" s="77">
        <f t="shared" si="44"/>
        <v>0</v>
      </c>
      <c r="AH172" s="77">
        <f t="shared" si="45"/>
        <v>0</v>
      </c>
      <c r="AI172" s="76">
        <f t="shared" si="47"/>
        <v>0</v>
      </c>
      <c r="AJ172" s="203"/>
    </row>
    <row r="173" spans="1:36" s="56" customFormat="1" ht="14.25">
      <c r="A173" s="44"/>
      <c r="B173" s="45"/>
      <c r="C173" s="46">
        <f t="shared" si="32"/>
        <v>0</v>
      </c>
      <c r="D173" s="47"/>
      <c r="E173" s="47"/>
      <c r="F173" s="47"/>
      <c r="G173" s="47"/>
      <c r="H173" s="48"/>
      <c r="I173" s="75" t="str">
        <f t="shared" si="33"/>
        <v/>
      </c>
      <c r="J173" s="49"/>
      <c r="K173" s="49"/>
      <c r="L173" s="49"/>
      <c r="M173" s="47"/>
      <c r="N173" s="48" t="str">
        <f t="shared" si="34"/>
        <v/>
      </c>
      <c r="O173" s="48" t="str">
        <f t="shared" si="35"/>
        <v/>
      </c>
      <c r="P173" s="76" t="str">
        <f t="shared" si="36"/>
        <v/>
      </c>
      <c r="Q173" s="77">
        <f t="shared" si="37"/>
        <v>0</v>
      </c>
      <c r="R173" s="77">
        <f t="shared" si="38"/>
        <v>0</v>
      </c>
      <c r="S173" s="76">
        <f t="shared" si="46"/>
        <v>0</v>
      </c>
      <c r="T173" s="47"/>
      <c r="V173" s="57"/>
      <c r="W173" s="45"/>
      <c r="X173" s="46">
        <f t="shared" si="39"/>
        <v>0</v>
      </c>
      <c r="Y173" s="75" t="str">
        <f t="shared" si="40"/>
        <v/>
      </c>
      <c r="Z173" s="49"/>
      <c r="AA173" s="49"/>
      <c r="AB173" s="49"/>
      <c r="AC173" s="204"/>
      <c r="AD173" s="48" t="str">
        <f t="shared" si="41"/>
        <v/>
      </c>
      <c r="AE173" s="48" t="str">
        <f t="shared" si="42"/>
        <v/>
      </c>
      <c r="AF173" s="76" t="str">
        <f t="shared" si="43"/>
        <v/>
      </c>
      <c r="AG173" s="77">
        <f t="shared" si="44"/>
        <v>0</v>
      </c>
      <c r="AH173" s="77">
        <f t="shared" si="45"/>
        <v>0</v>
      </c>
      <c r="AI173" s="76">
        <f t="shared" si="47"/>
        <v>0</v>
      </c>
      <c r="AJ173" s="203"/>
    </row>
    <row r="174" spans="1:36" s="56" customFormat="1" ht="14.25">
      <c r="A174" s="44"/>
      <c r="B174" s="45"/>
      <c r="C174" s="46">
        <f t="shared" si="32"/>
        <v>0</v>
      </c>
      <c r="D174" s="47"/>
      <c r="E174" s="47"/>
      <c r="F174" s="47"/>
      <c r="G174" s="47"/>
      <c r="H174" s="48"/>
      <c r="I174" s="75" t="str">
        <f t="shared" si="33"/>
        <v/>
      </c>
      <c r="J174" s="49"/>
      <c r="K174" s="49"/>
      <c r="L174" s="49"/>
      <c r="M174" s="47"/>
      <c r="N174" s="48" t="str">
        <f t="shared" si="34"/>
        <v/>
      </c>
      <c r="O174" s="48" t="str">
        <f t="shared" si="35"/>
        <v/>
      </c>
      <c r="P174" s="76" t="str">
        <f t="shared" si="36"/>
        <v/>
      </c>
      <c r="Q174" s="77">
        <f t="shared" si="37"/>
        <v>0</v>
      </c>
      <c r="R174" s="77">
        <f t="shared" si="38"/>
        <v>0</v>
      </c>
      <c r="S174" s="76">
        <f t="shared" si="46"/>
        <v>0</v>
      </c>
      <c r="T174" s="47"/>
      <c r="V174" s="57"/>
      <c r="W174" s="45"/>
      <c r="X174" s="46">
        <f t="shared" si="39"/>
        <v>0</v>
      </c>
      <c r="Y174" s="75" t="str">
        <f t="shared" si="40"/>
        <v/>
      </c>
      <c r="Z174" s="49"/>
      <c r="AA174" s="49"/>
      <c r="AB174" s="49"/>
      <c r="AC174" s="204"/>
      <c r="AD174" s="48" t="str">
        <f t="shared" si="41"/>
        <v/>
      </c>
      <c r="AE174" s="48" t="str">
        <f t="shared" si="42"/>
        <v/>
      </c>
      <c r="AF174" s="76" t="str">
        <f t="shared" si="43"/>
        <v/>
      </c>
      <c r="AG174" s="77">
        <f t="shared" si="44"/>
        <v>0</v>
      </c>
      <c r="AH174" s="77">
        <f t="shared" si="45"/>
        <v>0</v>
      </c>
      <c r="AI174" s="76">
        <f t="shared" si="47"/>
        <v>0</v>
      </c>
      <c r="AJ174" s="203"/>
    </row>
    <row r="175" spans="1:36" s="56" customFormat="1" ht="14.25">
      <c r="A175" s="44"/>
      <c r="B175" s="45"/>
      <c r="C175" s="46">
        <f t="shared" si="32"/>
        <v>0</v>
      </c>
      <c r="D175" s="47"/>
      <c r="E175" s="47"/>
      <c r="F175" s="47"/>
      <c r="G175" s="47"/>
      <c r="H175" s="48"/>
      <c r="I175" s="75" t="str">
        <f t="shared" si="33"/>
        <v/>
      </c>
      <c r="J175" s="49"/>
      <c r="K175" s="49"/>
      <c r="L175" s="49"/>
      <c r="M175" s="47"/>
      <c r="N175" s="48" t="str">
        <f t="shared" si="34"/>
        <v/>
      </c>
      <c r="O175" s="48" t="str">
        <f t="shared" si="35"/>
        <v/>
      </c>
      <c r="P175" s="76" t="str">
        <f t="shared" si="36"/>
        <v/>
      </c>
      <c r="Q175" s="77">
        <f t="shared" si="37"/>
        <v>0</v>
      </c>
      <c r="R175" s="77">
        <f t="shared" si="38"/>
        <v>0</v>
      </c>
      <c r="S175" s="76">
        <f t="shared" si="46"/>
        <v>0</v>
      </c>
      <c r="T175" s="47"/>
      <c r="V175" s="57"/>
      <c r="W175" s="45"/>
      <c r="X175" s="46">
        <f t="shared" si="39"/>
        <v>0</v>
      </c>
      <c r="Y175" s="75" t="str">
        <f t="shared" si="40"/>
        <v/>
      </c>
      <c r="Z175" s="49"/>
      <c r="AA175" s="49"/>
      <c r="AB175" s="49"/>
      <c r="AC175" s="204"/>
      <c r="AD175" s="48" t="str">
        <f t="shared" si="41"/>
        <v/>
      </c>
      <c r="AE175" s="48" t="str">
        <f t="shared" si="42"/>
        <v/>
      </c>
      <c r="AF175" s="76" t="str">
        <f t="shared" si="43"/>
        <v/>
      </c>
      <c r="AG175" s="77">
        <f t="shared" si="44"/>
        <v>0</v>
      </c>
      <c r="AH175" s="77">
        <f t="shared" si="45"/>
        <v>0</v>
      </c>
      <c r="AI175" s="76">
        <f t="shared" si="47"/>
        <v>0</v>
      </c>
      <c r="AJ175" s="203"/>
    </row>
    <row r="176" spans="1:36" s="56" customFormat="1" ht="14.25">
      <c r="A176" s="44"/>
      <c r="B176" s="45"/>
      <c r="C176" s="46">
        <f t="shared" si="32"/>
        <v>0</v>
      </c>
      <c r="D176" s="47"/>
      <c r="E176" s="47"/>
      <c r="F176" s="47"/>
      <c r="G176" s="47"/>
      <c r="H176" s="48"/>
      <c r="I176" s="75" t="str">
        <f t="shared" si="33"/>
        <v/>
      </c>
      <c r="J176" s="49"/>
      <c r="K176" s="49"/>
      <c r="L176" s="49"/>
      <c r="M176" s="47"/>
      <c r="N176" s="48" t="str">
        <f t="shared" si="34"/>
        <v/>
      </c>
      <c r="O176" s="48" t="str">
        <f t="shared" si="35"/>
        <v/>
      </c>
      <c r="P176" s="76" t="str">
        <f t="shared" si="36"/>
        <v/>
      </c>
      <c r="Q176" s="77">
        <f t="shared" si="37"/>
        <v>0</v>
      </c>
      <c r="R176" s="77">
        <f t="shared" si="38"/>
        <v>0</v>
      </c>
      <c r="S176" s="76">
        <f t="shared" si="46"/>
        <v>0</v>
      </c>
      <c r="T176" s="47"/>
      <c r="V176" s="57"/>
      <c r="W176" s="45"/>
      <c r="X176" s="46">
        <f t="shared" si="39"/>
        <v>0</v>
      </c>
      <c r="Y176" s="75" t="str">
        <f t="shared" si="40"/>
        <v/>
      </c>
      <c r="Z176" s="49"/>
      <c r="AA176" s="49"/>
      <c r="AB176" s="49"/>
      <c r="AC176" s="204"/>
      <c r="AD176" s="48" t="str">
        <f t="shared" si="41"/>
        <v/>
      </c>
      <c r="AE176" s="48" t="str">
        <f t="shared" si="42"/>
        <v/>
      </c>
      <c r="AF176" s="76" t="str">
        <f t="shared" si="43"/>
        <v/>
      </c>
      <c r="AG176" s="77">
        <f t="shared" si="44"/>
        <v>0</v>
      </c>
      <c r="AH176" s="77">
        <f t="shared" si="45"/>
        <v>0</v>
      </c>
      <c r="AI176" s="76">
        <f t="shared" si="47"/>
        <v>0</v>
      </c>
      <c r="AJ176" s="203"/>
    </row>
    <row r="177" spans="1:36" s="56" customFormat="1" ht="14.25">
      <c r="A177" s="44"/>
      <c r="B177" s="45"/>
      <c r="C177" s="46">
        <f t="shared" si="32"/>
        <v>0</v>
      </c>
      <c r="D177" s="47"/>
      <c r="E177" s="47"/>
      <c r="F177" s="47"/>
      <c r="G177" s="47"/>
      <c r="H177" s="48"/>
      <c r="I177" s="75" t="str">
        <f t="shared" si="33"/>
        <v/>
      </c>
      <c r="J177" s="49"/>
      <c r="K177" s="49"/>
      <c r="L177" s="49"/>
      <c r="M177" s="47"/>
      <c r="N177" s="48" t="str">
        <f t="shared" si="34"/>
        <v/>
      </c>
      <c r="O177" s="48" t="str">
        <f t="shared" si="35"/>
        <v/>
      </c>
      <c r="P177" s="76" t="str">
        <f t="shared" si="36"/>
        <v/>
      </c>
      <c r="Q177" s="77">
        <f t="shared" si="37"/>
        <v>0</v>
      </c>
      <c r="R177" s="77">
        <f t="shared" si="38"/>
        <v>0</v>
      </c>
      <c r="S177" s="76">
        <f t="shared" si="46"/>
        <v>0</v>
      </c>
      <c r="T177" s="47"/>
      <c r="V177" s="57"/>
      <c r="W177" s="45"/>
      <c r="X177" s="46">
        <f t="shared" si="39"/>
        <v>0</v>
      </c>
      <c r="Y177" s="75" t="str">
        <f t="shared" si="40"/>
        <v/>
      </c>
      <c r="Z177" s="49"/>
      <c r="AA177" s="49"/>
      <c r="AB177" s="49"/>
      <c r="AC177" s="204"/>
      <c r="AD177" s="48" t="str">
        <f t="shared" si="41"/>
        <v/>
      </c>
      <c r="AE177" s="48" t="str">
        <f t="shared" si="42"/>
        <v/>
      </c>
      <c r="AF177" s="76" t="str">
        <f t="shared" si="43"/>
        <v/>
      </c>
      <c r="AG177" s="77">
        <f t="shared" si="44"/>
        <v>0</v>
      </c>
      <c r="AH177" s="77">
        <f t="shared" si="45"/>
        <v>0</v>
      </c>
      <c r="AI177" s="76">
        <f t="shared" si="47"/>
        <v>0</v>
      </c>
      <c r="AJ177" s="203"/>
    </row>
    <row r="178" spans="1:36" s="56" customFormat="1" ht="14.25">
      <c r="A178" s="44"/>
      <c r="B178" s="45"/>
      <c r="C178" s="46">
        <f t="shared" si="32"/>
        <v>0</v>
      </c>
      <c r="D178" s="47"/>
      <c r="E178" s="47"/>
      <c r="F178" s="47"/>
      <c r="G178" s="47"/>
      <c r="H178" s="48"/>
      <c r="I178" s="75" t="str">
        <f t="shared" si="33"/>
        <v/>
      </c>
      <c r="J178" s="49"/>
      <c r="K178" s="49"/>
      <c r="L178" s="49"/>
      <c r="M178" s="47"/>
      <c r="N178" s="48" t="str">
        <f t="shared" si="34"/>
        <v/>
      </c>
      <c r="O178" s="48" t="str">
        <f t="shared" si="35"/>
        <v/>
      </c>
      <c r="P178" s="76" t="str">
        <f t="shared" si="36"/>
        <v/>
      </c>
      <c r="Q178" s="77">
        <f t="shared" si="37"/>
        <v>0</v>
      </c>
      <c r="R178" s="77">
        <f t="shared" si="38"/>
        <v>0</v>
      </c>
      <c r="S178" s="76">
        <f t="shared" si="46"/>
        <v>0</v>
      </c>
      <c r="T178" s="47"/>
      <c r="V178" s="57"/>
      <c r="W178" s="45"/>
      <c r="X178" s="46">
        <f t="shared" si="39"/>
        <v>0</v>
      </c>
      <c r="Y178" s="75" t="str">
        <f t="shared" si="40"/>
        <v/>
      </c>
      <c r="Z178" s="49"/>
      <c r="AA178" s="49"/>
      <c r="AB178" s="49"/>
      <c r="AC178" s="204"/>
      <c r="AD178" s="48" t="str">
        <f t="shared" si="41"/>
        <v/>
      </c>
      <c r="AE178" s="48" t="str">
        <f t="shared" si="42"/>
        <v/>
      </c>
      <c r="AF178" s="76" t="str">
        <f t="shared" si="43"/>
        <v/>
      </c>
      <c r="AG178" s="77">
        <f t="shared" si="44"/>
        <v>0</v>
      </c>
      <c r="AH178" s="77">
        <f t="shared" si="45"/>
        <v>0</v>
      </c>
      <c r="AI178" s="76">
        <f t="shared" si="47"/>
        <v>0</v>
      </c>
      <c r="AJ178" s="203"/>
    </row>
    <row r="179" spans="1:36" s="56" customFormat="1" ht="14.25">
      <c r="A179" s="44"/>
      <c r="B179" s="45"/>
      <c r="C179" s="46">
        <f t="shared" si="32"/>
        <v>0</v>
      </c>
      <c r="D179" s="47"/>
      <c r="E179" s="47"/>
      <c r="F179" s="47"/>
      <c r="G179" s="47"/>
      <c r="H179" s="48"/>
      <c r="I179" s="75" t="str">
        <f t="shared" si="33"/>
        <v/>
      </c>
      <c r="J179" s="49"/>
      <c r="K179" s="49"/>
      <c r="L179" s="49"/>
      <c r="M179" s="47"/>
      <c r="N179" s="48" t="str">
        <f t="shared" si="34"/>
        <v/>
      </c>
      <c r="O179" s="48" t="str">
        <f t="shared" si="35"/>
        <v/>
      </c>
      <c r="P179" s="76" t="str">
        <f t="shared" si="36"/>
        <v/>
      </c>
      <c r="Q179" s="77">
        <f t="shared" si="37"/>
        <v>0</v>
      </c>
      <c r="R179" s="77">
        <f t="shared" si="38"/>
        <v>0</v>
      </c>
      <c r="S179" s="76">
        <f t="shared" si="46"/>
        <v>0</v>
      </c>
      <c r="T179" s="47"/>
      <c r="V179" s="57"/>
      <c r="W179" s="45"/>
      <c r="X179" s="46">
        <f t="shared" si="39"/>
        <v>0</v>
      </c>
      <c r="Y179" s="75" t="str">
        <f t="shared" si="40"/>
        <v/>
      </c>
      <c r="Z179" s="49"/>
      <c r="AA179" s="49"/>
      <c r="AB179" s="49"/>
      <c r="AC179" s="204"/>
      <c r="AD179" s="48" t="str">
        <f t="shared" si="41"/>
        <v/>
      </c>
      <c r="AE179" s="48" t="str">
        <f t="shared" si="42"/>
        <v/>
      </c>
      <c r="AF179" s="76" t="str">
        <f t="shared" si="43"/>
        <v/>
      </c>
      <c r="AG179" s="77">
        <f t="shared" si="44"/>
        <v>0</v>
      </c>
      <c r="AH179" s="77">
        <f t="shared" si="45"/>
        <v>0</v>
      </c>
      <c r="AI179" s="76">
        <f t="shared" si="47"/>
        <v>0</v>
      </c>
      <c r="AJ179" s="203"/>
    </row>
    <row r="180" spans="1:36" s="56" customFormat="1" ht="14.25">
      <c r="A180" s="44"/>
      <c r="B180" s="45"/>
      <c r="C180" s="46">
        <f t="shared" si="32"/>
        <v>0</v>
      </c>
      <c r="D180" s="47"/>
      <c r="E180" s="47"/>
      <c r="F180" s="47"/>
      <c r="G180" s="47"/>
      <c r="H180" s="48"/>
      <c r="I180" s="75" t="str">
        <f t="shared" si="33"/>
        <v/>
      </c>
      <c r="J180" s="49"/>
      <c r="K180" s="49"/>
      <c r="L180" s="49"/>
      <c r="M180" s="47"/>
      <c r="N180" s="48" t="str">
        <f t="shared" si="34"/>
        <v/>
      </c>
      <c r="O180" s="48" t="str">
        <f t="shared" si="35"/>
        <v/>
      </c>
      <c r="P180" s="76" t="str">
        <f t="shared" si="36"/>
        <v/>
      </c>
      <c r="Q180" s="77">
        <f t="shared" si="37"/>
        <v>0</v>
      </c>
      <c r="R180" s="77">
        <f t="shared" si="38"/>
        <v>0</v>
      </c>
      <c r="S180" s="76">
        <f t="shared" si="46"/>
        <v>0</v>
      </c>
      <c r="T180" s="47"/>
      <c r="V180" s="57"/>
      <c r="W180" s="45"/>
      <c r="X180" s="46">
        <f t="shared" si="39"/>
        <v>0</v>
      </c>
      <c r="Y180" s="75" t="str">
        <f t="shared" si="40"/>
        <v/>
      </c>
      <c r="Z180" s="49"/>
      <c r="AA180" s="49"/>
      <c r="AB180" s="49"/>
      <c r="AC180" s="204"/>
      <c r="AD180" s="48" t="str">
        <f t="shared" si="41"/>
        <v/>
      </c>
      <c r="AE180" s="48" t="str">
        <f t="shared" si="42"/>
        <v/>
      </c>
      <c r="AF180" s="76" t="str">
        <f t="shared" si="43"/>
        <v/>
      </c>
      <c r="AG180" s="77">
        <f t="shared" si="44"/>
        <v>0</v>
      </c>
      <c r="AH180" s="77">
        <f t="shared" si="45"/>
        <v>0</v>
      </c>
      <c r="AI180" s="76">
        <f t="shared" si="47"/>
        <v>0</v>
      </c>
      <c r="AJ180" s="203"/>
    </row>
    <row r="181" spans="1:36" s="56" customFormat="1" ht="14.25">
      <c r="A181" s="44"/>
      <c r="B181" s="45"/>
      <c r="C181" s="46">
        <f t="shared" si="32"/>
        <v>0</v>
      </c>
      <c r="D181" s="47"/>
      <c r="E181" s="47"/>
      <c r="F181" s="47"/>
      <c r="G181" s="47"/>
      <c r="H181" s="48"/>
      <c r="I181" s="75" t="str">
        <f t="shared" si="33"/>
        <v/>
      </c>
      <c r="J181" s="49"/>
      <c r="K181" s="49"/>
      <c r="L181" s="49"/>
      <c r="M181" s="47"/>
      <c r="N181" s="48" t="str">
        <f t="shared" si="34"/>
        <v/>
      </c>
      <c r="O181" s="48" t="str">
        <f t="shared" si="35"/>
        <v/>
      </c>
      <c r="P181" s="76" t="str">
        <f t="shared" si="36"/>
        <v/>
      </c>
      <c r="Q181" s="77">
        <f t="shared" si="37"/>
        <v>0</v>
      </c>
      <c r="R181" s="77">
        <f t="shared" si="38"/>
        <v>0</v>
      </c>
      <c r="S181" s="76">
        <f t="shared" si="46"/>
        <v>0</v>
      </c>
      <c r="T181" s="47"/>
      <c r="V181" s="57"/>
      <c r="W181" s="45"/>
      <c r="X181" s="46">
        <f t="shared" si="39"/>
        <v>0</v>
      </c>
      <c r="Y181" s="75" t="str">
        <f t="shared" si="40"/>
        <v/>
      </c>
      <c r="Z181" s="49"/>
      <c r="AA181" s="49"/>
      <c r="AB181" s="49"/>
      <c r="AC181" s="204"/>
      <c r="AD181" s="48" t="str">
        <f t="shared" si="41"/>
        <v/>
      </c>
      <c r="AE181" s="48" t="str">
        <f t="shared" si="42"/>
        <v/>
      </c>
      <c r="AF181" s="76" t="str">
        <f t="shared" si="43"/>
        <v/>
      </c>
      <c r="AG181" s="77">
        <f t="shared" si="44"/>
        <v>0</v>
      </c>
      <c r="AH181" s="77">
        <f t="shared" si="45"/>
        <v>0</v>
      </c>
      <c r="AI181" s="76">
        <f t="shared" si="47"/>
        <v>0</v>
      </c>
      <c r="AJ181" s="203"/>
    </row>
    <row r="182" spans="1:36" s="56" customFormat="1" ht="14.25">
      <c r="A182" s="44"/>
      <c r="B182" s="45"/>
      <c r="C182" s="46">
        <f t="shared" si="32"/>
        <v>0</v>
      </c>
      <c r="D182" s="47"/>
      <c r="E182" s="47"/>
      <c r="F182" s="47"/>
      <c r="G182" s="47"/>
      <c r="H182" s="48"/>
      <c r="I182" s="75" t="str">
        <f t="shared" si="33"/>
        <v/>
      </c>
      <c r="J182" s="49"/>
      <c r="K182" s="49"/>
      <c r="L182" s="49"/>
      <c r="M182" s="47"/>
      <c r="N182" s="48" t="str">
        <f t="shared" si="34"/>
        <v/>
      </c>
      <c r="O182" s="48" t="str">
        <f t="shared" si="35"/>
        <v/>
      </c>
      <c r="P182" s="76" t="str">
        <f t="shared" si="36"/>
        <v/>
      </c>
      <c r="Q182" s="77">
        <f t="shared" si="37"/>
        <v>0</v>
      </c>
      <c r="R182" s="77">
        <f t="shared" si="38"/>
        <v>0</v>
      </c>
      <c r="S182" s="76">
        <f t="shared" si="46"/>
        <v>0</v>
      </c>
      <c r="T182" s="47"/>
      <c r="V182" s="57"/>
      <c r="W182" s="45"/>
      <c r="X182" s="46">
        <f t="shared" si="39"/>
        <v>0</v>
      </c>
      <c r="Y182" s="75" t="str">
        <f t="shared" si="40"/>
        <v/>
      </c>
      <c r="Z182" s="49"/>
      <c r="AA182" s="49"/>
      <c r="AB182" s="49"/>
      <c r="AC182" s="204"/>
      <c r="AD182" s="48" t="str">
        <f t="shared" si="41"/>
        <v/>
      </c>
      <c r="AE182" s="48" t="str">
        <f t="shared" si="42"/>
        <v/>
      </c>
      <c r="AF182" s="76" t="str">
        <f t="shared" si="43"/>
        <v/>
      </c>
      <c r="AG182" s="77">
        <f t="shared" si="44"/>
        <v>0</v>
      </c>
      <c r="AH182" s="77">
        <f t="shared" si="45"/>
        <v>0</v>
      </c>
      <c r="AI182" s="76">
        <f t="shared" si="47"/>
        <v>0</v>
      </c>
      <c r="AJ182" s="203"/>
    </row>
    <row r="183" spans="1:36" s="56" customFormat="1" ht="14.25">
      <c r="A183" s="44"/>
      <c r="B183" s="45"/>
      <c r="C183" s="46">
        <f t="shared" si="32"/>
        <v>0</v>
      </c>
      <c r="D183" s="47"/>
      <c r="E183" s="47"/>
      <c r="F183" s="47"/>
      <c r="G183" s="47"/>
      <c r="H183" s="48"/>
      <c r="I183" s="75" t="str">
        <f t="shared" si="33"/>
        <v/>
      </c>
      <c r="J183" s="49"/>
      <c r="K183" s="49"/>
      <c r="L183" s="49"/>
      <c r="M183" s="47"/>
      <c r="N183" s="48" t="str">
        <f t="shared" si="34"/>
        <v/>
      </c>
      <c r="O183" s="48" t="str">
        <f t="shared" si="35"/>
        <v/>
      </c>
      <c r="P183" s="76" t="str">
        <f t="shared" si="36"/>
        <v/>
      </c>
      <c r="Q183" s="77">
        <f t="shared" si="37"/>
        <v>0</v>
      </c>
      <c r="R183" s="77">
        <f t="shared" si="38"/>
        <v>0</v>
      </c>
      <c r="S183" s="76">
        <f t="shared" si="46"/>
        <v>0</v>
      </c>
      <c r="T183" s="47"/>
      <c r="V183" s="57"/>
      <c r="W183" s="45"/>
      <c r="X183" s="46">
        <f t="shared" si="39"/>
        <v>0</v>
      </c>
      <c r="Y183" s="75" t="str">
        <f t="shared" si="40"/>
        <v/>
      </c>
      <c r="Z183" s="49"/>
      <c r="AA183" s="49"/>
      <c r="AB183" s="49"/>
      <c r="AC183" s="204"/>
      <c r="AD183" s="48" t="str">
        <f t="shared" si="41"/>
        <v/>
      </c>
      <c r="AE183" s="48" t="str">
        <f t="shared" si="42"/>
        <v/>
      </c>
      <c r="AF183" s="76" t="str">
        <f t="shared" si="43"/>
        <v/>
      </c>
      <c r="AG183" s="77">
        <f t="shared" si="44"/>
        <v>0</v>
      </c>
      <c r="AH183" s="77">
        <f t="shared" si="45"/>
        <v>0</v>
      </c>
      <c r="AI183" s="76">
        <f t="shared" si="47"/>
        <v>0</v>
      </c>
      <c r="AJ183" s="203"/>
    </row>
    <row r="184" spans="1:36" s="56" customFormat="1" ht="14.25">
      <c r="A184" s="44"/>
      <c r="B184" s="45"/>
      <c r="C184" s="46">
        <f t="shared" si="32"/>
        <v>0</v>
      </c>
      <c r="D184" s="47"/>
      <c r="E184" s="47"/>
      <c r="F184" s="47"/>
      <c r="G184" s="47"/>
      <c r="H184" s="48"/>
      <c r="I184" s="75" t="str">
        <f t="shared" si="33"/>
        <v/>
      </c>
      <c r="J184" s="49"/>
      <c r="K184" s="49"/>
      <c r="L184" s="49"/>
      <c r="M184" s="47"/>
      <c r="N184" s="48" t="str">
        <f t="shared" si="34"/>
        <v/>
      </c>
      <c r="O184" s="48" t="str">
        <f t="shared" si="35"/>
        <v/>
      </c>
      <c r="P184" s="76" t="str">
        <f t="shared" si="36"/>
        <v/>
      </c>
      <c r="Q184" s="77">
        <f t="shared" si="37"/>
        <v>0</v>
      </c>
      <c r="R184" s="77">
        <f t="shared" si="38"/>
        <v>0</v>
      </c>
      <c r="S184" s="76">
        <f t="shared" si="46"/>
        <v>0</v>
      </c>
      <c r="T184" s="47"/>
      <c r="V184" s="57"/>
      <c r="W184" s="45"/>
      <c r="X184" s="46">
        <f t="shared" si="39"/>
        <v>0</v>
      </c>
      <c r="Y184" s="75" t="str">
        <f t="shared" si="40"/>
        <v/>
      </c>
      <c r="Z184" s="49"/>
      <c r="AA184" s="49"/>
      <c r="AB184" s="49"/>
      <c r="AC184" s="204"/>
      <c r="AD184" s="48" t="str">
        <f t="shared" si="41"/>
        <v/>
      </c>
      <c r="AE184" s="48" t="str">
        <f t="shared" si="42"/>
        <v/>
      </c>
      <c r="AF184" s="76" t="str">
        <f t="shared" si="43"/>
        <v/>
      </c>
      <c r="AG184" s="77">
        <f t="shared" si="44"/>
        <v>0</v>
      </c>
      <c r="AH184" s="77">
        <f t="shared" si="45"/>
        <v>0</v>
      </c>
      <c r="AI184" s="76">
        <f t="shared" si="47"/>
        <v>0</v>
      </c>
      <c r="AJ184" s="203"/>
    </row>
    <row r="185" spans="1:36" s="56" customFormat="1" ht="14.25">
      <c r="A185" s="44"/>
      <c r="B185" s="45"/>
      <c r="C185" s="46">
        <f t="shared" si="32"/>
        <v>0</v>
      </c>
      <c r="D185" s="47"/>
      <c r="E185" s="47"/>
      <c r="F185" s="47"/>
      <c r="G185" s="47"/>
      <c r="H185" s="48"/>
      <c r="I185" s="75" t="str">
        <f t="shared" si="33"/>
        <v/>
      </c>
      <c r="J185" s="49"/>
      <c r="K185" s="49"/>
      <c r="L185" s="49"/>
      <c r="M185" s="47"/>
      <c r="N185" s="48" t="str">
        <f t="shared" si="34"/>
        <v/>
      </c>
      <c r="O185" s="48" t="str">
        <f t="shared" si="35"/>
        <v/>
      </c>
      <c r="P185" s="76" t="str">
        <f t="shared" si="36"/>
        <v/>
      </c>
      <c r="Q185" s="77">
        <f t="shared" si="37"/>
        <v>0</v>
      </c>
      <c r="R185" s="77">
        <f t="shared" si="38"/>
        <v>0</v>
      </c>
      <c r="S185" s="76">
        <f t="shared" si="46"/>
        <v>0</v>
      </c>
      <c r="T185" s="47"/>
      <c r="V185" s="57"/>
      <c r="W185" s="45"/>
      <c r="X185" s="46">
        <f t="shared" si="39"/>
        <v>0</v>
      </c>
      <c r="Y185" s="75" t="str">
        <f t="shared" si="40"/>
        <v/>
      </c>
      <c r="Z185" s="49"/>
      <c r="AA185" s="49"/>
      <c r="AB185" s="49"/>
      <c r="AC185" s="204"/>
      <c r="AD185" s="48" t="str">
        <f t="shared" si="41"/>
        <v/>
      </c>
      <c r="AE185" s="48" t="str">
        <f t="shared" si="42"/>
        <v/>
      </c>
      <c r="AF185" s="76" t="str">
        <f t="shared" si="43"/>
        <v/>
      </c>
      <c r="AG185" s="77">
        <f t="shared" si="44"/>
        <v>0</v>
      </c>
      <c r="AH185" s="77">
        <f t="shared" si="45"/>
        <v>0</v>
      </c>
      <c r="AI185" s="76">
        <f t="shared" si="47"/>
        <v>0</v>
      </c>
      <c r="AJ185" s="203"/>
    </row>
    <row r="186" spans="1:36" s="56" customFormat="1" ht="14.25">
      <c r="A186" s="44"/>
      <c r="B186" s="45"/>
      <c r="C186" s="46">
        <f t="shared" si="32"/>
        <v>0</v>
      </c>
      <c r="D186" s="47"/>
      <c r="E186" s="47"/>
      <c r="F186" s="47"/>
      <c r="G186" s="47"/>
      <c r="H186" s="48"/>
      <c r="I186" s="75" t="str">
        <f t="shared" si="33"/>
        <v/>
      </c>
      <c r="J186" s="49"/>
      <c r="K186" s="49"/>
      <c r="L186" s="49"/>
      <c r="M186" s="47"/>
      <c r="N186" s="48" t="str">
        <f t="shared" si="34"/>
        <v/>
      </c>
      <c r="O186" s="48" t="str">
        <f t="shared" si="35"/>
        <v/>
      </c>
      <c r="P186" s="76" t="str">
        <f t="shared" si="36"/>
        <v/>
      </c>
      <c r="Q186" s="77">
        <f t="shared" si="37"/>
        <v>0</v>
      </c>
      <c r="R186" s="77">
        <f t="shared" si="38"/>
        <v>0</v>
      </c>
      <c r="S186" s="76">
        <f t="shared" si="46"/>
        <v>0</v>
      </c>
      <c r="T186" s="47"/>
      <c r="V186" s="57"/>
      <c r="W186" s="45"/>
      <c r="X186" s="46">
        <f t="shared" si="39"/>
        <v>0</v>
      </c>
      <c r="Y186" s="75" t="str">
        <f t="shared" si="40"/>
        <v/>
      </c>
      <c r="Z186" s="49"/>
      <c r="AA186" s="49"/>
      <c r="AB186" s="49"/>
      <c r="AC186" s="204"/>
      <c r="AD186" s="48" t="str">
        <f t="shared" si="41"/>
        <v/>
      </c>
      <c r="AE186" s="48" t="str">
        <f t="shared" si="42"/>
        <v/>
      </c>
      <c r="AF186" s="76" t="str">
        <f t="shared" si="43"/>
        <v/>
      </c>
      <c r="AG186" s="77">
        <f t="shared" si="44"/>
        <v>0</v>
      </c>
      <c r="AH186" s="77">
        <f t="shared" si="45"/>
        <v>0</v>
      </c>
      <c r="AI186" s="76">
        <f t="shared" si="47"/>
        <v>0</v>
      </c>
      <c r="AJ186" s="203"/>
    </row>
    <row r="187" spans="1:36" s="56" customFormat="1" ht="14.25">
      <c r="A187" s="44"/>
      <c r="B187" s="45"/>
      <c r="C187" s="46">
        <f t="shared" si="32"/>
        <v>0</v>
      </c>
      <c r="D187" s="47"/>
      <c r="E187" s="47"/>
      <c r="F187" s="47"/>
      <c r="G187" s="47"/>
      <c r="H187" s="48"/>
      <c r="I187" s="75" t="str">
        <f t="shared" si="33"/>
        <v/>
      </c>
      <c r="J187" s="49"/>
      <c r="K187" s="49"/>
      <c r="L187" s="49"/>
      <c r="M187" s="47"/>
      <c r="N187" s="48" t="str">
        <f t="shared" si="34"/>
        <v/>
      </c>
      <c r="O187" s="48" t="str">
        <f t="shared" si="35"/>
        <v/>
      </c>
      <c r="P187" s="76" t="str">
        <f t="shared" si="36"/>
        <v/>
      </c>
      <c r="Q187" s="77">
        <f t="shared" si="37"/>
        <v>0</v>
      </c>
      <c r="R187" s="77">
        <f t="shared" si="38"/>
        <v>0</v>
      </c>
      <c r="S187" s="76">
        <f t="shared" si="46"/>
        <v>0</v>
      </c>
      <c r="T187" s="47"/>
      <c r="V187" s="57"/>
      <c r="W187" s="45"/>
      <c r="X187" s="46">
        <f t="shared" si="39"/>
        <v>0</v>
      </c>
      <c r="Y187" s="75" t="str">
        <f t="shared" si="40"/>
        <v/>
      </c>
      <c r="Z187" s="49"/>
      <c r="AA187" s="49"/>
      <c r="AB187" s="49"/>
      <c r="AC187" s="204"/>
      <c r="AD187" s="48" t="str">
        <f t="shared" si="41"/>
        <v/>
      </c>
      <c r="AE187" s="48" t="str">
        <f t="shared" si="42"/>
        <v/>
      </c>
      <c r="AF187" s="76" t="str">
        <f t="shared" si="43"/>
        <v/>
      </c>
      <c r="AG187" s="77">
        <f t="shared" si="44"/>
        <v>0</v>
      </c>
      <c r="AH187" s="77">
        <f t="shared" si="45"/>
        <v>0</v>
      </c>
      <c r="AI187" s="76">
        <f t="shared" si="47"/>
        <v>0</v>
      </c>
      <c r="AJ187" s="203"/>
    </row>
    <row r="188" spans="1:36" s="56" customFormat="1" ht="14.25">
      <c r="A188" s="44"/>
      <c r="B188" s="45"/>
      <c r="C188" s="46">
        <f t="shared" si="32"/>
        <v>0</v>
      </c>
      <c r="D188" s="47"/>
      <c r="E188" s="47"/>
      <c r="F188" s="47"/>
      <c r="G188" s="47"/>
      <c r="H188" s="48"/>
      <c r="I188" s="75" t="str">
        <f t="shared" si="33"/>
        <v/>
      </c>
      <c r="J188" s="49"/>
      <c r="K188" s="49"/>
      <c r="L188" s="49"/>
      <c r="M188" s="47"/>
      <c r="N188" s="48" t="str">
        <f t="shared" si="34"/>
        <v/>
      </c>
      <c r="O188" s="48" t="str">
        <f t="shared" si="35"/>
        <v/>
      </c>
      <c r="P188" s="76" t="str">
        <f t="shared" si="36"/>
        <v/>
      </c>
      <c r="Q188" s="77">
        <f t="shared" si="37"/>
        <v>0</v>
      </c>
      <c r="R188" s="77">
        <f t="shared" si="38"/>
        <v>0</v>
      </c>
      <c r="S188" s="76">
        <f t="shared" si="46"/>
        <v>0</v>
      </c>
      <c r="T188" s="47"/>
      <c r="V188" s="57"/>
      <c r="W188" s="45"/>
      <c r="X188" s="46">
        <f t="shared" si="39"/>
        <v>0</v>
      </c>
      <c r="Y188" s="75" t="str">
        <f t="shared" si="40"/>
        <v/>
      </c>
      <c r="Z188" s="49"/>
      <c r="AA188" s="49"/>
      <c r="AB188" s="49"/>
      <c r="AC188" s="204"/>
      <c r="AD188" s="48" t="str">
        <f t="shared" si="41"/>
        <v/>
      </c>
      <c r="AE188" s="48" t="str">
        <f t="shared" si="42"/>
        <v/>
      </c>
      <c r="AF188" s="76" t="str">
        <f t="shared" si="43"/>
        <v/>
      </c>
      <c r="AG188" s="77">
        <f t="shared" si="44"/>
        <v>0</v>
      </c>
      <c r="AH188" s="77">
        <f t="shared" si="45"/>
        <v>0</v>
      </c>
      <c r="AI188" s="76">
        <f t="shared" si="47"/>
        <v>0</v>
      </c>
      <c r="AJ188" s="203"/>
    </row>
    <row r="189" spans="1:36" s="56" customFormat="1" ht="14.25">
      <c r="A189" s="44"/>
      <c r="B189" s="45"/>
      <c r="C189" s="46">
        <f t="shared" si="32"/>
        <v>0</v>
      </c>
      <c r="D189" s="47"/>
      <c r="E189" s="47"/>
      <c r="F189" s="47"/>
      <c r="G189" s="47"/>
      <c r="H189" s="48"/>
      <c r="I189" s="75" t="str">
        <f t="shared" si="33"/>
        <v/>
      </c>
      <c r="J189" s="49"/>
      <c r="K189" s="49"/>
      <c r="L189" s="49"/>
      <c r="M189" s="47"/>
      <c r="N189" s="48" t="str">
        <f t="shared" si="34"/>
        <v/>
      </c>
      <c r="O189" s="48" t="str">
        <f t="shared" si="35"/>
        <v/>
      </c>
      <c r="P189" s="76" t="str">
        <f t="shared" si="36"/>
        <v/>
      </c>
      <c r="Q189" s="77">
        <f t="shared" si="37"/>
        <v>0</v>
      </c>
      <c r="R189" s="77">
        <f t="shared" si="38"/>
        <v>0</v>
      </c>
      <c r="S189" s="76">
        <f t="shared" si="46"/>
        <v>0</v>
      </c>
      <c r="T189" s="47"/>
      <c r="V189" s="57"/>
      <c r="W189" s="45"/>
      <c r="X189" s="46">
        <f t="shared" si="39"/>
        <v>0</v>
      </c>
      <c r="Y189" s="75" t="str">
        <f t="shared" si="40"/>
        <v/>
      </c>
      <c r="Z189" s="49"/>
      <c r="AA189" s="49"/>
      <c r="AB189" s="49"/>
      <c r="AC189" s="204"/>
      <c r="AD189" s="48" t="str">
        <f t="shared" si="41"/>
        <v/>
      </c>
      <c r="AE189" s="48" t="str">
        <f t="shared" si="42"/>
        <v/>
      </c>
      <c r="AF189" s="76" t="str">
        <f t="shared" si="43"/>
        <v/>
      </c>
      <c r="AG189" s="77">
        <f t="shared" si="44"/>
        <v>0</v>
      </c>
      <c r="AH189" s="77">
        <f t="shared" si="45"/>
        <v>0</v>
      </c>
      <c r="AI189" s="76">
        <f t="shared" si="47"/>
        <v>0</v>
      </c>
      <c r="AJ189" s="203"/>
    </row>
    <row r="190" spans="1:36" s="56" customFormat="1" ht="14.25">
      <c r="A190" s="44"/>
      <c r="B190" s="45"/>
      <c r="C190" s="46">
        <f t="shared" si="32"/>
        <v>0</v>
      </c>
      <c r="D190" s="47"/>
      <c r="E190" s="47"/>
      <c r="F190" s="47"/>
      <c r="G190" s="47"/>
      <c r="H190" s="48"/>
      <c r="I190" s="75" t="str">
        <f t="shared" si="33"/>
        <v/>
      </c>
      <c r="J190" s="49"/>
      <c r="K190" s="49"/>
      <c r="L190" s="49"/>
      <c r="M190" s="47"/>
      <c r="N190" s="48" t="str">
        <f t="shared" si="34"/>
        <v/>
      </c>
      <c r="O190" s="48" t="str">
        <f t="shared" si="35"/>
        <v/>
      </c>
      <c r="P190" s="76" t="str">
        <f t="shared" si="36"/>
        <v/>
      </c>
      <c r="Q190" s="77">
        <f t="shared" si="37"/>
        <v>0</v>
      </c>
      <c r="R190" s="77">
        <f t="shared" si="38"/>
        <v>0</v>
      </c>
      <c r="S190" s="76">
        <f t="shared" si="46"/>
        <v>0</v>
      </c>
      <c r="T190" s="47"/>
      <c r="V190" s="57"/>
      <c r="W190" s="45"/>
      <c r="X190" s="46">
        <f t="shared" si="39"/>
        <v>0</v>
      </c>
      <c r="Y190" s="75" t="str">
        <f t="shared" si="40"/>
        <v/>
      </c>
      <c r="Z190" s="49"/>
      <c r="AA190" s="49"/>
      <c r="AB190" s="49"/>
      <c r="AC190" s="204"/>
      <c r="AD190" s="48" t="str">
        <f t="shared" si="41"/>
        <v/>
      </c>
      <c r="AE190" s="48" t="str">
        <f t="shared" si="42"/>
        <v/>
      </c>
      <c r="AF190" s="76" t="str">
        <f t="shared" si="43"/>
        <v/>
      </c>
      <c r="AG190" s="77">
        <f t="shared" si="44"/>
        <v>0</v>
      </c>
      <c r="AH190" s="77">
        <f t="shared" si="45"/>
        <v>0</v>
      </c>
      <c r="AI190" s="76">
        <f t="shared" si="47"/>
        <v>0</v>
      </c>
      <c r="AJ190" s="203"/>
    </row>
    <row r="191" spans="1:36" s="56" customFormat="1" ht="14.25">
      <c r="A191" s="44"/>
      <c r="B191" s="45"/>
      <c r="C191" s="46">
        <f t="shared" si="32"/>
        <v>0</v>
      </c>
      <c r="D191" s="47"/>
      <c r="E191" s="47"/>
      <c r="F191" s="47"/>
      <c r="G191" s="47"/>
      <c r="H191" s="48"/>
      <c r="I191" s="75" t="str">
        <f t="shared" si="33"/>
        <v/>
      </c>
      <c r="J191" s="49"/>
      <c r="K191" s="49"/>
      <c r="L191" s="49"/>
      <c r="M191" s="47"/>
      <c r="N191" s="48" t="str">
        <f t="shared" si="34"/>
        <v/>
      </c>
      <c r="O191" s="48" t="str">
        <f t="shared" si="35"/>
        <v/>
      </c>
      <c r="P191" s="76" t="str">
        <f t="shared" si="36"/>
        <v/>
      </c>
      <c r="Q191" s="77">
        <f t="shared" si="37"/>
        <v>0</v>
      </c>
      <c r="R191" s="77">
        <f t="shared" si="38"/>
        <v>0</v>
      </c>
      <c r="S191" s="76">
        <f t="shared" si="46"/>
        <v>0</v>
      </c>
      <c r="T191" s="47"/>
      <c r="V191" s="57"/>
      <c r="W191" s="45"/>
      <c r="X191" s="46">
        <f t="shared" si="39"/>
        <v>0</v>
      </c>
      <c r="Y191" s="75" t="str">
        <f t="shared" si="40"/>
        <v/>
      </c>
      <c r="Z191" s="49"/>
      <c r="AA191" s="49"/>
      <c r="AB191" s="49"/>
      <c r="AC191" s="204"/>
      <c r="AD191" s="48" t="str">
        <f t="shared" si="41"/>
        <v/>
      </c>
      <c r="AE191" s="48" t="str">
        <f t="shared" si="42"/>
        <v/>
      </c>
      <c r="AF191" s="76" t="str">
        <f t="shared" si="43"/>
        <v/>
      </c>
      <c r="AG191" s="77">
        <f t="shared" si="44"/>
        <v>0</v>
      </c>
      <c r="AH191" s="77">
        <f t="shared" si="45"/>
        <v>0</v>
      </c>
      <c r="AI191" s="76">
        <f t="shared" si="47"/>
        <v>0</v>
      </c>
      <c r="AJ191" s="203"/>
    </row>
    <row r="192" spans="1:36" s="56" customFormat="1" ht="14.25">
      <c r="A192" s="44"/>
      <c r="B192" s="45"/>
      <c r="C192" s="46">
        <f t="shared" si="32"/>
        <v>0</v>
      </c>
      <c r="D192" s="47"/>
      <c r="E192" s="47"/>
      <c r="F192" s="47"/>
      <c r="G192" s="47"/>
      <c r="H192" s="48"/>
      <c r="I192" s="75" t="str">
        <f t="shared" si="33"/>
        <v/>
      </c>
      <c r="J192" s="49"/>
      <c r="K192" s="49"/>
      <c r="L192" s="49"/>
      <c r="M192" s="47"/>
      <c r="N192" s="48" t="str">
        <f t="shared" si="34"/>
        <v/>
      </c>
      <c r="O192" s="48" t="str">
        <f t="shared" si="35"/>
        <v/>
      </c>
      <c r="P192" s="76" t="str">
        <f t="shared" si="36"/>
        <v/>
      </c>
      <c r="Q192" s="77">
        <f t="shared" si="37"/>
        <v>0</v>
      </c>
      <c r="R192" s="77">
        <f t="shared" si="38"/>
        <v>0</v>
      </c>
      <c r="S192" s="76">
        <f t="shared" si="46"/>
        <v>0</v>
      </c>
      <c r="T192" s="47"/>
      <c r="V192" s="57"/>
      <c r="W192" s="45"/>
      <c r="X192" s="46">
        <f t="shared" si="39"/>
        <v>0</v>
      </c>
      <c r="Y192" s="75" t="str">
        <f t="shared" si="40"/>
        <v/>
      </c>
      <c r="Z192" s="49"/>
      <c r="AA192" s="49"/>
      <c r="AB192" s="49"/>
      <c r="AC192" s="204"/>
      <c r="AD192" s="48" t="str">
        <f t="shared" si="41"/>
        <v/>
      </c>
      <c r="AE192" s="48" t="str">
        <f t="shared" si="42"/>
        <v/>
      </c>
      <c r="AF192" s="76" t="str">
        <f t="shared" si="43"/>
        <v/>
      </c>
      <c r="AG192" s="77">
        <f t="shared" si="44"/>
        <v>0</v>
      </c>
      <c r="AH192" s="77">
        <f t="shared" si="45"/>
        <v>0</v>
      </c>
      <c r="AI192" s="76">
        <f t="shared" si="47"/>
        <v>0</v>
      </c>
      <c r="AJ192" s="203"/>
    </row>
    <row r="193" spans="1:36" s="56" customFormat="1" ht="14.25">
      <c r="A193" s="44"/>
      <c r="B193" s="45"/>
      <c r="C193" s="46">
        <f t="shared" si="32"/>
        <v>0</v>
      </c>
      <c r="D193" s="47"/>
      <c r="E193" s="47"/>
      <c r="F193" s="47"/>
      <c r="G193" s="47"/>
      <c r="H193" s="48"/>
      <c r="I193" s="75" t="str">
        <f t="shared" si="33"/>
        <v/>
      </c>
      <c r="J193" s="49"/>
      <c r="K193" s="49"/>
      <c r="L193" s="49"/>
      <c r="M193" s="47"/>
      <c r="N193" s="48" t="str">
        <f t="shared" si="34"/>
        <v/>
      </c>
      <c r="O193" s="48" t="str">
        <f t="shared" si="35"/>
        <v/>
      </c>
      <c r="P193" s="76" t="str">
        <f t="shared" si="36"/>
        <v/>
      </c>
      <c r="Q193" s="77">
        <f t="shared" si="37"/>
        <v>0</v>
      </c>
      <c r="R193" s="77">
        <f t="shared" si="38"/>
        <v>0</v>
      </c>
      <c r="S193" s="76">
        <f t="shared" si="46"/>
        <v>0</v>
      </c>
      <c r="T193" s="47"/>
      <c r="V193" s="57"/>
      <c r="W193" s="45"/>
      <c r="X193" s="46">
        <f t="shared" si="39"/>
        <v>0</v>
      </c>
      <c r="Y193" s="75" t="str">
        <f t="shared" si="40"/>
        <v/>
      </c>
      <c r="Z193" s="49"/>
      <c r="AA193" s="49"/>
      <c r="AB193" s="49"/>
      <c r="AC193" s="204"/>
      <c r="AD193" s="48" t="str">
        <f t="shared" si="41"/>
        <v/>
      </c>
      <c r="AE193" s="48" t="str">
        <f t="shared" si="42"/>
        <v/>
      </c>
      <c r="AF193" s="76" t="str">
        <f t="shared" si="43"/>
        <v/>
      </c>
      <c r="AG193" s="77">
        <f t="shared" si="44"/>
        <v>0</v>
      </c>
      <c r="AH193" s="77">
        <f t="shared" si="45"/>
        <v>0</v>
      </c>
      <c r="AI193" s="76">
        <f t="shared" si="47"/>
        <v>0</v>
      </c>
      <c r="AJ193" s="203"/>
    </row>
    <row r="194" spans="1:36" s="56" customFormat="1" ht="14.25">
      <c r="A194" s="44"/>
      <c r="B194" s="45"/>
      <c r="C194" s="46">
        <f t="shared" si="32"/>
        <v>0</v>
      </c>
      <c r="D194" s="47"/>
      <c r="E194" s="47"/>
      <c r="F194" s="47"/>
      <c r="G194" s="47"/>
      <c r="H194" s="48"/>
      <c r="I194" s="75" t="str">
        <f t="shared" si="33"/>
        <v/>
      </c>
      <c r="J194" s="49"/>
      <c r="K194" s="49"/>
      <c r="L194" s="49"/>
      <c r="M194" s="47"/>
      <c r="N194" s="48" t="str">
        <f t="shared" si="34"/>
        <v/>
      </c>
      <c r="O194" s="48" t="str">
        <f t="shared" si="35"/>
        <v/>
      </c>
      <c r="P194" s="76" t="str">
        <f t="shared" si="36"/>
        <v/>
      </c>
      <c r="Q194" s="77">
        <f t="shared" si="37"/>
        <v>0</v>
      </c>
      <c r="R194" s="77">
        <f t="shared" si="38"/>
        <v>0</v>
      </c>
      <c r="S194" s="76">
        <f t="shared" si="46"/>
        <v>0</v>
      </c>
      <c r="T194" s="47"/>
      <c r="V194" s="57"/>
      <c r="W194" s="45"/>
      <c r="X194" s="46">
        <f t="shared" si="39"/>
        <v>0</v>
      </c>
      <c r="Y194" s="75" t="str">
        <f t="shared" si="40"/>
        <v/>
      </c>
      <c r="Z194" s="49"/>
      <c r="AA194" s="49"/>
      <c r="AB194" s="49"/>
      <c r="AC194" s="204"/>
      <c r="AD194" s="48" t="str">
        <f t="shared" si="41"/>
        <v/>
      </c>
      <c r="AE194" s="48" t="str">
        <f t="shared" si="42"/>
        <v/>
      </c>
      <c r="AF194" s="76" t="str">
        <f t="shared" si="43"/>
        <v/>
      </c>
      <c r="AG194" s="77">
        <f t="shared" si="44"/>
        <v>0</v>
      </c>
      <c r="AH194" s="77">
        <f t="shared" si="45"/>
        <v>0</v>
      </c>
      <c r="AI194" s="76">
        <f t="shared" si="47"/>
        <v>0</v>
      </c>
      <c r="AJ194" s="203"/>
    </row>
    <row r="195" spans="1:36" s="56" customFormat="1" ht="14.25">
      <c r="A195" s="44"/>
      <c r="B195" s="45"/>
      <c r="C195" s="46">
        <f t="shared" si="32"/>
        <v>0</v>
      </c>
      <c r="D195" s="47"/>
      <c r="E195" s="47"/>
      <c r="F195" s="47"/>
      <c r="G195" s="47"/>
      <c r="H195" s="48"/>
      <c r="I195" s="75" t="str">
        <f t="shared" si="33"/>
        <v/>
      </c>
      <c r="J195" s="49"/>
      <c r="K195" s="49"/>
      <c r="L195" s="49"/>
      <c r="M195" s="47"/>
      <c r="N195" s="48" t="str">
        <f t="shared" si="34"/>
        <v/>
      </c>
      <c r="O195" s="48" t="str">
        <f t="shared" si="35"/>
        <v/>
      </c>
      <c r="P195" s="76" t="str">
        <f t="shared" si="36"/>
        <v/>
      </c>
      <c r="Q195" s="77">
        <f t="shared" si="37"/>
        <v>0</v>
      </c>
      <c r="R195" s="77">
        <f t="shared" si="38"/>
        <v>0</v>
      </c>
      <c r="S195" s="76">
        <f t="shared" si="46"/>
        <v>0</v>
      </c>
      <c r="T195" s="47"/>
      <c r="V195" s="57"/>
      <c r="W195" s="45"/>
      <c r="X195" s="46">
        <f t="shared" si="39"/>
        <v>0</v>
      </c>
      <c r="Y195" s="75" t="str">
        <f t="shared" si="40"/>
        <v/>
      </c>
      <c r="Z195" s="49"/>
      <c r="AA195" s="49"/>
      <c r="AB195" s="49"/>
      <c r="AC195" s="204"/>
      <c r="AD195" s="48" t="str">
        <f t="shared" si="41"/>
        <v/>
      </c>
      <c r="AE195" s="48" t="str">
        <f t="shared" si="42"/>
        <v/>
      </c>
      <c r="AF195" s="76" t="str">
        <f t="shared" si="43"/>
        <v/>
      </c>
      <c r="AG195" s="77">
        <f t="shared" si="44"/>
        <v>0</v>
      </c>
      <c r="AH195" s="77">
        <f t="shared" si="45"/>
        <v>0</v>
      </c>
      <c r="AI195" s="76">
        <f t="shared" si="47"/>
        <v>0</v>
      </c>
      <c r="AJ195" s="203"/>
    </row>
    <row r="196" spans="1:36" s="56" customFormat="1" ht="14.25">
      <c r="A196" s="44"/>
      <c r="B196" s="45"/>
      <c r="C196" s="46">
        <f t="shared" si="32"/>
        <v>0</v>
      </c>
      <c r="D196" s="47"/>
      <c r="E196" s="47"/>
      <c r="F196" s="47"/>
      <c r="G196" s="47"/>
      <c r="H196" s="48"/>
      <c r="I196" s="75" t="str">
        <f t="shared" si="33"/>
        <v/>
      </c>
      <c r="J196" s="49"/>
      <c r="K196" s="49"/>
      <c r="L196" s="49"/>
      <c r="M196" s="47"/>
      <c r="N196" s="48" t="str">
        <f t="shared" si="34"/>
        <v/>
      </c>
      <c r="O196" s="48" t="str">
        <f t="shared" si="35"/>
        <v/>
      </c>
      <c r="P196" s="76" t="str">
        <f t="shared" si="36"/>
        <v/>
      </c>
      <c r="Q196" s="77">
        <f t="shared" si="37"/>
        <v>0</v>
      </c>
      <c r="R196" s="77">
        <f t="shared" si="38"/>
        <v>0</v>
      </c>
      <c r="S196" s="76">
        <f t="shared" si="46"/>
        <v>0</v>
      </c>
      <c r="T196" s="47"/>
      <c r="V196" s="57"/>
      <c r="W196" s="45"/>
      <c r="X196" s="46">
        <f t="shared" si="39"/>
        <v>0</v>
      </c>
      <c r="Y196" s="75" t="str">
        <f t="shared" si="40"/>
        <v/>
      </c>
      <c r="Z196" s="49"/>
      <c r="AA196" s="49"/>
      <c r="AB196" s="49"/>
      <c r="AC196" s="204"/>
      <c r="AD196" s="48" t="str">
        <f t="shared" si="41"/>
        <v/>
      </c>
      <c r="AE196" s="48" t="str">
        <f t="shared" si="42"/>
        <v/>
      </c>
      <c r="AF196" s="76" t="str">
        <f t="shared" si="43"/>
        <v/>
      </c>
      <c r="AG196" s="77">
        <f t="shared" si="44"/>
        <v>0</v>
      </c>
      <c r="AH196" s="77">
        <f t="shared" si="45"/>
        <v>0</v>
      </c>
      <c r="AI196" s="76">
        <f t="shared" si="47"/>
        <v>0</v>
      </c>
      <c r="AJ196" s="203"/>
    </row>
    <row r="197" spans="1:36" s="56" customFormat="1" ht="14.25">
      <c r="A197" s="44"/>
      <c r="B197" s="45"/>
      <c r="C197" s="46">
        <f t="shared" si="32"/>
        <v>0</v>
      </c>
      <c r="D197" s="47"/>
      <c r="E197" s="47"/>
      <c r="F197" s="47"/>
      <c r="G197" s="47"/>
      <c r="H197" s="48"/>
      <c r="I197" s="75" t="str">
        <f t="shared" si="33"/>
        <v/>
      </c>
      <c r="J197" s="49"/>
      <c r="K197" s="49"/>
      <c r="L197" s="49"/>
      <c r="M197" s="47"/>
      <c r="N197" s="48" t="str">
        <f t="shared" si="34"/>
        <v/>
      </c>
      <c r="O197" s="48" t="str">
        <f t="shared" si="35"/>
        <v/>
      </c>
      <c r="P197" s="76" t="str">
        <f t="shared" si="36"/>
        <v/>
      </c>
      <c r="Q197" s="77">
        <f t="shared" si="37"/>
        <v>0</v>
      </c>
      <c r="R197" s="77">
        <f t="shared" si="38"/>
        <v>0</v>
      </c>
      <c r="S197" s="76">
        <f t="shared" si="46"/>
        <v>0</v>
      </c>
      <c r="T197" s="47"/>
      <c r="V197" s="57"/>
      <c r="W197" s="45"/>
      <c r="X197" s="46">
        <f t="shared" si="39"/>
        <v>0</v>
      </c>
      <c r="Y197" s="75" t="str">
        <f t="shared" si="40"/>
        <v/>
      </c>
      <c r="Z197" s="49"/>
      <c r="AA197" s="49"/>
      <c r="AB197" s="49"/>
      <c r="AC197" s="204"/>
      <c r="AD197" s="48" t="str">
        <f t="shared" si="41"/>
        <v/>
      </c>
      <c r="AE197" s="48" t="str">
        <f t="shared" si="42"/>
        <v/>
      </c>
      <c r="AF197" s="76" t="str">
        <f t="shared" si="43"/>
        <v/>
      </c>
      <c r="AG197" s="77">
        <f t="shared" si="44"/>
        <v>0</v>
      </c>
      <c r="AH197" s="77">
        <f t="shared" si="45"/>
        <v>0</v>
      </c>
      <c r="AI197" s="76">
        <f t="shared" si="47"/>
        <v>0</v>
      </c>
      <c r="AJ197" s="203"/>
    </row>
    <row r="198" spans="1:36" s="56" customFormat="1" ht="14.25">
      <c r="A198" s="44"/>
      <c r="B198" s="45"/>
      <c r="C198" s="46">
        <f t="shared" si="32"/>
        <v>0</v>
      </c>
      <c r="D198" s="47"/>
      <c r="E198" s="47"/>
      <c r="F198" s="47"/>
      <c r="G198" s="47"/>
      <c r="H198" s="48"/>
      <c r="I198" s="75" t="str">
        <f t="shared" si="33"/>
        <v/>
      </c>
      <c r="J198" s="49"/>
      <c r="K198" s="49"/>
      <c r="L198" s="49"/>
      <c r="M198" s="47"/>
      <c r="N198" s="48" t="str">
        <f t="shared" si="34"/>
        <v/>
      </c>
      <c r="O198" s="48" t="str">
        <f t="shared" si="35"/>
        <v/>
      </c>
      <c r="P198" s="76" t="str">
        <f t="shared" si="36"/>
        <v/>
      </c>
      <c r="Q198" s="77">
        <f t="shared" si="37"/>
        <v>0</v>
      </c>
      <c r="R198" s="77">
        <f t="shared" si="38"/>
        <v>0</v>
      </c>
      <c r="S198" s="76">
        <f t="shared" si="46"/>
        <v>0</v>
      </c>
      <c r="T198" s="47"/>
      <c r="V198" s="57"/>
      <c r="W198" s="45"/>
      <c r="X198" s="46">
        <f t="shared" si="39"/>
        <v>0</v>
      </c>
      <c r="Y198" s="75" t="str">
        <f t="shared" si="40"/>
        <v/>
      </c>
      <c r="Z198" s="49"/>
      <c r="AA198" s="49"/>
      <c r="AB198" s="49"/>
      <c r="AC198" s="204"/>
      <c r="AD198" s="48" t="str">
        <f t="shared" si="41"/>
        <v/>
      </c>
      <c r="AE198" s="48" t="str">
        <f t="shared" si="42"/>
        <v/>
      </c>
      <c r="AF198" s="76" t="str">
        <f t="shared" si="43"/>
        <v/>
      </c>
      <c r="AG198" s="77">
        <f t="shared" si="44"/>
        <v>0</v>
      </c>
      <c r="AH198" s="77">
        <f t="shared" si="45"/>
        <v>0</v>
      </c>
      <c r="AI198" s="76">
        <f t="shared" si="47"/>
        <v>0</v>
      </c>
      <c r="AJ198" s="203"/>
    </row>
    <row r="199" spans="1:36" s="56" customFormat="1" ht="14.25">
      <c r="A199" s="44"/>
      <c r="B199" s="45"/>
      <c r="C199" s="46">
        <f t="shared" si="32"/>
        <v>0</v>
      </c>
      <c r="D199" s="47"/>
      <c r="E199" s="47"/>
      <c r="F199" s="47"/>
      <c r="G199" s="47"/>
      <c r="H199" s="48"/>
      <c r="I199" s="75" t="str">
        <f t="shared" si="33"/>
        <v/>
      </c>
      <c r="J199" s="49"/>
      <c r="K199" s="49"/>
      <c r="L199" s="49"/>
      <c r="M199" s="47"/>
      <c r="N199" s="48" t="str">
        <f t="shared" si="34"/>
        <v/>
      </c>
      <c r="O199" s="48" t="str">
        <f t="shared" si="35"/>
        <v/>
      </c>
      <c r="P199" s="76" t="str">
        <f t="shared" si="36"/>
        <v/>
      </c>
      <c r="Q199" s="77">
        <f t="shared" si="37"/>
        <v>0</v>
      </c>
      <c r="R199" s="77">
        <f t="shared" si="38"/>
        <v>0</v>
      </c>
      <c r="S199" s="76">
        <f t="shared" si="46"/>
        <v>0</v>
      </c>
      <c r="T199" s="47"/>
      <c r="V199" s="57"/>
      <c r="W199" s="45"/>
      <c r="X199" s="46">
        <f t="shared" si="39"/>
        <v>0</v>
      </c>
      <c r="Y199" s="75" t="str">
        <f t="shared" si="40"/>
        <v/>
      </c>
      <c r="Z199" s="49"/>
      <c r="AA199" s="49"/>
      <c r="AB199" s="49"/>
      <c r="AC199" s="204"/>
      <c r="AD199" s="48" t="str">
        <f t="shared" si="41"/>
        <v/>
      </c>
      <c r="AE199" s="48" t="str">
        <f t="shared" si="42"/>
        <v/>
      </c>
      <c r="AF199" s="76" t="str">
        <f t="shared" si="43"/>
        <v/>
      </c>
      <c r="AG199" s="77">
        <f t="shared" si="44"/>
        <v>0</v>
      </c>
      <c r="AH199" s="77">
        <f t="shared" si="45"/>
        <v>0</v>
      </c>
      <c r="AI199" s="76">
        <f t="shared" si="47"/>
        <v>0</v>
      </c>
      <c r="AJ199" s="203"/>
    </row>
    <row r="200" spans="1:36" s="56" customFormat="1" ht="14.25">
      <c r="A200" s="44"/>
      <c r="B200" s="45"/>
      <c r="C200" s="46">
        <f t="shared" si="32"/>
        <v>0</v>
      </c>
      <c r="D200" s="47"/>
      <c r="E200" s="47"/>
      <c r="F200" s="47"/>
      <c r="G200" s="47"/>
      <c r="H200" s="48"/>
      <c r="I200" s="75" t="str">
        <f t="shared" si="33"/>
        <v/>
      </c>
      <c r="J200" s="49"/>
      <c r="K200" s="49"/>
      <c r="L200" s="49"/>
      <c r="M200" s="47"/>
      <c r="N200" s="48" t="str">
        <f t="shared" si="34"/>
        <v/>
      </c>
      <c r="O200" s="48" t="str">
        <f t="shared" si="35"/>
        <v/>
      </c>
      <c r="P200" s="76" t="str">
        <f t="shared" si="36"/>
        <v/>
      </c>
      <c r="Q200" s="77">
        <f t="shared" si="37"/>
        <v>0</v>
      </c>
      <c r="R200" s="77">
        <f t="shared" si="38"/>
        <v>0</v>
      </c>
      <c r="S200" s="76">
        <f t="shared" si="46"/>
        <v>0</v>
      </c>
      <c r="T200" s="47"/>
      <c r="V200" s="57"/>
      <c r="W200" s="45"/>
      <c r="X200" s="46">
        <f t="shared" si="39"/>
        <v>0</v>
      </c>
      <c r="Y200" s="75" t="str">
        <f t="shared" si="40"/>
        <v/>
      </c>
      <c r="Z200" s="49"/>
      <c r="AA200" s="49"/>
      <c r="AB200" s="49"/>
      <c r="AC200" s="204"/>
      <c r="AD200" s="48" t="str">
        <f t="shared" si="41"/>
        <v/>
      </c>
      <c r="AE200" s="48" t="str">
        <f t="shared" si="42"/>
        <v/>
      </c>
      <c r="AF200" s="76" t="str">
        <f t="shared" si="43"/>
        <v/>
      </c>
      <c r="AG200" s="77">
        <f t="shared" si="44"/>
        <v>0</v>
      </c>
      <c r="AH200" s="77">
        <f t="shared" si="45"/>
        <v>0</v>
      </c>
      <c r="AI200" s="76">
        <f t="shared" si="47"/>
        <v>0</v>
      </c>
      <c r="AJ200" s="203"/>
    </row>
    <row r="201" spans="1:36" s="56" customFormat="1" ht="14.25">
      <c r="A201" s="44"/>
      <c r="B201" s="45"/>
      <c r="C201" s="46">
        <f t="shared" si="32"/>
        <v>0</v>
      </c>
      <c r="D201" s="47"/>
      <c r="E201" s="47"/>
      <c r="F201" s="47"/>
      <c r="G201" s="47"/>
      <c r="H201" s="48"/>
      <c r="I201" s="75" t="str">
        <f t="shared" si="33"/>
        <v/>
      </c>
      <c r="J201" s="49"/>
      <c r="K201" s="49"/>
      <c r="L201" s="49"/>
      <c r="M201" s="47"/>
      <c r="N201" s="48" t="str">
        <f t="shared" si="34"/>
        <v/>
      </c>
      <c r="O201" s="48" t="str">
        <f t="shared" si="35"/>
        <v/>
      </c>
      <c r="P201" s="76" t="str">
        <f t="shared" si="36"/>
        <v/>
      </c>
      <c r="Q201" s="77">
        <f t="shared" si="37"/>
        <v>0</v>
      </c>
      <c r="R201" s="77">
        <f t="shared" si="38"/>
        <v>0</v>
      </c>
      <c r="S201" s="76">
        <f t="shared" si="46"/>
        <v>0</v>
      </c>
      <c r="T201" s="47"/>
      <c r="V201" s="57"/>
      <c r="W201" s="45"/>
      <c r="X201" s="46">
        <f t="shared" si="39"/>
        <v>0</v>
      </c>
      <c r="Y201" s="75" t="str">
        <f t="shared" si="40"/>
        <v/>
      </c>
      <c r="Z201" s="49"/>
      <c r="AA201" s="49"/>
      <c r="AB201" s="49"/>
      <c r="AC201" s="204"/>
      <c r="AD201" s="48" t="str">
        <f t="shared" si="41"/>
        <v/>
      </c>
      <c r="AE201" s="48" t="str">
        <f t="shared" si="42"/>
        <v/>
      </c>
      <c r="AF201" s="76" t="str">
        <f t="shared" si="43"/>
        <v/>
      </c>
      <c r="AG201" s="77">
        <f t="shared" si="44"/>
        <v>0</v>
      </c>
      <c r="AH201" s="77">
        <f t="shared" si="45"/>
        <v>0</v>
      </c>
      <c r="AI201" s="76">
        <f t="shared" si="47"/>
        <v>0</v>
      </c>
      <c r="AJ201" s="203"/>
    </row>
    <row r="202" spans="1:36" s="56" customFormat="1" ht="14.25">
      <c r="A202" s="44"/>
      <c r="B202" s="45"/>
      <c r="C202" s="46">
        <f t="shared" si="32"/>
        <v>0</v>
      </c>
      <c r="D202" s="47"/>
      <c r="E202" s="47"/>
      <c r="F202" s="47"/>
      <c r="G202" s="47"/>
      <c r="H202" s="48"/>
      <c r="I202" s="75" t="str">
        <f t="shared" si="33"/>
        <v/>
      </c>
      <c r="J202" s="49"/>
      <c r="K202" s="49"/>
      <c r="L202" s="49"/>
      <c r="M202" s="47"/>
      <c r="N202" s="48" t="str">
        <f t="shared" si="34"/>
        <v/>
      </c>
      <c r="O202" s="48" t="str">
        <f t="shared" si="35"/>
        <v/>
      </c>
      <c r="P202" s="76" t="str">
        <f t="shared" si="36"/>
        <v/>
      </c>
      <c r="Q202" s="77">
        <f t="shared" si="37"/>
        <v>0</v>
      </c>
      <c r="R202" s="77">
        <f t="shared" si="38"/>
        <v>0</v>
      </c>
      <c r="S202" s="76">
        <f t="shared" si="46"/>
        <v>0</v>
      </c>
      <c r="T202" s="47"/>
      <c r="V202" s="57"/>
      <c r="W202" s="45"/>
      <c r="X202" s="46">
        <f t="shared" si="39"/>
        <v>0</v>
      </c>
      <c r="Y202" s="75" t="str">
        <f t="shared" si="40"/>
        <v/>
      </c>
      <c r="Z202" s="49"/>
      <c r="AA202" s="49"/>
      <c r="AB202" s="49"/>
      <c r="AC202" s="204"/>
      <c r="AD202" s="48" t="str">
        <f t="shared" si="41"/>
        <v/>
      </c>
      <c r="AE202" s="48" t="str">
        <f t="shared" si="42"/>
        <v/>
      </c>
      <c r="AF202" s="76" t="str">
        <f t="shared" si="43"/>
        <v/>
      </c>
      <c r="AG202" s="77">
        <f t="shared" si="44"/>
        <v>0</v>
      </c>
      <c r="AH202" s="77">
        <f t="shared" si="45"/>
        <v>0</v>
      </c>
      <c r="AI202" s="76">
        <f t="shared" si="47"/>
        <v>0</v>
      </c>
      <c r="AJ202" s="203"/>
    </row>
    <row r="203" spans="1:36" s="56" customFormat="1" ht="14.25">
      <c r="A203" s="44"/>
      <c r="B203" s="45"/>
      <c r="C203" s="46">
        <f t="shared" ref="C203:C266" si="48">IF($B203&lt;&gt;"",VLOOKUP($B203,Matriz_INM,2,0),0)</f>
        <v>0</v>
      </c>
      <c r="D203" s="47"/>
      <c r="E203" s="47"/>
      <c r="F203" s="47"/>
      <c r="G203" s="47"/>
      <c r="H203" s="48"/>
      <c r="I203" s="75" t="str">
        <f t="shared" ref="I203:I266" si="49">IFERROR(VLOOKUP($B203,Matriz_INM,3,0),"")</f>
        <v/>
      </c>
      <c r="J203" s="49"/>
      <c r="K203" s="49"/>
      <c r="L203" s="49"/>
      <c r="M203" s="47"/>
      <c r="N203" s="48" t="str">
        <f t="shared" ref="N203:N266" si="50">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8" t="str">
        <f t="shared" ref="O203:O266" si="51">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6" t="str">
        <f t="shared" ref="P203:P266" si="52">IF(N203="",O203,IF(O203="",N203,""))</f>
        <v/>
      </c>
      <c r="Q203" s="77">
        <f t="shared" ref="Q203:Q266" si="53">IF(AND(OR(M203="EE",M203="CE"),P203="Simples"),3, IF(AND(OR(M203="EE",M203="CE"),P203="Médio"),4, IF(AND(OR(M203="EE",M203="CE"),P203="Complexo"),6, IF(AND(M203="SE",P203="Simples"),4, IF(AND(M203="SE",P203="Médio"),5, IF(AND(M203="SE",P203="Complexo"),7,0))))))</f>
        <v>0</v>
      </c>
      <c r="R203" s="77">
        <f t="shared" ref="R203:R266" si="54">IF(AND(M203="ALI",O203="Simples"),7, IF(AND(M203="ALI",O203="Médio"),10, IF(AND(M203="ALI",O203="Complexo"),15, IF(AND(M203="AIE",O203="Simples"),5, IF(AND(M203="AIE",O203="Médio"),7, IF(AND(M203="AIE",O203="Complexo"),10,0))))))</f>
        <v>0</v>
      </c>
      <c r="S203" s="76">
        <f t="shared" si="46"/>
        <v>0</v>
      </c>
      <c r="T203" s="47"/>
      <c r="V203" s="57"/>
      <c r="W203" s="45"/>
      <c r="X203" s="46">
        <f t="shared" ref="X203:X266" si="55">IF($B203&lt;&gt;"",VLOOKUP($B203,Matriz_INM,2,0),0)</f>
        <v>0</v>
      </c>
      <c r="Y203" s="75" t="str">
        <f t="shared" ref="Y203:Y266" si="56">IFERROR(VLOOKUP($B203,Matriz_INM,3,0),"")</f>
        <v/>
      </c>
      <c r="Z203" s="49"/>
      <c r="AA203" s="49"/>
      <c r="AB203" s="49"/>
      <c r="AC203" s="204"/>
      <c r="AD203" s="48" t="str">
        <f t="shared" ref="AD203:AD266" si="57">IF(AC203="EE",IF(OR(AND(OR(AB203=1,AB203=0),AA203&gt;0,AA203&lt;5),AND(OR(AB203=1,AB203=0),AA203&gt;4,AA203&lt;16),AND(AB203=2,AA203&gt;0,AA203&lt;5)),"Simples",IF(OR(AND(OR(AB203=1,AB203=0),AA203&gt;15),AND(AB203=2,AA203&gt;4,AA203&lt;16),AND(AB203&gt;2,AA203&gt;0,AA203&lt;5)),"Médio",IF(OR(AND(AB203=2,AA203&gt;15),AND(AB203&gt;2,AA203&gt;4,AA203&lt;16),AND(AB203&gt;2,AA203&gt;15)),"Complexo",""))), IF(OR(AC203="CE",AC203="SE"),IF(OR(AND(OR(AB203=1,AB203=0),AA203&gt;0,AA203&lt;6),AND(OR(AB203=1,AB203=0),AA203&gt;5,AA203&lt;20),AND(AB203&gt;1,AB203&lt;4,AA203&gt;0,AA203&lt;6)),"Simples",IF(OR(AND(OR(AB203=1,AB203=0),AA203&gt;19),AND(AB203&gt;1,AB203&lt;4,AA203&gt;5,AA203&lt;20),AND(AB203&gt;3,AA203&gt;0,AA203&lt;6)),"Médio",IF(OR(AND(AB203&gt;1,AB203&lt;4,AA203&gt;19),AND(AB203&gt;3,AA203&gt;5,AA203&lt;20),AND(AB203&gt;3,AA203&gt;19)),"Complexo",""))),""))</f>
        <v/>
      </c>
      <c r="AE203" s="48" t="str">
        <f t="shared" ref="AE203:AE266" si="58">IF(AC203="ALI",IF(OR(AND(OR(AB203=1,AB203=0),AA203&gt;0,AA203&lt;20),AND(OR(AB203=1,AB203=0),AA203&gt;19,AA203&lt;51),AND(AB203&gt;1,AB203&lt;6,AA203&gt;0,AA203&lt;20)),"Simples",IF(OR(AND(OR(AB203=1,AB203=0),AA203&gt;50),AND(AB203&gt;1,AB203&lt;6,AA203&gt;19,AA203&lt;51),AND(AB203&gt;5,AA203&gt;0,AA203&lt;20)),"Médio",IF(OR(AND(AB203&gt;1,AB203&lt;6,AA203&gt;50),AND(AB203&gt;5,AA203&gt;19,AA203&lt;51),AND(AB203&gt;5,AA203&gt;50)),"Complexo",""))), IF(AC203="AIE",IF(OR(AND(OR(AB203=1, AB203=0),AA203&gt;0,AA203&lt;20),AND(OR(AB203=1, AB203=0),AA203&gt;19,AA203&lt;51),AND(AB203&gt;1,AB203&lt;6,AA203&gt;0,AA203&lt;20)),"Simples",IF(OR(AND(OR(AB203=1, AB203=0),AA203&gt;50),AND(AB203&gt;1,AB203&lt;6,AA203&gt;19,AA203&lt;51),AND(AB203&gt;5,AA203&gt;0,AA203&lt;20)),"Médio",IF(OR(AND(AB203&gt;1,AB203&lt;6,AA203&gt;50),AND(AB203&gt;5,AA203&gt;19,AA203&lt;51),AND(AB203&gt;5,AA203&gt;50)),"Complexo",""))),""))</f>
        <v/>
      </c>
      <c r="AF203" s="76" t="str">
        <f t="shared" ref="AF203:AF266" si="59">IF(AD203="",AE203,IF(AE203="",AD203,""))</f>
        <v/>
      </c>
      <c r="AG203" s="77">
        <f t="shared" ref="AG203:AG266" si="60">IF(AND(OR(AC203="EE",AC203="CE"),AF203="Simples"),3, IF(AND(OR(AC203="EE",AC203="CE"),AF203="Médio"),4, IF(AND(OR(AC203="EE",AC203="CE"),AF203="Complexo"),6, IF(AND(AC203="SE",AF203="Simples"),4, IF(AND(AC203="SE",AF203="Médio"),5, IF(AND(AC203="SE",AF203="Complexo"),7,0))))))</f>
        <v>0</v>
      </c>
      <c r="AH203" s="77">
        <f t="shared" ref="AH203:AH266" si="61">IF(AND(AC203="ALI",AE203="Simples"),7, IF(AND(AC203="ALI",AE203="Médio"),10, IF(AND(AC203="ALI",AE203="Complexo"),15, IF(AND(AC203="AIE",AE203="Simples"),5, IF(AND(AC203="AIE",AE203="Médio"),7, IF(AND(AC203="AIE",AE203="Complexo"),10,0))))))</f>
        <v>0</v>
      </c>
      <c r="AI203" s="76">
        <f t="shared" si="47"/>
        <v>0</v>
      </c>
      <c r="AJ203" s="203"/>
    </row>
    <row r="204" spans="1:36" s="56" customFormat="1" ht="14.25">
      <c r="A204" s="44"/>
      <c r="B204" s="45"/>
      <c r="C204" s="46">
        <f t="shared" si="48"/>
        <v>0</v>
      </c>
      <c r="D204" s="47"/>
      <c r="E204" s="47"/>
      <c r="F204" s="47"/>
      <c r="G204" s="47"/>
      <c r="H204" s="48"/>
      <c r="I204" s="75" t="str">
        <f t="shared" si="49"/>
        <v/>
      </c>
      <c r="J204" s="49"/>
      <c r="K204" s="49"/>
      <c r="L204" s="49"/>
      <c r="M204" s="47"/>
      <c r="N204" s="48" t="str">
        <f t="shared" si="50"/>
        <v/>
      </c>
      <c r="O204" s="48" t="str">
        <f t="shared" si="51"/>
        <v/>
      </c>
      <c r="P204" s="76" t="str">
        <f t="shared" si="52"/>
        <v/>
      </c>
      <c r="Q204" s="77">
        <f t="shared" si="53"/>
        <v>0</v>
      </c>
      <c r="R204" s="77">
        <f t="shared" si="54"/>
        <v>0</v>
      </c>
      <c r="S204" s="76">
        <f t="shared" ref="S204:S267" si="62">IF($I204="%",($Q204+$R204)*$C204,$C204)</f>
        <v>0</v>
      </c>
      <c r="T204" s="47"/>
      <c r="V204" s="57"/>
      <c r="W204" s="45"/>
      <c r="X204" s="46">
        <f t="shared" si="55"/>
        <v>0</v>
      </c>
      <c r="Y204" s="75" t="str">
        <f t="shared" si="56"/>
        <v/>
      </c>
      <c r="Z204" s="49"/>
      <c r="AA204" s="49"/>
      <c r="AB204" s="49"/>
      <c r="AC204" s="204"/>
      <c r="AD204" s="48" t="str">
        <f t="shared" si="57"/>
        <v/>
      </c>
      <c r="AE204" s="48" t="str">
        <f t="shared" si="58"/>
        <v/>
      </c>
      <c r="AF204" s="76" t="str">
        <f t="shared" si="59"/>
        <v/>
      </c>
      <c r="AG204" s="77">
        <f t="shared" si="60"/>
        <v>0</v>
      </c>
      <c r="AH204" s="77">
        <f t="shared" si="61"/>
        <v>0</v>
      </c>
      <c r="AI204" s="76">
        <f t="shared" ref="AI204:AI267" si="63">IF($I204="%",($Q204+$R204)*$C204,$C204)</f>
        <v>0</v>
      </c>
      <c r="AJ204" s="203"/>
    </row>
    <row r="205" spans="1:36" s="56" customFormat="1" ht="14.25">
      <c r="A205" s="44"/>
      <c r="B205" s="45"/>
      <c r="C205" s="46">
        <f t="shared" si="48"/>
        <v>0</v>
      </c>
      <c r="D205" s="47"/>
      <c r="E205" s="47"/>
      <c r="F205" s="47"/>
      <c r="G205" s="47"/>
      <c r="H205" s="48"/>
      <c r="I205" s="75" t="str">
        <f t="shared" si="49"/>
        <v/>
      </c>
      <c r="J205" s="49"/>
      <c r="K205" s="49"/>
      <c r="L205" s="49"/>
      <c r="M205" s="47"/>
      <c r="N205" s="48" t="str">
        <f t="shared" si="50"/>
        <v/>
      </c>
      <c r="O205" s="48" t="str">
        <f t="shared" si="51"/>
        <v/>
      </c>
      <c r="P205" s="76" t="str">
        <f t="shared" si="52"/>
        <v/>
      </c>
      <c r="Q205" s="77">
        <f t="shared" si="53"/>
        <v>0</v>
      </c>
      <c r="R205" s="77">
        <f t="shared" si="54"/>
        <v>0</v>
      </c>
      <c r="S205" s="76">
        <f t="shared" si="62"/>
        <v>0</v>
      </c>
      <c r="T205" s="47"/>
      <c r="V205" s="57"/>
      <c r="W205" s="45"/>
      <c r="X205" s="46">
        <f t="shared" si="55"/>
        <v>0</v>
      </c>
      <c r="Y205" s="75" t="str">
        <f t="shared" si="56"/>
        <v/>
      </c>
      <c r="Z205" s="49"/>
      <c r="AA205" s="49"/>
      <c r="AB205" s="49"/>
      <c r="AC205" s="204"/>
      <c r="AD205" s="48" t="str">
        <f t="shared" si="57"/>
        <v/>
      </c>
      <c r="AE205" s="48" t="str">
        <f t="shared" si="58"/>
        <v/>
      </c>
      <c r="AF205" s="76" t="str">
        <f t="shared" si="59"/>
        <v/>
      </c>
      <c r="AG205" s="77">
        <f t="shared" si="60"/>
        <v>0</v>
      </c>
      <c r="AH205" s="77">
        <f t="shared" si="61"/>
        <v>0</v>
      </c>
      <c r="AI205" s="76">
        <f t="shared" si="63"/>
        <v>0</v>
      </c>
      <c r="AJ205" s="203"/>
    </row>
    <row r="206" spans="1:36" s="56" customFormat="1" ht="14.25">
      <c r="A206" s="44"/>
      <c r="B206" s="45"/>
      <c r="C206" s="46">
        <f t="shared" si="48"/>
        <v>0</v>
      </c>
      <c r="D206" s="47"/>
      <c r="E206" s="47"/>
      <c r="F206" s="47"/>
      <c r="G206" s="47"/>
      <c r="H206" s="48"/>
      <c r="I206" s="75" t="str">
        <f t="shared" si="49"/>
        <v/>
      </c>
      <c r="J206" s="49"/>
      <c r="K206" s="49"/>
      <c r="L206" s="49"/>
      <c r="M206" s="47"/>
      <c r="N206" s="48" t="str">
        <f t="shared" si="50"/>
        <v/>
      </c>
      <c r="O206" s="48" t="str">
        <f t="shared" si="51"/>
        <v/>
      </c>
      <c r="P206" s="76" t="str">
        <f t="shared" si="52"/>
        <v/>
      </c>
      <c r="Q206" s="77">
        <f t="shared" si="53"/>
        <v>0</v>
      </c>
      <c r="R206" s="77">
        <f t="shared" si="54"/>
        <v>0</v>
      </c>
      <c r="S206" s="76">
        <f t="shared" si="62"/>
        <v>0</v>
      </c>
      <c r="T206" s="47"/>
      <c r="V206" s="57"/>
      <c r="W206" s="45"/>
      <c r="X206" s="46">
        <f t="shared" si="55"/>
        <v>0</v>
      </c>
      <c r="Y206" s="75" t="str">
        <f t="shared" si="56"/>
        <v/>
      </c>
      <c r="Z206" s="49"/>
      <c r="AA206" s="49"/>
      <c r="AB206" s="49"/>
      <c r="AC206" s="204"/>
      <c r="AD206" s="48" t="str">
        <f t="shared" si="57"/>
        <v/>
      </c>
      <c r="AE206" s="48" t="str">
        <f t="shared" si="58"/>
        <v/>
      </c>
      <c r="AF206" s="76" t="str">
        <f t="shared" si="59"/>
        <v/>
      </c>
      <c r="AG206" s="77">
        <f t="shared" si="60"/>
        <v>0</v>
      </c>
      <c r="AH206" s="77">
        <f t="shared" si="61"/>
        <v>0</v>
      </c>
      <c r="AI206" s="76">
        <f t="shared" si="63"/>
        <v>0</v>
      </c>
      <c r="AJ206" s="203"/>
    </row>
    <row r="207" spans="1:36" s="56" customFormat="1" ht="14.25">
      <c r="A207" s="44"/>
      <c r="B207" s="45"/>
      <c r="C207" s="46">
        <f t="shared" si="48"/>
        <v>0</v>
      </c>
      <c r="D207" s="47"/>
      <c r="E207" s="47"/>
      <c r="F207" s="47"/>
      <c r="G207" s="47"/>
      <c r="H207" s="48"/>
      <c r="I207" s="75" t="str">
        <f t="shared" si="49"/>
        <v/>
      </c>
      <c r="J207" s="49"/>
      <c r="K207" s="49"/>
      <c r="L207" s="49"/>
      <c r="M207" s="47"/>
      <c r="N207" s="48" t="str">
        <f t="shared" si="50"/>
        <v/>
      </c>
      <c r="O207" s="48" t="str">
        <f t="shared" si="51"/>
        <v/>
      </c>
      <c r="P207" s="76" t="str">
        <f t="shared" si="52"/>
        <v/>
      </c>
      <c r="Q207" s="77">
        <f t="shared" si="53"/>
        <v>0</v>
      </c>
      <c r="R207" s="77">
        <f t="shared" si="54"/>
        <v>0</v>
      </c>
      <c r="S207" s="76">
        <f t="shared" si="62"/>
        <v>0</v>
      </c>
      <c r="T207" s="47"/>
      <c r="V207" s="57"/>
      <c r="W207" s="45"/>
      <c r="X207" s="46">
        <f t="shared" si="55"/>
        <v>0</v>
      </c>
      <c r="Y207" s="75" t="str">
        <f t="shared" si="56"/>
        <v/>
      </c>
      <c r="Z207" s="49"/>
      <c r="AA207" s="49"/>
      <c r="AB207" s="49"/>
      <c r="AC207" s="204"/>
      <c r="AD207" s="48" t="str">
        <f t="shared" si="57"/>
        <v/>
      </c>
      <c r="AE207" s="48" t="str">
        <f t="shared" si="58"/>
        <v/>
      </c>
      <c r="AF207" s="76" t="str">
        <f t="shared" si="59"/>
        <v/>
      </c>
      <c r="AG207" s="77">
        <f t="shared" si="60"/>
        <v>0</v>
      </c>
      <c r="AH207" s="77">
        <f t="shared" si="61"/>
        <v>0</v>
      </c>
      <c r="AI207" s="76">
        <f t="shared" si="63"/>
        <v>0</v>
      </c>
      <c r="AJ207" s="203"/>
    </row>
    <row r="208" spans="1:36" s="56" customFormat="1" ht="14.25">
      <c r="A208" s="44"/>
      <c r="B208" s="45"/>
      <c r="C208" s="46">
        <f t="shared" si="48"/>
        <v>0</v>
      </c>
      <c r="D208" s="47"/>
      <c r="E208" s="47"/>
      <c r="F208" s="47"/>
      <c r="G208" s="47"/>
      <c r="H208" s="48"/>
      <c r="I208" s="75" t="str">
        <f t="shared" si="49"/>
        <v/>
      </c>
      <c r="J208" s="49"/>
      <c r="K208" s="49"/>
      <c r="L208" s="49"/>
      <c r="M208" s="47"/>
      <c r="N208" s="48" t="str">
        <f t="shared" si="50"/>
        <v/>
      </c>
      <c r="O208" s="48" t="str">
        <f t="shared" si="51"/>
        <v/>
      </c>
      <c r="P208" s="76" t="str">
        <f t="shared" si="52"/>
        <v/>
      </c>
      <c r="Q208" s="77">
        <f t="shared" si="53"/>
        <v>0</v>
      </c>
      <c r="R208" s="77">
        <f t="shared" si="54"/>
        <v>0</v>
      </c>
      <c r="S208" s="76">
        <f t="shared" si="62"/>
        <v>0</v>
      </c>
      <c r="T208" s="47"/>
      <c r="V208" s="57"/>
      <c r="W208" s="45"/>
      <c r="X208" s="46">
        <f t="shared" si="55"/>
        <v>0</v>
      </c>
      <c r="Y208" s="75" t="str">
        <f t="shared" si="56"/>
        <v/>
      </c>
      <c r="Z208" s="49"/>
      <c r="AA208" s="49"/>
      <c r="AB208" s="49"/>
      <c r="AC208" s="204"/>
      <c r="AD208" s="48" t="str">
        <f t="shared" si="57"/>
        <v/>
      </c>
      <c r="AE208" s="48" t="str">
        <f t="shared" si="58"/>
        <v/>
      </c>
      <c r="AF208" s="76" t="str">
        <f t="shared" si="59"/>
        <v/>
      </c>
      <c r="AG208" s="77">
        <f t="shared" si="60"/>
        <v>0</v>
      </c>
      <c r="AH208" s="77">
        <f t="shared" si="61"/>
        <v>0</v>
      </c>
      <c r="AI208" s="76">
        <f t="shared" si="63"/>
        <v>0</v>
      </c>
      <c r="AJ208" s="203"/>
    </row>
    <row r="209" spans="1:36" s="56" customFormat="1" ht="14.25">
      <c r="A209" s="44"/>
      <c r="B209" s="45"/>
      <c r="C209" s="46">
        <f t="shared" si="48"/>
        <v>0</v>
      </c>
      <c r="D209" s="47"/>
      <c r="E209" s="47"/>
      <c r="F209" s="47"/>
      <c r="G209" s="47"/>
      <c r="H209" s="48"/>
      <c r="I209" s="75" t="str">
        <f t="shared" si="49"/>
        <v/>
      </c>
      <c r="J209" s="49"/>
      <c r="K209" s="49"/>
      <c r="L209" s="49"/>
      <c r="M209" s="47"/>
      <c r="N209" s="48" t="str">
        <f t="shared" si="50"/>
        <v/>
      </c>
      <c r="O209" s="48" t="str">
        <f t="shared" si="51"/>
        <v/>
      </c>
      <c r="P209" s="76" t="str">
        <f t="shared" si="52"/>
        <v/>
      </c>
      <c r="Q209" s="77">
        <f t="shared" si="53"/>
        <v>0</v>
      </c>
      <c r="R209" s="77">
        <f t="shared" si="54"/>
        <v>0</v>
      </c>
      <c r="S209" s="76">
        <f t="shared" si="62"/>
        <v>0</v>
      </c>
      <c r="T209" s="47"/>
      <c r="V209" s="57"/>
      <c r="W209" s="45"/>
      <c r="X209" s="46">
        <f t="shared" si="55"/>
        <v>0</v>
      </c>
      <c r="Y209" s="75" t="str">
        <f t="shared" si="56"/>
        <v/>
      </c>
      <c r="Z209" s="49"/>
      <c r="AA209" s="49"/>
      <c r="AB209" s="49"/>
      <c r="AC209" s="204"/>
      <c r="AD209" s="48" t="str">
        <f t="shared" si="57"/>
        <v/>
      </c>
      <c r="AE209" s="48" t="str">
        <f t="shared" si="58"/>
        <v/>
      </c>
      <c r="AF209" s="76" t="str">
        <f t="shared" si="59"/>
        <v/>
      </c>
      <c r="AG209" s="77">
        <f t="shared" si="60"/>
        <v>0</v>
      </c>
      <c r="AH209" s="77">
        <f t="shared" si="61"/>
        <v>0</v>
      </c>
      <c r="AI209" s="76">
        <f t="shared" si="63"/>
        <v>0</v>
      </c>
      <c r="AJ209" s="203"/>
    </row>
    <row r="210" spans="1:36" s="56" customFormat="1" ht="14.25">
      <c r="A210" s="44"/>
      <c r="B210" s="45"/>
      <c r="C210" s="46">
        <f t="shared" si="48"/>
        <v>0</v>
      </c>
      <c r="D210" s="47"/>
      <c r="E210" s="47"/>
      <c r="F210" s="47"/>
      <c r="G210" s="47"/>
      <c r="H210" s="48"/>
      <c r="I210" s="75" t="str">
        <f t="shared" si="49"/>
        <v/>
      </c>
      <c r="J210" s="49"/>
      <c r="K210" s="49"/>
      <c r="L210" s="49"/>
      <c r="M210" s="47"/>
      <c r="N210" s="48" t="str">
        <f t="shared" si="50"/>
        <v/>
      </c>
      <c r="O210" s="48" t="str">
        <f t="shared" si="51"/>
        <v/>
      </c>
      <c r="P210" s="76" t="str">
        <f t="shared" si="52"/>
        <v/>
      </c>
      <c r="Q210" s="77">
        <f t="shared" si="53"/>
        <v>0</v>
      </c>
      <c r="R210" s="77">
        <f t="shared" si="54"/>
        <v>0</v>
      </c>
      <c r="S210" s="76">
        <f t="shared" si="62"/>
        <v>0</v>
      </c>
      <c r="T210" s="47"/>
      <c r="V210" s="57"/>
      <c r="W210" s="45"/>
      <c r="X210" s="46">
        <f t="shared" si="55"/>
        <v>0</v>
      </c>
      <c r="Y210" s="75" t="str">
        <f t="shared" si="56"/>
        <v/>
      </c>
      <c r="Z210" s="49"/>
      <c r="AA210" s="49"/>
      <c r="AB210" s="49"/>
      <c r="AC210" s="204"/>
      <c r="AD210" s="48" t="str">
        <f t="shared" si="57"/>
        <v/>
      </c>
      <c r="AE210" s="48" t="str">
        <f t="shared" si="58"/>
        <v/>
      </c>
      <c r="AF210" s="76" t="str">
        <f t="shared" si="59"/>
        <v/>
      </c>
      <c r="AG210" s="77">
        <f t="shared" si="60"/>
        <v>0</v>
      </c>
      <c r="AH210" s="77">
        <f t="shared" si="61"/>
        <v>0</v>
      </c>
      <c r="AI210" s="76">
        <f t="shared" si="63"/>
        <v>0</v>
      </c>
      <c r="AJ210" s="203"/>
    </row>
    <row r="211" spans="1:36" s="56" customFormat="1" ht="14.25">
      <c r="A211" s="44"/>
      <c r="B211" s="45"/>
      <c r="C211" s="46">
        <f t="shared" si="48"/>
        <v>0</v>
      </c>
      <c r="D211" s="47"/>
      <c r="E211" s="47"/>
      <c r="F211" s="47"/>
      <c r="G211" s="47"/>
      <c r="H211" s="48"/>
      <c r="I211" s="75" t="str">
        <f t="shared" si="49"/>
        <v/>
      </c>
      <c r="J211" s="49"/>
      <c r="K211" s="49"/>
      <c r="L211" s="49"/>
      <c r="M211" s="47"/>
      <c r="N211" s="48" t="str">
        <f t="shared" si="50"/>
        <v/>
      </c>
      <c r="O211" s="48" t="str">
        <f t="shared" si="51"/>
        <v/>
      </c>
      <c r="P211" s="76" t="str">
        <f t="shared" si="52"/>
        <v/>
      </c>
      <c r="Q211" s="77">
        <f t="shared" si="53"/>
        <v>0</v>
      </c>
      <c r="R211" s="77">
        <f t="shared" si="54"/>
        <v>0</v>
      </c>
      <c r="S211" s="76">
        <f t="shared" si="62"/>
        <v>0</v>
      </c>
      <c r="T211" s="47"/>
      <c r="V211" s="57"/>
      <c r="W211" s="45"/>
      <c r="X211" s="46">
        <f t="shared" si="55"/>
        <v>0</v>
      </c>
      <c r="Y211" s="75" t="str">
        <f t="shared" si="56"/>
        <v/>
      </c>
      <c r="Z211" s="49"/>
      <c r="AA211" s="49"/>
      <c r="AB211" s="49"/>
      <c r="AC211" s="204"/>
      <c r="AD211" s="48" t="str">
        <f t="shared" si="57"/>
        <v/>
      </c>
      <c r="AE211" s="48" t="str">
        <f t="shared" si="58"/>
        <v/>
      </c>
      <c r="AF211" s="76" t="str">
        <f t="shared" si="59"/>
        <v/>
      </c>
      <c r="AG211" s="77">
        <f t="shared" si="60"/>
        <v>0</v>
      </c>
      <c r="AH211" s="77">
        <f t="shared" si="61"/>
        <v>0</v>
      </c>
      <c r="AI211" s="76">
        <f t="shared" si="63"/>
        <v>0</v>
      </c>
      <c r="AJ211" s="203"/>
    </row>
    <row r="212" spans="1:36" s="56" customFormat="1" ht="14.25">
      <c r="A212" s="44"/>
      <c r="B212" s="45"/>
      <c r="C212" s="46">
        <f t="shared" si="48"/>
        <v>0</v>
      </c>
      <c r="D212" s="47"/>
      <c r="E212" s="47"/>
      <c r="F212" s="47"/>
      <c r="G212" s="47"/>
      <c r="H212" s="48"/>
      <c r="I212" s="75" t="str">
        <f t="shared" si="49"/>
        <v/>
      </c>
      <c r="J212" s="49"/>
      <c r="K212" s="49"/>
      <c r="L212" s="49"/>
      <c r="M212" s="47"/>
      <c r="N212" s="48" t="str">
        <f t="shared" si="50"/>
        <v/>
      </c>
      <c r="O212" s="48" t="str">
        <f t="shared" si="51"/>
        <v/>
      </c>
      <c r="P212" s="76" t="str">
        <f t="shared" si="52"/>
        <v/>
      </c>
      <c r="Q212" s="77">
        <f t="shared" si="53"/>
        <v>0</v>
      </c>
      <c r="R212" s="77">
        <f t="shared" si="54"/>
        <v>0</v>
      </c>
      <c r="S212" s="76">
        <f t="shared" si="62"/>
        <v>0</v>
      </c>
      <c r="T212" s="47"/>
      <c r="V212" s="57"/>
      <c r="W212" s="45"/>
      <c r="X212" s="46">
        <f t="shared" si="55"/>
        <v>0</v>
      </c>
      <c r="Y212" s="75" t="str">
        <f t="shared" si="56"/>
        <v/>
      </c>
      <c r="Z212" s="49"/>
      <c r="AA212" s="49"/>
      <c r="AB212" s="49"/>
      <c r="AC212" s="204"/>
      <c r="AD212" s="48" t="str">
        <f t="shared" si="57"/>
        <v/>
      </c>
      <c r="AE212" s="48" t="str">
        <f t="shared" si="58"/>
        <v/>
      </c>
      <c r="AF212" s="76" t="str">
        <f t="shared" si="59"/>
        <v/>
      </c>
      <c r="AG212" s="77">
        <f t="shared" si="60"/>
        <v>0</v>
      </c>
      <c r="AH212" s="77">
        <f t="shared" si="61"/>
        <v>0</v>
      </c>
      <c r="AI212" s="76">
        <f t="shared" si="63"/>
        <v>0</v>
      </c>
      <c r="AJ212" s="203"/>
    </row>
    <row r="213" spans="1:36" s="56" customFormat="1" ht="14.25">
      <c r="A213" s="44"/>
      <c r="B213" s="45"/>
      <c r="C213" s="46">
        <f t="shared" si="48"/>
        <v>0</v>
      </c>
      <c r="D213" s="47"/>
      <c r="E213" s="47"/>
      <c r="F213" s="47"/>
      <c r="G213" s="47"/>
      <c r="H213" s="48"/>
      <c r="I213" s="75" t="str">
        <f t="shared" si="49"/>
        <v/>
      </c>
      <c r="J213" s="49"/>
      <c r="K213" s="49"/>
      <c r="L213" s="49"/>
      <c r="M213" s="47"/>
      <c r="N213" s="48" t="str">
        <f t="shared" si="50"/>
        <v/>
      </c>
      <c r="O213" s="48" t="str">
        <f t="shared" si="51"/>
        <v/>
      </c>
      <c r="P213" s="76" t="str">
        <f t="shared" si="52"/>
        <v/>
      </c>
      <c r="Q213" s="77">
        <f t="shared" si="53"/>
        <v>0</v>
      </c>
      <c r="R213" s="77">
        <f t="shared" si="54"/>
        <v>0</v>
      </c>
      <c r="S213" s="76">
        <f t="shared" si="62"/>
        <v>0</v>
      </c>
      <c r="T213" s="47"/>
      <c r="V213" s="57"/>
      <c r="W213" s="45"/>
      <c r="X213" s="46">
        <f t="shared" si="55"/>
        <v>0</v>
      </c>
      <c r="Y213" s="75" t="str">
        <f t="shared" si="56"/>
        <v/>
      </c>
      <c r="Z213" s="49"/>
      <c r="AA213" s="49"/>
      <c r="AB213" s="49"/>
      <c r="AC213" s="204"/>
      <c r="AD213" s="48" t="str">
        <f t="shared" si="57"/>
        <v/>
      </c>
      <c r="AE213" s="48" t="str">
        <f t="shared" si="58"/>
        <v/>
      </c>
      <c r="AF213" s="76" t="str">
        <f t="shared" si="59"/>
        <v/>
      </c>
      <c r="AG213" s="77">
        <f t="shared" si="60"/>
        <v>0</v>
      </c>
      <c r="AH213" s="77">
        <f t="shared" si="61"/>
        <v>0</v>
      </c>
      <c r="AI213" s="76">
        <f t="shared" si="63"/>
        <v>0</v>
      </c>
      <c r="AJ213" s="203"/>
    </row>
    <row r="214" spans="1:36" s="56" customFormat="1" ht="14.25">
      <c r="A214" s="44"/>
      <c r="B214" s="45"/>
      <c r="C214" s="46">
        <f t="shared" si="48"/>
        <v>0</v>
      </c>
      <c r="D214" s="47"/>
      <c r="E214" s="47"/>
      <c r="F214" s="47"/>
      <c r="G214" s="47"/>
      <c r="H214" s="48"/>
      <c r="I214" s="75" t="str">
        <f t="shared" si="49"/>
        <v/>
      </c>
      <c r="J214" s="49"/>
      <c r="K214" s="49"/>
      <c r="L214" s="49"/>
      <c r="M214" s="47"/>
      <c r="N214" s="48" t="str">
        <f t="shared" si="50"/>
        <v/>
      </c>
      <c r="O214" s="48" t="str">
        <f t="shared" si="51"/>
        <v/>
      </c>
      <c r="P214" s="76" t="str">
        <f t="shared" si="52"/>
        <v/>
      </c>
      <c r="Q214" s="77">
        <f t="shared" si="53"/>
        <v>0</v>
      </c>
      <c r="R214" s="77">
        <f t="shared" si="54"/>
        <v>0</v>
      </c>
      <c r="S214" s="76">
        <f t="shared" si="62"/>
        <v>0</v>
      </c>
      <c r="T214" s="47"/>
      <c r="V214" s="57"/>
      <c r="W214" s="45"/>
      <c r="X214" s="46">
        <f t="shared" si="55"/>
        <v>0</v>
      </c>
      <c r="Y214" s="75" t="str">
        <f t="shared" si="56"/>
        <v/>
      </c>
      <c r="Z214" s="49"/>
      <c r="AA214" s="49"/>
      <c r="AB214" s="49"/>
      <c r="AC214" s="204"/>
      <c r="AD214" s="48" t="str">
        <f t="shared" si="57"/>
        <v/>
      </c>
      <c r="AE214" s="48" t="str">
        <f t="shared" si="58"/>
        <v/>
      </c>
      <c r="AF214" s="76" t="str">
        <f t="shared" si="59"/>
        <v/>
      </c>
      <c r="AG214" s="77">
        <f t="shared" si="60"/>
        <v>0</v>
      </c>
      <c r="AH214" s="77">
        <f t="shared" si="61"/>
        <v>0</v>
      </c>
      <c r="AI214" s="76">
        <f t="shared" si="63"/>
        <v>0</v>
      </c>
      <c r="AJ214" s="203"/>
    </row>
    <row r="215" spans="1:36" s="56" customFormat="1" ht="14.25">
      <c r="A215" s="44"/>
      <c r="B215" s="45"/>
      <c r="C215" s="46">
        <f t="shared" si="48"/>
        <v>0</v>
      </c>
      <c r="D215" s="47"/>
      <c r="E215" s="47"/>
      <c r="F215" s="47"/>
      <c r="G215" s="47"/>
      <c r="H215" s="48"/>
      <c r="I215" s="75" t="str">
        <f t="shared" si="49"/>
        <v/>
      </c>
      <c r="J215" s="49"/>
      <c r="K215" s="49"/>
      <c r="L215" s="49"/>
      <c r="M215" s="47"/>
      <c r="N215" s="48" t="str">
        <f t="shared" si="50"/>
        <v/>
      </c>
      <c r="O215" s="48" t="str">
        <f t="shared" si="51"/>
        <v/>
      </c>
      <c r="P215" s="76" t="str">
        <f t="shared" si="52"/>
        <v/>
      </c>
      <c r="Q215" s="77">
        <f t="shared" si="53"/>
        <v>0</v>
      </c>
      <c r="R215" s="77">
        <f t="shared" si="54"/>
        <v>0</v>
      </c>
      <c r="S215" s="76">
        <f t="shared" si="62"/>
        <v>0</v>
      </c>
      <c r="T215" s="47"/>
      <c r="V215" s="57"/>
      <c r="W215" s="45"/>
      <c r="X215" s="46">
        <f t="shared" si="55"/>
        <v>0</v>
      </c>
      <c r="Y215" s="75" t="str">
        <f t="shared" si="56"/>
        <v/>
      </c>
      <c r="Z215" s="49"/>
      <c r="AA215" s="49"/>
      <c r="AB215" s="49"/>
      <c r="AC215" s="204"/>
      <c r="AD215" s="48" t="str">
        <f t="shared" si="57"/>
        <v/>
      </c>
      <c r="AE215" s="48" t="str">
        <f t="shared" si="58"/>
        <v/>
      </c>
      <c r="AF215" s="76" t="str">
        <f t="shared" si="59"/>
        <v/>
      </c>
      <c r="AG215" s="77">
        <f t="shared" si="60"/>
        <v>0</v>
      </c>
      <c r="AH215" s="77">
        <f t="shared" si="61"/>
        <v>0</v>
      </c>
      <c r="AI215" s="76">
        <f t="shared" si="63"/>
        <v>0</v>
      </c>
      <c r="AJ215" s="203"/>
    </row>
    <row r="216" spans="1:36" s="56" customFormat="1" ht="14.25">
      <c r="A216" s="44"/>
      <c r="B216" s="45"/>
      <c r="C216" s="46">
        <f t="shared" si="48"/>
        <v>0</v>
      </c>
      <c r="D216" s="47"/>
      <c r="E216" s="47"/>
      <c r="F216" s="47"/>
      <c r="G216" s="47"/>
      <c r="H216" s="48"/>
      <c r="I216" s="75" t="str">
        <f t="shared" si="49"/>
        <v/>
      </c>
      <c r="J216" s="49"/>
      <c r="K216" s="49"/>
      <c r="L216" s="49"/>
      <c r="M216" s="47"/>
      <c r="N216" s="48" t="str">
        <f t="shared" si="50"/>
        <v/>
      </c>
      <c r="O216" s="48" t="str">
        <f t="shared" si="51"/>
        <v/>
      </c>
      <c r="P216" s="76" t="str">
        <f t="shared" si="52"/>
        <v/>
      </c>
      <c r="Q216" s="77">
        <f t="shared" si="53"/>
        <v>0</v>
      </c>
      <c r="R216" s="77">
        <f t="shared" si="54"/>
        <v>0</v>
      </c>
      <c r="S216" s="76">
        <f t="shared" si="62"/>
        <v>0</v>
      </c>
      <c r="T216" s="47"/>
      <c r="V216" s="57"/>
      <c r="W216" s="45"/>
      <c r="X216" s="46">
        <f t="shared" si="55"/>
        <v>0</v>
      </c>
      <c r="Y216" s="75" t="str">
        <f t="shared" si="56"/>
        <v/>
      </c>
      <c r="Z216" s="49"/>
      <c r="AA216" s="49"/>
      <c r="AB216" s="49"/>
      <c r="AC216" s="204"/>
      <c r="AD216" s="48" t="str">
        <f t="shared" si="57"/>
        <v/>
      </c>
      <c r="AE216" s="48" t="str">
        <f t="shared" si="58"/>
        <v/>
      </c>
      <c r="AF216" s="76" t="str">
        <f t="shared" si="59"/>
        <v/>
      </c>
      <c r="AG216" s="77">
        <f t="shared" si="60"/>
        <v>0</v>
      </c>
      <c r="AH216" s="77">
        <f t="shared" si="61"/>
        <v>0</v>
      </c>
      <c r="AI216" s="76">
        <f t="shared" si="63"/>
        <v>0</v>
      </c>
      <c r="AJ216" s="203"/>
    </row>
    <row r="217" spans="1:36" s="56" customFormat="1" ht="14.25">
      <c r="A217" s="44"/>
      <c r="B217" s="45"/>
      <c r="C217" s="46">
        <f t="shared" si="48"/>
        <v>0</v>
      </c>
      <c r="D217" s="47"/>
      <c r="E217" s="47"/>
      <c r="F217" s="47"/>
      <c r="G217" s="47"/>
      <c r="H217" s="48"/>
      <c r="I217" s="75" t="str">
        <f t="shared" si="49"/>
        <v/>
      </c>
      <c r="J217" s="49"/>
      <c r="K217" s="49"/>
      <c r="L217" s="49"/>
      <c r="M217" s="47"/>
      <c r="N217" s="48" t="str">
        <f t="shared" si="50"/>
        <v/>
      </c>
      <c r="O217" s="48" t="str">
        <f t="shared" si="51"/>
        <v/>
      </c>
      <c r="P217" s="76" t="str">
        <f t="shared" si="52"/>
        <v/>
      </c>
      <c r="Q217" s="77">
        <f t="shared" si="53"/>
        <v>0</v>
      </c>
      <c r="R217" s="77">
        <f t="shared" si="54"/>
        <v>0</v>
      </c>
      <c r="S217" s="76">
        <f t="shared" si="62"/>
        <v>0</v>
      </c>
      <c r="T217" s="47"/>
      <c r="V217" s="57"/>
      <c r="W217" s="45"/>
      <c r="X217" s="46">
        <f t="shared" si="55"/>
        <v>0</v>
      </c>
      <c r="Y217" s="75" t="str">
        <f t="shared" si="56"/>
        <v/>
      </c>
      <c r="Z217" s="49"/>
      <c r="AA217" s="49"/>
      <c r="AB217" s="49"/>
      <c r="AC217" s="204"/>
      <c r="AD217" s="48" t="str">
        <f t="shared" si="57"/>
        <v/>
      </c>
      <c r="AE217" s="48" t="str">
        <f t="shared" si="58"/>
        <v/>
      </c>
      <c r="AF217" s="76" t="str">
        <f t="shared" si="59"/>
        <v/>
      </c>
      <c r="AG217" s="77">
        <f t="shared" si="60"/>
        <v>0</v>
      </c>
      <c r="AH217" s="77">
        <f t="shared" si="61"/>
        <v>0</v>
      </c>
      <c r="AI217" s="76">
        <f t="shared" si="63"/>
        <v>0</v>
      </c>
      <c r="AJ217" s="203"/>
    </row>
    <row r="218" spans="1:36" s="56" customFormat="1" ht="14.25">
      <c r="A218" s="44"/>
      <c r="B218" s="45"/>
      <c r="C218" s="46">
        <f t="shared" si="48"/>
        <v>0</v>
      </c>
      <c r="D218" s="47"/>
      <c r="E218" s="47"/>
      <c r="F218" s="47"/>
      <c r="G218" s="47"/>
      <c r="H218" s="48"/>
      <c r="I218" s="75" t="str">
        <f t="shared" si="49"/>
        <v/>
      </c>
      <c r="J218" s="49"/>
      <c r="K218" s="49"/>
      <c r="L218" s="49"/>
      <c r="M218" s="47"/>
      <c r="N218" s="48" t="str">
        <f t="shared" si="50"/>
        <v/>
      </c>
      <c r="O218" s="48" t="str">
        <f t="shared" si="51"/>
        <v/>
      </c>
      <c r="P218" s="76" t="str">
        <f t="shared" si="52"/>
        <v/>
      </c>
      <c r="Q218" s="77">
        <f t="shared" si="53"/>
        <v>0</v>
      </c>
      <c r="R218" s="77">
        <f t="shared" si="54"/>
        <v>0</v>
      </c>
      <c r="S218" s="76">
        <f t="shared" si="62"/>
        <v>0</v>
      </c>
      <c r="T218" s="47"/>
      <c r="V218" s="57"/>
      <c r="W218" s="45"/>
      <c r="X218" s="46">
        <f t="shared" si="55"/>
        <v>0</v>
      </c>
      <c r="Y218" s="75" t="str">
        <f t="shared" si="56"/>
        <v/>
      </c>
      <c r="Z218" s="49"/>
      <c r="AA218" s="49"/>
      <c r="AB218" s="49"/>
      <c r="AC218" s="204"/>
      <c r="AD218" s="48" t="str">
        <f t="shared" si="57"/>
        <v/>
      </c>
      <c r="AE218" s="48" t="str">
        <f t="shared" si="58"/>
        <v/>
      </c>
      <c r="AF218" s="76" t="str">
        <f t="shared" si="59"/>
        <v/>
      </c>
      <c r="AG218" s="77">
        <f t="shared" si="60"/>
        <v>0</v>
      </c>
      <c r="AH218" s="77">
        <f t="shared" si="61"/>
        <v>0</v>
      </c>
      <c r="AI218" s="76">
        <f t="shared" si="63"/>
        <v>0</v>
      </c>
      <c r="AJ218" s="203"/>
    </row>
    <row r="219" spans="1:36" s="56" customFormat="1" ht="14.25">
      <c r="A219" s="44"/>
      <c r="B219" s="45"/>
      <c r="C219" s="46">
        <f t="shared" si="48"/>
        <v>0</v>
      </c>
      <c r="D219" s="47"/>
      <c r="E219" s="47"/>
      <c r="F219" s="47"/>
      <c r="G219" s="47"/>
      <c r="H219" s="48"/>
      <c r="I219" s="75" t="str">
        <f t="shared" si="49"/>
        <v/>
      </c>
      <c r="J219" s="49"/>
      <c r="K219" s="49"/>
      <c r="L219" s="49"/>
      <c r="M219" s="47"/>
      <c r="N219" s="48" t="str">
        <f t="shared" si="50"/>
        <v/>
      </c>
      <c r="O219" s="48" t="str">
        <f t="shared" si="51"/>
        <v/>
      </c>
      <c r="P219" s="76" t="str">
        <f t="shared" si="52"/>
        <v/>
      </c>
      <c r="Q219" s="77">
        <f t="shared" si="53"/>
        <v>0</v>
      </c>
      <c r="R219" s="77">
        <f t="shared" si="54"/>
        <v>0</v>
      </c>
      <c r="S219" s="76">
        <f t="shared" si="62"/>
        <v>0</v>
      </c>
      <c r="T219" s="47"/>
      <c r="V219" s="57"/>
      <c r="W219" s="45"/>
      <c r="X219" s="46">
        <f t="shared" si="55"/>
        <v>0</v>
      </c>
      <c r="Y219" s="75" t="str">
        <f t="shared" si="56"/>
        <v/>
      </c>
      <c r="Z219" s="49"/>
      <c r="AA219" s="49"/>
      <c r="AB219" s="49"/>
      <c r="AC219" s="204"/>
      <c r="AD219" s="48" t="str">
        <f t="shared" si="57"/>
        <v/>
      </c>
      <c r="AE219" s="48" t="str">
        <f t="shared" si="58"/>
        <v/>
      </c>
      <c r="AF219" s="76" t="str">
        <f t="shared" si="59"/>
        <v/>
      </c>
      <c r="AG219" s="77">
        <f t="shared" si="60"/>
        <v>0</v>
      </c>
      <c r="AH219" s="77">
        <f t="shared" si="61"/>
        <v>0</v>
      </c>
      <c r="AI219" s="76">
        <f t="shared" si="63"/>
        <v>0</v>
      </c>
      <c r="AJ219" s="203"/>
    </row>
    <row r="220" spans="1:36" s="56" customFormat="1" ht="14.25">
      <c r="A220" s="44"/>
      <c r="B220" s="45"/>
      <c r="C220" s="46">
        <f t="shared" si="48"/>
        <v>0</v>
      </c>
      <c r="D220" s="47"/>
      <c r="E220" s="47"/>
      <c r="F220" s="47"/>
      <c r="G220" s="47"/>
      <c r="H220" s="48"/>
      <c r="I220" s="75" t="str">
        <f t="shared" si="49"/>
        <v/>
      </c>
      <c r="J220" s="49"/>
      <c r="K220" s="49"/>
      <c r="L220" s="49"/>
      <c r="M220" s="47"/>
      <c r="N220" s="48" t="str">
        <f t="shared" si="50"/>
        <v/>
      </c>
      <c r="O220" s="48" t="str">
        <f t="shared" si="51"/>
        <v/>
      </c>
      <c r="P220" s="76" t="str">
        <f t="shared" si="52"/>
        <v/>
      </c>
      <c r="Q220" s="77">
        <f t="shared" si="53"/>
        <v>0</v>
      </c>
      <c r="R220" s="77">
        <f t="shared" si="54"/>
        <v>0</v>
      </c>
      <c r="S220" s="76">
        <f t="shared" si="62"/>
        <v>0</v>
      </c>
      <c r="T220" s="47"/>
      <c r="V220" s="57"/>
      <c r="W220" s="45"/>
      <c r="X220" s="46">
        <f t="shared" si="55"/>
        <v>0</v>
      </c>
      <c r="Y220" s="75" t="str">
        <f t="shared" si="56"/>
        <v/>
      </c>
      <c r="Z220" s="49"/>
      <c r="AA220" s="49"/>
      <c r="AB220" s="49"/>
      <c r="AC220" s="204"/>
      <c r="AD220" s="48" t="str">
        <f t="shared" si="57"/>
        <v/>
      </c>
      <c r="AE220" s="48" t="str">
        <f t="shared" si="58"/>
        <v/>
      </c>
      <c r="AF220" s="76" t="str">
        <f t="shared" si="59"/>
        <v/>
      </c>
      <c r="AG220" s="77">
        <f t="shared" si="60"/>
        <v>0</v>
      </c>
      <c r="AH220" s="77">
        <f t="shared" si="61"/>
        <v>0</v>
      </c>
      <c r="AI220" s="76">
        <f t="shared" si="63"/>
        <v>0</v>
      </c>
      <c r="AJ220" s="203"/>
    </row>
    <row r="221" spans="1:36" s="56" customFormat="1" ht="14.25">
      <c r="A221" s="44"/>
      <c r="B221" s="45"/>
      <c r="C221" s="46">
        <f t="shared" si="48"/>
        <v>0</v>
      </c>
      <c r="D221" s="47"/>
      <c r="E221" s="47"/>
      <c r="F221" s="47"/>
      <c r="G221" s="47"/>
      <c r="H221" s="48"/>
      <c r="I221" s="75" t="str">
        <f t="shared" si="49"/>
        <v/>
      </c>
      <c r="J221" s="49"/>
      <c r="K221" s="49"/>
      <c r="L221" s="49"/>
      <c r="M221" s="47"/>
      <c r="N221" s="48" t="str">
        <f t="shared" si="50"/>
        <v/>
      </c>
      <c r="O221" s="48" t="str">
        <f t="shared" si="51"/>
        <v/>
      </c>
      <c r="P221" s="76" t="str">
        <f t="shared" si="52"/>
        <v/>
      </c>
      <c r="Q221" s="77">
        <f t="shared" si="53"/>
        <v>0</v>
      </c>
      <c r="R221" s="77">
        <f t="shared" si="54"/>
        <v>0</v>
      </c>
      <c r="S221" s="76">
        <f t="shared" si="62"/>
        <v>0</v>
      </c>
      <c r="T221" s="47"/>
      <c r="V221" s="57"/>
      <c r="W221" s="45"/>
      <c r="X221" s="46">
        <f t="shared" si="55"/>
        <v>0</v>
      </c>
      <c r="Y221" s="75" t="str">
        <f t="shared" si="56"/>
        <v/>
      </c>
      <c r="Z221" s="49"/>
      <c r="AA221" s="49"/>
      <c r="AB221" s="49"/>
      <c r="AC221" s="204"/>
      <c r="AD221" s="48" t="str">
        <f t="shared" si="57"/>
        <v/>
      </c>
      <c r="AE221" s="48" t="str">
        <f t="shared" si="58"/>
        <v/>
      </c>
      <c r="AF221" s="76" t="str">
        <f t="shared" si="59"/>
        <v/>
      </c>
      <c r="AG221" s="77">
        <f t="shared" si="60"/>
        <v>0</v>
      </c>
      <c r="AH221" s="77">
        <f t="shared" si="61"/>
        <v>0</v>
      </c>
      <c r="AI221" s="76">
        <f t="shared" si="63"/>
        <v>0</v>
      </c>
      <c r="AJ221" s="203"/>
    </row>
    <row r="222" spans="1:36" s="56" customFormat="1" ht="14.25">
      <c r="A222" s="44"/>
      <c r="B222" s="45"/>
      <c r="C222" s="46">
        <f t="shared" si="48"/>
        <v>0</v>
      </c>
      <c r="D222" s="47"/>
      <c r="E222" s="47"/>
      <c r="F222" s="47"/>
      <c r="G222" s="47"/>
      <c r="H222" s="48"/>
      <c r="I222" s="75" t="str">
        <f t="shared" si="49"/>
        <v/>
      </c>
      <c r="J222" s="49"/>
      <c r="K222" s="49"/>
      <c r="L222" s="49"/>
      <c r="M222" s="47"/>
      <c r="N222" s="48" t="str">
        <f t="shared" si="50"/>
        <v/>
      </c>
      <c r="O222" s="48" t="str">
        <f t="shared" si="51"/>
        <v/>
      </c>
      <c r="P222" s="76" t="str">
        <f t="shared" si="52"/>
        <v/>
      </c>
      <c r="Q222" s="77">
        <f t="shared" si="53"/>
        <v>0</v>
      </c>
      <c r="R222" s="77">
        <f t="shared" si="54"/>
        <v>0</v>
      </c>
      <c r="S222" s="76">
        <f t="shared" si="62"/>
        <v>0</v>
      </c>
      <c r="T222" s="47"/>
      <c r="V222" s="57"/>
      <c r="W222" s="45"/>
      <c r="X222" s="46">
        <f t="shared" si="55"/>
        <v>0</v>
      </c>
      <c r="Y222" s="75" t="str">
        <f t="shared" si="56"/>
        <v/>
      </c>
      <c r="Z222" s="49"/>
      <c r="AA222" s="49"/>
      <c r="AB222" s="49"/>
      <c r="AC222" s="204"/>
      <c r="AD222" s="48" t="str">
        <f t="shared" si="57"/>
        <v/>
      </c>
      <c r="AE222" s="48" t="str">
        <f t="shared" si="58"/>
        <v/>
      </c>
      <c r="AF222" s="76" t="str">
        <f t="shared" si="59"/>
        <v/>
      </c>
      <c r="AG222" s="77">
        <f t="shared" si="60"/>
        <v>0</v>
      </c>
      <c r="AH222" s="77">
        <f t="shared" si="61"/>
        <v>0</v>
      </c>
      <c r="AI222" s="76">
        <f t="shared" si="63"/>
        <v>0</v>
      </c>
      <c r="AJ222" s="203"/>
    </row>
    <row r="223" spans="1:36" s="56" customFormat="1" ht="14.25">
      <c r="A223" s="44"/>
      <c r="B223" s="45"/>
      <c r="C223" s="46">
        <f t="shared" si="48"/>
        <v>0</v>
      </c>
      <c r="D223" s="47"/>
      <c r="E223" s="47"/>
      <c r="F223" s="47"/>
      <c r="G223" s="47"/>
      <c r="H223" s="48"/>
      <c r="I223" s="75" t="str">
        <f t="shared" si="49"/>
        <v/>
      </c>
      <c r="J223" s="49"/>
      <c r="K223" s="49"/>
      <c r="L223" s="49"/>
      <c r="M223" s="47"/>
      <c r="N223" s="48" t="str">
        <f t="shared" si="50"/>
        <v/>
      </c>
      <c r="O223" s="48" t="str">
        <f t="shared" si="51"/>
        <v/>
      </c>
      <c r="P223" s="76" t="str">
        <f t="shared" si="52"/>
        <v/>
      </c>
      <c r="Q223" s="77">
        <f t="shared" si="53"/>
        <v>0</v>
      </c>
      <c r="R223" s="77">
        <f t="shared" si="54"/>
        <v>0</v>
      </c>
      <c r="S223" s="76">
        <f t="shared" si="62"/>
        <v>0</v>
      </c>
      <c r="T223" s="47"/>
      <c r="V223" s="57"/>
      <c r="W223" s="45"/>
      <c r="X223" s="46">
        <f t="shared" si="55"/>
        <v>0</v>
      </c>
      <c r="Y223" s="75" t="str">
        <f t="shared" si="56"/>
        <v/>
      </c>
      <c r="Z223" s="49"/>
      <c r="AA223" s="49"/>
      <c r="AB223" s="49"/>
      <c r="AC223" s="204"/>
      <c r="AD223" s="48" t="str">
        <f t="shared" si="57"/>
        <v/>
      </c>
      <c r="AE223" s="48" t="str">
        <f t="shared" si="58"/>
        <v/>
      </c>
      <c r="AF223" s="76" t="str">
        <f t="shared" si="59"/>
        <v/>
      </c>
      <c r="AG223" s="77">
        <f t="shared" si="60"/>
        <v>0</v>
      </c>
      <c r="AH223" s="77">
        <f t="shared" si="61"/>
        <v>0</v>
      </c>
      <c r="AI223" s="76">
        <f t="shared" si="63"/>
        <v>0</v>
      </c>
      <c r="AJ223" s="203"/>
    </row>
    <row r="224" spans="1:36" s="56" customFormat="1" ht="14.25">
      <c r="A224" s="44"/>
      <c r="B224" s="45"/>
      <c r="C224" s="46">
        <f t="shared" si="48"/>
        <v>0</v>
      </c>
      <c r="D224" s="47"/>
      <c r="E224" s="47"/>
      <c r="F224" s="47"/>
      <c r="G224" s="47"/>
      <c r="H224" s="48"/>
      <c r="I224" s="75" t="str">
        <f t="shared" si="49"/>
        <v/>
      </c>
      <c r="J224" s="49"/>
      <c r="K224" s="49"/>
      <c r="L224" s="49"/>
      <c r="M224" s="47"/>
      <c r="N224" s="48" t="str">
        <f t="shared" si="50"/>
        <v/>
      </c>
      <c r="O224" s="48" t="str">
        <f t="shared" si="51"/>
        <v/>
      </c>
      <c r="P224" s="76" t="str">
        <f t="shared" si="52"/>
        <v/>
      </c>
      <c r="Q224" s="77">
        <f t="shared" si="53"/>
        <v>0</v>
      </c>
      <c r="R224" s="77">
        <f t="shared" si="54"/>
        <v>0</v>
      </c>
      <c r="S224" s="76">
        <f t="shared" si="62"/>
        <v>0</v>
      </c>
      <c r="T224" s="47"/>
      <c r="V224" s="57"/>
      <c r="W224" s="45"/>
      <c r="X224" s="46">
        <f t="shared" si="55"/>
        <v>0</v>
      </c>
      <c r="Y224" s="75" t="str">
        <f t="shared" si="56"/>
        <v/>
      </c>
      <c r="Z224" s="49"/>
      <c r="AA224" s="49"/>
      <c r="AB224" s="49"/>
      <c r="AC224" s="204"/>
      <c r="AD224" s="48" t="str">
        <f t="shared" si="57"/>
        <v/>
      </c>
      <c r="AE224" s="48" t="str">
        <f t="shared" si="58"/>
        <v/>
      </c>
      <c r="AF224" s="76" t="str">
        <f t="shared" si="59"/>
        <v/>
      </c>
      <c r="AG224" s="77">
        <f t="shared" si="60"/>
        <v>0</v>
      </c>
      <c r="AH224" s="77">
        <f t="shared" si="61"/>
        <v>0</v>
      </c>
      <c r="AI224" s="76">
        <f t="shared" si="63"/>
        <v>0</v>
      </c>
      <c r="AJ224" s="203"/>
    </row>
    <row r="225" spans="1:36" s="56" customFormat="1" ht="14.25">
      <c r="A225" s="44"/>
      <c r="B225" s="45"/>
      <c r="C225" s="46">
        <f t="shared" si="48"/>
        <v>0</v>
      </c>
      <c r="D225" s="47"/>
      <c r="E225" s="47"/>
      <c r="F225" s="47"/>
      <c r="G225" s="47"/>
      <c r="H225" s="48"/>
      <c r="I225" s="75" t="str">
        <f t="shared" si="49"/>
        <v/>
      </c>
      <c r="J225" s="49"/>
      <c r="K225" s="49"/>
      <c r="L225" s="49"/>
      <c r="M225" s="47"/>
      <c r="N225" s="48" t="str">
        <f t="shared" si="50"/>
        <v/>
      </c>
      <c r="O225" s="48" t="str">
        <f t="shared" si="51"/>
        <v/>
      </c>
      <c r="P225" s="76" t="str">
        <f t="shared" si="52"/>
        <v/>
      </c>
      <c r="Q225" s="77">
        <f t="shared" si="53"/>
        <v>0</v>
      </c>
      <c r="R225" s="77">
        <f t="shared" si="54"/>
        <v>0</v>
      </c>
      <c r="S225" s="76">
        <f t="shared" si="62"/>
        <v>0</v>
      </c>
      <c r="T225" s="47"/>
      <c r="V225" s="57"/>
      <c r="W225" s="45"/>
      <c r="X225" s="46">
        <f t="shared" si="55"/>
        <v>0</v>
      </c>
      <c r="Y225" s="75" t="str">
        <f t="shared" si="56"/>
        <v/>
      </c>
      <c r="Z225" s="49"/>
      <c r="AA225" s="49"/>
      <c r="AB225" s="49"/>
      <c r="AC225" s="204"/>
      <c r="AD225" s="48" t="str">
        <f t="shared" si="57"/>
        <v/>
      </c>
      <c r="AE225" s="48" t="str">
        <f t="shared" si="58"/>
        <v/>
      </c>
      <c r="AF225" s="76" t="str">
        <f t="shared" si="59"/>
        <v/>
      </c>
      <c r="AG225" s="77">
        <f t="shared" si="60"/>
        <v>0</v>
      </c>
      <c r="AH225" s="77">
        <f t="shared" si="61"/>
        <v>0</v>
      </c>
      <c r="AI225" s="76">
        <f t="shared" si="63"/>
        <v>0</v>
      </c>
      <c r="AJ225" s="203"/>
    </row>
    <row r="226" spans="1:36" s="56" customFormat="1" ht="14.25">
      <c r="A226" s="44"/>
      <c r="B226" s="45"/>
      <c r="C226" s="46">
        <f t="shared" si="48"/>
        <v>0</v>
      </c>
      <c r="D226" s="47"/>
      <c r="E226" s="47"/>
      <c r="F226" s="47"/>
      <c r="G226" s="47"/>
      <c r="H226" s="48"/>
      <c r="I226" s="75" t="str">
        <f t="shared" si="49"/>
        <v/>
      </c>
      <c r="J226" s="49"/>
      <c r="K226" s="49"/>
      <c r="L226" s="49"/>
      <c r="M226" s="47"/>
      <c r="N226" s="48" t="str">
        <f t="shared" si="50"/>
        <v/>
      </c>
      <c r="O226" s="48" t="str">
        <f t="shared" si="51"/>
        <v/>
      </c>
      <c r="P226" s="76" t="str">
        <f t="shared" si="52"/>
        <v/>
      </c>
      <c r="Q226" s="77">
        <f t="shared" si="53"/>
        <v>0</v>
      </c>
      <c r="R226" s="77">
        <f t="shared" si="54"/>
        <v>0</v>
      </c>
      <c r="S226" s="76">
        <f t="shared" si="62"/>
        <v>0</v>
      </c>
      <c r="T226" s="47"/>
      <c r="V226" s="57"/>
      <c r="W226" s="45"/>
      <c r="X226" s="46">
        <f t="shared" si="55"/>
        <v>0</v>
      </c>
      <c r="Y226" s="75" t="str">
        <f t="shared" si="56"/>
        <v/>
      </c>
      <c r="Z226" s="49"/>
      <c r="AA226" s="49"/>
      <c r="AB226" s="49"/>
      <c r="AC226" s="204"/>
      <c r="AD226" s="48" t="str">
        <f t="shared" si="57"/>
        <v/>
      </c>
      <c r="AE226" s="48" t="str">
        <f t="shared" si="58"/>
        <v/>
      </c>
      <c r="AF226" s="76" t="str">
        <f t="shared" si="59"/>
        <v/>
      </c>
      <c r="AG226" s="77">
        <f t="shared" si="60"/>
        <v>0</v>
      </c>
      <c r="AH226" s="77">
        <f t="shared" si="61"/>
        <v>0</v>
      </c>
      <c r="AI226" s="76">
        <f t="shared" si="63"/>
        <v>0</v>
      </c>
      <c r="AJ226" s="203"/>
    </row>
    <row r="227" spans="1:36" s="56" customFormat="1" ht="14.25">
      <c r="A227" s="44"/>
      <c r="B227" s="45"/>
      <c r="C227" s="46">
        <f t="shared" si="48"/>
        <v>0</v>
      </c>
      <c r="D227" s="47"/>
      <c r="E227" s="47"/>
      <c r="F227" s="47"/>
      <c r="G227" s="47"/>
      <c r="H227" s="48"/>
      <c r="I227" s="75" t="str">
        <f t="shared" si="49"/>
        <v/>
      </c>
      <c r="J227" s="49"/>
      <c r="K227" s="49"/>
      <c r="L227" s="49"/>
      <c r="M227" s="47"/>
      <c r="N227" s="48" t="str">
        <f t="shared" si="50"/>
        <v/>
      </c>
      <c r="O227" s="48" t="str">
        <f t="shared" si="51"/>
        <v/>
      </c>
      <c r="P227" s="76" t="str">
        <f t="shared" si="52"/>
        <v/>
      </c>
      <c r="Q227" s="77">
        <f t="shared" si="53"/>
        <v>0</v>
      </c>
      <c r="R227" s="77">
        <f t="shared" si="54"/>
        <v>0</v>
      </c>
      <c r="S227" s="76">
        <f t="shared" si="62"/>
        <v>0</v>
      </c>
      <c r="T227" s="47"/>
      <c r="V227" s="57"/>
      <c r="W227" s="45"/>
      <c r="X227" s="46">
        <f t="shared" si="55"/>
        <v>0</v>
      </c>
      <c r="Y227" s="75" t="str">
        <f t="shared" si="56"/>
        <v/>
      </c>
      <c r="Z227" s="49"/>
      <c r="AA227" s="49"/>
      <c r="AB227" s="49"/>
      <c r="AC227" s="204"/>
      <c r="AD227" s="48" t="str">
        <f t="shared" si="57"/>
        <v/>
      </c>
      <c r="AE227" s="48" t="str">
        <f t="shared" si="58"/>
        <v/>
      </c>
      <c r="AF227" s="76" t="str">
        <f t="shared" si="59"/>
        <v/>
      </c>
      <c r="AG227" s="77">
        <f t="shared" si="60"/>
        <v>0</v>
      </c>
      <c r="AH227" s="77">
        <f t="shared" si="61"/>
        <v>0</v>
      </c>
      <c r="AI227" s="76">
        <f t="shared" si="63"/>
        <v>0</v>
      </c>
      <c r="AJ227" s="203"/>
    </row>
    <row r="228" spans="1:36" s="56" customFormat="1" ht="14.25">
      <c r="A228" s="44"/>
      <c r="B228" s="45"/>
      <c r="C228" s="46">
        <f t="shared" si="48"/>
        <v>0</v>
      </c>
      <c r="D228" s="47"/>
      <c r="E228" s="47"/>
      <c r="F228" s="47"/>
      <c r="G228" s="47"/>
      <c r="H228" s="48"/>
      <c r="I228" s="75" t="str">
        <f t="shared" si="49"/>
        <v/>
      </c>
      <c r="J228" s="49"/>
      <c r="K228" s="49"/>
      <c r="L228" s="49"/>
      <c r="M228" s="47"/>
      <c r="N228" s="48" t="str">
        <f t="shared" si="50"/>
        <v/>
      </c>
      <c r="O228" s="48" t="str">
        <f t="shared" si="51"/>
        <v/>
      </c>
      <c r="P228" s="76" t="str">
        <f t="shared" si="52"/>
        <v/>
      </c>
      <c r="Q228" s="77">
        <f t="shared" si="53"/>
        <v>0</v>
      </c>
      <c r="R228" s="77">
        <f t="shared" si="54"/>
        <v>0</v>
      </c>
      <c r="S228" s="76">
        <f t="shared" si="62"/>
        <v>0</v>
      </c>
      <c r="T228" s="47"/>
      <c r="V228" s="57"/>
      <c r="W228" s="45"/>
      <c r="X228" s="46">
        <f t="shared" si="55"/>
        <v>0</v>
      </c>
      <c r="Y228" s="75" t="str">
        <f t="shared" si="56"/>
        <v/>
      </c>
      <c r="Z228" s="49"/>
      <c r="AA228" s="49"/>
      <c r="AB228" s="49"/>
      <c r="AC228" s="204"/>
      <c r="AD228" s="48" t="str">
        <f t="shared" si="57"/>
        <v/>
      </c>
      <c r="AE228" s="48" t="str">
        <f t="shared" si="58"/>
        <v/>
      </c>
      <c r="AF228" s="76" t="str">
        <f t="shared" si="59"/>
        <v/>
      </c>
      <c r="AG228" s="77">
        <f t="shared" si="60"/>
        <v>0</v>
      </c>
      <c r="AH228" s="77">
        <f t="shared" si="61"/>
        <v>0</v>
      </c>
      <c r="AI228" s="76">
        <f t="shared" si="63"/>
        <v>0</v>
      </c>
      <c r="AJ228" s="203"/>
    </row>
    <row r="229" spans="1:36" s="56" customFormat="1" ht="14.25">
      <c r="A229" s="44"/>
      <c r="B229" s="45"/>
      <c r="C229" s="46">
        <f t="shared" si="48"/>
        <v>0</v>
      </c>
      <c r="D229" s="47"/>
      <c r="E229" s="47"/>
      <c r="F229" s="47"/>
      <c r="G229" s="47"/>
      <c r="H229" s="48"/>
      <c r="I229" s="75" t="str">
        <f t="shared" si="49"/>
        <v/>
      </c>
      <c r="J229" s="49"/>
      <c r="K229" s="49"/>
      <c r="L229" s="49"/>
      <c r="M229" s="47"/>
      <c r="N229" s="48" t="str">
        <f t="shared" si="50"/>
        <v/>
      </c>
      <c r="O229" s="48" t="str">
        <f t="shared" si="51"/>
        <v/>
      </c>
      <c r="P229" s="76" t="str">
        <f t="shared" si="52"/>
        <v/>
      </c>
      <c r="Q229" s="77">
        <f t="shared" si="53"/>
        <v>0</v>
      </c>
      <c r="R229" s="77">
        <f t="shared" si="54"/>
        <v>0</v>
      </c>
      <c r="S229" s="76">
        <f t="shared" si="62"/>
        <v>0</v>
      </c>
      <c r="T229" s="47"/>
      <c r="V229" s="57"/>
      <c r="W229" s="45"/>
      <c r="X229" s="46">
        <f t="shared" si="55"/>
        <v>0</v>
      </c>
      <c r="Y229" s="75" t="str">
        <f t="shared" si="56"/>
        <v/>
      </c>
      <c r="Z229" s="49"/>
      <c r="AA229" s="49"/>
      <c r="AB229" s="49"/>
      <c r="AC229" s="204"/>
      <c r="AD229" s="48" t="str">
        <f t="shared" si="57"/>
        <v/>
      </c>
      <c r="AE229" s="48" t="str">
        <f t="shared" si="58"/>
        <v/>
      </c>
      <c r="AF229" s="76" t="str">
        <f t="shared" si="59"/>
        <v/>
      </c>
      <c r="AG229" s="77">
        <f t="shared" si="60"/>
        <v>0</v>
      </c>
      <c r="AH229" s="77">
        <f t="shared" si="61"/>
        <v>0</v>
      </c>
      <c r="AI229" s="76">
        <f t="shared" si="63"/>
        <v>0</v>
      </c>
      <c r="AJ229" s="203"/>
    </row>
    <row r="230" spans="1:36" s="56" customFormat="1" ht="14.25">
      <c r="A230" s="44"/>
      <c r="B230" s="45"/>
      <c r="C230" s="46">
        <f t="shared" si="48"/>
        <v>0</v>
      </c>
      <c r="D230" s="47"/>
      <c r="E230" s="47"/>
      <c r="F230" s="47"/>
      <c r="G230" s="47"/>
      <c r="H230" s="48"/>
      <c r="I230" s="75" t="str">
        <f t="shared" si="49"/>
        <v/>
      </c>
      <c r="J230" s="49"/>
      <c r="K230" s="49"/>
      <c r="L230" s="49"/>
      <c r="M230" s="47"/>
      <c r="N230" s="48" t="str">
        <f t="shared" si="50"/>
        <v/>
      </c>
      <c r="O230" s="48" t="str">
        <f t="shared" si="51"/>
        <v/>
      </c>
      <c r="P230" s="76" t="str">
        <f t="shared" si="52"/>
        <v/>
      </c>
      <c r="Q230" s="77">
        <f t="shared" si="53"/>
        <v>0</v>
      </c>
      <c r="R230" s="77">
        <f t="shared" si="54"/>
        <v>0</v>
      </c>
      <c r="S230" s="76">
        <f t="shared" si="62"/>
        <v>0</v>
      </c>
      <c r="T230" s="47"/>
      <c r="V230" s="57"/>
      <c r="W230" s="45"/>
      <c r="X230" s="46">
        <f t="shared" si="55"/>
        <v>0</v>
      </c>
      <c r="Y230" s="75" t="str">
        <f t="shared" si="56"/>
        <v/>
      </c>
      <c r="Z230" s="49"/>
      <c r="AA230" s="49"/>
      <c r="AB230" s="49"/>
      <c r="AC230" s="204"/>
      <c r="AD230" s="48" t="str">
        <f t="shared" si="57"/>
        <v/>
      </c>
      <c r="AE230" s="48" t="str">
        <f t="shared" si="58"/>
        <v/>
      </c>
      <c r="AF230" s="76" t="str">
        <f t="shared" si="59"/>
        <v/>
      </c>
      <c r="AG230" s="77">
        <f t="shared" si="60"/>
        <v>0</v>
      </c>
      <c r="AH230" s="77">
        <f t="shared" si="61"/>
        <v>0</v>
      </c>
      <c r="AI230" s="76">
        <f t="shared" si="63"/>
        <v>0</v>
      </c>
      <c r="AJ230" s="203"/>
    </row>
    <row r="231" spans="1:36" s="56" customFormat="1" ht="14.25">
      <c r="A231" s="44"/>
      <c r="B231" s="45"/>
      <c r="C231" s="46">
        <f t="shared" si="48"/>
        <v>0</v>
      </c>
      <c r="D231" s="47"/>
      <c r="E231" s="47"/>
      <c r="F231" s="47"/>
      <c r="G231" s="47"/>
      <c r="H231" s="48"/>
      <c r="I231" s="75" t="str">
        <f t="shared" si="49"/>
        <v/>
      </c>
      <c r="J231" s="49"/>
      <c r="K231" s="49"/>
      <c r="L231" s="49"/>
      <c r="M231" s="47"/>
      <c r="N231" s="48" t="str">
        <f t="shared" si="50"/>
        <v/>
      </c>
      <c r="O231" s="48" t="str">
        <f t="shared" si="51"/>
        <v/>
      </c>
      <c r="P231" s="76" t="str">
        <f t="shared" si="52"/>
        <v/>
      </c>
      <c r="Q231" s="77">
        <f t="shared" si="53"/>
        <v>0</v>
      </c>
      <c r="R231" s="77">
        <f t="shared" si="54"/>
        <v>0</v>
      </c>
      <c r="S231" s="76">
        <f t="shared" si="62"/>
        <v>0</v>
      </c>
      <c r="T231" s="47"/>
      <c r="V231" s="57"/>
      <c r="W231" s="45"/>
      <c r="X231" s="46">
        <f t="shared" si="55"/>
        <v>0</v>
      </c>
      <c r="Y231" s="75" t="str">
        <f t="shared" si="56"/>
        <v/>
      </c>
      <c r="Z231" s="49"/>
      <c r="AA231" s="49"/>
      <c r="AB231" s="49"/>
      <c r="AC231" s="204"/>
      <c r="AD231" s="48" t="str">
        <f t="shared" si="57"/>
        <v/>
      </c>
      <c r="AE231" s="48" t="str">
        <f t="shared" si="58"/>
        <v/>
      </c>
      <c r="AF231" s="76" t="str">
        <f t="shared" si="59"/>
        <v/>
      </c>
      <c r="AG231" s="77">
        <f t="shared" si="60"/>
        <v>0</v>
      </c>
      <c r="AH231" s="77">
        <f t="shared" si="61"/>
        <v>0</v>
      </c>
      <c r="AI231" s="76">
        <f t="shared" si="63"/>
        <v>0</v>
      </c>
      <c r="AJ231" s="203"/>
    </row>
    <row r="232" spans="1:36" s="56" customFormat="1" ht="14.25">
      <c r="A232" s="44"/>
      <c r="B232" s="45"/>
      <c r="C232" s="46">
        <f t="shared" si="48"/>
        <v>0</v>
      </c>
      <c r="D232" s="47"/>
      <c r="E232" s="47"/>
      <c r="F232" s="47"/>
      <c r="G232" s="47"/>
      <c r="H232" s="48"/>
      <c r="I232" s="75" t="str">
        <f t="shared" si="49"/>
        <v/>
      </c>
      <c r="J232" s="49"/>
      <c r="K232" s="49"/>
      <c r="L232" s="49"/>
      <c r="M232" s="47"/>
      <c r="N232" s="48" t="str">
        <f t="shared" si="50"/>
        <v/>
      </c>
      <c r="O232" s="48" t="str">
        <f t="shared" si="51"/>
        <v/>
      </c>
      <c r="P232" s="76" t="str">
        <f t="shared" si="52"/>
        <v/>
      </c>
      <c r="Q232" s="77">
        <f t="shared" si="53"/>
        <v>0</v>
      </c>
      <c r="R232" s="77">
        <f t="shared" si="54"/>
        <v>0</v>
      </c>
      <c r="S232" s="76">
        <f t="shared" si="62"/>
        <v>0</v>
      </c>
      <c r="T232" s="47"/>
      <c r="V232" s="57"/>
      <c r="W232" s="45"/>
      <c r="X232" s="46">
        <f t="shared" si="55"/>
        <v>0</v>
      </c>
      <c r="Y232" s="75" t="str">
        <f t="shared" si="56"/>
        <v/>
      </c>
      <c r="Z232" s="49"/>
      <c r="AA232" s="49"/>
      <c r="AB232" s="49"/>
      <c r="AC232" s="204"/>
      <c r="AD232" s="48" t="str">
        <f t="shared" si="57"/>
        <v/>
      </c>
      <c r="AE232" s="48" t="str">
        <f t="shared" si="58"/>
        <v/>
      </c>
      <c r="AF232" s="76" t="str">
        <f t="shared" si="59"/>
        <v/>
      </c>
      <c r="AG232" s="77">
        <f t="shared" si="60"/>
        <v>0</v>
      </c>
      <c r="AH232" s="77">
        <f t="shared" si="61"/>
        <v>0</v>
      </c>
      <c r="AI232" s="76">
        <f t="shared" si="63"/>
        <v>0</v>
      </c>
      <c r="AJ232" s="203"/>
    </row>
    <row r="233" spans="1:36" s="56" customFormat="1" ht="14.25">
      <c r="A233" s="44"/>
      <c r="B233" s="45"/>
      <c r="C233" s="46">
        <f t="shared" si="48"/>
        <v>0</v>
      </c>
      <c r="D233" s="47"/>
      <c r="E233" s="47"/>
      <c r="F233" s="47"/>
      <c r="G233" s="47"/>
      <c r="H233" s="48"/>
      <c r="I233" s="75" t="str">
        <f t="shared" si="49"/>
        <v/>
      </c>
      <c r="J233" s="49"/>
      <c r="K233" s="49"/>
      <c r="L233" s="49"/>
      <c r="M233" s="47"/>
      <c r="N233" s="48" t="str">
        <f t="shared" si="50"/>
        <v/>
      </c>
      <c r="O233" s="48" t="str">
        <f t="shared" si="51"/>
        <v/>
      </c>
      <c r="P233" s="76" t="str">
        <f t="shared" si="52"/>
        <v/>
      </c>
      <c r="Q233" s="77">
        <f t="shared" si="53"/>
        <v>0</v>
      </c>
      <c r="R233" s="77">
        <f t="shared" si="54"/>
        <v>0</v>
      </c>
      <c r="S233" s="76">
        <f t="shared" si="62"/>
        <v>0</v>
      </c>
      <c r="T233" s="47"/>
      <c r="V233" s="57"/>
      <c r="W233" s="45"/>
      <c r="X233" s="46">
        <f t="shared" si="55"/>
        <v>0</v>
      </c>
      <c r="Y233" s="75" t="str">
        <f t="shared" si="56"/>
        <v/>
      </c>
      <c r="Z233" s="49"/>
      <c r="AA233" s="49"/>
      <c r="AB233" s="49"/>
      <c r="AC233" s="204"/>
      <c r="AD233" s="48" t="str">
        <f t="shared" si="57"/>
        <v/>
      </c>
      <c r="AE233" s="48" t="str">
        <f t="shared" si="58"/>
        <v/>
      </c>
      <c r="AF233" s="76" t="str">
        <f t="shared" si="59"/>
        <v/>
      </c>
      <c r="AG233" s="77">
        <f t="shared" si="60"/>
        <v>0</v>
      </c>
      <c r="AH233" s="77">
        <f t="shared" si="61"/>
        <v>0</v>
      </c>
      <c r="AI233" s="76">
        <f t="shared" si="63"/>
        <v>0</v>
      </c>
      <c r="AJ233" s="203"/>
    </row>
    <row r="234" spans="1:36" s="56" customFormat="1" ht="14.25">
      <c r="A234" s="44"/>
      <c r="B234" s="45"/>
      <c r="C234" s="46">
        <f t="shared" si="48"/>
        <v>0</v>
      </c>
      <c r="D234" s="47"/>
      <c r="E234" s="47"/>
      <c r="F234" s="47"/>
      <c r="G234" s="47"/>
      <c r="H234" s="48"/>
      <c r="I234" s="75" t="str">
        <f t="shared" si="49"/>
        <v/>
      </c>
      <c r="J234" s="49"/>
      <c r="K234" s="49"/>
      <c r="L234" s="49"/>
      <c r="M234" s="47"/>
      <c r="N234" s="48" t="str">
        <f t="shared" si="50"/>
        <v/>
      </c>
      <c r="O234" s="48" t="str">
        <f t="shared" si="51"/>
        <v/>
      </c>
      <c r="P234" s="76" t="str">
        <f t="shared" si="52"/>
        <v/>
      </c>
      <c r="Q234" s="77">
        <f t="shared" si="53"/>
        <v>0</v>
      </c>
      <c r="R234" s="77">
        <f t="shared" si="54"/>
        <v>0</v>
      </c>
      <c r="S234" s="76">
        <f t="shared" si="62"/>
        <v>0</v>
      </c>
      <c r="T234" s="47"/>
      <c r="V234" s="57"/>
      <c r="W234" s="45"/>
      <c r="X234" s="46">
        <f t="shared" si="55"/>
        <v>0</v>
      </c>
      <c r="Y234" s="75" t="str">
        <f t="shared" si="56"/>
        <v/>
      </c>
      <c r="Z234" s="49"/>
      <c r="AA234" s="49"/>
      <c r="AB234" s="49"/>
      <c r="AC234" s="204"/>
      <c r="AD234" s="48" t="str">
        <f t="shared" si="57"/>
        <v/>
      </c>
      <c r="AE234" s="48" t="str">
        <f t="shared" si="58"/>
        <v/>
      </c>
      <c r="AF234" s="76" t="str">
        <f t="shared" si="59"/>
        <v/>
      </c>
      <c r="AG234" s="77">
        <f t="shared" si="60"/>
        <v>0</v>
      </c>
      <c r="AH234" s="77">
        <f t="shared" si="61"/>
        <v>0</v>
      </c>
      <c r="AI234" s="76">
        <f t="shared" si="63"/>
        <v>0</v>
      </c>
      <c r="AJ234" s="203"/>
    </row>
    <row r="235" spans="1:36" s="56" customFormat="1" ht="14.25">
      <c r="A235" s="44"/>
      <c r="B235" s="45"/>
      <c r="C235" s="46">
        <f t="shared" si="48"/>
        <v>0</v>
      </c>
      <c r="D235" s="47"/>
      <c r="E235" s="47"/>
      <c r="F235" s="47"/>
      <c r="G235" s="47"/>
      <c r="H235" s="48"/>
      <c r="I235" s="75" t="str">
        <f t="shared" si="49"/>
        <v/>
      </c>
      <c r="J235" s="49"/>
      <c r="K235" s="49"/>
      <c r="L235" s="49"/>
      <c r="M235" s="47"/>
      <c r="N235" s="48" t="str">
        <f t="shared" si="50"/>
        <v/>
      </c>
      <c r="O235" s="48" t="str">
        <f t="shared" si="51"/>
        <v/>
      </c>
      <c r="P235" s="76" t="str">
        <f t="shared" si="52"/>
        <v/>
      </c>
      <c r="Q235" s="77">
        <f t="shared" si="53"/>
        <v>0</v>
      </c>
      <c r="R235" s="77">
        <f t="shared" si="54"/>
        <v>0</v>
      </c>
      <c r="S235" s="76">
        <f t="shared" si="62"/>
        <v>0</v>
      </c>
      <c r="T235" s="47"/>
      <c r="V235" s="57"/>
      <c r="W235" s="45"/>
      <c r="X235" s="46">
        <f t="shared" si="55"/>
        <v>0</v>
      </c>
      <c r="Y235" s="75" t="str">
        <f t="shared" si="56"/>
        <v/>
      </c>
      <c r="Z235" s="49"/>
      <c r="AA235" s="49"/>
      <c r="AB235" s="49"/>
      <c r="AC235" s="204"/>
      <c r="AD235" s="48" t="str">
        <f t="shared" si="57"/>
        <v/>
      </c>
      <c r="AE235" s="48" t="str">
        <f t="shared" si="58"/>
        <v/>
      </c>
      <c r="AF235" s="76" t="str">
        <f t="shared" si="59"/>
        <v/>
      </c>
      <c r="AG235" s="77">
        <f t="shared" si="60"/>
        <v>0</v>
      </c>
      <c r="AH235" s="77">
        <f t="shared" si="61"/>
        <v>0</v>
      </c>
      <c r="AI235" s="76">
        <f t="shared" si="63"/>
        <v>0</v>
      </c>
      <c r="AJ235" s="203"/>
    </row>
    <row r="236" spans="1:36" s="56" customFormat="1" ht="14.25">
      <c r="A236" s="44"/>
      <c r="B236" s="45"/>
      <c r="C236" s="46">
        <f t="shared" si="48"/>
        <v>0</v>
      </c>
      <c r="D236" s="47"/>
      <c r="E236" s="47"/>
      <c r="F236" s="47"/>
      <c r="G236" s="47"/>
      <c r="H236" s="48"/>
      <c r="I236" s="75" t="str">
        <f t="shared" si="49"/>
        <v/>
      </c>
      <c r="J236" s="49"/>
      <c r="K236" s="49"/>
      <c r="L236" s="49"/>
      <c r="M236" s="47"/>
      <c r="N236" s="48" t="str">
        <f t="shared" si="50"/>
        <v/>
      </c>
      <c r="O236" s="48" t="str">
        <f t="shared" si="51"/>
        <v/>
      </c>
      <c r="P236" s="76" t="str">
        <f t="shared" si="52"/>
        <v/>
      </c>
      <c r="Q236" s="77">
        <f t="shared" si="53"/>
        <v>0</v>
      </c>
      <c r="R236" s="77">
        <f t="shared" si="54"/>
        <v>0</v>
      </c>
      <c r="S236" s="76">
        <f t="shared" si="62"/>
        <v>0</v>
      </c>
      <c r="T236" s="47"/>
      <c r="V236" s="57"/>
      <c r="W236" s="45"/>
      <c r="X236" s="46">
        <f t="shared" si="55"/>
        <v>0</v>
      </c>
      <c r="Y236" s="75" t="str">
        <f t="shared" si="56"/>
        <v/>
      </c>
      <c r="Z236" s="49"/>
      <c r="AA236" s="49"/>
      <c r="AB236" s="49"/>
      <c r="AC236" s="204"/>
      <c r="AD236" s="48" t="str">
        <f t="shared" si="57"/>
        <v/>
      </c>
      <c r="AE236" s="48" t="str">
        <f t="shared" si="58"/>
        <v/>
      </c>
      <c r="AF236" s="76" t="str">
        <f t="shared" si="59"/>
        <v/>
      </c>
      <c r="AG236" s="77">
        <f t="shared" si="60"/>
        <v>0</v>
      </c>
      <c r="AH236" s="77">
        <f t="shared" si="61"/>
        <v>0</v>
      </c>
      <c r="AI236" s="76">
        <f t="shared" si="63"/>
        <v>0</v>
      </c>
      <c r="AJ236" s="203"/>
    </row>
    <row r="237" spans="1:36" s="56" customFormat="1" ht="14.25">
      <c r="A237" s="44"/>
      <c r="B237" s="45"/>
      <c r="C237" s="46">
        <f t="shared" si="48"/>
        <v>0</v>
      </c>
      <c r="D237" s="47"/>
      <c r="E237" s="47"/>
      <c r="F237" s="47"/>
      <c r="G237" s="47"/>
      <c r="H237" s="48"/>
      <c r="I237" s="75" t="str">
        <f t="shared" si="49"/>
        <v/>
      </c>
      <c r="J237" s="49"/>
      <c r="K237" s="49"/>
      <c r="L237" s="49"/>
      <c r="M237" s="47"/>
      <c r="N237" s="48" t="str">
        <f t="shared" si="50"/>
        <v/>
      </c>
      <c r="O237" s="48" t="str">
        <f t="shared" si="51"/>
        <v/>
      </c>
      <c r="P237" s="76" t="str">
        <f t="shared" si="52"/>
        <v/>
      </c>
      <c r="Q237" s="77">
        <f t="shared" si="53"/>
        <v>0</v>
      </c>
      <c r="R237" s="77">
        <f t="shared" si="54"/>
        <v>0</v>
      </c>
      <c r="S237" s="76">
        <f t="shared" si="62"/>
        <v>0</v>
      </c>
      <c r="T237" s="47"/>
      <c r="V237" s="57"/>
      <c r="W237" s="45"/>
      <c r="X237" s="46">
        <f t="shared" si="55"/>
        <v>0</v>
      </c>
      <c r="Y237" s="75" t="str">
        <f t="shared" si="56"/>
        <v/>
      </c>
      <c r="Z237" s="49"/>
      <c r="AA237" s="49"/>
      <c r="AB237" s="49"/>
      <c r="AC237" s="204"/>
      <c r="AD237" s="48" t="str">
        <f t="shared" si="57"/>
        <v/>
      </c>
      <c r="AE237" s="48" t="str">
        <f t="shared" si="58"/>
        <v/>
      </c>
      <c r="AF237" s="76" t="str">
        <f t="shared" si="59"/>
        <v/>
      </c>
      <c r="AG237" s="77">
        <f t="shared" si="60"/>
        <v>0</v>
      </c>
      <c r="AH237" s="77">
        <f t="shared" si="61"/>
        <v>0</v>
      </c>
      <c r="AI237" s="76">
        <f t="shared" si="63"/>
        <v>0</v>
      </c>
      <c r="AJ237" s="203"/>
    </row>
    <row r="238" spans="1:36" s="56" customFormat="1" ht="14.25">
      <c r="A238" s="44"/>
      <c r="B238" s="45"/>
      <c r="C238" s="46">
        <f t="shared" si="48"/>
        <v>0</v>
      </c>
      <c r="D238" s="47"/>
      <c r="E238" s="47"/>
      <c r="F238" s="47"/>
      <c r="G238" s="47"/>
      <c r="H238" s="48"/>
      <c r="I238" s="75" t="str">
        <f t="shared" si="49"/>
        <v/>
      </c>
      <c r="J238" s="49"/>
      <c r="K238" s="49"/>
      <c r="L238" s="49"/>
      <c r="M238" s="47"/>
      <c r="N238" s="48" t="str">
        <f t="shared" si="50"/>
        <v/>
      </c>
      <c r="O238" s="48" t="str">
        <f t="shared" si="51"/>
        <v/>
      </c>
      <c r="P238" s="76" t="str">
        <f t="shared" si="52"/>
        <v/>
      </c>
      <c r="Q238" s="77">
        <f t="shared" si="53"/>
        <v>0</v>
      </c>
      <c r="R238" s="77">
        <f t="shared" si="54"/>
        <v>0</v>
      </c>
      <c r="S238" s="76">
        <f t="shared" si="62"/>
        <v>0</v>
      </c>
      <c r="T238" s="47"/>
      <c r="V238" s="57"/>
      <c r="W238" s="45"/>
      <c r="X238" s="46">
        <f t="shared" si="55"/>
        <v>0</v>
      </c>
      <c r="Y238" s="75" t="str">
        <f t="shared" si="56"/>
        <v/>
      </c>
      <c r="Z238" s="49"/>
      <c r="AA238" s="49"/>
      <c r="AB238" s="49"/>
      <c r="AC238" s="204"/>
      <c r="AD238" s="48" t="str">
        <f t="shared" si="57"/>
        <v/>
      </c>
      <c r="AE238" s="48" t="str">
        <f t="shared" si="58"/>
        <v/>
      </c>
      <c r="AF238" s="76" t="str">
        <f t="shared" si="59"/>
        <v/>
      </c>
      <c r="AG238" s="77">
        <f t="shared" si="60"/>
        <v>0</v>
      </c>
      <c r="AH238" s="77">
        <f t="shared" si="61"/>
        <v>0</v>
      </c>
      <c r="AI238" s="76">
        <f t="shared" si="63"/>
        <v>0</v>
      </c>
      <c r="AJ238" s="203"/>
    </row>
    <row r="239" spans="1:36" s="56" customFormat="1" ht="14.25">
      <c r="A239" s="44"/>
      <c r="B239" s="45"/>
      <c r="C239" s="46">
        <f t="shared" si="48"/>
        <v>0</v>
      </c>
      <c r="D239" s="47"/>
      <c r="E239" s="47"/>
      <c r="F239" s="47"/>
      <c r="G239" s="47"/>
      <c r="H239" s="48"/>
      <c r="I239" s="75" t="str">
        <f t="shared" si="49"/>
        <v/>
      </c>
      <c r="J239" s="49"/>
      <c r="K239" s="49"/>
      <c r="L239" s="49"/>
      <c r="M239" s="47"/>
      <c r="N239" s="48" t="str">
        <f t="shared" si="50"/>
        <v/>
      </c>
      <c r="O239" s="48" t="str">
        <f t="shared" si="51"/>
        <v/>
      </c>
      <c r="P239" s="76" t="str">
        <f t="shared" si="52"/>
        <v/>
      </c>
      <c r="Q239" s="77">
        <f t="shared" si="53"/>
        <v>0</v>
      </c>
      <c r="R239" s="77">
        <f t="shared" si="54"/>
        <v>0</v>
      </c>
      <c r="S239" s="76">
        <f t="shared" si="62"/>
        <v>0</v>
      </c>
      <c r="T239" s="47"/>
      <c r="V239" s="57"/>
      <c r="W239" s="45"/>
      <c r="X239" s="46">
        <f t="shared" si="55"/>
        <v>0</v>
      </c>
      <c r="Y239" s="75" t="str">
        <f t="shared" si="56"/>
        <v/>
      </c>
      <c r="Z239" s="49"/>
      <c r="AA239" s="49"/>
      <c r="AB239" s="49"/>
      <c r="AC239" s="204"/>
      <c r="AD239" s="48" t="str">
        <f t="shared" si="57"/>
        <v/>
      </c>
      <c r="AE239" s="48" t="str">
        <f t="shared" si="58"/>
        <v/>
      </c>
      <c r="AF239" s="76" t="str">
        <f t="shared" si="59"/>
        <v/>
      </c>
      <c r="AG239" s="77">
        <f t="shared" si="60"/>
        <v>0</v>
      </c>
      <c r="AH239" s="77">
        <f t="shared" si="61"/>
        <v>0</v>
      </c>
      <c r="AI239" s="76">
        <f t="shared" si="63"/>
        <v>0</v>
      </c>
      <c r="AJ239" s="203"/>
    </row>
    <row r="240" spans="1:36" s="56" customFormat="1" ht="14.25">
      <c r="A240" s="44"/>
      <c r="B240" s="45"/>
      <c r="C240" s="46">
        <f t="shared" si="48"/>
        <v>0</v>
      </c>
      <c r="D240" s="47"/>
      <c r="E240" s="47"/>
      <c r="F240" s="47"/>
      <c r="G240" s="47"/>
      <c r="H240" s="48"/>
      <c r="I240" s="75" t="str">
        <f t="shared" si="49"/>
        <v/>
      </c>
      <c r="J240" s="49"/>
      <c r="K240" s="49"/>
      <c r="L240" s="49"/>
      <c r="M240" s="47"/>
      <c r="N240" s="48" t="str">
        <f t="shared" si="50"/>
        <v/>
      </c>
      <c r="O240" s="48" t="str">
        <f t="shared" si="51"/>
        <v/>
      </c>
      <c r="P240" s="76" t="str">
        <f t="shared" si="52"/>
        <v/>
      </c>
      <c r="Q240" s="77">
        <f t="shared" si="53"/>
        <v>0</v>
      </c>
      <c r="R240" s="77">
        <f t="shared" si="54"/>
        <v>0</v>
      </c>
      <c r="S240" s="76">
        <f t="shared" si="62"/>
        <v>0</v>
      </c>
      <c r="T240" s="47"/>
      <c r="V240" s="57"/>
      <c r="W240" s="45"/>
      <c r="X240" s="46">
        <f t="shared" si="55"/>
        <v>0</v>
      </c>
      <c r="Y240" s="75" t="str">
        <f t="shared" si="56"/>
        <v/>
      </c>
      <c r="Z240" s="49"/>
      <c r="AA240" s="49"/>
      <c r="AB240" s="49"/>
      <c r="AC240" s="204"/>
      <c r="AD240" s="48" t="str">
        <f t="shared" si="57"/>
        <v/>
      </c>
      <c r="AE240" s="48" t="str">
        <f t="shared" si="58"/>
        <v/>
      </c>
      <c r="AF240" s="76" t="str">
        <f t="shared" si="59"/>
        <v/>
      </c>
      <c r="AG240" s="77">
        <f t="shared" si="60"/>
        <v>0</v>
      </c>
      <c r="AH240" s="77">
        <f t="shared" si="61"/>
        <v>0</v>
      </c>
      <c r="AI240" s="76">
        <f t="shared" si="63"/>
        <v>0</v>
      </c>
      <c r="AJ240" s="203"/>
    </row>
    <row r="241" spans="1:36" s="56" customFormat="1" ht="14.25">
      <c r="A241" s="44"/>
      <c r="B241" s="45"/>
      <c r="C241" s="46">
        <f t="shared" si="48"/>
        <v>0</v>
      </c>
      <c r="D241" s="47"/>
      <c r="E241" s="47"/>
      <c r="F241" s="47"/>
      <c r="G241" s="47"/>
      <c r="H241" s="48"/>
      <c r="I241" s="75" t="str">
        <f t="shared" si="49"/>
        <v/>
      </c>
      <c r="J241" s="49"/>
      <c r="K241" s="49"/>
      <c r="L241" s="49"/>
      <c r="M241" s="47"/>
      <c r="N241" s="48" t="str">
        <f t="shared" si="50"/>
        <v/>
      </c>
      <c r="O241" s="48" t="str">
        <f t="shared" si="51"/>
        <v/>
      </c>
      <c r="P241" s="76" t="str">
        <f t="shared" si="52"/>
        <v/>
      </c>
      <c r="Q241" s="77">
        <f t="shared" si="53"/>
        <v>0</v>
      </c>
      <c r="R241" s="77">
        <f t="shared" si="54"/>
        <v>0</v>
      </c>
      <c r="S241" s="76">
        <f t="shared" si="62"/>
        <v>0</v>
      </c>
      <c r="T241" s="47"/>
      <c r="V241" s="57"/>
      <c r="W241" s="45"/>
      <c r="X241" s="46">
        <f t="shared" si="55"/>
        <v>0</v>
      </c>
      <c r="Y241" s="75" t="str">
        <f t="shared" si="56"/>
        <v/>
      </c>
      <c r="Z241" s="49"/>
      <c r="AA241" s="49"/>
      <c r="AB241" s="49"/>
      <c r="AC241" s="204"/>
      <c r="AD241" s="48" t="str">
        <f t="shared" si="57"/>
        <v/>
      </c>
      <c r="AE241" s="48" t="str">
        <f t="shared" si="58"/>
        <v/>
      </c>
      <c r="AF241" s="76" t="str">
        <f t="shared" si="59"/>
        <v/>
      </c>
      <c r="AG241" s="77">
        <f t="shared" si="60"/>
        <v>0</v>
      </c>
      <c r="AH241" s="77">
        <f t="shared" si="61"/>
        <v>0</v>
      </c>
      <c r="AI241" s="76">
        <f t="shared" si="63"/>
        <v>0</v>
      </c>
      <c r="AJ241" s="203"/>
    </row>
    <row r="242" spans="1:36" s="56" customFormat="1" ht="14.25">
      <c r="A242" s="44"/>
      <c r="B242" s="45"/>
      <c r="C242" s="46">
        <f t="shared" si="48"/>
        <v>0</v>
      </c>
      <c r="D242" s="47"/>
      <c r="E242" s="47"/>
      <c r="F242" s="47"/>
      <c r="G242" s="47"/>
      <c r="H242" s="48"/>
      <c r="I242" s="75" t="str">
        <f t="shared" si="49"/>
        <v/>
      </c>
      <c r="J242" s="49"/>
      <c r="K242" s="49"/>
      <c r="L242" s="49"/>
      <c r="M242" s="47"/>
      <c r="N242" s="48" t="str">
        <f t="shared" si="50"/>
        <v/>
      </c>
      <c r="O242" s="48" t="str">
        <f t="shared" si="51"/>
        <v/>
      </c>
      <c r="P242" s="76" t="str">
        <f t="shared" si="52"/>
        <v/>
      </c>
      <c r="Q242" s="77">
        <f t="shared" si="53"/>
        <v>0</v>
      </c>
      <c r="R242" s="77">
        <f t="shared" si="54"/>
        <v>0</v>
      </c>
      <c r="S242" s="76">
        <f t="shared" si="62"/>
        <v>0</v>
      </c>
      <c r="T242" s="47"/>
      <c r="V242" s="57"/>
      <c r="W242" s="45"/>
      <c r="X242" s="46">
        <f t="shared" si="55"/>
        <v>0</v>
      </c>
      <c r="Y242" s="75" t="str">
        <f t="shared" si="56"/>
        <v/>
      </c>
      <c r="Z242" s="49"/>
      <c r="AA242" s="49"/>
      <c r="AB242" s="49"/>
      <c r="AC242" s="204"/>
      <c r="AD242" s="48" t="str">
        <f t="shared" si="57"/>
        <v/>
      </c>
      <c r="AE242" s="48" t="str">
        <f t="shared" si="58"/>
        <v/>
      </c>
      <c r="AF242" s="76" t="str">
        <f t="shared" si="59"/>
        <v/>
      </c>
      <c r="AG242" s="77">
        <f t="shared" si="60"/>
        <v>0</v>
      </c>
      <c r="AH242" s="77">
        <f t="shared" si="61"/>
        <v>0</v>
      </c>
      <c r="AI242" s="76">
        <f t="shared" si="63"/>
        <v>0</v>
      </c>
      <c r="AJ242" s="203"/>
    </row>
    <row r="243" spans="1:36" s="56" customFormat="1" ht="14.25">
      <c r="A243" s="44"/>
      <c r="B243" s="45"/>
      <c r="C243" s="46">
        <f t="shared" si="48"/>
        <v>0</v>
      </c>
      <c r="D243" s="47"/>
      <c r="E243" s="47"/>
      <c r="F243" s="47"/>
      <c r="G243" s="47"/>
      <c r="H243" s="48"/>
      <c r="I243" s="75" t="str">
        <f t="shared" si="49"/>
        <v/>
      </c>
      <c r="J243" s="49"/>
      <c r="K243" s="49"/>
      <c r="L243" s="49"/>
      <c r="M243" s="47"/>
      <c r="N243" s="48" t="str">
        <f t="shared" si="50"/>
        <v/>
      </c>
      <c r="O243" s="48" t="str">
        <f t="shared" si="51"/>
        <v/>
      </c>
      <c r="P243" s="76" t="str">
        <f t="shared" si="52"/>
        <v/>
      </c>
      <c r="Q243" s="77">
        <f t="shared" si="53"/>
        <v>0</v>
      </c>
      <c r="R243" s="77">
        <f t="shared" si="54"/>
        <v>0</v>
      </c>
      <c r="S243" s="76">
        <f t="shared" si="62"/>
        <v>0</v>
      </c>
      <c r="T243" s="47"/>
      <c r="V243" s="57"/>
      <c r="W243" s="45"/>
      <c r="X243" s="46">
        <f t="shared" si="55"/>
        <v>0</v>
      </c>
      <c r="Y243" s="75" t="str">
        <f t="shared" si="56"/>
        <v/>
      </c>
      <c r="Z243" s="49"/>
      <c r="AA243" s="49"/>
      <c r="AB243" s="49"/>
      <c r="AC243" s="204"/>
      <c r="AD243" s="48" t="str">
        <f t="shared" si="57"/>
        <v/>
      </c>
      <c r="AE243" s="48" t="str">
        <f t="shared" si="58"/>
        <v/>
      </c>
      <c r="AF243" s="76" t="str">
        <f t="shared" si="59"/>
        <v/>
      </c>
      <c r="AG243" s="77">
        <f t="shared" si="60"/>
        <v>0</v>
      </c>
      <c r="AH243" s="77">
        <f t="shared" si="61"/>
        <v>0</v>
      </c>
      <c r="AI243" s="76">
        <f t="shared" si="63"/>
        <v>0</v>
      </c>
      <c r="AJ243" s="203"/>
    </row>
    <row r="244" spans="1:36" s="56" customFormat="1" ht="14.25">
      <c r="A244" s="44"/>
      <c r="B244" s="45"/>
      <c r="C244" s="46">
        <f t="shared" si="48"/>
        <v>0</v>
      </c>
      <c r="D244" s="47"/>
      <c r="E244" s="47"/>
      <c r="F244" s="47"/>
      <c r="G244" s="47"/>
      <c r="H244" s="48"/>
      <c r="I244" s="75" t="str">
        <f t="shared" si="49"/>
        <v/>
      </c>
      <c r="J244" s="49"/>
      <c r="K244" s="49"/>
      <c r="L244" s="49"/>
      <c r="M244" s="47"/>
      <c r="N244" s="48" t="str">
        <f t="shared" si="50"/>
        <v/>
      </c>
      <c r="O244" s="48" t="str">
        <f t="shared" si="51"/>
        <v/>
      </c>
      <c r="P244" s="76" t="str">
        <f t="shared" si="52"/>
        <v/>
      </c>
      <c r="Q244" s="77">
        <f t="shared" si="53"/>
        <v>0</v>
      </c>
      <c r="R244" s="77">
        <f t="shared" si="54"/>
        <v>0</v>
      </c>
      <c r="S244" s="76">
        <f t="shared" si="62"/>
        <v>0</v>
      </c>
      <c r="T244" s="47"/>
      <c r="V244" s="57"/>
      <c r="W244" s="45"/>
      <c r="X244" s="46">
        <f t="shared" si="55"/>
        <v>0</v>
      </c>
      <c r="Y244" s="75" t="str">
        <f t="shared" si="56"/>
        <v/>
      </c>
      <c r="Z244" s="49"/>
      <c r="AA244" s="49"/>
      <c r="AB244" s="49"/>
      <c r="AC244" s="204"/>
      <c r="AD244" s="48" t="str">
        <f t="shared" si="57"/>
        <v/>
      </c>
      <c r="AE244" s="48" t="str">
        <f t="shared" si="58"/>
        <v/>
      </c>
      <c r="AF244" s="76" t="str">
        <f t="shared" si="59"/>
        <v/>
      </c>
      <c r="AG244" s="77">
        <f t="shared" si="60"/>
        <v>0</v>
      </c>
      <c r="AH244" s="77">
        <f t="shared" si="61"/>
        <v>0</v>
      </c>
      <c r="AI244" s="76">
        <f t="shared" si="63"/>
        <v>0</v>
      </c>
      <c r="AJ244" s="203"/>
    </row>
    <row r="245" spans="1:36" s="56" customFormat="1" ht="14.25">
      <c r="A245" s="44"/>
      <c r="B245" s="45"/>
      <c r="C245" s="46">
        <f t="shared" si="48"/>
        <v>0</v>
      </c>
      <c r="D245" s="47"/>
      <c r="E245" s="47"/>
      <c r="F245" s="47"/>
      <c r="G245" s="47"/>
      <c r="H245" s="48"/>
      <c r="I245" s="75" t="str">
        <f t="shared" si="49"/>
        <v/>
      </c>
      <c r="J245" s="49"/>
      <c r="K245" s="49"/>
      <c r="L245" s="49"/>
      <c r="M245" s="47"/>
      <c r="N245" s="48" t="str">
        <f t="shared" si="50"/>
        <v/>
      </c>
      <c r="O245" s="48" t="str">
        <f t="shared" si="51"/>
        <v/>
      </c>
      <c r="P245" s="76" t="str">
        <f t="shared" si="52"/>
        <v/>
      </c>
      <c r="Q245" s="77">
        <f t="shared" si="53"/>
        <v>0</v>
      </c>
      <c r="R245" s="77">
        <f t="shared" si="54"/>
        <v>0</v>
      </c>
      <c r="S245" s="76">
        <f t="shared" si="62"/>
        <v>0</v>
      </c>
      <c r="T245" s="47"/>
      <c r="V245" s="57"/>
      <c r="W245" s="45"/>
      <c r="X245" s="46">
        <f t="shared" si="55"/>
        <v>0</v>
      </c>
      <c r="Y245" s="75" t="str">
        <f t="shared" si="56"/>
        <v/>
      </c>
      <c r="Z245" s="49"/>
      <c r="AA245" s="49"/>
      <c r="AB245" s="49"/>
      <c r="AC245" s="204"/>
      <c r="AD245" s="48" t="str">
        <f t="shared" si="57"/>
        <v/>
      </c>
      <c r="AE245" s="48" t="str">
        <f t="shared" si="58"/>
        <v/>
      </c>
      <c r="AF245" s="76" t="str">
        <f t="shared" si="59"/>
        <v/>
      </c>
      <c r="AG245" s="77">
        <f t="shared" si="60"/>
        <v>0</v>
      </c>
      <c r="AH245" s="77">
        <f t="shared" si="61"/>
        <v>0</v>
      </c>
      <c r="AI245" s="76">
        <f t="shared" si="63"/>
        <v>0</v>
      </c>
      <c r="AJ245" s="203"/>
    </row>
    <row r="246" spans="1:36" s="56" customFormat="1" ht="14.25">
      <c r="A246" s="44"/>
      <c r="B246" s="45"/>
      <c r="C246" s="46">
        <f t="shared" si="48"/>
        <v>0</v>
      </c>
      <c r="D246" s="47"/>
      <c r="E246" s="47"/>
      <c r="F246" s="47"/>
      <c r="G246" s="47"/>
      <c r="H246" s="48"/>
      <c r="I246" s="75" t="str">
        <f t="shared" si="49"/>
        <v/>
      </c>
      <c r="J246" s="49"/>
      <c r="K246" s="49"/>
      <c r="L246" s="49"/>
      <c r="M246" s="47"/>
      <c r="N246" s="48" t="str">
        <f t="shared" si="50"/>
        <v/>
      </c>
      <c r="O246" s="48" t="str">
        <f t="shared" si="51"/>
        <v/>
      </c>
      <c r="P246" s="76" t="str">
        <f t="shared" si="52"/>
        <v/>
      </c>
      <c r="Q246" s="77">
        <f t="shared" si="53"/>
        <v>0</v>
      </c>
      <c r="R246" s="77">
        <f t="shared" si="54"/>
        <v>0</v>
      </c>
      <c r="S246" s="76">
        <f t="shared" si="62"/>
        <v>0</v>
      </c>
      <c r="T246" s="47"/>
      <c r="V246" s="57"/>
      <c r="W246" s="45"/>
      <c r="X246" s="46">
        <f t="shared" si="55"/>
        <v>0</v>
      </c>
      <c r="Y246" s="75" t="str">
        <f t="shared" si="56"/>
        <v/>
      </c>
      <c r="Z246" s="49"/>
      <c r="AA246" s="49"/>
      <c r="AB246" s="49"/>
      <c r="AC246" s="204"/>
      <c r="AD246" s="48" t="str">
        <f t="shared" si="57"/>
        <v/>
      </c>
      <c r="AE246" s="48" t="str">
        <f t="shared" si="58"/>
        <v/>
      </c>
      <c r="AF246" s="76" t="str">
        <f t="shared" si="59"/>
        <v/>
      </c>
      <c r="AG246" s="77">
        <f t="shared" si="60"/>
        <v>0</v>
      </c>
      <c r="AH246" s="77">
        <f t="shared" si="61"/>
        <v>0</v>
      </c>
      <c r="AI246" s="76">
        <f t="shared" si="63"/>
        <v>0</v>
      </c>
      <c r="AJ246" s="203"/>
    </row>
    <row r="247" spans="1:36" s="56" customFormat="1" ht="14.25">
      <c r="A247" s="44"/>
      <c r="B247" s="45"/>
      <c r="C247" s="46">
        <f t="shared" si="48"/>
        <v>0</v>
      </c>
      <c r="D247" s="47"/>
      <c r="E247" s="47"/>
      <c r="F247" s="47"/>
      <c r="G247" s="47"/>
      <c r="H247" s="48"/>
      <c r="I247" s="75" t="str">
        <f t="shared" si="49"/>
        <v/>
      </c>
      <c r="J247" s="49"/>
      <c r="K247" s="49"/>
      <c r="L247" s="49"/>
      <c r="M247" s="47"/>
      <c r="N247" s="48" t="str">
        <f t="shared" si="50"/>
        <v/>
      </c>
      <c r="O247" s="48" t="str">
        <f t="shared" si="51"/>
        <v/>
      </c>
      <c r="P247" s="76" t="str">
        <f t="shared" si="52"/>
        <v/>
      </c>
      <c r="Q247" s="77">
        <f t="shared" si="53"/>
        <v>0</v>
      </c>
      <c r="R247" s="77">
        <f t="shared" si="54"/>
        <v>0</v>
      </c>
      <c r="S247" s="76">
        <f t="shared" si="62"/>
        <v>0</v>
      </c>
      <c r="T247" s="47"/>
      <c r="V247" s="57"/>
      <c r="W247" s="45"/>
      <c r="X247" s="46">
        <f t="shared" si="55"/>
        <v>0</v>
      </c>
      <c r="Y247" s="75" t="str">
        <f t="shared" si="56"/>
        <v/>
      </c>
      <c r="Z247" s="49"/>
      <c r="AA247" s="49"/>
      <c r="AB247" s="49"/>
      <c r="AC247" s="204"/>
      <c r="AD247" s="48" t="str">
        <f t="shared" si="57"/>
        <v/>
      </c>
      <c r="AE247" s="48" t="str">
        <f t="shared" si="58"/>
        <v/>
      </c>
      <c r="AF247" s="76" t="str">
        <f t="shared" si="59"/>
        <v/>
      </c>
      <c r="AG247" s="77">
        <f t="shared" si="60"/>
        <v>0</v>
      </c>
      <c r="AH247" s="77">
        <f t="shared" si="61"/>
        <v>0</v>
      </c>
      <c r="AI247" s="76">
        <f t="shared" si="63"/>
        <v>0</v>
      </c>
      <c r="AJ247" s="203"/>
    </row>
    <row r="248" spans="1:36" s="56" customFormat="1" ht="14.25">
      <c r="A248" s="44"/>
      <c r="B248" s="45"/>
      <c r="C248" s="46">
        <f t="shared" si="48"/>
        <v>0</v>
      </c>
      <c r="D248" s="47"/>
      <c r="E248" s="47"/>
      <c r="F248" s="47"/>
      <c r="G248" s="47"/>
      <c r="H248" s="48"/>
      <c r="I248" s="75" t="str">
        <f t="shared" si="49"/>
        <v/>
      </c>
      <c r="J248" s="49"/>
      <c r="K248" s="49"/>
      <c r="L248" s="49"/>
      <c r="M248" s="47"/>
      <c r="N248" s="48" t="str">
        <f t="shared" si="50"/>
        <v/>
      </c>
      <c r="O248" s="48" t="str">
        <f t="shared" si="51"/>
        <v/>
      </c>
      <c r="P248" s="76" t="str">
        <f t="shared" si="52"/>
        <v/>
      </c>
      <c r="Q248" s="77">
        <f t="shared" si="53"/>
        <v>0</v>
      </c>
      <c r="R248" s="77">
        <f t="shared" si="54"/>
        <v>0</v>
      </c>
      <c r="S248" s="76">
        <f t="shared" si="62"/>
        <v>0</v>
      </c>
      <c r="T248" s="47"/>
      <c r="V248" s="57"/>
      <c r="W248" s="45"/>
      <c r="X248" s="46">
        <f t="shared" si="55"/>
        <v>0</v>
      </c>
      <c r="Y248" s="75" t="str">
        <f t="shared" si="56"/>
        <v/>
      </c>
      <c r="Z248" s="49"/>
      <c r="AA248" s="49"/>
      <c r="AB248" s="49"/>
      <c r="AC248" s="204"/>
      <c r="AD248" s="48" t="str">
        <f t="shared" si="57"/>
        <v/>
      </c>
      <c r="AE248" s="48" t="str">
        <f t="shared" si="58"/>
        <v/>
      </c>
      <c r="AF248" s="76" t="str">
        <f t="shared" si="59"/>
        <v/>
      </c>
      <c r="AG248" s="77">
        <f t="shared" si="60"/>
        <v>0</v>
      </c>
      <c r="AH248" s="77">
        <f t="shared" si="61"/>
        <v>0</v>
      </c>
      <c r="AI248" s="76">
        <f t="shared" si="63"/>
        <v>0</v>
      </c>
      <c r="AJ248" s="203"/>
    </row>
    <row r="249" spans="1:36" s="56" customFormat="1" ht="14.25">
      <c r="A249" s="44"/>
      <c r="B249" s="45"/>
      <c r="C249" s="46">
        <f t="shared" si="48"/>
        <v>0</v>
      </c>
      <c r="D249" s="47"/>
      <c r="E249" s="47"/>
      <c r="F249" s="47"/>
      <c r="G249" s="47"/>
      <c r="H249" s="48"/>
      <c r="I249" s="75" t="str">
        <f t="shared" si="49"/>
        <v/>
      </c>
      <c r="J249" s="49"/>
      <c r="K249" s="49"/>
      <c r="L249" s="49"/>
      <c r="M249" s="47"/>
      <c r="N249" s="48" t="str">
        <f t="shared" si="50"/>
        <v/>
      </c>
      <c r="O249" s="48" t="str">
        <f t="shared" si="51"/>
        <v/>
      </c>
      <c r="P249" s="76" t="str">
        <f t="shared" si="52"/>
        <v/>
      </c>
      <c r="Q249" s="77">
        <f t="shared" si="53"/>
        <v>0</v>
      </c>
      <c r="R249" s="77">
        <f t="shared" si="54"/>
        <v>0</v>
      </c>
      <c r="S249" s="76">
        <f t="shared" si="62"/>
        <v>0</v>
      </c>
      <c r="T249" s="47"/>
      <c r="V249" s="57"/>
      <c r="W249" s="45"/>
      <c r="X249" s="46">
        <f t="shared" si="55"/>
        <v>0</v>
      </c>
      <c r="Y249" s="75" t="str">
        <f t="shared" si="56"/>
        <v/>
      </c>
      <c r="Z249" s="49"/>
      <c r="AA249" s="49"/>
      <c r="AB249" s="49"/>
      <c r="AC249" s="204"/>
      <c r="AD249" s="48" t="str">
        <f t="shared" si="57"/>
        <v/>
      </c>
      <c r="AE249" s="48" t="str">
        <f t="shared" si="58"/>
        <v/>
      </c>
      <c r="AF249" s="76" t="str">
        <f t="shared" si="59"/>
        <v/>
      </c>
      <c r="AG249" s="77">
        <f t="shared" si="60"/>
        <v>0</v>
      </c>
      <c r="AH249" s="77">
        <f t="shared" si="61"/>
        <v>0</v>
      </c>
      <c r="AI249" s="76">
        <f t="shared" si="63"/>
        <v>0</v>
      </c>
      <c r="AJ249" s="203"/>
    </row>
    <row r="250" spans="1:36" s="56" customFormat="1" ht="14.25">
      <c r="A250" s="44"/>
      <c r="B250" s="45"/>
      <c r="C250" s="46">
        <f t="shared" si="48"/>
        <v>0</v>
      </c>
      <c r="D250" s="47"/>
      <c r="E250" s="47"/>
      <c r="F250" s="47"/>
      <c r="G250" s="47"/>
      <c r="H250" s="48"/>
      <c r="I250" s="75" t="str">
        <f t="shared" si="49"/>
        <v/>
      </c>
      <c r="J250" s="49"/>
      <c r="K250" s="49"/>
      <c r="L250" s="49"/>
      <c r="M250" s="47"/>
      <c r="N250" s="48" t="str">
        <f t="shared" si="50"/>
        <v/>
      </c>
      <c r="O250" s="48" t="str">
        <f t="shared" si="51"/>
        <v/>
      </c>
      <c r="P250" s="76" t="str">
        <f t="shared" si="52"/>
        <v/>
      </c>
      <c r="Q250" s="77">
        <f t="shared" si="53"/>
        <v>0</v>
      </c>
      <c r="R250" s="77">
        <f t="shared" si="54"/>
        <v>0</v>
      </c>
      <c r="S250" s="76">
        <f t="shared" si="62"/>
        <v>0</v>
      </c>
      <c r="T250" s="47"/>
      <c r="V250" s="57"/>
      <c r="W250" s="45"/>
      <c r="X250" s="46">
        <f t="shared" si="55"/>
        <v>0</v>
      </c>
      <c r="Y250" s="75" t="str">
        <f t="shared" si="56"/>
        <v/>
      </c>
      <c r="Z250" s="49"/>
      <c r="AA250" s="49"/>
      <c r="AB250" s="49"/>
      <c r="AC250" s="204"/>
      <c r="AD250" s="48" t="str">
        <f t="shared" si="57"/>
        <v/>
      </c>
      <c r="AE250" s="48" t="str">
        <f t="shared" si="58"/>
        <v/>
      </c>
      <c r="AF250" s="76" t="str">
        <f t="shared" si="59"/>
        <v/>
      </c>
      <c r="AG250" s="77">
        <f t="shared" si="60"/>
        <v>0</v>
      </c>
      <c r="AH250" s="77">
        <f t="shared" si="61"/>
        <v>0</v>
      </c>
      <c r="AI250" s="76">
        <f t="shared" si="63"/>
        <v>0</v>
      </c>
      <c r="AJ250" s="203"/>
    </row>
    <row r="251" spans="1:36" s="56" customFormat="1" ht="14.25">
      <c r="A251" s="44"/>
      <c r="B251" s="45"/>
      <c r="C251" s="46">
        <f t="shared" si="48"/>
        <v>0</v>
      </c>
      <c r="D251" s="47"/>
      <c r="E251" s="47"/>
      <c r="F251" s="47"/>
      <c r="G251" s="47"/>
      <c r="H251" s="48"/>
      <c r="I251" s="75" t="str">
        <f t="shared" si="49"/>
        <v/>
      </c>
      <c r="J251" s="49"/>
      <c r="K251" s="49"/>
      <c r="L251" s="49"/>
      <c r="M251" s="47"/>
      <c r="N251" s="48" t="str">
        <f t="shared" si="50"/>
        <v/>
      </c>
      <c r="O251" s="48" t="str">
        <f t="shared" si="51"/>
        <v/>
      </c>
      <c r="P251" s="76" t="str">
        <f t="shared" si="52"/>
        <v/>
      </c>
      <c r="Q251" s="77">
        <f t="shared" si="53"/>
        <v>0</v>
      </c>
      <c r="R251" s="77">
        <f t="shared" si="54"/>
        <v>0</v>
      </c>
      <c r="S251" s="76">
        <f t="shared" si="62"/>
        <v>0</v>
      </c>
      <c r="T251" s="47"/>
      <c r="V251" s="57"/>
      <c r="W251" s="45"/>
      <c r="X251" s="46">
        <f t="shared" si="55"/>
        <v>0</v>
      </c>
      <c r="Y251" s="75" t="str">
        <f t="shared" si="56"/>
        <v/>
      </c>
      <c r="Z251" s="49"/>
      <c r="AA251" s="49"/>
      <c r="AB251" s="49"/>
      <c r="AC251" s="204"/>
      <c r="AD251" s="48" t="str">
        <f t="shared" si="57"/>
        <v/>
      </c>
      <c r="AE251" s="48" t="str">
        <f t="shared" si="58"/>
        <v/>
      </c>
      <c r="AF251" s="76" t="str">
        <f t="shared" si="59"/>
        <v/>
      </c>
      <c r="AG251" s="77">
        <f t="shared" si="60"/>
        <v>0</v>
      </c>
      <c r="AH251" s="77">
        <f t="shared" si="61"/>
        <v>0</v>
      </c>
      <c r="AI251" s="76">
        <f t="shared" si="63"/>
        <v>0</v>
      </c>
      <c r="AJ251" s="203"/>
    </row>
    <row r="252" spans="1:36" s="56" customFormat="1" ht="14.25">
      <c r="A252" s="44"/>
      <c r="B252" s="45"/>
      <c r="C252" s="46">
        <f t="shared" si="48"/>
        <v>0</v>
      </c>
      <c r="D252" s="47"/>
      <c r="E252" s="47"/>
      <c r="F252" s="47"/>
      <c r="G252" s="47"/>
      <c r="H252" s="48"/>
      <c r="I252" s="75" t="str">
        <f t="shared" si="49"/>
        <v/>
      </c>
      <c r="J252" s="49"/>
      <c r="K252" s="49"/>
      <c r="L252" s="49"/>
      <c r="M252" s="47"/>
      <c r="N252" s="48" t="str">
        <f t="shared" si="50"/>
        <v/>
      </c>
      <c r="O252" s="48" t="str">
        <f t="shared" si="51"/>
        <v/>
      </c>
      <c r="P252" s="76" t="str">
        <f t="shared" si="52"/>
        <v/>
      </c>
      <c r="Q252" s="77">
        <f t="shared" si="53"/>
        <v>0</v>
      </c>
      <c r="R252" s="77">
        <f t="shared" si="54"/>
        <v>0</v>
      </c>
      <c r="S252" s="76">
        <f t="shared" si="62"/>
        <v>0</v>
      </c>
      <c r="T252" s="47"/>
      <c r="V252" s="57"/>
      <c r="W252" s="45"/>
      <c r="X252" s="46">
        <f t="shared" si="55"/>
        <v>0</v>
      </c>
      <c r="Y252" s="75" t="str">
        <f t="shared" si="56"/>
        <v/>
      </c>
      <c r="Z252" s="49"/>
      <c r="AA252" s="49"/>
      <c r="AB252" s="49"/>
      <c r="AC252" s="204"/>
      <c r="AD252" s="48" t="str">
        <f t="shared" si="57"/>
        <v/>
      </c>
      <c r="AE252" s="48" t="str">
        <f t="shared" si="58"/>
        <v/>
      </c>
      <c r="AF252" s="76" t="str">
        <f t="shared" si="59"/>
        <v/>
      </c>
      <c r="AG252" s="77">
        <f t="shared" si="60"/>
        <v>0</v>
      </c>
      <c r="AH252" s="77">
        <f t="shared" si="61"/>
        <v>0</v>
      </c>
      <c r="AI252" s="76">
        <f t="shared" si="63"/>
        <v>0</v>
      </c>
      <c r="AJ252" s="203"/>
    </row>
    <row r="253" spans="1:36" s="56" customFormat="1" ht="14.25">
      <c r="A253" s="44"/>
      <c r="B253" s="45"/>
      <c r="C253" s="46">
        <f t="shared" si="48"/>
        <v>0</v>
      </c>
      <c r="D253" s="47"/>
      <c r="E253" s="47"/>
      <c r="F253" s="47"/>
      <c r="G253" s="47"/>
      <c r="H253" s="48"/>
      <c r="I253" s="75" t="str">
        <f t="shared" si="49"/>
        <v/>
      </c>
      <c r="J253" s="49"/>
      <c r="K253" s="49"/>
      <c r="L253" s="49"/>
      <c r="M253" s="47"/>
      <c r="N253" s="48" t="str">
        <f t="shared" si="50"/>
        <v/>
      </c>
      <c r="O253" s="48" t="str">
        <f t="shared" si="51"/>
        <v/>
      </c>
      <c r="P253" s="76" t="str">
        <f t="shared" si="52"/>
        <v/>
      </c>
      <c r="Q253" s="77">
        <f t="shared" si="53"/>
        <v>0</v>
      </c>
      <c r="R253" s="77">
        <f t="shared" si="54"/>
        <v>0</v>
      </c>
      <c r="S253" s="76">
        <f t="shared" si="62"/>
        <v>0</v>
      </c>
      <c r="T253" s="47"/>
      <c r="V253" s="57"/>
      <c r="W253" s="45"/>
      <c r="X253" s="46">
        <f t="shared" si="55"/>
        <v>0</v>
      </c>
      <c r="Y253" s="75" t="str">
        <f t="shared" si="56"/>
        <v/>
      </c>
      <c r="Z253" s="49"/>
      <c r="AA253" s="49"/>
      <c r="AB253" s="49"/>
      <c r="AC253" s="204"/>
      <c r="AD253" s="48" t="str">
        <f t="shared" si="57"/>
        <v/>
      </c>
      <c r="AE253" s="48" t="str">
        <f t="shared" si="58"/>
        <v/>
      </c>
      <c r="AF253" s="76" t="str">
        <f t="shared" si="59"/>
        <v/>
      </c>
      <c r="AG253" s="77">
        <f t="shared" si="60"/>
        <v>0</v>
      </c>
      <c r="AH253" s="77">
        <f t="shared" si="61"/>
        <v>0</v>
      </c>
      <c r="AI253" s="76">
        <f t="shared" si="63"/>
        <v>0</v>
      </c>
      <c r="AJ253" s="203"/>
    </row>
    <row r="254" spans="1:36" s="56" customFormat="1" ht="14.25">
      <c r="A254" s="44"/>
      <c r="B254" s="45"/>
      <c r="C254" s="46">
        <f t="shared" si="48"/>
        <v>0</v>
      </c>
      <c r="D254" s="47"/>
      <c r="E254" s="47"/>
      <c r="F254" s="47"/>
      <c r="G254" s="47"/>
      <c r="H254" s="48"/>
      <c r="I254" s="75" t="str">
        <f t="shared" si="49"/>
        <v/>
      </c>
      <c r="J254" s="49"/>
      <c r="K254" s="49"/>
      <c r="L254" s="49"/>
      <c r="M254" s="47"/>
      <c r="N254" s="48" t="str">
        <f t="shared" si="50"/>
        <v/>
      </c>
      <c r="O254" s="48" t="str">
        <f t="shared" si="51"/>
        <v/>
      </c>
      <c r="P254" s="76" t="str">
        <f t="shared" si="52"/>
        <v/>
      </c>
      <c r="Q254" s="77">
        <f t="shared" si="53"/>
        <v>0</v>
      </c>
      <c r="R254" s="77">
        <f t="shared" si="54"/>
        <v>0</v>
      </c>
      <c r="S254" s="76">
        <f t="shared" si="62"/>
        <v>0</v>
      </c>
      <c r="T254" s="47"/>
      <c r="V254" s="57"/>
      <c r="W254" s="45"/>
      <c r="X254" s="46">
        <f t="shared" si="55"/>
        <v>0</v>
      </c>
      <c r="Y254" s="75" t="str">
        <f t="shared" si="56"/>
        <v/>
      </c>
      <c r="Z254" s="49"/>
      <c r="AA254" s="49"/>
      <c r="AB254" s="49"/>
      <c r="AC254" s="204"/>
      <c r="AD254" s="48" t="str">
        <f t="shared" si="57"/>
        <v/>
      </c>
      <c r="AE254" s="48" t="str">
        <f t="shared" si="58"/>
        <v/>
      </c>
      <c r="AF254" s="76" t="str">
        <f t="shared" si="59"/>
        <v/>
      </c>
      <c r="AG254" s="77">
        <f t="shared" si="60"/>
        <v>0</v>
      </c>
      <c r="AH254" s="77">
        <f t="shared" si="61"/>
        <v>0</v>
      </c>
      <c r="AI254" s="76">
        <f t="shared" si="63"/>
        <v>0</v>
      </c>
      <c r="AJ254" s="203"/>
    </row>
    <row r="255" spans="1:36" s="56" customFormat="1" ht="14.25">
      <c r="A255" s="44"/>
      <c r="B255" s="45"/>
      <c r="C255" s="46">
        <f t="shared" si="48"/>
        <v>0</v>
      </c>
      <c r="D255" s="47"/>
      <c r="E255" s="47"/>
      <c r="F255" s="47"/>
      <c r="G255" s="47"/>
      <c r="H255" s="48"/>
      <c r="I255" s="75" t="str">
        <f t="shared" si="49"/>
        <v/>
      </c>
      <c r="J255" s="49"/>
      <c r="K255" s="49"/>
      <c r="L255" s="49"/>
      <c r="M255" s="47"/>
      <c r="N255" s="48" t="str">
        <f t="shared" si="50"/>
        <v/>
      </c>
      <c r="O255" s="48" t="str">
        <f t="shared" si="51"/>
        <v/>
      </c>
      <c r="P255" s="76" t="str">
        <f t="shared" si="52"/>
        <v/>
      </c>
      <c r="Q255" s="77">
        <f t="shared" si="53"/>
        <v>0</v>
      </c>
      <c r="R255" s="77">
        <f t="shared" si="54"/>
        <v>0</v>
      </c>
      <c r="S255" s="76">
        <f t="shared" si="62"/>
        <v>0</v>
      </c>
      <c r="T255" s="47"/>
      <c r="V255" s="57"/>
      <c r="W255" s="45"/>
      <c r="X255" s="46">
        <f t="shared" si="55"/>
        <v>0</v>
      </c>
      <c r="Y255" s="75" t="str">
        <f t="shared" si="56"/>
        <v/>
      </c>
      <c r="Z255" s="49"/>
      <c r="AA255" s="49"/>
      <c r="AB255" s="49"/>
      <c r="AC255" s="204"/>
      <c r="AD255" s="48" t="str">
        <f t="shared" si="57"/>
        <v/>
      </c>
      <c r="AE255" s="48" t="str">
        <f t="shared" si="58"/>
        <v/>
      </c>
      <c r="AF255" s="76" t="str">
        <f t="shared" si="59"/>
        <v/>
      </c>
      <c r="AG255" s="77">
        <f t="shared" si="60"/>
        <v>0</v>
      </c>
      <c r="AH255" s="77">
        <f t="shared" si="61"/>
        <v>0</v>
      </c>
      <c r="AI255" s="76">
        <f t="shared" si="63"/>
        <v>0</v>
      </c>
      <c r="AJ255" s="203"/>
    </row>
    <row r="256" spans="1:36" s="56" customFormat="1" ht="14.25">
      <c r="A256" s="44"/>
      <c r="B256" s="45"/>
      <c r="C256" s="46">
        <f t="shared" si="48"/>
        <v>0</v>
      </c>
      <c r="D256" s="47"/>
      <c r="E256" s="47"/>
      <c r="F256" s="47"/>
      <c r="G256" s="47"/>
      <c r="H256" s="48"/>
      <c r="I256" s="75" t="str">
        <f t="shared" si="49"/>
        <v/>
      </c>
      <c r="J256" s="49"/>
      <c r="K256" s="49"/>
      <c r="L256" s="49"/>
      <c r="M256" s="47"/>
      <c r="N256" s="48" t="str">
        <f t="shared" si="50"/>
        <v/>
      </c>
      <c r="O256" s="48" t="str">
        <f t="shared" si="51"/>
        <v/>
      </c>
      <c r="P256" s="76" t="str">
        <f t="shared" si="52"/>
        <v/>
      </c>
      <c r="Q256" s="77">
        <f t="shared" si="53"/>
        <v>0</v>
      </c>
      <c r="R256" s="77">
        <f t="shared" si="54"/>
        <v>0</v>
      </c>
      <c r="S256" s="76">
        <f t="shared" si="62"/>
        <v>0</v>
      </c>
      <c r="T256" s="47"/>
      <c r="V256" s="57"/>
      <c r="W256" s="45"/>
      <c r="X256" s="46">
        <f t="shared" si="55"/>
        <v>0</v>
      </c>
      <c r="Y256" s="75" t="str">
        <f t="shared" si="56"/>
        <v/>
      </c>
      <c r="Z256" s="49"/>
      <c r="AA256" s="49"/>
      <c r="AB256" s="49"/>
      <c r="AC256" s="204"/>
      <c r="AD256" s="48" t="str">
        <f t="shared" si="57"/>
        <v/>
      </c>
      <c r="AE256" s="48" t="str">
        <f t="shared" si="58"/>
        <v/>
      </c>
      <c r="AF256" s="76" t="str">
        <f t="shared" si="59"/>
        <v/>
      </c>
      <c r="AG256" s="77">
        <f t="shared" si="60"/>
        <v>0</v>
      </c>
      <c r="AH256" s="77">
        <f t="shared" si="61"/>
        <v>0</v>
      </c>
      <c r="AI256" s="76">
        <f t="shared" si="63"/>
        <v>0</v>
      </c>
      <c r="AJ256" s="203"/>
    </row>
    <row r="257" spans="1:36" s="56" customFormat="1" ht="14.25">
      <c r="A257" s="44"/>
      <c r="B257" s="45"/>
      <c r="C257" s="46">
        <f t="shared" si="48"/>
        <v>0</v>
      </c>
      <c r="D257" s="47"/>
      <c r="E257" s="47"/>
      <c r="F257" s="47"/>
      <c r="G257" s="47"/>
      <c r="H257" s="48"/>
      <c r="I257" s="75" t="str">
        <f t="shared" si="49"/>
        <v/>
      </c>
      <c r="J257" s="49"/>
      <c r="K257" s="49"/>
      <c r="L257" s="49"/>
      <c r="M257" s="47"/>
      <c r="N257" s="48" t="str">
        <f t="shared" si="50"/>
        <v/>
      </c>
      <c r="O257" s="48" t="str">
        <f t="shared" si="51"/>
        <v/>
      </c>
      <c r="P257" s="76" t="str">
        <f t="shared" si="52"/>
        <v/>
      </c>
      <c r="Q257" s="77">
        <f t="shared" si="53"/>
        <v>0</v>
      </c>
      <c r="R257" s="77">
        <f t="shared" si="54"/>
        <v>0</v>
      </c>
      <c r="S257" s="76">
        <f t="shared" si="62"/>
        <v>0</v>
      </c>
      <c r="T257" s="47"/>
      <c r="V257" s="57"/>
      <c r="W257" s="45"/>
      <c r="X257" s="46">
        <f t="shared" si="55"/>
        <v>0</v>
      </c>
      <c r="Y257" s="75" t="str">
        <f t="shared" si="56"/>
        <v/>
      </c>
      <c r="Z257" s="49"/>
      <c r="AA257" s="49"/>
      <c r="AB257" s="49"/>
      <c r="AC257" s="204"/>
      <c r="AD257" s="48" t="str">
        <f t="shared" si="57"/>
        <v/>
      </c>
      <c r="AE257" s="48" t="str">
        <f t="shared" si="58"/>
        <v/>
      </c>
      <c r="AF257" s="76" t="str">
        <f t="shared" si="59"/>
        <v/>
      </c>
      <c r="AG257" s="77">
        <f t="shared" si="60"/>
        <v>0</v>
      </c>
      <c r="AH257" s="77">
        <f t="shared" si="61"/>
        <v>0</v>
      </c>
      <c r="AI257" s="76">
        <f t="shared" si="63"/>
        <v>0</v>
      </c>
      <c r="AJ257" s="203"/>
    </row>
    <row r="258" spans="1:36" s="56" customFormat="1" ht="14.25">
      <c r="A258" s="44"/>
      <c r="B258" s="45"/>
      <c r="C258" s="46">
        <f t="shared" si="48"/>
        <v>0</v>
      </c>
      <c r="D258" s="47"/>
      <c r="E258" s="47"/>
      <c r="F258" s="47"/>
      <c r="G258" s="47"/>
      <c r="H258" s="48"/>
      <c r="I258" s="75" t="str">
        <f t="shared" si="49"/>
        <v/>
      </c>
      <c r="J258" s="49"/>
      <c r="K258" s="49"/>
      <c r="L258" s="49"/>
      <c r="M258" s="47"/>
      <c r="N258" s="48" t="str">
        <f t="shared" si="50"/>
        <v/>
      </c>
      <c r="O258" s="48" t="str">
        <f t="shared" si="51"/>
        <v/>
      </c>
      <c r="P258" s="76" t="str">
        <f t="shared" si="52"/>
        <v/>
      </c>
      <c r="Q258" s="77">
        <f t="shared" si="53"/>
        <v>0</v>
      </c>
      <c r="R258" s="77">
        <f t="shared" si="54"/>
        <v>0</v>
      </c>
      <c r="S258" s="76">
        <f t="shared" si="62"/>
        <v>0</v>
      </c>
      <c r="T258" s="47"/>
      <c r="V258" s="57"/>
      <c r="W258" s="45"/>
      <c r="X258" s="46">
        <f t="shared" si="55"/>
        <v>0</v>
      </c>
      <c r="Y258" s="75" t="str">
        <f t="shared" si="56"/>
        <v/>
      </c>
      <c r="Z258" s="49"/>
      <c r="AA258" s="49"/>
      <c r="AB258" s="49"/>
      <c r="AC258" s="204"/>
      <c r="AD258" s="48" t="str">
        <f t="shared" si="57"/>
        <v/>
      </c>
      <c r="AE258" s="48" t="str">
        <f t="shared" si="58"/>
        <v/>
      </c>
      <c r="AF258" s="76" t="str">
        <f t="shared" si="59"/>
        <v/>
      </c>
      <c r="AG258" s="77">
        <f t="shared" si="60"/>
        <v>0</v>
      </c>
      <c r="AH258" s="77">
        <f t="shared" si="61"/>
        <v>0</v>
      </c>
      <c r="AI258" s="76">
        <f t="shared" si="63"/>
        <v>0</v>
      </c>
      <c r="AJ258" s="203"/>
    </row>
    <row r="259" spans="1:36" s="56" customFormat="1" ht="14.25">
      <c r="A259" s="44"/>
      <c r="B259" s="45"/>
      <c r="C259" s="46">
        <f t="shared" si="48"/>
        <v>0</v>
      </c>
      <c r="D259" s="47"/>
      <c r="E259" s="47"/>
      <c r="F259" s="47"/>
      <c r="G259" s="47"/>
      <c r="H259" s="48"/>
      <c r="I259" s="75" t="str">
        <f t="shared" si="49"/>
        <v/>
      </c>
      <c r="J259" s="49"/>
      <c r="K259" s="49"/>
      <c r="L259" s="49"/>
      <c r="M259" s="47"/>
      <c r="N259" s="48" t="str">
        <f t="shared" si="50"/>
        <v/>
      </c>
      <c r="O259" s="48" t="str">
        <f t="shared" si="51"/>
        <v/>
      </c>
      <c r="P259" s="76" t="str">
        <f t="shared" si="52"/>
        <v/>
      </c>
      <c r="Q259" s="77">
        <f t="shared" si="53"/>
        <v>0</v>
      </c>
      <c r="R259" s="77">
        <f t="shared" si="54"/>
        <v>0</v>
      </c>
      <c r="S259" s="76">
        <f t="shared" si="62"/>
        <v>0</v>
      </c>
      <c r="T259" s="47"/>
      <c r="V259" s="57"/>
      <c r="W259" s="45"/>
      <c r="X259" s="46">
        <f t="shared" si="55"/>
        <v>0</v>
      </c>
      <c r="Y259" s="75" t="str">
        <f t="shared" si="56"/>
        <v/>
      </c>
      <c r="Z259" s="49"/>
      <c r="AA259" s="49"/>
      <c r="AB259" s="49"/>
      <c r="AC259" s="204"/>
      <c r="AD259" s="48" t="str">
        <f t="shared" si="57"/>
        <v/>
      </c>
      <c r="AE259" s="48" t="str">
        <f t="shared" si="58"/>
        <v/>
      </c>
      <c r="AF259" s="76" t="str">
        <f t="shared" si="59"/>
        <v/>
      </c>
      <c r="AG259" s="77">
        <f t="shared" si="60"/>
        <v>0</v>
      </c>
      <c r="AH259" s="77">
        <f t="shared" si="61"/>
        <v>0</v>
      </c>
      <c r="AI259" s="76">
        <f t="shared" si="63"/>
        <v>0</v>
      </c>
      <c r="AJ259" s="203"/>
    </row>
    <row r="260" spans="1:36" s="56" customFormat="1" ht="14.25">
      <c r="A260" s="44"/>
      <c r="B260" s="45"/>
      <c r="C260" s="46">
        <f t="shared" si="48"/>
        <v>0</v>
      </c>
      <c r="D260" s="47"/>
      <c r="E260" s="47"/>
      <c r="F260" s="47"/>
      <c r="G260" s="47"/>
      <c r="H260" s="48"/>
      <c r="I260" s="75" t="str">
        <f t="shared" si="49"/>
        <v/>
      </c>
      <c r="J260" s="49"/>
      <c r="K260" s="49"/>
      <c r="L260" s="49"/>
      <c r="M260" s="47"/>
      <c r="N260" s="48" t="str">
        <f t="shared" si="50"/>
        <v/>
      </c>
      <c r="O260" s="48" t="str">
        <f t="shared" si="51"/>
        <v/>
      </c>
      <c r="P260" s="76" t="str">
        <f t="shared" si="52"/>
        <v/>
      </c>
      <c r="Q260" s="77">
        <f t="shared" si="53"/>
        <v>0</v>
      </c>
      <c r="R260" s="77">
        <f t="shared" si="54"/>
        <v>0</v>
      </c>
      <c r="S260" s="76">
        <f t="shared" si="62"/>
        <v>0</v>
      </c>
      <c r="T260" s="47"/>
      <c r="V260" s="57"/>
      <c r="W260" s="45"/>
      <c r="X260" s="46">
        <f t="shared" si="55"/>
        <v>0</v>
      </c>
      <c r="Y260" s="75" t="str">
        <f t="shared" si="56"/>
        <v/>
      </c>
      <c r="Z260" s="49"/>
      <c r="AA260" s="49"/>
      <c r="AB260" s="49"/>
      <c r="AC260" s="204"/>
      <c r="AD260" s="48" t="str">
        <f t="shared" si="57"/>
        <v/>
      </c>
      <c r="AE260" s="48" t="str">
        <f t="shared" si="58"/>
        <v/>
      </c>
      <c r="AF260" s="76" t="str">
        <f t="shared" si="59"/>
        <v/>
      </c>
      <c r="AG260" s="77">
        <f t="shared" si="60"/>
        <v>0</v>
      </c>
      <c r="AH260" s="77">
        <f t="shared" si="61"/>
        <v>0</v>
      </c>
      <c r="AI260" s="76">
        <f t="shared" si="63"/>
        <v>0</v>
      </c>
      <c r="AJ260" s="203"/>
    </row>
    <row r="261" spans="1:36" s="56" customFormat="1" ht="14.25">
      <c r="A261" s="44"/>
      <c r="B261" s="45"/>
      <c r="C261" s="46">
        <f t="shared" si="48"/>
        <v>0</v>
      </c>
      <c r="D261" s="47"/>
      <c r="E261" s="47"/>
      <c r="F261" s="47"/>
      <c r="G261" s="47"/>
      <c r="H261" s="48"/>
      <c r="I261" s="75" t="str">
        <f t="shared" si="49"/>
        <v/>
      </c>
      <c r="J261" s="49"/>
      <c r="K261" s="49"/>
      <c r="L261" s="49"/>
      <c r="M261" s="47"/>
      <c r="N261" s="48" t="str">
        <f t="shared" si="50"/>
        <v/>
      </c>
      <c r="O261" s="48" t="str">
        <f t="shared" si="51"/>
        <v/>
      </c>
      <c r="P261" s="76" t="str">
        <f t="shared" si="52"/>
        <v/>
      </c>
      <c r="Q261" s="77">
        <f t="shared" si="53"/>
        <v>0</v>
      </c>
      <c r="R261" s="77">
        <f t="shared" si="54"/>
        <v>0</v>
      </c>
      <c r="S261" s="76">
        <f t="shared" si="62"/>
        <v>0</v>
      </c>
      <c r="T261" s="47"/>
      <c r="V261" s="57"/>
      <c r="W261" s="45"/>
      <c r="X261" s="46">
        <f t="shared" si="55"/>
        <v>0</v>
      </c>
      <c r="Y261" s="75" t="str">
        <f t="shared" si="56"/>
        <v/>
      </c>
      <c r="Z261" s="49"/>
      <c r="AA261" s="49"/>
      <c r="AB261" s="49"/>
      <c r="AC261" s="204"/>
      <c r="AD261" s="48" t="str">
        <f t="shared" si="57"/>
        <v/>
      </c>
      <c r="AE261" s="48" t="str">
        <f t="shared" si="58"/>
        <v/>
      </c>
      <c r="AF261" s="76" t="str">
        <f t="shared" si="59"/>
        <v/>
      </c>
      <c r="AG261" s="77">
        <f t="shared" si="60"/>
        <v>0</v>
      </c>
      <c r="AH261" s="77">
        <f t="shared" si="61"/>
        <v>0</v>
      </c>
      <c r="AI261" s="76">
        <f t="shared" si="63"/>
        <v>0</v>
      </c>
      <c r="AJ261" s="203"/>
    </row>
    <row r="262" spans="1:36" s="56" customFormat="1" ht="14.25">
      <c r="A262" s="44"/>
      <c r="B262" s="45"/>
      <c r="C262" s="46">
        <f t="shared" si="48"/>
        <v>0</v>
      </c>
      <c r="D262" s="47"/>
      <c r="E262" s="47"/>
      <c r="F262" s="47"/>
      <c r="G262" s="47"/>
      <c r="H262" s="48"/>
      <c r="I262" s="75" t="str">
        <f t="shared" si="49"/>
        <v/>
      </c>
      <c r="J262" s="49"/>
      <c r="K262" s="49"/>
      <c r="L262" s="49"/>
      <c r="M262" s="47"/>
      <c r="N262" s="48" t="str">
        <f t="shared" si="50"/>
        <v/>
      </c>
      <c r="O262" s="48" t="str">
        <f t="shared" si="51"/>
        <v/>
      </c>
      <c r="P262" s="76" t="str">
        <f t="shared" si="52"/>
        <v/>
      </c>
      <c r="Q262" s="77">
        <f t="shared" si="53"/>
        <v>0</v>
      </c>
      <c r="R262" s="77">
        <f t="shared" si="54"/>
        <v>0</v>
      </c>
      <c r="S262" s="76">
        <f t="shared" si="62"/>
        <v>0</v>
      </c>
      <c r="T262" s="47"/>
      <c r="V262" s="57"/>
      <c r="W262" s="45"/>
      <c r="X262" s="46">
        <f t="shared" si="55"/>
        <v>0</v>
      </c>
      <c r="Y262" s="75" t="str">
        <f t="shared" si="56"/>
        <v/>
      </c>
      <c r="Z262" s="49"/>
      <c r="AA262" s="49"/>
      <c r="AB262" s="49"/>
      <c r="AC262" s="204"/>
      <c r="AD262" s="48" t="str">
        <f t="shared" si="57"/>
        <v/>
      </c>
      <c r="AE262" s="48" t="str">
        <f t="shared" si="58"/>
        <v/>
      </c>
      <c r="AF262" s="76" t="str">
        <f t="shared" si="59"/>
        <v/>
      </c>
      <c r="AG262" s="77">
        <f t="shared" si="60"/>
        <v>0</v>
      </c>
      <c r="AH262" s="77">
        <f t="shared" si="61"/>
        <v>0</v>
      </c>
      <c r="AI262" s="76">
        <f t="shared" si="63"/>
        <v>0</v>
      </c>
      <c r="AJ262" s="203"/>
    </row>
    <row r="263" spans="1:36" s="56" customFormat="1" ht="14.25">
      <c r="A263" s="44"/>
      <c r="B263" s="45"/>
      <c r="C263" s="46">
        <f t="shared" si="48"/>
        <v>0</v>
      </c>
      <c r="D263" s="47"/>
      <c r="E263" s="47"/>
      <c r="F263" s="47"/>
      <c r="G263" s="47"/>
      <c r="H263" s="48"/>
      <c r="I263" s="75" t="str">
        <f t="shared" si="49"/>
        <v/>
      </c>
      <c r="J263" s="49"/>
      <c r="K263" s="49"/>
      <c r="L263" s="49"/>
      <c r="M263" s="47"/>
      <c r="N263" s="48" t="str">
        <f t="shared" si="50"/>
        <v/>
      </c>
      <c r="O263" s="48" t="str">
        <f t="shared" si="51"/>
        <v/>
      </c>
      <c r="P263" s="76" t="str">
        <f t="shared" si="52"/>
        <v/>
      </c>
      <c r="Q263" s="77">
        <f t="shared" si="53"/>
        <v>0</v>
      </c>
      <c r="R263" s="77">
        <f t="shared" si="54"/>
        <v>0</v>
      </c>
      <c r="S263" s="76">
        <f t="shared" si="62"/>
        <v>0</v>
      </c>
      <c r="T263" s="47"/>
      <c r="V263" s="57"/>
      <c r="W263" s="45"/>
      <c r="X263" s="46">
        <f t="shared" si="55"/>
        <v>0</v>
      </c>
      <c r="Y263" s="75" t="str">
        <f t="shared" si="56"/>
        <v/>
      </c>
      <c r="Z263" s="49"/>
      <c r="AA263" s="49"/>
      <c r="AB263" s="49"/>
      <c r="AC263" s="204"/>
      <c r="AD263" s="48" t="str">
        <f t="shared" si="57"/>
        <v/>
      </c>
      <c r="AE263" s="48" t="str">
        <f t="shared" si="58"/>
        <v/>
      </c>
      <c r="AF263" s="76" t="str">
        <f t="shared" si="59"/>
        <v/>
      </c>
      <c r="AG263" s="77">
        <f t="shared" si="60"/>
        <v>0</v>
      </c>
      <c r="AH263" s="77">
        <f t="shared" si="61"/>
        <v>0</v>
      </c>
      <c r="AI263" s="76">
        <f t="shared" si="63"/>
        <v>0</v>
      </c>
      <c r="AJ263" s="203"/>
    </row>
    <row r="264" spans="1:36" s="56" customFormat="1" ht="14.25">
      <c r="A264" s="44"/>
      <c r="B264" s="45"/>
      <c r="C264" s="46">
        <f t="shared" si="48"/>
        <v>0</v>
      </c>
      <c r="D264" s="47"/>
      <c r="E264" s="47"/>
      <c r="F264" s="47"/>
      <c r="G264" s="47"/>
      <c r="H264" s="48"/>
      <c r="I264" s="75" t="str">
        <f t="shared" si="49"/>
        <v/>
      </c>
      <c r="J264" s="49"/>
      <c r="K264" s="49"/>
      <c r="L264" s="49"/>
      <c r="M264" s="47"/>
      <c r="N264" s="48" t="str">
        <f t="shared" si="50"/>
        <v/>
      </c>
      <c r="O264" s="48" t="str">
        <f t="shared" si="51"/>
        <v/>
      </c>
      <c r="P264" s="76" t="str">
        <f t="shared" si="52"/>
        <v/>
      </c>
      <c r="Q264" s="77">
        <f t="shared" si="53"/>
        <v>0</v>
      </c>
      <c r="R264" s="77">
        <f t="shared" si="54"/>
        <v>0</v>
      </c>
      <c r="S264" s="76">
        <f t="shared" si="62"/>
        <v>0</v>
      </c>
      <c r="T264" s="47"/>
      <c r="V264" s="57"/>
      <c r="W264" s="45"/>
      <c r="X264" s="46">
        <f t="shared" si="55"/>
        <v>0</v>
      </c>
      <c r="Y264" s="75" t="str">
        <f t="shared" si="56"/>
        <v/>
      </c>
      <c r="Z264" s="49"/>
      <c r="AA264" s="49"/>
      <c r="AB264" s="49"/>
      <c r="AC264" s="204"/>
      <c r="AD264" s="48" t="str">
        <f t="shared" si="57"/>
        <v/>
      </c>
      <c r="AE264" s="48" t="str">
        <f t="shared" si="58"/>
        <v/>
      </c>
      <c r="AF264" s="76" t="str">
        <f t="shared" si="59"/>
        <v/>
      </c>
      <c r="AG264" s="77">
        <f t="shared" si="60"/>
        <v>0</v>
      </c>
      <c r="AH264" s="77">
        <f t="shared" si="61"/>
        <v>0</v>
      </c>
      <c r="AI264" s="76">
        <f t="shared" si="63"/>
        <v>0</v>
      </c>
      <c r="AJ264" s="203"/>
    </row>
    <row r="265" spans="1:36" s="56" customFormat="1" ht="14.25">
      <c r="A265" s="44"/>
      <c r="B265" s="45"/>
      <c r="C265" s="46">
        <f t="shared" si="48"/>
        <v>0</v>
      </c>
      <c r="D265" s="47"/>
      <c r="E265" s="47"/>
      <c r="F265" s="47"/>
      <c r="G265" s="47"/>
      <c r="H265" s="48"/>
      <c r="I265" s="75" t="str">
        <f t="shared" si="49"/>
        <v/>
      </c>
      <c r="J265" s="49"/>
      <c r="K265" s="49"/>
      <c r="L265" s="49"/>
      <c r="M265" s="47"/>
      <c r="N265" s="48" t="str">
        <f t="shared" si="50"/>
        <v/>
      </c>
      <c r="O265" s="48" t="str">
        <f t="shared" si="51"/>
        <v/>
      </c>
      <c r="P265" s="76" t="str">
        <f t="shared" si="52"/>
        <v/>
      </c>
      <c r="Q265" s="77">
        <f t="shared" si="53"/>
        <v>0</v>
      </c>
      <c r="R265" s="77">
        <f t="shared" si="54"/>
        <v>0</v>
      </c>
      <c r="S265" s="76">
        <f t="shared" si="62"/>
        <v>0</v>
      </c>
      <c r="T265" s="47"/>
      <c r="V265" s="57"/>
      <c r="W265" s="45"/>
      <c r="X265" s="46">
        <f t="shared" si="55"/>
        <v>0</v>
      </c>
      <c r="Y265" s="75" t="str">
        <f t="shared" si="56"/>
        <v/>
      </c>
      <c r="Z265" s="49"/>
      <c r="AA265" s="49"/>
      <c r="AB265" s="49"/>
      <c r="AC265" s="204"/>
      <c r="AD265" s="48" t="str">
        <f t="shared" si="57"/>
        <v/>
      </c>
      <c r="AE265" s="48" t="str">
        <f t="shared" si="58"/>
        <v/>
      </c>
      <c r="AF265" s="76" t="str">
        <f t="shared" si="59"/>
        <v/>
      </c>
      <c r="AG265" s="77">
        <f t="shared" si="60"/>
        <v>0</v>
      </c>
      <c r="AH265" s="77">
        <f t="shared" si="61"/>
        <v>0</v>
      </c>
      <c r="AI265" s="76">
        <f t="shared" si="63"/>
        <v>0</v>
      </c>
      <c r="AJ265" s="203"/>
    </row>
    <row r="266" spans="1:36" s="56" customFormat="1" ht="14.25">
      <c r="A266" s="44"/>
      <c r="B266" s="45"/>
      <c r="C266" s="46">
        <f t="shared" si="48"/>
        <v>0</v>
      </c>
      <c r="D266" s="47"/>
      <c r="E266" s="47"/>
      <c r="F266" s="47"/>
      <c r="G266" s="47"/>
      <c r="H266" s="48"/>
      <c r="I266" s="75" t="str">
        <f t="shared" si="49"/>
        <v/>
      </c>
      <c r="J266" s="49"/>
      <c r="K266" s="49"/>
      <c r="L266" s="49"/>
      <c r="M266" s="47"/>
      <c r="N266" s="48" t="str">
        <f t="shared" si="50"/>
        <v/>
      </c>
      <c r="O266" s="48" t="str">
        <f t="shared" si="51"/>
        <v/>
      </c>
      <c r="P266" s="76" t="str">
        <f t="shared" si="52"/>
        <v/>
      </c>
      <c r="Q266" s="77">
        <f t="shared" si="53"/>
        <v>0</v>
      </c>
      <c r="R266" s="77">
        <f t="shared" si="54"/>
        <v>0</v>
      </c>
      <c r="S266" s="76">
        <f t="shared" si="62"/>
        <v>0</v>
      </c>
      <c r="T266" s="47"/>
      <c r="V266" s="57"/>
      <c r="W266" s="45"/>
      <c r="X266" s="46">
        <f t="shared" si="55"/>
        <v>0</v>
      </c>
      <c r="Y266" s="75" t="str">
        <f t="shared" si="56"/>
        <v/>
      </c>
      <c r="Z266" s="49"/>
      <c r="AA266" s="49"/>
      <c r="AB266" s="49"/>
      <c r="AC266" s="204"/>
      <c r="AD266" s="48" t="str">
        <f t="shared" si="57"/>
        <v/>
      </c>
      <c r="AE266" s="48" t="str">
        <f t="shared" si="58"/>
        <v/>
      </c>
      <c r="AF266" s="76" t="str">
        <f t="shared" si="59"/>
        <v/>
      </c>
      <c r="AG266" s="77">
        <f t="shared" si="60"/>
        <v>0</v>
      </c>
      <c r="AH266" s="77">
        <f t="shared" si="61"/>
        <v>0</v>
      </c>
      <c r="AI266" s="76">
        <f t="shared" si="63"/>
        <v>0</v>
      </c>
      <c r="AJ266" s="203"/>
    </row>
    <row r="267" spans="1:36" s="56" customFormat="1" ht="14.25">
      <c r="A267" s="44"/>
      <c r="B267" s="45"/>
      <c r="C267" s="46">
        <f t="shared" ref="C267:C330" si="64">IF($B267&lt;&gt;"",VLOOKUP($B267,Matriz_INM,2,0),0)</f>
        <v>0</v>
      </c>
      <c r="D267" s="47"/>
      <c r="E267" s="47"/>
      <c r="F267" s="47"/>
      <c r="G267" s="47"/>
      <c r="H267" s="48"/>
      <c r="I267" s="75" t="str">
        <f t="shared" ref="I267:I330" si="65">IFERROR(VLOOKUP($B267,Matriz_INM,3,0),"")</f>
        <v/>
      </c>
      <c r="J267" s="49"/>
      <c r="K267" s="49"/>
      <c r="L267" s="49"/>
      <c r="M267" s="47"/>
      <c r="N267" s="48" t="str">
        <f t="shared" ref="N267:N330" si="66">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8" t="str">
        <f t="shared" ref="O267:O330" si="67">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6" t="str">
        <f t="shared" ref="P267:P330" si="68">IF(N267="",O267,IF(O267="",N267,""))</f>
        <v/>
      </c>
      <c r="Q267" s="77">
        <f t="shared" ref="Q267:Q330" si="69">IF(AND(OR(M267="EE",M267="CE"),P267="Simples"),3, IF(AND(OR(M267="EE",M267="CE"),P267="Médio"),4, IF(AND(OR(M267="EE",M267="CE"),P267="Complexo"),6, IF(AND(M267="SE",P267="Simples"),4, IF(AND(M267="SE",P267="Médio"),5, IF(AND(M267="SE",P267="Complexo"),7,0))))))</f>
        <v>0</v>
      </c>
      <c r="R267" s="77">
        <f t="shared" ref="R267:R330" si="70">IF(AND(M267="ALI",O267="Simples"),7, IF(AND(M267="ALI",O267="Médio"),10, IF(AND(M267="ALI",O267="Complexo"),15, IF(AND(M267="AIE",O267="Simples"),5, IF(AND(M267="AIE",O267="Médio"),7, IF(AND(M267="AIE",O267="Complexo"),10,0))))))</f>
        <v>0</v>
      </c>
      <c r="S267" s="76">
        <f t="shared" si="62"/>
        <v>0</v>
      </c>
      <c r="T267" s="47"/>
      <c r="V267" s="57"/>
      <c r="W267" s="45"/>
      <c r="X267" s="46">
        <f t="shared" ref="X267:X330" si="71">IF($B267&lt;&gt;"",VLOOKUP($B267,Matriz_INM,2,0),0)</f>
        <v>0</v>
      </c>
      <c r="Y267" s="75" t="str">
        <f t="shared" ref="Y267:Y330" si="72">IFERROR(VLOOKUP($B267,Matriz_INM,3,0),"")</f>
        <v/>
      </c>
      <c r="Z267" s="49"/>
      <c r="AA267" s="49"/>
      <c r="AB267" s="49"/>
      <c r="AC267" s="204"/>
      <c r="AD267" s="48" t="str">
        <f t="shared" ref="AD267:AD330" si="73">IF(AC267="EE",IF(OR(AND(OR(AB267=1,AB267=0),AA267&gt;0,AA267&lt;5),AND(OR(AB267=1,AB267=0),AA267&gt;4,AA267&lt;16),AND(AB267=2,AA267&gt;0,AA267&lt;5)),"Simples",IF(OR(AND(OR(AB267=1,AB267=0),AA267&gt;15),AND(AB267=2,AA267&gt;4,AA267&lt;16),AND(AB267&gt;2,AA267&gt;0,AA267&lt;5)),"Médio",IF(OR(AND(AB267=2,AA267&gt;15),AND(AB267&gt;2,AA267&gt;4,AA267&lt;16),AND(AB267&gt;2,AA267&gt;15)),"Complexo",""))), IF(OR(AC267="CE",AC267="SE"),IF(OR(AND(OR(AB267=1,AB267=0),AA267&gt;0,AA267&lt;6),AND(OR(AB267=1,AB267=0),AA267&gt;5,AA267&lt;20),AND(AB267&gt;1,AB267&lt;4,AA267&gt;0,AA267&lt;6)),"Simples",IF(OR(AND(OR(AB267=1,AB267=0),AA267&gt;19),AND(AB267&gt;1,AB267&lt;4,AA267&gt;5,AA267&lt;20),AND(AB267&gt;3,AA267&gt;0,AA267&lt;6)),"Médio",IF(OR(AND(AB267&gt;1,AB267&lt;4,AA267&gt;19),AND(AB267&gt;3,AA267&gt;5,AA267&lt;20),AND(AB267&gt;3,AA267&gt;19)),"Complexo",""))),""))</f>
        <v/>
      </c>
      <c r="AE267" s="48" t="str">
        <f t="shared" ref="AE267:AE330" si="74">IF(AC267="ALI",IF(OR(AND(OR(AB267=1,AB267=0),AA267&gt;0,AA267&lt;20),AND(OR(AB267=1,AB267=0),AA267&gt;19,AA267&lt;51),AND(AB267&gt;1,AB267&lt;6,AA267&gt;0,AA267&lt;20)),"Simples",IF(OR(AND(OR(AB267=1,AB267=0),AA267&gt;50),AND(AB267&gt;1,AB267&lt;6,AA267&gt;19,AA267&lt;51),AND(AB267&gt;5,AA267&gt;0,AA267&lt;20)),"Médio",IF(OR(AND(AB267&gt;1,AB267&lt;6,AA267&gt;50),AND(AB267&gt;5,AA267&gt;19,AA267&lt;51),AND(AB267&gt;5,AA267&gt;50)),"Complexo",""))), IF(AC267="AIE",IF(OR(AND(OR(AB267=1, AB267=0),AA267&gt;0,AA267&lt;20),AND(OR(AB267=1, AB267=0),AA267&gt;19,AA267&lt;51),AND(AB267&gt;1,AB267&lt;6,AA267&gt;0,AA267&lt;20)),"Simples",IF(OR(AND(OR(AB267=1, AB267=0),AA267&gt;50),AND(AB267&gt;1,AB267&lt;6,AA267&gt;19,AA267&lt;51),AND(AB267&gt;5,AA267&gt;0,AA267&lt;20)),"Médio",IF(OR(AND(AB267&gt;1,AB267&lt;6,AA267&gt;50),AND(AB267&gt;5,AA267&gt;19,AA267&lt;51),AND(AB267&gt;5,AA267&gt;50)),"Complexo",""))),""))</f>
        <v/>
      </c>
      <c r="AF267" s="76" t="str">
        <f t="shared" ref="AF267:AF330" si="75">IF(AD267="",AE267,IF(AE267="",AD267,""))</f>
        <v/>
      </c>
      <c r="AG267" s="77">
        <f t="shared" ref="AG267:AG330" si="76">IF(AND(OR(AC267="EE",AC267="CE"),AF267="Simples"),3, IF(AND(OR(AC267="EE",AC267="CE"),AF267="Médio"),4, IF(AND(OR(AC267="EE",AC267="CE"),AF267="Complexo"),6, IF(AND(AC267="SE",AF267="Simples"),4, IF(AND(AC267="SE",AF267="Médio"),5, IF(AND(AC267="SE",AF267="Complexo"),7,0))))))</f>
        <v>0</v>
      </c>
      <c r="AH267" s="77">
        <f t="shared" ref="AH267:AH330" si="77">IF(AND(AC267="ALI",AE267="Simples"),7, IF(AND(AC267="ALI",AE267="Médio"),10, IF(AND(AC267="ALI",AE267="Complexo"),15, IF(AND(AC267="AIE",AE267="Simples"),5, IF(AND(AC267="AIE",AE267="Médio"),7, IF(AND(AC267="AIE",AE267="Complexo"),10,0))))))</f>
        <v>0</v>
      </c>
      <c r="AI267" s="76">
        <f t="shared" si="63"/>
        <v>0</v>
      </c>
      <c r="AJ267" s="203"/>
    </row>
    <row r="268" spans="1:36" s="56" customFormat="1" ht="14.25">
      <c r="A268" s="44"/>
      <c r="B268" s="45"/>
      <c r="C268" s="46">
        <f t="shared" si="64"/>
        <v>0</v>
      </c>
      <c r="D268" s="47"/>
      <c r="E268" s="47"/>
      <c r="F268" s="47"/>
      <c r="G268" s="47"/>
      <c r="H268" s="48"/>
      <c r="I268" s="75" t="str">
        <f t="shared" si="65"/>
        <v/>
      </c>
      <c r="J268" s="49"/>
      <c r="K268" s="49"/>
      <c r="L268" s="49"/>
      <c r="M268" s="47"/>
      <c r="N268" s="48" t="str">
        <f t="shared" si="66"/>
        <v/>
      </c>
      <c r="O268" s="48" t="str">
        <f t="shared" si="67"/>
        <v/>
      </c>
      <c r="P268" s="76" t="str">
        <f t="shared" si="68"/>
        <v/>
      </c>
      <c r="Q268" s="77">
        <f t="shared" si="69"/>
        <v>0</v>
      </c>
      <c r="R268" s="77">
        <f t="shared" si="70"/>
        <v>0</v>
      </c>
      <c r="S268" s="76">
        <f t="shared" ref="S268:S331" si="78">IF($I268="%",($Q268+$R268)*$C268,$C268)</f>
        <v>0</v>
      </c>
      <c r="T268" s="47"/>
      <c r="V268" s="57"/>
      <c r="W268" s="45"/>
      <c r="X268" s="46">
        <f t="shared" si="71"/>
        <v>0</v>
      </c>
      <c r="Y268" s="75" t="str">
        <f t="shared" si="72"/>
        <v/>
      </c>
      <c r="Z268" s="49"/>
      <c r="AA268" s="49"/>
      <c r="AB268" s="49"/>
      <c r="AC268" s="204"/>
      <c r="AD268" s="48" t="str">
        <f t="shared" si="73"/>
        <v/>
      </c>
      <c r="AE268" s="48" t="str">
        <f t="shared" si="74"/>
        <v/>
      </c>
      <c r="AF268" s="76" t="str">
        <f t="shared" si="75"/>
        <v/>
      </c>
      <c r="AG268" s="77">
        <f t="shared" si="76"/>
        <v>0</v>
      </c>
      <c r="AH268" s="77">
        <f t="shared" si="77"/>
        <v>0</v>
      </c>
      <c r="AI268" s="76">
        <f t="shared" ref="AI268:AI331" si="79">IF($I268="%",($Q268+$R268)*$C268,$C268)</f>
        <v>0</v>
      </c>
      <c r="AJ268" s="203"/>
    </row>
    <row r="269" spans="1:36" s="56" customFormat="1" ht="14.25">
      <c r="A269" s="44"/>
      <c r="B269" s="45"/>
      <c r="C269" s="46">
        <f t="shared" si="64"/>
        <v>0</v>
      </c>
      <c r="D269" s="47"/>
      <c r="E269" s="47"/>
      <c r="F269" s="47"/>
      <c r="G269" s="47"/>
      <c r="H269" s="48"/>
      <c r="I269" s="75" t="str">
        <f t="shared" si="65"/>
        <v/>
      </c>
      <c r="J269" s="49"/>
      <c r="K269" s="49"/>
      <c r="L269" s="49"/>
      <c r="M269" s="47"/>
      <c r="N269" s="48" t="str">
        <f t="shared" si="66"/>
        <v/>
      </c>
      <c r="O269" s="48" t="str">
        <f t="shared" si="67"/>
        <v/>
      </c>
      <c r="P269" s="76" t="str">
        <f t="shared" si="68"/>
        <v/>
      </c>
      <c r="Q269" s="77">
        <f t="shared" si="69"/>
        <v>0</v>
      </c>
      <c r="R269" s="77">
        <f t="shared" si="70"/>
        <v>0</v>
      </c>
      <c r="S269" s="76">
        <f t="shared" si="78"/>
        <v>0</v>
      </c>
      <c r="T269" s="47"/>
      <c r="V269" s="57"/>
      <c r="W269" s="45"/>
      <c r="X269" s="46">
        <f t="shared" si="71"/>
        <v>0</v>
      </c>
      <c r="Y269" s="75" t="str">
        <f t="shared" si="72"/>
        <v/>
      </c>
      <c r="Z269" s="49"/>
      <c r="AA269" s="49"/>
      <c r="AB269" s="49"/>
      <c r="AC269" s="204"/>
      <c r="AD269" s="48" t="str">
        <f t="shared" si="73"/>
        <v/>
      </c>
      <c r="AE269" s="48" t="str">
        <f t="shared" si="74"/>
        <v/>
      </c>
      <c r="AF269" s="76" t="str">
        <f t="shared" si="75"/>
        <v/>
      </c>
      <c r="AG269" s="77">
        <f t="shared" si="76"/>
        <v>0</v>
      </c>
      <c r="AH269" s="77">
        <f t="shared" si="77"/>
        <v>0</v>
      </c>
      <c r="AI269" s="76">
        <f t="shared" si="79"/>
        <v>0</v>
      </c>
      <c r="AJ269" s="203"/>
    </row>
    <row r="270" spans="1:36" s="56" customFormat="1" ht="14.25">
      <c r="A270" s="44"/>
      <c r="B270" s="45"/>
      <c r="C270" s="46">
        <f t="shared" si="64"/>
        <v>0</v>
      </c>
      <c r="D270" s="47"/>
      <c r="E270" s="47"/>
      <c r="F270" s="47"/>
      <c r="G270" s="47"/>
      <c r="H270" s="48"/>
      <c r="I270" s="75" t="str">
        <f t="shared" si="65"/>
        <v/>
      </c>
      <c r="J270" s="49"/>
      <c r="K270" s="49"/>
      <c r="L270" s="49"/>
      <c r="M270" s="47"/>
      <c r="N270" s="48" t="str">
        <f t="shared" si="66"/>
        <v/>
      </c>
      <c r="O270" s="48" t="str">
        <f t="shared" si="67"/>
        <v/>
      </c>
      <c r="P270" s="76" t="str">
        <f t="shared" si="68"/>
        <v/>
      </c>
      <c r="Q270" s="77">
        <f t="shared" si="69"/>
        <v>0</v>
      </c>
      <c r="R270" s="77">
        <f t="shared" si="70"/>
        <v>0</v>
      </c>
      <c r="S270" s="76">
        <f t="shared" si="78"/>
        <v>0</v>
      </c>
      <c r="T270" s="47"/>
      <c r="V270" s="57"/>
      <c r="W270" s="45"/>
      <c r="X270" s="46">
        <f t="shared" si="71"/>
        <v>0</v>
      </c>
      <c r="Y270" s="75" t="str">
        <f t="shared" si="72"/>
        <v/>
      </c>
      <c r="Z270" s="49"/>
      <c r="AA270" s="49"/>
      <c r="AB270" s="49"/>
      <c r="AC270" s="204"/>
      <c r="AD270" s="48" t="str">
        <f t="shared" si="73"/>
        <v/>
      </c>
      <c r="AE270" s="48" t="str">
        <f t="shared" si="74"/>
        <v/>
      </c>
      <c r="AF270" s="76" t="str">
        <f t="shared" si="75"/>
        <v/>
      </c>
      <c r="AG270" s="77">
        <f t="shared" si="76"/>
        <v>0</v>
      </c>
      <c r="AH270" s="77">
        <f t="shared" si="77"/>
        <v>0</v>
      </c>
      <c r="AI270" s="76">
        <f t="shared" si="79"/>
        <v>0</v>
      </c>
      <c r="AJ270" s="203"/>
    </row>
    <row r="271" spans="1:36" s="56" customFormat="1" ht="14.25">
      <c r="A271" s="44"/>
      <c r="B271" s="45"/>
      <c r="C271" s="46">
        <f t="shared" si="64"/>
        <v>0</v>
      </c>
      <c r="D271" s="47"/>
      <c r="E271" s="47"/>
      <c r="F271" s="47"/>
      <c r="G271" s="47"/>
      <c r="H271" s="48"/>
      <c r="I271" s="75" t="str">
        <f t="shared" si="65"/>
        <v/>
      </c>
      <c r="J271" s="49"/>
      <c r="K271" s="49"/>
      <c r="L271" s="49"/>
      <c r="M271" s="47"/>
      <c r="N271" s="48" t="str">
        <f t="shared" si="66"/>
        <v/>
      </c>
      <c r="O271" s="48" t="str">
        <f t="shared" si="67"/>
        <v/>
      </c>
      <c r="P271" s="76" t="str">
        <f t="shared" si="68"/>
        <v/>
      </c>
      <c r="Q271" s="77">
        <f t="shared" si="69"/>
        <v>0</v>
      </c>
      <c r="R271" s="77">
        <f t="shared" si="70"/>
        <v>0</v>
      </c>
      <c r="S271" s="76">
        <f t="shared" si="78"/>
        <v>0</v>
      </c>
      <c r="T271" s="47"/>
      <c r="V271" s="57"/>
      <c r="W271" s="45"/>
      <c r="X271" s="46">
        <f t="shared" si="71"/>
        <v>0</v>
      </c>
      <c r="Y271" s="75" t="str">
        <f t="shared" si="72"/>
        <v/>
      </c>
      <c r="Z271" s="49"/>
      <c r="AA271" s="49"/>
      <c r="AB271" s="49"/>
      <c r="AC271" s="204"/>
      <c r="AD271" s="48" t="str">
        <f t="shared" si="73"/>
        <v/>
      </c>
      <c r="AE271" s="48" t="str">
        <f t="shared" si="74"/>
        <v/>
      </c>
      <c r="AF271" s="76" t="str">
        <f t="shared" si="75"/>
        <v/>
      </c>
      <c r="AG271" s="77">
        <f t="shared" si="76"/>
        <v>0</v>
      </c>
      <c r="AH271" s="77">
        <f t="shared" si="77"/>
        <v>0</v>
      </c>
      <c r="AI271" s="76">
        <f t="shared" si="79"/>
        <v>0</v>
      </c>
      <c r="AJ271" s="203"/>
    </row>
    <row r="272" spans="1:36" s="56" customFormat="1" ht="14.25">
      <c r="A272" s="44"/>
      <c r="B272" s="45"/>
      <c r="C272" s="46">
        <f t="shared" si="64"/>
        <v>0</v>
      </c>
      <c r="D272" s="47"/>
      <c r="E272" s="47"/>
      <c r="F272" s="47"/>
      <c r="G272" s="47"/>
      <c r="H272" s="48"/>
      <c r="I272" s="75" t="str">
        <f t="shared" si="65"/>
        <v/>
      </c>
      <c r="J272" s="49"/>
      <c r="K272" s="49"/>
      <c r="L272" s="49"/>
      <c r="M272" s="47"/>
      <c r="N272" s="48" t="str">
        <f t="shared" si="66"/>
        <v/>
      </c>
      <c r="O272" s="48" t="str">
        <f t="shared" si="67"/>
        <v/>
      </c>
      <c r="P272" s="76" t="str">
        <f t="shared" si="68"/>
        <v/>
      </c>
      <c r="Q272" s="77">
        <f t="shared" si="69"/>
        <v>0</v>
      </c>
      <c r="R272" s="77">
        <f t="shared" si="70"/>
        <v>0</v>
      </c>
      <c r="S272" s="76">
        <f t="shared" si="78"/>
        <v>0</v>
      </c>
      <c r="T272" s="47"/>
      <c r="V272" s="57"/>
      <c r="W272" s="45"/>
      <c r="X272" s="46">
        <f t="shared" si="71"/>
        <v>0</v>
      </c>
      <c r="Y272" s="75" t="str">
        <f t="shared" si="72"/>
        <v/>
      </c>
      <c r="Z272" s="49"/>
      <c r="AA272" s="49"/>
      <c r="AB272" s="49"/>
      <c r="AC272" s="204"/>
      <c r="AD272" s="48" t="str">
        <f t="shared" si="73"/>
        <v/>
      </c>
      <c r="AE272" s="48" t="str">
        <f t="shared" si="74"/>
        <v/>
      </c>
      <c r="AF272" s="76" t="str">
        <f t="shared" si="75"/>
        <v/>
      </c>
      <c r="AG272" s="77">
        <f t="shared" si="76"/>
        <v>0</v>
      </c>
      <c r="AH272" s="77">
        <f t="shared" si="77"/>
        <v>0</v>
      </c>
      <c r="AI272" s="76">
        <f t="shared" si="79"/>
        <v>0</v>
      </c>
      <c r="AJ272" s="203"/>
    </row>
    <row r="273" spans="1:36" s="56" customFormat="1" ht="14.25">
      <c r="A273" s="44"/>
      <c r="B273" s="45"/>
      <c r="C273" s="46">
        <f t="shared" si="64"/>
        <v>0</v>
      </c>
      <c r="D273" s="47"/>
      <c r="E273" s="47"/>
      <c r="F273" s="47"/>
      <c r="G273" s="47"/>
      <c r="H273" s="48"/>
      <c r="I273" s="75" t="str">
        <f t="shared" si="65"/>
        <v/>
      </c>
      <c r="J273" s="49"/>
      <c r="K273" s="49"/>
      <c r="L273" s="49"/>
      <c r="M273" s="47"/>
      <c r="N273" s="48" t="str">
        <f t="shared" si="66"/>
        <v/>
      </c>
      <c r="O273" s="48" t="str">
        <f t="shared" si="67"/>
        <v/>
      </c>
      <c r="P273" s="76" t="str">
        <f t="shared" si="68"/>
        <v/>
      </c>
      <c r="Q273" s="77">
        <f t="shared" si="69"/>
        <v>0</v>
      </c>
      <c r="R273" s="77">
        <f t="shared" si="70"/>
        <v>0</v>
      </c>
      <c r="S273" s="76">
        <f t="shared" si="78"/>
        <v>0</v>
      </c>
      <c r="T273" s="47"/>
      <c r="V273" s="57"/>
      <c r="W273" s="45"/>
      <c r="X273" s="46">
        <f t="shared" si="71"/>
        <v>0</v>
      </c>
      <c r="Y273" s="75" t="str">
        <f t="shared" si="72"/>
        <v/>
      </c>
      <c r="Z273" s="49"/>
      <c r="AA273" s="49"/>
      <c r="AB273" s="49"/>
      <c r="AC273" s="204"/>
      <c r="AD273" s="48" t="str">
        <f t="shared" si="73"/>
        <v/>
      </c>
      <c r="AE273" s="48" t="str">
        <f t="shared" si="74"/>
        <v/>
      </c>
      <c r="AF273" s="76" t="str">
        <f t="shared" si="75"/>
        <v/>
      </c>
      <c r="AG273" s="77">
        <f t="shared" si="76"/>
        <v>0</v>
      </c>
      <c r="AH273" s="77">
        <f t="shared" si="77"/>
        <v>0</v>
      </c>
      <c r="AI273" s="76">
        <f t="shared" si="79"/>
        <v>0</v>
      </c>
      <c r="AJ273" s="203"/>
    </row>
    <row r="274" spans="1:36" s="56" customFormat="1" ht="14.25">
      <c r="A274" s="44"/>
      <c r="B274" s="45"/>
      <c r="C274" s="46">
        <f t="shared" si="64"/>
        <v>0</v>
      </c>
      <c r="D274" s="47"/>
      <c r="E274" s="47"/>
      <c r="F274" s="47"/>
      <c r="G274" s="47"/>
      <c r="H274" s="48"/>
      <c r="I274" s="75" t="str">
        <f t="shared" si="65"/>
        <v/>
      </c>
      <c r="J274" s="49"/>
      <c r="K274" s="49"/>
      <c r="L274" s="49"/>
      <c r="M274" s="47"/>
      <c r="N274" s="48" t="str">
        <f t="shared" si="66"/>
        <v/>
      </c>
      <c r="O274" s="48" t="str">
        <f t="shared" si="67"/>
        <v/>
      </c>
      <c r="P274" s="76" t="str">
        <f t="shared" si="68"/>
        <v/>
      </c>
      <c r="Q274" s="77">
        <f t="shared" si="69"/>
        <v>0</v>
      </c>
      <c r="R274" s="77">
        <f t="shared" si="70"/>
        <v>0</v>
      </c>
      <c r="S274" s="76">
        <f t="shared" si="78"/>
        <v>0</v>
      </c>
      <c r="T274" s="47"/>
      <c r="V274" s="57"/>
      <c r="W274" s="45"/>
      <c r="X274" s="46">
        <f t="shared" si="71"/>
        <v>0</v>
      </c>
      <c r="Y274" s="75" t="str">
        <f t="shared" si="72"/>
        <v/>
      </c>
      <c r="Z274" s="49"/>
      <c r="AA274" s="49"/>
      <c r="AB274" s="49"/>
      <c r="AC274" s="204"/>
      <c r="AD274" s="48" t="str">
        <f t="shared" si="73"/>
        <v/>
      </c>
      <c r="AE274" s="48" t="str">
        <f t="shared" si="74"/>
        <v/>
      </c>
      <c r="AF274" s="76" t="str">
        <f t="shared" si="75"/>
        <v/>
      </c>
      <c r="AG274" s="77">
        <f t="shared" si="76"/>
        <v>0</v>
      </c>
      <c r="AH274" s="77">
        <f t="shared" si="77"/>
        <v>0</v>
      </c>
      <c r="AI274" s="76">
        <f t="shared" si="79"/>
        <v>0</v>
      </c>
      <c r="AJ274" s="203"/>
    </row>
    <row r="275" spans="1:36" s="56" customFormat="1" ht="14.25">
      <c r="A275" s="44"/>
      <c r="B275" s="45"/>
      <c r="C275" s="46">
        <f t="shared" si="64"/>
        <v>0</v>
      </c>
      <c r="D275" s="47"/>
      <c r="E275" s="47"/>
      <c r="F275" s="47"/>
      <c r="G275" s="47"/>
      <c r="H275" s="48"/>
      <c r="I275" s="75" t="str">
        <f t="shared" si="65"/>
        <v/>
      </c>
      <c r="J275" s="49"/>
      <c r="K275" s="49"/>
      <c r="L275" s="49"/>
      <c r="M275" s="47"/>
      <c r="N275" s="48" t="str">
        <f t="shared" si="66"/>
        <v/>
      </c>
      <c r="O275" s="48" t="str">
        <f t="shared" si="67"/>
        <v/>
      </c>
      <c r="P275" s="76" t="str">
        <f t="shared" si="68"/>
        <v/>
      </c>
      <c r="Q275" s="77">
        <f t="shared" si="69"/>
        <v>0</v>
      </c>
      <c r="R275" s="77">
        <f t="shared" si="70"/>
        <v>0</v>
      </c>
      <c r="S275" s="76">
        <f t="shared" si="78"/>
        <v>0</v>
      </c>
      <c r="T275" s="47"/>
      <c r="V275" s="57"/>
      <c r="W275" s="45"/>
      <c r="X275" s="46">
        <f t="shared" si="71"/>
        <v>0</v>
      </c>
      <c r="Y275" s="75" t="str">
        <f t="shared" si="72"/>
        <v/>
      </c>
      <c r="Z275" s="49"/>
      <c r="AA275" s="49"/>
      <c r="AB275" s="49"/>
      <c r="AC275" s="204"/>
      <c r="AD275" s="48" t="str">
        <f t="shared" si="73"/>
        <v/>
      </c>
      <c r="AE275" s="48" t="str">
        <f t="shared" si="74"/>
        <v/>
      </c>
      <c r="AF275" s="76" t="str">
        <f t="shared" si="75"/>
        <v/>
      </c>
      <c r="AG275" s="77">
        <f t="shared" si="76"/>
        <v>0</v>
      </c>
      <c r="AH275" s="77">
        <f t="shared" si="77"/>
        <v>0</v>
      </c>
      <c r="AI275" s="76">
        <f t="shared" si="79"/>
        <v>0</v>
      </c>
      <c r="AJ275" s="203"/>
    </row>
    <row r="276" spans="1:36" s="56" customFormat="1" ht="14.25">
      <c r="A276" s="44"/>
      <c r="B276" s="45"/>
      <c r="C276" s="46">
        <f t="shared" si="64"/>
        <v>0</v>
      </c>
      <c r="D276" s="47"/>
      <c r="E276" s="47"/>
      <c r="F276" s="47"/>
      <c r="G276" s="47"/>
      <c r="H276" s="48"/>
      <c r="I276" s="75" t="str">
        <f t="shared" si="65"/>
        <v/>
      </c>
      <c r="J276" s="49"/>
      <c r="K276" s="49"/>
      <c r="L276" s="49"/>
      <c r="M276" s="47"/>
      <c r="N276" s="48" t="str">
        <f t="shared" si="66"/>
        <v/>
      </c>
      <c r="O276" s="48" t="str">
        <f t="shared" si="67"/>
        <v/>
      </c>
      <c r="P276" s="76" t="str">
        <f t="shared" si="68"/>
        <v/>
      </c>
      <c r="Q276" s="77">
        <f t="shared" si="69"/>
        <v>0</v>
      </c>
      <c r="R276" s="77">
        <f t="shared" si="70"/>
        <v>0</v>
      </c>
      <c r="S276" s="76">
        <f t="shared" si="78"/>
        <v>0</v>
      </c>
      <c r="T276" s="47"/>
      <c r="V276" s="57"/>
      <c r="W276" s="45"/>
      <c r="X276" s="46">
        <f t="shared" si="71"/>
        <v>0</v>
      </c>
      <c r="Y276" s="75" t="str">
        <f t="shared" si="72"/>
        <v/>
      </c>
      <c r="Z276" s="49"/>
      <c r="AA276" s="49"/>
      <c r="AB276" s="49"/>
      <c r="AC276" s="204"/>
      <c r="AD276" s="48" t="str">
        <f t="shared" si="73"/>
        <v/>
      </c>
      <c r="AE276" s="48" t="str">
        <f t="shared" si="74"/>
        <v/>
      </c>
      <c r="AF276" s="76" t="str">
        <f t="shared" si="75"/>
        <v/>
      </c>
      <c r="AG276" s="77">
        <f t="shared" si="76"/>
        <v>0</v>
      </c>
      <c r="AH276" s="77">
        <f t="shared" si="77"/>
        <v>0</v>
      </c>
      <c r="AI276" s="76">
        <f t="shared" si="79"/>
        <v>0</v>
      </c>
      <c r="AJ276" s="203"/>
    </row>
    <row r="277" spans="1:36" s="56" customFormat="1" ht="14.25">
      <c r="A277" s="44"/>
      <c r="B277" s="45"/>
      <c r="C277" s="46">
        <f t="shared" si="64"/>
        <v>0</v>
      </c>
      <c r="D277" s="47"/>
      <c r="E277" s="47"/>
      <c r="F277" s="47"/>
      <c r="G277" s="47"/>
      <c r="H277" s="48"/>
      <c r="I277" s="75" t="str">
        <f t="shared" si="65"/>
        <v/>
      </c>
      <c r="J277" s="49"/>
      <c r="K277" s="49"/>
      <c r="L277" s="49"/>
      <c r="M277" s="47"/>
      <c r="N277" s="48" t="str">
        <f t="shared" si="66"/>
        <v/>
      </c>
      <c r="O277" s="48" t="str">
        <f t="shared" si="67"/>
        <v/>
      </c>
      <c r="P277" s="76" t="str">
        <f t="shared" si="68"/>
        <v/>
      </c>
      <c r="Q277" s="77">
        <f t="shared" si="69"/>
        <v>0</v>
      </c>
      <c r="R277" s="77">
        <f t="shared" si="70"/>
        <v>0</v>
      </c>
      <c r="S277" s="76">
        <f t="shared" si="78"/>
        <v>0</v>
      </c>
      <c r="T277" s="47"/>
      <c r="V277" s="57"/>
      <c r="W277" s="45"/>
      <c r="X277" s="46">
        <f t="shared" si="71"/>
        <v>0</v>
      </c>
      <c r="Y277" s="75" t="str">
        <f t="shared" si="72"/>
        <v/>
      </c>
      <c r="Z277" s="49"/>
      <c r="AA277" s="49"/>
      <c r="AB277" s="49"/>
      <c r="AC277" s="204"/>
      <c r="AD277" s="48" t="str">
        <f t="shared" si="73"/>
        <v/>
      </c>
      <c r="AE277" s="48" t="str">
        <f t="shared" si="74"/>
        <v/>
      </c>
      <c r="AF277" s="76" t="str">
        <f t="shared" si="75"/>
        <v/>
      </c>
      <c r="AG277" s="77">
        <f t="shared" si="76"/>
        <v>0</v>
      </c>
      <c r="AH277" s="77">
        <f t="shared" si="77"/>
        <v>0</v>
      </c>
      <c r="AI277" s="76">
        <f t="shared" si="79"/>
        <v>0</v>
      </c>
      <c r="AJ277" s="203"/>
    </row>
    <row r="278" spans="1:36" s="56" customFormat="1" ht="14.25">
      <c r="A278" s="44"/>
      <c r="B278" s="45"/>
      <c r="C278" s="46">
        <f t="shared" si="64"/>
        <v>0</v>
      </c>
      <c r="D278" s="47"/>
      <c r="E278" s="47"/>
      <c r="F278" s="47"/>
      <c r="G278" s="47"/>
      <c r="H278" s="48"/>
      <c r="I278" s="75" t="str">
        <f t="shared" si="65"/>
        <v/>
      </c>
      <c r="J278" s="49"/>
      <c r="K278" s="49"/>
      <c r="L278" s="49"/>
      <c r="M278" s="47"/>
      <c r="N278" s="48" t="str">
        <f t="shared" si="66"/>
        <v/>
      </c>
      <c r="O278" s="48" t="str">
        <f t="shared" si="67"/>
        <v/>
      </c>
      <c r="P278" s="76" t="str">
        <f t="shared" si="68"/>
        <v/>
      </c>
      <c r="Q278" s="77">
        <f t="shared" si="69"/>
        <v>0</v>
      </c>
      <c r="R278" s="77">
        <f t="shared" si="70"/>
        <v>0</v>
      </c>
      <c r="S278" s="76">
        <f t="shared" si="78"/>
        <v>0</v>
      </c>
      <c r="T278" s="47"/>
      <c r="V278" s="57"/>
      <c r="W278" s="45"/>
      <c r="X278" s="46">
        <f t="shared" si="71"/>
        <v>0</v>
      </c>
      <c r="Y278" s="75" t="str">
        <f t="shared" si="72"/>
        <v/>
      </c>
      <c r="Z278" s="49"/>
      <c r="AA278" s="49"/>
      <c r="AB278" s="49"/>
      <c r="AC278" s="204"/>
      <c r="AD278" s="48" t="str">
        <f t="shared" si="73"/>
        <v/>
      </c>
      <c r="AE278" s="48" t="str">
        <f t="shared" si="74"/>
        <v/>
      </c>
      <c r="AF278" s="76" t="str">
        <f t="shared" si="75"/>
        <v/>
      </c>
      <c r="AG278" s="77">
        <f t="shared" si="76"/>
        <v>0</v>
      </c>
      <c r="AH278" s="77">
        <f t="shared" si="77"/>
        <v>0</v>
      </c>
      <c r="AI278" s="76">
        <f t="shared" si="79"/>
        <v>0</v>
      </c>
      <c r="AJ278" s="203"/>
    </row>
    <row r="279" spans="1:36" s="56" customFormat="1" ht="14.25">
      <c r="A279" s="44"/>
      <c r="B279" s="45"/>
      <c r="C279" s="46">
        <f t="shared" si="64"/>
        <v>0</v>
      </c>
      <c r="D279" s="47"/>
      <c r="E279" s="47"/>
      <c r="F279" s="47"/>
      <c r="G279" s="47"/>
      <c r="H279" s="48"/>
      <c r="I279" s="75" t="str">
        <f t="shared" si="65"/>
        <v/>
      </c>
      <c r="J279" s="49"/>
      <c r="K279" s="49"/>
      <c r="L279" s="49"/>
      <c r="M279" s="47"/>
      <c r="N279" s="48" t="str">
        <f t="shared" si="66"/>
        <v/>
      </c>
      <c r="O279" s="48" t="str">
        <f t="shared" si="67"/>
        <v/>
      </c>
      <c r="P279" s="76" t="str">
        <f t="shared" si="68"/>
        <v/>
      </c>
      <c r="Q279" s="77">
        <f t="shared" si="69"/>
        <v>0</v>
      </c>
      <c r="R279" s="77">
        <f t="shared" si="70"/>
        <v>0</v>
      </c>
      <c r="S279" s="76">
        <f t="shared" si="78"/>
        <v>0</v>
      </c>
      <c r="T279" s="47"/>
      <c r="V279" s="57"/>
      <c r="W279" s="45"/>
      <c r="X279" s="46">
        <f t="shared" si="71"/>
        <v>0</v>
      </c>
      <c r="Y279" s="75" t="str">
        <f t="shared" si="72"/>
        <v/>
      </c>
      <c r="Z279" s="49"/>
      <c r="AA279" s="49"/>
      <c r="AB279" s="49"/>
      <c r="AC279" s="204"/>
      <c r="AD279" s="48" t="str">
        <f t="shared" si="73"/>
        <v/>
      </c>
      <c r="AE279" s="48" t="str">
        <f t="shared" si="74"/>
        <v/>
      </c>
      <c r="AF279" s="76" t="str">
        <f t="shared" si="75"/>
        <v/>
      </c>
      <c r="AG279" s="77">
        <f t="shared" si="76"/>
        <v>0</v>
      </c>
      <c r="AH279" s="77">
        <f t="shared" si="77"/>
        <v>0</v>
      </c>
      <c r="AI279" s="76">
        <f t="shared" si="79"/>
        <v>0</v>
      </c>
      <c r="AJ279" s="203"/>
    </row>
    <row r="280" spans="1:36" s="56" customFormat="1" ht="14.25">
      <c r="A280" s="44"/>
      <c r="B280" s="45"/>
      <c r="C280" s="46">
        <f t="shared" si="64"/>
        <v>0</v>
      </c>
      <c r="D280" s="47"/>
      <c r="E280" s="47"/>
      <c r="F280" s="47"/>
      <c r="G280" s="47"/>
      <c r="H280" s="48"/>
      <c r="I280" s="75" t="str">
        <f t="shared" si="65"/>
        <v/>
      </c>
      <c r="J280" s="49"/>
      <c r="K280" s="49"/>
      <c r="L280" s="49"/>
      <c r="M280" s="47"/>
      <c r="N280" s="48" t="str">
        <f t="shared" si="66"/>
        <v/>
      </c>
      <c r="O280" s="48" t="str">
        <f t="shared" si="67"/>
        <v/>
      </c>
      <c r="P280" s="76" t="str">
        <f t="shared" si="68"/>
        <v/>
      </c>
      <c r="Q280" s="77">
        <f t="shared" si="69"/>
        <v>0</v>
      </c>
      <c r="R280" s="77">
        <f t="shared" si="70"/>
        <v>0</v>
      </c>
      <c r="S280" s="76">
        <f t="shared" si="78"/>
        <v>0</v>
      </c>
      <c r="T280" s="47"/>
      <c r="V280" s="57"/>
      <c r="W280" s="45"/>
      <c r="X280" s="46">
        <f t="shared" si="71"/>
        <v>0</v>
      </c>
      <c r="Y280" s="75" t="str">
        <f t="shared" si="72"/>
        <v/>
      </c>
      <c r="Z280" s="49"/>
      <c r="AA280" s="49"/>
      <c r="AB280" s="49"/>
      <c r="AC280" s="204"/>
      <c r="AD280" s="48" t="str">
        <f t="shared" si="73"/>
        <v/>
      </c>
      <c r="AE280" s="48" t="str">
        <f t="shared" si="74"/>
        <v/>
      </c>
      <c r="AF280" s="76" t="str">
        <f t="shared" si="75"/>
        <v/>
      </c>
      <c r="AG280" s="77">
        <f t="shared" si="76"/>
        <v>0</v>
      </c>
      <c r="AH280" s="77">
        <f t="shared" si="77"/>
        <v>0</v>
      </c>
      <c r="AI280" s="76">
        <f t="shared" si="79"/>
        <v>0</v>
      </c>
      <c r="AJ280" s="203"/>
    </row>
    <row r="281" spans="1:36" s="56" customFormat="1" ht="14.25">
      <c r="A281" s="44"/>
      <c r="B281" s="45"/>
      <c r="C281" s="46">
        <f t="shared" si="64"/>
        <v>0</v>
      </c>
      <c r="D281" s="47"/>
      <c r="E281" s="47"/>
      <c r="F281" s="47"/>
      <c r="G281" s="47"/>
      <c r="H281" s="48"/>
      <c r="I281" s="75" t="str">
        <f t="shared" si="65"/>
        <v/>
      </c>
      <c r="J281" s="49"/>
      <c r="K281" s="49"/>
      <c r="L281" s="49"/>
      <c r="M281" s="47"/>
      <c r="N281" s="48" t="str">
        <f t="shared" si="66"/>
        <v/>
      </c>
      <c r="O281" s="48" t="str">
        <f t="shared" si="67"/>
        <v/>
      </c>
      <c r="P281" s="76" t="str">
        <f t="shared" si="68"/>
        <v/>
      </c>
      <c r="Q281" s="77">
        <f t="shared" si="69"/>
        <v>0</v>
      </c>
      <c r="R281" s="77">
        <f t="shared" si="70"/>
        <v>0</v>
      </c>
      <c r="S281" s="76">
        <f t="shared" si="78"/>
        <v>0</v>
      </c>
      <c r="T281" s="47"/>
      <c r="V281" s="57"/>
      <c r="W281" s="45"/>
      <c r="X281" s="46">
        <f t="shared" si="71"/>
        <v>0</v>
      </c>
      <c r="Y281" s="75" t="str">
        <f t="shared" si="72"/>
        <v/>
      </c>
      <c r="Z281" s="49"/>
      <c r="AA281" s="49"/>
      <c r="AB281" s="49"/>
      <c r="AC281" s="204"/>
      <c r="AD281" s="48" t="str">
        <f t="shared" si="73"/>
        <v/>
      </c>
      <c r="AE281" s="48" t="str">
        <f t="shared" si="74"/>
        <v/>
      </c>
      <c r="AF281" s="76" t="str">
        <f t="shared" si="75"/>
        <v/>
      </c>
      <c r="AG281" s="77">
        <f t="shared" si="76"/>
        <v>0</v>
      </c>
      <c r="AH281" s="77">
        <f t="shared" si="77"/>
        <v>0</v>
      </c>
      <c r="AI281" s="76">
        <f t="shared" si="79"/>
        <v>0</v>
      </c>
      <c r="AJ281" s="203"/>
    </row>
    <row r="282" spans="1:36" s="56" customFormat="1" ht="14.25">
      <c r="A282" s="44"/>
      <c r="B282" s="45"/>
      <c r="C282" s="46">
        <f t="shared" si="64"/>
        <v>0</v>
      </c>
      <c r="D282" s="47"/>
      <c r="E282" s="47"/>
      <c r="F282" s="47"/>
      <c r="G282" s="47"/>
      <c r="H282" s="48"/>
      <c r="I282" s="75" t="str">
        <f t="shared" si="65"/>
        <v/>
      </c>
      <c r="J282" s="49"/>
      <c r="K282" s="49"/>
      <c r="L282" s="49"/>
      <c r="M282" s="47"/>
      <c r="N282" s="48" t="str">
        <f t="shared" si="66"/>
        <v/>
      </c>
      <c r="O282" s="48" t="str">
        <f t="shared" si="67"/>
        <v/>
      </c>
      <c r="P282" s="76" t="str">
        <f t="shared" si="68"/>
        <v/>
      </c>
      <c r="Q282" s="77">
        <f t="shared" si="69"/>
        <v>0</v>
      </c>
      <c r="R282" s="77">
        <f t="shared" si="70"/>
        <v>0</v>
      </c>
      <c r="S282" s="76">
        <f t="shared" si="78"/>
        <v>0</v>
      </c>
      <c r="T282" s="47"/>
      <c r="V282" s="57"/>
      <c r="W282" s="45"/>
      <c r="X282" s="46">
        <f t="shared" si="71"/>
        <v>0</v>
      </c>
      <c r="Y282" s="75" t="str">
        <f t="shared" si="72"/>
        <v/>
      </c>
      <c r="Z282" s="49"/>
      <c r="AA282" s="49"/>
      <c r="AB282" s="49"/>
      <c r="AC282" s="204"/>
      <c r="AD282" s="48" t="str">
        <f t="shared" si="73"/>
        <v/>
      </c>
      <c r="AE282" s="48" t="str">
        <f t="shared" si="74"/>
        <v/>
      </c>
      <c r="AF282" s="76" t="str">
        <f t="shared" si="75"/>
        <v/>
      </c>
      <c r="AG282" s="77">
        <f t="shared" si="76"/>
        <v>0</v>
      </c>
      <c r="AH282" s="77">
        <f t="shared" si="77"/>
        <v>0</v>
      </c>
      <c r="AI282" s="76">
        <f t="shared" si="79"/>
        <v>0</v>
      </c>
      <c r="AJ282" s="203"/>
    </row>
    <row r="283" spans="1:36" s="56" customFormat="1" ht="14.25">
      <c r="A283" s="44"/>
      <c r="B283" s="45"/>
      <c r="C283" s="46">
        <f t="shared" si="64"/>
        <v>0</v>
      </c>
      <c r="D283" s="47"/>
      <c r="E283" s="47"/>
      <c r="F283" s="47"/>
      <c r="G283" s="47"/>
      <c r="H283" s="48"/>
      <c r="I283" s="75" t="str">
        <f t="shared" si="65"/>
        <v/>
      </c>
      <c r="J283" s="49"/>
      <c r="K283" s="49"/>
      <c r="L283" s="49"/>
      <c r="M283" s="47"/>
      <c r="N283" s="48" t="str">
        <f t="shared" si="66"/>
        <v/>
      </c>
      <c r="O283" s="48" t="str">
        <f t="shared" si="67"/>
        <v/>
      </c>
      <c r="P283" s="76" t="str">
        <f t="shared" si="68"/>
        <v/>
      </c>
      <c r="Q283" s="77">
        <f t="shared" si="69"/>
        <v>0</v>
      </c>
      <c r="R283" s="77">
        <f t="shared" si="70"/>
        <v>0</v>
      </c>
      <c r="S283" s="76">
        <f t="shared" si="78"/>
        <v>0</v>
      </c>
      <c r="T283" s="47"/>
      <c r="V283" s="57"/>
      <c r="W283" s="45"/>
      <c r="X283" s="46">
        <f t="shared" si="71"/>
        <v>0</v>
      </c>
      <c r="Y283" s="75" t="str">
        <f t="shared" si="72"/>
        <v/>
      </c>
      <c r="Z283" s="49"/>
      <c r="AA283" s="49"/>
      <c r="AB283" s="49"/>
      <c r="AC283" s="204"/>
      <c r="AD283" s="48" t="str">
        <f t="shared" si="73"/>
        <v/>
      </c>
      <c r="AE283" s="48" t="str">
        <f t="shared" si="74"/>
        <v/>
      </c>
      <c r="AF283" s="76" t="str">
        <f t="shared" si="75"/>
        <v/>
      </c>
      <c r="AG283" s="77">
        <f t="shared" si="76"/>
        <v>0</v>
      </c>
      <c r="AH283" s="77">
        <f t="shared" si="77"/>
        <v>0</v>
      </c>
      <c r="AI283" s="76">
        <f t="shared" si="79"/>
        <v>0</v>
      </c>
      <c r="AJ283" s="203"/>
    </row>
    <row r="284" spans="1:36" s="56" customFormat="1" ht="14.25">
      <c r="A284" s="44"/>
      <c r="B284" s="45"/>
      <c r="C284" s="46">
        <f t="shared" si="64"/>
        <v>0</v>
      </c>
      <c r="D284" s="47"/>
      <c r="E284" s="47"/>
      <c r="F284" s="47"/>
      <c r="G284" s="47"/>
      <c r="H284" s="48"/>
      <c r="I284" s="75" t="str">
        <f t="shared" si="65"/>
        <v/>
      </c>
      <c r="J284" s="49"/>
      <c r="K284" s="49"/>
      <c r="L284" s="49"/>
      <c r="M284" s="47"/>
      <c r="N284" s="48" t="str">
        <f t="shared" si="66"/>
        <v/>
      </c>
      <c r="O284" s="48" t="str">
        <f t="shared" si="67"/>
        <v/>
      </c>
      <c r="P284" s="76" t="str">
        <f t="shared" si="68"/>
        <v/>
      </c>
      <c r="Q284" s="77">
        <f t="shared" si="69"/>
        <v>0</v>
      </c>
      <c r="R284" s="77">
        <f t="shared" si="70"/>
        <v>0</v>
      </c>
      <c r="S284" s="76">
        <f t="shared" si="78"/>
        <v>0</v>
      </c>
      <c r="T284" s="47"/>
      <c r="V284" s="57"/>
      <c r="W284" s="45"/>
      <c r="X284" s="46">
        <f t="shared" si="71"/>
        <v>0</v>
      </c>
      <c r="Y284" s="75" t="str">
        <f t="shared" si="72"/>
        <v/>
      </c>
      <c r="Z284" s="49"/>
      <c r="AA284" s="49"/>
      <c r="AB284" s="49"/>
      <c r="AC284" s="204"/>
      <c r="AD284" s="48" t="str">
        <f t="shared" si="73"/>
        <v/>
      </c>
      <c r="AE284" s="48" t="str">
        <f t="shared" si="74"/>
        <v/>
      </c>
      <c r="AF284" s="76" t="str">
        <f t="shared" si="75"/>
        <v/>
      </c>
      <c r="AG284" s="77">
        <f t="shared" si="76"/>
        <v>0</v>
      </c>
      <c r="AH284" s="77">
        <f t="shared" si="77"/>
        <v>0</v>
      </c>
      <c r="AI284" s="76">
        <f t="shared" si="79"/>
        <v>0</v>
      </c>
      <c r="AJ284" s="203"/>
    </row>
    <row r="285" spans="1:36" s="56" customFormat="1" ht="14.25">
      <c r="A285" s="44"/>
      <c r="B285" s="45"/>
      <c r="C285" s="46">
        <f t="shared" si="64"/>
        <v>0</v>
      </c>
      <c r="D285" s="47"/>
      <c r="E285" s="47"/>
      <c r="F285" s="47"/>
      <c r="G285" s="47"/>
      <c r="H285" s="48"/>
      <c r="I285" s="75" t="str">
        <f t="shared" si="65"/>
        <v/>
      </c>
      <c r="J285" s="49"/>
      <c r="K285" s="49"/>
      <c r="L285" s="49"/>
      <c r="M285" s="47"/>
      <c r="N285" s="48" t="str">
        <f t="shared" si="66"/>
        <v/>
      </c>
      <c r="O285" s="48" t="str">
        <f t="shared" si="67"/>
        <v/>
      </c>
      <c r="P285" s="76" t="str">
        <f t="shared" si="68"/>
        <v/>
      </c>
      <c r="Q285" s="77">
        <f t="shared" si="69"/>
        <v>0</v>
      </c>
      <c r="R285" s="77">
        <f t="shared" si="70"/>
        <v>0</v>
      </c>
      <c r="S285" s="76">
        <f t="shared" si="78"/>
        <v>0</v>
      </c>
      <c r="T285" s="47"/>
      <c r="V285" s="57"/>
      <c r="W285" s="45"/>
      <c r="X285" s="46">
        <f t="shared" si="71"/>
        <v>0</v>
      </c>
      <c r="Y285" s="75" t="str">
        <f t="shared" si="72"/>
        <v/>
      </c>
      <c r="Z285" s="49"/>
      <c r="AA285" s="49"/>
      <c r="AB285" s="49"/>
      <c r="AC285" s="204"/>
      <c r="AD285" s="48" t="str">
        <f t="shared" si="73"/>
        <v/>
      </c>
      <c r="AE285" s="48" t="str">
        <f t="shared" si="74"/>
        <v/>
      </c>
      <c r="AF285" s="76" t="str">
        <f t="shared" si="75"/>
        <v/>
      </c>
      <c r="AG285" s="77">
        <f t="shared" si="76"/>
        <v>0</v>
      </c>
      <c r="AH285" s="77">
        <f t="shared" si="77"/>
        <v>0</v>
      </c>
      <c r="AI285" s="76">
        <f t="shared" si="79"/>
        <v>0</v>
      </c>
      <c r="AJ285" s="203"/>
    </row>
    <row r="286" spans="1:36" s="56" customFormat="1" ht="14.25">
      <c r="A286" s="44"/>
      <c r="B286" s="45"/>
      <c r="C286" s="46">
        <f t="shared" si="64"/>
        <v>0</v>
      </c>
      <c r="D286" s="47"/>
      <c r="E286" s="47"/>
      <c r="F286" s="47"/>
      <c r="G286" s="47"/>
      <c r="H286" s="48"/>
      <c r="I286" s="75" t="str">
        <f t="shared" si="65"/>
        <v/>
      </c>
      <c r="J286" s="49"/>
      <c r="K286" s="49"/>
      <c r="L286" s="49"/>
      <c r="M286" s="47"/>
      <c r="N286" s="48" t="str">
        <f t="shared" si="66"/>
        <v/>
      </c>
      <c r="O286" s="48" t="str">
        <f t="shared" si="67"/>
        <v/>
      </c>
      <c r="P286" s="76" t="str">
        <f t="shared" si="68"/>
        <v/>
      </c>
      <c r="Q286" s="77">
        <f t="shared" si="69"/>
        <v>0</v>
      </c>
      <c r="R286" s="77">
        <f t="shared" si="70"/>
        <v>0</v>
      </c>
      <c r="S286" s="76">
        <f t="shared" si="78"/>
        <v>0</v>
      </c>
      <c r="T286" s="47"/>
      <c r="V286" s="57"/>
      <c r="W286" s="45"/>
      <c r="X286" s="46">
        <f t="shared" si="71"/>
        <v>0</v>
      </c>
      <c r="Y286" s="75" t="str">
        <f t="shared" si="72"/>
        <v/>
      </c>
      <c r="Z286" s="49"/>
      <c r="AA286" s="49"/>
      <c r="AB286" s="49"/>
      <c r="AC286" s="204"/>
      <c r="AD286" s="48" t="str">
        <f t="shared" si="73"/>
        <v/>
      </c>
      <c r="AE286" s="48" t="str">
        <f t="shared" si="74"/>
        <v/>
      </c>
      <c r="AF286" s="76" t="str">
        <f t="shared" si="75"/>
        <v/>
      </c>
      <c r="AG286" s="77">
        <f t="shared" si="76"/>
        <v>0</v>
      </c>
      <c r="AH286" s="77">
        <f t="shared" si="77"/>
        <v>0</v>
      </c>
      <c r="AI286" s="76">
        <f t="shared" si="79"/>
        <v>0</v>
      </c>
      <c r="AJ286" s="203"/>
    </row>
    <row r="287" spans="1:36" s="56" customFormat="1" ht="14.25">
      <c r="A287" s="44"/>
      <c r="B287" s="45"/>
      <c r="C287" s="46">
        <f t="shared" si="64"/>
        <v>0</v>
      </c>
      <c r="D287" s="47"/>
      <c r="E287" s="47"/>
      <c r="F287" s="47"/>
      <c r="G287" s="47"/>
      <c r="H287" s="48"/>
      <c r="I287" s="75" t="str">
        <f t="shared" si="65"/>
        <v/>
      </c>
      <c r="J287" s="49"/>
      <c r="K287" s="49"/>
      <c r="L287" s="49"/>
      <c r="M287" s="47"/>
      <c r="N287" s="48" t="str">
        <f t="shared" si="66"/>
        <v/>
      </c>
      <c r="O287" s="48" t="str">
        <f t="shared" si="67"/>
        <v/>
      </c>
      <c r="P287" s="76" t="str">
        <f t="shared" si="68"/>
        <v/>
      </c>
      <c r="Q287" s="77">
        <f t="shared" si="69"/>
        <v>0</v>
      </c>
      <c r="R287" s="77">
        <f t="shared" si="70"/>
        <v>0</v>
      </c>
      <c r="S287" s="76">
        <f t="shared" si="78"/>
        <v>0</v>
      </c>
      <c r="T287" s="47"/>
      <c r="V287" s="57"/>
      <c r="W287" s="45"/>
      <c r="X287" s="46">
        <f t="shared" si="71"/>
        <v>0</v>
      </c>
      <c r="Y287" s="75" t="str">
        <f t="shared" si="72"/>
        <v/>
      </c>
      <c r="Z287" s="49"/>
      <c r="AA287" s="49"/>
      <c r="AB287" s="49"/>
      <c r="AC287" s="204"/>
      <c r="AD287" s="48" t="str">
        <f t="shared" si="73"/>
        <v/>
      </c>
      <c r="AE287" s="48" t="str">
        <f t="shared" si="74"/>
        <v/>
      </c>
      <c r="AF287" s="76" t="str">
        <f t="shared" si="75"/>
        <v/>
      </c>
      <c r="AG287" s="77">
        <f t="shared" si="76"/>
        <v>0</v>
      </c>
      <c r="AH287" s="77">
        <f t="shared" si="77"/>
        <v>0</v>
      </c>
      <c r="AI287" s="76">
        <f t="shared" si="79"/>
        <v>0</v>
      </c>
      <c r="AJ287" s="203"/>
    </row>
    <row r="288" spans="1:36" s="56" customFormat="1" ht="14.25">
      <c r="A288" s="44"/>
      <c r="B288" s="45"/>
      <c r="C288" s="46">
        <f t="shared" si="64"/>
        <v>0</v>
      </c>
      <c r="D288" s="47"/>
      <c r="E288" s="47"/>
      <c r="F288" s="47"/>
      <c r="G288" s="47"/>
      <c r="H288" s="48"/>
      <c r="I288" s="75" t="str">
        <f t="shared" si="65"/>
        <v/>
      </c>
      <c r="J288" s="49"/>
      <c r="K288" s="49"/>
      <c r="L288" s="49"/>
      <c r="M288" s="47"/>
      <c r="N288" s="48" t="str">
        <f t="shared" si="66"/>
        <v/>
      </c>
      <c r="O288" s="48" t="str">
        <f t="shared" si="67"/>
        <v/>
      </c>
      <c r="P288" s="76" t="str">
        <f t="shared" si="68"/>
        <v/>
      </c>
      <c r="Q288" s="77">
        <f t="shared" si="69"/>
        <v>0</v>
      </c>
      <c r="R288" s="77">
        <f t="shared" si="70"/>
        <v>0</v>
      </c>
      <c r="S288" s="76">
        <f t="shared" si="78"/>
        <v>0</v>
      </c>
      <c r="T288" s="47"/>
      <c r="V288" s="57"/>
      <c r="W288" s="45"/>
      <c r="X288" s="46">
        <f t="shared" si="71"/>
        <v>0</v>
      </c>
      <c r="Y288" s="75" t="str">
        <f t="shared" si="72"/>
        <v/>
      </c>
      <c r="Z288" s="49"/>
      <c r="AA288" s="49"/>
      <c r="AB288" s="49"/>
      <c r="AC288" s="204"/>
      <c r="AD288" s="48" t="str">
        <f t="shared" si="73"/>
        <v/>
      </c>
      <c r="AE288" s="48" t="str">
        <f t="shared" si="74"/>
        <v/>
      </c>
      <c r="AF288" s="76" t="str">
        <f t="shared" si="75"/>
        <v/>
      </c>
      <c r="AG288" s="77">
        <f t="shared" si="76"/>
        <v>0</v>
      </c>
      <c r="AH288" s="77">
        <f t="shared" si="77"/>
        <v>0</v>
      </c>
      <c r="AI288" s="76">
        <f t="shared" si="79"/>
        <v>0</v>
      </c>
      <c r="AJ288" s="203"/>
    </row>
    <row r="289" spans="1:36" s="56" customFormat="1" ht="14.25">
      <c r="A289" s="44"/>
      <c r="B289" s="45"/>
      <c r="C289" s="46">
        <f t="shared" si="64"/>
        <v>0</v>
      </c>
      <c r="D289" s="47"/>
      <c r="E289" s="47"/>
      <c r="F289" s="47"/>
      <c r="G289" s="47"/>
      <c r="H289" s="48"/>
      <c r="I289" s="75" t="str">
        <f t="shared" si="65"/>
        <v/>
      </c>
      <c r="J289" s="49"/>
      <c r="K289" s="49"/>
      <c r="L289" s="49"/>
      <c r="M289" s="47"/>
      <c r="N289" s="48" t="str">
        <f t="shared" si="66"/>
        <v/>
      </c>
      <c r="O289" s="48" t="str">
        <f t="shared" si="67"/>
        <v/>
      </c>
      <c r="P289" s="76" t="str">
        <f t="shared" si="68"/>
        <v/>
      </c>
      <c r="Q289" s="77">
        <f t="shared" si="69"/>
        <v>0</v>
      </c>
      <c r="R289" s="77">
        <f t="shared" si="70"/>
        <v>0</v>
      </c>
      <c r="S289" s="76">
        <f t="shared" si="78"/>
        <v>0</v>
      </c>
      <c r="T289" s="47"/>
      <c r="V289" s="57"/>
      <c r="W289" s="45"/>
      <c r="X289" s="46">
        <f t="shared" si="71"/>
        <v>0</v>
      </c>
      <c r="Y289" s="75" t="str">
        <f t="shared" si="72"/>
        <v/>
      </c>
      <c r="Z289" s="49"/>
      <c r="AA289" s="49"/>
      <c r="AB289" s="49"/>
      <c r="AC289" s="204"/>
      <c r="AD289" s="48" t="str">
        <f t="shared" si="73"/>
        <v/>
      </c>
      <c r="AE289" s="48" t="str">
        <f t="shared" si="74"/>
        <v/>
      </c>
      <c r="AF289" s="76" t="str">
        <f t="shared" si="75"/>
        <v/>
      </c>
      <c r="AG289" s="77">
        <f t="shared" si="76"/>
        <v>0</v>
      </c>
      <c r="AH289" s="77">
        <f t="shared" si="77"/>
        <v>0</v>
      </c>
      <c r="AI289" s="76">
        <f t="shared" si="79"/>
        <v>0</v>
      </c>
      <c r="AJ289" s="203"/>
    </row>
    <row r="290" spans="1:36" s="56" customFormat="1" ht="14.25">
      <c r="A290" s="44"/>
      <c r="B290" s="45"/>
      <c r="C290" s="46">
        <f t="shared" si="64"/>
        <v>0</v>
      </c>
      <c r="D290" s="47"/>
      <c r="E290" s="47"/>
      <c r="F290" s="47"/>
      <c r="G290" s="47"/>
      <c r="H290" s="48"/>
      <c r="I290" s="75" t="str">
        <f t="shared" si="65"/>
        <v/>
      </c>
      <c r="J290" s="49"/>
      <c r="K290" s="49"/>
      <c r="L290" s="49"/>
      <c r="M290" s="47"/>
      <c r="N290" s="48" t="str">
        <f t="shared" si="66"/>
        <v/>
      </c>
      <c r="O290" s="48" t="str">
        <f t="shared" si="67"/>
        <v/>
      </c>
      <c r="P290" s="76" t="str">
        <f t="shared" si="68"/>
        <v/>
      </c>
      <c r="Q290" s="77">
        <f t="shared" si="69"/>
        <v>0</v>
      </c>
      <c r="R290" s="77">
        <f t="shared" si="70"/>
        <v>0</v>
      </c>
      <c r="S290" s="76">
        <f t="shared" si="78"/>
        <v>0</v>
      </c>
      <c r="T290" s="47"/>
      <c r="V290" s="57"/>
      <c r="W290" s="45"/>
      <c r="X290" s="46">
        <f t="shared" si="71"/>
        <v>0</v>
      </c>
      <c r="Y290" s="75" t="str">
        <f t="shared" si="72"/>
        <v/>
      </c>
      <c r="Z290" s="49"/>
      <c r="AA290" s="49"/>
      <c r="AB290" s="49"/>
      <c r="AC290" s="204"/>
      <c r="AD290" s="48" t="str">
        <f t="shared" si="73"/>
        <v/>
      </c>
      <c r="AE290" s="48" t="str">
        <f t="shared" si="74"/>
        <v/>
      </c>
      <c r="AF290" s="76" t="str">
        <f t="shared" si="75"/>
        <v/>
      </c>
      <c r="AG290" s="77">
        <f t="shared" si="76"/>
        <v>0</v>
      </c>
      <c r="AH290" s="77">
        <f t="shared" si="77"/>
        <v>0</v>
      </c>
      <c r="AI290" s="76">
        <f t="shared" si="79"/>
        <v>0</v>
      </c>
      <c r="AJ290" s="203"/>
    </row>
    <row r="291" spans="1:36" s="56" customFormat="1" ht="14.25">
      <c r="A291" s="44"/>
      <c r="B291" s="45"/>
      <c r="C291" s="46">
        <f t="shared" si="64"/>
        <v>0</v>
      </c>
      <c r="D291" s="47"/>
      <c r="E291" s="47"/>
      <c r="F291" s="47"/>
      <c r="G291" s="47"/>
      <c r="H291" s="48"/>
      <c r="I291" s="75" t="str">
        <f t="shared" si="65"/>
        <v/>
      </c>
      <c r="J291" s="49"/>
      <c r="K291" s="49"/>
      <c r="L291" s="49"/>
      <c r="M291" s="47"/>
      <c r="N291" s="48" t="str">
        <f t="shared" si="66"/>
        <v/>
      </c>
      <c r="O291" s="48" t="str">
        <f t="shared" si="67"/>
        <v/>
      </c>
      <c r="P291" s="76" t="str">
        <f t="shared" si="68"/>
        <v/>
      </c>
      <c r="Q291" s="77">
        <f t="shared" si="69"/>
        <v>0</v>
      </c>
      <c r="R291" s="77">
        <f t="shared" si="70"/>
        <v>0</v>
      </c>
      <c r="S291" s="76">
        <f t="shared" si="78"/>
        <v>0</v>
      </c>
      <c r="T291" s="47"/>
      <c r="V291" s="57"/>
      <c r="W291" s="45"/>
      <c r="X291" s="46">
        <f t="shared" si="71"/>
        <v>0</v>
      </c>
      <c r="Y291" s="75" t="str">
        <f t="shared" si="72"/>
        <v/>
      </c>
      <c r="Z291" s="49"/>
      <c r="AA291" s="49"/>
      <c r="AB291" s="49"/>
      <c r="AC291" s="204"/>
      <c r="AD291" s="48" t="str">
        <f t="shared" si="73"/>
        <v/>
      </c>
      <c r="AE291" s="48" t="str">
        <f t="shared" si="74"/>
        <v/>
      </c>
      <c r="AF291" s="76" t="str">
        <f t="shared" si="75"/>
        <v/>
      </c>
      <c r="AG291" s="77">
        <f t="shared" si="76"/>
        <v>0</v>
      </c>
      <c r="AH291" s="77">
        <f t="shared" si="77"/>
        <v>0</v>
      </c>
      <c r="AI291" s="76">
        <f t="shared" si="79"/>
        <v>0</v>
      </c>
      <c r="AJ291" s="203"/>
    </row>
    <row r="292" spans="1:36" s="56" customFormat="1" ht="14.25">
      <c r="A292" s="44"/>
      <c r="B292" s="45"/>
      <c r="C292" s="46">
        <f t="shared" si="64"/>
        <v>0</v>
      </c>
      <c r="D292" s="47"/>
      <c r="E292" s="47"/>
      <c r="F292" s="47"/>
      <c r="G292" s="47"/>
      <c r="H292" s="48"/>
      <c r="I292" s="75" t="str">
        <f t="shared" si="65"/>
        <v/>
      </c>
      <c r="J292" s="49"/>
      <c r="K292" s="49"/>
      <c r="L292" s="49"/>
      <c r="M292" s="47"/>
      <c r="N292" s="48" t="str">
        <f t="shared" si="66"/>
        <v/>
      </c>
      <c r="O292" s="48" t="str">
        <f t="shared" si="67"/>
        <v/>
      </c>
      <c r="P292" s="76" t="str">
        <f t="shared" si="68"/>
        <v/>
      </c>
      <c r="Q292" s="77">
        <f t="shared" si="69"/>
        <v>0</v>
      </c>
      <c r="R292" s="77">
        <f t="shared" si="70"/>
        <v>0</v>
      </c>
      <c r="S292" s="76">
        <f t="shared" si="78"/>
        <v>0</v>
      </c>
      <c r="T292" s="47"/>
      <c r="V292" s="57"/>
      <c r="W292" s="45"/>
      <c r="X292" s="46">
        <f t="shared" si="71"/>
        <v>0</v>
      </c>
      <c r="Y292" s="75" t="str">
        <f t="shared" si="72"/>
        <v/>
      </c>
      <c r="Z292" s="49"/>
      <c r="AA292" s="49"/>
      <c r="AB292" s="49"/>
      <c r="AC292" s="204"/>
      <c r="AD292" s="48" t="str">
        <f t="shared" si="73"/>
        <v/>
      </c>
      <c r="AE292" s="48" t="str">
        <f t="shared" si="74"/>
        <v/>
      </c>
      <c r="AF292" s="76" t="str">
        <f t="shared" si="75"/>
        <v/>
      </c>
      <c r="AG292" s="77">
        <f t="shared" si="76"/>
        <v>0</v>
      </c>
      <c r="AH292" s="77">
        <f t="shared" si="77"/>
        <v>0</v>
      </c>
      <c r="AI292" s="76">
        <f t="shared" si="79"/>
        <v>0</v>
      </c>
      <c r="AJ292" s="203"/>
    </row>
    <row r="293" spans="1:36" s="56" customFormat="1" ht="14.25">
      <c r="A293" s="44"/>
      <c r="B293" s="45"/>
      <c r="C293" s="46">
        <f t="shared" si="64"/>
        <v>0</v>
      </c>
      <c r="D293" s="47"/>
      <c r="E293" s="47"/>
      <c r="F293" s="47"/>
      <c r="G293" s="47"/>
      <c r="H293" s="48"/>
      <c r="I293" s="75" t="str">
        <f t="shared" si="65"/>
        <v/>
      </c>
      <c r="J293" s="49"/>
      <c r="K293" s="49"/>
      <c r="L293" s="49"/>
      <c r="M293" s="47"/>
      <c r="N293" s="48" t="str">
        <f t="shared" si="66"/>
        <v/>
      </c>
      <c r="O293" s="48" t="str">
        <f t="shared" si="67"/>
        <v/>
      </c>
      <c r="P293" s="76" t="str">
        <f t="shared" si="68"/>
        <v/>
      </c>
      <c r="Q293" s="77">
        <f t="shared" si="69"/>
        <v>0</v>
      </c>
      <c r="R293" s="77">
        <f t="shared" si="70"/>
        <v>0</v>
      </c>
      <c r="S293" s="76">
        <f t="shared" si="78"/>
        <v>0</v>
      </c>
      <c r="T293" s="47"/>
      <c r="V293" s="57"/>
      <c r="W293" s="45"/>
      <c r="X293" s="46">
        <f t="shared" si="71"/>
        <v>0</v>
      </c>
      <c r="Y293" s="75" t="str">
        <f t="shared" si="72"/>
        <v/>
      </c>
      <c r="Z293" s="49"/>
      <c r="AA293" s="49"/>
      <c r="AB293" s="49"/>
      <c r="AC293" s="204"/>
      <c r="AD293" s="48" t="str">
        <f t="shared" si="73"/>
        <v/>
      </c>
      <c r="AE293" s="48" t="str">
        <f t="shared" si="74"/>
        <v/>
      </c>
      <c r="AF293" s="76" t="str">
        <f t="shared" si="75"/>
        <v/>
      </c>
      <c r="AG293" s="77">
        <f t="shared" si="76"/>
        <v>0</v>
      </c>
      <c r="AH293" s="77">
        <f t="shared" si="77"/>
        <v>0</v>
      </c>
      <c r="AI293" s="76">
        <f t="shared" si="79"/>
        <v>0</v>
      </c>
      <c r="AJ293" s="203"/>
    </row>
    <row r="294" spans="1:36" s="56" customFormat="1" ht="14.25">
      <c r="A294" s="44"/>
      <c r="B294" s="45"/>
      <c r="C294" s="46">
        <f t="shared" si="64"/>
        <v>0</v>
      </c>
      <c r="D294" s="47"/>
      <c r="E294" s="47"/>
      <c r="F294" s="47"/>
      <c r="G294" s="47"/>
      <c r="H294" s="48"/>
      <c r="I294" s="75" t="str">
        <f t="shared" si="65"/>
        <v/>
      </c>
      <c r="J294" s="49"/>
      <c r="K294" s="49"/>
      <c r="L294" s="49"/>
      <c r="M294" s="47"/>
      <c r="N294" s="48" t="str">
        <f t="shared" si="66"/>
        <v/>
      </c>
      <c r="O294" s="48" t="str">
        <f t="shared" si="67"/>
        <v/>
      </c>
      <c r="P294" s="76" t="str">
        <f t="shared" si="68"/>
        <v/>
      </c>
      <c r="Q294" s="77">
        <f t="shared" si="69"/>
        <v>0</v>
      </c>
      <c r="R294" s="77">
        <f t="shared" si="70"/>
        <v>0</v>
      </c>
      <c r="S294" s="76">
        <f t="shared" si="78"/>
        <v>0</v>
      </c>
      <c r="T294" s="47"/>
      <c r="V294" s="57"/>
      <c r="W294" s="45"/>
      <c r="X294" s="46">
        <f t="shared" si="71"/>
        <v>0</v>
      </c>
      <c r="Y294" s="75" t="str">
        <f t="shared" si="72"/>
        <v/>
      </c>
      <c r="Z294" s="49"/>
      <c r="AA294" s="49"/>
      <c r="AB294" s="49"/>
      <c r="AC294" s="204"/>
      <c r="AD294" s="48" t="str">
        <f t="shared" si="73"/>
        <v/>
      </c>
      <c r="AE294" s="48" t="str">
        <f t="shared" si="74"/>
        <v/>
      </c>
      <c r="AF294" s="76" t="str">
        <f t="shared" si="75"/>
        <v/>
      </c>
      <c r="AG294" s="77">
        <f t="shared" si="76"/>
        <v>0</v>
      </c>
      <c r="AH294" s="77">
        <f t="shared" si="77"/>
        <v>0</v>
      </c>
      <c r="AI294" s="76">
        <f t="shared" si="79"/>
        <v>0</v>
      </c>
      <c r="AJ294" s="203"/>
    </row>
    <row r="295" spans="1:36" s="56" customFormat="1" ht="14.25">
      <c r="A295" s="44"/>
      <c r="B295" s="45"/>
      <c r="C295" s="46">
        <f t="shared" si="64"/>
        <v>0</v>
      </c>
      <c r="D295" s="47"/>
      <c r="E295" s="47"/>
      <c r="F295" s="47"/>
      <c r="G295" s="47"/>
      <c r="H295" s="48"/>
      <c r="I295" s="75" t="str">
        <f t="shared" si="65"/>
        <v/>
      </c>
      <c r="J295" s="49"/>
      <c r="K295" s="49"/>
      <c r="L295" s="49"/>
      <c r="M295" s="47"/>
      <c r="N295" s="48" t="str">
        <f t="shared" si="66"/>
        <v/>
      </c>
      <c r="O295" s="48" t="str">
        <f t="shared" si="67"/>
        <v/>
      </c>
      <c r="P295" s="76" t="str">
        <f t="shared" si="68"/>
        <v/>
      </c>
      <c r="Q295" s="77">
        <f t="shared" si="69"/>
        <v>0</v>
      </c>
      <c r="R295" s="77">
        <f t="shared" si="70"/>
        <v>0</v>
      </c>
      <c r="S295" s="76">
        <f t="shared" si="78"/>
        <v>0</v>
      </c>
      <c r="T295" s="47"/>
      <c r="V295" s="57"/>
      <c r="W295" s="45"/>
      <c r="X295" s="46">
        <f t="shared" si="71"/>
        <v>0</v>
      </c>
      <c r="Y295" s="75" t="str">
        <f t="shared" si="72"/>
        <v/>
      </c>
      <c r="Z295" s="49"/>
      <c r="AA295" s="49"/>
      <c r="AB295" s="49"/>
      <c r="AC295" s="204"/>
      <c r="AD295" s="48" t="str">
        <f t="shared" si="73"/>
        <v/>
      </c>
      <c r="AE295" s="48" t="str">
        <f t="shared" si="74"/>
        <v/>
      </c>
      <c r="AF295" s="76" t="str">
        <f t="shared" si="75"/>
        <v/>
      </c>
      <c r="AG295" s="77">
        <f t="shared" si="76"/>
        <v>0</v>
      </c>
      <c r="AH295" s="77">
        <f t="shared" si="77"/>
        <v>0</v>
      </c>
      <c r="AI295" s="76">
        <f t="shared" si="79"/>
        <v>0</v>
      </c>
      <c r="AJ295" s="203"/>
    </row>
    <row r="296" spans="1:36" s="56" customFormat="1" ht="14.25">
      <c r="A296" s="44"/>
      <c r="B296" s="45"/>
      <c r="C296" s="46">
        <f t="shared" si="64"/>
        <v>0</v>
      </c>
      <c r="D296" s="47"/>
      <c r="E296" s="47"/>
      <c r="F296" s="47"/>
      <c r="G296" s="47"/>
      <c r="H296" s="48"/>
      <c r="I296" s="75" t="str">
        <f t="shared" si="65"/>
        <v/>
      </c>
      <c r="J296" s="49"/>
      <c r="K296" s="49"/>
      <c r="L296" s="49"/>
      <c r="M296" s="47"/>
      <c r="N296" s="48" t="str">
        <f t="shared" si="66"/>
        <v/>
      </c>
      <c r="O296" s="48" t="str">
        <f t="shared" si="67"/>
        <v/>
      </c>
      <c r="P296" s="76" t="str">
        <f t="shared" si="68"/>
        <v/>
      </c>
      <c r="Q296" s="77">
        <f t="shared" si="69"/>
        <v>0</v>
      </c>
      <c r="R296" s="77">
        <f t="shared" si="70"/>
        <v>0</v>
      </c>
      <c r="S296" s="76">
        <f t="shared" si="78"/>
        <v>0</v>
      </c>
      <c r="T296" s="47"/>
      <c r="V296" s="57"/>
      <c r="W296" s="45"/>
      <c r="X296" s="46">
        <f t="shared" si="71"/>
        <v>0</v>
      </c>
      <c r="Y296" s="75" t="str">
        <f t="shared" si="72"/>
        <v/>
      </c>
      <c r="Z296" s="49"/>
      <c r="AA296" s="49"/>
      <c r="AB296" s="49"/>
      <c r="AC296" s="204"/>
      <c r="AD296" s="48" t="str">
        <f t="shared" si="73"/>
        <v/>
      </c>
      <c r="AE296" s="48" t="str">
        <f t="shared" si="74"/>
        <v/>
      </c>
      <c r="AF296" s="76" t="str">
        <f t="shared" si="75"/>
        <v/>
      </c>
      <c r="AG296" s="77">
        <f t="shared" si="76"/>
        <v>0</v>
      </c>
      <c r="AH296" s="77">
        <f t="shared" si="77"/>
        <v>0</v>
      </c>
      <c r="AI296" s="76">
        <f t="shared" si="79"/>
        <v>0</v>
      </c>
      <c r="AJ296" s="203"/>
    </row>
    <row r="297" spans="1:36" s="56" customFormat="1" ht="14.25">
      <c r="A297" s="44"/>
      <c r="B297" s="45"/>
      <c r="C297" s="46">
        <f t="shared" si="64"/>
        <v>0</v>
      </c>
      <c r="D297" s="47"/>
      <c r="E297" s="47"/>
      <c r="F297" s="47"/>
      <c r="G297" s="47"/>
      <c r="H297" s="48"/>
      <c r="I297" s="75" t="str">
        <f t="shared" si="65"/>
        <v/>
      </c>
      <c r="J297" s="49"/>
      <c r="K297" s="49"/>
      <c r="L297" s="49"/>
      <c r="M297" s="47"/>
      <c r="N297" s="48" t="str">
        <f t="shared" si="66"/>
        <v/>
      </c>
      <c r="O297" s="48" t="str">
        <f t="shared" si="67"/>
        <v/>
      </c>
      <c r="P297" s="76" t="str">
        <f t="shared" si="68"/>
        <v/>
      </c>
      <c r="Q297" s="77">
        <f t="shared" si="69"/>
        <v>0</v>
      </c>
      <c r="R297" s="77">
        <f t="shared" si="70"/>
        <v>0</v>
      </c>
      <c r="S297" s="76">
        <f t="shared" si="78"/>
        <v>0</v>
      </c>
      <c r="T297" s="47"/>
      <c r="V297" s="57"/>
      <c r="W297" s="45"/>
      <c r="X297" s="46">
        <f t="shared" si="71"/>
        <v>0</v>
      </c>
      <c r="Y297" s="75" t="str">
        <f t="shared" si="72"/>
        <v/>
      </c>
      <c r="Z297" s="49"/>
      <c r="AA297" s="49"/>
      <c r="AB297" s="49"/>
      <c r="AC297" s="204"/>
      <c r="AD297" s="48" t="str">
        <f t="shared" si="73"/>
        <v/>
      </c>
      <c r="AE297" s="48" t="str">
        <f t="shared" si="74"/>
        <v/>
      </c>
      <c r="AF297" s="76" t="str">
        <f t="shared" si="75"/>
        <v/>
      </c>
      <c r="AG297" s="77">
        <f t="shared" si="76"/>
        <v>0</v>
      </c>
      <c r="AH297" s="77">
        <f t="shared" si="77"/>
        <v>0</v>
      </c>
      <c r="AI297" s="76">
        <f t="shared" si="79"/>
        <v>0</v>
      </c>
      <c r="AJ297" s="203"/>
    </row>
    <row r="298" spans="1:36" s="56" customFormat="1" ht="14.25">
      <c r="A298" s="44"/>
      <c r="B298" s="45"/>
      <c r="C298" s="46">
        <f t="shared" si="64"/>
        <v>0</v>
      </c>
      <c r="D298" s="47"/>
      <c r="E298" s="47"/>
      <c r="F298" s="47"/>
      <c r="G298" s="47"/>
      <c r="H298" s="48"/>
      <c r="I298" s="75" t="str">
        <f t="shared" si="65"/>
        <v/>
      </c>
      <c r="J298" s="49"/>
      <c r="K298" s="49"/>
      <c r="L298" s="49"/>
      <c r="M298" s="47"/>
      <c r="N298" s="48" t="str">
        <f t="shared" si="66"/>
        <v/>
      </c>
      <c r="O298" s="48" t="str">
        <f t="shared" si="67"/>
        <v/>
      </c>
      <c r="P298" s="76" t="str">
        <f t="shared" si="68"/>
        <v/>
      </c>
      <c r="Q298" s="77">
        <f t="shared" si="69"/>
        <v>0</v>
      </c>
      <c r="R298" s="77">
        <f t="shared" si="70"/>
        <v>0</v>
      </c>
      <c r="S298" s="76">
        <f t="shared" si="78"/>
        <v>0</v>
      </c>
      <c r="T298" s="47"/>
      <c r="V298" s="57"/>
      <c r="W298" s="45"/>
      <c r="X298" s="46">
        <f t="shared" si="71"/>
        <v>0</v>
      </c>
      <c r="Y298" s="75" t="str">
        <f t="shared" si="72"/>
        <v/>
      </c>
      <c r="Z298" s="49"/>
      <c r="AA298" s="49"/>
      <c r="AB298" s="49"/>
      <c r="AC298" s="204"/>
      <c r="AD298" s="48" t="str">
        <f t="shared" si="73"/>
        <v/>
      </c>
      <c r="AE298" s="48" t="str">
        <f t="shared" si="74"/>
        <v/>
      </c>
      <c r="AF298" s="76" t="str">
        <f t="shared" si="75"/>
        <v/>
      </c>
      <c r="AG298" s="77">
        <f t="shared" si="76"/>
        <v>0</v>
      </c>
      <c r="AH298" s="77">
        <f t="shared" si="77"/>
        <v>0</v>
      </c>
      <c r="AI298" s="76">
        <f t="shared" si="79"/>
        <v>0</v>
      </c>
      <c r="AJ298" s="203"/>
    </row>
    <row r="299" spans="1:36" s="56" customFormat="1" ht="14.25">
      <c r="A299" s="44"/>
      <c r="B299" s="45"/>
      <c r="C299" s="46">
        <f t="shared" si="64"/>
        <v>0</v>
      </c>
      <c r="D299" s="47"/>
      <c r="E299" s="47"/>
      <c r="F299" s="47"/>
      <c r="G299" s="47"/>
      <c r="H299" s="48"/>
      <c r="I299" s="75" t="str">
        <f t="shared" si="65"/>
        <v/>
      </c>
      <c r="J299" s="49"/>
      <c r="K299" s="49"/>
      <c r="L299" s="49"/>
      <c r="M299" s="47"/>
      <c r="N299" s="48" t="str">
        <f t="shared" si="66"/>
        <v/>
      </c>
      <c r="O299" s="48" t="str">
        <f t="shared" si="67"/>
        <v/>
      </c>
      <c r="P299" s="76" t="str">
        <f t="shared" si="68"/>
        <v/>
      </c>
      <c r="Q299" s="77">
        <f t="shared" si="69"/>
        <v>0</v>
      </c>
      <c r="R299" s="77">
        <f t="shared" si="70"/>
        <v>0</v>
      </c>
      <c r="S299" s="76">
        <f t="shared" si="78"/>
        <v>0</v>
      </c>
      <c r="T299" s="47"/>
      <c r="V299" s="57"/>
      <c r="W299" s="45"/>
      <c r="X299" s="46">
        <f t="shared" si="71"/>
        <v>0</v>
      </c>
      <c r="Y299" s="75" t="str">
        <f t="shared" si="72"/>
        <v/>
      </c>
      <c r="Z299" s="49"/>
      <c r="AA299" s="49"/>
      <c r="AB299" s="49"/>
      <c r="AC299" s="204"/>
      <c r="AD299" s="48" t="str">
        <f t="shared" si="73"/>
        <v/>
      </c>
      <c r="AE299" s="48" t="str">
        <f t="shared" si="74"/>
        <v/>
      </c>
      <c r="AF299" s="76" t="str">
        <f t="shared" si="75"/>
        <v/>
      </c>
      <c r="AG299" s="77">
        <f t="shared" si="76"/>
        <v>0</v>
      </c>
      <c r="AH299" s="77">
        <f t="shared" si="77"/>
        <v>0</v>
      </c>
      <c r="AI299" s="76">
        <f t="shared" si="79"/>
        <v>0</v>
      </c>
      <c r="AJ299" s="203"/>
    </row>
    <row r="300" spans="1:36" s="56" customFormat="1" ht="14.25">
      <c r="A300" s="44"/>
      <c r="B300" s="45"/>
      <c r="C300" s="46">
        <f t="shared" si="64"/>
        <v>0</v>
      </c>
      <c r="D300" s="47"/>
      <c r="E300" s="47"/>
      <c r="F300" s="47"/>
      <c r="G300" s="47"/>
      <c r="H300" s="48"/>
      <c r="I300" s="75" t="str">
        <f t="shared" si="65"/>
        <v/>
      </c>
      <c r="J300" s="49"/>
      <c r="K300" s="49"/>
      <c r="L300" s="49"/>
      <c r="M300" s="47"/>
      <c r="N300" s="48" t="str">
        <f t="shared" si="66"/>
        <v/>
      </c>
      <c r="O300" s="48" t="str">
        <f t="shared" si="67"/>
        <v/>
      </c>
      <c r="P300" s="76" t="str">
        <f t="shared" si="68"/>
        <v/>
      </c>
      <c r="Q300" s="77">
        <f t="shared" si="69"/>
        <v>0</v>
      </c>
      <c r="R300" s="77">
        <f t="shared" si="70"/>
        <v>0</v>
      </c>
      <c r="S300" s="76">
        <f t="shared" si="78"/>
        <v>0</v>
      </c>
      <c r="T300" s="47"/>
      <c r="V300" s="57"/>
      <c r="W300" s="45"/>
      <c r="X300" s="46">
        <f t="shared" si="71"/>
        <v>0</v>
      </c>
      <c r="Y300" s="75" t="str">
        <f t="shared" si="72"/>
        <v/>
      </c>
      <c r="Z300" s="49"/>
      <c r="AA300" s="49"/>
      <c r="AB300" s="49"/>
      <c r="AC300" s="204"/>
      <c r="AD300" s="48" t="str">
        <f t="shared" si="73"/>
        <v/>
      </c>
      <c r="AE300" s="48" t="str">
        <f t="shared" si="74"/>
        <v/>
      </c>
      <c r="AF300" s="76" t="str">
        <f t="shared" si="75"/>
        <v/>
      </c>
      <c r="AG300" s="77">
        <f t="shared" si="76"/>
        <v>0</v>
      </c>
      <c r="AH300" s="77">
        <f t="shared" si="77"/>
        <v>0</v>
      </c>
      <c r="AI300" s="76">
        <f t="shared" si="79"/>
        <v>0</v>
      </c>
      <c r="AJ300" s="203"/>
    </row>
    <row r="301" spans="1:36" s="56" customFormat="1" ht="14.25">
      <c r="A301" s="44"/>
      <c r="B301" s="45"/>
      <c r="C301" s="46">
        <f t="shared" si="64"/>
        <v>0</v>
      </c>
      <c r="D301" s="47"/>
      <c r="E301" s="47"/>
      <c r="F301" s="47"/>
      <c r="G301" s="47"/>
      <c r="H301" s="48"/>
      <c r="I301" s="75" t="str">
        <f t="shared" si="65"/>
        <v/>
      </c>
      <c r="J301" s="49"/>
      <c r="K301" s="49"/>
      <c r="L301" s="49"/>
      <c r="M301" s="47"/>
      <c r="N301" s="48" t="str">
        <f t="shared" si="66"/>
        <v/>
      </c>
      <c r="O301" s="48" t="str">
        <f t="shared" si="67"/>
        <v/>
      </c>
      <c r="P301" s="76" t="str">
        <f t="shared" si="68"/>
        <v/>
      </c>
      <c r="Q301" s="77">
        <f t="shared" si="69"/>
        <v>0</v>
      </c>
      <c r="R301" s="77">
        <f t="shared" si="70"/>
        <v>0</v>
      </c>
      <c r="S301" s="76">
        <f t="shared" si="78"/>
        <v>0</v>
      </c>
      <c r="T301" s="47"/>
      <c r="V301" s="57"/>
      <c r="W301" s="45"/>
      <c r="X301" s="46">
        <f t="shared" si="71"/>
        <v>0</v>
      </c>
      <c r="Y301" s="75" t="str">
        <f t="shared" si="72"/>
        <v/>
      </c>
      <c r="Z301" s="49"/>
      <c r="AA301" s="49"/>
      <c r="AB301" s="49"/>
      <c r="AC301" s="204"/>
      <c r="AD301" s="48" t="str">
        <f t="shared" si="73"/>
        <v/>
      </c>
      <c r="AE301" s="48" t="str">
        <f t="shared" si="74"/>
        <v/>
      </c>
      <c r="AF301" s="76" t="str">
        <f t="shared" si="75"/>
        <v/>
      </c>
      <c r="AG301" s="77">
        <f t="shared" si="76"/>
        <v>0</v>
      </c>
      <c r="AH301" s="77">
        <f t="shared" si="77"/>
        <v>0</v>
      </c>
      <c r="AI301" s="76">
        <f t="shared" si="79"/>
        <v>0</v>
      </c>
      <c r="AJ301" s="203"/>
    </row>
    <row r="302" spans="1:36" s="56" customFormat="1" ht="14.25">
      <c r="A302" s="44"/>
      <c r="B302" s="45"/>
      <c r="C302" s="46">
        <f t="shared" si="64"/>
        <v>0</v>
      </c>
      <c r="D302" s="47"/>
      <c r="E302" s="47"/>
      <c r="F302" s="47"/>
      <c r="G302" s="47"/>
      <c r="H302" s="48"/>
      <c r="I302" s="75" t="str">
        <f t="shared" si="65"/>
        <v/>
      </c>
      <c r="J302" s="49"/>
      <c r="K302" s="49"/>
      <c r="L302" s="49"/>
      <c r="M302" s="47"/>
      <c r="N302" s="48" t="str">
        <f t="shared" si="66"/>
        <v/>
      </c>
      <c r="O302" s="48" t="str">
        <f t="shared" si="67"/>
        <v/>
      </c>
      <c r="P302" s="76" t="str">
        <f t="shared" si="68"/>
        <v/>
      </c>
      <c r="Q302" s="77">
        <f t="shared" si="69"/>
        <v>0</v>
      </c>
      <c r="R302" s="77">
        <f t="shared" si="70"/>
        <v>0</v>
      </c>
      <c r="S302" s="76">
        <f t="shared" si="78"/>
        <v>0</v>
      </c>
      <c r="T302" s="47"/>
      <c r="V302" s="57"/>
      <c r="W302" s="45"/>
      <c r="X302" s="46">
        <f t="shared" si="71"/>
        <v>0</v>
      </c>
      <c r="Y302" s="75" t="str">
        <f t="shared" si="72"/>
        <v/>
      </c>
      <c r="Z302" s="49"/>
      <c r="AA302" s="49"/>
      <c r="AB302" s="49"/>
      <c r="AC302" s="204"/>
      <c r="AD302" s="48" t="str">
        <f t="shared" si="73"/>
        <v/>
      </c>
      <c r="AE302" s="48" t="str">
        <f t="shared" si="74"/>
        <v/>
      </c>
      <c r="AF302" s="76" t="str">
        <f t="shared" si="75"/>
        <v/>
      </c>
      <c r="AG302" s="77">
        <f t="shared" si="76"/>
        <v>0</v>
      </c>
      <c r="AH302" s="77">
        <f t="shared" si="77"/>
        <v>0</v>
      </c>
      <c r="AI302" s="76">
        <f t="shared" si="79"/>
        <v>0</v>
      </c>
      <c r="AJ302" s="203"/>
    </row>
    <row r="303" spans="1:36" s="56" customFormat="1" ht="14.25">
      <c r="A303" s="44"/>
      <c r="B303" s="45"/>
      <c r="C303" s="46">
        <f t="shared" si="64"/>
        <v>0</v>
      </c>
      <c r="D303" s="47"/>
      <c r="E303" s="47"/>
      <c r="F303" s="47"/>
      <c r="G303" s="47"/>
      <c r="H303" s="48"/>
      <c r="I303" s="75" t="str">
        <f t="shared" si="65"/>
        <v/>
      </c>
      <c r="J303" s="49"/>
      <c r="K303" s="49"/>
      <c r="L303" s="49"/>
      <c r="M303" s="47"/>
      <c r="N303" s="48" t="str">
        <f t="shared" si="66"/>
        <v/>
      </c>
      <c r="O303" s="48" t="str">
        <f t="shared" si="67"/>
        <v/>
      </c>
      <c r="P303" s="76" t="str">
        <f t="shared" si="68"/>
        <v/>
      </c>
      <c r="Q303" s="77">
        <f t="shared" si="69"/>
        <v>0</v>
      </c>
      <c r="R303" s="77">
        <f t="shared" si="70"/>
        <v>0</v>
      </c>
      <c r="S303" s="76">
        <f t="shared" si="78"/>
        <v>0</v>
      </c>
      <c r="T303" s="47"/>
      <c r="V303" s="57"/>
      <c r="W303" s="45"/>
      <c r="X303" s="46">
        <f t="shared" si="71"/>
        <v>0</v>
      </c>
      <c r="Y303" s="75" t="str">
        <f t="shared" si="72"/>
        <v/>
      </c>
      <c r="Z303" s="49"/>
      <c r="AA303" s="49"/>
      <c r="AB303" s="49"/>
      <c r="AC303" s="204"/>
      <c r="AD303" s="48" t="str">
        <f t="shared" si="73"/>
        <v/>
      </c>
      <c r="AE303" s="48" t="str">
        <f t="shared" si="74"/>
        <v/>
      </c>
      <c r="AF303" s="76" t="str">
        <f t="shared" si="75"/>
        <v/>
      </c>
      <c r="AG303" s="77">
        <f t="shared" si="76"/>
        <v>0</v>
      </c>
      <c r="AH303" s="77">
        <f t="shared" si="77"/>
        <v>0</v>
      </c>
      <c r="AI303" s="76">
        <f t="shared" si="79"/>
        <v>0</v>
      </c>
      <c r="AJ303" s="203"/>
    </row>
    <row r="304" spans="1:36" s="56" customFormat="1" ht="14.25">
      <c r="A304" s="44"/>
      <c r="B304" s="45"/>
      <c r="C304" s="46">
        <f t="shared" si="64"/>
        <v>0</v>
      </c>
      <c r="D304" s="47"/>
      <c r="E304" s="47"/>
      <c r="F304" s="47"/>
      <c r="G304" s="47"/>
      <c r="H304" s="48"/>
      <c r="I304" s="75" t="str">
        <f t="shared" si="65"/>
        <v/>
      </c>
      <c r="J304" s="49"/>
      <c r="K304" s="49"/>
      <c r="L304" s="49"/>
      <c r="M304" s="47"/>
      <c r="N304" s="48" t="str">
        <f t="shared" si="66"/>
        <v/>
      </c>
      <c r="O304" s="48" t="str">
        <f t="shared" si="67"/>
        <v/>
      </c>
      <c r="P304" s="76" t="str">
        <f t="shared" si="68"/>
        <v/>
      </c>
      <c r="Q304" s="77">
        <f t="shared" si="69"/>
        <v>0</v>
      </c>
      <c r="R304" s="77">
        <f t="shared" si="70"/>
        <v>0</v>
      </c>
      <c r="S304" s="76">
        <f t="shared" si="78"/>
        <v>0</v>
      </c>
      <c r="T304" s="47"/>
      <c r="V304" s="57"/>
      <c r="W304" s="45"/>
      <c r="X304" s="46">
        <f t="shared" si="71"/>
        <v>0</v>
      </c>
      <c r="Y304" s="75" t="str">
        <f t="shared" si="72"/>
        <v/>
      </c>
      <c r="Z304" s="49"/>
      <c r="AA304" s="49"/>
      <c r="AB304" s="49"/>
      <c r="AC304" s="204"/>
      <c r="AD304" s="48" t="str">
        <f t="shared" si="73"/>
        <v/>
      </c>
      <c r="AE304" s="48" t="str">
        <f t="shared" si="74"/>
        <v/>
      </c>
      <c r="AF304" s="76" t="str">
        <f t="shared" si="75"/>
        <v/>
      </c>
      <c r="AG304" s="77">
        <f t="shared" si="76"/>
        <v>0</v>
      </c>
      <c r="AH304" s="77">
        <f t="shared" si="77"/>
        <v>0</v>
      </c>
      <c r="AI304" s="76">
        <f t="shared" si="79"/>
        <v>0</v>
      </c>
      <c r="AJ304" s="203"/>
    </row>
    <row r="305" spans="1:36" s="56" customFormat="1" ht="14.25">
      <c r="A305" s="44"/>
      <c r="B305" s="45"/>
      <c r="C305" s="46">
        <f t="shared" si="64"/>
        <v>0</v>
      </c>
      <c r="D305" s="47"/>
      <c r="E305" s="47"/>
      <c r="F305" s="47"/>
      <c r="G305" s="47"/>
      <c r="H305" s="48"/>
      <c r="I305" s="75" t="str">
        <f t="shared" si="65"/>
        <v/>
      </c>
      <c r="J305" s="49"/>
      <c r="K305" s="49"/>
      <c r="L305" s="49"/>
      <c r="M305" s="47"/>
      <c r="N305" s="48" t="str">
        <f t="shared" si="66"/>
        <v/>
      </c>
      <c r="O305" s="48" t="str">
        <f t="shared" si="67"/>
        <v/>
      </c>
      <c r="P305" s="76" t="str">
        <f t="shared" si="68"/>
        <v/>
      </c>
      <c r="Q305" s="77">
        <f t="shared" si="69"/>
        <v>0</v>
      </c>
      <c r="R305" s="77">
        <f t="shared" si="70"/>
        <v>0</v>
      </c>
      <c r="S305" s="76">
        <f t="shared" si="78"/>
        <v>0</v>
      </c>
      <c r="T305" s="47"/>
      <c r="V305" s="57"/>
      <c r="W305" s="45"/>
      <c r="X305" s="46">
        <f t="shared" si="71"/>
        <v>0</v>
      </c>
      <c r="Y305" s="75" t="str">
        <f t="shared" si="72"/>
        <v/>
      </c>
      <c r="Z305" s="49"/>
      <c r="AA305" s="49"/>
      <c r="AB305" s="49"/>
      <c r="AC305" s="204"/>
      <c r="AD305" s="48" t="str">
        <f t="shared" si="73"/>
        <v/>
      </c>
      <c r="AE305" s="48" t="str">
        <f t="shared" si="74"/>
        <v/>
      </c>
      <c r="AF305" s="76" t="str">
        <f t="shared" si="75"/>
        <v/>
      </c>
      <c r="AG305" s="77">
        <f t="shared" si="76"/>
        <v>0</v>
      </c>
      <c r="AH305" s="77">
        <f t="shared" si="77"/>
        <v>0</v>
      </c>
      <c r="AI305" s="76">
        <f t="shared" si="79"/>
        <v>0</v>
      </c>
      <c r="AJ305" s="203"/>
    </row>
    <row r="306" spans="1:36" s="56" customFormat="1" ht="14.25">
      <c r="A306" s="44"/>
      <c r="B306" s="45"/>
      <c r="C306" s="46">
        <f t="shared" si="64"/>
        <v>0</v>
      </c>
      <c r="D306" s="47"/>
      <c r="E306" s="47"/>
      <c r="F306" s="47"/>
      <c r="G306" s="47"/>
      <c r="H306" s="48"/>
      <c r="I306" s="75" t="str">
        <f t="shared" si="65"/>
        <v/>
      </c>
      <c r="J306" s="49"/>
      <c r="K306" s="49"/>
      <c r="L306" s="49"/>
      <c r="M306" s="47"/>
      <c r="N306" s="48" t="str">
        <f t="shared" si="66"/>
        <v/>
      </c>
      <c r="O306" s="48" t="str">
        <f t="shared" si="67"/>
        <v/>
      </c>
      <c r="P306" s="76" t="str">
        <f t="shared" si="68"/>
        <v/>
      </c>
      <c r="Q306" s="77">
        <f t="shared" si="69"/>
        <v>0</v>
      </c>
      <c r="R306" s="77">
        <f t="shared" si="70"/>
        <v>0</v>
      </c>
      <c r="S306" s="76">
        <f t="shared" si="78"/>
        <v>0</v>
      </c>
      <c r="T306" s="47"/>
      <c r="V306" s="57"/>
      <c r="W306" s="45"/>
      <c r="X306" s="46">
        <f t="shared" si="71"/>
        <v>0</v>
      </c>
      <c r="Y306" s="75" t="str">
        <f t="shared" si="72"/>
        <v/>
      </c>
      <c r="Z306" s="49"/>
      <c r="AA306" s="49"/>
      <c r="AB306" s="49"/>
      <c r="AC306" s="204"/>
      <c r="AD306" s="48" t="str">
        <f t="shared" si="73"/>
        <v/>
      </c>
      <c r="AE306" s="48" t="str">
        <f t="shared" si="74"/>
        <v/>
      </c>
      <c r="AF306" s="76" t="str">
        <f t="shared" si="75"/>
        <v/>
      </c>
      <c r="AG306" s="77">
        <f t="shared" si="76"/>
        <v>0</v>
      </c>
      <c r="AH306" s="77">
        <f t="shared" si="77"/>
        <v>0</v>
      </c>
      <c r="AI306" s="76">
        <f t="shared" si="79"/>
        <v>0</v>
      </c>
      <c r="AJ306" s="203"/>
    </row>
    <row r="307" spans="1:36" s="56" customFormat="1" ht="14.25">
      <c r="A307" s="44"/>
      <c r="B307" s="45"/>
      <c r="C307" s="46">
        <f t="shared" si="64"/>
        <v>0</v>
      </c>
      <c r="D307" s="47"/>
      <c r="E307" s="47"/>
      <c r="F307" s="47"/>
      <c r="G307" s="47"/>
      <c r="H307" s="48"/>
      <c r="I307" s="75" t="str">
        <f t="shared" si="65"/>
        <v/>
      </c>
      <c r="J307" s="49"/>
      <c r="K307" s="49"/>
      <c r="L307" s="49"/>
      <c r="M307" s="47"/>
      <c r="N307" s="48" t="str">
        <f t="shared" si="66"/>
        <v/>
      </c>
      <c r="O307" s="48" t="str">
        <f t="shared" si="67"/>
        <v/>
      </c>
      <c r="P307" s="76" t="str">
        <f t="shared" si="68"/>
        <v/>
      </c>
      <c r="Q307" s="77">
        <f t="shared" si="69"/>
        <v>0</v>
      </c>
      <c r="R307" s="77">
        <f t="shared" si="70"/>
        <v>0</v>
      </c>
      <c r="S307" s="76">
        <f t="shared" si="78"/>
        <v>0</v>
      </c>
      <c r="T307" s="47"/>
      <c r="V307" s="57"/>
      <c r="W307" s="45"/>
      <c r="X307" s="46">
        <f t="shared" si="71"/>
        <v>0</v>
      </c>
      <c r="Y307" s="75" t="str">
        <f t="shared" si="72"/>
        <v/>
      </c>
      <c r="Z307" s="49"/>
      <c r="AA307" s="49"/>
      <c r="AB307" s="49"/>
      <c r="AC307" s="204"/>
      <c r="AD307" s="48" t="str">
        <f t="shared" si="73"/>
        <v/>
      </c>
      <c r="AE307" s="48" t="str">
        <f t="shared" si="74"/>
        <v/>
      </c>
      <c r="AF307" s="76" t="str">
        <f t="shared" si="75"/>
        <v/>
      </c>
      <c r="AG307" s="77">
        <f t="shared" si="76"/>
        <v>0</v>
      </c>
      <c r="AH307" s="77">
        <f t="shared" si="77"/>
        <v>0</v>
      </c>
      <c r="AI307" s="76">
        <f t="shared" si="79"/>
        <v>0</v>
      </c>
      <c r="AJ307" s="203"/>
    </row>
    <row r="308" spans="1:36" s="56" customFormat="1" ht="14.25">
      <c r="A308" s="44"/>
      <c r="B308" s="45"/>
      <c r="C308" s="46">
        <f t="shared" si="64"/>
        <v>0</v>
      </c>
      <c r="D308" s="47"/>
      <c r="E308" s="47"/>
      <c r="F308" s="47"/>
      <c r="G308" s="47"/>
      <c r="H308" s="48"/>
      <c r="I308" s="75" t="str">
        <f t="shared" si="65"/>
        <v/>
      </c>
      <c r="J308" s="49"/>
      <c r="K308" s="49"/>
      <c r="L308" s="49"/>
      <c r="M308" s="47"/>
      <c r="N308" s="48" t="str">
        <f t="shared" si="66"/>
        <v/>
      </c>
      <c r="O308" s="48" t="str">
        <f t="shared" si="67"/>
        <v/>
      </c>
      <c r="P308" s="76" t="str">
        <f t="shared" si="68"/>
        <v/>
      </c>
      <c r="Q308" s="77">
        <f t="shared" si="69"/>
        <v>0</v>
      </c>
      <c r="R308" s="77">
        <f t="shared" si="70"/>
        <v>0</v>
      </c>
      <c r="S308" s="76">
        <f t="shared" si="78"/>
        <v>0</v>
      </c>
      <c r="T308" s="47"/>
      <c r="V308" s="57"/>
      <c r="W308" s="45"/>
      <c r="X308" s="46">
        <f t="shared" si="71"/>
        <v>0</v>
      </c>
      <c r="Y308" s="75" t="str">
        <f t="shared" si="72"/>
        <v/>
      </c>
      <c r="Z308" s="49"/>
      <c r="AA308" s="49"/>
      <c r="AB308" s="49"/>
      <c r="AC308" s="204"/>
      <c r="AD308" s="48" t="str">
        <f t="shared" si="73"/>
        <v/>
      </c>
      <c r="AE308" s="48" t="str">
        <f t="shared" si="74"/>
        <v/>
      </c>
      <c r="AF308" s="76" t="str">
        <f t="shared" si="75"/>
        <v/>
      </c>
      <c r="AG308" s="77">
        <f t="shared" si="76"/>
        <v>0</v>
      </c>
      <c r="AH308" s="77">
        <f t="shared" si="77"/>
        <v>0</v>
      </c>
      <c r="AI308" s="76">
        <f t="shared" si="79"/>
        <v>0</v>
      </c>
      <c r="AJ308" s="203"/>
    </row>
    <row r="309" spans="1:36" s="56" customFormat="1" ht="14.25">
      <c r="A309" s="44"/>
      <c r="B309" s="45"/>
      <c r="C309" s="46">
        <f t="shared" si="64"/>
        <v>0</v>
      </c>
      <c r="D309" s="47"/>
      <c r="E309" s="47"/>
      <c r="F309" s="47"/>
      <c r="G309" s="47"/>
      <c r="H309" s="48"/>
      <c r="I309" s="75" t="str">
        <f t="shared" si="65"/>
        <v/>
      </c>
      <c r="J309" s="49"/>
      <c r="K309" s="49"/>
      <c r="L309" s="49"/>
      <c r="M309" s="47"/>
      <c r="N309" s="48" t="str">
        <f t="shared" si="66"/>
        <v/>
      </c>
      <c r="O309" s="48" t="str">
        <f t="shared" si="67"/>
        <v/>
      </c>
      <c r="P309" s="76" t="str">
        <f t="shared" si="68"/>
        <v/>
      </c>
      <c r="Q309" s="77">
        <f t="shared" si="69"/>
        <v>0</v>
      </c>
      <c r="R309" s="77">
        <f t="shared" si="70"/>
        <v>0</v>
      </c>
      <c r="S309" s="76">
        <f t="shared" si="78"/>
        <v>0</v>
      </c>
      <c r="T309" s="47"/>
      <c r="V309" s="57"/>
      <c r="W309" s="45"/>
      <c r="X309" s="46">
        <f t="shared" si="71"/>
        <v>0</v>
      </c>
      <c r="Y309" s="75" t="str">
        <f t="shared" si="72"/>
        <v/>
      </c>
      <c r="Z309" s="49"/>
      <c r="AA309" s="49"/>
      <c r="AB309" s="49"/>
      <c r="AC309" s="204"/>
      <c r="AD309" s="48" t="str">
        <f t="shared" si="73"/>
        <v/>
      </c>
      <c r="AE309" s="48" t="str">
        <f t="shared" si="74"/>
        <v/>
      </c>
      <c r="AF309" s="76" t="str">
        <f t="shared" si="75"/>
        <v/>
      </c>
      <c r="AG309" s="77">
        <f t="shared" si="76"/>
        <v>0</v>
      </c>
      <c r="AH309" s="77">
        <f t="shared" si="77"/>
        <v>0</v>
      </c>
      <c r="AI309" s="76">
        <f t="shared" si="79"/>
        <v>0</v>
      </c>
      <c r="AJ309" s="203"/>
    </row>
    <row r="310" spans="1:36" s="56" customFormat="1" ht="14.25">
      <c r="A310" s="44"/>
      <c r="B310" s="45"/>
      <c r="C310" s="46">
        <f t="shared" si="64"/>
        <v>0</v>
      </c>
      <c r="D310" s="47"/>
      <c r="E310" s="47"/>
      <c r="F310" s="47"/>
      <c r="G310" s="47"/>
      <c r="H310" s="48"/>
      <c r="I310" s="75" t="str">
        <f t="shared" si="65"/>
        <v/>
      </c>
      <c r="J310" s="49"/>
      <c r="K310" s="49"/>
      <c r="L310" s="49"/>
      <c r="M310" s="47"/>
      <c r="N310" s="48" t="str">
        <f t="shared" si="66"/>
        <v/>
      </c>
      <c r="O310" s="48" t="str">
        <f t="shared" si="67"/>
        <v/>
      </c>
      <c r="P310" s="76" t="str">
        <f t="shared" si="68"/>
        <v/>
      </c>
      <c r="Q310" s="77">
        <f t="shared" si="69"/>
        <v>0</v>
      </c>
      <c r="R310" s="77">
        <f t="shared" si="70"/>
        <v>0</v>
      </c>
      <c r="S310" s="76">
        <f t="shared" si="78"/>
        <v>0</v>
      </c>
      <c r="T310" s="47"/>
      <c r="V310" s="57"/>
      <c r="W310" s="45"/>
      <c r="X310" s="46">
        <f t="shared" si="71"/>
        <v>0</v>
      </c>
      <c r="Y310" s="75" t="str">
        <f t="shared" si="72"/>
        <v/>
      </c>
      <c r="Z310" s="49"/>
      <c r="AA310" s="49"/>
      <c r="AB310" s="49"/>
      <c r="AC310" s="204"/>
      <c r="AD310" s="48" t="str">
        <f t="shared" si="73"/>
        <v/>
      </c>
      <c r="AE310" s="48" t="str">
        <f t="shared" si="74"/>
        <v/>
      </c>
      <c r="AF310" s="76" t="str">
        <f t="shared" si="75"/>
        <v/>
      </c>
      <c r="AG310" s="77">
        <f t="shared" si="76"/>
        <v>0</v>
      </c>
      <c r="AH310" s="77">
        <f t="shared" si="77"/>
        <v>0</v>
      </c>
      <c r="AI310" s="76">
        <f t="shared" si="79"/>
        <v>0</v>
      </c>
      <c r="AJ310" s="203"/>
    </row>
    <row r="311" spans="1:36" s="56" customFormat="1" ht="14.25">
      <c r="A311" s="44"/>
      <c r="B311" s="45"/>
      <c r="C311" s="46">
        <f t="shared" si="64"/>
        <v>0</v>
      </c>
      <c r="D311" s="47"/>
      <c r="E311" s="47"/>
      <c r="F311" s="47"/>
      <c r="G311" s="47"/>
      <c r="H311" s="48"/>
      <c r="I311" s="75" t="str">
        <f t="shared" si="65"/>
        <v/>
      </c>
      <c r="J311" s="49"/>
      <c r="K311" s="49"/>
      <c r="L311" s="49"/>
      <c r="M311" s="47"/>
      <c r="N311" s="48" t="str">
        <f t="shared" si="66"/>
        <v/>
      </c>
      <c r="O311" s="48" t="str">
        <f t="shared" si="67"/>
        <v/>
      </c>
      <c r="P311" s="76" t="str">
        <f t="shared" si="68"/>
        <v/>
      </c>
      <c r="Q311" s="77">
        <f t="shared" si="69"/>
        <v>0</v>
      </c>
      <c r="R311" s="77">
        <f t="shared" si="70"/>
        <v>0</v>
      </c>
      <c r="S311" s="76">
        <f t="shared" si="78"/>
        <v>0</v>
      </c>
      <c r="T311" s="47"/>
      <c r="V311" s="57"/>
      <c r="W311" s="45"/>
      <c r="X311" s="46">
        <f t="shared" si="71"/>
        <v>0</v>
      </c>
      <c r="Y311" s="75" t="str">
        <f t="shared" si="72"/>
        <v/>
      </c>
      <c r="Z311" s="49"/>
      <c r="AA311" s="49"/>
      <c r="AB311" s="49"/>
      <c r="AC311" s="204"/>
      <c r="AD311" s="48" t="str">
        <f t="shared" si="73"/>
        <v/>
      </c>
      <c r="AE311" s="48" t="str">
        <f t="shared" si="74"/>
        <v/>
      </c>
      <c r="AF311" s="76" t="str">
        <f t="shared" si="75"/>
        <v/>
      </c>
      <c r="AG311" s="77">
        <f t="shared" si="76"/>
        <v>0</v>
      </c>
      <c r="AH311" s="77">
        <f t="shared" si="77"/>
        <v>0</v>
      </c>
      <c r="AI311" s="76">
        <f t="shared" si="79"/>
        <v>0</v>
      </c>
      <c r="AJ311" s="203"/>
    </row>
    <row r="312" spans="1:36" s="56" customFormat="1" ht="14.25">
      <c r="A312" s="44"/>
      <c r="B312" s="45"/>
      <c r="C312" s="46">
        <f t="shared" si="64"/>
        <v>0</v>
      </c>
      <c r="D312" s="47"/>
      <c r="E312" s="47"/>
      <c r="F312" s="47"/>
      <c r="G312" s="47"/>
      <c r="H312" s="48"/>
      <c r="I312" s="75" t="str">
        <f t="shared" si="65"/>
        <v/>
      </c>
      <c r="J312" s="49"/>
      <c r="K312" s="49"/>
      <c r="L312" s="49"/>
      <c r="M312" s="47"/>
      <c r="N312" s="48" t="str">
        <f t="shared" si="66"/>
        <v/>
      </c>
      <c r="O312" s="48" t="str">
        <f t="shared" si="67"/>
        <v/>
      </c>
      <c r="P312" s="76" t="str">
        <f t="shared" si="68"/>
        <v/>
      </c>
      <c r="Q312" s="77">
        <f t="shared" si="69"/>
        <v>0</v>
      </c>
      <c r="R312" s="77">
        <f t="shared" si="70"/>
        <v>0</v>
      </c>
      <c r="S312" s="76">
        <f t="shared" si="78"/>
        <v>0</v>
      </c>
      <c r="T312" s="47"/>
      <c r="V312" s="57"/>
      <c r="W312" s="45"/>
      <c r="X312" s="46">
        <f t="shared" si="71"/>
        <v>0</v>
      </c>
      <c r="Y312" s="75" t="str">
        <f t="shared" si="72"/>
        <v/>
      </c>
      <c r="Z312" s="49"/>
      <c r="AA312" s="49"/>
      <c r="AB312" s="49"/>
      <c r="AC312" s="204"/>
      <c r="AD312" s="48" t="str">
        <f t="shared" si="73"/>
        <v/>
      </c>
      <c r="AE312" s="48" t="str">
        <f t="shared" si="74"/>
        <v/>
      </c>
      <c r="AF312" s="76" t="str">
        <f t="shared" si="75"/>
        <v/>
      </c>
      <c r="AG312" s="77">
        <f t="shared" si="76"/>
        <v>0</v>
      </c>
      <c r="AH312" s="77">
        <f t="shared" si="77"/>
        <v>0</v>
      </c>
      <c r="AI312" s="76">
        <f t="shared" si="79"/>
        <v>0</v>
      </c>
      <c r="AJ312" s="203"/>
    </row>
    <row r="313" spans="1:36" s="56" customFormat="1" ht="14.25">
      <c r="A313" s="44"/>
      <c r="B313" s="45"/>
      <c r="C313" s="46">
        <f t="shared" si="64"/>
        <v>0</v>
      </c>
      <c r="D313" s="47"/>
      <c r="E313" s="47"/>
      <c r="F313" s="47"/>
      <c r="G313" s="47"/>
      <c r="H313" s="48"/>
      <c r="I313" s="75" t="str">
        <f t="shared" si="65"/>
        <v/>
      </c>
      <c r="J313" s="49"/>
      <c r="K313" s="49"/>
      <c r="L313" s="49"/>
      <c r="M313" s="47"/>
      <c r="N313" s="48" t="str">
        <f t="shared" si="66"/>
        <v/>
      </c>
      <c r="O313" s="48" t="str">
        <f t="shared" si="67"/>
        <v/>
      </c>
      <c r="P313" s="76" t="str">
        <f t="shared" si="68"/>
        <v/>
      </c>
      <c r="Q313" s="77">
        <f t="shared" si="69"/>
        <v>0</v>
      </c>
      <c r="R313" s="77">
        <f t="shared" si="70"/>
        <v>0</v>
      </c>
      <c r="S313" s="76">
        <f t="shared" si="78"/>
        <v>0</v>
      </c>
      <c r="T313" s="47"/>
      <c r="V313" s="57"/>
      <c r="W313" s="45"/>
      <c r="X313" s="46">
        <f t="shared" si="71"/>
        <v>0</v>
      </c>
      <c r="Y313" s="75" t="str">
        <f t="shared" si="72"/>
        <v/>
      </c>
      <c r="Z313" s="49"/>
      <c r="AA313" s="49"/>
      <c r="AB313" s="49"/>
      <c r="AC313" s="204"/>
      <c r="AD313" s="48" t="str">
        <f t="shared" si="73"/>
        <v/>
      </c>
      <c r="AE313" s="48" t="str">
        <f t="shared" si="74"/>
        <v/>
      </c>
      <c r="AF313" s="76" t="str">
        <f t="shared" si="75"/>
        <v/>
      </c>
      <c r="AG313" s="77">
        <f t="shared" si="76"/>
        <v>0</v>
      </c>
      <c r="AH313" s="77">
        <f t="shared" si="77"/>
        <v>0</v>
      </c>
      <c r="AI313" s="76">
        <f t="shared" si="79"/>
        <v>0</v>
      </c>
      <c r="AJ313" s="203"/>
    </row>
    <row r="314" spans="1:36" s="56" customFormat="1" ht="14.25">
      <c r="A314" s="44"/>
      <c r="B314" s="45"/>
      <c r="C314" s="46">
        <f t="shared" si="64"/>
        <v>0</v>
      </c>
      <c r="D314" s="47"/>
      <c r="E314" s="47"/>
      <c r="F314" s="47"/>
      <c r="G314" s="47"/>
      <c r="H314" s="48"/>
      <c r="I314" s="75" t="str">
        <f t="shared" si="65"/>
        <v/>
      </c>
      <c r="J314" s="49"/>
      <c r="K314" s="49"/>
      <c r="L314" s="49"/>
      <c r="M314" s="47"/>
      <c r="N314" s="48" t="str">
        <f t="shared" si="66"/>
        <v/>
      </c>
      <c r="O314" s="48" t="str">
        <f t="shared" si="67"/>
        <v/>
      </c>
      <c r="P314" s="76" t="str">
        <f t="shared" si="68"/>
        <v/>
      </c>
      <c r="Q314" s="77">
        <f t="shared" si="69"/>
        <v>0</v>
      </c>
      <c r="R314" s="77">
        <f t="shared" si="70"/>
        <v>0</v>
      </c>
      <c r="S314" s="76">
        <f t="shared" si="78"/>
        <v>0</v>
      </c>
      <c r="T314" s="47"/>
      <c r="V314" s="57"/>
      <c r="W314" s="45"/>
      <c r="X314" s="46">
        <f t="shared" si="71"/>
        <v>0</v>
      </c>
      <c r="Y314" s="75" t="str">
        <f t="shared" si="72"/>
        <v/>
      </c>
      <c r="Z314" s="49"/>
      <c r="AA314" s="49"/>
      <c r="AB314" s="49"/>
      <c r="AC314" s="204"/>
      <c r="AD314" s="48" t="str">
        <f t="shared" si="73"/>
        <v/>
      </c>
      <c r="AE314" s="48" t="str">
        <f t="shared" si="74"/>
        <v/>
      </c>
      <c r="AF314" s="76" t="str">
        <f t="shared" si="75"/>
        <v/>
      </c>
      <c r="AG314" s="77">
        <f t="shared" si="76"/>
        <v>0</v>
      </c>
      <c r="AH314" s="77">
        <f t="shared" si="77"/>
        <v>0</v>
      </c>
      <c r="AI314" s="76">
        <f t="shared" si="79"/>
        <v>0</v>
      </c>
      <c r="AJ314" s="203"/>
    </row>
    <row r="315" spans="1:36" s="56" customFormat="1" ht="14.25">
      <c r="A315" s="44"/>
      <c r="B315" s="45"/>
      <c r="C315" s="46">
        <f t="shared" si="64"/>
        <v>0</v>
      </c>
      <c r="D315" s="47"/>
      <c r="E315" s="47"/>
      <c r="F315" s="47"/>
      <c r="G315" s="47"/>
      <c r="H315" s="48"/>
      <c r="I315" s="75" t="str">
        <f t="shared" si="65"/>
        <v/>
      </c>
      <c r="J315" s="49"/>
      <c r="K315" s="49"/>
      <c r="L315" s="49"/>
      <c r="M315" s="47"/>
      <c r="N315" s="48" t="str">
        <f t="shared" si="66"/>
        <v/>
      </c>
      <c r="O315" s="48" t="str">
        <f t="shared" si="67"/>
        <v/>
      </c>
      <c r="P315" s="76" t="str">
        <f t="shared" si="68"/>
        <v/>
      </c>
      <c r="Q315" s="77">
        <f t="shared" si="69"/>
        <v>0</v>
      </c>
      <c r="R315" s="77">
        <f t="shared" si="70"/>
        <v>0</v>
      </c>
      <c r="S315" s="76">
        <f t="shared" si="78"/>
        <v>0</v>
      </c>
      <c r="T315" s="47"/>
      <c r="V315" s="57"/>
      <c r="W315" s="45"/>
      <c r="X315" s="46">
        <f t="shared" si="71"/>
        <v>0</v>
      </c>
      <c r="Y315" s="75" t="str">
        <f t="shared" si="72"/>
        <v/>
      </c>
      <c r="Z315" s="49"/>
      <c r="AA315" s="49"/>
      <c r="AB315" s="49"/>
      <c r="AC315" s="204"/>
      <c r="AD315" s="48" t="str">
        <f t="shared" si="73"/>
        <v/>
      </c>
      <c r="AE315" s="48" t="str">
        <f t="shared" si="74"/>
        <v/>
      </c>
      <c r="AF315" s="76" t="str">
        <f t="shared" si="75"/>
        <v/>
      </c>
      <c r="AG315" s="77">
        <f t="shared" si="76"/>
        <v>0</v>
      </c>
      <c r="AH315" s="77">
        <f t="shared" si="77"/>
        <v>0</v>
      </c>
      <c r="AI315" s="76">
        <f t="shared" si="79"/>
        <v>0</v>
      </c>
      <c r="AJ315" s="203"/>
    </row>
    <row r="316" spans="1:36" s="56" customFormat="1" ht="14.25">
      <c r="A316" s="44"/>
      <c r="B316" s="45"/>
      <c r="C316" s="46">
        <f t="shared" si="64"/>
        <v>0</v>
      </c>
      <c r="D316" s="47"/>
      <c r="E316" s="47"/>
      <c r="F316" s="47"/>
      <c r="G316" s="47"/>
      <c r="H316" s="48"/>
      <c r="I316" s="75" t="str">
        <f t="shared" si="65"/>
        <v/>
      </c>
      <c r="J316" s="49"/>
      <c r="K316" s="49"/>
      <c r="L316" s="49"/>
      <c r="M316" s="47"/>
      <c r="N316" s="48" t="str">
        <f t="shared" si="66"/>
        <v/>
      </c>
      <c r="O316" s="48" t="str">
        <f t="shared" si="67"/>
        <v/>
      </c>
      <c r="P316" s="76" t="str">
        <f t="shared" si="68"/>
        <v/>
      </c>
      <c r="Q316" s="77">
        <f t="shared" si="69"/>
        <v>0</v>
      </c>
      <c r="R316" s="77">
        <f t="shared" si="70"/>
        <v>0</v>
      </c>
      <c r="S316" s="76">
        <f t="shared" si="78"/>
        <v>0</v>
      </c>
      <c r="T316" s="47"/>
      <c r="V316" s="57"/>
      <c r="W316" s="45"/>
      <c r="X316" s="46">
        <f t="shared" si="71"/>
        <v>0</v>
      </c>
      <c r="Y316" s="75" t="str">
        <f t="shared" si="72"/>
        <v/>
      </c>
      <c r="Z316" s="49"/>
      <c r="AA316" s="49"/>
      <c r="AB316" s="49"/>
      <c r="AC316" s="204"/>
      <c r="AD316" s="48" t="str">
        <f t="shared" si="73"/>
        <v/>
      </c>
      <c r="AE316" s="48" t="str">
        <f t="shared" si="74"/>
        <v/>
      </c>
      <c r="AF316" s="76" t="str">
        <f t="shared" si="75"/>
        <v/>
      </c>
      <c r="AG316" s="77">
        <f t="shared" si="76"/>
        <v>0</v>
      </c>
      <c r="AH316" s="77">
        <f t="shared" si="77"/>
        <v>0</v>
      </c>
      <c r="AI316" s="76">
        <f t="shared" si="79"/>
        <v>0</v>
      </c>
      <c r="AJ316" s="203"/>
    </row>
    <row r="317" spans="1:36" s="56" customFormat="1" ht="14.25">
      <c r="A317" s="44"/>
      <c r="B317" s="45"/>
      <c r="C317" s="46">
        <f t="shared" si="64"/>
        <v>0</v>
      </c>
      <c r="D317" s="47"/>
      <c r="E317" s="47"/>
      <c r="F317" s="47"/>
      <c r="G317" s="47"/>
      <c r="H317" s="48"/>
      <c r="I317" s="75" t="str">
        <f t="shared" si="65"/>
        <v/>
      </c>
      <c r="J317" s="49"/>
      <c r="K317" s="49"/>
      <c r="L317" s="49"/>
      <c r="M317" s="47"/>
      <c r="N317" s="48" t="str">
        <f t="shared" si="66"/>
        <v/>
      </c>
      <c r="O317" s="48" t="str">
        <f t="shared" si="67"/>
        <v/>
      </c>
      <c r="P317" s="76" t="str">
        <f t="shared" si="68"/>
        <v/>
      </c>
      <c r="Q317" s="77">
        <f t="shared" si="69"/>
        <v>0</v>
      </c>
      <c r="R317" s="77">
        <f t="shared" si="70"/>
        <v>0</v>
      </c>
      <c r="S317" s="76">
        <f t="shared" si="78"/>
        <v>0</v>
      </c>
      <c r="T317" s="47"/>
      <c r="V317" s="57"/>
      <c r="W317" s="45"/>
      <c r="X317" s="46">
        <f t="shared" si="71"/>
        <v>0</v>
      </c>
      <c r="Y317" s="75" t="str">
        <f t="shared" si="72"/>
        <v/>
      </c>
      <c r="Z317" s="49"/>
      <c r="AA317" s="49"/>
      <c r="AB317" s="49"/>
      <c r="AC317" s="204"/>
      <c r="AD317" s="48" t="str">
        <f t="shared" si="73"/>
        <v/>
      </c>
      <c r="AE317" s="48" t="str">
        <f t="shared" si="74"/>
        <v/>
      </c>
      <c r="AF317" s="76" t="str">
        <f t="shared" si="75"/>
        <v/>
      </c>
      <c r="AG317" s="77">
        <f t="shared" si="76"/>
        <v>0</v>
      </c>
      <c r="AH317" s="77">
        <f t="shared" si="77"/>
        <v>0</v>
      </c>
      <c r="AI317" s="76">
        <f t="shared" si="79"/>
        <v>0</v>
      </c>
      <c r="AJ317" s="203"/>
    </row>
    <row r="318" spans="1:36" s="56" customFormat="1" ht="14.25">
      <c r="A318" s="44"/>
      <c r="B318" s="45"/>
      <c r="C318" s="46">
        <f t="shared" si="64"/>
        <v>0</v>
      </c>
      <c r="D318" s="47"/>
      <c r="E318" s="47"/>
      <c r="F318" s="47"/>
      <c r="G318" s="47"/>
      <c r="H318" s="48"/>
      <c r="I318" s="75" t="str">
        <f t="shared" si="65"/>
        <v/>
      </c>
      <c r="J318" s="49"/>
      <c r="K318" s="49"/>
      <c r="L318" s="49"/>
      <c r="M318" s="47"/>
      <c r="N318" s="48" t="str">
        <f t="shared" si="66"/>
        <v/>
      </c>
      <c r="O318" s="48" t="str">
        <f t="shared" si="67"/>
        <v/>
      </c>
      <c r="P318" s="76" t="str">
        <f t="shared" si="68"/>
        <v/>
      </c>
      <c r="Q318" s="77">
        <f t="shared" si="69"/>
        <v>0</v>
      </c>
      <c r="R318" s="77">
        <f t="shared" si="70"/>
        <v>0</v>
      </c>
      <c r="S318" s="76">
        <f t="shared" si="78"/>
        <v>0</v>
      </c>
      <c r="T318" s="47"/>
      <c r="V318" s="57"/>
      <c r="W318" s="45"/>
      <c r="X318" s="46">
        <f t="shared" si="71"/>
        <v>0</v>
      </c>
      <c r="Y318" s="75" t="str">
        <f t="shared" si="72"/>
        <v/>
      </c>
      <c r="Z318" s="49"/>
      <c r="AA318" s="49"/>
      <c r="AB318" s="49"/>
      <c r="AC318" s="204"/>
      <c r="AD318" s="48" t="str">
        <f t="shared" si="73"/>
        <v/>
      </c>
      <c r="AE318" s="48" t="str">
        <f t="shared" si="74"/>
        <v/>
      </c>
      <c r="AF318" s="76" t="str">
        <f t="shared" si="75"/>
        <v/>
      </c>
      <c r="AG318" s="77">
        <f t="shared" si="76"/>
        <v>0</v>
      </c>
      <c r="AH318" s="77">
        <f t="shared" si="77"/>
        <v>0</v>
      </c>
      <c r="AI318" s="76">
        <f t="shared" si="79"/>
        <v>0</v>
      </c>
      <c r="AJ318" s="203"/>
    </row>
    <row r="319" spans="1:36" s="56" customFormat="1" ht="14.25">
      <c r="A319" s="44"/>
      <c r="B319" s="45"/>
      <c r="C319" s="46">
        <f t="shared" si="64"/>
        <v>0</v>
      </c>
      <c r="D319" s="47"/>
      <c r="E319" s="47"/>
      <c r="F319" s="47"/>
      <c r="G319" s="47"/>
      <c r="H319" s="48"/>
      <c r="I319" s="75" t="str">
        <f t="shared" si="65"/>
        <v/>
      </c>
      <c r="J319" s="49"/>
      <c r="K319" s="49"/>
      <c r="L319" s="49"/>
      <c r="M319" s="47"/>
      <c r="N319" s="48" t="str">
        <f t="shared" si="66"/>
        <v/>
      </c>
      <c r="O319" s="48" t="str">
        <f t="shared" si="67"/>
        <v/>
      </c>
      <c r="P319" s="76" t="str">
        <f t="shared" si="68"/>
        <v/>
      </c>
      <c r="Q319" s="77">
        <f t="shared" si="69"/>
        <v>0</v>
      </c>
      <c r="R319" s="77">
        <f t="shared" si="70"/>
        <v>0</v>
      </c>
      <c r="S319" s="76">
        <f t="shared" si="78"/>
        <v>0</v>
      </c>
      <c r="T319" s="47"/>
      <c r="V319" s="57"/>
      <c r="W319" s="45"/>
      <c r="X319" s="46">
        <f t="shared" si="71"/>
        <v>0</v>
      </c>
      <c r="Y319" s="75" t="str">
        <f t="shared" si="72"/>
        <v/>
      </c>
      <c r="Z319" s="49"/>
      <c r="AA319" s="49"/>
      <c r="AB319" s="49"/>
      <c r="AC319" s="204"/>
      <c r="AD319" s="48" t="str">
        <f t="shared" si="73"/>
        <v/>
      </c>
      <c r="AE319" s="48" t="str">
        <f t="shared" si="74"/>
        <v/>
      </c>
      <c r="AF319" s="76" t="str">
        <f t="shared" si="75"/>
        <v/>
      </c>
      <c r="AG319" s="77">
        <f t="shared" si="76"/>
        <v>0</v>
      </c>
      <c r="AH319" s="77">
        <f t="shared" si="77"/>
        <v>0</v>
      </c>
      <c r="AI319" s="76">
        <f t="shared" si="79"/>
        <v>0</v>
      </c>
      <c r="AJ319" s="203"/>
    </row>
    <row r="320" spans="1:36" s="56" customFormat="1" ht="14.25">
      <c r="A320" s="44"/>
      <c r="B320" s="45"/>
      <c r="C320" s="46">
        <f t="shared" si="64"/>
        <v>0</v>
      </c>
      <c r="D320" s="47"/>
      <c r="E320" s="47"/>
      <c r="F320" s="47"/>
      <c r="G320" s="47"/>
      <c r="H320" s="48"/>
      <c r="I320" s="75" t="str">
        <f t="shared" si="65"/>
        <v/>
      </c>
      <c r="J320" s="49"/>
      <c r="K320" s="49"/>
      <c r="L320" s="49"/>
      <c r="M320" s="47"/>
      <c r="N320" s="48" t="str">
        <f t="shared" si="66"/>
        <v/>
      </c>
      <c r="O320" s="48" t="str">
        <f t="shared" si="67"/>
        <v/>
      </c>
      <c r="P320" s="76" t="str">
        <f t="shared" si="68"/>
        <v/>
      </c>
      <c r="Q320" s="77">
        <f t="shared" si="69"/>
        <v>0</v>
      </c>
      <c r="R320" s="77">
        <f t="shared" si="70"/>
        <v>0</v>
      </c>
      <c r="S320" s="76">
        <f t="shared" si="78"/>
        <v>0</v>
      </c>
      <c r="T320" s="47"/>
      <c r="V320" s="57"/>
      <c r="W320" s="45"/>
      <c r="X320" s="46">
        <f t="shared" si="71"/>
        <v>0</v>
      </c>
      <c r="Y320" s="75" t="str">
        <f t="shared" si="72"/>
        <v/>
      </c>
      <c r="Z320" s="49"/>
      <c r="AA320" s="49"/>
      <c r="AB320" s="49"/>
      <c r="AC320" s="204"/>
      <c r="AD320" s="48" t="str">
        <f t="shared" si="73"/>
        <v/>
      </c>
      <c r="AE320" s="48" t="str">
        <f t="shared" si="74"/>
        <v/>
      </c>
      <c r="AF320" s="76" t="str">
        <f t="shared" si="75"/>
        <v/>
      </c>
      <c r="AG320" s="77">
        <f t="shared" si="76"/>
        <v>0</v>
      </c>
      <c r="AH320" s="77">
        <f t="shared" si="77"/>
        <v>0</v>
      </c>
      <c r="AI320" s="76">
        <f t="shared" si="79"/>
        <v>0</v>
      </c>
      <c r="AJ320" s="203"/>
    </row>
    <row r="321" spans="1:36" s="56" customFormat="1" ht="14.25">
      <c r="A321" s="44"/>
      <c r="B321" s="45"/>
      <c r="C321" s="46">
        <f t="shared" si="64"/>
        <v>0</v>
      </c>
      <c r="D321" s="47"/>
      <c r="E321" s="47"/>
      <c r="F321" s="47"/>
      <c r="G321" s="47"/>
      <c r="H321" s="48"/>
      <c r="I321" s="75" t="str">
        <f t="shared" si="65"/>
        <v/>
      </c>
      <c r="J321" s="49"/>
      <c r="K321" s="49"/>
      <c r="L321" s="49"/>
      <c r="M321" s="47"/>
      <c r="N321" s="48" t="str">
        <f t="shared" si="66"/>
        <v/>
      </c>
      <c r="O321" s="48" t="str">
        <f t="shared" si="67"/>
        <v/>
      </c>
      <c r="P321" s="76" t="str">
        <f t="shared" si="68"/>
        <v/>
      </c>
      <c r="Q321" s="77">
        <f t="shared" si="69"/>
        <v>0</v>
      </c>
      <c r="R321" s="77">
        <f t="shared" si="70"/>
        <v>0</v>
      </c>
      <c r="S321" s="76">
        <f t="shared" si="78"/>
        <v>0</v>
      </c>
      <c r="T321" s="47"/>
      <c r="V321" s="57"/>
      <c r="W321" s="45"/>
      <c r="X321" s="46">
        <f t="shared" si="71"/>
        <v>0</v>
      </c>
      <c r="Y321" s="75" t="str">
        <f t="shared" si="72"/>
        <v/>
      </c>
      <c r="Z321" s="49"/>
      <c r="AA321" s="49"/>
      <c r="AB321" s="49"/>
      <c r="AC321" s="204"/>
      <c r="AD321" s="48" t="str">
        <f t="shared" si="73"/>
        <v/>
      </c>
      <c r="AE321" s="48" t="str">
        <f t="shared" si="74"/>
        <v/>
      </c>
      <c r="AF321" s="76" t="str">
        <f t="shared" si="75"/>
        <v/>
      </c>
      <c r="AG321" s="77">
        <f t="shared" si="76"/>
        <v>0</v>
      </c>
      <c r="AH321" s="77">
        <f t="shared" si="77"/>
        <v>0</v>
      </c>
      <c r="AI321" s="76">
        <f t="shared" si="79"/>
        <v>0</v>
      </c>
      <c r="AJ321" s="203"/>
    </row>
    <row r="322" spans="1:36" s="56" customFormat="1" ht="14.25">
      <c r="A322" s="44"/>
      <c r="B322" s="45"/>
      <c r="C322" s="46">
        <f t="shared" si="64"/>
        <v>0</v>
      </c>
      <c r="D322" s="47"/>
      <c r="E322" s="47"/>
      <c r="F322" s="47"/>
      <c r="G322" s="47"/>
      <c r="H322" s="48"/>
      <c r="I322" s="75" t="str">
        <f t="shared" si="65"/>
        <v/>
      </c>
      <c r="J322" s="49"/>
      <c r="K322" s="49"/>
      <c r="L322" s="49"/>
      <c r="M322" s="47"/>
      <c r="N322" s="48" t="str">
        <f t="shared" si="66"/>
        <v/>
      </c>
      <c r="O322" s="48" t="str">
        <f t="shared" si="67"/>
        <v/>
      </c>
      <c r="P322" s="76" t="str">
        <f t="shared" si="68"/>
        <v/>
      </c>
      <c r="Q322" s="77">
        <f t="shared" si="69"/>
        <v>0</v>
      </c>
      <c r="R322" s="77">
        <f t="shared" si="70"/>
        <v>0</v>
      </c>
      <c r="S322" s="76">
        <f t="shared" si="78"/>
        <v>0</v>
      </c>
      <c r="T322" s="47"/>
      <c r="V322" s="57"/>
      <c r="W322" s="45"/>
      <c r="X322" s="46">
        <f t="shared" si="71"/>
        <v>0</v>
      </c>
      <c r="Y322" s="75" t="str">
        <f t="shared" si="72"/>
        <v/>
      </c>
      <c r="Z322" s="49"/>
      <c r="AA322" s="49"/>
      <c r="AB322" s="49"/>
      <c r="AC322" s="204"/>
      <c r="AD322" s="48" t="str">
        <f t="shared" si="73"/>
        <v/>
      </c>
      <c r="AE322" s="48" t="str">
        <f t="shared" si="74"/>
        <v/>
      </c>
      <c r="AF322" s="76" t="str">
        <f t="shared" si="75"/>
        <v/>
      </c>
      <c r="AG322" s="77">
        <f t="shared" si="76"/>
        <v>0</v>
      </c>
      <c r="AH322" s="77">
        <f t="shared" si="77"/>
        <v>0</v>
      </c>
      <c r="AI322" s="76">
        <f t="shared" si="79"/>
        <v>0</v>
      </c>
      <c r="AJ322" s="203"/>
    </row>
    <row r="323" spans="1:36" s="56" customFormat="1" ht="14.25">
      <c r="A323" s="44"/>
      <c r="B323" s="45"/>
      <c r="C323" s="46">
        <f t="shared" si="64"/>
        <v>0</v>
      </c>
      <c r="D323" s="47"/>
      <c r="E323" s="47"/>
      <c r="F323" s="47"/>
      <c r="G323" s="47"/>
      <c r="H323" s="48"/>
      <c r="I323" s="75" t="str">
        <f t="shared" si="65"/>
        <v/>
      </c>
      <c r="J323" s="49"/>
      <c r="K323" s="49"/>
      <c r="L323" s="49"/>
      <c r="M323" s="47"/>
      <c r="N323" s="48" t="str">
        <f t="shared" si="66"/>
        <v/>
      </c>
      <c r="O323" s="48" t="str">
        <f t="shared" si="67"/>
        <v/>
      </c>
      <c r="P323" s="76" t="str">
        <f t="shared" si="68"/>
        <v/>
      </c>
      <c r="Q323" s="77">
        <f t="shared" si="69"/>
        <v>0</v>
      </c>
      <c r="R323" s="77">
        <f t="shared" si="70"/>
        <v>0</v>
      </c>
      <c r="S323" s="76">
        <f t="shared" si="78"/>
        <v>0</v>
      </c>
      <c r="T323" s="47"/>
      <c r="V323" s="57"/>
      <c r="W323" s="45"/>
      <c r="X323" s="46">
        <f t="shared" si="71"/>
        <v>0</v>
      </c>
      <c r="Y323" s="75" t="str">
        <f t="shared" si="72"/>
        <v/>
      </c>
      <c r="Z323" s="49"/>
      <c r="AA323" s="49"/>
      <c r="AB323" s="49"/>
      <c r="AC323" s="204"/>
      <c r="AD323" s="48" t="str">
        <f t="shared" si="73"/>
        <v/>
      </c>
      <c r="AE323" s="48" t="str">
        <f t="shared" si="74"/>
        <v/>
      </c>
      <c r="AF323" s="76" t="str">
        <f t="shared" si="75"/>
        <v/>
      </c>
      <c r="AG323" s="77">
        <f t="shared" si="76"/>
        <v>0</v>
      </c>
      <c r="AH323" s="77">
        <f t="shared" si="77"/>
        <v>0</v>
      </c>
      <c r="AI323" s="76">
        <f t="shared" si="79"/>
        <v>0</v>
      </c>
      <c r="AJ323" s="203"/>
    </row>
    <row r="324" spans="1:36" s="56" customFormat="1" ht="14.25">
      <c r="A324" s="44"/>
      <c r="B324" s="45"/>
      <c r="C324" s="46">
        <f t="shared" si="64"/>
        <v>0</v>
      </c>
      <c r="D324" s="47"/>
      <c r="E324" s="47"/>
      <c r="F324" s="47"/>
      <c r="G324" s="47"/>
      <c r="H324" s="48"/>
      <c r="I324" s="75" t="str">
        <f t="shared" si="65"/>
        <v/>
      </c>
      <c r="J324" s="49"/>
      <c r="K324" s="49"/>
      <c r="L324" s="49"/>
      <c r="M324" s="47"/>
      <c r="N324" s="48" t="str">
        <f t="shared" si="66"/>
        <v/>
      </c>
      <c r="O324" s="48" t="str">
        <f t="shared" si="67"/>
        <v/>
      </c>
      <c r="P324" s="76" t="str">
        <f t="shared" si="68"/>
        <v/>
      </c>
      <c r="Q324" s="77">
        <f t="shared" si="69"/>
        <v>0</v>
      </c>
      <c r="R324" s="77">
        <f t="shared" si="70"/>
        <v>0</v>
      </c>
      <c r="S324" s="76">
        <f t="shared" si="78"/>
        <v>0</v>
      </c>
      <c r="T324" s="47"/>
      <c r="V324" s="57"/>
      <c r="W324" s="45"/>
      <c r="X324" s="46">
        <f t="shared" si="71"/>
        <v>0</v>
      </c>
      <c r="Y324" s="75" t="str">
        <f t="shared" si="72"/>
        <v/>
      </c>
      <c r="Z324" s="49"/>
      <c r="AA324" s="49"/>
      <c r="AB324" s="49"/>
      <c r="AC324" s="204"/>
      <c r="AD324" s="48" t="str">
        <f t="shared" si="73"/>
        <v/>
      </c>
      <c r="AE324" s="48" t="str">
        <f t="shared" si="74"/>
        <v/>
      </c>
      <c r="AF324" s="76" t="str">
        <f t="shared" si="75"/>
        <v/>
      </c>
      <c r="AG324" s="77">
        <f t="shared" si="76"/>
        <v>0</v>
      </c>
      <c r="AH324" s="77">
        <f t="shared" si="77"/>
        <v>0</v>
      </c>
      <c r="AI324" s="76">
        <f t="shared" si="79"/>
        <v>0</v>
      </c>
      <c r="AJ324" s="203"/>
    </row>
    <row r="325" spans="1:36" s="56" customFormat="1" ht="14.25">
      <c r="A325" s="44"/>
      <c r="B325" s="45"/>
      <c r="C325" s="46">
        <f t="shared" si="64"/>
        <v>0</v>
      </c>
      <c r="D325" s="47"/>
      <c r="E325" s="47"/>
      <c r="F325" s="47"/>
      <c r="G325" s="47"/>
      <c r="H325" s="48"/>
      <c r="I325" s="75" t="str">
        <f t="shared" si="65"/>
        <v/>
      </c>
      <c r="J325" s="49"/>
      <c r="K325" s="49"/>
      <c r="L325" s="49"/>
      <c r="M325" s="47"/>
      <c r="N325" s="48" t="str">
        <f t="shared" si="66"/>
        <v/>
      </c>
      <c r="O325" s="48" t="str">
        <f t="shared" si="67"/>
        <v/>
      </c>
      <c r="P325" s="76" t="str">
        <f t="shared" si="68"/>
        <v/>
      </c>
      <c r="Q325" s="77">
        <f t="shared" si="69"/>
        <v>0</v>
      </c>
      <c r="R325" s="77">
        <f t="shared" si="70"/>
        <v>0</v>
      </c>
      <c r="S325" s="76">
        <f t="shared" si="78"/>
        <v>0</v>
      </c>
      <c r="T325" s="47"/>
      <c r="V325" s="57"/>
      <c r="W325" s="45"/>
      <c r="X325" s="46">
        <f t="shared" si="71"/>
        <v>0</v>
      </c>
      <c r="Y325" s="75" t="str">
        <f t="shared" si="72"/>
        <v/>
      </c>
      <c r="Z325" s="49"/>
      <c r="AA325" s="49"/>
      <c r="AB325" s="49"/>
      <c r="AC325" s="204"/>
      <c r="AD325" s="48" t="str">
        <f t="shared" si="73"/>
        <v/>
      </c>
      <c r="AE325" s="48" t="str">
        <f t="shared" si="74"/>
        <v/>
      </c>
      <c r="AF325" s="76" t="str">
        <f t="shared" si="75"/>
        <v/>
      </c>
      <c r="AG325" s="77">
        <f t="shared" si="76"/>
        <v>0</v>
      </c>
      <c r="AH325" s="77">
        <f t="shared" si="77"/>
        <v>0</v>
      </c>
      <c r="AI325" s="76">
        <f t="shared" si="79"/>
        <v>0</v>
      </c>
      <c r="AJ325" s="203"/>
    </row>
    <row r="326" spans="1:36" s="56" customFormat="1" ht="14.25">
      <c r="A326" s="44"/>
      <c r="B326" s="45"/>
      <c r="C326" s="46">
        <f t="shared" si="64"/>
        <v>0</v>
      </c>
      <c r="D326" s="47"/>
      <c r="E326" s="47"/>
      <c r="F326" s="47"/>
      <c r="G326" s="47"/>
      <c r="H326" s="48"/>
      <c r="I326" s="75" t="str">
        <f t="shared" si="65"/>
        <v/>
      </c>
      <c r="J326" s="49"/>
      <c r="K326" s="49"/>
      <c r="L326" s="49"/>
      <c r="M326" s="47"/>
      <c r="N326" s="48" t="str">
        <f t="shared" si="66"/>
        <v/>
      </c>
      <c r="O326" s="48" t="str">
        <f t="shared" si="67"/>
        <v/>
      </c>
      <c r="P326" s="76" t="str">
        <f t="shared" si="68"/>
        <v/>
      </c>
      <c r="Q326" s="77">
        <f t="shared" si="69"/>
        <v>0</v>
      </c>
      <c r="R326" s="77">
        <f t="shared" si="70"/>
        <v>0</v>
      </c>
      <c r="S326" s="76">
        <f t="shared" si="78"/>
        <v>0</v>
      </c>
      <c r="T326" s="47"/>
      <c r="V326" s="57"/>
      <c r="W326" s="45"/>
      <c r="X326" s="46">
        <f t="shared" si="71"/>
        <v>0</v>
      </c>
      <c r="Y326" s="75" t="str">
        <f t="shared" si="72"/>
        <v/>
      </c>
      <c r="Z326" s="49"/>
      <c r="AA326" s="49"/>
      <c r="AB326" s="49"/>
      <c r="AC326" s="204"/>
      <c r="AD326" s="48" t="str">
        <f t="shared" si="73"/>
        <v/>
      </c>
      <c r="AE326" s="48" t="str">
        <f t="shared" si="74"/>
        <v/>
      </c>
      <c r="AF326" s="76" t="str">
        <f t="shared" si="75"/>
        <v/>
      </c>
      <c r="AG326" s="77">
        <f t="shared" si="76"/>
        <v>0</v>
      </c>
      <c r="AH326" s="77">
        <f t="shared" si="77"/>
        <v>0</v>
      </c>
      <c r="AI326" s="76">
        <f t="shared" si="79"/>
        <v>0</v>
      </c>
      <c r="AJ326" s="203"/>
    </row>
    <row r="327" spans="1:36" s="56" customFormat="1" ht="14.25">
      <c r="A327" s="44"/>
      <c r="B327" s="45"/>
      <c r="C327" s="46">
        <f t="shared" si="64"/>
        <v>0</v>
      </c>
      <c r="D327" s="47"/>
      <c r="E327" s="47"/>
      <c r="F327" s="47"/>
      <c r="G327" s="47"/>
      <c r="H327" s="48"/>
      <c r="I327" s="75" t="str">
        <f t="shared" si="65"/>
        <v/>
      </c>
      <c r="J327" s="49"/>
      <c r="K327" s="49"/>
      <c r="L327" s="49"/>
      <c r="M327" s="47"/>
      <c r="N327" s="48" t="str">
        <f t="shared" si="66"/>
        <v/>
      </c>
      <c r="O327" s="48" t="str">
        <f t="shared" si="67"/>
        <v/>
      </c>
      <c r="P327" s="76" t="str">
        <f t="shared" si="68"/>
        <v/>
      </c>
      <c r="Q327" s="77">
        <f t="shared" si="69"/>
        <v>0</v>
      </c>
      <c r="R327" s="77">
        <f t="shared" si="70"/>
        <v>0</v>
      </c>
      <c r="S327" s="76">
        <f t="shared" si="78"/>
        <v>0</v>
      </c>
      <c r="T327" s="47"/>
      <c r="V327" s="57"/>
      <c r="W327" s="45"/>
      <c r="X327" s="46">
        <f t="shared" si="71"/>
        <v>0</v>
      </c>
      <c r="Y327" s="75" t="str">
        <f t="shared" si="72"/>
        <v/>
      </c>
      <c r="Z327" s="49"/>
      <c r="AA327" s="49"/>
      <c r="AB327" s="49"/>
      <c r="AC327" s="204"/>
      <c r="AD327" s="48" t="str">
        <f t="shared" si="73"/>
        <v/>
      </c>
      <c r="AE327" s="48" t="str">
        <f t="shared" si="74"/>
        <v/>
      </c>
      <c r="AF327" s="76" t="str">
        <f t="shared" si="75"/>
        <v/>
      </c>
      <c r="AG327" s="77">
        <f t="shared" si="76"/>
        <v>0</v>
      </c>
      <c r="AH327" s="77">
        <f t="shared" si="77"/>
        <v>0</v>
      </c>
      <c r="AI327" s="76">
        <f t="shared" si="79"/>
        <v>0</v>
      </c>
      <c r="AJ327" s="203"/>
    </row>
    <row r="328" spans="1:36" s="56" customFormat="1" ht="14.25">
      <c r="A328" s="44"/>
      <c r="B328" s="45"/>
      <c r="C328" s="46">
        <f t="shared" si="64"/>
        <v>0</v>
      </c>
      <c r="D328" s="47"/>
      <c r="E328" s="47"/>
      <c r="F328" s="47"/>
      <c r="G328" s="47"/>
      <c r="H328" s="48"/>
      <c r="I328" s="75" t="str">
        <f t="shared" si="65"/>
        <v/>
      </c>
      <c r="J328" s="49"/>
      <c r="K328" s="49"/>
      <c r="L328" s="49"/>
      <c r="M328" s="47"/>
      <c r="N328" s="48" t="str">
        <f t="shared" si="66"/>
        <v/>
      </c>
      <c r="O328" s="48" t="str">
        <f t="shared" si="67"/>
        <v/>
      </c>
      <c r="P328" s="76" t="str">
        <f t="shared" si="68"/>
        <v/>
      </c>
      <c r="Q328" s="77">
        <f t="shared" si="69"/>
        <v>0</v>
      </c>
      <c r="R328" s="77">
        <f t="shared" si="70"/>
        <v>0</v>
      </c>
      <c r="S328" s="76">
        <f t="shared" si="78"/>
        <v>0</v>
      </c>
      <c r="T328" s="47"/>
      <c r="V328" s="57"/>
      <c r="W328" s="45"/>
      <c r="X328" s="46">
        <f t="shared" si="71"/>
        <v>0</v>
      </c>
      <c r="Y328" s="75" t="str">
        <f t="shared" si="72"/>
        <v/>
      </c>
      <c r="Z328" s="49"/>
      <c r="AA328" s="49"/>
      <c r="AB328" s="49"/>
      <c r="AC328" s="204"/>
      <c r="AD328" s="48" t="str">
        <f t="shared" si="73"/>
        <v/>
      </c>
      <c r="AE328" s="48" t="str">
        <f t="shared" si="74"/>
        <v/>
      </c>
      <c r="AF328" s="76" t="str">
        <f t="shared" si="75"/>
        <v/>
      </c>
      <c r="AG328" s="77">
        <f t="shared" si="76"/>
        <v>0</v>
      </c>
      <c r="AH328" s="77">
        <f t="shared" si="77"/>
        <v>0</v>
      </c>
      <c r="AI328" s="76">
        <f t="shared" si="79"/>
        <v>0</v>
      </c>
      <c r="AJ328" s="203"/>
    </row>
    <row r="329" spans="1:36" s="56" customFormat="1" ht="14.25">
      <c r="A329" s="44"/>
      <c r="B329" s="45"/>
      <c r="C329" s="46">
        <f t="shared" si="64"/>
        <v>0</v>
      </c>
      <c r="D329" s="47"/>
      <c r="E329" s="47"/>
      <c r="F329" s="47"/>
      <c r="G329" s="47"/>
      <c r="H329" s="48"/>
      <c r="I329" s="75" t="str">
        <f t="shared" si="65"/>
        <v/>
      </c>
      <c r="J329" s="49"/>
      <c r="K329" s="49"/>
      <c r="L329" s="49"/>
      <c r="M329" s="47"/>
      <c r="N329" s="48" t="str">
        <f t="shared" si="66"/>
        <v/>
      </c>
      <c r="O329" s="48" t="str">
        <f t="shared" si="67"/>
        <v/>
      </c>
      <c r="P329" s="76" t="str">
        <f t="shared" si="68"/>
        <v/>
      </c>
      <c r="Q329" s="77">
        <f t="shared" si="69"/>
        <v>0</v>
      </c>
      <c r="R329" s="77">
        <f t="shared" si="70"/>
        <v>0</v>
      </c>
      <c r="S329" s="76">
        <f t="shared" si="78"/>
        <v>0</v>
      </c>
      <c r="T329" s="47"/>
      <c r="V329" s="57"/>
      <c r="W329" s="45"/>
      <c r="X329" s="46">
        <f t="shared" si="71"/>
        <v>0</v>
      </c>
      <c r="Y329" s="75" t="str">
        <f t="shared" si="72"/>
        <v/>
      </c>
      <c r="Z329" s="49"/>
      <c r="AA329" s="49"/>
      <c r="AB329" s="49"/>
      <c r="AC329" s="204"/>
      <c r="AD329" s="48" t="str">
        <f t="shared" si="73"/>
        <v/>
      </c>
      <c r="AE329" s="48" t="str">
        <f t="shared" si="74"/>
        <v/>
      </c>
      <c r="AF329" s="76" t="str">
        <f t="shared" si="75"/>
        <v/>
      </c>
      <c r="AG329" s="77">
        <f t="shared" si="76"/>
        <v>0</v>
      </c>
      <c r="AH329" s="77">
        <f t="shared" si="77"/>
        <v>0</v>
      </c>
      <c r="AI329" s="76">
        <f t="shared" si="79"/>
        <v>0</v>
      </c>
      <c r="AJ329" s="203"/>
    </row>
    <row r="330" spans="1:36" s="56" customFormat="1" ht="14.25">
      <c r="A330" s="44"/>
      <c r="B330" s="45"/>
      <c r="C330" s="46">
        <f t="shared" si="64"/>
        <v>0</v>
      </c>
      <c r="D330" s="47"/>
      <c r="E330" s="47"/>
      <c r="F330" s="47"/>
      <c r="G330" s="47"/>
      <c r="H330" s="48"/>
      <c r="I330" s="75" t="str">
        <f t="shared" si="65"/>
        <v/>
      </c>
      <c r="J330" s="49"/>
      <c r="K330" s="49"/>
      <c r="L330" s="49"/>
      <c r="M330" s="47"/>
      <c r="N330" s="48" t="str">
        <f t="shared" si="66"/>
        <v/>
      </c>
      <c r="O330" s="48" t="str">
        <f t="shared" si="67"/>
        <v/>
      </c>
      <c r="P330" s="76" t="str">
        <f t="shared" si="68"/>
        <v/>
      </c>
      <c r="Q330" s="77">
        <f t="shared" si="69"/>
        <v>0</v>
      </c>
      <c r="R330" s="77">
        <f t="shared" si="70"/>
        <v>0</v>
      </c>
      <c r="S330" s="76">
        <f t="shared" si="78"/>
        <v>0</v>
      </c>
      <c r="T330" s="47"/>
      <c r="V330" s="57"/>
      <c r="W330" s="45"/>
      <c r="X330" s="46">
        <f t="shared" si="71"/>
        <v>0</v>
      </c>
      <c r="Y330" s="75" t="str">
        <f t="shared" si="72"/>
        <v/>
      </c>
      <c r="Z330" s="49"/>
      <c r="AA330" s="49"/>
      <c r="AB330" s="49"/>
      <c r="AC330" s="204"/>
      <c r="AD330" s="48" t="str">
        <f t="shared" si="73"/>
        <v/>
      </c>
      <c r="AE330" s="48" t="str">
        <f t="shared" si="74"/>
        <v/>
      </c>
      <c r="AF330" s="76" t="str">
        <f t="shared" si="75"/>
        <v/>
      </c>
      <c r="AG330" s="77">
        <f t="shared" si="76"/>
        <v>0</v>
      </c>
      <c r="AH330" s="77">
        <f t="shared" si="77"/>
        <v>0</v>
      </c>
      <c r="AI330" s="76">
        <f t="shared" si="79"/>
        <v>0</v>
      </c>
      <c r="AJ330" s="203"/>
    </row>
    <row r="331" spans="1:36" s="56" customFormat="1" ht="14.25">
      <c r="A331" s="44"/>
      <c r="B331" s="45"/>
      <c r="C331" s="46">
        <f t="shared" ref="C331:C383" si="80">IF($B331&lt;&gt;"",VLOOKUP($B331,Matriz_INM,2,0),0)</f>
        <v>0</v>
      </c>
      <c r="D331" s="47"/>
      <c r="E331" s="47"/>
      <c r="F331" s="47"/>
      <c r="G331" s="47"/>
      <c r="H331" s="48"/>
      <c r="I331" s="75" t="str">
        <f t="shared" ref="I331:I383" si="81">IFERROR(VLOOKUP($B331,Matriz_INM,3,0),"")</f>
        <v/>
      </c>
      <c r="J331" s="49"/>
      <c r="K331" s="49"/>
      <c r="L331" s="49"/>
      <c r="M331" s="47"/>
      <c r="N331" s="48" t="str">
        <f t="shared" ref="N331:N383" si="82">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8" t="str">
        <f t="shared" ref="O331:O383" si="83">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6" t="str">
        <f t="shared" ref="P331:P383" si="84">IF(N331="",O331,IF(O331="",N331,""))</f>
        <v/>
      </c>
      <c r="Q331" s="77">
        <f t="shared" ref="Q331:Q383" si="85">IF(AND(OR(M331="EE",M331="CE"),P331="Simples"),3, IF(AND(OR(M331="EE",M331="CE"),P331="Médio"),4, IF(AND(OR(M331="EE",M331="CE"),P331="Complexo"),6, IF(AND(M331="SE",P331="Simples"),4, IF(AND(M331="SE",P331="Médio"),5, IF(AND(M331="SE",P331="Complexo"),7,0))))))</f>
        <v>0</v>
      </c>
      <c r="R331" s="77">
        <f t="shared" ref="R331:R383" si="86">IF(AND(M331="ALI",O331="Simples"),7, IF(AND(M331="ALI",O331="Médio"),10, IF(AND(M331="ALI",O331="Complexo"),15, IF(AND(M331="AIE",O331="Simples"),5, IF(AND(M331="AIE",O331="Médio"),7, IF(AND(M331="AIE",O331="Complexo"),10,0))))))</f>
        <v>0</v>
      </c>
      <c r="S331" s="76">
        <f t="shared" si="78"/>
        <v>0</v>
      </c>
      <c r="T331" s="47"/>
      <c r="V331" s="57"/>
      <c r="W331" s="45"/>
      <c r="X331" s="46">
        <f t="shared" ref="X331:X383" si="87">IF($B331&lt;&gt;"",VLOOKUP($B331,Matriz_INM,2,0),0)</f>
        <v>0</v>
      </c>
      <c r="Y331" s="75" t="str">
        <f t="shared" ref="Y331:Y383" si="88">IFERROR(VLOOKUP($B331,Matriz_INM,3,0),"")</f>
        <v/>
      </c>
      <c r="Z331" s="49"/>
      <c r="AA331" s="49"/>
      <c r="AB331" s="49"/>
      <c r="AC331" s="204"/>
      <c r="AD331" s="48" t="str">
        <f t="shared" ref="AD331:AD383" si="89">IF(AC331="EE",IF(OR(AND(OR(AB331=1,AB331=0),AA331&gt;0,AA331&lt;5),AND(OR(AB331=1,AB331=0),AA331&gt;4,AA331&lt;16),AND(AB331=2,AA331&gt;0,AA331&lt;5)),"Simples",IF(OR(AND(OR(AB331=1,AB331=0),AA331&gt;15),AND(AB331=2,AA331&gt;4,AA331&lt;16),AND(AB331&gt;2,AA331&gt;0,AA331&lt;5)),"Médio",IF(OR(AND(AB331=2,AA331&gt;15),AND(AB331&gt;2,AA331&gt;4,AA331&lt;16),AND(AB331&gt;2,AA331&gt;15)),"Complexo",""))), IF(OR(AC331="CE",AC331="SE"),IF(OR(AND(OR(AB331=1,AB331=0),AA331&gt;0,AA331&lt;6),AND(OR(AB331=1,AB331=0),AA331&gt;5,AA331&lt;20),AND(AB331&gt;1,AB331&lt;4,AA331&gt;0,AA331&lt;6)),"Simples",IF(OR(AND(OR(AB331=1,AB331=0),AA331&gt;19),AND(AB331&gt;1,AB331&lt;4,AA331&gt;5,AA331&lt;20),AND(AB331&gt;3,AA331&gt;0,AA331&lt;6)),"Médio",IF(OR(AND(AB331&gt;1,AB331&lt;4,AA331&gt;19),AND(AB331&gt;3,AA331&gt;5,AA331&lt;20),AND(AB331&gt;3,AA331&gt;19)),"Complexo",""))),""))</f>
        <v/>
      </c>
      <c r="AE331" s="48" t="str">
        <f t="shared" ref="AE331:AE383" si="90">IF(AC331="ALI",IF(OR(AND(OR(AB331=1,AB331=0),AA331&gt;0,AA331&lt;20),AND(OR(AB331=1,AB331=0),AA331&gt;19,AA331&lt;51),AND(AB331&gt;1,AB331&lt;6,AA331&gt;0,AA331&lt;20)),"Simples",IF(OR(AND(OR(AB331=1,AB331=0),AA331&gt;50),AND(AB331&gt;1,AB331&lt;6,AA331&gt;19,AA331&lt;51),AND(AB331&gt;5,AA331&gt;0,AA331&lt;20)),"Médio",IF(OR(AND(AB331&gt;1,AB331&lt;6,AA331&gt;50),AND(AB331&gt;5,AA331&gt;19,AA331&lt;51),AND(AB331&gt;5,AA331&gt;50)),"Complexo",""))), IF(AC331="AIE",IF(OR(AND(OR(AB331=1, AB331=0),AA331&gt;0,AA331&lt;20),AND(OR(AB331=1, AB331=0),AA331&gt;19,AA331&lt;51),AND(AB331&gt;1,AB331&lt;6,AA331&gt;0,AA331&lt;20)),"Simples",IF(OR(AND(OR(AB331=1, AB331=0),AA331&gt;50),AND(AB331&gt;1,AB331&lt;6,AA331&gt;19,AA331&lt;51),AND(AB331&gt;5,AA331&gt;0,AA331&lt;20)),"Médio",IF(OR(AND(AB331&gt;1,AB331&lt;6,AA331&gt;50),AND(AB331&gt;5,AA331&gt;19,AA331&lt;51),AND(AB331&gt;5,AA331&gt;50)),"Complexo",""))),""))</f>
        <v/>
      </c>
      <c r="AF331" s="76" t="str">
        <f t="shared" ref="AF331:AF383" si="91">IF(AD331="",AE331,IF(AE331="",AD331,""))</f>
        <v/>
      </c>
      <c r="AG331" s="77">
        <f t="shared" ref="AG331:AG383" si="92">IF(AND(OR(AC331="EE",AC331="CE"),AF331="Simples"),3, IF(AND(OR(AC331="EE",AC331="CE"),AF331="Médio"),4, IF(AND(OR(AC331="EE",AC331="CE"),AF331="Complexo"),6, IF(AND(AC331="SE",AF331="Simples"),4, IF(AND(AC331="SE",AF331="Médio"),5, IF(AND(AC331="SE",AF331="Complexo"),7,0))))))</f>
        <v>0</v>
      </c>
      <c r="AH331" s="77">
        <f t="shared" ref="AH331:AH383" si="93">IF(AND(AC331="ALI",AE331="Simples"),7, IF(AND(AC331="ALI",AE331="Médio"),10, IF(AND(AC331="ALI",AE331="Complexo"),15, IF(AND(AC331="AIE",AE331="Simples"),5, IF(AND(AC331="AIE",AE331="Médio"),7, IF(AND(AC331="AIE",AE331="Complexo"),10,0))))))</f>
        <v>0</v>
      </c>
      <c r="AI331" s="76">
        <f t="shared" si="79"/>
        <v>0</v>
      </c>
      <c r="AJ331" s="203"/>
    </row>
    <row r="332" spans="1:36" s="56" customFormat="1" ht="14.25">
      <c r="A332" s="44"/>
      <c r="B332" s="45"/>
      <c r="C332" s="46">
        <f t="shared" si="80"/>
        <v>0</v>
      </c>
      <c r="D332" s="47"/>
      <c r="E332" s="47"/>
      <c r="F332" s="47"/>
      <c r="G332" s="47"/>
      <c r="H332" s="48"/>
      <c r="I332" s="75" t="str">
        <f t="shared" si="81"/>
        <v/>
      </c>
      <c r="J332" s="49"/>
      <c r="K332" s="49"/>
      <c r="L332" s="49"/>
      <c r="M332" s="47"/>
      <c r="N332" s="48" t="str">
        <f t="shared" si="82"/>
        <v/>
      </c>
      <c r="O332" s="48" t="str">
        <f t="shared" si="83"/>
        <v/>
      </c>
      <c r="P332" s="76" t="str">
        <f t="shared" si="84"/>
        <v/>
      </c>
      <c r="Q332" s="77">
        <f t="shared" si="85"/>
        <v>0</v>
      </c>
      <c r="R332" s="77">
        <f t="shared" si="86"/>
        <v>0</v>
      </c>
      <c r="S332" s="76">
        <f t="shared" ref="S332:S383" si="94">IF($I332="%",($Q332+$R332)*$C332,$C332)</f>
        <v>0</v>
      </c>
      <c r="T332" s="47"/>
      <c r="V332" s="57"/>
      <c r="W332" s="45"/>
      <c r="X332" s="46">
        <f t="shared" si="87"/>
        <v>0</v>
      </c>
      <c r="Y332" s="75" t="str">
        <f t="shared" si="88"/>
        <v/>
      </c>
      <c r="Z332" s="49"/>
      <c r="AA332" s="49"/>
      <c r="AB332" s="49"/>
      <c r="AC332" s="204"/>
      <c r="AD332" s="48" t="str">
        <f t="shared" si="89"/>
        <v/>
      </c>
      <c r="AE332" s="48" t="str">
        <f t="shared" si="90"/>
        <v/>
      </c>
      <c r="AF332" s="76" t="str">
        <f t="shared" si="91"/>
        <v/>
      </c>
      <c r="AG332" s="77">
        <f t="shared" si="92"/>
        <v>0</v>
      </c>
      <c r="AH332" s="77">
        <f t="shared" si="93"/>
        <v>0</v>
      </c>
      <c r="AI332" s="76">
        <f t="shared" ref="AI332:AI383" si="95">IF($I332="%",($Q332+$R332)*$C332,$C332)</f>
        <v>0</v>
      </c>
      <c r="AJ332" s="203"/>
    </row>
    <row r="333" spans="1:36" s="56" customFormat="1" ht="14.25">
      <c r="A333" s="44"/>
      <c r="B333" s="45"/>
      <c r="C333" s="46">
        <f t="shared" si="80"/>
        <v>0</v>
      </c>
      <c r="D333" s="47"/>
      <c r="E333" s="47"/>
      <c r="F333" s="47"/>
      <c r="G333" s="47"/>
      <c r="H333" s="48"/>
      <c r="I333" s="75" t="str">
        <f t="shared" si="81"/>
        <v/>
      </c>
      <c r="J333" s="49"/>
      <c r="K333" s="49"/>
      <c r="L333" s="49"/>
      <c r="M333" s="47"/>
      <c r="N333" s="48" t="str">
        <f t="shared" si="82"/>
        <v/>
      </c>
      <c r="O333" s="48" t="str">
        <f t="shared" si="83"/>
        <v/>
      </c>
      <c r="P333" s="76" t="str">
        <f t="shared" si="84"/>
        <v/>
      </c>
      <c r="Q333" s="77">
        <f t="shared" si="85"/>
        <v>0</v>
      </c>
      <c r="R333" s="77">
        <f t="shared" si="86"/>
        <v>0</v>
      </c>
      <c r="S333" s="76">
        <f t="shared" si="94"/>
        <v>0</v>
      </c>
      <c r="T333" s="47"/>
      <c r="V333" s="57"/>
      <c r="W333" s="45"/>
      <c r="X333" s="46">
        <f t="shared" si="87"/>
        <v>0</v>
      </c>
      <c r="Y333" s="75" t="str">
        <f t="shared" si="88"/>
        <v/>
      </c>
      <c r="Z333" s="49"/>
      <c r="AA333" s="49"/>
      <c r="AB333" s="49"/>
      <c r="AC333" s="204"/>
      <c r="AD333" s="48" t="str">
        <f t="shared" si="89"/>
        <v/>
      </c>
      <c r="AE333" s="48" t="str">
        <f t="shared" si="90"/>
        <v/>
      </c>
      <c r="AF333" s="76" t="str">
        <f t="shared" si="91"/>
        <v/>
      </c>
      <c r="AG333" s="77">
        <f t="shared" si="92"/>
        <v>0</v>
      </c>
      <c r="AH333" s="77">
        <f t="shared" si="93"/>
        <v>0</v>
      </c>
      <c r="AI333" s="76">
        <f t="shared" si="95"/>
        <v>0</v>
      </c>
      <c r="AJ333" s="203"/>
    </row>
    <row r="334" spans="1:36" s="56" customFormat="1" ht="14.25">
      <c r="A334" s="44"/>
      <c r="B334" s="45"/>
      <c r="C334" s="46">
        <f t="shared" si="80"/>
        <v>0</v>
      </c>
      <c r="D334" s="47"/>
      <c r="E334" s="47"/>
      <c r="F334" s="47"/>
      <c r="G334" s="47"/>
      <c r="H334" s="48"/>
      <c r="I334" s="75" t="str">
        <f t="shared" si="81"/>
        <v/>
      </c>
      <c r="J334" s="49"/>
      <c r="K334" s="49"/>
      <c r="L334" s="49"/>
      <c r="M334" s="47"/>
      <c r="N334" s="48" t="str">
        <f t="shared" si="82"/>
        <v/>
      </c>
      <c r="O334" s="48" t="str">
        <f t="shared" si="83"/>
        <v/>
      </c>
      <c r="P334" s="76" t="str">
        <f t="shared" si="84"/>
        <v/>
      </c>
      <c r="Q334" s="77">
        <f t="shared" si="85"/>
        <v>0</v>
      </c>
      <c r="R334" s="77">
        <f t="shared" si="86"/>
        <v>0</v>
      </c>
      <c r="S334" s="76">
        <f t="shared" si="94"/>
        <v>0</v>
      </c>
      <c r="T334" s="47"/>
      <c r="V334" s="57"/>
      <c r="W334" s="45"/>
      <c r="X334" s="46">
        <f t="shared" si="87"/>
        <v>0</v>
      </c>
      <c r="Y334" s="75" t="str">
        <f t="shared" si="88"/>
        <v/>
      </c>
      <c r="Z334" s="49"/>
      <c r="AA334" s="49"/>
      <c r="AB334" s="49"/>
      <c r="AC334" s="204"/>
      <c r="AD334" s="48" t="str">
        <f t="shared" si="89"/>
        <v/>
      </c>
      <c r="AE334" s="48" t="str">
        <f t="shared" si="90"/>
        <v/>
      </c>
      <c r="AF334" s="76" t="str">
        <f t="shared" si="91"/>
        <v/>
      </c>
      <c r="AG334" s="77">
        <f t="shared" si="92"/>
        <v>0</v>
      </c>
      <c r="AH334" s="77">
        <f t="shared" si="93"/>
        <v>0</v>
      </c>
      <c r="AI334" s="76">
        <f t="shared" si="95"/>
        <v>0</v>
      </c>
      <c r="AJ334" s="203"/>
    </row>
    <row r="335" spans="1:36" s="56" customFormat="1" ht="14.25">
      <c r="A335" s="44"/>
      <c r="B335" s="45"/>
      <c r="C335" s="46">
        <f t="shared" si="80"/>
        <v>0</v>
      </c>
      <c r="D335" s="47"/>
      <c r="E335" s="47"/>
      <c r="F335" s="47"/>
      <c r="G335" s="47"/>
      <c r="H335" s="48"/>
      <c r="I335" s="75" t="str">
        <f t="shared" si="81"/>
        <v/>
      </c>
      <c r="J335" s="49"/>
      <c r="K335" s="49"/>
      <c r="L335" s="49"/>
      <c r="M335" s="47"/>
      <c r="N335" s="48" t="str">
        <f t="shared" si="82"/>
        <v/>
      </c>
      <c r="O335" s="48" t="str">
        <f t="shared" si="83"/>
        <v/>
      </c>
      <c r="P335" s="76" t="str">
        <f t="shared" si="84"/>
        <v/>
      </c>
      <c r="Q335" s="77">
        <f t="shared" si="85"/>
        <v>0</v>
      </c>
      <c r="R335" s="77">
        <f t="shared" si="86"/>
        <v>0</v>
      </c>
      <c r="S335" s="76">
        <f t="shared" si="94"/>
        <v>0</v>
      </c>
      <c r="T335" s="47"/>
      <c r="V335" s="57"/>
      <c r="W335" s="45"/>
      <c r="X335" s="46">
        <f t="shared" si="87"/>
        <v>0</v>
      </c>
      <c r="Y335" s="75" t="str">
        <f t="shared" si="88"/>
        <v/>
      </c>
      <c r="Z335" s="49"/>
      <c r="AA335" s="49"/>
      <c r="AB335" s="49"/>
      <c r="AC335" s="204"/>
      <c r="AD335" s="48" t="str">
        <f t="shared" si="89"/>
        <v/>
      </c>
      <c r="AE335" s="48" t="str">
        <f t="shared" si="90"/>
        <v/>
      </c>
      <c r="AF335" s="76" t="str">
        <f t="shared" si="91"/>
        <v/>
      </c>
      <c r="AG335" s="77">
        <f t="shared" si="92"/>
        <v>0</v>
      </c>
      <c r="AH335" s="77">
        <f t="shared" si="93"/>
        <v>0</v>
      </c>
      <c r="AI335" s="76">
        <f t="shared" si="95"/>
        <v>0</v>
      </c>
      <c r="AJ335" s="203"/>
    </row>
    <row r="336" spans="1:36" s="56" customFormat="1" ht="14.25">
      <c r="A336" s="44"/>
      <c r="B336" s="45"/>
      <c r="C336" s="46">
        <f t="shared" si="80"/>
        <v>0</v>
      </c>
      <c r="D336" s="47"/>
      <c r="E336" s="47"/>
      <c r="F336" s="47"/>
      <c r="G336" s="47"/>
      <c r="H336" s="48"/>
      <c r="I336" s="75" t="str">
        <f t="shared" si="81"/>
        <v/>
      </c>
      <c r="J336" s="49"/>
      <c r="K336" s="49"/>
      <c r="L336" s="49"/>
      <c r="M336" s="47"/>
      <c r="N336" s="48" t="str">
        <f t="shared" si="82"/>
        <v/>
      </c>
      <c r="O336" s="48" t="str">
        <f t="shared" si="83"/>
        <v/>
      </c>
      <c r="P336" s="76" t="str">
        <f t="shared" si="84"/>
        <v/>
      </c>
      <c r="Q336" s="77">
        <f t="shared" si="85"/>
        <v>0</v>
      </c>
      <c r="R336" s="77">
        <f t="shared" si="86"/>
        <v>0</v>
      </c>
      <c r="S336" s="76">
        <f t="shared" si="94"/>
        <v>0</v>
      </c>
      <c r="T336" s="47"/>
      <c r="V336" s="57"/>
      <c r="W336" s="45"/>
      <c r="X336" s="46">
        <f t="shared" si="87"/>
        <v>0</v>
      </c>
      <c r="Y336" s="75" t="str">
        <f t="shared" si="88"/>
        <v/>
      </c>
      <c r="Z336" s="49"/>
      <c r="AA336" s="49"/>
      <c r="AB336" s="49"/>
      <c r="AC336" s="204"/>
      <c r="AD336" s="48" t="str">
        <f t="shared" si="89"/>
        <v/>
      </c>
      <c r="AE336" s="48" t="str">
        <f t="shared" si="90"/>
        <v/>
      </c>
      <c r="AF336" s="76" t="str">
        <f t="shared" si="91"/>
        <v/>
      </c>
      <c r="AG336" s="77">
        <f t="shared" si="92"/>
        <v>0</v>
      </c>
      <c r="AH336" s="77">
        <f t="shared" si="93"/>
        <v>0</v>
      </c>
      <c r="AI336" s="76">
        <f t="shared" si="95"/>
        <v>0</v>
      </c>
      <c r="AJ336" s="203"/>
    </row>
    <row r="337" spans="1:36" s="56" customFormat="1" ht="14.25">
      <c r="A337" s="44"/>
      <c r="B337" s="45"/>
      <c r="C337" s="46">
        <f t="shared" si="80"/>
        <v>0</v>
      </c>
      <c r="D337" s="47"/>
      <c r="E337" s="47"/>
      <c r="F337" s="47"/>
      <c r="G337" s="47"/>
      <c r="H337" s="48"/>
      <c r="I337" s="75" t="str">
        <f t="shared" si="81"/>
        <v/>
      </c>
      <c r="J337" s="49"/>
      <c r="K337" s="49"/>
      <c r="L337" s="49"/>
      <c r="M337" s="47"/>
      <c r="N337" s="48" t="str">
        <f t="shared" si="82"/>
        <v/>
      </c>
      <c r="O337" s="48" t="str">
        <f t="shared" si="83"/>
        <v/>
      </c>
      <c r="P337" s="76" t="str">
        <f t="shared" si="84"/>
        <v/>
      </c>
      <c r="Q337" s="77">
        <f t="shared" si="85"/>
        <v>0</v>
      </c>
      <c r="R337" s="77">
        <f t="shared" si="86"/>
        <v>0</v>
      </c>
      <c r="S337" s="76">
        <f t="shared" si="94"/>
        <v>0</v>
      </c>
      <c r="T337" s="47"/>
      <c r="V337" s="57"/>
      <c r="W337" s="45"/>
      <c r="X337" s="46">
        <f t="shared" si="87"/>
        <v>0</v>
      </c>
      <c r="Y337" s="75" t="str">
        <f t="shared" si="88"/>
        <v/>
      </c>
      <c r="Z337" s="49"/>
      <c r="AA337" s="49"/>
      <c r="AB337" s="49"/>
      <c r="AC337" s="204"/>
      <c r="AD337" s="48" t="str">
        <f t="shared" si="89"/>
        <v/>
      </c>
      <c r="AE337" s="48" t="str">
        <f t="shared" si="90"/>
        <v/>
      </c>
      <c r="AF337" s="76" t="str">
        <f t="shared" si="91"/>
        <v/>
      </c>
      <c r="AG337" s="77">
        <f t="shared" si="92"/>
        <v>0</v>
      </c>
      <c r="AH337" s="77">
        <f t="shared" si="93"/>
        <v>0</v>
      </c>
      <c r="AI337" s="76">
        <f t="shared" si="95"/>
        <v>0</v>
      </c>
      <c r="AJ337" s="203"/>
    </row>
    <row r="338" spans="1:36" s="56" customFormat="1" ht="14.25">
      <c r="A338" s="44"/>
      <c r="B338" s="45"/>
      <c r="C338" s="46">
        <f t="shared" si="80"/>
        <v>0</v>
      </c>
      <c r="D338" s="47"/>
      <c r="E338" s="47"/>
      <c r="F338" s="47"/>
      <c r="G338" s="47"/>
      <c r="H338" s="48"/>
      <c r="I338" s="75" t="str">
        <f t="shared" si="81"/>
        <v/>
      </c>
      <c r="J338" s="49"/>
      <c r="K338" s="49"/>
      <c r="L338" s="49"/>
      <c r="M338" s="47"/>
      <c r="N338" s="48" t="str">
        <f t="shared" si="82"/>
        <v/>
      </c>
      <c r="O338" s="48" t="str">
        <f t="shared" si="83"/>
        <v/>
      </c>
      <c r="P338" s="76" t="str">
        <f t="shared" si="84"/>
        <v/>
      </c>
      <c r="Q338" s="77">
        <f t="shared" si="85"/>
        <v>0</v>
      </c>
      <c r="R338" s="77">
        <f t="shared" si="86"/>
        <v>0</v>
      </c>
      <c r="S338" s="76">
        <f t="shared" si="94"/>
        <v>0</v>
      </c>
      <c r="T338" s="47"/>
      <c r="V338" s="57"/>
      <c r="W338" s="45"/>
      <c r="X338" s="46">
        <f t="shared" si="87"/>
        <v>0</v>
      </c>
      <c r="Y338" s="75" t="str">
        <f t="shared" si="88"/>
        <v/>
      </c>
      <c r="Z338" s="49"/>
      <c r="AA338" s="49"/>
      <c r="AB338" s="49"/>
      <c r="AC338" s="204"/>
      <c r="AD338" s="48" t="str">
        <f t="shared" si="89"/>
        <v/>
      </c>
      <c r="AE338" s="48" t="str">
        <f t="shared" si="90"/>
        <v/>
      </c>
      <c r="AF338" s="76" t="str">
        <f t="shared" si="91"/>
        <v/>
      </c>
      <c r="AG338" s="77">
        <f t="shared" si="92"/>
        <v>0</v>
      </c>
      <c r="AH338" s="77">
        <f t="shared" si="93"/>
        <v>0</v>
      </c>
      <c r="AI338" s="76">
        <f t="shared" si="95"/>
        <v>0</v>
      </c>
      <c r="AJ338" s="203"/>
    </row>
    <row r="339" spans="1:36" s="56" customFormat="1" ht="14.25">
      <c r="A339" s="44"/>
      <c r="B339" s="45"/>
      <c r="C339" s="46">
        <f t="shared" si="80"/>
        <v>0</v>
      </c>
      <c r="D339" s="47"/>
      <c r="E339" s="47"/>
      <c r="F339" s="47"/>
      <c r="G339" s="47"/>
      <c r="H339" s="48"/>
      <c r="I339" s="75" t="str">
        <f t="shared" si="81"/>
        <v/>
      </c>
      <c r="J339" s="49"/>
      <c r="K339" s="49"/>
      <c r="L339" s="49"/>
      <c r="M339" s="47"/>
      <c r="N339" s="48" t="str">
        <f t="shared" si="82"/>
        <v/>
      </c>
      <c r="O339" s="48" t="str">
        <f t="shared" si="83"/>
        <v/>
      </c>
      <c r="P339" s="76" t="str">
        <f t="shared" si="84"/>
        <v/>
      </c>
      <c r="Q339" s="77">
        <f t="shared" si="85"/>
        <v>0</v>
      </c>
      <c r="R339" s="77">
        <f t="shared" si="86"/>
        <v>0</v>
      </c>
      <c r="S339" s="76">
        <f t="shared" si="94"/>
        <v>0</v>
      </c>
      <c r="T339" s="47"/>
      <c r="V339" s="57"/>
      <c r="W339" s="45"/>
      <c r="X339" s="46">
        <f t="shared" si="87"/>
        <v>0</v>
      </c>
      <c r="Y339" s="75" t="str">
        <f t="shared" si="88"/>
        <v/>
      </c>
      <c r="Z339" s="49"/>
      <c r="AA339" s="49"/>
      <c r="AB339" s="49"/>
      <c r="AC339" s="204"/>
      <c r="AD339" s="48" t="str">
        <f t="shared" si="89"/>
        <v/>
      </c>
      <c r="AE339" s="48" t="str">
        <f t="shared" si="90"/>
        <v/>
      </c>
      <c r="AF339" s="76" t="str">
        <f t="shared" si="91"/>
        <v/>
      </c>
      <c r="AG339" s="77">
        <f t="shared" si="92"/>
        <v>0</v>
      </c>
      <c r="AH339" s="77">
        <f t="shared" si="93"/>
        <v>0</v>
      </c>
      <c r="AI339" s="76">
        <f t="shared" si="95"/>
        <v>0</v>
      </c>
      <c r="AJ339" s="203"/>
    </row>
    <row r="340" spans="1:36" s="56" customFormat="1" ht="14.25">
      <c r="A340" s="44"/>
      <c r="B340" s="45"/>
      <c r="C340" s="46">
        <f t="shared" si="80"/>
        <v>0</v>
      </c>
      <c r="D340" s="47"/>
      <c r="E340" s="47"/>
      <c r="F340" s="47"/>
      <c r="G340" s="47"/>
      <c r="H340" s="48"/>
      <c r="I340" s="75" t="str">
        <f t="shared" si="81"/>
        <v/>
      </c>
      <c r="J340" s="49"/>
      <c r="K340" s="49"/>
      <c r="L340" s="49"/>
      <c r="M340" s="47"/>
      <c r="N340" s="48" t="str">
        <f t="shared" si="82"/>
        <v/>
      </c>
      <c r="O340" s="48" t="str">
        <f t="shared" si="83"/>
        <v/>
      </c>
      <c r="P340" s="76" t="str">
        <f t="shared" si="84"/>
        <v/>
      </c>
      <c r="Q340" s="77">
        <f t="shared" si="85"/>
        <v>0</v>
      </c>
      <c r="R340" s="77">
        <f t="shared" si="86"/>
        <v>0</v>
      </c>
      <c r="S340" s="76">
        <f t="shared" si="94"/>
        <v>0</v>
      </c>
      <c r="T340" s="47"/>
      <c r="V340" s="57"/>
      <c r="W340" s="45"/>
      <c r="X340" s="46">
        <f t="shared" si="87"/>
        <v>0</v>
      </c>
      <c r="Y340" s="75" t="str">
        <f t="shared" si="88"/>
        <v/>
      </c>
      <c r="Z340" s="49"/>
      <c r="AA340" s="49"/>
      <c r="AB340" s="49"/>
      <c r="AC340" s="204"/>
      <c r="AD340" s="48" t="str">
        <f t="shared" si="89"/>
        <v/>
      </c>
      <c r="AE340" s="48" t="str">
        <f t="shared" si="90"/>
        <v/>
      </c>
      <c r="AF340" s="76" t="str">
        <f t="shared" si="91"/>
        <v/>
      </c>
      <c r="AG340" s="77">
        <f t="shared" si="92"/>
        <v>0</v>
      </c>
      <c r="AH340" s="77">
        <f t="shared" si="93"/>
        <v>0</v>
      </c>
      <c r="AI340" s="76">
        <f t="shared" si="95"/>
        <v>0</v>
      </c>
      <c r="AJ340" s="203"/>
    </row>
    <row r="341" spans="1:36" s="56" customFormat="1" ht="14.25">
      <c r="A341" s="44"/>
      <c r="B341" s="45"/>
      <c r="C341" s="46">
        <f t="shared" si="80"/>
        <v>0</v>
      </c>
      <c r="D341" s="47"/>
      <c r="E341" s="47"/>
      <c r="F341" s="47"/>
      <c r="G341" s="47"/>
      <c r="H341" s="48"/>
      <c r="I341" s="75" t="str">
        <f t="shared" si="81"/>
        <v/>
      </c>
      <c r="J341" s="49"/>
      <c r="K341" s="49"/>
      <c r="L341" s="49"/>
      <c r="M341" s="47"/>
      <c r="N341" s="48" t="str">
        <f t="shared" si="82"/>
        <v/>
      </c>
      <c r="O341" s="48" t="str">
        <f t="shared" si="83"/>
        <v/>
      </c>
      <c r="P341" s="76" t="str">
        <f t="shared" si="84"/>
        <v/>
      </c>
      <c r="Q341" s="77">
        <f t="shared" si="85"/>
        <v>0</v>
      </c>
      <c r="R341" s="77">
        <f t="shared" si="86"/>
        <v>0</v>
      </c>
      <c r="S341" s="76">
        <f t="shared" si="94"/>
        <v>0</v>
      </c>
      <c r="T341" s="47"/>
      <c r="V341" s="57"/>
      <c r="W341" s="45"/>
      <c r="X341" s="46">
        <f t="shared" si="87"/>
        <v>0</v>
      </c>
      <c r="Y341" s="75" t="str">
        <f t="shared" si="88"/>
        <v/>
      </c>
      <c r="Z341" s="49"/>
      <c r="AA341" s="49"/>
      <c r="AB341" s="49"/>
      <c r="AC341" s="204"/>
      <c r="AD341" s="48" t="str">
        <f t="shared" si="89"/>
        <v/>
      </c>
      <c r="AE341" s="48" t="str">
        <f t="shared" si="90"/>
        <v/>
      </c>
      <c r="AF341" s="76" t="str">
        <f t="shared" si="91"/>
        <v/>
      </c>
      <c r="AG341" s="77">
        <f t="shared" si="92"/>
        <v>0</v>
      </c>
      <c r="AH341" s="77">
        <f t="shared" si="93"/>
        <v>0</v>
      </c>
      <c r="AI341" s="76">
        <f t="shared" si="95"/>
        <v>0</v>
      </c>
      <c r="AJ341" s="203"/>
    </row>
    <row r="342" spans="1:36" s="56" customFormat="1" ht="14.25">
      <c r="A342" s="44"/>
      <c r="B342" s="45"/>
      <c r="C342" s="46">
        <f t="shared" si="80"/>
        <v>0</v>
      </c>
      <c r="D342" s="47"/>
      <c r="E342" s="47"/>
      <c r="F342" s="47"/>
      <c r="G342" s="47"/>
      <c r="H342" s="48"/>
      <c r="I342" s="75" t="str">
        <f t="shared" si="81"/>
        <v/>
      </c>
      <c r="J342" s="49"/>
      <c r="K342" s="49"/>
      <c r="L342" s="49"/>
      <c r="M342" s="47"/>
      <c r="N342" s="48" t="str">
        <f t="shared" si="82"/>
        <v/>
      </c>
      <c r="O342" s="48" t="str">
        <f t="shared" si="83"/>
        <v/>
      </c>
      <c r="P342" s="76" t="str">
        <f t="shared" si="84"/>
        <v/>
      </c>
      <c r="Q342" s="77">
        <f t="shared" si="85"/>
        <v>0</v>
      </c>
      <c r="R342" s="77">
        <f t="shared" si="86"/>
        <v>0</v>
      </c>
      <c r="S342" s="76">
        <f t="shared" si="94"/>
        <v>0</v>
      </c>
      <c r="T342" s="47"/>
      <c r="V342" s="57"/>
      <c r="W342" s="45"/>
      <c r="X342" s="46">
        <f t="shared" si="87"/>
        <v>0</v>
      </c>
      <c r="Y342" s="75" t="str">
        <f t="shared" si="88"/>
        <v/>
      </c>
      <c r="Z342" s="49"/>
      <c r="AA342" s="49"/>
      <c r="AB342" s="49"/>
      <c r="AC342" s="204"/>
      <c r="AD342" s="48" t="str">
        <f t="shared" si="89"/>
        <v/>
      </c>
      <c r="AE342" s="48" t="str">
        <f t="shared" si="90"/>
        <v/>
      </c>
      <c r="AF342" s="76" t="str">
        <f t="shared" si="91"/>
        <v/>
      </c>
      <c r="AG342" s="77">
        <f t="shared" si="92"/>
        <v>0</v>
      </c>
      <c r="AH342" s="77">
        <f t="shared" si="93"/>
        <v>0</v>
      </c>
      <c r="AI342" s="76">
        <f t="shared" si="95"/>
        <v>0</v>
      </c>
      <c r="AJ342" s="203"/>
    </row>
    <row r="343" spans="1:36" s="56" customFormat="1" ht="14.25">
      <c r="A343" s="44"/>
      <c r="B343" s="45"/>
      <c r="C343" s="46">
        <f t="shared" si="80"/>
        <v>0</v>
      </c>
      <c r="D343" s="47"/>
      <c r="E343" s="47"/>
      <c r="F343" s="47"/>
      <c r="G343" s="47"/>
      <c r="H343" s="48"/>
      <c r="I343" s="75" t="str">
        <f t="shared" si="81"/>
        <v/>
      </c>
      <c r="J343" s="49"/>
      <c r="K343" s="49"/>
      <c r="L343" s="49"/>
      <c r="M343" s="47"/>
      <c r="N343" s="48" t="str">
        <f t="shared" si="82"/>
        <v/>
      </c>
      <c r="O343" s="48" t="str">
        <f t="shared" si="83"/>
        <v/>
      </c>
      <c r="P343" s="76" t="str">
        <f t="shared" si="84"/>
        <v/>
      </c>
      <c r="Q343" s="77">
        <f t="shared" si="85"/>
        <v>0</v>
      </c>
      <c r="R343" s="77">
        <f t="shared" si="86"/>
        <v>0</v>
      </c>
      <c r="S343" s="76">
        <f t="shared" si="94"/>
        <v>0</v>
      </c>
      <c r="T343" s="47"/>
      <c r="V343" s="57"/>
      <c r="W343" s="45"/>
      <c r="X343" s="46">
        <f t="shared" si="87"/>
        <v>0</v>
      </c>
      <c r="Y343" s="75" t="str">
        <f t="shared" si="88"/>
        <v/>
      </c>
      <c r="Z343" s="49"/>
      <c r="AA343" s="49"/>
      <c r="AB343" s="49"/>
      <c r="AC343" s="204"/>
      <c r="AD343" s="48" t="str">
        <f t="shared" si="89"/>
        <v/>
      </c>
      <c r="AE343" s="48" t="str">
        <f t="shared" si="90"/>
        <v/>
      </c>
      <c r="AF343" s="76" t="str">
        <f t="shared" si="91"/>
        <v/>
      </c>
      <c r="AG343" s="77">
        <f t="shared" si="92"/>
        <v>0</v>
      </c>
      <c r="AH343" s="77">
        <f t="shared" si="93"/>
        <v>0</v>
      </c>
      <c r="AI343" s="76">
        <f t="shared" si="95"/>
        <v>0</v>
      </c>
      <c r="AJ343" s="203"/>
    </row>
    <row r="344" spans="1:36" s="56" customFormat="1" ht="14.25">
      <c r="A344" s="44"/>
      <c r="B344" s="45"/>
      <c r="C344" s="46">
        <f t="shared" si="80"/>
        <v>0</v>
      </c>
      <c r="D344" s="47"/>
      <c r="E344" s="47"/>
      <c r="F344" s="47"/>
      <c r="G344" s="47"/>
      <c r="H344" s="48"/>
      <c r="I344" s="75" t="str">
        <f t="shared" si="81"/>
        <v/>
      </c>
      <c r="J344" s="49"/>
      <c r="K344" s="49"/>
      <c r="L344" s="49"/>
      <c r="M344" s="47"/>
      <c r="N344" s="48" t="str">
        <f t="shared" si="82"/>
        <v/>
      </c>
      <c r="O344" s="48" t="str">
        <f t="shared" si="83"/>
        <v/>
      </c>
      <c r="P344" s="76" t="str">
        <f t="shared" si="84"/>
        <v/>
      </c>
      <c r="Q344" s="77">
        <f t="shared" si="85"/>
        <v>0</v>
      </c>
      <c r="R344" s="77">
        <f t="shared" si="86"/>
        <v>0</v>
      </c>
      <c r="S344" s="76">
        <f t="shared" si="94"/>
        <v>0</v>
      </c>
      <c r="T344" s="47"/>
      <c r="V344" s="57"/>
      <c r="W344" s="45"/>
      <c r="X344" s="46">
        <f t="shared" si="87"/>
        <v>0</v>
      </c>
      <c r="Y344" s="75" t="str">
        <f t="shared" si="88"/>
        <v/>
      </c>
      <c r="Z344" s="49"/>
      <c r="AA344" s="49"/>
      <c r="AB344" s="49"/>
      <c r="AC344" s="204"/>
      <c r="AD344" s="48" t="str">
        <f t="shared" si="89"/>
        <v/>
      </c>
      <c r="AE344" s="48" t="str">
        <f t="shared" si="90"/>
        <v/>
      </c>
      <c r="AF344" s="76" t="str">
        <f t="shared" si="91"/>
        <v/>
      </c>
      <c r="AG344" s="77">
        <f t="shared" si="92"/>
        <v>0</v>
      </c>
      <c r="AH344" s="77">
        <f t="shared" si="93"/>
        <v>0</v>
      </c>
      <c r="AI344" s="76">
        <f t="shared" si="95"/>
        <v>0</v>
      </c>
      <c r="AJ344" s="203"/>
    </row>
    <row r="345" spans="1:36" s="56" customFormat="1" ht="14.25">
      <c r="A345" s="44"/>
      <c r="B345" s="45"/>
      <c r="C345" s="46">
        <f t="shared" si="80"/>
        <v>0</v>
      </c>
      <c r="D345" s="47"/>
      <c r="E345" s="47"/>
      <c r="F345" s="47"/>
      <c r="G345" s="47"/>
      <c r="H345" s="48"/>
      <c r="I345" s="75" t="str">
        <f t="shared" si="81"/>
        <v/>
      </c>
      <c r="J345" s="49"/>
      <c r="K345" s="49"/>
      <c r="L345" s="49"/>
      <c r="M345" s="47"/>
      <c r="N345" s="48" t="str">
        <f t="shared" si="82"/>
        <v/>
      </c>
      <c r="O345" s="48" t="str">
        <f t="shared" si="83"/>
        <v/>
      </c>
      <c r="P345" s="76" t="str">
        <f t="shared" si="84"/>
        <v/>
      </c>
      <c r="Q345" s="77">
        <f t="shared" si="85"/>
        <v>0</v>
      </c>
      <c r="R345" s="77">
        <f t="shared" si="86"/>
        <v>0</v>
      </c>
      <c r="S345" s="76">
        <f t="shared" si="94"/>
        <v>0</v>
      </c>
      <c r="T345" s="47"/>
      <c r="V345" s="57"/>
      <c r="W345" s="45"/>
      <c r="X345" s="46">
        <f t="shared" si="87"/>
        <v>0</v>
      </c>
      <c r="Y345" s="75" t="str">
        <f t="shared" si="88"/>
        <v/>
      </c>
      <c r="Z345" s="49"/>
      <c r="AA345" s="49"/>
      <c r="AB345" s="49"/>
      <c r="AC345" s="204"/>
      <c r="AD345" s="48" t="str">
        <f t="shared" si="89"/>
        <v/>
      </c>
      <c r="AE345" s="48" t="str">
        <f t="shared" si="90"/>
        <v/>
      </c>
      <c r="AF345" s="76" t="str">
        <f t="shared" si="91"/>
        <v/>
      </c>
      <c r="AG345" s="77">
        <f t="shared" si="92"/>
        <v>0</v>
      </c>
      <c r="AH345" s="77">
        <f t="shared" si="93"/>
        <v>0</v>
      </c>
      <c r="AI345" s="76">
        <f t="shared" si="95"/>
        <v>0</v>
      </c>
      <c r="AJ345" s="203"/>
    </row>
    <row r="346" spans="1:36" s="56" customFormat="1" ht="14.25">
      <c r="A346" s="44"/>
      <c r="B346" s="45"/>
      <c r="C346" s="46">
        <f t="shared" si="80"/>
        <v>0</v>
      </c>
      <c r="D346" s="47"/>
      <c r="E346" s="47"/>
      <c r="F346" s="47"/>
      <c r="G346" s="47"/>
      <c r="H346" s="48"/>
      <c r="I346" s="75" t="str">
        <f t="shared" si="81"/>
        <v/>
      </c>
      <c r="J346" s="49"/>
      <c r="K346" s="49"/>
      <c r="L346" s="49"/>
      <c r="M346" s="47"/>
      <c r="N346" s="48" t="str">
        <f t="shared" si="82"/>
        <v/>
      </c>
      <c r="O346" s="48" t="str">
        <f t="shared" si="83"/>
        <v/>
      </c>
      <c r="P346" s="76" t="str">
        <f t="shared" si="84"/>
        <v/>
      </c>
      <c r="Q346" s="77">
        <f t="shared" si="85"/>
        <v>0</v>
      </c>
      <c r="R346" s="77">
        <f t="shared" si="86"/>
        <v>0</v>
      </c>
      <c r="S346" s="76">
        <f t="shared" si="94"/>
        <v>0</v>
      </c>
      <c r="T346" s="47"/>
      <c r="V346" s="57"/>
      <c r="W346" s="45"/>
      <c r="X346" s="46">
        <f t="shared" si="87"/>
        <v>0</v>
      </c>
      <c r="Y346" s="75" t="str">
        <f t="shared" si="88"/>
        <v/>
      </c>
      <c r="Z346" s="49"/>
      <c r="AA346" s="49"/>
      <c r="AB346" s="49"/>
      <c r="AC346" s="204"/>
      <c r="AD346" s="48" t="str">
        <f t="shared" si="89"/>
        <v/>
      </c>
      <c r="AE346" s="48" t="str">
        <f t="shared" si="90"/>
        <v/>
      </c>
      <c r="AF346" s="76" t="str">
        <f t="shared" si="91"/>
        <v/>
      </c>
      <c r="AG346" s="77">
        <f t="shared" si="92"/>
        <v>0</v>
      </c>
      <c r="AH346" s="77">
        <f t="shared" si="93"/>
        <v>0</v>
      </c>
      <c r="AI346" s="76">
        <f t="shared" si="95"/>
        <v>0</v>
      </c>
      <c r="AJ346" s="203"/>
    </row>
    <row r="347" spans="1:36" s="56" customFormat="1" ht="14.25">
      <c r="A347" s="44"/>
      <c r="B347" s="45"/>
      <c r="C347" s="46">
        <f t="shared" si="80"/>
        <v>0</v>
      </c>
      <c r="D347" s="47"/>
      <c r="E347" s="47"/>
      <c r="F347" s="47"/>
      <c r="G347" s="47"/>
      <c r="H347" s="48"/>
      <c r="I347" s="75" t="str">
        <f t="shared" si="81"/>
        <v/>
      </c>
      <c r="J347" s="49"/>
      <c r="K347" s="49"/>
      <c r="L347" s="49"/>
      <c r="M347" s="47"/>
      <c r="N347" s="48" t="str">
        <f t="shared" si="82"/>
        <v/>
      </c>
      <c r="O347" s="48" t="str">
        <f t="shared" si="83"/>
        <v/>
      </c>
      <c r="P347" s="76" t="str">
        <f t="shared" si="84"/>
        <v/>
      </c>
      <c r="Q347" s="77">
        <f t="shared" si="85"/>
        <v>0</v>
      </c>
      <c r="R347" s="77">
        <f t="shared" si="86"/>
        <v>0</v>
      </c>
      <c r="S347" s="76">
        <f t="shared" si="94"/>
        <v>0</v>
      </c>
      <c r="T347" s="47"/>
      <c r="V347" s="57"/>
      <c r="W347" s="45"/>
      <c r="X347" s="46">
        <f t="shared" si="87"/>
        <v>0</v>
      </c>
      <c r="Y347" s="75" t="str">
        <f t="shared" si="88"/>
        <v/>
      </c>
      <c r="Z347" s="49"/>
      <c r="AA347" s="49"/>
      <c r="AB347" s="49"/>
      <c r="AC347" s="204"/>
      <c r="AD347" s="48" t="str">
        <f t="shared" si="89"/>
        <v/>
      </c>
      <c r="AE347" s="48" t="str">
        <f t="shared" si="90"/>
        <v/>
      </c>
      <c r="AF347" s="76" t="str">
        <f t="shared" si="91"/>
        <v/>
      </c>
      <c r="AG347" s="77">
        <f t="shared" si="92"/>
        <v>0</v>
      </c>
      <c r="AH347" s="77">
        <f t="shared" si="93"/>
        <v>0</v>
      </c>
      <c r="AI347" s="76">
        <f t="shared" si="95"/>
        <v>0</v>
      </c>
      <c r="AJ347" s="203"/>
    </row>
    <row r="348" spans="1:36" s="56" customFormat="1" ht="14.25">
      <c r="A348" s="44"/>
      <c r="B348" s="45"/>
      <c r="C348" s="46">
        <f t="shared" si="80"/>
        <v>0</v>
      </c>
      <c r="D348" s="47"/>
      <c r="E348" s="47"/>
      <c r="F348" s="47"/>
      <c r="G348" s="47"/>
      <c r="H348" s="48"/>
      <c r="I348" s="75" t="str">
        <f t="shared" si="81"/>
        <v/>
      </c>
      <c r="J348" s="49"/>
      <c r="K348" s="49"/>
      <c r="L348" s="49"/>
      <c r="M348" s="47"/>
      <c r="N348" s="48" t="str">
        <f t="shared" si="82"/>
        <v/>
      </c>
      <c r="O348" s="48" t="str">
        <f t="shared" si="83"/>
        <v/>
      </c>
      <c r="P348" s="76" t="str">
        <f t="shared" si="84"/>
        <v/>
      </c>
      <c r="Q348" s="77">
        <f t="shared" si="85"/>
        <v>0</v>
      </c>
      <c r="R348" s="77">
        <f t="shared" si="86"/>
        <v>0</v>
      </c>
      <c r="S348" s="76">
        <f t="shared" si="94"/>
        <v>0</v>
      </c>
      <c r="T348" s="47"/>
      <c r="V348" s="57"/>
      <c r="W348" s="45"/>
      <c r="X348" s="46">
        <f t="shared" si="87"/>
        <v>0</v>
      </c>
      <c r="Y348" s="75" t="str">
        <f t="shared" si="88"/>
        <v/>
      </c>
      <c r="Z348" s="49"/>
      <c r="AA348" s="49"/>
      <c r="AB348" s="49"/>
      <c r="AC348" s="204"/>
      <c r="AD348" s="48" t="str">
        <f t="shared" si="89"/>
        <v/>
      </c>
      <c r="AE348" s="48" t="str">
        <f t="shared" si="90"/>
        <v/>
      </c>
      <c r="AF348" s="76" t="str">
        <f t="shared" si="91"/>
        <v/>
      </c>
      <c r="AG348" s="77">
        <f t="shared" si="92"/>
        <v>0</v>
      </c>
      <c r="AH348" s="77">
        <f t="shared" si="93"/>
        <v>0</v>
      </c>
      <c r="AI348" s="76">
        <f t="shared" si="95"/>
        <v>0</v>
      </c>
      <c r="AJ348" s="203"/>
    </row>
    <row r="349" spans="1:36" s="56" customFormat="1" ht="14.25">
      <c r="A349" s="44"/>
      <c r="B349" s="45"/>
      <c r="C349" s="46">
        <f t="shared" si="80"/>
        <v>0</v>
      </c>
      <c r="D349" s="47"/>
      <c r="E349" s="47"/>
      <c r="F349" s="47"/>
      <c r="G349" s="47"/>
      <c r="H349" s="48"/>
      <c r="I349" s="75" t="str">
        <f t="shared" si="81"/>
        <v/>
      </c>
      <c r="J349" s="49"/>
      <c r="K349" s="49"/>
      <c r="L349" s="49"/>
      <c r="M349" s="47"/>
      <c r="N349" s="48" t="str">
        <f t="shared" si="82"/>
        <v/>
      </c>
      <c r="O349" s="48" t="str">
        <f t="shared" si="83"/>
        <v/>
      </c>
      <c r="P349" s="76" t="str">
        <f t="shared" si="84"/>
        <v/>
      </c>
      <c r="Q349" s="77">
        <f t="shared" si="85"/>
        <v>0</v>
      </c>
      <c r="R349" s="77">
        <f t="shared" si="86"/>
        <v>0</v>
      </c>
      <c r="S349" s="76">
        <f t="shared" si="94"/>
        <v>0</v>
      </c>
      <c r="T349" s="47"/>
      <c r="V349" s="57"/>
      <c r="W349" s="45"/>
      <c r="X349" s="46">
        <f t="shared" si="87"/>
        <v>0</v>
      </c>
      <c r="Y349" s="75" t="str">
        <f t="shared" si="88"/>
        <v/>
      </c>
      <c r="Z349" s="49"/>
      <c r="AA349" s="49"/>
      <c r="AB349" s="49"/>
      <c r="AC349" s="204"/>
      <c r="AD349" s="48" t="str">
        <f t="shared" si="89"/>
        <v/>
      </c>
      <c r="AE349" s="48" t="str">
        <f t="shared" si="90"/>
        <v/>
      </c>
      <c r="AF349" s="76" t="str">
        <f t="shared" si="91"/>
        <v/>
      </c>
      <c r="AG349" s="77">
        <f t="shared" si="92"/>
        <v>0</v>
      </c>
      <c r="AH349" s="77">
        <f t="shared" si="93"/>
        <v>0</v>
      </c>
      <c r="AI349" s="76">
        <f t="shared" si="95"/>
        <v>0</v>
      </c>
      <c r="AJ349" s="203"/>
    </row>
    <row r="350" spans="1:36" s="56" customFormat="1" ht="14.25">
      <c r="A350" s="44"/>
      <c r="B350" s="45"/>
      <c r="C350" s="46">
        <f t="shared" si="80"/>
        <v>0</v>
      </c>
      <c r="D350" s="47"/>
      <c r="E350" s="47"/>
      <c r="F350" s="47"/>
      <c r="G350" s="47"/>
      <c r="H350" s="48"/>
      <c r="I350" s="75" t="str">
        <f t="shared" si="81"/>
        <v/>
      </c>
      <c r="J350" s="49"/>
      <c r="K350" s="49"/>
      <c r="L350" s="49"/>
      <c r="M350" s="47"/>
      <c r="N350" s="48" t="str">
        <f t="shared" si="82"/>
        <v/>
      </c>
      <c r="O350" s="48" t="str">
        <f t="shared" si="83"/>
        <v/>
      </c>
      <c r="P350" s="76" t="str">
        <f t="shared" si="84"/>
        <v/>
      </c>
      <c r="Q350" s="77">
        <f t="shared" si="85"/>
        <v>0</v>
      </c>
      <c r="R350" s="77">
        <f t="shared" si="86"/>
        <v>0</v>
      </c>
      <c r="S350" s="76">
        <f t="shared" si="94"/>
        <v>0</v>
      </c>
      <c r="T350" s="47"/>
      <c r="V350" s="57"/>
      <c r="W350" s="45"/>
      <c r="X350" s="46">
        <f t="shared" si="87"/>
        <v>0</v>
      </c>
      <c r="Y350" s="75" t="str">
        <f t="shared" si="88"/>
        <v/>
      </c>
      <c r="Z350" s="49"/>
      <c r="AA350" s="49"/>
      <c r="AB350" s="49"/>
      <c r="AC350" s="204"/>
      <c r="AD350" s="48" t="str">
        <f t="shared" si="89"/>
        <v/>
      </c>
      <c r="AE350" s="48" t="str">
        <f t="shared" si="90"/>
        <v/>
      </c>
      <c r="AF350" s="76" t="str">
        <f t="shared" si="91"/>
        <v/>
      </c>
      <c r="AG350" s="77">
        <f t="shared" si="92"/>
        <v>0</v>
      </c>
      <c r="AH350" s="77">
        <f t="shared" si="93"/>
        <v>0</v>
      </c>
      <c r="AI350" s="76">
        <f t="shared" si="95"/>
        <v>0</v>
      </c>
      <c r="AJ350" s="203"/>
    </row>
    <row r="351" spans="1:36" s="56" customFormat="1" ht="14.25">
      <c r="A351" s="44"/>
      <c r="B351" s="45"/>
      <c r="C351" s="46">
        <f t="shared" si="80"/>
        <v>0</v>
      </c>
      <c r="D351" s="47"/>
      <c r="E351" s="47"/>
      <c r="F351" s="47"/>
      <c r="G351" s="47"/>
      <c r="H351" s="48"/>
      <c r="I351" s="75" t="str">
        <f t="shared" si="81"/>
        <v/>
      </c>
      <c r="J351" s="49"/>
      <c r="K351" s="49"/>
      <c r="L351" s="49"/>
      <c r="M351" s="47"/>
      <c r="N351" s="48" t="str">
        <f t="shared" si="82"/>
        <v/>
      </c>
      <c r="O351" s="48" t="str">
        <f t="shared" si="83"/>
        <v/>
      </c>
      <c r="P351" s="76" t="str">
        <f t="shared" si="84"/>
        <v/>
      </c>
      <c r="Q351" s="77">
        <f t="shared" si="85"/>
        <v>0</v>
      </c>
      <c r="R351" s="77">
        <f t="shared" si="86"/>
        <v>0</v>
      </c>
      <c r="S351" s="76">
        <f t="shared" si="94"/>
        <v>0</v>
      </c>
      <c r="T351" s="47"/>
      <c r="V351" s="57"/>
      <c r="W351" s="45"/>
      <c r="X351" s="46">
        <f t="shared" si="87"/>
        <v>0</v>
      </c>
      <c r="Y351" s="75" t="str">
        <f t="shared" si="88"/>
        <v/>
      </c>
      <c r="Z351" s="49"/>
      <c r="AA351" s="49"/>
      <c r="AB351" s="49"/>
      <c r="AC351" s="204"/>
      <c r="AD351" s="48" t="str">
        <f t="shared" si="89"/>
        <v/>
      </c>
      <c r="AE351" s="48" t="str">
        <f t="shared" si="90"/>
        <v/>
      </c>
      <c r="AF351" s="76" t="str">
        <f t="shared" si="91"/>
        <v/>
      </c>
      <c r="AG351" s="77">
        <f t="shared" si="92"/>
        <v>0</v>
      </c>
      <c r="AH351" s="77">
        <f t="shared" si="93"/>
        <v>0</v>
      </c>
      <c r="AI351" s="76">
        <f t="shared" si="95"/>
        <v>0</v>
      </c>
      <c r="AJ351" s="203"/>
    </row>
    <row r="352" spans="1:36" s="56" customFormat="1" ht="14.25">
      <c r="A352" s="44"/>
      <c r="B352" s="45"/>
      <c r="C352" s="46">
        <f t="shared" si="80"/>
        <v>0</v>
      </c>
      <c r="D352" s="47"/>
      <c r="E352" s="47"/>
      <c r="F352" s="47"/>
      <c r="G352" s="47"/>
      <c r="H352" s="48"/>
      <c r="I352" s="75" t="str">
        <f t="shared" si="81"/>
        <v/>
      </c>
      <c r="J352" s="49"/>
      <c r="K352" s="49"/>
      <c r="L352" s="49"/>
      <c r="M352" s="47"/>
      <c r="N352" s="48" t="str">
        <f t="shared" si="82"/>
        <v/>
      </c>
      <c r="O352" s="48" t="str">
        <f t="shared" si="83"/>
        <v/>
      </c>
      <c r="P352" s="76" t="str">
        <f t="shared" si="84"/>
        <v/>
      </c>
      <c r="Q352" s="77">
        <f t="shared" si="85"/>
        <v>0</v>
      </c>
      <c r="R352" s="77">
        <f t="shared" si="86"/>
        <v>0</v>
      </c>
      <c r="S352" s="76">
        <f t="shared" si="94"/>
        <v>0</v>
      </c>
      <c r="T352" s="47"/>
      <c r="V352" s="57"/>
      <c r="W352" s="45"/>
      <c r="X352" s="46">
        <f t="shared" si="87"/>
        <v>0</v>
      </c>
      <c r="Y352" s="75" t="str">
        <f t="shared" si="88"/>
        <v/>
      </c>
      <c r="Z352" s="49"/>
      <c r="AA352" s="49"/>
      <c r="AB352" s="49"/>
      <c r="AC352" s="204"/>
      <c r="AD352" s="48" t="str">
        <f t="shared" si="89"/>
        <v/>
      </c>
      <c r="AE352" s="48" t="str">
        <f t="shared" si="90"/>
        <v/>
      </c>
      <c r="AF352" s="76" t="str">
        <f t="shared" si="91"/>
        <v/>
      </c>
      <c r="AG352" s="77">
        <f t="shared" si="92"/>
        <v>0</v>
      </c>
      <c r="AH352" s="77">
        <f t="shared" si="93"/>
        <v>0</v>
      </c>
      <c r="AI352" s="76">
        <f t="shared" si="95"/>
        <v>0</v>
      </c>
      <c r="AJ352" s="203"/>
    </row>
    <row r="353" spans="1:36" s="56" customFormat="1" ht="14.25">
      <c r="A353" s="44"/>
      <c r="B353" s="45"/>
      <c r="C353" s="46">
        <f t="shared" si="80"/>
        <v>0</v>
      </c>
      <c r="D353" s="47"/>
      <c r="E353" s="47"/>
      <c r="F353" s="47"/>
      <c r="G353" s="47"/>
      <c r="H353" s="48"/>
      <c r="I353" s="75" t="str">
        <f t="shared" si="81"/>
        <v/>
      </c>
      <c r="J353" s="49"/>
      <c r="K353" s="49"/>
      <c r="L353" s="49"/>
      <c r="M353" s="47"/>
      <c r="N353" s="48" t="str">
        <f t="shared" si="82"/>
        <v/>
      </c>
      <c r="O353" s="48" t="str">
        <f t="shared" si="83"/>
        <v/>
      </c>
      <c r="P353" s="76" t="str">
        <f t="shared" si="84"/>
        <v/>
      </c>
      <c r="Q353" s="77">
        <f t="shared" si="85"/>
        <v>0</v>
      </c>
      <c r="R353" s="77">
        <f t="shared" si="86"/>
        <v>0</v>
      </c>
      <c r="S353" s="76">
        <f t="shared" si="94"/>
        <v>0</v>
      </c>
      <c r="T353" s="47"/>
      <c r="V353" s="57"/>
      <c r="W353" s="45"/>
      <c r="X353" s="46">
        <f t="shared" si="87"/>
        <v>0</v>
      </c>
      <c r="Y353" s="75" t="str">
        <f t="shared" si="88"/>
        <v/>
      </c>
      <c r="Z353" s="49"/>
      <c r="AA353" s="49"/>
      <c r="AB353" s="49"/>
      <c r="AC353" s="204"/>
      <c r="AD353" s="48" t="str">
        <f t="shared" si="89"/>
        <v/>
      </c>
      <c r="AE353" s="48" t="str">
        <f t="shared" si="90"/>
        <v/>
      </c>
      <c r="AF353" s="76" t="str">
        <f t="shared" si="91"/>
        <v/>
      </c>
      <c r="AG353" s="77">
        <f t="shared" si="92"/>
        <v>0</v>
      </c>
      <c r="AH353" s="77">
        <f t="shared" si="93"/>
        <v>0</v>
      </c>
      <c r="AI353" s="76">
        <f t="shared" si="95"/>
        <v>0</v>
      </c>
      <c r="AJ353" s="203"/>
    </row>
    <row r="354" spans="1:36" s="56" customFormat="1" ht="14.25">
      <c r="A354" s="44"/>
      <c r="B354" s="45"/>
      <c r="C354" s="46">
        <f t="shared" si="80"/>
        <v>0</v>
      </c>
      <c r="D354" s="47"/>
      <c r="E354" s="47"/>
      <c r="F354" s="47"/>
      <c r="G354" s="47"/>
      <c r="H354" s="48"/>
      <c r="I354" s="75" t="str">
        <f t="shared" si="81"/>
        <v/>
      </c>
      <c r="J354" s="49"/>
      <c r="K354" s="49"/>
      <c r="L354" s="49"/>
      <c r="M354" s="47"/>
      <c r="N354" s="48" t="str">
        <f t="shared" si="82"/>
        <v/>
      </c>
      <c r="O354" s="48" t="str">
        <f t="shared" si="83"/>
        <v/>
      </c>
      <c r="P354" s="76" t="str">
        <f t="shared" si="84"/>
        <v/>
      </c>
      <c r="Q354" s="77">
        <f t="shared" si="85"/>
        <v>0</v>
      </c>
      <c r="R354" s="77">
        <f t="shared" si="86"/>
        <v>0</v>
      </c>
      <c r="S354" s="76">
        <f t="shared" si="94"/>
        <v>0</v>
      </c>
      <c r="T354" s="47"/>
      <c r="V354" s="57"/>
      <c r="W354" s="45"/>
      <c r="X354" s="46">
        <f t="shared" si="87"/>
        <v>0</v>
      </c>
      <c r="Y354" s="75" t="str">
        <f t="shared" si="88"/>
        <v/>
      </c>
      <c r="Z354" s="49"/>
      <c r="AA354" s="49"/>
      <c r="AB354" s="49"/>
      <c r="AC354" s="204"/>
      <c r="AD354" s="48" t="str">
        <f t="shared" si="89"/>
        <v/>
      </c>
      <c r="AE354" s="48" t="str">
        <f t="shared" si="90"/>
        <v/>
      </c>
      <c r="AF354" s="76" t="str">
        <f t="shared" si="91"/>
        <v/>
      </c>
      <c r="AG354" s="77">
        <f t="shared" si="92"/>
        <v>0</v>
      </c>
      <c r="AH354" s="77">
        <f t="shared" si="93"/>
        <v>0</v>
      </c>
      <c r="AI354" s="76">
        <f t="shared" si="95"/>
        <v>0</v>
      </c>
      <c r="AJ354" s="203"/>
    </row>
    <row r="355" spans="1:36" s="56" customFormat="1" ht="14.25">
      <c r="A355" s="44"/>
      <c r="B355" s="45"/>
      <c r="C355" s="46">
        <f t="shared" si="80"/>
        <v>0</v>
      </c>
      <c r="D355" s="47"/>
      <c r="E355" s="47"/>
      <c r="F355" s="47"/>
      <c r="G355" s="47"/>
      <c r="H355" s="48"/>
      <c r="I355" s="75" t="str">
        <f t="shared" si="81"/>
        <v/>
      </c>
      <c r="J355" s="49"/>
      <c r="K355" s="49"/>
      <c r="L355" s="49"/>
      <c r="M355" s="47"/>
      <c r="N355" s="48" t="str">
        <f t="shared" si="82"/>
        <v/>
      </c>
      <c r="O355" s="48" t="str">
        <f t="shared" si="83"/>
        <v/>
      </c>
      <c r="P355" s="76" t="str">
        <f t="shared" si="84"/>
        <v/>
      </c>
      <c r="Q355" s="77">
        <f t="shared" si="85"/>
        <v>0</v>
      </c>
      <c r="R355" s="77">
        <f t="shared" si="86"/>
        <v>0</v>
      </c>
      <c r="S355" s="76">
        <f t="shared" si="94"/>
        <v>0</v>
      </c>
      <c r="T355" s="47"/>
      <c r="V355" s="57"/>
      <c r="W355" s="45"/>
      <c r="X355" s="46">
        <f t="shared" si="87"/>
        <v>0</v>
      </c>
      <c r="Y355" s="75" t="str">
        <f t="shared" si="88"/>
        <v/>
      </c>
      <c r="Z355" s="49"/>
      <c r="AA355" s="49"/>
      <c r="AB355" s="49"/>
      <c r="AC355" s="204"/>
      <c r="AD355" s="48" t="str">
        <f t="shared" si="89"/>
        <v/>
      </c>
      <c r="AE355" s="48" t="str">
        <f t="shared" si="90"/>
        <v/>
      </c>
      <c r="AF355" s="76" t="str">
        <f t="shared" si="91"/>
        <v/>
      </c>
      <c r="AG355" s="77">
        <f t="shared" si="92"/>
        <v>0</v>
      </c>
      <c r="AH355" s="77">
        <f t="shared" si="93"/>
        <v>0</v>
      </c>
      <c r="AI355" s="76">
        <f t="shared" si="95"/>
        <v>0</v>
      </c>
      <c r="AJ355" s="203"/>
    </row>
    <row r="356" spans="1:36" s="56" customFormat="1" ht="14.25">
      <c r="A356" s="44"/>
      <c r="B356" s="45"/>
      <c r="C356" s="46">
        <f t="shared" si="80"/>
        <v>0</v>
      </c>
      <c r="D356" s="47"/>
      <c r="E356" s="47"/>
      <c r="F356" s="47"/>
      <c r="G356" s="47"/>
      <c r="H356" s="48"/>
      <c r="I356" s="75" t="str">
        <f t="shared" si="81"/>
        <v/>
      </c>
      <c r="J356" s="49"/>
      <c r="K356" s="49"/>
      <c r="L356" s="49"/>
      <c r="M356" s="47"/>
      <c r="N356" s="48" t="str">
        <f t="shared" si="82"/>
        <v/>
      </c>
      <c r="O356" s="48" t="str">
        <f t="shared" si="83"/>
        <v/>
      </c>
      <c r="P356" s="76" t="str">
        <f t="shared" si="84"/>
        <v/>
      </c>
      <c r="Q356" s="77">
        <f t="shared" si="85"/>
        <v>0</v>
      </c>
      <c r="R356" s="77">
        <f t="shared" si="86"/>
        <v>0</v>
      </c>
      <c r="S356" s="76">
        <f t="shared" si="94"/>
        <v>0</v>
      </c>
      <c r="T356" s="47"/>
      <c r="V356" s="57"/>
      <c r="W356" s="45"/>
      <c r="X356" s="46">
        <f t="shared" si="87"/>
        <v>0</v>
      </c>
      <c r="Y356" s="75" t="str">
        <f t="shared" si="88"/>
        <v/>
      </c>
      <c r="Z356" s="49"/>
      <c r="AA356" s="49"/>
      <c r="AB356" s="49"/>
      <c r="AC356" s="204"/>
      <c r="AD356" s="48" t="str">
        <f t="shared" si="89"/>
        <v/>
      </c>
      <c r="AE356" s="48" t="str">
        <f t="shared" si="90"/>
        <v/>
      </c>
      <c r="AF356" s="76" t="str">
        <f t="shared" si="91"/>
        <v/>
      </c>
      <c r="AG356" s="77">
        <f t="shared" si="92"/>
        <v>0</v>
      </c>
      <c r="AH356" s="77">
        <f t="shared" si="93"/>
        <v>0</v>
      </c>
      <c r="AI356" s="76">
        <f t="shared" si="95"/>
        <v>0</v>
      </c>
      <c r="AJ356" s="203"/>
    </row>
    <row r="357" spans="1:36" s="56" customFormat="1" ht="14.25">
      <c r="A357" s="44"/>
      <c r="B357" s="45"/>
      <c r="C357" s="46">
        <f t="shared" si="80"/>
        <v>0</v>
      </c>
      <c r="D357" s="47"/>
      <c r="E357" s="47"/>
      <c r="F357" s="47"/>
      <c r="G357" s="47"/>
      <c r="H357" s="48"/>
      <c r="I357" s="75" t="str">
        <f t="shared" si="81"/>
        <v/>
      </c>
      <c r="J357" s="49"/>
      <c r="K357" s="49"/>
      <c r="L357" s="49"/>
      <c r="M357" s="47"/>
      <c r="N357" s="48" t="str">
        <f t="shared" si="82"/>
        <v/>
      </c>
      <c r="O357" s="48" t="str">
        <f t="shared" si="83"/>
        <v/>
      </c>
      <c r="P357" s="76" t="str">
        <f t="shared" si="84"/>
        <v/>
      </c>
      <c r="Q357" s="77">
        <f t="shared" si="85"/>
        <v>0</v>
      </c>
      <c r="R357" s="77">
        <f t="shared" si="86"/>
        <v>0</v>
      </c>
      <c r="S357" s="76">
        <f t="shared" si="94"/>
        <v>0</v>
      </c>
      <c r="T357" s="47"/>
      <c r="V357" s="57"/>
      <c r="W357" s="45"/>
      <c r="X357" s="46">
        <f t="shared" si="87"/>
        <v>0</v>
      </c>
      <c r="Y357" s="75" t="str">
        <f t="shared" si="88"/>
        <v/>
      </c>
      <c r="Z357" s="49"/>
      <c r="AA357" s="49"/>
      <c r="AB357" s="49"/>
      <c r="AC357" s="204"/>
      <c r="AD357" s="48" t="str">
        <f t="shared" si="89"/>
        <v/>
      </c>
      <c r="AE357" s="48" t="str">
        <f t="shared" si="90"/>
        <v/>
      </c>
      <c r="AF357" s="76" t="str">
        <f t="shared" si="91"/>
        <v/>
      </c>
      <c r="AG357" s="77">
        <f t="shared" si="92"/>
        <v>0</v>
      </c>
      <c r="AH357" s="77">
        <f t="shared" si="93"/>
        <v>0</v>
      </c>
      <c r="AI357" s="76">
        <f t="shared" si="95"/>
        <v>0</v>
      </c>
      <c r="AJ357" s="203"/>
    </row>
    <row r="358" spans="1:36" s="56" customFormat="1" ht="14.25">
      <c r="A358" s="44"/>
      <c r="B358" s="45"/>
      <c r="C358" s="46">
        <f t="shared" si="80"/>
        <v>0</v>
      </c>
      <c r="D358" s="47"/>
      <c r="E358" s="47"/>
      <c r="F358" s="47"/>
      <c r="G358" s="47"/>
      <c r="H358" s="48"/>
      <c r="I358" s="75" t="str">
        <f t="shared" si="81"/>
        <v/>
      </c>
      <c r="J358" s="49"/>
      <c r="K358" s="49"/>
      <c r="L358" s="49"/>
      <c r="M358" s="47"/>
      <c r="N358" s="48" t="str">
        <f t="shared" si="82"/>
        <v/>
      </c>
      <c r="O358" s="48" t="str">
        <f t="shared" si="83"/>
        <v/>
      </c>
      <c r="P358" s="76" t="str">
        <f t="shared" si="84"/>
        <v/>
      </c>
      <c r="Q358" s="77">
        <f t="shared" si="85"/>
        <v>0</v>
      </c>
      <c r="R358" s="77">
        <f t="shared" si="86"/>
        <v>0</v>
      </c>
      <c r="S358" s="76">
        <f t="shared" si="94"/>
        <v>0</v>
      </c>
      <c r="T358" s="47"/>
      <c r="V358" s="57"/>
      <c r="W358" s="45"/>
      <c r="X358" s="46">
        <f t="shared" si="87"/>
        <v>0</v>
      </c>
      <c r="Y358" s="75" t="str">
        <f t="shared" si="88"/>
        <v/>
      </c>
      <c r="Z358" s="49"/>
      <c r="AA358" s="49"/>
      <c r="AB358" s="49"/>
      <c r="AC358" s="204"/>
      <c r="AD358" s="48" t="str">
        <f t="shared" si="89"/>
        <v/>
      </c>
      <c r="AE358" s="48" t="str">
        <f t="shared" si="90"/>
        <v/>
      </c>
      <c r="AF358" s="76" t="str">
        <f t="shared" si="91"/>
        <v/>
      </c>
      <c r="AG358" s="77">
        <f t="shared" si="92"/>
        <v>0</v>
      </c>
      <c r="AH358" s="77">
        <f t="shared" si="93"/>
        <v>0</v>
      </c>
      <c r="AI358" s="76">
        <f t="shared" si="95"/>
        <v>0</v>
      </c>
      <c r="AJ358" s="203"/>
    </row>
    <row r="359" spans="1:36" s="56" customFormat="1" ht="14.25">
      <c r="A359" s="44"/>
      <c r="B359" s="45"/>
      <c r="C359" s="46">
        <f t="shared" si="80"/>
        <v>0</v>
      </c>
      <c r="D359" s="47"/>
      <c r="E359" s="47"/>
      <c r="F359" s="47"/>
      <c r="G359" s="47"/>
      <c r="H359" s="48"/>
      <c r="I359" s="75" t="str">
        <f t="shared" si="81"/>
        <v/>
      </c>
      <c r="J359" s="49"/>
      <c r="K359" s="49"/>
      <c r="L359" s="49"/>
      <c r="M359" s="47"/>
      <c r="N359" s="48" t="str">
        <f t="shared" si="82"/>
        <v/>
      </c>
      <c r="O359" s="48" t="str">
        <f t="shared" si="83"/>
        <v/>
      </c>
      <c r="P359" s="76" t="str">
        <f t="shared" si="84"/>
        <v/>
      </c>
      <c r="Q359" s="77">
        <f t="shared" si="85"/>
        <v>0</v>
      </c>
      <c r="R359" s="77">
        <f t="shared" si="86"/>
        <v>0</v>
      </c>
      <c r="S359" s="76">
        <f t="shared" si="94"/>
        <v>0</v>
      </c>
      <c r="T359" s="47"/>
      <c r="V359" s="57"/>
      <c r="W359" s="45"/>
      <c r="X359" s="46">
        <f t="shared" si="87"/>
        <v>0</v>
      </c>
      <c r="Y359" s="75" t="str">
        <f t="shared" si="88"/>
        <v/>
      </c>
      <c r="Z359" s="49"/>
      <c r="AA359" s="49"/>
      <c r="AB359" s="49"/>
      <c r="AC359" s="204"/>
      <c r="AD359" s="48" t="str">
        <f t="shared" si="89"/>
        <v/>
      </c>
      <c r="AE359" s="48" t="str">
        <f t="shared" si="90"/>
        <v/>
      </c>
      <c r="AF359" s="76" t="str">
        <f t="shared" si="91"/>
        <v/>
      </c>
      <c r="AG359" s="77">
        <f t="shared" si="92"/>
        <v>0</v>
      </c>
      <c r="AH359" s="77">
        <f t="shared" si="93"/>
        <v>0</v>
      </c>
      <c r="AI359" s="76">
        <f t="shared" si="95"/>
        <v>0</v>
      </c>
      <c r="AJ359" s="203"/>
    </row>
    <row r="360" spans="1:36" s="56" customFormat="1" ht="14.25">
      <c r="A360" s="44"/>
      <c r="B360" s="45"/>
      <c r="C360" s="46">
        <f t="shared" si="80"/>
        <v>0</v>
      </c>
      <c r="D360" s="47"/>
      <c r="E360" s="47"/>
      <c r="F360" s="47"/>
      <c r="G360" s="47"/>
      <c r="H360" s="48"/>
      <c r="I360" s="75" t="str">
        <f t="shared" si="81"/>
        <v/>
      </c>
      <c r="J360" s="49"/>
      <c r="K360" s="49"/>
      <c r="L360" s="49"/>
      <c r="M360" s="47"/>
      <c r="N360" s="48" t="str">
        <f t="shared" si="82"/>
        <v/>
      </c>
      <c r="O360" s="48" t="str">
        <f t="shared" si="83"/>
        <v/>
      </c>
      <c r="P360" s="76" t="str">
        <f t="shared" si="84"/>
        <v/>
      </c>
      <c r="Q360" s="77">
        <f t="shared" si="85"/>
        <v>0</v>
      </c>
      <c r="R360" s="77">
        <f t="shared" si="86"/>
        <v>0</v>
      </c>
      <c r="S360" s="76">
        <f t="shared" si="94"/>
        <v>0</v>
      </c>
      <c r="T360" s="47"/>
      <c r="V360" s="57"/>
      <c r="W360" s="45"/>
      <c r="X360" s="46">
        <f t="shared" si="87"/>
        <v>0</v>
      </c>
      <c r="Y360" s="75" t="str">
        <f t="shared" si="88"/>
        <v/>
      </c>
      <c r="Z360" s="49"/>
      <c r="AA360" s="49"/>
      <c r="AB360" s="49"/>
      <c r="AC360" s="204"/>
      <c r="AD360" s="48" t="str">
        <f t="shared" si="89"/>
        <v/>
      </c>
      <c r="AE360" s="48" t="str">
        <f t="shared" si="90"/>
        <v/>
      </c>
      <c r="AF360" s="76" t="str">
        <f t="shared" si="91"/>
        <v/>
      </c>
      <c r="AG360" s="77">
        <f t="shared" si="92"/>
        <v>0</v>
      </c>
      <c r="AH360" s="77">
        <f t="shared" si="93"/>
        <v>0</v>
      </c>
      <c r="AI360" s="76">
        <f t="shared" si="95"/>
        <v>0</v>
      </c>
      <c r="AJ360" s="203"/>
    </row>
    <row r="361" spans="1:36" s="56" customFormat="1" ht="14.25">
      <c r="A361" s="44"/>
      <c r="B361" s="45"/>
      <c r="C361" s="46">
        <f t="shared" si="80"/>
        <v>0</v>
      </c>
      <c r="D361" s="47"/>
      <c r="E361" s="47"/>
      <c r="F361" s="47"/>
      <c r="G361" s="47"/>
      <c r="H361" s="48"/>
      <c r="I361" s="75" t="str">
        <f t="shared" si="81"/>
        <v/>
      </c>
      <c r="J361" s="49"/>
      <c r="K361" s="49"/>
      <c r="L361" s="49"/>
      <c r="M361" s="47"/>
      <c r="N361" s="48" t="str">
        <f t="shared" si="82"/>
        <v/>
      </c>
      <c r="O361" s="48" t="str">
        <f t="shared" si="83"/>
        <v/>
      </c>
      <c r="P361" s="76" t="str">
        <f t="shared" si="84"/>
        <v/>
      </c>
      <c r="Q361" s="77">
        <f t="shared" si="85"/>
        <v>0</v>
      </c>
      <c r="R361" s="77">
        <f t="shared" si="86"/>
        <v>0</v>
      </c>
      <c r="S361" s="76">
        <f t="shared" si="94"/>
        <v>0</v>
      </c>
      <c r="T361" s="47"/>
      <c r="V361" s="57"/>
      <c r="W361" s="45"/>
      <c r="X361" s="46">
        <f t="shared" si="87"/>
        <v>0</v>
      </c>
      <c r="Y361" s="75" t="str">
        <f t="shared" si="88"/>
        <v/>
      </c>
      <c r="Z361" s="49"/>
      <c r="AA361" s="49"/>
      <c r="AB361" s="49"/>
      <c r="AC361" s="204"/>
      <c r="AD361" s="48" t="str">
        <f t="shared" si="89"/>
        <v/>
      </c>
      <c r="AE361" s="48" t="str">
        <f t="shared" si="90"/>
        <v/>
      </c>
      <c r="AF361" s="76" t="str">
        <f t="shared" si="91"/>
        <v/>
      </c>
      <c r="AG361" s="77">
        <f t="shared" si="92"/>
        <v>0</v>
      </c>
      <c r="AH361" s="77">
        <f t="shared" si="93"/>
        <v>0</v>
      </c>
      <c r="AI361" s="76">
        <f t="shared" si="95"/>
        <v>0</v>
      </c>
      <c r="AJ361" s="203"/>
    </row>
    <row r="362" spans="1:36" s="56" customFormat="1" ht="14.25">
      <c r="A362" s="44"/>
      <c r="B362" s="45"/>
      <c r="C362" s="46">
        <f t="shared" si="80"/>
        <v>0</v>
      </c>
      <c r="D362" s="47"/>
      <c r="E362" s="47"/>
      <c r="F362" s="47"/>
      <c r="G362" s="47"/>
      <c r="H362" s="48"/>
      <c r="I362" s="75" t="str">
        <f t="shared" si="81"/>
        <v/>
      </c>
      <c r="J362" s="49"/>
      <c r="K362" s="49"/>
      <c r="L362" s="49"/>
      <c r="M362" s="47"/>
      <c r="N362" s="48" t="str">
        <f t="shared" si="82"/>
        <v/>
      </c>
      <c r="O362" s="48" t="str">
        <f t="shared" si="83"/>
        <v/>
      </c>
      <c r="P362" s="76" t="str">
        <f t="shared" si="84"/>
        <v/>
      </c>
      <c r="Q362" s="77">
        <f t="shared" si="85"/>
        <v>0</v>
      </c>
      <c r="R362" s="77">
        <f t="shared" si="86"/>
        <v>0</v>
      </c>
      <c r="S362" s="76">
        <f t="shared" si="94"/>
        <v>0</v>
      </c>
      <c r="T362" s="47"/>
      <c r="V362" s="57"/>
      <c r="W362" s="45"/>
      <c r="X362" s="46">
        <f t="shared" si="87"/>
        <v>0</v>
      </c>
      <c r="Y362" s="75" t="str">
        <f t="shared" si="88"/>
        <v/>
      </c>
      <c r="Z362" s="49"/>
      <c r="AA362" s="49"/>
      <c r="AB362" s="49"/>
      <c r="AC362" s="204"/>
      <c r="AD362" s="48" t="str">
        <f t="shared" si="89"/>
        <v/>
      </c>
      <c r="AE362" s="48" t="str">
        <f t="shared" si="90"/>
        <v/>
      </c>
      <c r="AF362" s="76" t="str">
        <f t="shared" si="91"/>
        <v/>
      </c>
      <c r="AG362" s="77">
        <f t="shared" si="92"/>
        <v>0</v>
      </c>
      <c r="AH362" s="77">
        <f t="shared" si="93"/>
        <v>0</v>
      </c>
      <c r="AI362" s="76">
        <f t="shared" si="95"/>
        <v>0</v>
      </c>
      <c r="AJ362" s="203"/>
    </row>
    <row r="363" spans="1:36" s="56" customFormat="1" ht="14.25">
      <c r="A363" s="44"/>
      <c r="B363" s="45"/>
      <c r="C363" s="46">
        <f t="shared" si="80"/>
        <v>0</v>
      </c>
      <c r="D363" s="47"/>
      <c r="E363" s="47"/>
      <c r="F363" s="47"/>
      <c r="G363" s="47"/>
      <c r="H363" s="48"/>
      <c r="I363" s="75" t="str">
        <f t="shared" si="81"/>
        <v/>
      </c>
      <c r="J363" s="49"/>
      <c r="K363" s="49"/>
      <c r="L363" s="49"/>
      <c r="M363" s="47"/>
      <c r="N363" s="48" t="str">
        <f t="shared" si="82"/>
        <v/>
      </c>
      <c r="O363" s="48" t="str">
        <f t="shared" si="83"/>
        <v/>
      </c>
      <c r="P363" s="76" t="str">
        <f t="shared" si="84"/>
        <v/>
      </c>
      <c r="Q363" s="77">
        <f t="shared" si="85"/>
        <v>0</v>
      </c>
      <c r="R363" s="77">
        <f t="shared" si="86"/>
        <v>0</v>
      </c>
      <c r="S363" s="76">
        <f t="shared" si="94"/>
        <v>0</v>
      </c>
      <c r="T363" s="47"/>
      <c r="V363" s="57"/>
      <c r="W363" s="45"/>
      <c r="X363" s="46">
        <f t="shared" si="87"/>
        <v>0</v>
      </c>
      <c r="Y363" s="75" t="str">
        <f t="shared" si="88"/>
        <v/>
      </c>
      <c r="Z363" s="49"/>
      <c r="AA363" s="49"/>
      <c r="AB363" s="49"/>
      <c r="AC363" s="204"/>
      <c r="AD363" s="48" t="str">
        <f t="shared" si="89"/>
        <v/>
      </c>
      <c r="AE363" s="48" t="str">
        <f t="shared" si="90"/>
        <v/>
      </c>
      <c r="AF363" s="76" t="str">
        <f t="shared" si="91"/>
        <v/>
      </c>
      <c r="AG363" s="77">
        <f t="shared" si="92"/>
        <v>0</v>
      </c>
      <c r="AH363" s="77">
        <f t="shared" si="93"/>
        <v>0</v>
      </c>
      <c r="AI363" s="76">
        <f t="shared" si="95"/>
        <v>0</v>
      </c>
      <c r="AJ363" s="203"/>
    </row>
    <row r="364" spans="1:36" s="56" customFormat="1" ht="14.25">
      <c r="A364" s="44"/>
      <c r="B364" s="45"/>
      <c r="C364" s="46">
        <f t="shared" si="80"/>
        <v>0</v>
      </c>
      <c r="D364" s="47"/>
      <c r="E364" s="47"/>
      <c r="F364" s="47"/>
      <c r="G364" s="47"/>
      <c r="H364" s="48"/>
      <c r="I364" s="75" t="str">
        <f t="shared" si="81"/>
        <v/>
      </c>
      <c r="J364" s="49"/>
      <c r="K364" s="49"/>
      <c r="L364" s="49"/>
      <c r="M364" s="47"/>
      <c r="N364" s="48" t="str">
        <f t="shared" si="82"/>
        <v/>
      </c>
      <c r="O364" s="48" t="str">
        <f t="shared" si="83"/>
        <v/>
      </c>
      <c r="P364" s="76" t="str">
        <f t="shared" si="84"/>
        <v/>
      </c>
      <c r="Q364" s="77">
        <f t="shared" si="85"/>
        <v>0</v>
      </c>
      <c r="R364" s="77">
        <f t="shared" si="86"/>
        <v>0</v>
      </c>
      <c r="S364" s="76">
        <f t="shared" si="94"/>
        <v>0</v>
      </c>
      <c r="T364" s="47"/>
      <c r="V364" s="57"/>
      <c r="W364" s="45"/>
      <c r="X364" s="46">
        <f t="shared" si="87"/>
        <v>0</v>
      </c>
      <c r="Y364" s="75" t="str">
        <f t="shared" si="88"/>
        <v/>
      </c>
      <c r="Z364" s="49"/>
      <c r="AA364" s="49"/>
      <c r="AB364" s="49"/>
      <c r="AC364" s="204"/>
      <c r="AD364" s="48" t="str">
        <f t="shared" si="89"/>
        <v/>
      </c>
      <c r="AE364" s="48" t="str">
        <f t="shared" si="90"/>
        <v/>
      </c>
      <c r="AF364" s="76" t="str">
        <f t="shared" si="91"/>
        <v/>
      </c>
      <c r="AG364" s="77">
        <f t="shared" si="92"/>
        <v>0</v>
      </c>
      <c r="AH364" s="77">
        <f t="shared" si="93"/>
        <v>0</v>
      </c>
      <c r="AI364" s="76">
        <f t="shared" si="95"/>
        <v>0</v>
      </c>
      <c r="AJ364" s="203"/>
    </row>
    <row r="365" spans="1:36" s="56" customFormat="1" ht="14.25">
      <c r="A365" s="44"/>
      <c r="B365" s="45"/>
      <c r="C365" s="46">
        <f t="shared" si="80"/>
        <v>0</v>
      </c>
      <c r="D365" s="47"/>
      <c r="E365" s="47"/>
      <c r="F365" s="47"/>
      <c r="G365" s="47"/>
      <c r="H365" s="48"/>
      <c r="I365" s="75" t="str">
        <f t="shared" si="81"/>
        <v/>
      </c>
      <c r="J365" s="49"/>
      <c r="K365" s="49"/>
      <c r="L365" s="49"/>
      <c r="M365" s="47"/>
      <c r="N365" s="48" t="str">
        <f t="shared" si="82"/>
        <v/>
      </c>
      <c r="O365" s="48" t="str">
        <f t="shared" si="83"/>
        <v/>
      </c>
      <c r="P365" s="76" t="str">
        <f t="shared" si="84"/>
        <v/>
      </c>
      <c r="Q365" s="77">
        <f t="shared" si="85"/>
        <v>0</v>
      </c>
      <c r="R365" s="77">
        <f t="shared" si="86"/>
        <v>0</v>
      </c>
      <c r="S365" s="76">
        <f t="shared" si="94"/>
        <v>0</v>
      </c>
      <c r="T365" s="47"/>
      <c r="V365" s="57"/>
      <c r="W365" s="45"/>
      <c r="X365" s="46">
        <f t="shared" si="87"/>
        <v>0</v>
      </c>
      <c r="Y365" s="75" t="str">
        <f t="shared" si="88"/>
        <v/>
      </c>
      <c r="Z365" s="49"/>
      <c r="AA365" s="49"/>
      <c r="AB365" s="49"/>
      <c r="AC365" s="204"/>
      <c r="AD365" s="48" t="str">
        <f t="shared" si="89"/>
        <v/>
      </c>
      <c r="AE365" s="48" t="str">
        <f t="shared" si="90"/>
        <v/>
      </c>
      <c r="AF365" s="76" t="str">
        <f t="shared" si="91"/>
        <v/>
      </c>
      <c r="AG365" s="77">
        <f t="shared" si="92"/>
        <v>0</v>
      </c>
      <c r="AH365" s="77">
        <f t="shared" si="93"/>
        <v>0</v>
      </c>
      <c r="AI365" s="76">
        <f t="shared" si="95"/>
        <v>0</v>
      </c>
      <c r="AJ365" s="203"/>
    </row>
    <row r="366" spans="1:36" s="56" customFormat="1" ht="14.25">
      <c r="A366" s="44"/>
      <c r="B366" s="45"/>
      <c r="C366" s="46">
        <f t="shared" si="80"/>
        <v>0</v>
      </c>
      <c r="D366" s="47"/>
      <c r="E366" s="47"/>
      <c r="F366" s="47"/>
      <c r="G366" s="47"/>
      <c r="H366" s="48"/>
      <c r="I366" s="75" t="str">
        <f t="shared" si="81"/>
        <v/>
      </c>
      <c r="J366" s="49"/>
      <c r="K366" s="49"/>
      <c r="L366" s="49"/>
      <c r="M366" s="47"/>
      <c r="N366" s="48" t="str">
        <f t="shared" si="82"/>
        <v/>
      </c>
      <c r="O366" s="48" t="str">
        <f t="shared" si="83"/>
        <v/>
      </c>
      <c r="P366" s="76" t="str">
        <f t="shared" si="84"/>
        <v/>
      </c>
      <c r="Q366" s="77">
        <f t="shared" si="85"/>
        <v>0</v>
      </c>
      <c r="R366" s="77">
        <f t="shared" si="86"/>
        <v>0</v>
      </c>
      <c r="S366" s="76">
        <f t="shared" si="94"/>
        <v>0</v>
      </c>
      <c r="T366" s="47"/>
      <c r="V366" s="57"/>
      <c r="W366" s="45"/>
      <c r="X366" s="46">
        <f t="shared" si="87"/>
        <v>0</v>
      </c>
      <c r="Y366" s="75" t="str">
        <f t="shared" si="88"/>
        <v/>
      </c>
      <c r="Z366" s="49"/>
      <c r="AA366" s="49"/>
      <c r="AB366" s="49"/>
      <c r="AC366" s="204"/>
      <c r="AD366" s="48" t="str">
        <f t="shared" si="89"/>
        <v/>
      </c>
      <c r="AE366" s="48" t="str">
        <f t="shared" si="90"/>
        <v/>
      </c>
      <c r="AF366" s="76" t="str">
        <f t="shared" si="91"/>
        <v/>
      </c>
      <c r="AG366" s="77">
        <f t="shared" si="92"/>
        <v>0</v>
      </c>
      <c r="AH366" s="77">
        <f t="shared" si="93"/>
        <v>0</v>
      </c>
      <c r="AI366" s="76">
        <f t="shared" si="95"/>
        <v>0</v>
      </c>
      <c r="AJ366" s="203"/>
    </row>
    <row r="367" spans="1:36" s="56" customFormat="1" ht="14.25">
      <c r="A367" s="44"/>
      <c r="B367" s="45"/>
      <c r="C367" s="46">
        <f t="shared" si="80"/>
        <v>0</v>
      </c>
      <c r="D367" s="47"/>
      <c r="E367" s="47"/>
      <c r="F367" s="47"/>
      <c r="G367" s="47"/>
      <c r="H367" s="48"/>
      <c r="I367" s="75" t="str">
        <f t="shared" si="81"/>
        <v/>
      </c>
      <c r="J367" s="49"/>
      <c r="K367" s="49"/>
      <c r="L367" s="49"/>
      <c r="M367" s="47"/>
      <c r="N367" s="48" t="str">
        <f t="shared" si="82"/>
        <v/>
      </c>
      <c r="O367" s="48" t="str">
        <f t="shared" si="83"/>
        <v/>
      </c>
      <c r="P367" s="76" t="str">
        <f t="shared" si="84"/>
        <v/>
      </c>
      <c r="Q367" s="77">
        <f t="shared" si="85"/>
        <v>0</v>
      </c>
      <c r="R367" s="77">
        <f t="shared" si="86"/>
        <v>0</v>
      </c>
      <c r="S367" s="76">
        <f t="shared" si="94"/>
        <v>0</v>
      </c>
      <c r="T367" s="47"/>
      <c r="V367" s="57"/>
      <c r="W367" s="45"/>
      <c r="X367" s="46">
        <f t="shared" si="87"/>
        <v>0</v>
      </c>
      <c r="Y367" s="75" t="str">
        <f t="shared" si="88"/>
        <v/>
      </c>
      <c r="Z367" s="49"/>
      <c r="AA367" s="49"/>
      <c r="AB367" s="49"/>
      <c r="AC367" s="204"/>
      <c r="AD367" s="48" t="str">
        <f t="shared" si="89"/>
        <v/>
      </c>
      <c r="AE367" s="48" t="str">
        <f t="shared" si="90"/>
        <v/>
      </c>
      <c r="AF367" s="76" t="str">
        <f t="shared" si="91"/>
        <v/>
      </c>
      <c r="AG367" s="77">
        <f t="shared" si="92"/>
        <v>0</v>
      </c>
      <c r="AH367" s="77">
        <f t="shared" si="93"/>
        <v>0</v>
      </c>
      <c r="AI367" s="76">
        <f t="shared" si="95"/>
        <v>0</v>
      </c>
      <c r="AJ367" s="203"/>
    </row>
    <row r="368" spans="1:36" s="56" customFormat="1" ht="14.25">
      <c r="A368" s="44"/>
      <c r="B368" s="45"/>
      <c r="C368" s="46">
        <f t="shared" si="80"/>
        <v>0</v>
      </c>
      <c r="D368" s="47"/>
      <c r="E368" s="47"/>
      <c r="F368" s="47"/>
      <c r="G368" s="47"/>
      <c r="H368" s="48"/>
      <c r="I368" s="75" t="str">
        <f t="shared" si="81"/>
        <v/>
      </c>
      <c r="J368" s="49"/>
      <c r="K368" s="49"/>
      <c r="L368" s="49"/>
      <c r="M368" s="47"/>
      <c r="N368" s="48" t="str">
        <f t="shared" si="82"/>
        <v/>
      </c>
      <c r="O368" s="48" t="str">
        <f t="shared" si="83"/>
        <v/>
      </c>
      <c r="P368" s="76" t="str">
        <f t="shared" si="84"/>
        <v/>
      </c>
      <c r="Q368" s="77">
        <f t="shared" si="85"/>
        <v>0</v>
      </c>
      <c r="R368" s="77">
        <f t="shared" si="86"/>
        <v>0</v>
      </c>
      <c r="S368" s="76">
        <f t="shared" si="94"/>
        <v>0</v>
      </c>
      <c r="T368" s="47"/>
      <c r="V368" s="57"/>
      <c r="W368" s="45"/>
      <c r="X368" s="46">
        <f t="shared" si="87"/>
        <v>0</v>
      </c>
      <c r="Y368" s="75" t="str">
        <f t="shared" si="88"/>
        <v/>
      </c>
      <c r="Z368" s="49"/>
      <c r="AA368" s="49"/>
      <c r="AB368" s="49"/>
      <c r="AC368" s="204"/>
      <c r="AD368" s="48" t="str">
        <f t="shared" si="89"/>
        <v/>
      </c>
      <c r="AE368" s="48" t="str">
        <f t="shared" si="90"/>
        <v/>
      </c>
      <c r="AF368" s="76" t="str">
        <f t="shared" si="91"/>
        <v/>
      </c>
      <c r="AG368" s="77">
        <f t="shared" si="92"/>
        <v>0</v>
      </c>
      <c r="AH368" s="77">
        <f t="shared" si="93"/>
        <v>0</v>
      </c>
      <c r="AI368" s="76">
        <f t="shared" si="95"/>
        <v>0</v>
      </c>
      <c r="AJ368" s="203"/>
    </row>
    <row r="369" spans="1:36" s="56" customFormat="1" ht="14.25">
      <c r="A369" s="44"/>
      <c r="B369" s="45"/>
      <c r="C369" s="46">
        <f t="shared" si="80"/>
        <v>0</v>
      </c>
      <c r="D369" s="47"/>
      <c r="E369" s="47"/>
      <c r="F369" s="47"/>
      <c r="G369" s="47"/>
      <c r="H369" s="48"/>
      <c r="I369" s="75" t="str">
        <f t="shared" si="81"/>
        <v/>
      </c>
      <c r="J369" s="49"/>
      <c r="K369" s="49"/>
      <c r="L369" s="49"/>
      <c r="M369" s="47"/>
      <c r="N369" s="48" t="str">
        <f t="shared" si="82"/>
        <v/>
      </c>
      <c r="O369" s="48" t="str">
        <f t="shared" si="83"/>
        <v/>
      </c>
      <c r="P369" s="76" t="str">
        <f t="shared" si="84"/>
        <v/>
      </c>
      <c r="Q369" s="77">
        <f t="shared" si="85"/>
        <v>0</v>
      </c>
      <c r="R369" s="77">
        <f t="shared" si="86"/>
        <v>0</v>
      </c>
      <c r="S369" s="76">
        <f t="shared" si="94"/>
        <v>0</v>
      </c>
      <c r="T369" s="47"/>
      <c r="V369" s="57"/>
      <c r="W369" s="45"/>
      <c r="X369" s="46">
        <f t="shared" si="87"/>
        <v>0</v>
      </c>
      <c r="Y369" s="75" t="str">
        <f t="shared" si="88"/>
        <v/>
      </c>
      <c r="Z369" s="49"/>
      <c r="AA369" s="49"/>
      <c r="AB369" s="49"/>
      <c r="AC369" s="204"/>
      <c r="AD369" s="48" t="str">
        <f t="shared" si="89"/>
        <v/>
      </c>
      <c r="AE369" s="48" t="str">
        <f t="shared" si="90"/>
        <v/>
      </c>
      <c r="AF369" s="76" t="str">
        <f t="shared" si="91"/>
        <v/>
      </c>
      <c r="AG369" s="77">
        <f t="shared" si="92"/>
        <v>0</v>
      </c>
      <c r="AH369" s="77">
        <f t="shared" si="93"/>
        <v>0</v>
      </c>
      <c r="AI369" s="76">
        <f t="shared" si="95"/>
        <v>0</v>
      </c>
      <c r="AJ369" s="203"/>
    </row>
    <row r="370" spans="1:36" s="56" customFormat="1" ht="14.25">
      <c r="A370" s="44"/>
      <c r="B370" s="45"/>
      <c r="C370" s="46">
        <f t="shared" si="80"/>
        <v>0</v>
      </c>
      <c r="D370" s="47"/>
      <c r="E370" s="47"/>
      <c r="F370" s="47"/>
      <c r="G370" s="47"/>
      <c r="H370" s="48"/>
      <c r="I370" s="75" t="str">
        <f t="shared" si="81"/>
        <v/>
      </c>
      <c r="J370" s="49"/>
      <c r="K370" s="49"/>
      <c r="L370" s="49"/>
      <c r="M370" s="47"/>
      <c r="N370" s="48" t="str">
        <f t="shared" si="82"/>
        <v/>
      </c>
      <c r="O370" s="48" t="str">
        <f t="shared" si="83"/>
        <v/>
      </c>
      <c r="P370" s="76" t="str">
        <f t="shared" si="84"/>
        <v/>
      </c>
      <c r="Q370" s="77">
        <f t="shared" si="85"/>
        <v>0</v>
      </c>
      <c r="R370" s="77">
        <f t="shared" si="86"/>
        <v>0</v>
      </c>
      <c r="S370" s="76">
        <f t="shared" si="94"/>
        <v>0</v>
      </c>
      <c r="T370" s="47"/>
      <c r="V370" s="57"/>
      <c r="W370" s="45"/>
      <c r="X370" s="46">
        <f t="shared" si="87"/>
        <v>0</v>
      </c>
      <c r="Y370" s="75" t="str">
        <f t="shared" si="88"/>
        <v/>
      </c>
      <c r="Z370" s="49"/>
      <c r="AA370" s="49"/>
      <c r="AB370" s="49"/>
      <c r="AC370" s="204"/>
      <c r="AD370" s="48" t="str">
        <f t="shared" si="89"/>
        <v/>
      </c>
      <c r="AE370" s="48" t="str">
        <f t="shared" si="90"/>
        <v/>
      </c>
      <c r="AF370" s="76" t="str">
        <f t="shared" si="91"/>
        <v/>
      </c>
      <c r="AG370" s="77">
        <f t="shared" si="92"/>
        <v>0</v>
      </c>
      <c r="AH370" s="77">
        <f t="shared" si="93"/>
        <v>0</v>
      </c>
      <c r="AI370" s="76">
        <f t="shared" si="95"/>
        <v>0</v>
      </c>
      <c r="AJ370" s="203"/>
    </row>
    <row r="371" spans="1:36" s="56" customFormat="1" ht="14.25">
      <c r="A371" s="44"/>
      <c r="B371" s="45"/>
      <c r="C371" s="46">
        <f t="shared" si="80"/>
        <v>0</v>
      </c>
      <c r="D371" s="47"/>
      <c r="E371" s="47"/>
      <c r="F371" s="47"/>
      <c r="G371" s="47"/>
      <c r="H371" s="48"/>
      <c r="I371" s="75" t="str">
        <f t="shared" si="81"/>
        <v/>
      </c>
      <c r="J371" s="49"/>
      <c r="K371" s="49"/>
      <c r="L371" s="49"/>
      <c r="M371" s="47"/>
      <c r="N371" s="48" t="str">
        <f t="shared" si="82"/>
        <v/>
      </c>
      <c r="O371" s="48" t="str">
        <f t="shared" si="83"/>
        <v/>
      </c>
      <c r="P371" s="76" t="str">
        <f t="shared" si="84"/>
        <v/>
      </c>
      <c r="Q371" s="77">
        <f t="shared" si="85"/>
        <v>0</v>
      </c>
      <c r="R371" s="77">
        <f t="shared" si="86"/>
        <v>0</v>
      </c>
      <c r="S371" s="76">
        <f t="shared" si="94"/>
        <v>0</v>
      </c>
      <c r="T371" s="47"/>
      <c r="V371" s="57"/>
      <c r="W371" s="45"/>
      <c r="X371" s="46">
        <f t="shared" si="87"/>
        <v>0</v>
      </c>
      <c r="Y371" s="75" t="str">
        <f t="shared" si="88"/>
        <v/>
      </c>
      <c r="Z371" s="49"/>
      <c r="AA371" s="49"/>
      <c r="AB371" s="49"/>
      <c r="AC371" s="204"/>
      <c r="AD371" s="48" t="str">
        <f t="shared" si="89"/>
        <v/>
      </c>
      <c r="AE371" s="48" t="str">
        <f t="shared" si="90"/>
        <v/>
      </c>
      <c r="AF371" s="76" t="str">
        <f t="shared" si="91"/>
        <v/>
      </c>
      <c r="AG371" s="77">
        <f t="shared" si="92"/>
        <v>0</v>
      </c>
      <c r="AH371" s="77">
        <f t="shared" si="93"/>
        <v>0</v>
      </c>
      <c r="AI371" s="76">
        <f t="shared" si="95"/>
        <v>0</v>
      </c>
      <c r="AJ371" s="203"/>
    </row>
    <row r="372" spans="1:36" s="56" customFormat="1" ht="14.25">
      <c r="A372" s="44"/>
      <c r="B372" s="45"/>
      <c r="C372" s="46">
        <f t="shared" si="80"/>
        <v>0</v>
      </c>
      <c r="D372" s="47"/>
      <c r="E372" s="47"/>
      <c r="F372" s="47"/>
      <c r="G372" s="47"/>
      <c r="H372" s="48"/>
      <c r="I372" s="75" t="str">
        <f t="shared" si="81"/>
        <v/>
      </c>
      <c r="J372" s="49"/>
      <c r="K372" s="49"/>
      <c r="L372" s="49"/>
      <c r="M372" s="47"/>
      <c r="N372" s="48" t="str">
        <f t="shared" si="82"/>
        <v/>
      </c>
      <c r="O372" s="48" t="str">
        <f t="shared" si="83"/>
        <v/>
      </c>
      <c r="P372" s="76" t="str">
        <f t="shared" si="84"/>
        <v/>
      </c>
      <c r="Q372" s="77">
        <f t="shared" si="85"/>
        <v>0</v>
      </c>
      <c r="R372" s="77">
        <f t="shared" si="86"/>
        <v>0</v>
      </c>
      <c r="S372" s="76">
        <f t="shared" si="94"/>
        <v>0</v>
      </c>
      <c r="T372" s="47"/>
      <c r="V372" s="57"/>
      <c r="W372" s="45"/>
      <c r="X372" s="46">
        <f t="shared" si="87"/>
        <v>0</v>
      </c>
      <c r="Y372" s="75" t="str">
        <f t="shared" si="88"/>
        <v/>
      </c>
      <c r="Z372" s="49"/>
      <c r="AA372" s="49"/>
      <c r="AB372" s="49"/>
      <c r="AC372" s="204"/>
      <c r="AD372" s="48" t="str">
        <f t="shared" si="89"/>
        <v/>
      </c>
      <c r="AE372" s="48" t="str">
        <f t="shared" si="90"/>
        <v/>
      </c>
      <c r="AF372" s="76" t="str">
        <f t="shared" si="91"/>
        <v/>
      </c>
      <c r="AG372" s="77">
        <f t="shared" si="92"/>
        <v>0</v>
      </c>
      <c r="AH372" s="77">
        <f t="shared" si="93"/>
        <v>0</v>
      </c>
      <c r="AI372" s="76">
        <f t="shared" si="95"/>
        <v>0</v>
      </c>
      <c r="AJ372" s="203"/>
    </row>
    <row r="373" spans="1:36" s="56" customFormat="1" ht="14.25">
      <c r="A373" s="44"/>
      <c r="B373" s="45"/>
      <c r="C373" s="46">
        <f t="shared" si="80"/>
        <v>0</v>
      </c>
      <c r="D373" s="47"/>
      <c r="E373" s="47"/>
      <c r="F373" s="47"/>
      <c r="G373" s="47"/>
      <c r="H373" s="48"/>
      <c r="I373" s="75" t="str">
        <f t="shared" si="81"/>
        <v/>
      </c>
      <c r="J373" s="49"/>
      <c r="K373" s="49"/>
      <c r="L373" s="49"/>
      <c r="M373" s="47"/>
      <c r="N373" s="48" t="str">
        <f t="shared" si="82"/>
        <v/>
      </c>
      <c r="O373" s="48" t="str">
        <f t="shared" si="83"/>
        <v/>
      </c>
      <c r="P373" s="76" t="str">
        <f t="shared" si="84"/>
        <v/>
      </c>
      <c r="Q373" s="77">
        <f t="shared" si="85"/>
        <v>0</v>
      </c>
      <c r="R373" s="77">
        <f t="shared" si="86"/>
        <v>0</v>
      </c>
      <c r="S373" s="76">
        <f t="shared" si="94"/>
        <v>0</v>
      </c>
      <c r="T373" s="47"/>
      <c r="V373" s="57"/>
      <c r="W373" s="45"/>
      <c r="X373" s="46">
        <f t="shared" si="87"/>
        <v>0</v>
      </c>
      <c r="Y373" s="75" t="str">
        <f t="shared" si="88"/>
        <v/>
      </c>
      <c r="Z373" s="49"/>
      <c r="AA373" s="49"/>
      <c r="AB373" s="49"/>
      <c r="AC373" s="204"/>
      <c r="AD373" s="48" t="str">
        <f t="shared" si="89"/>
        <v/>
      </c>
      <c r="AE373" s="48" t="str">
        <f t="shared" si="90"/>
        <v/>
      </c>
      <c r="AF373" s="76" t="str">
        <f t="shared" si="91"/>
        <v/>
      </c>
      <c r="AG373" s="77">
        <f t="shared" si="92"/>
        <v>0</v>
      </c>
      <c r="AH373" s="77">
        <f t="shared" si="93"/>
        <v>0</v>
      </c>
      <c r="AI373" s="76">
        <f t="shared" si="95"/>
        <v>0</v>
      </c>
      <c r="AJ373" s="203"/>
    </row>
    <row r="374" spans="1:36" s="56" customFormat="1" ht="14.25">
      <c r="A374" s="44"/>
      <c r="B374" s="45"/>
      <c r="C374" s="46">
        <f t="shared" si="80"/>
        <v>0</v>
      </c>
      <c r="D374" s="47"/>
      <c r="E374" s="47"/>
      <c r="F374" s="47"/>
      <c r="G374" s="47"/>
      <c r="H374" s="48"/>
      <c r="I374" s="75" t="str">
        <f t="shared" si="81"/>
        <v/>
      </c>
      <c r="J374" s="49"/>
      <c r="K374" s="49"/>
      <c r="L374" s="49"/>
      <c r="M374" s="47"/>
      <c r="N374" s="48" t="str">
        <f t="shared" si="82"/>
        <v/>
      </c>
      <c r="O374" s="48" t="str">
        <f t="shared" si="83"/>
        <v/>
      </c>
      <c r="P374" s="76" t="str">
        <f t="shared" si="84"/>
        <v/>
      </c>
      <c r="Q374" s="77">
        <f t="shared" si="85"/>
        <v>0</v>
      </c>
      <c r="R374" s="77">
        <f t="shared" si="86"/>
        <v>0</v>
      </c>
      <c r="S374" s="76">
        <f t="shared" si="94"/>
        <v>0</v>
      </c>
      <c r="T374" s="47"/>
      <c r="V374" s="57"/>
      <c r="W374" s="45"/>
      <c r="X374" s="46">
        <f t="shared" si="87"/>
        <v>0</v>
      </c>
      <c r="Y374" s="75" t="str">
        <f t="shared" si="88"/>
        <v/>
      </c>
      <c r="Z374" s="49"/>
      <c r="AA374" s="49"/>
      <c r="AB374" s="49"/>
      <c r="AC374" s="204"/>
      <c r="AD374" s="48" t="str">
        <f t="shared" si="89"/>
        <v/>
      </c>
      <c r="AE374" s="48" t="str">
        <f t="shared" si="90"/>
        <v/>
      </c>
      <c r="AF374" s="76" t="str">
        <f t="shared" si="91"/>
        <v/>
      </c>
      <c r="AG374" s="77">
        <f t="shared" si="92"/>
        <v>0</v>
      </c>
      <c r="AH374" s="77">
        <f t="shared" si="93"/>
        <v>0</v>
      </c>
      <c r="AI374" s="76">
        <f t="shared" si="95"/>
        <v>0</v>
      </c>
      <c r="AJ374" s="203"/>
    </row>
    <row r="375" spans="1:36" s="56" customFormat="1" ht="14.25">
      <c r="A375" s="44"/>
      <c r="B375" s="45"/>
      <c r="C375" s="46">
        <f t="shared" si="80"/>
        <v>0</v>
      </c>
      <c r="D375" s="47"/>
      <c r="E375" s="47"/>
      <c r="F375" s="47"/>
      <c r="G375" s="47"/>
      <c r="H375" s="48"/>
      <c r="I375" s="75" t="str">
        <f t="shared" si="81"/>
        <v/>
      </c>
      <c r="J375" s="49"/>
      <c r="K375" s="49"/>
      <c r="L375" s="49"/>
      <c r="M375" s="47"/>
      <c r="N375" s="48" t="str">
        <f t="shared" si="82"/>
        <v/>
      </c>
      <c r="O375" s="48" t="str">
        <f t="shared" si="83"/>
        <v/>
      </c>
      <c r="P375" s="76" t="str">
        <f t="shared" si="84"/>
        <v/>
      </c>
      <c r="Q375" s="77">
        <f t="shared" si="85"/>
        <v>0</v>
      </c>
      <c r="R375" s="77">
        <f t="shared" si="86"/>
        <v>0</v>
      </c>
      <c r="S375" s="76">
        <f t="shared" si="94"/>
        <v>0</v>
      </c>
      <c r="T375" s="47"/>
      <c r="V375" s="57"/>
      <c r="W375" s="45"/>
      <c r="X375" s="46">
        <f t="shared" si="87"/>
        <v>0</v>
      </c>
      <c r="Y375" s="75" t="str">
        <f t="shared" si="88"/>
        <v/>
      </c>
      <c r="Z375" s="49"/>
      <c r="AA375" s="49"/>
      <c r="AB375" s="49"/>
      <c r="AC375" s="204"/>
      <c r="AD375" s="48" t="str">
        <f t="shared" si="89"/>
        <v/>
      </c>
      <c r="AE375" s="48" t="str">
        <f t="shared" si="90"/>
        <v/>
      </c>
      <c r="AF375" s="76" t="str">
        <f t="shared" si="91"/>
        <v/>
      </c>
      <c r="AG375" s="77">
        <f t="shared" si="92"/>
        <v>0</v>
      </c>
      <c r="AH375" s="77">
        <f t="shared" si="93"/>
        <v>0</v>
      </c>
      <c r="AI375" s="76">
        <f t="shared" si="95"/>
        <v>0</v>
      </c>
      <c r="AJ375" s="203"/>
    </row>
    <row r="376" spans="1:36" s="56" customFormat="1" ht="14.25">
      <c r="A376" s="44"/>
      <c r="B376" s="45"/>
      <c r="C376" s="46">
        <f t="shared" si="80"/>
        <v>0</v>
      </c>
      <c r="D376" s="47"/>
      <c r="E376" s="47"/>
      <c r="F376" s="47"/>
      <c r="G376" s="47"/>
      <c r="H376" s="48"/>
      <c r="I376" s="75" t="str">
        <f t="shared" si="81"/>
        <v/>
      </c>
      <c r="J376" s="49"/>
      <c r="K376" s="49"/>
      <c r="L376" s="49"/>
      <c r="M376" s="47"/>
      <c r="N376" s="48" t="str">
        <f t="shared" si="82"/>
        <v/>
      </c>
      <c r="O376" s="48" t="str">
        <f t="shared" si="83"/>
        <v/>
      </c>
      <c r="P376" s="76" t="str">
        <f t="shared" si="84"/>
        <v/>
      </c>
      <c r="Q376" s="77">
        <f t="shared" si="85"/>
        <v>0</v>
      </c>
      <c r="R376" s="77">
        <f t="shared" si="86"/>
        <v>0</v>
      </c>
      <c r="S376" s="76">
        <f t="shared" si="94"/>
        <v>0</v>
      </c>
      <c r="T376" s="47"/>
      <c r="V376" s="57"/>
      <c r="W376" s="45"/>
      <c r="X376" s="46">
        <f t="shared" si="87"/>
        <v>0</v>
      </c>
      <c r="Y376" s="75" t="str">
        <f t="shared" si="88"/>
        <v/>
      </c>
      <c r="Z376" s="49"/>
      <c r="AA376" s="49"/>
      <c r="AB376" s="49"/>
      <c r="AC376" s="204"/>
      <c r="AD376" s="48" t="str">
        <f t="shared" si="89"/>
        <v/>
      </c>
      <c r="AE376" s="48" t="str">
        <f t="shared" si="90"/>
        <v/>
      </c>
      <c r="AF376" s="76" t="str">
        <f t="shared" si="91"/>
        <v/>
      </c>
      <c r="AG376" s="77">
        <f t="shared" si="92"/>
        <v>0</v>
      </c>
      <c r="AH376" s="77">
        <f t="shared" si="93"/>
        <v>0</v>
      </c>
      <c r="AI376" s="76">
        <f t="shared" si="95"/>
        <v>0</v>
      </c>
      <c r="AJ376" s="203"/>
    </row>
    <row r="377" spans="1:36" s="56" customFormat="1" ht="14.25">
      <c r="A377" s="44"/>
      <c r="B377" s="45"/>
      <c r="C377" s="46">
        <f t="shared" si="80"/>
        <v>0</v>
      </c>
      <c r="D377" s="47"/>
      <c r="E377" s="47"/>
      <c r="F377" s="47"/>
      <c r="G377" s="47"/>
      <c r="H377" s="48"/>
      <c r="I377" s="75" t="str">
        <f t="shared" si="81"/>
        <v/>
      </c>
      <c r="J377" s="49"/>
      <c r="K377" s="49"/>
      <c r="L377" s="49"/>
      <c r="M377" s="47"/>
      <c r="N377" s="48" t="str">
        <f t="shared" si="82"/>
        <v/>
      </c>
      <c r="O377" s="48" t="str">
        <f t="shared" si="83"/>
        <v/>
      </c>
      <c r="P377" s="76" t="str">
        <f t="shared" si="84"/>
        <v/>
      </c>
      <c r="Q377" s="77">
        <f t="shared" si="85"/>
        <v>0</v>
      </c>
      <c r="R377" s="77">
        <f t="shared" si="86"/>
        <v>0</v>
      </c>
      <c r="S377" s="76">
        <f t="shared" si="94"/>
        <v>0</v>
      </c>
      <c r="T377" s="47"/>
      <c r="V377" s="57"/>
      <c r="W377" s="45"/>
      <c r="X377" s="46">
        <f t="shared" si="87"/>
        <v>0</v>
      </c>
      <c r="Y377" s="75" t="str">
        <f t="shared" si="88"/>
        <v/>
      </c>
      <c r="Z377" s="49"/>
      <c r="AA377" s="49"/>
      <c r="AB377" s="49"/>
      <c r="AC377" s="204"/>
      <c r="AD377" s="48" t="str">
        <f t="shared" si="89"/>
        <v/>
      </c>
      <c r="AE377" s="48" t="str">
        <f t="shared" si="90"/>
        <v/>
      </c>
      <c r="AF377" s="76" t="str">
        <f t="shared" si="91"/>
        <v/>
      </c>
      <c r="AG377" s="77">
        <f t="shared" si="92"/>
        <v>0</v>
      </c>
      <c r="AH377" s="77">
        <f t="shared" si="93"/>
        <v>0</v>
      </c>
      <c r="AI377" s="76">
        <f t="shared" si="95"/>
        <v>0</v>
      </c>
      <c r="AJ377" s="203"/>
    </row>
    <row r="378" spans="1:36" s="56" customFormat="1" ht="14.25">
      <c r="A378" s="44"/>
      <c r="B378" s="45"/>
      <c r="C378" s="46">
        <f t="shared" si="80"/>
        <v>0</v>
      </c>
      <c r="D378" s="47"/>
      <c r="E378" s="47"/>
      <c r="F378" s="47"/>
      <c r="G378" s="47"/>
      <c r="H378" s="48"/>
      <c r="I378" s="75" t="str">
        <f t="shared" si="81"/>
        <v/>
      </c>
      <c r="J378" s="49"/>
      <c r="K378" s="49"/>
      <c r="L378" s="49"/>
      <c r="M378" s="47"/>
      <c r="N378" s="48" t="str">
        <f t="shared" si="82"/>
        <v/>
      </c>
      <c r="O378" s="48" t="str">
        <f t="shared" si="83"/>
        <v/>
      </c>
      <c r="P378" s="76" t="str">
        <f t="shared" si="84"/>
        <v/>
      </c>
      <c r="Q378" s="77">
        <f t="shared" si="85"/>
        <v>0</v>
      </c>
      <c r="R378" s="77">
        <f t="shared" si="86"/>
        <v>0</v>
      </c>
      <c r="S378" s="76">
        <f t="shared" si="94"/>
        <v>0</v>
      </c>
      <c r="T378" s="47"/>
      <c r="V378" s="57"/>
      <c r="W378" s="45"/>
      <c r="X378" s="46">
        <f t="shared" si="87"/>
        <v>0</v>
      </c>
      <c r="Y378" s="75" t="str">
        <f t="shared" si="88"/>
        <v/>
      </c>
      <c r="Z378" s="49"/>
      <c r="AA378" s="49"/>
      <c r="AB378" s="49"/>
      <c r="AC378" s="204"/>
      <c r="AD378" s="48" t="str">
        <f t="shared" si="89"/>
        <v/>
      </c>
      <c r="AE378" s="48" t="str">
        <f t="shared" si="90"/>
        <v/>
      </c>
      <c r="AF378" s="76" t="str">
        <f t="shared" si="91"/>
        <v/>
      </c>
      <c r="AG378" s="77">
        <f t="shared" si="92"/>
        <v>0</v>
      </c>
      <c r="AH378" s="77">
        <f t="shared" si="93"/>
        <v>0</v>
      </c>
      <c r="AI378" s="76">
        <f t="shared" si="95"/>
        <v>0</v>
      </c>
      <c r="AJ378" s="203"/>
    </row>
    <row r="379" spans="1:36" s="56" customFormat="1" ht="14.25">
      <c r="A379" s="44"/>
      <c r="B379" s="45"/>
      <c r="C379" s="46">
        <f t="shared" si="80"/>
        <v>0</v>
      </c>
      <c r="D379" s="47"/>
      <c r="E379" s="47"/>
      <c r="F379" s="47"/>
      <c r="G379" s="47"/>
      <c r="H379" s="48"/>
      <c r="I379" s="75" t="str">
        <f t="shared" si="81"/>
        <v/>
      </c>
      <c r="J379" s="49"/>
      <c r="K379" s="49"/>
      <c r="L379" s="49"/>
      <c r="M379" s="47"/>
      <c r="N379" s="48" t="str">
        <f t="shared" si="82"/>
        <v/>
      </c>
      <c r="O379" s="48" t="str">
        <f t="shared" si="83"/>
        <v/>
      </c>
      <c r="P379" s="76" t="str">
        <f t="shared" si="84"/>
        <v/>
      </c>
      <c r="Q379" s="77">
        <f t="shared" si="85"/>
        <v>0</v>
      </c>
      <c r="R379" s="77">
        <f t="shared" si="86"/>
        <v>0</v>
      </c>
      <c r="S379" s="76">
        <f t="shared" si="94"/>
        <v>0</v>
      </c>
      <c r="T379" s="47"/>
      <c r="V379" s="57"/>
      <c r="W379" s="45"/>
      <c r="X379" s="46">
        <f t="shared" si="87"/>
        <v>0</v>
      </c>
      <c r="Y379" s="75" t="str">
        <f t="shared" si="88"/>
        <v/>
      </c>
      <c r="Z379" s="49"/>
      <c r="AA379" s="49"/>
      <c r="AB379" s="49"/>
      <c r="AC379" s="204"/>
      <c r="AD379" s="48" t="str">
        <f t="shared" si="89"/>
        <v/>
      </c>
      <c r="AE379" s="48" t="str">
        <f t="shared" si="90"/>
        <v/>
      </c>
      <c r="AF379" s="76" t="str">
        <f t="shared" si="91"/>
        <v/>
      </c>
      <c r="AG379" s="77">
        <f t="shared" si="92"/>
        <v>0</v>
      </c>
      <c r="AH379" s="77">
        <f t="shared" si="93"/>
        <v>0</v>
      </c>
      <c r="AI379" s="76">
        <f t="shared" si="95"/>
        <v>0</v>
      </c>
      <c r="AJ379" s="203"/>
    </row>
    <row r="380" spans="1:36" s="56" customFormat="1" ht="14.25">
      <c r="A380" s="44"/>
      <c r="B380" s="45"/>
      <c r="C380" s="46">
        <f t="shared" si="80"/>
        <v>0</v>
      </c>
      <c r="D380" s="47"/>
      <c r="E380" s="47"/>
      <c r="F380" s="47"/>
      <c r="G380" s="47"/>
      <c r="H380" s="48"/>
      <c r="I380" s="75" t="str">
        <f t="shared" si="81"/>
        <v/>
      </c>
      <c r="J380" s="49"/>
      <c r="K380" s="49"/>
      <c r="L380" s="49"/>
      <c r="M380" s="47"/>
      <c r="N380" s="48" t="str">
        <f t="shared" si="82"/>
        <v/>
      </c>
      <c r="O380" s="48" t="str">
        <f t="shared" si="83"/>
        <v/>
      </c>
      <c r="P380" s="76" t="str">
        <f t="shared" si="84"/>
        <v/>
      </c>
      <c r="Q380" s="77">
        <f t="shared" si="85"/>
        <v>0</v>
      </c>
      <c r="R380" s="77">
        <f t="shared" si="86"/>
        <v>0</v>
      </c>
      <c r="S380" s="76">
        <f t="shared" si="94"/>
        <v>0</v>
      </c>
      <c r="T380" s="47"/>
      <c r="V380" s="57"/>
      <c r="W380" s="45"/>
      <c r="X380" s="46">
        <f t="shared" si="87"/>
        <v>0</v>
      </c>
      <c r="Y380" s="75" t="str">
        <f t="shared" si="88"/>
        <v/>
      </c>
      <c r="Z380" s="49"/>
      <c r="AA380" s="49"/>
      <c r="AB380" s="49"/>
      <c r="AC380" s="204"/>
      <c r="AD380" s="48" t="str">
        <f t="shared" si="89"/>
        <v/>
      </c>
      <c r="AE380" s="48" t="str">
        <f t="shared" si="90"/>
        <v/>
      </c>
      <c r="AF380" s="76" t="str">
        <f t="shared" si="91"/>
        <v/>
      </c>
      <c r="AG380" s="77">
        <f t="shared" si="92"/>
        <v>0</v>
      </c>
      <c r="AH380" s="77">
        <f t="shared" si="93"/>
        <v>0</v>
      </c>
      <c r="AI380" s="76">
        <f t="shared" si="95"/>
        <v>0</v>
      </c>
      <c r="AJ380" s="203"/>
    </row>
    <row r="381" spans="1:36" s="56" customFormat="1" ht="14.25">
      <c r="A381" s="44"/>
      <c r="B381" s="45"/>
      <c r="C381" s="46">
        <f t="shared" si="80"/>
        <v>0</v>
      </c>
      <c r="D381" s="47"/>
      <c r="E381" s="47"/>
      <c r="F381" s="47"/>
      <c r="G381" s="47"/>
      <c r="H381" s="48"/>
      <c r="I381" s="75" t="str">
        <f t="shared" si="81"/>
        <v/>
      </c>
      <c r="J381" s="49"/>
      <c r="K381" s="49"/>
      <c r="L381" s="49"/>
      <c r="M381" s="47"/>
      <c r="N381" s="48" t="str">
        <f t="shared" si="82"/>
        <v/>
      </c>
      <c r="O381" s="48" t="str">
        <f t="shared" si="83"/>
        <v/>
      </c>
      <c r="P381" s="76" t="str">
        <f t="shared" si="84"/>
        <v/>
      </c>
      <c r="Q381" s="77">
        <f t="shared" si="85"/>
        <v>0</v>
      </c>
      <c r="R381" s="77">
        <f t="shared" si="86"/>
        <v>0</v>
      </c>
      <c r="S381" s="76">
        <f t="shared" si="94"/>
        <v>0</v>
      </c>
      <c r="T381" s="47"/>
      <c r="V381" s="57"/>
      <c r="W381" s="45"/>
      <c r="X381" s="46">
        <f t="shared" si="87"/>
        <v>0</v>
      </c>
      <c r="Y381" s="75" t="str">
        <f t="shared" si="88"/>
        <v/>
      </c>
      <c r="Z381" s="49"/>
      <c r="AA381" s="49"/>
      <c r="AB381" s="49"/>
      <c r="AC381" s="204"/>
      <c r="AD381" s="48" t="str">
        <f t="shared" si="89"/>
        <v/>
      </c>
      <c r="AE381" s="48" t="str">
        <f t="shared" si="90"/>
        <v/>
      </c>
      <c r="AF381" s="76" t="str">
        <f t="shared" si="91"/>
        <v/>
      </c>
      <c r="AG381" s="77">
        <f t="shared" si="92"/>
        <v>0</v>
      </c>
      <c r="AH381" s="77">
        <f t="shared" si="93"/>
        <v>0</v>
      </c>
      <c r="AI381" s="76">
        <f t="shared" si="95"/>
        <v>0</v>
      </c>
      <c r="AJ381" s="203"/>
    </row>
    <row r="382" spans="1:36" s="56" customFormat="1" ht="14.25">
      <c r="A382" s="44"/>
      <c r="B382" s="45"/>
      <c r="C382" s="46">
        <f t="shared" si="80"/>
        <v>0</v>
      </c>
      <c r="D382" s="47"/>
      <c r="E382" s="47"/>
      <c r="F382" s="47"/>
      <c r="G382" s="47"/>
      <c r="H382" s="48"/>
      <c r="I382" s="75" t="str">
        <f t="shared" si="81"/>
        <v/>
      </c>
      <c r="J382" s="49"/>
      <c r="K382" s="49"/>
      <c r="L382" s="49"/>
      <c r="M382" s="47"/>
      <c r="N382" s="48" t="str">
        <f t="shared" si="82"/>
        <v/>
      </c>
      <c r="O382" s="48" t="str">
        <f t="shared" si="83"/>
        <v/>
      </c>
      <c r="P382" s="76" t="str">
        <f t="shared" si="84"/>
        <v/>
      </c>
      <c r="Q382" s="77">
        <f t="shared" si="85"/>
        <v>0</v>
      </c>
      <c r="R382" s="77">
        <f t="shared" si="86"/>
        <v>0</v>
      </c>
      <c r="S382" s="76">
        <f t="shared" si="94"/>
        <v>0</v>
      </c>
      <c r="T382" s="47"/>
      <c r="V382" s="57"/>
      <c r="W382" s="45"/>
      <c r="X382" s="46">
        <f t="shared" si="87"/>
        <v>0</v>
      </c>
      <c r="Y382" s="75" t="str">
        <f t="shared" si="88"/>
        <v/>
      </c>
      <c r="Z382" s="49"/>
      <c r="AA382" s="49"/>
      <c r="AB382" s="49"/>
      <c r="AC382" s="204"/>
      <c r="AD382" s="48" t="str">
        <f t="shared" si="89"/>
        <v/>
      </c>
      <c r="AE382" s="48" t="str">
        <f t="shared" si="90"/>
        <v/>
      </c>
      <c r="AF382" s="76" t="str">
        <f t="shared" si="91"/>
        <v/>
      </c>
      <c r="AG382" s="77">
        <f t="shared" si="92"/>
        <v>0</v>
      </c>
      <c r="AH382" s="77">
        <f t="shared" si="93"/>
        <v>0</v>
      </c>
      <c r="AI382" s="76">
        <f t="shared" si="95"/>
        <v>0</v>
      </c>
      <c r="AJ382" s="203"/>
    </row>
    <row r="383" spans="1:36" s="56" customFormat="1" ht="14.25">
      <c r="A383" s="44"/>
      <c r="B383" s="45"/>
      <c r="C383" s="46">
        <f t="shared" si="80"/>
        <v>0</v>
      </c>
      <c r="D383" s="47"/>
      <c r="E383" s="47"/>
      <c r="F383" s="47"/>
      <c r="G383" s="47"/>
      <c r="H383" s="48"/>
      <c r="I383" s="75" t="str">
        <f t="shared" si="81"/>
        <v/>
      </c>
      <c r="J383" s="49"/>
      <c r="K383" s="49"/>
      <c r="L383" s="49"/>
      <c r="M383" s="47"/>
      <c r="N383" s="48" t="str">
        <f t="shared" si="82"/>
        <v/>
      </c>
      <c r="O383" s="48" t="str">
        <f t="shared" si="83"/>
        <v/>
      </c>
      <c r="P383" s="76" t="str">
        <f t="shared" si="84"/>
        <v/>
      </c>
      <c r="Q383" s="77">
        <f t="shared" si="85"/>
        <v>0</v>
      </c>
      <c r="R383" s="77">
        <f t="shared" si="86"/>
        <v>0</v>
      </c>
      <c r="S383" s="76">
        <f t="shared" si="94"/>
        <v>0</v>
      </c>
      <c r="T383" s="47"/>
      <c r="V383" s="57"/>
      <c r="W383" s="45"/>
      <c r="X383" s="46">
        <f t="shared" si="87"/>
        <v>0</v>
      </c>
      <c r="Y383" s="75" t="str">
        <f t="shared" si="88"/>
        <v/>
      </c>
      <c r="Z383" s="49"/>
      <c r="AA383" s="49"/>
      <c r="AB383" s="49"/>
      <c r="AC383" s="204"/>
      <c r="AD383" s="48" t="str">
        <f t="shared" si="89"/>
        <v/>
      </c>
      <c r="AE383" s="48" t="str">
        <f t="shared" si="90"/>
        <v/>
      </c>
      <c r="AF383" s="76" t="str">
        <f t="shared" si="91"/>
        <v/>
      </c>
      <c r="AG383" s="77">
        <f t="shared" si="92"/>
        <v>0</v>
      </c>
      <c r="AH383" s="77">
        <f t="shared" si="93"/>
        <v>0</v>
      </c>
      <c r="AI383" s="76">
        <f t="shared" si="95"/>
        <v>0</v>
      </c>
      <c r="AJ383" s="203"/>
    </row>
    <row r="384" spans="1:36" s="56" customFormat="1" ht="14.25">
      <c r="A384" s="233" t="s">
        <v>66</v>
      </c>
      <c r="B384" s="233"/>
      <c r="C384" s="233"/>
      <c r="D384" s="233"/>
      <c r="E384" s="233"/>
      <c r="F384" s="233"/>
      <c r="G384" s="233"/>
      <c r="H384" s="233"/>
      <c r="I384" s="233"/>
      <c r="J384" s="233"/>
      <c r="K384" s="233"/>
      <c r="L384" s="233"/>
      <c r="M384" s="233"/>
      <c r="N384" s="233"/>
      <c r="O384" s="233"/>
      <c r="P384" s="233"/>
      <c r="Q384" s="233"/>
      <c r="R384" s="233"/>
      <c r="S384" s="233"/>
      <c r="T384" s="233"/>
      <c r="W384" s="233"/>
      <c r="X384" s="233"/>
      <c r="Y384" s="233"/>
      <c r="Z384" s="233"/>
      <c r="AA384" s="233"/>
      <c r="AB384" s="233"/>
      <c r="AC384" s="233"/>
      <c r="AD384" s="233"/>
      <c r="AE384" s="233"/>
      <c r="AF384" s="233"/>
      <c r="AG384" s="233"/>
      <c r="AH384" s="233"/>
      <c r="AI384" s="233"/>
      <c r="AJ384" s="233"/>
    </row>
    <row r="385" spans="1:36" ht="25.5">
      <c r="A385" s="66"/>
      <c r="B385" s="67"/>
      <c r="C385" s="67"/>
      <c r="D385" s="68"/>
      <c r="E385" s="68"/>
      <c r="F385" s="68"/>
      <c r="G385" s="68"/>
      <c r="I385" s="66"/>
      <c r="J385" s="66"/>
      <c r="K385" s="66"/>
      <c r="L385" s="66"/>
      <c r="M385" s="66"/>
      <c r="N385" s="67"/>
      <c r="O385" s="67"/>
      <c r="P385" s="70" t="s">
        <v>67</v>
      </c>
      <c r="Q385" s="67"/>
      <c r="R385" s="48">
        <f>IF(AND(M385="ALI",O385="Simples"),7, IF(AND(M385="ALI",O385="Médio"),10, IF(AND(M385="ALI",O385="Complexo"),15, IF(AND(M385="AIE",O385="Simples"),5, IF(AND(M385="AIE",O385="Médio"),7, IF(AND(M385="AIE",O385="Complexo"),10,0))))))</f>
        <v>0</v>
      </c>
      <c r="S385" s="71">
        <f>SUM(S10:S384)</f>
        <v>0</v>
      </c>
      <c r="T385" s="72"/>
      <c r="W385" s="67"/>
      <c r="X385" s="67"/>
      <c r="Y385" s="66"/>
      <c r="Z385" s="66"/>
      <c r="AA385" s="66"/>
      <c r="AB385" s="66"/>
      <c r="AC385" s="66"/>
      <c r="AD385" s="67"/>
      <c r="AE385" s="67"/>
      <c r="AF385" s="70" t="s">
        <v>67</v>
      </c>
      <c r="AG385" s="67"/>
      <c r="AH385" s="48">
        <f>IF(AND(AC385="ALI",AE385="Simples"),7, IF(AND(AC385="ALI",AE385="Médio"),10, IF(AND(AC385="ALI",AE385="Complexo"),15, IF(AND(AC385="AIE",AE385="Simples"),5, IF(AND(AC385="AIE",AE385="Médio"),7, IF(AND(AC385="AIE",AE385="Complexo"),10,0))))))</f>
        <v>0</v>
      </c>
      <c r="AI385" s="71">
        <f>SUM(AI10:AI384)</f>
        <v>0</v>
      </c>
      <c r="AJ385" s="72"/>
    </row>
  </sheetData>
  <mergeCells count="43">
    <mergeCell ref="W7:AJ7"/>
    <mergeCell ref="W8:W9"/>
    <mergeCell ref="X8:X9"/>
    <mergeCell ref="Z8:AI8"/>
    <mergeCell ref="AJ8:AJ9"/>
    <mergeCell ref="AF5:AJ5"/>
    <mergeCell ref="AF3:AJ3"/>
    <mergeCell ref="AF4:AJ4"/>
    <mergeCell ref="V10:AJ10"/>
    <mergeCell ref="W384:AJ384"/>
    <mergeCell ref="V8:V9"/>
    <mergeCell ref="V3:X6"/>
    <mergeCell ref="Y3:AC3"/>
    <mergeCell ref="Y4:AC4"/>
    <mergeCell ref="Y5:AC5"/>
    <mergeCell ref="Y6:AC6"/>
    <mergeCell ref="C1:T1"/>
    <mergeCell ref="K3:M3"/>
    <mergeCell ref="P3:T3"/>
    <mergeCell ref="K4:M4"/>
    <mergeCell ref="P4:T4"/>
    <mergeCell ref="AF6:AJ6"/>
    <mergeCell ref="P6:T6"/>
    <mergeCell ref="K5:M5"/>
    <mergeCell ref="P5:T5"/>
    <mergeCell ref="K6:M6"/>
    <mergeCell ref="A10:T10"/>
    <mergeCell ref="J8:S8"/>
    <mergeCell ref="T8:T9"/>
    <mergeCell ref="A5:C5"/>
    <mergeCell ref="D5:E5"/>
    <mergeCell ref="A6:C6"/>
    <mergeCell ref="D6:E6"/>
    <mergeCell ref="A384:T384"/>
    <mergeCell ref="A7:T7"/>
    <mergeCell ref="A8:A9"/>
    <mergeCell ref="B8:B9"/>
    <mergeCell ref="C8:C9"/>
    <mergeCell ref="D8:D9"/>
    <mergeCell ref="E8:E9"/>
    <mergeCell ref="F8:F9"/>
    <mergeCell ref="G8:G9"/>
    <mergeCell ref="H8:H9"/>
  </mergeCells>
  <conditionalFormatting sqref="K11:P383">
    <cfRule type="expression" dxfId="14" priority="8">
      <formula>$I11&lt;&gt;"%"</formula>
    </cfRule>
  </conditionalFormatting>
  <conditionalFormatting sqref="J11:J383">
    <cfRule type="expression" dxfId="13" priority="9">
      <formula>$I11="%"</formula>
    </cfRule>
  </conditionalFormatting>
  <conditionalFormatting sqref="AA11:AF11">
    <cfRule type="expression" dxfId="12" priority="5">
      <formula>$I11&lt;&gt;"%"</formula>
    </cfRule>
  </conditionalFormatting>
  <conditionalFormatting sqref="Z11">
    <cfRule type="expression" dxfId="11" priority="6">
      <formula>$I11="%"</formula>
    </cfRule>
  </conditionalFormatting>
  <conditionalFormatting sqref="W11:AI11">
    <cfRule type="expression" dxfId="10" priority="4">
      <formula>$V11="OK"</formula>
    </cfRule>
  </conditionalFormatting>
  <conditionalFormatting sqref="AA12:AF383">
    <cfRule type="expression" dxfId="9" priority="2">
      <formula>$I12&lt;&gt;"%"</formula>
    </cfRule>
  </conditionalFormatting>
  <conditionalFormatting sqref="Z12:Z383">
    <cfRule type="expression" dxfId="8" priority="3">
      <formula>$I12="%"</formula>
    </cfRule>
  </conditionalFormatting>
  <conditionalFormatting sqref="W12:AI383">
    <cfRule type="expression" dxfId="7" priority="1">
      <formula>$V12="OK"</formula>
    </cfRule>
  </conditionalFormatting>
  <dataValidations count="3">
    <dataValidation type="list" allowBlank="1" showInputMessage="1" showErrorMessage="1" errorTitle="Erro" error="Selecione uma das opções apresentada" sqref="M11:M383 AC11:AC383">
      <formula1>"-------,EE,SE,CE,ALI,AIE"</formula1>
      <formula2>0</formula2>
    </dataValidation>
    <dataValidation type="list" allowBlank="1" showInputMessage="1" showErrorMessage="1" sqref="B11:B383 W11:W383">
      <formula1>INM</formula1>
      <formula2>0</formula2>
    </dataValidation>
    <dataValidation type="list" allowBlank="1" showInputMessage="1" showErrorMessage="1" sqref="V11:V383">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r:id="rId1"/>
  <headerFooter>
    <oddHeader>&amp;C&amp;A</oddHeader>
    <oddFooter>&amp;CPágina &amp;P de &amp;N</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R384"/>
  <sheetViews>
    <sheetView showGridLines="0" topLeftCell="B1" zoomScale="85" zoomScaleNormal="85" workbookViewId="0">
      <selection activeCell="H3" sqref="H3:J3"/>
    </sheetView>
  </sheetViews>
  <sheetFormatPr defaultColWidth="8.85546875" defaultRowHeight="12.75"/>
  <cols>
    <col min="1" max="1" width="5.5703125" style="15" customWidth="1" collapsed="1"/>
    <col min="2" max="2" width="38.42578125" style="16" customWidth="1" collapsed="1"/>
    <col min="3" max="3" width="8.85546875" style="16" customWidth="1" collapsed="1"/>
    <col min="4" max="4" width="7.5703125" style="17" customWidth="1" collapsed="1"/>
    <col min="5" max="5" width="18.140625" style="17" customWidth="1" collapsed="1"/>
    <col min="6" max="6" width="24.42578125" style="17" customWidth="1" collapsed="1"/>
    <col min="7" max="7" width="44" style="18" customWidth="1" collapsed="1"/>
    <col min="8" max="8" width="12.42578125" style="15" customWidth="1" collapsed="1"/>
    <col min="9" max="9" width="8.42578125" style="16" customWidth="1" collapsed="1"/>
    <col min="10" max="10" width="63" style="16" customWidth="1" collapsed="1"/>
    <col min="11" max="16" width="9.140625" style="16" customWidth="1" collapsed="1"/>
    <col min="17" max="16384" width="8.85546875" style="16"/>
  </cols>
  <sheetData>
    <row r="1" spans="1:18" ht="69" customHeight="1">
      <c r="A1" s="2" t="str">
        <f>Resumo!A1</f>
        <v>Template V.2.0</v>
      </c>
      <c r="B1" s="20"/>
      <c r="C1" s="230" t="s">
        <v>78</v>
      </c>
      <c r="D1" s="230"/>
      <c r="E1" s="230"/>
      <c r="F1" s="230"/>
      <c r="G1" s="230"/>
      <c r="H1" s="230"/>
      <c r="I1" s="230"/>
      <c r="J1" s="230"/>
      <c r="K1" s="78"/>
      <c r="L1" s="78"/>
      <c r="M1" s="78"/>
      <c r="N1" s="78"/>
      <c r="O1" s="78"/>
      <c r="P1" s="78"/>
      <c r="Q1" s="78"/>
      <c r="R1" s="79"/>
    </row>
    <row r="2" spans="1:18" ht="9" customHeight="1">
      <c r="A2" s="250"/>
      <c r="B2" s="250"/>
      <c r="C2" s="32"/>
      <c r="D2" s="32"/>
      <c r="E2" s="32"/>
      <c r="F2" s="32"/>
      <c r="G2" s="32"/>
      <c r="H2" s="32"/>
      <c r="I2" s="32"/>
      <c r="J2" s="32"/>
    </row>
    <row r="3" spans="1:18" ht="18.600000000000001" customHeight="1">
      <c r="A3" s="16"/>
      <c r="B3" s="22"/>
      <c r="C3" s="22"/>
      <c r="D3" s="22"/>
      <c r="E3" s="22"/>
      <c r="F3" s="22"/>
      <c r="G3" s="27" t="s">
        <v>7</v>
      </c>
      <c r="H3" s="224"/>
      <c r="I3" s="224"/>
      <c r="J3" s="224"/>
    </row>
    <row r="4" spans="1:18" ht="18.600000000000001" customHeight="1">
      <c r="A4" s="16"/>
      <c r="B4" s="22"/>
      <c r="C4" s="22"/>
      <c r="D4" s="22"/>
      <c r="E4" s="22"/>
      <c r="F4" s="22"/>
      <c r="G4" s="27" t="s">
        <v>8</v>
      </c>
      <c r="H4" s="225"/>
      <c r="I4" s="225"/>
      <c r="J4" s="225"/>
    </row>
    <row r="5" spans="1:18" ht="18.600000000000001" customHeight="1">
      <c r="A5" s="251" t="s">
        <v>69</v>
      </c>
      <c r="B5" s="251"/>
      <c r="C5" s="252" t="str">
        <f>TEXT(I384,"#.##0,0#")</f>
        <v>0,0</v>
      </c>
      <c r="D5" s="252"/>
      <c r="E5" s="22"/>
      <c r="F5" s="22"/>
      <c r="G5" s="27" t="s">
        <v>9</v>
      </c>
      <c r="H5" s="224"/>
      <c r="I5" s="224"/>
      <c r="J5" s="224"/>
    </row>
    <row r="6" spans="1:18" ht="18.600000000000001" customHeight="1">
      <c r="A6" s="251"/>
      <c r="B6" s="251"/>
      <c r="C6" s="252"/>
      <c r="D6" s="252"/>
      <c r="E6" s="22"/>
      <c r="F6" s="22"/>
      <c r="G6" s="27" t="s">
        <v>10</v>
      </c>
      <c r="H6" s="225"/>
      <c r="I6" s="225"/>
      <c r="J6" s="225"/>
    </row>
    <row r="7" spans="1:18" ht="9" customHeight="1">
      <c r="A7" s="16"/>
      <c r="E7" s="26"/>
      <c r="F7" s="26"/>
      <c r="G7" s="26"/>
      <c r="H7" s="16"/>
    </row>
    <row r="8" spans="1:18" s="38" customFormat="1" ht="23.45" customHeight="1">
      <c r="A8" s="218" t="s">
        <v>43</v>
      </c>
      <c r="B8" s="235" t="s">
        <v>44</v>
      </c>
      <c r="C8" s="235" t="s">
        <v>45</v>
      </c>
      <c r="D8" s="235" t="s">
        <v>70</v>
      </c>
      <c r="E8" s="235" t="s">
        <v>46</v>
      </c>
      <c r="F8" s="235" t="s">
        <v>47</v>
      </c>
      <c r="G8" s="235" t="s">
        <v>48</v>
      </c>
      <c r="H8" s="235" t="s">
        <v>79</v>
      </c>
      <c r="I8" s="235"/>
      <c r="J8" s="218" t="s">
        <v>80</v>
      </c>
    </row>
    <row r="9" spans="1:18" s="43" customFormat="1" ht="15.75">
      <c r="A9" s="218"/>
      <c r="B9" s="235"/>
      <c r="C9" s="235"/>
      <c r="D9" s="235"/>
      <c r="E9" s="235"/>
      <c r="F9" s="235"/>
      <c r="G9" s="235"/>
      <c r="H9" s="35" t="s">
        <v>49</v>
      </c>
      <c r="I9" s="35" t="s">
        <v>53</v>
      </c>
      <c r="J9" s="218"/>
    </row>
    <row r="10" spans="1:18" s="56" customFormat="1" ht="14.25">
      <c r="A10" s="233" t="s">
        <v>77</v>
      </c>
      <c r="B10" s="233"/>
      <c r="C10" s="233"/>
      <c r="D10" s="233"/>
      <c r="E10" s="233"/>
      <c r="F10" s="233"/>
      <c r="G10" s="233"/>
      <c r="H10" s="233"/>
      <c r="I10" s="233"/>
      <c r="J10" s="233"/>
    </row>
    <row r="11" spans="1:18" s="56" customFormat="1" ht="14.25">
      <c r="A11" s="44"/>
      <c r="B11" s="45"/>
      <c r="C11" s="46">
        <f>IF(B11&lt;&gt;"",VLOOKUP(B11,'Tipo Projeto'!$A$3:$B$35,2,0),0)</f>
        <v>0</v>
      </c>
      <c r="D11" s="47"/>
      <c r="E11" s="47"/>
      <c r="F11" s="47"/>
      <c r="G11" s="48"/>
      <c r="H11" s="47"/>
      <c r="I11" s="76">
        <f t="shared" ref="I11:I74" si="0">IF(B11&lt;&gt;"Manutenção em interface",IF(B11&lt;&gt;"Desenv., Manutenção e Publicação de Páginas Estáticas",IF(H11="EE",4,IF(H11="CE",4,IF(H11="SE",5,IF(H11="ALI",7,IF(H11="AIE",5,0)))))*C11,C11),C11)</f>
        <v>0</v>
      </c>
      <c r="J11" s="47"/>
    </row>
    <row r="12" spans="1:18" s="56" customFormat="1" ht="14.25">
      <c r="A12" s="44"/>
      <c r="B12" s="45"/>
      <c r="C12" s="46">
        <f>IF(B12&lt;&gt;"",VLOOKUP(B12,'Tipo Projeto'!$A$3:$B$35,2,0),0)</f>
        <v>0</v>
      </c>
      <c r="D12" s="47"/>
      <c r="E12" s="47"/>
      <c r="F12" s="47"/>
      <c r="G12" s="48"/>
      <c r="H12" s="47"/>
      <c r="I12" s="76">
        <f t="shared" si="0"/>
        <v>0</v>
      </c>
      <c r="J12" s="47"/>
    </row>
    <row r="13" spans="1:18" s="56" customFormat="1" ht="14.25">
      <c r="A13" s="44"/>
      <c r="B13" s="45"/>
      <c r="C13" s="46">
        <f>IF(B13&lt;&gt;"",VLOOKUP(B13,'Tipo Projeto'!$A$3:$B$35,2,0),0)</f>
        <v>0</v>
      </c>
      <c r="D13" s="47"/>
      <c r="E13" s="47"/>
      <c r="F13" s="47"/>
      <c r="G13" s="48"/>
      <c r="H13" s="47"/>
      <c r="I13" s="76">
        <f t="shared" si="0"/>
        <v>0</v>
      </c>
      <c r="J13" s="47"/>
    </row>
    <row r="14" spans="1:18" s="56" customFormat="1" ht="14.25">
      <c r="A14" s="44"/>
      <c r="B14" s="45"/>
      <c r="C14" s="46">
        <f>IF(B14&lt;&gt;"",VLOOKUP(B14,'Tipo Projeto'!$A$3:$B$35,2,0),0)</f>
        <v>0</v>
      </c>
      <c r="D14" s="47"/>
      <c r="E14" s="47"/>
      <c r="F14" s="47"/>
      <c r="G14" s="48"/>
      <c r="H14" s="47"/>
      <c r="I14" s="76">
        <f t="shared" si="0"/>
        <v>0</v>
      </c>
      <c r="J14" s="47"/>
    </row>
    <row r="15" spans="1:18" s="56" customFormat="1" ht="14.25">
      <c r="A15" s="44"/>
      <c r="B15" s="45"/>
      <c r="C15" s="46">
        <f>IF(B15&lt;&gt;"",VLOOKUP(B15,'Tipo Projeto'!$A$3:$B$35,2,0),0)</f>
        <v>0</v>
      </c>
      <c r="D15" s="47"/>
      <c r="E15" s="47"/>
      <c r="F15" s="47"/>
      <c r="G15" s="48"/>
      <c r="H15" s="47"/>
      <c r="I15" s="76">
        <f t="shared" si="0"/>
        <v>0</v>
      </c>
      <c r="J15" s="47"/>
    </row>
    <row r="16" spans="1:18" s="56" customFormat="1" ht="14.25">
      <c r="A16" s="44"/>
      <c r="B16" s="45"/>
      <c r="C16" s="46">
        <f>IF(B16&lt;&gt;"",VLOOKUP(B16,'Tipo Projeto'!$A$3:$B$35,2,0),0)</f>
        <v>0</v>
      </c>
      <c r="D16" s="47"/>
      <c r="E16" s="47"/>
      <c r="F16" s="47"/>
      <c r="G16" s="48"/>
      <c r="H16" s="47"/>
      <c r="I16" s="76">
        <f t="shared" si="0"/>
        <v>0</v>
      </c>
      <c r="J16" s="47"/>
    </row>
    <row r="17" spans="1:10" s="56" customFormat="1" ht="14.25">
      <c r="A17" s="44"/>
      <c r="B17" s="45"/>
      <c r="C17" s="46">
        <f>IF(B17&lt;&gt;"",VLOOKUP(B17,'Tipo Projeto'!$A$3:$B$35,2,0),0)</f>
        <v>0</v>
      </c>
      <c r="D17" s="47"/>
      <c r="E17" s="47"/>
      <c r="F17" s="47"/>
      <c r="G17" s="48"/>
      <c r="H17" s="47"/>
      <c r="I17" s="76">
        <f t="shared" si="0"/>
        <v>0</v>
      </c>
      <c r="J17" s="47"/>
    </row>
    <row r="18" spans="1:10" s="56" customFormat="1" ht="14.25">
      <c r="A18" s="44"/>
      <c r="B18" s="45"/>
      <c r="C18" s="46">
        <f>IF(B18&lt;&gt;"",VLOOKUP(B18,'Tipo Projeto'!$A$3:$B$35,2,0),0)</f>
        <v>0</v>
      </c>
      <c r="D18" s="47"/>
      <c r="E18" s="47"/>
      <c r="F18" s="47"/>
      <c r="G18" s="48"/>
      <c r="H18" s="47"/>
      <c r="I18" s="76">
        <f t="shared" si="0"/>
        <v>0</v>
      </c>
      <c r="J18" s="47"/>
    </row>
    <row r="19" spans="1:10" s="56" customFormat="1" ht="14.25">
      <c r="A19" s="44"/>
      <c r="B19" s="45"/>
      <c r="C19" s="46">
        <f>IF(B19&lt;&gt;"",VLOOKUP(B19,'Tipo Projeto'!$A$3:$B$35,2,0),0)</f>
        <v>0</v>
      </c>
      <c r="D19" s="47"/>
      <c r="E19" s="47"/>
      <c r="F19" s="47"/>
      <c r="G19" s="48"/>
      <c r="H19" s="47"/>
      <c r="I19" s="76">
        <f t="shared" si="0"/>
        <v>0</v>
      </c>
      <c r="J19" s="47"/>
    </row>
    <row r="20" spans="1:10" s="56" customFormat="1" ht="14.25">
      <c r="A20" s="44"/>
      <c r="B20" s="45"/>
      <c r="C20" s="46">
        <f>IF(B20&lt;&gt;"",VLOOKUP(B20,'Tipo Projeto'!$A$3:$B$35,2,0),0)</f>
        <v>0</v>
      </c>
      <c r="D20" s="47"/>
      <c r="E20" s="47"/>
      <c r="F20" s="47"/>
      <c r="G20" s="48"/>
      <c r="H20" s="47"/>
      <c r="I20" s="76">
        <f t="shared" si="0"/>
        <v>0</v>
      </c>
      <c r="J20" s="47"/>
    </row>
    <row r="21" spans="1:10" s="56" customFormat="1" ht="14.25">
      <c r="A21" s="44"/>
      <c r="B21" s="45"/>
      <c r="C21" s="46">
        <f>IF(B21&lt;&gt;"",VLOOKUP(B21,'Tipo Projeto'!$A$3:$B$35,2,0),0)</f>
        <v>0</v>
      </c>
      <c r="D21" s="47"/>
      <c r="E21" s="47"/>
      <c r="F21" s="47"/>
      <c r="G21" s="48"/>
      <c r="H21" s="47"/>
      <c r="I21" s="76">
        <f t="shared" si="0"/>
        <v>0</v>
      </c>
      <c r="J21" s="47"/>
    </row>
    <row r="22" spans="1:10" s="56" customFormat="1" ht="14.25">
      <c r="A22" s="44"/>
      <c r="B22" s="45"/>
      <c r="C22" s="46">
        <f>IF(B22&lt;&gt;"",VLOOKUP(B22,'Tipo Projeto'!$A$3:$B$35,2,0),0)</f>
        <v>0</v>
      </c>
      <c r="D22" s="47"/>
      <c r="E22" s="47"/>
      <c r="F22" s="47"/>
      <c r="G22" s="48"/>
      <c r="H22" s="47"/>
      <c r="I22" s="76">
        <f t="shared" si="0"/>
        <v>0</v>
      </c>
      <c r="J22" s="47"/>
    </row>
    <row r="23" spans="1:10" s="56" customFormat="1" ht="14.25">
      <c r="A23" s="44"/>
      <c r="B23" s="45"/>
      <c r="C23" s="46">
        <f>IF(B23&lt;&gt;"",VLOOKUP(B23,'Tipo Projeto'!$A$3:$B$35,2,0),0)</f>
        <v>0</v>
      </c>
      <c r="D23" s="47"/>
      <c r="E23" s="47"/>
      <c r="F23" s="47"/>
      <c r="G23" s="48"/>
      <c r="H23" s="47"/>
      <c r="I23" s="76">
        <f t="shared" si="0"/>
        <v>0</v>
      </c>
      <c r="J23" s="47"/>
    </row>
    <row r="24" spans="1:10" s="56" customFormat="1" ht="14.25">
      <c r="A24" s="44"/>
      <c r="B24" s="45"/>
      <c r="C24" s="46">
        <f>IF(B24&lt;&gt;"",VLOOKUP(B24,'Tipo Projeto'!$A$3:$B$35,2,0),0)</f>
        <v>0</v>
      </c>
      <c r="D24" s="47"/>
      <c r="E24" s="47"/>
      <c r="F24" s="47"/>
      <c r="G24" s="48"/>
      <c r="H24" s="47"/>
      <c r="I24" s="76">
        <f t="shared" si="0"/>
        <v>0</v>
      </c>
      <c r="J24" s="47"/>
    </row>
    <row r="25" spans="1:10" s="56" customFormat="1" ht="14.25">
      <c r="A25" s="44"/>
      <c r="B25" s="45"/>
      <c r="C25" s="46">
        <f>IF(B25&lt;&gt;"",VLOOKUP(B25,'Tipo Projeto'!$A$3:$B$35,2,0),0)</f>
        <v>0</v>
      </c>
      <c r="D25" s="47"/>
      <c r="E25" s="47"/>
      <c r="F25" s="47"/>
      <c r="G25" s="48"/>
      <c r="H25" s="47"/>
      <c r="I25" s="76">
        <f t="shared" si="0"/>
        <v>0</v>
      </c>
      <c r="J25" s="47"/>
    </row>
    <row r="26" spans="1:10" s="56" customFormat="1" ht="14.25">
      <c r="A26" s="44"/>
      <c r="B26" s="45"/>
      <c r="C26" s="46">
        <f>IF(B26&lt;&gt;"",VLOOKUP(B26,'Tipo Projeto'!$A$3:$B$35,2,0),0)</f>
        <v>0</v>
      </c>
      <c r="D26" s="47"/>
      <c r="E26" s="47"/>
      <c r="F26" s="47"/>
      <c r="G26" s="48"/>
      <c r="H26" s="47"/>
      <c r="I26" s="76">
        <f t="shared" si="0"/>
        <v>0</v>
      </c>
      <c r="J26" s="47"/>
    </row>
    <row r="27" spans="1:10" s="56" customFormat="1" ht="14.25">
      <c r="A27" s="44"/>
      <c r="B27" s="45"/>
      <c r="C27" s="46">
        <f>IF(B27&lt;&gt;"",VLOOKUP(B27,'Tipo Projeto'!$A$3:$B$35,2,0),0)</f>
        <v>0</v>
      </c>
      <c r="D27" s="47"/>
      <c r="E27" s="47"/>
      <c r="F27" s="47"/>
      <c r="G27" s="48"/>
      <c r="H27" s="47"/>
      <c r="I27" s="76">
        <f t="shared" si="0"/>
        <v>0</v>
      </c>
      <c r="J27" s="47"/>
    </row>
    <row r="28" spans="1:10" s="56" customFormat="1" ht="14.25">
      <c r="A28" s="44"/>
      <c r="B28" s="45"/>
      <c r="C28" s="46">
        <f>IF(B28&lt;&gt;"",VLOOKUP(B28,'Tipo Projeto'!$A$3:$B$35,2,0),0)</f>
        <v>0</v>
      </c>
      <c r="D28" s="47"/>
      <c r="E28" s="47"/>
      <c r="F28" s="47"/>
      <c r="G28" s="48"/>
      <c r="H28" s="47"/>
      <c r="I28" s="76">
        <f t="shared" si="0"/>
        <v>0</v>
      </c>
      <c r="J28" s="47"/>
    </row>
    <row r="29" spans="1:10" s="56" customFormat="1" ht="14.25">
      <c r="A29" s="44"/>
      <c r="B29" s="45"/>
      <c r="C29" s="46">
        <f>IF(B29&lt;&gt;"",VLOOKUP(B29,'Tipo Projeto'!$A$3:$B$35,2,0),0)</f>
        <v>0</v>
      </c>
      <c r="D29" s="47"/>
      <c r="E29" s="47"/>
      <c r="F29" s="47"/>
      <c r="G29" s="48"/>
      <c r="H29" s="47"/>
      <c r="I29" s="76">
        <f t="shared" si="0"/>
        <v>0</v>
      </c>
      <c r="J29" s="47"/>
    </row>
    <row r="30" spans="1:10" s="56" customFormat="1" ht="14.25">
      <c r="A30" s="44"/>
      <c r="B30" s="45"/>
      <c r="C30" s="46">
        <f>IF(B30&lt;&gt;"",VLOOKUP(B30,'Tipo Projeto'!$A$3:$B$35,2,0),0)</f>
        <v>0</v>
      </c>
      <c r="D30" s="47"/>
      <c r="E30" s="47"/>
      <c r="F30" s="47"/>
      <c r="G30" s="48"/>
      <c r="H30" s="47"/>
      <c r="I30" s="76">
        <f t="shared" si="0"/>
        <v>0</v>
      </c>
      <c r="J30" s="47"/>
    </row>
    <row r="31" spans="1:10" s="56" customFormat="1" ht="14.25">
      <c r="A31" s="44"/>
      <c r="B31" s="45"/>
      <c r="C31" s="46">
        <f>IF(B31&lt;&gt;"",VLOOKUP(B31,'Tipo Projeto'!$A$3:$B$35,2,0),0)</f>
        <v>0</v>
      </c>
      <c r="D31" s="47"/>
      <c r="E31" s="47"/>
      <c r="F31" s="47"/>
      <c r="G31" s="48"/>
      <c r="H31" s="47"/>
      <c r="I31" s="76">
        <f t="shared" si="0"/>
        <v>0</v>
      </c>
      <c r="J31" s="47"/>
    </row>
    <row r="32" spans="1:10" s="56" customFormat="1" ht="14.25">
      <c r="A32" s="44"/>
      <c r="B32" s="45"/>
      <c r="C32" s="46">
        <f>IF(B32&lt;&gt;"",VLOOKUP(B32,'Tipo Projeto'!$A$3:$B$35,2,0),0)</f>
        <v>0</v>
      </c>
      <c r="D32" s="47"/>
      <c r="E32" s="47"/>
      <c r="F32" s="47"/>
      <c r="G32" s="48"/>
      <c r="H32" s="47"/>
      <c r="I32" s="76">
        <f t="shared" si="0"/>
        <v>0</v>
      </c>
      <c r="J32" s="47"/>
    </row>
    <row r="33" spans="1:10" s="56" customFormat="1" ht="14.25">
      <c r="A33" s="44"/>
      <c r="B33" s="45"/>
      <c r="C33" s="46">
        <f>IF(B33&lt;&gt;"",VLOOKUP(B33,'Tipo Projeto'!$A$3:$B$35,2,0),0)</f>
        <v>0</v>
      </c>
      <c r="D33" s="47"/>
      <c r="E33" s="47"/>
      <c r="F33" s="47"/>
      <c r="G33" s="48"/>
      <c r="H33" s="47"/>
      <c r="I33" s="76">
        <f t="shared" si="0"/>
        <v>0</v>
      </c>
      <c r="J33" s="47"/>
    </row>
    <row r="34" spans="1:10" s="56" customFormat="1" ht="14.25">
      <c r="A34" s="44"/>
      <c r="B34" s="45"/>
      <c r="C34" s="46">
        <f>IF(B34&lt;&gt;"",VLOOKUP(B34,'Tipo Projeto'!$A$3:$B$35,2,0),0)</f>
        <v>0</v>
      </c>
      <c r="D34" s="47"/>
      <c r="E34" s="47"/>
      <c r="F34" s="47"/>
      <c r="G34" s="48"/>
      <c r="H34" s="47"/>
      <c r="I34" s="76">
        <f t="shared" si="0"/>
        <v>0</v>
      </c>
      <c r="J34" s="47"/>
    </row>
    <row r="35" spans="1:10" s="56" customFormat="1" ht="14.25">
      <c r="A35" s="44"/>
      <c r="B35" s="45"/>
      <c r="C35" s="46">
        <f>IF(B35&lt;&gt;"",VLOOKUP(B35,'Tipo Projeto'!$A$3:$B$35,2,0),0)</f>
        <v>0</v>
      </c>
      <c r="D35" s="47"/>
      <c r="E35" s="47"/>
      <c r="F35" s="47"/>
      <c r="G35" s="48"/>
      <c r="H35" s="47"/>
      <c r="I35" s="76">
        <f t="shared" si="0"/>
        <v>0</v>
      </c>
      <c r="J35" s="47"/>
    </row>
    <row r="36" spans="1:10" s="56" customFormat="1" ht="14.25">
      <c r="A36" s="44"/>
      <c r="B36" s="45"/>
      <c r="C36" s="46">
        <f>IF(B36&lt;&gt;"",VLOOKUP(B36,'Tipo Projeto'!$A$3:$B$35,2,0),0)</f>
        <v>0</v>
      </c>
      <c r="D36" s="47"/>
      <c r="E36" s="47"/>
      <c r="F36" s="47"/>
      <c r="G36" s="48"/>
      <c r="H36" s="47"/>
      <c r="I36" s="76">
        <f t="shared" si="0"/>
        <v>0</v>
      </c>
      <c r="J36" s="47"/>
    </row>
    <row r="37" spans="1:10" s="56" customFormat="1" ht="14.25">
      <c r="A37" s="44"/>
      <c r="B37" s="45"/>
      <c r="C37" s="46">
        <f>IF(B37&lt;&gt;"",VLOOKUP(B37,'Tipo Projeto'!$A$3:$B$35,2,0),0)</f>
        <v>0</v>
      </c>
      <c r="D37" s="47"/>
      <c r="E37" s="47"/>
      <c r="F37" s="47"/>
      <c r="G37" s="48"/>
      <c r="H37" s="47"/>
      <c r="I37" s="76">
        <f t="shared" si="0"/>
        <v>0</v>
      </c>
      <c r="J37" s="47"/>
    </row>
    <row r="38" spans="1:10" s="56" customFormat="1" ht="14.25">
      <c r="A38" s="44"/>
      <c r="B38" s="45"/>
      <c r="C38" s="46">
        <f>IF(B38&lt;&gt;"",VLOOKUP(B38,'Tipo Projeto'!$A$3:$B$35,2,0),0)</f>
        <v>0</v>
      </c>
      <c r="D38" s="47"/>
      <c r="E38" s="47"/>
      <c r="F38" s="47"/>
      <c r="G38" s="48"/>
      <c r="H38" s="47"/>
      <c r="I38" s="76">
        <f t="shared" si="0"/>
        <v>0</v>
      </c>
      <c r="J38" s="47"/>
    </row>
    <row r="39" spans="1:10" s="56" customFormat="1" ht="14.25">
      <c r="A39" s="44"/>
      <c r="B39" s="45"/>
      <c r="C39" s="46">
        <f>IF(B39&lt;&gt;"",VLOOKUP(B39,'Tipo Projeto'!$A$3:$B$35,2,0),0)</f>
        <v>0</v>
      </c>
      <c r="D39" s="47"/>
      <c r="E39" s="47"/>
      <c r="F39" s="47"/>
      <c r="G39" s="48"/>
      <c r="H39" s="47"/>
      <c r="I39" s="76">
        <f t="shared" si="0"/>
        <v>0</v>
      </c>
      <c r="J39" s="47"/>
    </row>
    <row r="40" spans="1:10" s="56" customFormat="1" ht="14.25">
      <c r="A40" s="44"/>
      <c r="B40" s="45"/>
      <c r="C40" s="46">
        <f>IF(B40&lt;&gt;"",VLOOKUP(B40,'Tipo Projeto'!$A$3:$B$35,2,0),0)</f>
        <v>0</v>
      </c>
      <c r="D40" s="47"/>
      <c r="E40" s="47"/>
      <c r="F40" s="47"/>
      <c r="G40" s="48"/>
      <c r="H40" s="47"/>
      <c r="I40" s="76">
        <f t="shared" si="0"/>
        <v>0</v>
      </c>
      <c r="J40" s="47"/>
    </row>
    <row r="41" spans="1:10" s="56" customFormat="1" ht="14.25">
      <c r="A41" s="44"/>
      <c r="B41" s="45"/>
      <c r="C41" s="46">
        <f>IF(B41&lt;&gt;"",VLOOKUP(B41,'Tipo Projeto'!$A$3:$B$35,2,0),0)</f>
        <v>0</v>
      </c>
      <c r="D41" s="47"/>
      <c r="E41" s="47"/>
      <c r="F41" s="47"/>
      <c r="G41" s="48"/>
      <c r="H41" s="47"/>
      <c r="I41" s="76">
        <f t="shared" si="0"/>
        <v>0</v>
      </c>
      <c r="J41" s="47"/>
    </row>
    <row r="42" spans="1:10" s="56" customFormat="1" ht="14.25">
      <c r="A42" s="44"/>
      <c r="B42" s="45"/>
      <c r="C42" s="46">
        <f>IF(B42&lt;&gt;"",VLOOKUP(B42,'Tipo Projeto'!$A$3:$B$35,2,0),0)</f>
        <v>0</v>
      </c>
      <c r="D42" s="47"/>
      <c r="E42" s="47"/>
      <c r="F42" s="47"/>
      <c r="G42" s="48"/>
      <c r="H42" s="47"/>
      <c r="I42" s="76">
        <f t="shared" si="0"/>
        <v>0</v>
      </c>
      <c r="J42" s="47"/>
    </row>
    <row r="43" spans="1:10" s="56" customFormat="1" ht="14.25">
      <c r="A43" s="44"/>
      <c r="B43" s="45"/>
      <c r="C43" s="46">
        <f>IF(B43&lt;&gt;"",VLOOKUP(B43,'Tipo Projeto'!$A$3:$B$35,2,0),0)</f>
        <v>0</v>
      </c>
      <c r="D43" s="47"/>
      <c r="E43" s="47"/>
      <c r="F43" s="47"/>
      <c r="G43" s="48"/>
      <c r="H43" s="47"/>
      <c r="I43" s="76">
        <f t="shared" si="0"/>
        <v>0</v>
      </c>
      <c r="J43" s="47"/>
    </row>
    <row r="44" spans="1:10" s="56" customFormat="1" ht="14.25">
      <c r="A44" s="44"/>
      <c r="B44" s="45"/>
      <c r="C44" s="46">
        <f>IF(B44&lt;&gt;"",VLOOKUP(B44,'Tipo Projeto'!$A$3:$B$35,2,0),0)</f>
        <v>0</v>
      </c>
      <c r="D44" s="47"/>
      <c r="E44" s="47"/>
      <c r="F44" s="47"/>
      <c r="G44" s="48"/>
      <c r="H44" s="47"/>
      <c r="I44" s="76">
        <f t="shared" si="0"/>
        <v>0</v>
      </c>
      <c r="J44" s="47"/>
    </row>
    <row r="45" spans="1:10" s="56" customFormat="1" ht="14.25">
      <c r="A45" s="44"/>
      <c r="B45" s="45"/>
      <c r="C45" s="46">
        <f>IF(B45&lt;&gt;"",VLOOKUP(B45,'Tipo Projeto'!$A$3:$B$35,2,0),0)</f>
        <v>0</v>
      </c>
      <c r="D45" s="47"/>
      <c r="E45" s="47"/>
      <c r="F45" s="47"/>
      <c r="G45" s="48"/>
      <c r="H45" s="47"/>
      <c r="I45" s="76">
        <f t="shared" si="0"/>
        <v>0</v>
      </c>
      <c r="J45" s="47"/>
    </row>
    <row r="46" spans="1:10" s="56" customFormat="1" ht="14.25">
      <c r="A46" s="44"/>
      <c r="B46" s="45"/>
      <c r="C46" s="46">
        <f>IF(B46&lt;&gt;"",VLOOKUP(B46,'Tipo Projeto'!$A$3:$B$35,2,0),0)</f>
        <v>0</v>
      </c>
      <c r="D46" s="47"/>
      <c r="E46" s="47"/>
      <c r="F46" s="47"/>
      <c r="G46" s="48"/>
      <c r="H46" s="47"/>
      <c r="I46" s="76">
        <f t="shared" si="0"/>
        <v>0</v>
      </c>
      <c r="J46" s="47"/>
    </row>
    <row r="47" spans="1:10" s="56" customFormat="1" ht="14.25">
      <c r="A47" s="44"/>
      <c r="B47" s="45"/>
      <c r="C47" s="46">
        <f>IF(B47&lt;&gt;"",VLOOKUP(B47,'Tipo Projeto'!$A$3:$B$35,2,0),0)</f>
        <v>0</v>
      </c>
      <c r="D47" s="47"/>
      <c r="E47" s="47"/>
      <c r="F47" s="47"/>
      <c r="G47" s="48"/>
      <c r="H47" s="47"/>
      <c r="I47" s="76">
        <f t="shared" si="0"/>
        <v>0</v>
      </c>
      <c r="J47" s="47"/>
    </row>
    <row r="48" spans="1:10" s="56" customFormat="1" ht="14.25">
      <c r="A48" s="44"/>
      <c r="B48" s="45"/>
      <c r="C48" s="46">
        <f>IF(B48&lt;&gt;"",VLOOKUP(B48,'Tipo Projeto'!$A$3:$B$35,2,0),0)</f>
        <v>0</v>
      </c>
      <c r="D48" s="47"/>
      <c r="E48" s="47"/>
      <c r="F48" s="47"/>
      <c r="G48" s="48"/>
      <c r="H48" s="47"/>
      <c r="I48" s="76">
        <f t="shared" si="0"/>
        <v>0</v>
      </c>
      <c r="J48" s="47"/>
    </row>
    <row r="49" spans="1:10" s="56" customFormat="1" ht="14.25">
      <c r="A49" s="44"/>
      <c r="B49" s="45"/>
      <c r="C49" s="46">
        <f>IF(B49&lt;&gt;"",VLOOKUP(B49,'Tipo Projeto'!$A$3:$B$35,2,0),0)</f>
        <v>0</v>
      </c>
      <c r="D49" s="47"/>
      <c r="E49" s="47"/>
      <c r="F49" s="47"/>
      <c r="G49" s="48"/>
      <c r="H49" s="47"/>
      <c r="I49" s="76">
        <f t="shared" si="0"/>
        <v>0</v>
      </c>
      <c r="J49" s="47"/>
    </row>
    <row r="50" spans="1:10" s="56" customFormat="1" ht="14.25">
      <c r="A50" s="44"/>
      <c r="B50" s="45"/>
      <c r="C50" s="46">
        <f>IF(B50&lt;&gt;"",VLOOKUP(B50,'Tipo Projeto'!$A$3:$B$35,2,0),0)</f>
        <v>0</v>
      </c>
      <c r="D50" s="47"/>
      <c r="E50" s="47"/>
      <c r="F50" s="47"/>
      <c r="G50" s="48"/>
      <c r="H50" s="47"/>
      <c r="I50" s="76">
        <f t="shared" si="0"/>
        <v>0</v>
      </c>
      <c r="J50" s="47"/>
    </row>
    <row r="51" spans="1:10" s="56" customFormat="1" ht="14.25">
      <c r="A51" s="44"/>
      <c r="B51" s="45"/>
      <c r="C51" s="46">
        <f>IF(B51&lt;&gt;"",VLOOKUP(B51,'Tipo Projeto'!$A$3:$B$35,2,0),0)</f>
        <v>0</v>
      </c>
      <c r="D51" s="47"/>
      <c r="E51" s="47"/>
      <c r="F51" s="47"/>
      <c r="G51" s="48"/>
      <c r="H51" s="47"/>
      <c r="I51" s="76">
        <f t="shared" si="0"/>
        <v>0</v>
      </c>
      <c r="J51" s="47"/>
    </row>
    <row r="52" spans="1:10" s="56" customFormat="1" ht="14.25">
      <c r="A52" s="44"/>
      <c r="B52" s="45"/>
      <c r="C52" s="46">
        <f>IF(B52&lt;&gt;"",VLOOKUP(B52,'Tipo Projeto'!$A$3:$B$35,2,0),0)</f>
        <v>0</v>
      </c>
      <c r="D52" s="47"/>
      <c r="E52" s="47"/>
      <c r="F52" s="47"/>
      <c r="G52" s="48"/>
      <c r="H52" s="47"/>
      <c r="I52" s="76">
        <f t="shared" si="0"/>
        <v>0</v>
      </c>
      <c r="J52" s="47"/>
    </row>
    <row r="53" spans="1:10" s="56" customFormat="1" ht="14.25">
      <c r="A53" s="44"/>
      <c r="B53" s="45"/>
      <c r="C53" s="46">
        <f>IF(B53&lt;&gt;"",VLOOKUP(B53,'Tipo Projeto'!$A$3:$B$35,2,0),0)</f>
        <v>0</v>
      </c>
      <c r="D53" s="47"/>
      <c r="E53" s="47"/>
      <c r="F53" s="47"/>
      <c r="G53" s="48"/>
      <c r="H53" s="47"/>
      <c r="I53" s="76">
        <f t="shared" si="0"/>
        <v>0</v>
      </c>
      <c r="J53" s="47"/>
    </row>
    <row r="54" spans="1:10" s="56" customFormat="1" ht="14.25">
      <c r="A54" s="44"/>
      <c r="B54" s="45"/>
      <c r="C54" s="46">
        <f>IF(B54&lt;&gt;"",VLOOKUP(B54,'Tipo Projeto'!$A$3:$B$35,2,0),0)</f>
        <v>0</v>
      </c>
      <c r="D54" s="47"/>
      <c r="E54" s="47"/>
      <c r="F54" s="47"/>
      <c r="G54" s="48"/>
      <c r="H54" s="47"/>
      <c r="I54" s="76">
        <f t="shared" si="0"/>
        <v>0</v>
      </c>
      <c r="J54" s="47"/>
    </row>
    <row r="55" spans="1:10" s="56" customFormat="1" ht="14.25">
      <c r="A55" s="44"/>
      <c r="B55" s="45"/>
      <c r="C55" s="46">
        <f>IF(B55&lt;&gt;"",VLOOKUP(B55,'Tipo Projeto'!$A$3:$B$35,2,0),0)</f>
        <v>0</v>
      </c>
      <c r="D55" s="47"/>
      <c r="E55" s="47"/>
      <c r="F55" s="47"/>
      <c r="G55" s="48"/>
      <c r="H55" s="47"/>
      <c r="I55" s="76">
        <f t="shared" si="0"/>
        <v>0</v>
      </c>
      <c r="J55" s="47"/>
    </row>
    <row r="56" spans="1:10" s="56" customFormat="1" ht="14.25">
      <c r="A56" s="44"/>
      <c r="B56" s="45"/>
      <c r="C56" s="46">
        <f>IF(B56&lt;&gt;"",VLOOKUP(B56,'Tipo Projeto'!$A$3:$B$35,2,0),0)</f>
        <v>0</v>
      </c>
      <c r="D56" s="47"/>
      <c r="E56" s="47"/>
      <c r="F56" s="47"/>
      <c r="G56" s="48"/>
      <c r="H56" s="47"/>
      <c r="I56" s="76">
        <f t="shared" si="0"/>
        <v>0</v>
      </c>
      <c r="J56" s="47"/>
    </row>
    <row r="57" spans="1:10" s="56" customFormat="1" ht="14.25">
      <c r="A57" s="44"/>
      <c r="B57" s="45"/>
      <c r="C57" s="46">
        <f>IF(B57&lt;&gt;"",VLOOKUP(B57,'Tipo Projeto'!$A$3:$B$35,2,0),0)</f>
        <v>0</v>
      </c>
      <c r="D57" s="47"/>
      <c r="E57" s="47"/>
      <c r="F57" s="47"/>
      <c r="G57" s="48"/>
      <c r="H57" s="47"/>
      <c r="I57" s="76">
        <f t="shared" si="0"/>
        <v>0</v>
      </c>
      <c r="J57" s="47"/>
    </row>
    <row r="58" spans="1:10" s="56" customFormat="1" ht="14.25">
      <c r="A58" s="44"/>
      <c r="B58" s="45"/>
      <c r="C58" s="46">
        <f>IF(B58&lt;&gt;"",VLOOKUP(B58,'Tipo Projeto'!$A$3:$B$35,2,0),0)</f>
        <v>0</v>
      </c>
      <c r="D58" s="47"/>
      <c r="E58" s="47"/>
      <c r="F58" s="47"/>
      <c r="G58" s="48"/>
      <c r="H58" s="47"/>
      <c r="I58" s="76">
        <f t="shared" si="0"/>
        <v>0</v>
      </c>
      <c r="J58" s="47"/>
    </row>
    <row r="59" spans="1:10" s="56" customFormat="1" ht="14.25">
      <c r="A59" s="44"/>
      <c r="B59" s="45"/>
      <c r="C59" s="46">
        <f>IF(B59&lt;&gt;"",VLOOKUP(B59,'Tipo Projeto'!$A$3:$B$35,2,0),0)</f>
        <v>0</v>
      </c>
      <c r="D59" s="47"/>
      <c r="E59" s="47"/>
      <c r="F59" s="47"/>
      <c r="G59" s="48"/>
      <c r="H59" s="47"/>
      <c r="I59" s="76">
        <f t="shared" si="0"/>
        <v>0</v>
      </c>
      <c r="J59" s="47"/>
    </row>
    <row r="60" spans="1:10" s="56" customFormat="1" ht="14.25">
      <c r="A60" s="44"/>
      <c r="B60" s="45"/>
      <c r="C60" s="46">
        <f>IF(B60&lt;&gt;"",VLOOKUP(B60,'Tipo Projeto'!$A$3:$B$35,2,0),0)</f>
        <v>0</v>
      </c>
      <c r="D60" s="47"/>
      <c r="E60" s="47"/>
      <c r="F60" s="47"/>
      <c r="G60" s="48"/>
      <c r="H60" s="47"/>
      <c r="I60" s="76">
        <f t="shared" si="0"/>
        <v>0</v>
      </c>
      <c r="J60" s="47"/>
    </row>
    <row r="61" spans="1:10" s="56" customFormat="1" ht="14.25">
      <c r="A61" s="44"/>
      <c r="B61" s="45"/>
      <c r="C61" s="46">
        <f>IF(B61&lt;&gt;"",VLOOKUP(B61,'Tipo Projeto'!$A$3:$B$35,2,0),0)</f>
        <v>0</v>
      </c>
      <c r="D61" s="47"/>
      <c r="E61" s="47"/>
      <c r="F61" s="47"/>
      <c r="G61" s="48"/>
      <c r="H61" s="47"/>
      <c r="I61" s="76">
        <f t="shared" si="0"/>
        <v>0</v>
      </c>
      <c r="J61" s="47"/>
    </row>
    <row r="62" spans="1:10" s="56" customFormat="1" ht="14.25">
      <c r="A62" s="44"/>
      <c r="B62" s="45"/>
      <c r="C62" s="46">
        <f>IF(B62&lt;&gt;"",VLOOKUP(B62,'Tipo Projeto'!$A$3:$B$35,2,0),0)</f>
        <v>0</v>
      </c>
      <c r="D62" s="47"/>
      <c r="E62" s="47"/>
      <c r="F62" s="47"/>
      <c r="G62" s="48"/>
      <c r="H62" s="47"/>
      <c r="I62" s="76">
        <f t="shared" si="0"/>
        <v>0</v>
      </c>
      <c r="J62" s="47"/>
    </row>
    <row r="63" spans="1:10" s="56" customFormat="1" ht="14.25">
      <c r="A63" s="44"/>
      <c r="B63" s="45"/>
      <c r="C63" s="46">
        <f>IF(B63&lt;&gt;"",VLOOKUP(B63,'Tipo Projeto'!$A$3:$B$35,2,0),0)</f>
        <v>0</v>
      </c>
      <c r="D63" s="47"/>
      <c r="E63" s="47"/>
      <c r="F63" s="47"/>
      <c r="G63" s="48"/>
      <c r="H63" s="47"/>
      <c r="I63" s="76">
        <f t="shared" si="0"/>
        <v>0</v>
      </c>
      <c r="J63" s="47"/>
    </row>
    <row r="64" spans="1:10" s="56" customFormat="1" ht="14.25">
      <c r="A64" s="44"/>
      <c r="B64" s="45"/>
      <c r="C64" s="46">
        <f>IF(B64&lt;&gt;"",VLOOKUP(B64,'Tipo Projeto'!$A$3:$B$35,2,0),0)</f>
        <v>0</v>
      </c>
      <c r="D64" s="47"/>
      <c r="E64" s="47"/>
      <c r="F64" s="47"/>
      <c r="G64" s="48"/>
      <c r="H64" s="47"/>
      <c r="I64" s="76">
        <f t="shared" si="0"/>
        <v>0</v>
      </c>
      <c r="J64" s="47"/>
    </row>
    <row r="65" spans="1:10" s="56" customFormat="1" ht="14.25">
      <c r="A65" s="44"/>
      <c r="B65" s="45"/>
      <c r="C65" s="46">
        <f>IF(B65&lt;&gt;"",VLOOKUP(B65,'Tipo Projeto'!$A$3:$B$35,2,0),0)</f>
        <v>0</v>
      </c>
      <c r="D65" s="47"/>
      <c r="E65" s="47"/>
      <c r="F65" s="47"/>
      <c r="G65" s="48"/>
      <c r="H65" s="47"/>
      <c r="I65" s="76">
        <f t="shared" si="0"/>
        <v>0</v>
      </c>
      <c r="J65" s="47"/>
    </row>
    <row r="66" spans="1:10" s="56" customFormat="1" ht="14.25">
      <c r="A66" s="44"/>
      <c r="B66" s="45"/>
      <c r="C66" s="46">
        <f>IF(B66&lt;&gt;"",VLOOKUP(B66,'Tipo Projeto'!$A$3:$B$35,2,0),0)</f>
        <v>0</v>
      </c>
      <c r="D66" s="47"/>
      <c r="E66" s="47"/>
      <c r="F66" s="47"/>
      <c r="G66" s="48"/>
      <c r="H66" s="47"/>
      <c r="I66" s="76">
        <f t="shared" si="0"/>
        <v>0</v>
      </c>
      <c r="J66" s="47"/>
    </row>
    <row r="67" spans="1:10" s="56" customFormat="1" ht="14.25">
      <c r="A67" s="44"/>
      <c r="B67" s="45"/>
      <c r="C67" s="46">
        <f>IF(B67&lt;&gt;"",VLOOKUP(B67,'Tipo Projeto'!$A$3:$B$35,2,0),0)</f>
        <v>0</v>
      </c>
      <c r="D67" s="47"/>
      <c r="E67" s="47"/>
      <c r="F67" s="47"/>
      <c r="G67" s="48"/>
      <c r="H67" s="47"/>
      <c r="I67" s="76">
        <f t="shared" si="0"/>
        <v>0</v>
      </c>
      <c r="J67" s="47"/>
    </row>
    <row r="68" spans="1:10" s="56" customFormat="1" ht="14.25">
      <c r="A68" s="44"/>
      <c r="B68" s="45"/>
      <c r="C68" s="46">
        <f>IF(B68&lt;&gt;"",VLOOKUP(B68,'Tipo Projeto'!$A$3:$B$35,2,0),0)</f>
        <v>0</v>
      </c>
      <c r="D68" s="47"/>
      <c r="E68" s="47"/>
      <c r="F68" s="47"/>
      <c r="G68" s="48"/>
      <c r="H68" s="47"/>
      <c r="I68" s="76">
        <f t="shared" si="0"/>
        <v>0</v>
      </c>
      <c r="J68" s="47"/>
    </row>
    <row r="69" spans="1:10" s="56" customFormat="1" ht="14.25">
      <c r="A69" s="44"/>
      <c r="B69" s="45"/>
      <c r="C69" s="46">
        <f>IF(B69&lt;&gt;"",VLOOKUP(B69,'Tipo Projeto'!$A$3:$B$35,2,0),0)</f>
        <v>0</v>
      </c>
      <c r="D69" s="47"/>
      <c r="E69" s="47"/>
      <c r="F69" s="47"/>
      <c r="G69" s="48"/>
      <c r="H69" s="47"/>
      <c r="I69" s="76">
        <f t="shared" si="0"/>
        <v>0</v>
      </c>
      <c r="J69" s="47"/>
    </row>
    <row r="70" spans="1:10" s="56" customFormat="1" ht="14.25">
      <c r="A70" s="44"/>
      <c r="B70" s="45"/>
      <c r="C70" s="46">
        <f>IF(B70&lt;&gt;"",VLOOKUP(B70,'Tipo Projeto'!$A$3:$B$35,2,0),0)</f>
        <v>0</v>
      </c>
      <c r="D70" s="47"/>
      <c r="E70" s="47"/>
      <c r="F70" s="47"/>
      <c r="G70" s="48"/>
      <c r="H70" s="47"/>
      <c r="I70" s="76">
        <f t="shared" si="0"/>
        <v>0</v>
      </c>
      <c r="J70" s="47"/>
    </row>
    <row r="71" spans="1:10" s="56" customFormat="1" ht="14.25">
      <c r="A71" s="44"/>
      <c r="B71" s="45"/>
      <c r="C71" s="46">
        <f>IF(B71&lt;&gt;"",VLOOKUP(B71,'Tipo Projeto'!$A$3:$B$35,2,0),0)</f>
        <v>0</v>
      </c>
      <c r="D71" s="47"/>
      <c r="E71" s="47"/>
      <c r="F71" s="47"/>
      <c r="G71" s="48"/>
      <c r="H71" s="47"/>
      <c r="I71" s="76">
        <f t="shared" si="0"/>
        <v>0</v>
      </c>
      <c r="J71" s="47"/>
    </row>
    <row r="72" spans="1:10" s="56" customFormat="1" ht="14.25">
      <c r="A72" s="44"/>
      <c r="B72" s="45"/>
      <c r="C72" s="46">
        <f>IF(B72&lt;&gt;"",VLOOKUP(B72,'Tipo Projeto'!$A$3:$B$35,2,0),0)</f>
        <v>0</v>
      </c>
      <c r="D72" s="47"/>
      <c r="E72" s="47"/>
      <c r="F72" s="47"/>
      <c r="G72" s="48"/>
      <c r="H72" s="47"/>
      <c r="I72" s="76">
        <f t="shared" si="0"/>
        <v>0</v>
      </c>
      <c r="J72" s="47"/>
    </row>
    <row r="73" spans="1:10" s="56" customFormat="1" ht="14.25">
      <c r="A73" s="44"/>
      <c r="B73" s="45"/>
      <c r="C73" s="46">
        <f>IF(B73&lt;&gt;"",VLOOKUP(B73,'Tipo Projeto'!$A$3:$B$35,2,0),0)</f>
        <v>0</v>
      </c>
      <c r="D73" s="47"/>
      <c r="E73" s="47"/>
      <c r="F73" s="47"/>
      <c r="G73" s="48"/>
      <c r="H73" s="47"/>
      <c r="I73" s="76">
        <f t="shared" si="0"/>
        <v>0</v>
      </c>
      <c r="J73" s="47"/>
    </row>
    <row r="74" spans="1:10" s="56" customFormat="1" ht="14.25">
      <c r="A74" s="44"/>
      <c r="B74" s="45"/>
      <c r="C74" s="46">
        <f>IF(B74&lt;&gt;"",VLOOKUP(B74,'Tipo Projeto'!$A$3:$B$35,2,0),0)</f>
        <v>0</v>
      </c>
      <c r="D74" s="47"/>
      <c r="E74" s="47"/>
      <c r="F74" s="47"/>
      <c r="G74" s="48"/>
      <c r="H74" s="47"/>
      <c r="I74" s="76">
        <f t="shared" si="0"/>
        <v>0</v>
      </c>
      <c r="J74" s="47"/>
    </row>
    <row r="75" spans="1:10" s="56" customFormat="1" ht="14.25">
      <c r="A75" s="44"/>
      <c r="B75" s="45"/>
      <c r="C75" s="46">
        <f>IF(B75&lt;&gt;"",VLOOKUP(B75,'Tipo Projeto'!$A$3:$B$35,2,0),0)</f>
        <v>0</v>
      </c>
      <c r="D75" s="47"/>
      <c r="E75" s="47"/>
      <c r="F75" s="47"/>
      <c r="G75" s="48"/>
      <c r="H75" s="47"/>
      <c r="I75" s="76">
        <f t="shared" ref="I75:I138" si="1">IF(B75&lt;&gt;"Manutenção em interface",IF(B75&lt;&gt;"Desenv., Manutenção e Publicação de Páginas Estáticas",IF(H75="EE",4,IF(H75="CE",4,IF(H75="SE",5,IF(H75="ALI",7,IF(H75="AIE",5,0)))))*C75,C75),C75)</f>
        <v>0</v>
      </c>
      <c r="J75" s="47"/>
    </row>
    <row r="76" spans="1:10" s="56" customFormat="1" ht="14.25">
      <c r="A76" s="44"/>
      <c r="B76" s="45"/>
      <c r="C76" s="46">
        <f>IF(B76&lt;&gt;"",VLOOKUP(B76,'Tipo Projeto'!$A$3:$B$35,2,0),0)</f>
        <v>0</v>
      </c>
      <c r="D76" s="47"/>
      <c r="E76" s="47"/>
      <c r="F76" s="47"/>
      <c r="G76" s="48"/>
      <c r="H76" s="47"/>
      <c r="I76" s="76">
        <f t="shared" si="1"/>
        <v>0</v>
      </c>
      <c r="J76" s="47"/>
    </row>
    <row r="77" spans="1:10" s="56" customFormat="1" ht="14.25">
      <c r="A77" s="44"/>
      <c r="B77" s="45"/>
      <c r="C77" s="46">
        <f>IF(B77&lt;&gt;"",VLOOKUP(B77,'Tipo Projeto'!$A$3:$B$35,2,0),0)</f>
        <v>0</v>
      </c>
      <c r="D77" s="47"/>
      <c r="E77" s="47"/>
      <c r="F77" s="47"/>
      <c r="G77" s="48"/>
      <c r="H77" s="47"/>
      <c r="I77" s="76">
        <f t="shared" si="1"/>
        <v>0</v>
      </c>
      <c r="J77" s="47"/>
    </row>
    <row r="78" spans="1:10" s="56" customFormat="1" ht="14.25">
      <c r="A78" s="44"/>
      <c r="B78" s="45"/>
      <c r="C78" s="46">
        <f>IF(B78&lt;&gt;"",VLOOKUP(B78,'Tipo Projeto'!$A$3:$B$35,2,0),0)</f>
        <v>0</v>
      </c>
      <c r="D78" s="47"/>
      <c r="E78" s="47"/>
      <c r="F78" s="47"/>
      <c r="G78" s="48"/>
      <c r="H78" s="47"/>
      <c r="I78" s="76">
        <f t="shared" si="1"/>
        <v>0</v>
      </c>
      <c r="J78" s="47"/>
    </row>
    <row r="79" spans="1:10" s="56" customFormat="1" ht="14.25">
      <c r="A79" s="44"/>
      <c r="B79" s="45"/>
      <c r="C79" s="46">
        <f>IF(B79&lt;&gt;"",VLOOKUP(B79,'Tipo Projeto'!$A$3:$B$35,2,0),0)</f>
        <v>0</v>
      </c>
      <c r="D79" s="47"/>
      <c r="E79" s="47"/>
      <c r="F79" s="47"/>
      <c r="G79" s="48"/>
      <c r="H79" s="47"/>
      <c r="I79" s="76">
        <f t="shared" si="1"/>
        <v>0</v>
      </c>
      <c r="J79" s="47"/>
    </row>
    <row r="80" spans="1:10" s="56" customFormat="1" ht="14.25">
      <c r="A80" s="44"/>
      <c r="B80" s="45"/>
      <c r="C80" s="46">
        <f>IF(B80&lt;&gt;"",VLOOKUP(B80,'Tipo Projeto'!$A$3:$B$35,2,0),0)</f>
        <v>0</v>
      </c>
      <c r="D80" s="47"/>
      <c r="E80" s="47"/>
      <c r="F80" s="47"/>
      <c r="G80" s="48"/>
      <c r="H80" s="47"/>
      <c r="I80" s="76">
        <f t="shared" si="1"/>
        <v>0</v>
      </c>
      <c r="J80" s="47"/>
    </row>
    <row r="81" spans="1:10" s="56" customFormat="1" ht="14.25">
      <c r="A81" s="44"/>
      <c r="B81" s="45"/>
      <c r="C81" s="46">
        <f>IF(B81&lt;&gt;"",VLOOKUP(B81,'Tipo Projeto'!$A$3:$B$35,2,0),0)</f>
        <v>0</v>
      </c>
      <c r="D81" s="47"/>
      <c r="E81" s="47"/>
      <c r="F81" s="47"/>
      <c r="G81" s="48"/>
      <c r="H81" s="47"/>
      <c r="I81" s="76">
        <f t="shared" si="1"/>
        <v>0</v>
      </c>
      <c r="J81" s="47"/>
    </row>
    <row r="82" spans="1:10" s="56" customFormat="1" ht="14.25">
      <c r="A82" s="44"/>
      <c r="B82" s="45"/>
      <c r="C82" s="46">
        <f>IF(B82&lt;&gt;"",VLOOKUP(B82,'Tipo Projeto'!$A$3:$B$35,2,0),0)</f>
        <v>0</v>
      </c>
      <c r="D82" s="47"/>
      <c r="E82" s="47"/>
      <c r="F82" s="47"/>
      <c r="G82" s="48"/>
      <c r="H82" s="47"/>
      <c r="I82" s="76">
        <f t="shared" si="1"/>
        <v>0</v>
      </c>
      <c r="J82" s="47"/>
    </row>
    <row r="83" spans="1:10" s="56" customFormat="1" ht="14.25">
      <c r="A83" s="44"/>
      <c r="B83" s="45"/>
      <c r="C83" s="46">
        <f>IF(B83&lt;&gt;"",VLOOKUP(B83,'Tipo Projeto'!$A$3:$B$35,2,0),0)</f>
        <v>0</v>
      </c>
      <c r="D83" s="47"/>
      <c r="E83" s="47"/>
      <c r="F83" s="47"/>
      <c r="G83" s="48"/>
      <c r="H83" s="47"/>
      <c r="I83" s="76">
        <f t="shared" si="1"/>
        <v>0</v>
      </c>
      <c r="J83" s="47"/>
    </row>
    <row r="84" spans="1:10" s="56" customFormat="1" ht="14.25">
      <c r="A84" s="44"/>
      <c r="B84" s="45"/>
      <c r="C84" s="46">
        <f>IF(B84&lt;&gt;"",VLOOKUP(B84,'Tipo Projeto'!$A$3:$B$35,2,0),0)</f>
        <v>0</v>
      </c>
      <c r="D84" s="47"/>
      <c r="E84" s="47"/>
      <c r="F84" s="47"/>
      <c r="G84" s="48"/>
      <c r="H84" s="47"/>
      <c r="I84" s="76">
        <f t="shared" si="1"/>
        <v>0</v>
      </c>
      <c r="J84" s="47"/>
    </row>
    <row r="85" spans="1:10" s="56" customFormat="1" ht="14.25">
      <c r="A85" s="44"/>
      <c r="B85" s="45"/>
      <c r="C85" s="46">
        <f>IF(B85&lt;&gt;"",VLOOKUP(B85,'Tipo Projeto'!$A$3:$B$35,2,0),0)</f>
        <v>0</v>
      </c>
      <c r="D85" s="47"/>
      <c r="E85" s="47"/>
      <c r="F85" s="47"/>
      <c r="G85" s="48"/>
      <c r="H85" s="47"/>
      <c r="I85" s="76">
        <f t="shared" si="1"/>
        <v>0</v>
      </c>
      <c r="J85" s="47"/>
    </row>
    <row r="86" spans="1:10" s="56" customFormat="1" ht="14.25">
      <c r="A86" s="44"/>
      <c r="B86" s="45"/>
      <c r="C86" s="46">
        <f>IF(B86&lt;&gt;"",VLOOKUP(B86,'Tipo Projeto'!$A$3:$B$35,2,0),0)</f>
        <v>0</v>
      </c>
      <c r="D86" s="47"/>
      <c r="E86" s="47"/>
      <c r="F86" s="47"/>
      <c r="G86" s="48"/>
      <c r="H86" s="47"/>
      <c r="I86" s="76">
        <f t="shared" si="1"/>
        <v>0</v>
      </c>
      <c r="J86" s="47"/>
    </row>
    <row r="87" spans="1:10" s="56" customFormat="1" ht="14.25">
      <c r="A87" s="44"/>
      <c r="B87" s="45"/>
      <c r="C87" s="46">
        <f>IF(B87&lt;&gt;"",VLOOKUP(B87,'Tipo Projeto'!$A$3:$B$35,2,0),0)</f>
        <v>0</v>
      </c>
      <c r="D87" s="47"/>
      <c r="E87" s="47"/>
      <c r="F87" s="47"/>
      <c r="G87" s="48"/>
      <c r="H87" s="47"/>
      <c r="I87" s="76">
        <f t="shared" si="1"/>
        <v>0</v>
      </c>
      <c r="J87" s="47"/>
    </row>
    <row r="88" spans="1:10" s="56" customFormat="1" ht="14.25">
      <c r="A88" s="44"/>
      <c r="B88" s="45"/>
      <c r="C88" s="46">
        <f>IF(B88&lt;&gt;"",VLOOKUP(B88,'Tipo Projeto'!$A$3:$B$35,2,0),0)</f>
        <v>0</v>
      </c>
      <c r="D88" s="47"/>
      <c r="E88" s="47"/>
      <c r="F88" s="47"/>
      <c r="G88" s="48"/>
      <c r="H88" s="47"/>
      <c r="I88" s="76">
        <f t="shared" si="1"/>
        <v>0</v>
      </c>
      <c r="J88" s="47"/>
    </row>
    <row r="89" spans="1:10" s="56" customFormat="1" ht="14.25">
      <c r="A89" s="44"/>
      <c r="B89" s="45"/>
      <c r="C89" s="46">
        <f>IF(B89&lt;&gt;"",VLOOKUP(B89,'Tipo Projeto'!$A$3:$B$35,2,0),0)</f>
        <v>0</v>
      </c>
      <c r="D89" s="47"/>
      <c r="E89" s="47"/>
      <c r="F89" s="47"/>
      <c r="G89" s="48"/>
      <c r="H89" s="47"/>
      <c r="I89" s="76">
        <f t="shared" si="1"/>
        <v>0</v>
      </c>
      <c r="J89" s="47"/>
    </row>
    <row r="90" spans="1:10" s="56" customFormat="1" ht="14.25">
      <c r="A90" s="44"/>
      <c r="B90" s="45"/>
      <c r="C90" s="46">
        <f>IF(B90&lt;&gt;"",VLOOKUP(B90,'Tipo Projeto'!$A$3:$B$35,2,0),0)</f>
        <v>0</v>
      </c>
      <c r="D90" s="47"/>
      <c r="E90" s="47"/>
      <c r="F90" s="47"/>
      <c r="G90" s="48"/>
      <c r="H90" s="47"/>
      <c r="I90" s="76">
        <f t="shared" si="1"/>
        <v>0</v>
      </c>
      <c r="J90" s="47"/>
    </row>
    <row r="91" spans="1:10" s="56" customFormat="1" ht="14.25">
      <c r="A91" s="44"/>
      <c r="B91" s="45"/>
      <c r="C91" s="46">
        <f>IF(B91&lt;&gt;"",VLOOKUP(B91,'Tipo Projeto'!$A$3:$B$35,2,0),0)</f>
        <v>0</v>
      </c>
      <c r="D91" s="47"/>
      <c r="E91" s="47"/>
      <c r="F91" s="47"/>
      <c r="G91" s="48"/>
      <c r="H91" s="47"/>
      <c r="I91" s="76">
        <f t="shared" si="1"/>
        <v>0</v>
      </c>
      <c r="J91" s="47"/>
    </row>
    <row r="92" spans="1:10" s="56" customFormat="1" ht="14.25">
      <c r="A92" s="44"/>
      <c r="B92" s="45"/>
      <c r="C92" s="46">
        <f>IF(B92&lt;&gt;"",VLOOKUP(B92,'Tipo Projeto'!$A$3:$B$35,2,0),0)</f>
        <v>0</v>
      </c>
      <c r="D92" s="47"/>
      <c r="E92" s="47"/>
      <c r="F92" s="47"/>
      <c r="G92" s="48"/>
      <c r="H92" s="47"/>
      <c r="I92" s="76">
        <f t="shared" si="1"/>
        <v>0</v>
      </c>
      <c r="J92" s="47"/>
    </row>
    <row r="93" spans="1:10" s="56" customFormat="1" ht="14.25">
      <c r="A93" s="44"/>
      <c r="B93" s="45"/>
      <c r="C93" s="46">
        <f>IF(B93&lt;&gt;"",VLOOKUP(B93,'Tipo Projeto'!$A$3:$B$35,2,0),0)</f>
        <v>0</v>
      </c>
      <c r="D93" s="47"/>
      <c r="E93" s="47"/>
      <c r="F93" s="47"/>
      <c r="G93" s="48"/>
      <c r="H93" s="47"/>
      <c r="I93" s="76">
        <f t="shared" si="1"/>
        <v>0</v>
      </c>
      <c r="J93" s="47"/>
    </row>
    <row r="94" spans="1:10" s="56" customFormat="1" ht="14.25">
      <c r="A94" s="44"/>
      <c r="B94" s="45"/>
      <c r="C94" s="46">
        <f>IF(B94&lt;&gt;"",VLOOKUP(B94,'Tipo Projeto'!$A$3:$B$35,2,0),0)</f>
        <v>0</v>
      </c>
      <c r="D94" s="47"/>
      <c r="E94" s="47"/>
      <c r="F94" s="47"/>
      <c r="G94" s="48"/>
      <c r="H94" s="47"/>
      <c r="I94" s="76">
        <f t="shared" si="1"/>
        <v>0</v>
      </c>
      <c r="J94" s="47"/>
    </row>
    <row r="95" spans="1:10" s="56" customFormat="1" ht="14.25">
      <c r="A95" s="44"/>
      <c r="B95" s="45"/>
      <c r="C95" s="46">
        <f>IF(B95&lt;&gt;"",VLOOKUP(B95,'Tipo Projeto'!$A$3:$B$35,2,0),0)</f>
        <v>0</v>
      </c>
      <c r="D95" s="47"/>
      <c r="E95" s="47"/>
      <c r="F95" s="47"/>
      <c r="G95" s="48"/>
      <c r="H95" s="47"/>
      <c r="I95" s="76">
        <f t="shared" si="1"/>
        <v>0</v>
      </c>
      <c r="J95" s="47"/>
    </row>
    <row r="96" spans="1:10" s="56" customFormat="1" ht="14.25">
      <c r="A96" s="44"/>
      <c r="B96" s="45"/>
      <c r="C96" s="46">
        <f>IF(B96&lt;&gt;"",VLOOKUP(B96,'Tipo Projeto'!$A$3:$B$35,2,0),0)</f>
        <v>0</v>
      </c>
      <c r="D96" s="47"/>
      <c r="E96" s="47"/>
      <c r="F96" s="47"/>
      <c r="G96" s="48"/>
      <c r="H96" s="47"/>
      <c r="I96" s="76">
        <f t="shared" si="1"/>
        <v>0</v>
      </c>
      <c r="J96" s="47"/>
    </row>
    <row r="97" spans="1:10" s="56" customFormat="1" ht="14.25">
      <c r="A97" s="44"/>
      <c r="B97" s="45"/>
      <c r="C97" s="46">
        <f>IF(B97&lt;&gt;"",VLOOKUP(B97,'Tipo Projeto'!$A$3:$B$35,2,0),0)</f>
        <v>0</v>
      </c>
      <c r="D97" s="47"/>
      <c r="E97" s="47"/>
      <c r="F97" s="47"/>
      <c r="G97" s="48"/>
      <c r="H97" s="47"/>
      <c r="I97" s="76">
        <f t="shared" si="1"/>
        <v>0</v>
      </c>
      <c r="J97" s="47"/>
    </row>
    <row r="98" spans="1:10" s="56" customFormat="1" ht="14.25">
      <c r="A98" s="44"/>
      <c r="B98" s="45"/>
      <c r="C98" s="46">
        <f>IF(B98&lt;&gt;"",VLOOKUP(B98,'Tipo Projeto'!$A$3:$B$35,2,0),0)</f>
        <v>0</v>
      </c>
      <c r="D98" s="47"/>
      <c r="E98" s="47"/>
      <c r="F98" s="47"/>
      <c r="G98" s="48"/>
      <c r="H98" s="47"/>
      <c r="I98" s="76">
        <f t="shared" si="1"/>
        <v>0</v>
      </c>
      <c r="J98" s="47"/>
    </row>
    <row r="99" spans="1:10" s="56" customFormat="1" ht="14.25">
      <c r="A99" s="44"/>
      <c r="B99" s="45"/>
      <c r="C99" s="46">
        <f>IF(B99&lt;&gt;"",VLOOKUP(B99,'Tipo Projeto'!$A$3:$B$35,2,0),0)</f>
        <v>0</v>
      </c>
      <c r="D99" s="47"/>
      <c r="E99" s="47"/>
      <c r="F99" s="47"/>
      <c r="G99" s="48"/>
      <c r="H99" s="47"/>
      <c r="I99" s="76">
        <f t="shared" si="1"/>
        <v>0</v>
      </c>
      <c r="J99" s="47"/>
    </row>
    <row r="100" spans="1:10" s="56" customFormat="1" ht="14.25">
      <c r="A100" s="44"/>
      <c r="B100" s="45"/>
      <c r="C100" s="46">
        <f>IF(B100&lt;&gt;"",VLOOKUP(B100,'Tipo Projeto'!$A$3:$B$35,2,0),0)</f>
        <v>0</v>
      </c>
      <c r="D100" s="47"/>
      <c r="E100" s="47"/>
      <c r="F100" s="47"/>
      <c r="G100" s="48"/>
      <c r="H100" s="47"/>
      <c r="I100" s="76">
        <f t="shared" si="1"/>
        <v>0</v>
      </c>
      <c r="J100" s="47"/>
    </row>
    <row r="101" spans="1:10" s="56" customFormat="1" ht="14.25">
      <c r="A101" s="44"/>
      <c r="B101" s="45"/>
      <c r="C101" s="46">
        <f>IF(B101&lt;&gt;"",VLOOKUP(B101,'Tipo Projeto'!$A$3:$B$35,2,0),0)</f>
        <v>0</v>
      </c>
      <c r="D101" s="47"/>
      <c r="E101" s="47"/>
      <c r="F101" s="47"/>
      <c r="G101" s="48"/>
      <c r="H101" s="47"/>
      <c r="I101" s="76">
        <f t="shared" si="1"/>
        <v>0</v>
      </c>
      <c r="J101" s="47"/>
    </row>
    <row r="102" spans="1:10" s="56" customFormat="1" ht="14.25">
      <c r="A102" s="44"/>
      <c r="B102" s="45"/>
      <c r="C102" s="46">
        <f>IF(B102&lt;&gt;"",VLOOKUP(B102,'Tipo Projeto'!$A$3:$B$35,2,0),0)</f>
        <v>0</v>
      </c>
      <c r="D102" s="47"/>
      <c r="E102" s="47"/>
      <c r="F102" s="47"/>
      <c r="G102" s="48"/>
      <c r="H102" s="47"/>
      <c r="I102" s="76">
        <f t="shared" si="1"/>
        <v>0</v>
      </c>
      <c r="J102" s="47"/>
    </row>
    <row r="103" spans="1:10" s="56" customFormat="1" ht="14.25">
      <c r="A103" s="44"/>
      <c r="B103" s="45"/>
      <c r="C103" s="46">
        <f>IF(B103&lt;&gt;"",VLOOKUP(B103,'Tipo Projeto'!$A$3:$B$35,2,0),0)</f>
        <v>0</v>
      </c>
      <c r="D103" s="47"/>
      <c r="E103" s="47"/>
      <c r="F103" s="47"/>
      <c r="G103" s="48"/>
      <c r="H103" s="47"/>
      <c r="I103" s="76">
        <f t="shared" si="1"/>
        <v>0</v>
      </c>
      <c r="J103" s="47"/>
    </row>
    <row r="104" spans="1:10" s="56" customFormat="1" ht="14.25">
      <c r="A104" s="44"/>
      <c r="B104" s="45"/>
      <c r="C104" s="46">
        <f>IF(B104&lt;&gt;"",VLOOKUP(B104,'Tipo Projeto'!$A$3:$B$35,2,0),0)</f>
        <v>0</v>
      </c>
      <c r="D104" s="47"/>
      <c r="E104" s="47"/>
      <c r="F104" s="47"/>
      <c r="G104" s="48"/>
      <c r="H104" s="47"/>
      <c r="I104" s="76">
        <f t="shared" si="1"/>
        <v>0</v>
      </c>
      <c r="J104" s="47"/>
    </row>
    <row r="105" spans="1:10" s="56" customFormat="1" ht="14.25">
      <c r="A105" s="44"/>
      <c r="B105" s="45"/>
      <c r="C105" s="46">
        <f>IF(B105&lt;&gt;"",VLOOKUP(B105,'Tipo Projeto'!$A$3:$B$35,2,0),0)</f>
        <v>0</v>
      </c>
      <c r="D105" s="47"/>
      <c r="E105" s="47"/>
      <c r="F105" s="47"/>
      <c r="G105" s="48"/>
      <c r="H105" s="47"/>
      <c r="I105" s="76">
        <f t="shared" si="1"/>
        <v>0</v>
      </c>
      <c r="J105" s="47"/>
    </row>
    <row r="106" spans="1:10" s="56" customFormat="1" ht="14.25">
      <c r="A106" s="44"/>
      <c r="B106" s="45"/>
      <c r="C106" s="46">
        <f>IF(B106&lt;&gt;"",VLOOKUP(B106,'Tipo Projeto'!$A$3:$B$35,2,0),0)</f>
        <v>0</v>
      </c>
      <c r="D106" s="47"/>
      <c r="E106" s="47"/>
      <c r="F106" s="47"/>
      <c r="G106" s="48"/>
      <c r="H106" s="47"/>
      <c r="I106" s="76">
        <f t="shared" si="1"/>
        <v>0</v>
      </c>
      <c r="J106" s="47"/>
    </row>
    <row r="107" spans="1:10" s="56" customFormat="1" ht="14.25">
      <c r="A107" s="44"/>
      <c r="B107" s="45"/>
      <c r="C107" s="46">
        <f>IF(B107&lt;&gt;"",VLOOKUP(B107,'Tipo Projeto'!$A$3:$B$35,2,0),0)</f>
        <v>0</v>
      </c>
      <c r="D107" s="47"/>
      <c r="E107" s="47"/>
      <c r="F107" s="47"/>
      <c r="G107" s="48"/>
      <c r="H107" s="47"/>
      <c r="I107" s="76">
        <f t="shared" si="1"/>
        <v>0</v>
      </c>
      <c r="J107" s="47"/>
    </row>
    <row r="108" spans="1:10" s="56" customFormat="1" ht="14.25">
      <c r="A108" s="44"/>
      <c r="B108" s="45"/>
      <c r="C108" s="46">
        <f>IF(B108&lt;&gt;"",VLOOKUP(B108,'Tipo Projeto'!$A$3:$B$35,2,0),0)</f>
        <v>0</v>
      </c>
      <c r="D108" s="47"/>
      <c r="E108" s="47"/>
      <c r="F108" s="47"/>
      <c r="G108" s="48"/>
      <c r="H108" s="47"/>
      <c r="I108" s="76">
        <f t="shared" si="1"/>
        <v>0</v>
      </c>
      <c r="J108" s="47"/>
    </row>
    <row r="109" spans="1:10" s="56" customFormat="1" ht="14.25">
      <c r="A109" s="44"/>
      <c r="B109" s="45"/>
      <c r="C109" s="46">
        <f>IF(B109&lt;&gt;"",VLOOKUP(B109,'Tipo Projeto'!$A$3:$B$35,2,0),0)</f>
        <v>0</v>
      </c>
      <c r="D109" s="47"/>
      <c r="E109" s="47"/>
      <c r="F109" s="47"/>
      <c r="G109" s="48"/>
      <c r="H109" s="47"/>
      <c r="I109" s="76">
        <f t="shared" si="1"/>
        <v>0</v>
      </c>
      <c r="J109" s="47"/>
    </row>
    <row r="110" spans="1:10" s="56" customFormat="1" ht="14.25">
      <c r="A110" s="44"/>
      <c r="B110" s="45"/>
      <c r="C110" s="46">
        <f>IF(B110&lt;&gt;"",VLOOKUP(B110,'Tipo Projeto'!$A$3:$B$35,2,0),0)</f>
        <v>0</v>
      </c>
      <c r="D110" s="47"/>
      <c r="E110" s="47"/>
      <c r="F110" s="47"/>
      <c r="G110" s="48"/>
      <c r="H110" s="47"/>
      <c r="I110" s="76">
        <f t="shared" si="1"/>
        <v>0</v>
      </c>
      <c r="J110" s="47"/>
    </row>
    <row r="111" spans="1:10" s="56" customFormat="1" ht="14.25">
      <c r="A111" s="44"/>
      <c r="B111" s="45"/>
      <c r="C111" s="46">
        <f>IF(B111&lt;&gt;"",VLOOKUP(B111,'Tipo Projeto'!$A$3:$B$35,2,0),0)</f>
        <v>0</v>
      </c>
      <c r="D111" s="47"/>
      <c r="E111" s="47"/>
      <c r="F111" s="47"/>
      <c r="G111" s="48"/>
      <c r="H111" s="47"/>
      <c r="I111" s="76">
        <f t="shared" si="1"/>
        <v>0</v>
      </c>
      <c r="J111" s="47"/>
    </row>
    <row r="112" spans="1:10" s="56" customFormat="1" ht="14.25">
      <c r="A112" s="44"/>
      <c r="B112" s="45"/>
      <c r="C112" s="46">
        <f>IF(B112&lt;&gt;"",VLOOKUP(B112,'Tipo Projeto'!$A$3:$B$35,2,0),0)</f>
        <v>0</v>
      </c>
      <c r="D112" s="47"/>
      <c r="E112" s="47"/>
      <c r="F112" s="47"/>
      <c r="G112" s="48"/>
      <c r="H112" s="47"/>
      <c r="I112" s="76">
        <f t="shared" si="1"/>
        <v>0</v>
      </c>
      <c r="J112" s="47"/>
    </row>
    <row r="113" spans="1:10" s="56" customFormat="1" ht="14.25">
      <c r="A113" s="44"/>
      <c r="B113" s="45"/>
      <c r="C113" s="46">
        <f>IF(B113&lt;&gt;"",VLOOKUP(B113,'Tipo Projeto'!$A$3:$B$35,2,0),0)</f>
        <v>0</v>
      </c>
      <c r="D113" s="47"/>
      <c r="E113" s="47"/>
      <c r="F113" s="47"/>
      <c r="G113" s="48"/>
      <c r="H113" s="47"/>
      <c r="I113" s="76">
        <f t="shared" si="1"/>
        <v>0</v>
      </c>
      <c r="J113" s="47"/>
    </row>
    <row r="114" spans="1:10" s="56" customFormat="1" ht="14.25">
      <c r="A114" s="44"/>
      <c r="B114" s="45"/>
      <c r="C114" s="46">
        <f>IF(B114&lt;&gt;"",VLOOKUP(B114,'Tipo Projeto'!$A$3:$B$35,2,0),0)</f>
        <v>0</v>
      </c>
      <c r="D114" s="47"/>
      <c r="E114" s="47"/>
      <c r="F114" s="47"/>
      <c r="G114" s="48"/>
      <c r="H114" s="47"/>
      <c r="I114" s="76">
        <f t="shared" si="1"/>
        <v>0</v>
      </c>
      <c r="J114" s="47"/>
    </row>
    <row r="115" spans="1:10" s="56" customFormat="1" ht="14.25">
      <c r="A115" s="44"/>
      <c r="B115" s="45"/>
      <c r="C115" s="46">
        <f>IF(B115&lt;&gt;"",VLOOKUP(B115,'Tipo Projeto'!$A$3:$B$35,2,0),0)</f>
        <v>0</v>
      </c>
      <c r="D115" s="47"/>
      <c r="E115" s="47"/>
      <c r="F115" s="47"/>
      <c r="G115" s="48"/>
      <c r="H115" s="47"/>
      <c r="I115" s="76">
        <f t="shared" si="1"/>
        <v>0</v>
      </c>
      <c r="J115" s="47"/>
    </row>
    <row r="116" spans="1:10" s="56" customFormat="1" ht="14.25">
      <c r="A116" s="44"/>
      <c r="B116" s="45"/>
      <c r="C116" s="46">
        <f>IF(B116&lt;&gt;"",VLOOKUP(B116,'Tipo Projeto'!$A$3:$B$35,2,0),0)</f>
        <v>0</v>
      </c>
      <c r="D116" s="47"/>
      <c r="E116" s="47"/>
      <c r="F116" s="47"/>
      <c r="G116" s="48"/>
      <c r="H116" s="47"/>
      <c r="I116" s="76">
        <f t="shared" si="1"/>
        <v>0</v>
      </c>
      <c r="J116" s="47"/>
    </row>
    <row r="117" spans="1:10" s="56" customFormat="1" ht="14.25">
      <c r="A117" s="44"/>
      <c r="B117" s="45"/>
      <c r="C117" s="46">
        <f>IF(B117&lt;&gt;"",VLOOKUP(B117,'Tipo Projeto'!$A$3:$B$35,2,0),0)</f>
        <v>0</v>
      </c>
      <c r="D117" s="47"/>
      <c r="E117" s="47"/>
      <c r="F117" s="47"/>
      <c r="G117" s="48"/>
      <c r="H117" s="47"/>
      <c r="I117" s="76">
        <f t="shared" si="1"/>
        <v>0</v>
      </c>
      <c r="J117" s="47"/>
    </row>
    <row r="118" spans="1:10" s="56" customFormat="1" ht="14.25">
      <c r="A118" s="44"/>
      <c r="B118" s="45"/>
      <c r="C118" s="46">
        <f>IF(B118&lt;&gt;"",VLOOKUP(B118,'Tipo Projeto'!$A$3:$B$35,2,0),0)</f>
        <v>0</v>
      </c>
      <c r="D118" s="47"/>
      <c r="E118" s="47"/>
      <c r="F118" s="47"/>
      <c r="G118" s="48"/>
      <c r="H118" s="47"/>
      <c r="I118" s="76">
        <f t="shared" si="1"/>
        <v>0</v>
      </c>
      <c r="J118" s="47"/>
    </row>
    <row r="119" spans="1:10" s="56" customFormat="1" ht="14.25">
      <c r="A119" s="44"/>
      <c r="B119" s="45"/>
      <c r="C119" s="46">
        <f>IF(B119&lt;&gt;"",VLOOKUP(B119,'Tipo Projeto'!$A$3:$B$35,2,0),0)</f>
        <v>0</v>
      </c>
      <c r="D119" s="47"/>
      <c r="E119" s="47"/>
      <c r="F119" s="47"/>
      <c r="G119" s="48"/>
      <c r="H119" s="47"/>
      <c r="I119" s="76">
        <f t="shared" si="1"/>
        <v>0</v>
      </c>
      <c r="J119" s="47"/>
    </row>
    <row r="120" spans="1:10" s="56" customFormat="1" ht="14.25">
      <c r="A120" s="44"/>
      <c r="B120" s="45"/>
      <c r="C120" s="46">
        <f>IF(B120&lt;&gt;"",VLOOKUP(B120,'Tipo Projeto'!$A$3:$B$35,2,0),0)</f>
        <v>0</v>
      </c>
      <c r="D120" s="47"/>
      <c r="E120" s="47"/>
      <c r="F120" s="47"/>
      <c r="G120" s="48"/>
      <c r="H120" s="47"/>
      <c r="I120" s="76">
        <f t="shared" si="1"/>
        <v>0</v>
      </c>
      <c r="J120" s="47"/>
    </row>
    <row r="121" spans="1:10" s="56" customFormat="1" ht="14.25">
      <c r="A121" s="44"/>
      <c r="B121" s="45"/>
      <c r="C121" s="46">
        <f>IF(B121&lt;&gt;"",VLOOKUP(B121,'Tipo Projeto'!$A$3:$B$35,2,0),0)</f>
        <v>0</v>
      </c>
      <c r="D121" s="47"/>
      <c r="E121" s="47"/>
      <c r="F121" s="47"/>
      <c r="G121" s="48"/>
      <c r="H121" s="47"/>
      <c r="I121" s="76">
        <f t="shared" si="1"/>
        <v>0</v>
      </c>
      <c r="J121" s="47"/>
    </row>
    <row r="122" spans="1:10" s="56" customFormat="1" ht="14.25">
      <c r="A122" s="44"/>
      <c r="B122" s="45"/>
      <c r="C122" s="46">
        <f>IF(B122&lt;&gt;"",VLOOKUP(B122,'Tipo Projeto'!$A$3:$B$35,2,0),0)</f>
        <v>0</v>
      </c>
      <c r="D122" s="47"/>
      <c r="E122" s="47"/>
      <c r="F122" s="47"/>
      <c r="G122" s="48"/>
      <c r="H122" s="47"/>
      <c r="I122" s="76">
        <f t="shared" si="1"/>
        <v>0</v>
      </c>
      <c r="J122" s="47"/>
    </row>
    <row r="123" spans="1:10" s="56" customFormat="1" ht="14.25">
      <c r="A123" s="44"/>
      <c r="B123" s="45"/>
      <c r="C123" s="46">
        <f>IF(B123&lt;&gt;"",VLOOKUP(B123,'Tipo Projeto'!$A$3:$B$35,2,0),0)</f>
        <v>0</v>
      </c>
      <c r="D123" s="47"/>
      <c r="E123" s="47"/>
      <c r="F123" s="47"/>
      <c r="G123" s="48"/>
      <c r="H123" s="47"/>
      <c r="I123" s="76">
        <f t="shared" si="1"/>
        <v>0</v>
      </c>
      <c r="J123" s="47"/>
    </row>
    <row r="124" spans="1:10" s="56" customFormat="1" ht="14.25">
      <c r="A124" s="44"/>
      <c r="B124" s="45"/>
      <c r="C124" s="46">
        <f>IF(B124&lt;&gt;"",VLOOKUP(B124,'Tipo Projeto'!$A$3:$B$35,2,0),0)</f>
        <v>0</v>
      </c>
      <c r="D124" s="47"/>
      <c r="E124" s="47"/>
      <c r="F124" s="47"/>
      <c r="G124" s="48"/>
      <c r="H124" s="47"/>
      <c r="I124" s="76">
        <f t="shared" si="1"/>
        <v>0</v>
      </c>
      <c r="J124" s="47"/>
    </row>
    <row r="125" spans="1:10" s="56" customFormat="1" ht="14.25">
      <c r="A125" s="44"/>
      <c r="B125" s="45"/>
      <c r="C125" s="46">
        <f>IF(B125&lt;&gt;"",VLOOKUP(B125,'Tipo Projeto'!$A$3:$B$35,2,0),0)</f>
        <v>0</v>
      </c>
      <c r="D125" s="47"/>
      <c r="E125" s="47"/>
      <c r="F125" s="47"/>
      <c r="G125" s="48"/>
      <c r="H125" s="47"/>
      <c r="I125" s="76">
        <f t="shared" si="1"/>
        <v>0</v>
      </c>
      <c r="J125" s="47"/>
    </row>
    <row r="126" spans="1:10" s="56" customFormat="1" ht="14.25">
      <c r="A126" s="44"/>
      <c r="B126" s="45"/>
      <c r="C126" s="46">
        <f>IF(B126&lt;&gt;"",VLOOKUP(B126,'Tipo Projeto'!$A$3:$B$35,2,0),0)</f>
        <v>0</v>
      </c>
      <c r="D126" s="47"/>
      <c r="E126" s="47"/>
      <c r="F126" s="47"/>
      <c r="G126" s="48"/>
      <c r="H126" s="47"/>
      <c r="I126" s="76">
        <f t="shared" si="1"/>
        <v>0</v>
      </c>
      <c r="J126" s="47"/>
    </row>
    <row r="127" spans="1:10" s="56" customFormat="1" ht="14.25">
      <c r="A127" s="44"/>
      <c r="B127" s="45"/>
      <c r="C127" s="46">
        <f>IF(B127&lt;&gt;"",VLOOKUP(B127,'Tipo Projeto'!$A$3:$B$35,2,0),0)</f>
        <v>0</v>
      </c>
      <c r="D127" s="47"/>
      <c r="E127" s="47"/>
      <c r="F127" s="47"/>
      <c r="G127" s="48"/>
      <c r="H127" s="47"/>
      <c r="I127" s="76">
        <f t="shared" si="1"/>
        <v>0</v>
      </c>
      <c r="J127" s="47"/>
    </row>
    <row r="128" spans="1:10" s="56" customFormat="1" ht="14.25">
      <c r="A128" s="44"/>
      <c r="B128" s="45"/>
      <c r="C128" s="46">
        <f>IF(B128&lt;&gt;"",VLOOKUP(B128,'Tipo Projeto'!$A$3:$B$35,2,0),0)</f>
        <v>0</v>
      </c>
      <c r="D128" s="47"/>
      <c r="E128" s="47"/>
      <c r="F128" s="47"/>
      <c r="G128" s="48"/>
      <c r="H128" s="47"/>
      <c r="I128" s="76">
        <f t="shared" si="1"/>
        <v>0</v>
      </c>
      <c r="J128" s="47"/>
    </row>
    <row r="129" spans="1:10" s="56" customFormat="1" ht="14.25">
      <c r="A129" s="44"/>
      <c r="B129" s="45"/>
      <c r="C129" s="46">
        <f>IF(B129&lt;&gt;"",VLOOKUP(B129,'Tipo Projeto'!$A$3:$B$35,2,0),0)</f>
        <v>0</v>
      </c>
      <c r="D129" s="47"/>
      <c r="E129" s="47"/>
      <c r="F129" s="47"/>
      <c r="G129" s="48"/>
      <c r="H129" s="47"/>
      <c r="I129" s="76">
        <f t="shared" si="1"/>
        <v>0</v>
      </c>
      <c r="J129" s="47"/>
    </row>
    <row r="130" spans="1:10" s="56" customFormat="1" ht="14.25">
      <c r="A130" s="44"/>
      <c r="B130" s="45"/>
      <c r="C130" s="46">
        <f>IF(B130&lt;&gt;"",VLOOKUP(B130,'Tipo Projeto'!$A$3:$B$35,2,0),0)</f>
        <v>0</v>
      </c>
      <c r="D130" s="47"/>
      <c r="E130" s="47"/>
      <c r="F130" s="47"/>
      <c r="G130" s="48"/>
      <c r="H130" s="47"/>
      <c r="I130" s="76">
        <f t="shared" si="1"/>
        <v>0</v>
      </c>
      <c r="J130" s="47"/>
    </row>
    <row r="131" spans="1:10" s="56" customFormat="1" ht="14.25">
      <c r="A131" s="44"/>
      <c r="B131" s="45"/>
      <c r="C131" s="46">
        <f>IF(B131&lt;&gt;"",VLOOKUP(B131,'Tipo Projeto'!$A$3:$B$35,2,0),0)</f>
        <v>0</v>
      </c>
      <c r="D131" s="47"/>
      <c r="E131" s="47"/>
      <c r="F131" s="47"/>
      <c r="G131" s="48"/>
      <c r="H131" s="47"/>
      <c r="I131" s="76">
        <f t="shared" si="1"/>
        <v>0</v>
      </c>
      <c r="J131" s="47"/>
    </row>
    <row r="132" spans="1:10" s="56" customFormat="1" ht="14.25">
      <c r="A132" s="44"/>
      <c r="B132" s="45"/>
      <c r="C132" s="46">
        <f>IF(B132&lt;&gt;"",VLOOKUP(B132,'Tipo Projeto'!$A$3:$B$35,2,0),0)</f>
        <v>0</v>
      </c>
      <c r="D132" s="47"/>
      <c r="E132" s="47"/>
      <c r="F132" s="47"/>
      <c r="G132" s="48"/>
      <c r="H132" s="47"/>
      <c r="I132" s="76">
        <f t="shared" si="1"/>
        <v>0</v>
      </c>
      <c r="J132" s="47"/>
    </row>
    <row r="133" spans="1:10" s="56" customFormat="1" ht="14.25">
      <c r="A133" s="44"/>
      <c r="B133" s="45"/>
      <c r="C133" s="46">
        <f>IF(B133&lt;&gt;"",VLOOKUP(B133,'Tipo Projeto'!$A$3:$B$35,2,0),0)</f>
        <v>0</v>
      </c>
      <c r="D133" s="47"/>
      <c r="E133" s="47"/>
      <c r="F133" s="47"/>
      <c r="G133" s="48"/>
      <c r="H133" s="47"/>
      <c r="I133" s="76">
        <f t="shared" si="1"/>
        <v>0</v>
      </c>
      <c r="J133" s="47"/>
    </row>
    <row r="134" spans="1:10" s="56" customFormat="1" ht="14.25">
      <c r="A134" s="44"/>
      <c r="B134" s="45"/>
      <c r="C134" s="46">
        <f>IF(B134&lt;&gt;"",VLOOKUP(B134,'Tipo Projeto'!$A$3:$B$35,2,0),0)</f>
        <v>0</v>
      </c>
      <c r="D134" s="47"/>
      <c r="E134" s="47"/>
      <c r="F134" s="47"/>
      <c r="G134" s="48"/>
      <c r="H134" s="47"/>
      <c r="I134" s="76">
        <f t="shared" si="1"/>
        <v>0</v>
      </c>
      <c r="J134" s="47"/>
    </row>
    <row r="135" spans="1:10" s="56" customFormat="1" ht="14.25">
      <c r="A135" s="44"/>
      <c r="B135" s="45"/>
      <c r="C135" s="46">
        <f>IF(B135&lt;&gt;"",VLOOKUP(B135,'Tipo Projeto'!$A$3:$B$35,2,0),0)</f>
        <v>0</v>
      </c>
      <c r="D135" s="47"/>
      <c r="E135" s="47"/>
      <c r="F135" s="47"/>
      <c r="G135" s="48"/>
      <c r="H135" s="47"/>
      <c r="I135" s="76">
        <f t="shared" si="1"/>
        <v>0</v>
      </c>
      <c r="J135" s="47"/>
    </row>
    <row r="136" spans="1:10" s="56" customFormat="1" ht="14.25">
      <c r="A136" s="44"/>
      <c r="B136" s="45"/>
      <c r="C136" s="46">
        <f>IF(B136&lt;&gt;"",VLOOKUP(B136,'Tipo Projeto'!$A$3:$B$35,2,0),0)</f>
        <v>0</v>
      </c>
      <c r="D136" s="47"/>
      <c r="E136" s="47"/>
      <c r="F136" s="47"/>
      <c r="G136" s="48"/>
      <c r="H136" s="47"/>
      <c r="I136" s="76">
        <f t="shared" si="1"/>
        <v>0</v>
      </c>
      <c r="J136" s="47"/>
    </row>
    <row r="137" spans="1:10" s="56" customFormat="1" ht="14.25">
      <c r="A137" s="44"/>
      <c r="B137" s="45"/>
      <c r="C137" s="46">
        <f>IF(B137&lt;&gt;"",VLOOKUP(B137,'Tipo Projeto'!$A$3:$B$35,2,0),0)</f>
        <v>0</v>
      </c>
      <c r="D137" s="47"/>
      <c r="E137" s="47"/>
      <c r="F137" s="47"/>
      <c r="G137" s="48"/>
      <c r="H137" s="47"/>
      <c r="I137" s="76">
        <f t="shared" si="1"/>
        <v>0</v>
      </c>
      <c r="J137" s="47"/>
    </row>
    <row r="138" spans="1:10" s="56" customFormat="1" ht="14.25">
      <c r="A138" s="44"/>
      <c r="B138" s="45"/>
      <c r="C138" s="46">
        <f>IF(B138&lt;&gt;"",VLOOKUP(B138,'Tipo Projeto'!$A$3:$B$35,2,0),0)</f>
        <v>0</v>
      </c>
      <c r="D138" s="47"/>
      <c r="E138" s="47"/>
      <c r="F138" s="47"/>
      <c r="G138" s="48"/>
      <c r="H138" s="47"/>
      <c r="I138" s="76">
        <f t="shared" si="1"/>
        <v>0</v>
      </c>
      <c r="J138" s="47"/>
    </row>
    <row r="139" spans="1:10" s="56" customFormat="1" ht="14.25">
      <c r="A139" s="44"/>
      <c r="B139" s="45"/>
      <c r="C139" s="46">
        <f>IF(B139&lt;&gt;"",VLOOKUP(B139,'Tipo Projeto'!$A$3:$B$35,2,0),0)</f>
        <v>0</v>
      </c>
      <c r="D139" s="47"/>
      <c r="E139" s="47"/>
      <c r="F139" s="47"/>
      <c r="G139" s="48"/>
      <c r="H139" s="47"/>
      <c r="I139" s="76">
        <f t="shared" ref="I139:I202" si="2">IF(B139&lt;&gt;"Manutenção em interface",IF(B139&lt;&gt;"Desenv., Manutenção e Publicação de Páginas Estáticas",IF(H139="EE",4,IF(H139="CE",4,IF(H139="SE",5,IF(H139="ALI",7,IF(H139="AIE",5,0)))))*C139,C139),C139)</f>
        <v>0</v>
      </c>
      <c r="J139" s="47"/>
    </row>
    <row r="140" spans="1:10" s="56" customFormat="1" ht="14.25">
      <c r="A140" s="44"/>
      <c r="B140" s="45"/>
      <c r="C140" s="46">
        <f>IF(B140&lt;&gt;"",VLOOKUP(B140,'Tipo Projeto'!$A$3:$B$35,2,0),0)</f>
        <v>0</v>
      </c>
      <c r="D140" s="47"/>
      <c r="E140" s="47"/>
      <c r="F140" s="47"/>
      <c r="G140" s="48"/>
      <c r="H140" s="47"/>
      <c r="I140" s="76">
        <f t="shared" si="2"/>
        <v>0</v>
      </c>
      <c r="J140" s="47"/>
    </row>
    <row r="141" spans="1:10" s="56" customFormat="1" ht="14.25">
      <c r="A141" s="44"/>
      <c r="B141" s="45"/>
      <c r="C141" s="46">
        <f>IF(B141&lt;&gt;"",VLOOKUP(B141,'Tipo Projeto'!$A$3:$B$35,2,0),0)</f>
        <v>0</v>
      </c>
      <c r="D141" s="47"/>
      <c r="E141" s="47"/>
      <c r="F141" s="47"/>
      <c r="G141" s="48"/>
      <c r="H141" s="47"/>
      <c r="I141" s="76">
        <f t="shared" si="2"/>
        <v>0</v>
      </c>
      <c r="J141" s="47"/>
    </row>
    <row r="142" spans="1:10" s="56" customFormat="1" ht="14.25">
      <c r="A142" s="44"/>
      <c r="B142" s="45"/>
      <c r="C142" s="46">
        <f>IF(B142&lt;&gt;"",VLOOKUP(B142,'Tipo Projeto'!$A$3:$B$35,2,0),0)</f>
        <v>0</v>
      </c>
      <c r="D142" s="47"/>
      <c r="E142" s="47"/>
      <c r="F142" s="47"/>
      <c r="G142" s="48"/>
      <c r="H142" s="47"/>
      <c r="I142" s="76">
        <f t="shared" si="2"/>
        <v>0</v>
      </c>
      <c r="J142" s="47"/>
    </row>
    <row r="143" spans="1:10" s="56" customFormat="1" ht="14.25">
      <c r="A143" s="44"/>
      <c r="B143" s="45"/>
      <c r="C143" s="46">
        <f>IF(B143&lt;&gt;"",VLOOKUP(B143,'Tipo Projeto'!$A$3:$B$35,2,0),0)</f>
        <v>0</v>
      </c>
      <c r="D143" s="47"/>
      <c r="E143" s="47"/>
      <c r="F143" s="47"/>
      <c r="G143" s="48"/>
      <c r="H143" s="47"/>
      <c r="I143" s="76">
        <f t="shared" si="2"/>
        <v>0</v>
      </c>
      <c r="J143" s="47"/>
    </row>
    <row r="144" spans="1:10" s="56" customFormat="1" ht="14.25">
      <c r="A144" s="44"/>
      <c r="B144" s="45"/>
      <c r="C144" s="46">
        <f>IF(B144&lt;&gt;"",VLOOKUP(B144,'Tipo Projeto'!$A$3:$B$35,2,0),0)</f>
        <v>0</v>
      </c>
      <c r="D144" s="47"/>
      <c r="E144" s="47"/>
      <c r="F144" s="47"/>
      <c r="G144" s="48"/>
      <c r="H144" s="47"/>
      <c r="I144" s="76">
        <f t="shared" si="2"/>
        <v>0</v>
      </c>
      <c r="J144" s="47"/>
    </row>
    <row r="145" spans="1:10" s="56" customFormat="1" ht="14.25">
      <c r="A145" s="44"/>
      <c r="B145" s="45"/>
      <c r="C145" s="46">
        <f>IF(B145&lt;&gt;"",VLOOKUP(B145,'Tipo Projeto'!$A$3:$B$35,2,0),0)</f>
        <v>0</v>
      </c>
      <c r="D145" s="47"/>
      <c r="E145" s="47"/>
      <c r="F145" s="47"/>
      <c r="G145" s="48"/>
      <c r="H145" s="47"/>
      <c r="I145" s="76">
        <f t="shared" si="2"/>
        <v>0</v>
      </c>
      <c r="J145" s="47"/>
    </row>
    <row r="146" spans="1:10" s="56" customFormat="1" ht="14.25">
      <c r="A146" s="44"/>
      <c r="B146" s="45"/>
      <c r="C146" s="46">
        <f>IF(B146&lt;&gt;"",VLOOKUP(B146,'Tipo Projeto'!$A$3:$B$35,2,0),0)</f>
        <v>0</v>
      </c>
      <c r="D146" s="47"/>
      <c r="E146" s="47"/>
      <c r="F146" s="47"/>
      <c r="G146" s="48"/>
      <c r="H146" s="47"/>
      <c r="I146" s="76">
        <f t="shared" si="2"/>
        <v>0</v>
      </c>
      <c r="J146" s="47"/>
    </row>
    <row r="147" spans="1:10" s="56" customFormat="1" ht="14.25">
      <c r="A147" s="44"/>
      <c r="B147" s="45"/>
      <c r="C147" s="46">
        <f>IF(B147&lt;&gt;"",VLOOKUP(B147,'Tipo Projeto'!$A$3:$B$35,2,0),0)</f>
        <v>0</v>
      </c>
      <c r="D147" s="47"/>
      <c r="E147" s="47"/>
      <c r="F147" s="47"/>
      <c r="G147" s="48"/>
      <c r="H147" s="47"/>
      <c r="I147" s="76">
        <f t="shared" si="2"/>
        <v>0</v>
      </c>
      <c r="J147" s="47"/>
    </row>
    <row r="148" spans="1:10" s="56" customFormat="1" ht="14.25">
      <c r="A148" s="44"/>
      <c r="B148" s="45"/>
      <c r="C148" s="46">
        <f>IF(B148&lt;&gt;"",VLOOKUP(B148,'Tipo Projeto'!$A$3:$B$35,2,0),0)</f>
        <v>0</v>
      </c>
      <c r="D148" s="47"/>
      <c r="E148" s="47"/>
      <c r="F148" s="47"/>
      <c r="G148" s="48"/>
      <c r="H148" s="47"/>
      <c r="I148" s="76">
        <f t="shared" si="2"/>
        <v>0</v>
      </c>
      <c r="J148" s="47"/>
    </row>
    <row r="149" spans="1:10" s="56" customFormat="1" ht="14.25">
      <c r="A149" s="44"/>
      <c r="B149" s="45"/>
      <c r="C149" s="46">
        <f>IF(B149&lt;&gt;"",VLOOKUP(B149,'Tipo Projeto'!$A$3:$B$35,2,0),0)</f>
        <v>0</v>
      </c>
      <c r="D149" s="47"/>
      <c r="E149" s="47"/>
      <c r="F149" s="47"/>
      <c r="G149" s="48"/>
      <c r="H149" s="47"/>
      <c r="I149" s="76">
        <f t="shared" si="2"/>
        <v>0</v>
      </c>
      <c r="J149" s="47"/>
    </row>
    <row r="150" spans="1:10" s="56" customFormat="1" ht="14.25">
      <c r="A150" s="44"/>
      <c r="B150" s="45"/>
      <c r="C150" s="46">
        <f>IF(B150&lt;&gt;"",VLOOKUP(B150,'Tipo Projeto'!$A$3:$B$35,2,0),0)</f>
        <v>0</v>
      </c>
      <c r="D150" s="47"/>
      <c r="E150" s="47"/>
      <c r="F150" s="47"/>
      <c r="G150" s="48"/>
      <c r="H150" s="47"/>
      <c r="I150" s="76">
        <f t="shared" si="2"/>
        <v>0</v>
      </c>
      <c r="J150" s="47"/>
    </row>
    <row r="151" spans="1:10" s="56" customFormat="1" ht="14.25">
      <c r="A151" s="44"/>
      <c r="B151" s="45"/>
      <c r="C151" s="46">
        <f>IF(B151&lt;&gt;"",VLOOKUP(B151,'Tipo Projeto'!$A$3:$B$35,2,0),0)</f>
        <v>0</v>
      </c>
      <c r="D151" s="47"/>
      <c r="E151" s="47"/>
      <c r="F151" s="47"/>
      <c r="G151" s="48"/>
      <c r="H151" s="47"/>
      <c r="I151" s="76">
        <f t="shared" si="2"/>
        <v>0</v>
      </c>
      <c r="J151" s="47"/>
    </row>
    <row r="152" spans="1:10" s="56" customFormat="1" ht="14.25">
      <c r="A152" s="44"/>
      <c r="B152" s="45"/>
      <c r="C152" s="46">
        <f>IF(B152&lt;&gt;"",VLOOKUP(B152,'Tipo Projeto'!$A$3:$B$35,2,0),0)</f>
        <v>0</v>
      </c>
      <c r="D152" s="47"/>
      <c r="E152" s="47"/>
      <c r="F152" s="47"/>
      <c r="G152" s="48"/>
      <c r="H152" s="47"/>
      <c r="I152" s="76">
        <f t="shared" si="2"/>
        <v>0</v>
      </c>
      <c r="J152" s="47"/>
    </row>
    <row r="153" spans="1:10" s="56" customFormat="1" ht="14.25">
      <c r="A153" s="44"/>
      <c r="B153" s="45"/>
      <c r="C153" s="46">
        <f>IF(B153&lt;&gt;"",VLOOKUP(B153,'Tipo Projeto'!$A$3:$B$35,2,0),0)</f>
        <v>0</v>
      </c>
      <c r="D153" s="47"/>
      <c r="E153" s="47"/>
      <c r="F153" s="47"/>
      <c r="G153" s="48"/>
      <c r="H153" s="47"/>
      <c r="I153" s="76">
        <f t="shared" si="2"/>
        <v>0</v>
      </c>
      <c r="J153" s="47"/>
    </row>
    <row r="154" spans="1:10" s="56" customFormat="1" ht="14.25">
      <c r="A154" s="44"/>
      <c r="B154" s="45"/>
      <c r="C154" s="46">
        <f>IF(B154&lt;&gt;"",VLOOKUP(B154,'Tipo Projeto'!$A$3:$B$35,2,0),0)</f>
        <v>0</v>
      </c>
      <c r="D154" s="47"/>
      <c r="E154" s="47"/>
      <c r="F154" s="47"/>
      <c r="G154" s="48"/>
      <c r="H154" s="47"/>
      <c r="I154" s="76">
        <f t="shared" si="2"/>
        <v>0</v>
      </c>
      <c r="J154" s="47"/>
    </row>
    <row r="155" spans="1:10" s="56" customFormat="1" ht="14.25">
      <c r="A155" s="44"/>
      <c r="B155" s="45"/>
      <c r="C155" s="46">
        <f>IF(B155&lt;&gt;"",VLOOKUP(B155,'Tipo Projeto'!$A$3:$B$35,2,0),0)</f>
        <v>0</v>
      </c>
      <c r="D155" s="47"/>
      <c r="E155" s="47"/>
      <c r="F155" s="47"/>
      <c r="G155" s="48"/>
      <c r="H155" s="47"/>
      <c r="I155" s="76">
        <f t="shared" si="2"/>
        <v>0</v>
      </c>
      <c r="J155" s="47"/>
    </row>
    <row r="156" spans="1:10" s="56" customFormat="1" ht="14.25">
      <c r="A156" s="44"/>
      <c r="B156" s="45"/>
      <c r="C156" s="46">
        <f>IF(B156&lt;&gt;"",VLOOKUP(B156,'Tipo Projeto'!$A$3:$B$35,2,0),0)</f>
        <v>0</v>
      </c>
      <c r="D156" s="47"/>
      <c r="E156" s="47"/>
      <c r="F156" s="47"/>
      <c r="G156" s="48"/>
      <c r="H156" s="47"/>
      <c r="I156" s="76">
        <f t="shared" si="2"/>
        <v>0</v>
      </c>
      <c r="J156" s="47"/>
    </row>
    <row r="157" spans="1:10" s="56" customFormat="1" ht="14.25">
      <c r="A157" s="44"/>
      <c r="B157" s="45"/>
      <c r="C157" s="46">
        <f>IF(B157&lt;&gt;"",VLOOKUP(B157,'Tipo Projeto'!$A$3:$B$35,2,0),0)</f>
        <v>0</v>
      </c>
      <c r="D157" s="47"/>
      <c r="E157" s="47"/>
      <c r="F157" s="47"/>
      <c r="G157" s="48"/>
      <c r="H157" s="47"/>
      <c r="I157" s="76">
        <f t="shared" si="2"/>
        <v>0</v>
      </c>
      <c r="J157" s="47"/>
    </row>
    <row r="158" spans="1:10" s="56" customFormat="1" ht="14.25">
      <c r="A158" s="44"/>
      <c r="B158" s="45"/>
      <c r="C158" s="46">
        <f>IF(B158&lt;&gt;"",VLOOKUP(B158,'Tipo Projeto'!$A$3:$B$35,2,0),0)</f>
        <v>0</v>
      </c>
      <c r="D158" s="47"/>
      <c r="E158" s="47"/>
      <c r="F158" s="47"/>
      <c r="G158" s="48"/>
      <c r="H158" s="47"/>
      <c r="I158" s="76">
        <f t="shared" si="2"/>
        <v>0</v>
      </c>
      <c r="J158" s="47"/>
    </row>
    <row r="159" spans="1:10" s="56" customFormat="1" ht="14.25">
      <c r="A159" s="44"/>
      <c r="B159" s="45"/>
      <c r="C159" s="46">
        <f>IF(B159&lt;&gt;"",VLOOKUP(B159,'Tipo Projeto'!$A$3:$B$35,2,0),0)</f>
        <v>0</v>
      </c>
      <c r="D159" s="47"/>
      <c r="E159" s="47"/>
      <c r="F159" s="47"/>
      <c r="G159" s="48"/>
      <c r="H159" s="47"/>
      <c r="I159" s="76">
        <f t="shared" si="2"/>
        <v>0</v>
      </c>
      <c r="J159" s="47"/>
    </row>
    <row r="160" spans="1:10" s="56" customFormat="1" ht="14.25">
      <c r="A160" s="44"/>
      <c r="B160" s="45"/>
      <c r="C160" s="46">
        <f>IF(B160&lt;&gt;"",VLOOKUP(B160,'Tipo Projeto'!$A$3:$B$35,2,0),0)</f>
        <v>0</v>
      </c>
      <c r="D160" s="47"/>
      <c r="E160" s="47"/>
      <c r="F160" s="47"/>
      <c r="G160" s="48"/>
      <c r="H160" s="47"/>
      <c r="I160" s="76">
        <f t="shared" si="2"/>
        <v>0</v>
      </c>
      <c r="J160" s="47"/>
    </row>
    <row r="161" spans="1:10" s="56" customFormat="1" ht="14.25">
      <c r="A161" s="44"/>
      <c r="B161" s="45"/>
      <c r="C161" s="46">
        <f>IF(B161&lt;&gt;"",VLOOKUP(B161,'Tipo Projeto'!$A$3:$B$35,2,0),0)</f>
        <v>0</v>
      </c>
      <c r="D161" s="47"/>
      <c r="E161" s="47"/>
      <c r="F161" s="47"/>
      <c r="G161" s="48"/>
      <c r="H161" s="47"/>
      <c r="I161" s="76">
        <f t="shared" si="2"/>
        <v>0</v>
      </c>
      <c r="J161" s="47"/>
    </row>
    <row r="162" spans="1:10" s="56" customFormat="1" ht="14.25">
      <c r="A162" s="44"/>
      <c r="B162" s="45"/>
      <c r="C162" s="46">
        <f>IF(B162&lt;&gt;"",VLOOKUP(B162,'Tipo Projeto'!$A$3:$B$35,2,0),0)</f>
        <v>0</v>
      </c>
      <c r="D162" s="47"/>
      <c r="E162" s="47"/>
      <c r="F162" s="47"/>
      <c r="G162" s="48"/>
      <c r="H162" s="47"/>
      <c r="I162" s="76">
        <f t="shared" si="2"/>
        <v>0</v>
      </c>
      <c r="J162" s="47"/>
    </row>
    <row r="163" spans="1:10" s="56" customFormat="1" ht="14.25">
      <c r="A163" s="44"/>
      <c r="B163" s="45"/>
      <c r="C163" s="46">
        <f>IF(B163&lt;&gt;"",VLOOKUP(B163,'Tipo Projeto'!$A$3:$B$35,2,0),0)</f>
        <v>0</v>
      </c>
      <c r="D163" s="47"/>
      <c r="E163" s="47"/>
      <c r="F163" s="47"/>
      <c r="G163" s="48"/>
      <c r="H163" s="47"/>
      <c r="I163" s="76">
        <f t="shared" si="2"/>
        <v>0</v>
      </c>
      <c r="J163" s="47"/>
    </row>
    <row r="164" spans="1:10" s="56" customFormat="1" ht="14.25">
      <c r="A164" s="44"/>
      <c r="B164" s="45"/>
      <c r="C164" s="46">
        <f>IF(B164&lt;&gt;"",VLOOKUP(B164,'Tipo Projeto'!$A$3:$B$35,2,0),0)</f>
        <v>0</v>
      </c>
      <c r="D164" s="47"/>
      <c r="E164" s="47"/>
      <c r="F164" s="47"/>
      <c r="G164" s="48"/>
      <c r="H164" s="47"/>
      <c r="I164" s="76">
        <f t="shared" si="2"/>
        <v>0</v>
      </c>
      <c r="J164" s="47"/>
    </row>
    <row r="165" spans="1:10" s="56" customFormat="1" ht="14.25">
      <c r="A165" s="44"/>
      <c r="B165" s="45"/>
      <c r="C165" s="46">
        <f>IF(B165&lt;&gt;"",VLOOKUP(B165,'Tipo Projeto'!$A$3:$B$35,2,0),0)</f>
        <v>0</v>
      </c>
      <c r="D165" s="47"/>
      <c r="E165" s="47"/>
      <c r="F165" s="47"/>
      <c r="G165" s="48"/>
      <c r="H165" s="47"/>
      <c r="I165" s="76">
        <f t="shared" si="2"/>
        <v>0</v>
      </c>
      <c r="J165" s="47"/>
    </row>
    <row r="166" spans="1:10" s="56" customFormat="1" ht="14.25">
      <c r="A166" s="44"/>
      <c r="B166" s="45"/>
      <c r="C166" s="46">
        <f>IF(B166&lt;&gt;"",VLOOKUP(B166,'Tipo Projeto'!$A$3:$B$35,2,0),0)</f>
        <v>0</v>
      </c>
      <c r="D166" s="47"/>
      <c r="E166" s="47"/>
      <c r="F166" s="47"/>
      <c r="G166" s="48"/>
      <c r="H166" s="47"/>
      <c r="I166" s="76">
        <f t="shared" si="2"/>
        <v>0</v>
      </c>
      <c r="J166" s="47"/>
    </row>
    <row r="167" spans="1:10" s="56" customFormat="1" ht="14.25">
      <c r="A167" s="44"/>
      <c r="B167" s="45"/>
      <c r="C167" s="46">
        <f>IF(B167&lt;&gt;"",VLOOKUP(B167,'Tipo Projeto'!$A$3:$B$35,2,0),0)</f>
        <v>0</v>
      </c>
      <c r="D167" s="47"/>
      <c r="E167" s="47"/>
      <c r="F167" s="47"/>
      <c r="G167" s="48"/>
      <c r="H167" s="47"/>
      <c r="I167" s="76">
        <f t="shared" si="2"/>
        <v>0</v>
      </c>
      <c r="J167" s="47"/>
    </row>
    <row r="168" spans="1:10" s="56" customFormat="1" ht="14.25">
      <c r="A168" s="44"/>
      <c r="B168" s="45"/>
      <c r="C168" s="46">
        <f>IF(B168&lt;&gt;"",VLOOKUP(B168,'Tipo Projeto'!$A$3:$B$35,2,0),0)</f>
        <v>0</v>
      </c>
      <c r="D168" s="47"/>
      <c r="E168" s="47"/>
      <c r="F168" s="47"/>
      <c r="G168" s="48"/>
      <c r="H168" s="47"/>
      <c r="I168" s="76">
        <f t="shared" si="2"/>
        <v>0</v>
      </c>
      <c r="J168" s="47"/>
    </row>
    <row r="169" spans="1:10" s="56" customFormat="1" ht="14.25">
      <c r="A169" s="44"/>
      <c r="B169" s="45"/>
      <c r="C169" s="46">
        <f>IF(B169&lt;&gt;"",VLOOKUP(B169,'Tipo Projeto'!$A$3:$B$35,2,0),0)</f>
        <v>0</v>
      </c>
      <c r="D169" s="47"/>
      <c r="E169" s="47"/>
      <c r="F169" s="47"/>
      <c r="G169" s="48"/>
      <c r="H169" s="47"/>
      <c r="I169" s="76">
        <f t="shared" si="2"/>
        <v>0</v>
      </c>
      <c r="J169" s="47"/>
    </row>
    <row r="170" spans="1:10" s="56" customFormat="1" ht="14.25">
      <c r="A170" s="44"/>
      <c r="B170" s="45"/>
      <c r="C170" s="46">
        <f>IF(B170&lt;&gt;"",VLOOKUP(B170,'Tipo Projeto'!$A$3:$B$35,2,0),0)</f>
        <v>0</v>
      </c>
      <c r="D170" s="47"/>
      <c r="E170" s="47"/>
      <c r="F170" s="47"/>
      <c r="G170" s="48"/>
      <c r="H170" s="47"/>
      <c r="I170" s="76">
        <f t="shared" si="2"/>
        <v>0</v>
      </c>
      <c r="J170" s="47"/>
    </row>
    <row r="171" spans="1:10" s="56" customFormat="1" ht="14.25">
      <c r="A171" s="44"/>
      <c r="B171" s="45"/>
      <c r="C171" s="46">
        <f>IF(B171&lt;&gt;"",VLOOKUP(B171,'Tipo Projeto'!$A$3:$B$35,2,0),0)</f>
        <v>0</v>
      </c>
      <c r="D171" s="47"/>
      <c r="E171" s="47"/>
      <c r="F171" s="47"/>
      <c r="G171" s="48"/>
      <c r="H171" s="47"/>
      <c r="I171" s="76">
        <f t="shared" si="2"/>
        <v>0</v>
      </c>
      <c r="J171" s="47"/>
    </row>
    <row r="172" spans="1:10" s="56" customFormat="1" ht="14.25">
      <c r="A172" s="44"/>
      <c r="B172" s="45"/>
      <c r="C172" s="46">
        <f>IF(B172&lt;&gt;"",VLOOKUP(B172,'Tipo Projeto'!$A$3:$B$35,2,0),0)</f>
        <v>0</v>
      </c>
      <c r="D172" s="47"/>
      <c r="E172" s="47"/>
      <c r="F172" s="47"/>
      <c r="G172" s="48"/>
      <c r="H172" s="47"/>
      <c r="I172" s="76">
        <f t="shared" si="2"/>
        <v>0</v>
      </c>
      <c r="J172" s="47"/>
    </row>
    <row r="173" spans="1:10" s="56" customFormat="1" ht="14.25">
      <c r="A173" s="44"/>
      <c r="B173" s="45"/>
      <c r="C173" s="46">
        <f>IF(B173&lt;&gt;"",VLOOKUP(B173,'Tipo Projeto'!$A$3:$B$35,2,0),0)</f>
        <v>0</v>
      </c>
      <c r="D173" s="47"/>
      <c r="E173" s="47"/>
      <c r="F173" s="47"/>
      <c r="G173" s="48"/>
      <c r="H173" s="47"/>
      <c r="I173" s="76">
        <f t="shared" si="2"/>
        <v>0</v>
      </c>
      <c r="J173" s="47"/>
    </row>
    <row r="174" spans="1:10" s="56" customFormat="1" ht="14.25">
      <c r="A174" s="44"/>
      <c r="B174" s="45"/>
      <c r="C174" s="46">
        <f>IF(B174&lt;&gt;"",VLOOKUP(B174,'Tipo Projeto'!$A$3:$B$35,2,0),0)</f>
        <v>0</v>
      </c>
      <c r="D174" s="47"/>
      <c r="E174" s="47"/>
      <c r="F174" s="47"/>
      <c r="G174" s="48"/>
      <c r="H174" s="47"/>
      <c r="I174" s="76">
        <f t="shared" si="2"/>
        <v>0</v>
      </c>
      <c r="J174" s="47"/>
    </row>
    <row r="175" spans="1:10" s="56" customFormat="1" ht="14.25">
      <c r="A175" s="44"/>
      <c r="B175" s="45"/>
      <c r="C175" s="46">
        <f>IF(B175&lt;&gt;"",VLOOKUP(B175,'Tipo Projeto'!$A$3:$B$35,2,0),0)</f>
        <v>0</v>
      </c>
      <c r="D175" s="47"/>
      <c r="E175" s="47"/>
      <c r="F175" s="47"/>
      <c r="G175" s="48"/>
      <c r="H175" s="47"/>
      <c r="I175" s="76">
        <f t="shared" si="2"/>
        <v>0</v>
      </c>
      <c r="J175" s="47"/>
    </row>
    <row r="176" spans="1:10" s="56" customFormat="1" ht="14.25">
      <c r="A176" s="44"/>
      <c r="B176" s="45"/>
      <c r="C176" s="46">
        <f>IF(B176&lt;&gt;"",VLOOKUP(B176,'Tipo Projeto'!$A$3:$B$35,2,0),0)</f>
        <v>0</v>
      </c>
      <c r="D176" s="47"/>
      <c r="E176" s="47"/>
      <c r="F176" s="47"/>
      <c r="G176" s="48"/>
      <c r="H176" s="47"/>
      <c r="I176" s="76">
        <f t="shared" si="2"/>
        <v>0</v>
      </c>
      <c r="J176" s="47"/>
    </row>
    <row r="177" spans="1:10" s="56" customFormat="1" ht="14.25">
      <c r="A177" s="44"/>
      <c r="B177" s="45"/>
      <c r="C177" s="46">
        <f>IF(B177&lt;&gt;"",VLOOKUP(B177,'Tipo Projeto'!$A$3:$B$35,2,0),0)</f>
        <v>0</v>
      </c>
      <c r="D177" s="47"/>
      <c r="E177" s="47"/>
      <c r="F177" s="47"/>
      <c r="G177" s="48"/>
      <c r="H177" s="47"/>
      <c r="I177" s="76">
        <f t="shared" si="2"/>
        <v>0</v>
      </c>
      <c r="J177" s="47"/>
    </row>
    <row r="178" spans="1:10" s="56" customFormat="1" ht="14.25">
      <c r="A178" s="44"/>
      <c r="B178" s="45"/>
      <c r="C178" s="46">
        <f>IF(B178&lt;&gt;"",VLOOKUP(B178,'Tipo Projeto'!$A$3:$B$35,2,0),0)</f>
        <v>0</v>
      </c>
      <c r="D178" s="47"/>
      <c r="E178" s="47"/>
      <c r="F178" s="47"/>
      <c r="G178" s="48"/>
      <c r="H178" s="47"/>
      <c r="I178" s="76">
        <f t="shared" si="2"/>
        <v>0</v>
      </c>
      <c r="J178" s="47"/>
    </row>
    <row r="179" spans="1:10" s="56" customFormat="1" ht="14.25">
      <c r="A179" s="44"/>
      <c r="B179" s="45"/>
      <c r="C179" s="46">
        <f>IF(B179&lt;&gt;"",VLOOKUP(B179,'Tipo Projeto'!$A$3:$B$35,2,0),0)</f>
        <v>0</v>
      </c>
      <c r="D179" s="47"/>
      <c r="E179" s="47"/>
      <c r="F179" s="47"/>
      <c r="G179" s="48"/>
      <c r="H179" s="47"/>
      <c r="I179" s="76">
        <f t="shared" si="2"/>
        <v>0</v>
      </c>
      <c r="J179" s="47"/>
    </row>
    <row r="180" spans="1:10" s="56" customFormat="1" ht="14.25">
      <c r="A180" s="44"/>
      <c r="B180" s="45"/>
      <c r="C180" s="46">
        <f>IF(B180&lt;&gt;"",VLOOKUP(B180,'Tipo Projeto'!$A$3:$B$35,2,0),0)</f>
        <v>0</v>
      </c>
      <c r="D180" s="47"/>
      <c r="E180" s="47"/>
      <c r="F180" s="47"/>
      <c r="G180" s="48"/>
      <c r="H180" s="47"/>
      <c r="I180" s="76">
        <f t="shared" si="2"/>
        <v>0</v>
      </c>
      <c r="J180" s="47"/>
    </row>
    <row r="181" spans="1:10" s="56" customFormat="1" ht="14.25">
      <c r="A181" s="44"/>
      <c r="B181" s="45"/>
      <c r="C181" s="46">
        <f>IF(B181&lt;&gt;"",VLOOKUP(B181,'Tipo Projeto'!$A$3:$B$35,2,0),0)</f>
        <v>0</v>
      </c>
      <c r="D181" s="47"/>
      <c r="E181" s="47"/>
      <c r="F181" s="47"/>
      <c r="G181" s="48"/>
      <c r="H181" s="47"/>
      <c r="I181" s="76">
        <f t="shared" si="2"/>
        <v>0</v>
      </c>
      <c r="J181" s="47"/>
    </row>
    <row r="182" spans="1:10" s="56" customFormat="1" ht="14.25">
      <c r="A182" s="44"/>
      <c r="B182" s="45"/>
      <c r="C182" s="46">
        <f>IF(B182&lt;&gt;"",VLOOKUP(B182,'Tipo Projeto'!$A$3:$B$35,2,0),0)</f>
        <v>0</v>
      </c>
      <c r="D182" s="47"/>
      <c r="E182" s="47"/>
      <c r="F182" s="47"/>
      <c r="G182" s="48"/>
      <c r="H182" s="47"/>
      <c r="I182" s="76">
        <f t="shared" si="2"/>
        <v>0</v>
      </c>
      <c r="J182" s="47"/>
    </row>
    <row r="183" spans="1:10" s="56" customFormat="1" ht="14.25">
      <c r="A183" s="44"/>
      <c r="B183" s="45"/>
      <c r="C183" s="46">
        <f>IF(B183&lt;&gt;"",VLOOKUP(B183,'Tipo Projeto'!$A$3:$B$35,2,0),0)</f>
        <v>0</v>
      </c>
      <c r="D183" s="47"/>
      <c r="E183" s="47"/>
      <c r="F183" s="47"/>
      <c r="G183" s="48"/>
      <c r="H183" s="47"/>
      <c r="I183" s="76">
        <f t="shared" si="2"/>
        <v>0</v>
      </c>
      <c r="J183" s="47"/>
    </row>
    <row r="184" spans="1:10" s="56" customFormat="1" ht="14.25">
      <c r="A184" s="44"/>
      <c r="B184" s="45"/>
      <c r="C184" s="46">
        <f>IF(B184&lt;&gt;"",VLOOKUP(B184,'Tipo Projeto'!$A$3:$B$35,2,0),0)</f>
        <v>0</v>
      </c>
      <c r="D184" s="47"/>
      <c r="E184" s="47"/>
      <c r="F184" s="47"/>
      <c r="G184" s="48"/>
      <c r="H184" s="47"/>
      <c r="I184" s="76">
        <f t="shared" si="2"/>
        <v>0</v>
      </c>
      <c r="J184" s="47"/>
    </row>
    <row r="185" spans="1:10" s="56" customFormat="1" ht="14.25">
      <c r="A185" s="44"/>
      <c r="B185" s="45"/>
      <c r="C185" s="46">
        <f>IF(B185&lt;&gt;"",VLOOKUP(B185,'Tipo Projeto'!$A$3:$B$35,2,0),0)</f>
        <v>0</v>
      </c>
      <c r="D185" s="47"/>
      <c r="E185" s="47"/>
      <c r="F185" s="47"/>
      <c r="G185" s="48"/>
      <c r="H185" s="47"/>
      <c r="I185" s="76">
        <f t="shared" si="2"/>
        <v>0</v>
      </c>
      <c r="J185" s="47"/>
    </row>
    <row r="186" spans="1:10" s="56" customFormat="1" ht="14.25">
      <c r="A186" s="44"/>
      <c r="B186" s="45"/>
      <c r="C186" s="46">
        <f>IF(B186&lt;&gt;"",VLOOKUP(B186,'Tipo Projeto'!$A$3:$B$35,2,0),0)</f>
        <v>0</v>
      </c>
      <c r="D186" s="47"/>
      <c r="E186" s="47"/>
      <c r="F186" s="47"/>
      <c r="G186" s="48"/>
      <c r="H186" s="47"/>
      <c r="I186" s="76">
        <f t="shared" si="2"/>
        <v>0</v>
      </c>
      <c r="J186" s="47"/>
    </row>
    <row r="187" spans="1:10" s="56" customFormat="1" ht="14.25">
      <c r="A187" s="44"/>
      <c r="B187" s="45"/>
      <c r="C187" s="46">
        <f>IF(B187&lt;&gt;"",VLOOKUP(B187,'Tipo Projeto'!$A$3:$B$35,2,0),0)</f>
        <v>0</v>
      </c>
      <c r="D187" s="47"/>
      <c r="E187" s="47"/>
      <c r="F187" s="47"/>
      <c r="G187" s="48"/>
      <c r="H187" s="47"/>
      <c r="I187" s="76">
        <f t="shared" si="2"/>
        <v>0</v>
      </c>
      <c r="J187" s="47"/>
    </row>
    <row r="188" spans="1:10" s="56" customFormat="1" ht="14.25">
      <c r="A188" s="44"/>
      <c r="B188" s="45"/>
      <c r="C188" s="46">
        <f>IF(B188&lt;&gt;"",VLOOKUP(B188,'Tipo Projeto'!$A$3:$B$35,2,0),0)</f>
        <v>0</v>
      </c>
      <c r="D188" s="47"/>
      <c r="E188" s="47"/>
      <c r="F188" s="47"/>
      <c r="G188" s="48"/>
      <c r="H188" s="47"/>
      <c r="I188" s="76">
        <f t="shared" si="2"/>
        <v>0</v>
      </c>
      <c r="J188" s="47"/>
    </row>
    <row r="189" spans="1:10" s="56" customFormat="1" ht="14.25">
      <c r="A189" s="44"/>
      <c r="B189" s="45"/>
      <c r="C189" s="46">
        <f>IF(B189&lt;&gt;"",VLOOKUP(B189,'Tipo Projeto'!$A$3:$B$35,2,0),0)</f>
        <v>0</v>
      </c>
      <c r="D189" s="47"/>
      <c r="E189" s="47"/>
      <c r="F189" s="47"/>
      <c r="G189" s="48"/>
      <c r="H189" s="47"/>
      <c r="I189" s="76">
        <f t="shared" si="2"/>
        <v>0</v>
      </c>
      <c r="J189" s="47"/>
    </row>
    <row r="190" spans="1:10" s="56" customFormat="1" ht="14.25">
      <c r="A190" s="44"/>
      <c r="B190" s="45"/>
      <c r="C190" s="46">
        <f>IF(B190&lt;&gt;"",VLOOKUP(B190,'Tipo Projeto'!$A$3:$B$35,2,0),0)</f>
        <v>0</v>
      </c>
      <c r="D190" s="47"/>
      <c r="E190" s="47"/>
      <c r="F190" s="47"/>
      <c r="G190" s="48"/>
      <c r="H190" s="47"/>
      <c r="I190" s="76">
        <f t="shared" si="2"/>
        <v>0</v>
      </c>
      <c r="J190" s="47"/>
    </row>
    <row r="191" spans="1:10" s="56" customFormat="1" ht="14.25">
      <c r="A191" s="44"/>
      <c r="B191" s="45"/>
      <c r="C191" s="46">
        <f>IF(B191&lt;&gt;"",VLOOKUP(B191,'Tipo Projeto'!$A$3:$B$35,2,0),0)</f>
        <v>0</v>
      </c>
      <c r="D191" s="47"/>
      <c r="E191" s="47"/>
      <c r="F191" s="47"/>
      <c r="G191" s="48"/>
      <c r="H191" s="47"/>
      <c r="I191" s="76">
        <f t="shared" si="2"/>
        <v>0</v>
      </c>
      <c r="J191" s="47"/>
    </row>
    <row r="192" spans="1:10" s="56" customFormat="1" ht="14.25">
      <c r="A192" s="44"/>
      <c r="B192" s="45"/>
      <c r="C192" s="46">
        <f>IF(B192&lt;&gt;"",VLOOKUP(B192,'Tipo Projeto'!$A$3:$B$35,2,0),0)</f>
        <v>0</v>
      </c>
      <c r="D192" s="47"/>
      <c r="E192" s="47"/>
      <c r="F192" s="47"/>
      <c r="G192" s="48"/>
      <c r="H192" s="47"/>
      <c r="I192" s="76">
        <f t="shared" si="2"/>
        <v>0</v>
      </c>
      <c r="J192" s="47"/>
    </row>
    <row r="193" spans="1:10" s="56" customFormat="1" ht="14.25">
      <c r="A193" s="44"/>
      <c r="B193" s="45"/>
      <c r="C193" s="46">
        <f>IF(B193&lt;&gt;"",VLOOKUP(B193,'Tipo Projeto'!$A$3:$B$35,2,0),0)</f>
        <v>0</v>
      </c>
      <c r="D193" s="47"/>
      <c r="E193" s="47"/>
      <c r="F193" s="47"/>
      <c r="G193" s="48"/>
      <c r="H193" s="47"/>
      <c r="I193" s="76">
        <f t="shared" si="2"/>
        <v>0</v>
      </c>
      <c r="J193" s="47"/>
    </row>
    <row r="194" spans="1:10" s="56" customFormat="1" ht="14.25">
      <c r="A194" s="44"/>
      <c r="B194" s="45"/>
      <c r="C194" s="46">
        <f>IF(B194&lt;&gt;"",VLOOKUP(B194,'Tipo Projeto'!$A$3:$B$35,2,0),0)</f>
        <v>0</v>
      </c>
      <c r="D194" s="47"/>
      <c r="E194" s="47"/>
      <c r="F194" s="47"/>
      <c r="G194" s="48"/>
      <c r="H194" s="47"/>
      <c r="I194" s="76">
        <f t="shared" si="2"/>
        <v>0</v>
      </c>
      <c r="J194" s="47"/>
    </row>
    <row r="195" spans="1:10" s="56" customFormat="1" ht="14.25">
      <c r="A195" s="44"/>
      <c r="B195" s="45"/>
      <c r="C195" s="46">
        <f>IF(B195&lt;&gt;"",VLOOKUP(B195,'Tipo Projeto'!$A$3:$B$35,2,0),0)</f>
        <v>0</v>
      </c>
      <c r="D195" s="47"/>
      <c r="E195" s="47"/>
      <c r="F195" s="47"/>
      <c r="G195" s="48"/>
      <c r="H195" s="47"/>
      <c r="I195" s="76">
        <f t="shared" si="2"/>
        <v>0</v>
      </c>
      <c r="J195" s="47"/>
    </row>
    <row r="196" spans="1:10" s="56" customFormat="1" ht="14.25">
      <c r="A196" s="44"/>
      <c r="B196" s="45"/>
      <c r="C196" s="46">
        <f>IF(B196&lt;&gt;"",VLOOKUP(B196,'Tipo Projeto'!$A$3:$B$35,2,0),0)</f>
        <v>0</v>
      </c>
      <c r="D196" s="47"/>
      <c r="E196" s="47"/>
      <c r="F196" s="47"/>
      <c r="G196" s="48"/>
      <c r="H196" s="47"/>
      <c r="I196" s="76">
        <f t="shared" si="2"/>
        <v>0</v>
      </c>
      <c r="J196" s="47"/>
    </row>
    <row r="197" spans="1:10" s="56" customFormat="1" ht="14.25">
      <c r="A197" s="44"/>
      <c r="B197" s="45"/>
      <c r="C197" s="46">
        <f>IF(B197&lt;&gt;"",VLOOKUP(B197,'Tipo Projeto'!$A$3:$B$35,2,0),0)</f>
        <v>0</v>
      </c>
      <c r="D197" s="47"/>
      <c r="E197" s="47"/>
      <c r="F197" s="47"/>
      <c r="G197" s="48"/>
      <c r="H197" s="47"/>
      <c r="I197" s="76">
        <f t="shared" si="2"/>
        <v>0</v>
      </c>
      <c r="J197" s="47"/>
    </row>
    <row r="198" spans="1:10" s="56" customFormat="1" ht="14.25">
      <c r="A198" s="44"/>
      <c r="B198" s="45"/>
      <c r="C198" s="46">
        <f>IF(B198&lt;&gt;"",VLOOKUP(B198,'Tipo Projeto'!$A$3:$B$35,2,0),0)</f>
        <v>0</v>
      </c>
      <c r="D198" s="47"/>
      <c r="E198" s="47"/>
      <c r="F198" s="47"/>
      <c r="G198" s="48"/>
      <c r="H198" s="47"/>
      <c r="I198" s="76">
        <f t="shared" si="2"/>
        <v>0</v>
      </c>
      <c r="J198" s="47"/>
    </row>
    <row r="199" spans="1:10" s="56" customFormat="1" ht="14.25">
      <c r="A199" s="44"/>
      <c r="B199" s="45"/>
      <c r="C199" s="46">
        <f>IF(B199&lt;&gt;"",VLOOKUP(B199,'Tipo Projeto'!$A$3:$B$35,2,0),0)</f>
        <v>0</v>
      </c>
      <c r="D199" s="47"/>
      <c r="E199" s="47"/>
      <c r="F199" s="47"/>
      <c r="G199" s="48"/>
      <c r="H199" s="47"/>
      <c r="I199" s="76">
        <f t="shared" si="2"/>
        <v>0</v>
      </c>
      <c r="J199" s="47"/>
    </row>
    <row r="200" spans="1:10" s="56" customFormat="1" ht="14.25">
      <c r="A200" s="44"/>
      <c r="B200" s="45"/>
      <c r="C200" s="46">
        <f>IF(B200&lt;&gt;"",VLOOKUP(B200,'Tipo Projeto'!$A$3:$B$35,2,0),0)</f>
        <v>0</v>
      </c>
      <c r="D200" s="47"/>
      <c r="E200" s="47"/>
      <c r="F200" s="47"/>
      <c r="G200" s="48"/>
      <c r="H200" s="47"/>
      <c r="I200" s="76">
        <f t="shared" si="2"/>
        <v>0</v>
      </c>
      <c r="J200" s="47"/>
    </row>
    <row r="201" spans="1:10" s="56" customFormat="1" ht="14.25">
      <c r="A201" s="44"/>
      <c r="B201" s="45"/>
      <c r="C201" s="46">
        <f>IF(B201&lt;&gt;"",VLOOKUP(B201,'Tipo Projeto'!$A$3:$B$35,2,0),0)</f>
        <v>0</v>
      </c>
      <c r="D201" s="47"/>
      <c r="E201" s="47"/>
      <c r="F201" s="47"/>
      <c r="G201" s="48"/>
      <c r="H201" s="47"/>
      <c r="I201" s="76">
        <f t="shared" si="2"/>
        <v>0</v>
      </c>
      <c r="J201" s="47"/>
    </row>
    <row r="202" spans="1:10" s="56" customFormat="1" ht="14.25">
      <c r="A202" s="44"/>
      <c r="B202" s="45"/>
      <c r="C202" s="46">
        <f>IF(B202&lt;&gt;"",VLOOKUP(B202,'Tipo Projeto'!$A$3:$B$35,2,0),0)</f>
        <v>0</v>
      </c>
      <c r="D202" s="47"/>
      <c r="E202" s="47"/>
      <c r="F202" s="47"/>
      <c r="G202" s="48"/>
      <c r="H202" s="47"/>
      <c r="I202" s="76">
        <f t="shared" si="2"/>
        <v>0</v>
      </c>
      <c r="J202" s="47"/>
    </row>
    <row r="203" spans="1:10" s="56" customFormat="1" ht="14.25">
      <c r="A203" s="44"/>
      <c r="B203" s="45"/>
      <c r="C203" s="46">
        <f>IF(B203&lt;&gt;"",VLOOKUP(B203,'Tipo Projeto'!$A$3:$B$35,2,0),0)</f>
        <v>0</v>
      </c>
      <c r="D203" s="47"/>
      <c r="E203" s="47"/>
      <c r="F203" s="47"/>
      <c r="G203" s="48"/>
      <c r="H203" s="47"/>
      <c r="I203" s="76">
        <f t="shared" ref="I203:I266" si="3">IF(B203&lt;&gt;"Manutenção em interface",IF(B203&lt;&gt;"Desenv., Manutenção e Publicação de Páginas Estáticas",IF(H203="EE",4,IF(H203="CE",4,IF(H203="SE",5,IF(H203="ALI",7,IF(H203="AIE",5,0)))))*C203,C203),C203)</f>
        <v>0</v>
      </c>
      <c r="J203" s="47"/>
    </row>
    <row r="204" spans="1:10" s="56" customFormat="1" ht="14.25">
      <c r="A204" s="44"/>
      <c r="B204" s="45"/>
      <c r="C204" s="46">
        <f>IF(B204&lt;&gt;"",VLOOKUP(B204,'Tipo Projeto'!$A$3:$B$35,2,0),0)</f>
        <v>0</v>
      </c>
      <c r="D204" s="47"/>
      <c r="E204" s="47"/>
      <c r="F204" s="47"/>
      <c r="G204" s="48"/>
      <c r="H204" s="47"/>
      <c r="I204" s="76">
        <f t="shared" si="3"/>
        <v>0</v>
      </c>
      <c r="J204" s="47"/>
    </row>
    <row r="205" spans="1:10" s="56" customFormat="1" ht="14.25">
      <c r="A205" s="44"/>
      <c r="B205" s="45"/>
      <c r="C205" s="46">
        <f>IF(B205&lt;&gt;"",VLOOKUP(B205,'Tipo Projeto'!$A$3:$B$35,2,0),0)</f>
        <v>0</v>
      </c>
      <c r="D205" s="47"/>
      <c r="E205" s="47"/>
      <c r="F205" s="47"/>
      <c r="G205" s="48"/>
      <c r="H205" s="47"/>
      <c r="I205" s="76">
        <f t="shared" si="3"/>
        <v>0</v>
      </c>
      <c r="J205" s="47"/>
    </row>
    <row r="206" spans="1:10" s="56" customFormat="1" ht="14.25">
      <c r="A206" s="44"/>
      <c r="B206" s="45"/>
      <c r="C206" s="46">
        <f>IF(B206&lt;&gt;"",VLOOKUP(B206,'Tipo Projeto'!$A$3:$B$35,2,0),0)</f>
        <v>0</v>
      </c>
      <c r="D206" s="47"/>
      <c r="E206" s="47"/>
      <c r="F206" s="47"/>
      <c r="G206" s="48"/>
      <c r="H206" s="47"/>
      <c r="I206" s="76">
        <f t="shared" si="3"/>
        <v>0</v>
      </c>
      <c r="J206" s="47"/>
    </row>
    <row r="207" spans="1:10" s="56" customFormat="1" ht="14.25">
      <c r="A207" s="44"/>
      <c r="B207" s="45"/>
      <c r="C207" s="46">
        <f>IF(B207&lt;&gt;"",VLOOKUP(B207,'Tipo Projeto'!$A$3:$B$35,2,0),0)</f>
        <v>0</v>
      </c>
      <c r="D207" s="47"/>
      <c r="E207" s="47"/>
      <c r="F207" s="47"/>
      <c r="G207" s="48"/>
      <c r="H207" s="47"/>
      <c r="I207" s="76">
        <f t="shared" si="3"/>
        <v>0</v>
      </c>
      <c r="J207" s="47"/>
    </row>
    <row r="208" spans="1:10" s="56" customFormat="1" ht="14.25">
      <c r="A208" s="44"/>
      <c r="B208" s="45"/>
      <c r="C208" s="46">
        <f>IF(B208&lt;&gt;"",VLOOKUP(B208,'Tipo Projeto'!$A$3:$B$35,2,0),0)</f>
        <v>0</v>
      </c>
      <c r="D208" s="47"/>
      <c r="E208" s="47"/>
      <c r="F208" s="47"/>
      <c r="G208" s="48"/>
      <c r="H208" s="47"/>
      <c r="I208" s="76">
        <f t="shared" si="3"/>
        <v>0</v>
      </c>
      <c r="J208" s="47"/>
    </row>
    <row r="209" spans="1:10" s="56" customFormat="1" ht="14.25">
      <c r="A209" s="44"/>
      <c r="B209" s="45"/>
      <c r="C209" s="46">
        <f>IF(B209&lt;&gt;"",VLOOKUP(B209,'Tipo Projeto'!$A$3:$B$35,2,0),0)</f>
        <v>0</v>
      </c>
      <c r="D209" s="47"/>
      <c r="E209" s="47"/>
      <c r="F209" s="47"/>
      <c r="G209" s="48"/>
      <c r="H209" s="47"/>
      <c r="I209" s="76">
        <f t="shared" si="3"/>
        <v>0</v>
      </c>
      <c r="J209" s="47"/>
    </row>
    <row r="210" spans="1:10" s="56" customFormat="1" ht="14.25">
      <c r="A210" s="44"/>
      <c r="B210" s="45"/>
      <c r="C210" s="46">
        <f>IF(B210&lt;&gt;"",VLOOKUP(B210,'Tipo Projeto'!$A$3:$B$35,2,0),0)</f>
        <v>0</v>
      </c>
      <c r="D210" s="47"/>
      <c r="E210" s="47"/>
      <c r="F210" s="47"/>
      <c r="G210" s="48"/>
      <c r="H210" s="47"/>
      <c r="I210" s="76">
        <f t="shared" si="3"/>
        <v>0</v>
      </c>
      <c r="J210" s="47"/>
    </row>
    <row r="211" spans="1:10" s="56" customFormat="1" ht="14.25">
      <c r="A211" s="44"/>
      <c r="B211" s="45"/>
      <c r="C211" s="46">
        <f>IF(B211&lt;&gt;"",VLOOKUP(B211,'Tipo Projeto'!$A$3:$B$35,2,0),0)</f>
        <v>0</v>
      </c>
      <c r="D211" s="47"/>
      <c r="E211" s="47"/>
      <c r="F211" s="47"/>
      <c r="G211" s="48"/>
      <c r="H211" s="47"/>
      <c r="I211" s="76">
        <f t="shared" si="3"/>
        <v>0</v>
      </c>
      <c r="J211" s="47"/>
    </row>
    <row r="212" spans="1:10" s="56" customFormat="1" ht="14.25">
      <c r="A212" s="44"/>
      <c r="B212" s="45"/>
      <c r="C212" s="46">
        <f>IF(B212&lt;&gt;"",VLOOKUP(B212,'Tipo Projeto'!$A$3:$B$35,2,0),0)</f>
        <v>0</v>
      </c>
      <c r="D212" s="47"/>
      <c r="E212" s="47"/>
      <c r="F212" s="47"/>
      <c r="G212" s="48"/>
      <c r="H212" s="47"/>
      <c r="I212" s="76">
        <f t="shared" si="3"/>
        <v>0</v>
      </c>
      <c r="J212" s="47"/>
    </row>
    <row r="213" spans="1:10" s="56" customFormat="1" ht="14.25">
      <c r="A213" s="44"/>
      <c r="B213" s="45"/>
      <c r="C213" s="46">
        <f>IF(B213&lt;&gt;"",VLOOKUP(B213,'Tipo Projeto'!$A$3:$B$35,2,0),0)</f>
        <v>0</v>
      </c>
      <c r="D213" s="47"/>
      <c r="E213" s="47"/>
      <c r="F213" s="47"/>
      <c r="G213" s="48"/>
      <c r="H213" s="47"/>
      <c r="I213" s="76">
        <f t="shared" si="3"/>
        <v>0</v>
      </c>
      <c r="J213" s="47"/>
    </row>
    <row r="214" spans="1:10" s="56" customFormat="1" ht="14.25">
      <c r="A214" s="44"/>
      <c r="B214" s="45"/>
      <c r="C214" s="46">
        <f>IF(B214&lt;&gt;"",VLOOKUP(B214,'Tipo Projeto'!$A$3:$B$35,2,0),0)</f>
        <v>0</v>
      </c>
      <c r="D214" s="47"/>
      <c r="E214" s="47"/>
      <c r="F214" s="47"/>
      <c r="G214" s="48"/>
      <c r="H214" s="47"/>
      <c r="I214" s="76">
        <f t="shared" si="3"/>
        <v>0</v>
      </c>
      <c r="J214" s="47"/>
    </row>
    <row r="215" spans="1:10" s="56" customFormat="1" ht="14.25">
      <c r="A215" s="44"/>
      <c r="B215" s="45"/>
      <c r="C215" s="46">
        <f>IF(B215&lt;&gt;"",VLOOKUP(B215,'Tipo Projeto'!$A$3:$B$35,2,0),0)</f>
        <v>0</v>
      </c>
      <c r="D215" s="47"/>
      <c r="E215" s="47"/>
      <c r="F215" s="47"/>
      <c r="G215" s="48"/>
      <c r="H215" s="47"/>
      <c r="I215" s="76">
        <f t="shared" si="3"/>
        <v>0</v>
      </c>
      <c r="J215" s="47"/>
    </row>
    <row r="216" spans="1:10" s="56" customFormat="1" ht="14.25">
      <c r="A216" s="44"/>
      <c r="B216" s="45"/>
      <c r="C216" s="46">
        <f>IF(B216&lt;&gt;"",VLOOKUP(B216,'Tipo Projeto'!$A$3:$B$35,2,0),0)</f>
        <v>0</v>
      </c>
      <c r="D216" s="47"/>
      <c r="E216" s="47"/>
      <c r="F216" s="47"/>
      <c r="G216" s="48"/>
      <c r="H216" s="47"/>
      <c r="I216" s="76">
        <f t="shared" si="3"/>
        <v>0</v>
      </c>
      <c r="J216" s="47"/>
    </row>
    <row r="217" spans="1:10" s="56" customFormat="1" ht="14.25">
      <c r="A217" s="44"/>
      <c r="B217" s="45"/>
      <c r="C217" s="46">
        <f>IF(B217&lt;&gt;"",VLOOKUP(B217,'Tipo Projeto'!$A$3:$B$35,2,0),0)</f>
        <v>0</v>
      </c>
      <c r="D217" s="47"/>
      <c r="E217" s="47"/>
      <c r="F217" s="47"/>
      <c r="G217" s="48"/>
      <c r="H217" s="47"/>
      <c r="I217" s="76">
        <f t="shared" si="3"/>
        <v>0</v>
      </c>
      <c r="J217" s="47"/>
    </row>
    <row r="218" spans="1:10" s="56" customFormat="1" ht="14.25">
      <c r="A218" s="44"/>
      <c r="B218" s="45"/>
      <c r="C218" s="46">
        <f>IF(B218&lt;&gt;"",VLOOKUP(B218,'Tipo Projeto'!$A$3:$B$35,2,0),0)</f>
        <v>0</v>
      </c>
      <c r="D218" s="47"/>
      <c r="E218" s="47"/>
      <c r="F218" s="47"/>
      <c r="G218" s="48"/>
      <c r="H218" s="47"/>
      <c r="I218" s="76">
        <f t="shared" si="3"/>
        <v>0</v>
      </c>
      <c r="J218" s="47"/>
    </row>
    <row r="219" spans="1:10" s="56" customFormat="1" ht="14.25">
      <c r="A219" s="44"/>
      <c r="B219" s="45"/>
      <c r="C219" s="46">
        <f>IF(B219&lt;&gt;"",VLOOKUP(B219,'Tipo Projeto'!$A$3:$B$35,2,0),0)</f>
        <v>0</v>
      </c>
      <c r="D219" s="47"/>
      <c r="E219" s="47"/>
      <c r="F219" s="47"/>
      <c r="G219" s="48"/>
      <c r="H219" s="47"/>
      <c r="I219" s="76">
        <f t="shared" si="3"/>
        <v>0</v>
      </c>
      <c r="J219" s="47"/>
    </row>
    <row r="220" spans="1:10" s="56" customFormat="1" ht="14.25">
      <c r="A220" s="44"/>
      <c r="B220" s="45"/>
      <c r="C220" s="46">
        <f>IF(B220&lt;&gt;"",VLOOKUP(B220,'Tipo Projeto'!$A$3:$B$35,2,0),0)</f>
        <v>0</v>
      </c>
      <c r="D220" s="47"/>
      <c r="E220" s="47"/>
      <c r="F220" s="47"/>
      <c r="G220" s="48"/>
      <c r="H220" s="47"/>
      <c r="I220" s="76">
        <f t="shared" si="3"/>
        <v>0</v>
      </c>
      <c r="J220" s="47"/>
    </row>
    <row r="221" spans="1:10" s="56" customFormat="1" ht="14.25">
      <c r="A221" s="44"/>
      <c r="B221" s="45"/>
      <c r="C221" s="46">
        <f>IF(B221&lt;&gt;"",VLOOKUP(B221,'Tipo Projeto'!$A$3:$B$35,2,0),0)</f>
        <v>0</v>
      </c>
      <c r="D221" s="47"/>
      <c r="E221" s="47"/>
      <c r="F221" s="47"/>
      <c r="G221" s="48"/>
      <c r="H221" s="47"/>
      <c r="I221" s="76">
        <f t="shared" si="3"/>
        <v>0</v>
      </c>
      <c r="J221" s="47"/>
    </row>
    <row r="222" spans="1:10" s="56" customFormat="1" ht="14.25">
      <c r="A222" s="44"/>
      <c r="B222" s="45"/>
      <c r="C222" s="46">
        <f>IF(B222&lt;&gt;"",VLOOKUP(B222,'Tipo Projeto'!$A$3:$B$35,2,0),0)</f>
        <v>0</v>
      </c>
      <c r="D222" s="47"/>
      <c r="E222" s="47"/>
      <c r="F222" s="47"/>
      <c r="G222" s="48"/>
      <c r="H222" s="47"/>
      <c r="I222" s="76">
        <f t="shared" si="3"/>
        <v>0</v>
      </c>
      <c r="J222" s="47"/>
    </row>
    <row r="223" spans="1:10" s="56" customFormat="1" ht="14.25">
      <c r="A223" s="44"/>
      <c r="B223" s="45"/>
      <c r="C223" s="46">
        <f>IF(B223&lt;&gt;"",VLOOKUP(B223,'Tipo Projeto'!$A$3:$B$35,2,0),0)</f>
        <v>0</v>
      </c>
      <c r="D223" s="47"/>
      <c r="E223" s="47"/>
      <c r="F223" s="47"/>
      <c r="G223" s="48"/>
      <c r="H223" s="47"/>
      <c r="I223" s="76">
        <f t="shared" si="3"/>
        <v>0</v>
      </c>
      <c r="J223" s="47"/>
    </row>
    <row r="224" spans="1:10" s="56" customFormat="1" ht="14.25">
      <c r="A224" s="44"/>
      <c r="B224" s="45"/>
      <c r="C224" s="46">
        <f>IF(B224&lt;&gt;"",VLOOKUP(B224,'Tipo Projeto'!$A$3:$B$35,2,0),0)</f>
        <v>0</v>
      </c>
      <c r="D224" s="47"/>
      <c r="E224" s="47"/>
      <c r="F224" s="47"/>
      <c r="G224" s="48"/>
      <c r="H224" s="47"/>
      <c r="I224" s="76">
        <f t="shared" si="3"/>
        <v>0</v>
      </c>
      <c r="J224" s="47"/>
    </row>
    <row r="225" spans="1:10" s="56" customFormat="1" ht="14.25">
      <c r="A225" s="44"/>
      <c r="B225" s="45"/>
      <c r="C225" s="46">
        <f>IF(B225&lt;&gt;"",VLOOKUP(B225,'Tipo Projeto'!$A$3:$B$35,2,0),0)</f>
        <v>0</v>
      </c>
      <c r="D225" s="47"/>
      <c r="E225" s="47"/>
      <c r="F225" s="47"/>
      <c r="G225" s="48"/>
      <c r="H225" s="47"/>
      <c r="I225" s="76">
        <f t="shared" si="3"/>
        <v>0</v>
      </c>
      <c r="J225" s="47"/>
    </row>
    <row r="226" spans="1:10" s="56" customFormat="1" ht="14.25">
      <c r="A226" s="44"/>
      <c r="B226" s="45"/>
      <c r="C226" s="46">
        <f>IF(B226&lt;&gt;"",VLOOKUP(B226,'Tipo Projeto'!$A$3:$B$35,2,0),0)</f>
        <v>0</v>
      </c>
      <c r="D226" s="47"/>
      <c r="E226" s="47"/>
      <c r="F226" s="47"/>
      <c r="G226" s="48"/>
      <c r="H226" s="47"/>
      <c r="I226" s="76">
        <f t="shared" si="3"/>
        <v>0</v>
      </c>
      <c r="J226" s="47"/>
    </row>
    <row r="227" spans="1:10" s="56" customFormat="1" ht="14.25">
      <c r="A227" s="44"/>
      <c r="B227" s="45"/>
      <c r="C227" s="46">
        <f>IF(B227&lt;&gt;"",VLOOKUP(B227,'Tipo Projeto'!$A$3:$B$35,2,0),0)</f>
        <v>0</v>
      </c>
      <c r="D227" s="47"/>
      <c r="E227" s="47"/>
      <c r="F227" s="47"/>
      <c r="G227" s="48"/>
      <c r="H227" s="47"/>
      <c r="I227" s="76">
        <f t="shared" si="3"/>
        <v>0</v>
      </c>
      <c r="J227" s="47"/>
    </row>
    <row r="228" spans="1:10" s="56" customFormat="1" ht="14.25">
      <c r="A228" s="44"/>
      <c r="B228" s="45"/>
      <c r="C228" s="46">
        <f>IF(B228&lt;&gt;"",VLOOKUP(B228,'Tipo Projeto'!$A$3:$B$35,2,0),0)</f>
        <v>0</v>
      </c>
      <c r="D228" s="47"/>
      <c r="E228" s="47"/>
      <c r="F228" s="47"/>
      <c r="G228" s="48"/>
      <c r="H228" s="47"/>
      <c r="I228" s="76">
        <f t="shared" si="3"/>
        <v>0</v>
      </c>
      <c r="J228" s="47"/>
    </row>
    <row r="229" spans="1:10" s="56" customFormat="1" ht="14.25">
      <c r="A229" s="44"/>
      <c r="B229" s="45"/>
      <c r="C229" s="46">
        <f>IF(B229&lt;&gt;"",VLOOKUP(B229,'Tipo Projeto'!$A$3:$B$35,2,0),0)</f>
        <v>0</v>
      </c>
      <c r="D229" s="47"/>
      <c r="E229" s="47"/>
      <c r="F229" s="47"/>
      <c r="G229" s="48"/>
      <c r="H229" s="47"/>
      <c r="I229" s="76">
        <f t="shared" si="3"/>
        <v>0</v>
      </c>
      <c r="J229" s="47"/>
    </row>
    <row r="230" spans="1:10" s="56" customFormat="1" ht="14.25">
      <c r="A230" s="44"/>
      <c r="B230" s="45"/>
      <c r="C230" s="46">
        <f>IF(B230&lt;&gt;"",VLOOKUP(B230,'Tipo Projeto'!$A$3:$B$35,2,0),0)</f>
        <v>0</v>
      </c>
      <c r="D230" s="47"/>
      <c r="E230" s="47"/>
      <c r="F230" s="47"/>
      <c r="G230" s="48"/>
      <c r="H230" s="47"/>
      <c r="I230" s="76">
        <f t="shared" si="3"/>
        <v>0</v>
      </c>
      <c r="J230" s="47"/>
    </row>
    <row r="231" spans="1:10" s="56" customFormat="1" ht="14.25">
      <c r="A231" s="44"/>
      <c r="B231" s="45"/>
      <c r="C231" s="46">
        <f>IF(B231&lt;&gt;"",VLOOKUP(B231,'Tipo Projeto'!$A$3:$B$35,2,0),0)</f>
        <v>0</v>
      </c>
      <c r="D231" s="47"/>
      <c r="E231" s="47"/>
      <c r="F231" s="47"/>
      <c r="G231" s="48"/>
      <c r="H231" s="47"/>
      <c r="I231" s="76">
        <f t="shared" si="3"/>
        <v>0</v>
      </c>
      <c r="J231" s="47"/>
    </row>
    <row r="232" spans="1:10" s="56" customFormat="1" ht="14.25">
      <c r="A232" s="44"/>
      <c r="B232" s="45"/>
      <c r="C232" s="46">
        <f>IF(B232&lt;&gt;"",VLOOKUP(B232,'Tipo Projeto'!$A$3:$B$35,2,0),0)</f>
        <v>0</v>
      </c>
      <c r="D232" s="47"/>
      <c r="E232" s="47"/>
      <c r="F232" s="47"/>
      <c r="G232" s="48"/>
      <c r="H232" s="47"/>
      <c r="I232" s="76">
        <f t="shared" si="3"/>
        <v>0</v>
      </c>
      <c r="J232" s="47"/>
    </row>
    <row r="233" spans="1:10" s="56" customFormat="1" ht="14.25">
      <c r="A233" s="44"/>
      <c r="B233" s="45"/>
      <c r="C233" s="46">
        <f>IF(B233&lt;&gt;"",VLOOKUP(B233,'Tipo Projeto'!$A$3:$B$35,2,0),0)</f>
        <v>0</v>
      </c>
      <c r="D233" s="47"/>
      <c r="E233" s="47"/>
      <c r="F233" s="47"/>
      <c r="G233" s="48"/>
      <c r="H233" s="47"/>
      <c r="I233" s="76">
        <f t="shared" si="3"/>
        <v>0</v>
      </c>
      <c r="J233" s="47"/>
    </row>
    <row r="234" spans="1:10" s="56" customFormat="1" ht="14.25">
      <c r="A234" s="44"/>
      <c r="B234" s="45"/>
      <c r="C234" s="46">
        <f>IF(B234&lt;&gt;"",VLOOKUP(B234,'Tipo Projeto'!$A$3:$B$35,2,0),0)</f>
        <v>0</v>
      </c>
      <c r="D234" s="47"/>
      <c r="E234" s="47"/>
      <c r="F234" s="47"/>
      <c r="G234" s="48"/>
      <c r="H234" s="47"/>
      <c r="I234" s="76">
        <f t="shared" si="3"/>
        <v>0</v>
      </c>
      <c r="J234" s="47"/>
    </row>
    <row r="235" spans="1:10" s="56" customFormat="1" ht="14.25">
      <c r="A235" s="44"/>
      <c r="B235" s="45"/>
      <c r="C235" s="46">
        <f>IF(B235&lt;&gt;"",VLOOKUP(B235,'Tipo Projeto'!$A$3:$B$35,2,0),0)</f>
        <v>0</v>
      </c>
      <c r="D235" s="47"/>
      <c r="E235" s="47"/>
      <c r="F235" s="47"/>
      <c r="G235" s="48"/>
      <c r="H235" s="47"/>
      <c r="I235" s="76">
        <f t="shared" si="3"/>
        <v>0</v>
      </c>
      <c r="J235" s="47"/>
    </row>
    <row r="236" spans="1:10" s="56" customFormat="1" ht="14.25">
      <c r="A236" s="44"/>
      <c r="B236" s="45"/>
      <c r="C236" s="46">
        <f>IF(B236&lt;&gt;"",VLOOKUP(B236,'Tipo Projeto'!$A$3:$B$35,2,0),0)</f>
        <v>0</v>
      </c>
      <c r="D236" s="47"/>
      <c r="E236" s="47"/>
      <c r="F236" s="47"/>
      <c r="G236" s="48"/>
      <c r="H236" s="47"/>
      <c r="I236" s="76">
        <f t="shared" si="3"/>
        <v>0</v>
      </c>
      <c r="J236" s="47"/>
    </row>
    <row r="237" spans="1:10" s="56" customFormat="1" ht="14.25">
      <c r="A237" s="44"/>
      <c r="B237" s="45"/>
      <c r="C237" s="46">
        <f>IF(B237&lt;&gt;"",VLOOKUP(B237,'Tipo Projeto'!$A$3:$B$35,2,0),0)</f>
        <v>0</v>
      </c>
      <c r="D237" s="47"/>
      <c r="E237" s="47"/>
      <c r="F237" s="47"/>
      <c r="G237" s="48"/>
      <c r="H237" s="47"/>
      <c r="I237" s="76">
        <f t="shared" si="3"/>
        <v>0</v>
      </c>
      <c r="J237" s="47"/>
    </row>
    <row r="238" spans="1:10" s="56" customFormat="1" ht="14.25">
      <c r="A238" s="44"/>
      <c r="B238" s="45"/>
      <c r="C238" s="46">
        <f>IF(B238&lt;&gt;"",VLOOKUP(B238,'Tipo Projeto'!$A$3:$B$35,2,0),0)</f>
        <v>0</v>
      </c>
      <c r="D238" s="47"/>
      <c r="E238" s="47"/>
      <c r="F238" s="47"/>
      <c r="G238" s="48"/>
      <c r="H238" s="47"/>
      <c r="I238" s="76">
        <f t="shared" si="3"/>
        <v>0</v>
      </c>
      <c r="J238" s="47"/>
    </row>
    <row r="239" spans="1:10" s="56" customFormat="1" ht="14.25">
      <c r="A239" s="44"/>
      <c r="B239" s="45"/>
      <c r="C239" s="46">
        <f>IF(B239&lt;&gt;"",VLOOKUP(B239,'Tipo Projeto'!$A$3:$B$35,2,0),0)</f>
        <v>0</v>
      </c>
      <c r="D239" s="47"/>
      <c r="E239" s="47"/>
      <c r="F239" s="47"/>
      <c r="G239" s="48"/>
      <c r="H239" s="47"/>
      <c r="I239" s="76">
        <f t="shared" si="3"/>
        <v>0</v>
      </c>
      <c r="J239" s="47"/>
    </row>
    <row r="240" spans="1:10" s="56" customFormat="1" ht="14.25">
      <c r="A240" s="44"/>
      <c r="B240" s="45"/>
      <c r="C240" s="46">
        <f>IF(B240&lt;&gt;"",VLOOKUP(B240,'Tipo Projeto'!$A$3:$B$35,2,0),0)</f>
        <v>0</v>
      </c>
      <c r="D240" s="47"/>
      <c r="E240" s="47"/>
      <c r="F240" s="47"/>
      <c r="G240" s="48"/>
      <c r="H240" s="47"/>
      <c r="I240" s="76">
        <f t="shared" si="3"/>
        <v>0</v>
      </c>
      <c r="J240" s="47"/>
    </row>
    <row r="241" spans="1:10" s="56" customFormat="1" ht="14.25">
      <c r="A241" s="44"/>
      <c r="B241" s="45"/>
      <c r="C241" s="46">
        <f>IF(B241&lt;&gt;"",VLOOKUP(B241,'Tipo Projeto'!$A$3:$B$35,2,0),0)</f>
        <v>0</v>
      </c>
      <c r="D241" s="47"/>
      <c r="E241" s="47"/>
      <c r="F241" s="47"/>
      <c r="G241" s="48"/>
      <c r="H241" s="47"/>
      <c r="I241" s="76">
        <f t="shared" si="3"/>
        <v>0</v>
      </c>
      <c r="J241" s="47"/>
    </row>
    <row r="242" spans="1:10" s="56" customFormat="1" ht="14.25">
      <c r="A242" s="44"/>
      <c r="B242" s="45"/>
      <c r="C242" s="46">
        <f>IF(B242&lt;&gt;"",VLOOKUP(B242,'Tipo Projeto'!$A$3:$B$35,2,0),0)</f>
        <v>0</v>
      </c>
      <c r="D242" s="47"/>
      <c r="E242" s="47"/>
      <c r="F242" s="47"/>
      <c r="G242" s="48"/>
      <c r="H242" s="47"/>
      <c r="I242" s="76">
        <f t="shared" si="3"/>
        <v>0</v>
      </c>
      <c r="J242" s="47"/>
    </row>
    <row r="243" spans="1:10" s="56" customFormat="1" ht="14.25">
      <c r="A243" s="44"/>
      <c r="B243" s="45"/>
      <c r="C243" s="46">
        <f>IF(B243&lt;&gt;"",VLOOKUP(B243,'Tipo Projeto'!$A$3:$B$35,2,0),0)</f>
        <v>0</v>
      </c>
      <c r="D243" s="47"/>
      <c r="E243" s="47"/>
      <c r="F243" s="47"/>
      <c r="G243" s="48"/>
      <c r="H243" s="47"/>
      <c r="I243" s="76">
        <f t="shared" si="3"/>
        <v>0</v>
      </c>
      <c r="J243" s="47"/>
    </row>
    <row r="244" spans="1:10" s="56" customFormat="1" ht="14.25">
      <c r="A244" s="44"/>
      <c r="B244" s="45"/>
      <c r="C244" s="46">
        <f>IF(B244&lt;&gt;"",VLOOKUP(B244,'Tipo Projeto'!$A$3:$B$35,2,0),0)</f>
        <v>0</v>
      </c>
      <c r="D244" s="47"/>
      <c r="E244" s="47"/>
      <c r="F244" s="47"/>
      <c r="G244" s="48"/>
      <c r="H244" s="47"/>
      <c r="I244" s="76">
        <f t="shared" si="3"/>
        <v>0</v>
      </c>
      <c r="J244" s="47"/>
    </row>
    <row r="245" spans="1:10" s="56" customFormat="1" ht="14.25">
      <c r="A245" s="44"/>
      <c r="B245" s="45"/>
      <c r="C245" s="46">
        <f>IF(B245&lt;&gt;"",VLOOKUP(B245,'Tipo Projeto'!$A$3:$B$35,2,0),0)</f>
        <v>0</v>
      </c>
      <c r="D245" s="47"/>
      <c r="E245" s="47"/>
      <c r="F245" s="47"/>
      <c r="G245" s="48"/>
      <c r="H245" s="47"/>
      <c r="I245" s="76">
        <f t="shared" si="3"/>
        <v>0</v>
      </c>
      <c r="J245" s="47"/>
    </row>
    <row r="246" spans="1:10" s="56" customFormat="1" ht="14.25">
      <c r="A246" s="44"/>
      <c r="B246" s="45"/>
      <c r="C246" s="46">
        <f>IF(B246&lt;&gt;"",VLOOKUP(B246,'Tipo Projeto'!$A$3:$B$35,2,0),0)</f>
        <v>0</v>
      </c>
      <c r="D246" s="47"/>
      <c r="E246" s="47"/>
      <c r="F246" s="47"/>
      <c r="G246" s="48"/>
      <c r="H246" s="47"/>
      <c r="I246" s="76">
        <f t="shared" si="3"/>
        <v>0</v>
      </c>
      <c r="J246" s="47"/>
    </row>
    <row r="247" spans="1:10" s="56" customFormat="1" ht="14.25">
      <c r="A247" s="44"/>
      <c r="B247" s="45"/>
      <c r="C247" s="46">
        <f>IF(B247&lt;&gt;"",VLOOKUP(B247,'Tipo Projeto'!$A$3:$B$35,2,0),0)</f>
        <v>0</v>
      </c>
      <c r="D247" s="47"/>
      <c r="E247" s="47"/>
      <c r="F247" s="47"/>
      <c r="G247" s="48"/>
      <c r="H247" s="47"/>
      <c r="I247" s="76">
        <f t="shared" si="3"/>
        <v>0</v>
      </c>
      <c r="J247" s="47"/>
    </row>
    <row r="248" spans="1:10" s="56" customFormat="1" ht="14.25">
      <c r="A248" s="44"/>
      <c r="B248" s="45"/>
      <c r="C248" s="46">
        <f>IF(B248&lt;&gt;"",VLOOKUP(B248,'Tipo Projeto'!$A$3:$B$35,2,0),0)</f>
        <v>0</v>
      </c>
      <c r="D248" s="47"/>
      <c r="E248" s="47"/>
      <c r="F248" s="47"/>
      <c r="G248" s="48"/>
      <c r="H248" s="47"/>
      <c r="I248" s="76">
        <f t="shared" si="3"/>
        <v>0</v>
      </c>
      <c r="J248" s="47"/>
    </row>
    <row r="249" spans="1:10" s="56" customFormat="1" ht="14.25">
      <c r="A249" s="44"/>
      <c r="B249" s="45"/>
      <c r="C249" s="46">
        <f>IF(B249&lt;&gt;"",VLOOKUP(B249,'Tipo Projeto'!$A$3:$B$35,2,0),0)</f>
        <v>0</v>
      </c>
      <c r="D249" s="47"/>
      <c r="E249" s="47"/>
      <c r="F249" s="47"/>
      <c r="G249" s="48"/>
      <c r="H249" s="47"/>
      <c r="I249" s="76">
        <f t="shared" si="3"/>
        <v>0</v>
      </c>
      <c r="J249" s="47"/>
    </row>
    <row r="250" spans="1:10" s="56" customFormat="1" ht="14.25">
      <c r="A250" s="44"/>
      <c r="B250" s="45"/>
      <c r="C250" s="46">
        <f>IF(B250&lt;&gt;"",VLOOKUP(B250,'Tipo Projeto'!$A$3:$B$35,2,0),0)</f>
        <v>0</v>
      </c>
      <c r="D250" s="47"/>
      <c r="E250" s="47"/>
      <c r="F250" s="47"/>
      <c r="G250" s="48"/>
      <c r="H250" s="47"/>
      <c r="I250" s="76">
        <f t="shared" si="3"/>
        <v>0</v>
      </c>
      <c r="J250" s="47"/>
    </row>
    <row r="251" spans="1:10" s="56" customFormat="1" ht="14.25">
      <c r="A251" s="44"/>
      <c r="B251" s="45"/>
      <c r="C251" s="46">
        <f>IF(B251&lt;&gt;"",VLOOKUP(B251,'Tipo Projeto'!$A$3:$B$35,2,0),0)</f>
        <v>0</v>
      </c>
      <c r="D251" s="47"/>
      <c r="E251" s="47"/>
      <c r="F251" s="47"/>
      <c r="G251" s="48"/>
      <c r="H251" s="47"/>
      <c r="I251" s="76">
        <f t="shared" si="3"/>
        <v>0</v>
      </c>
      <c r="J251" s="47"/>
    </row>
    <row r="252" spans="1:10" s="56" customFormat="1" ht="14.25">
      <c r="A252" s="44"/>
      <c r="B252" s="45"/>
      <c r="C252" s="46">
        <f>IF(B252&lt;&gt;"",VLOOKUP(B252,'Tipo Projeto'!$A$3:$B$35,2,0),0)</f>
        <v>0</v>
      </c>
      <c r="D252" s="47"/>
      <c r="E252" s="47"/>
      <c r="F252" s="47"/>
      <c r="G252" s="48"/>
      <c r="H252" s="47"/>
      <c r="I252" s="76">
        <f t="shared" si="3"/>
        <v>0</v>
      </c>
      <c r="J252" s="47"/>
    </row>
    <row r="253" spans="1:10" s="56" customFormat="1" ht="14.25">
      <c r="A253" s="44"/>
      <c r="B253" s="45"/>
      <c r="C253" s="46">
        <f>IF(B253&lt;&gt;"",VLOOKUP(B253,'Tipo Projeto'!$A$3:$B$35,2,0),0)</f>
        <v>0</v>
      </c>
      <c r="D253" s="47"/>
      <c r="E253" s="47"/>
      <c r="F253" s="47"/>
      <c r="G253" s="48"/>
      <c r="H253" s="47"/>
      <c r="I253" s="76">
        <f t="shared" si="3"/>
        <v>0</v>
      </c>
      <c r="J253" s="47"/>
    </row>
    <row r="254" spans="1:10" s="56" customFormat="1" ht="14.25">
      <c r="A254" s="44"/>
      <c r="B254" s="45"/>
      <c r="C254" s="46">
        <f>IF(B254&lt;&gt;"",VLOOKUP(B254,'Tipo Projeto'!$A$3:$B$35,2,0),0)</f>
        <v>0</v>
      </c>
      <c r="D254" s="47"/>
      <c r="E254" s="47"/>
      <c r="F254" s="47"/>
      <c r="G254" s="48"/>
      <c r="H254" s="47"/>
      <c r="I254" s="76">
        <f t="shared" si="3"/>
        <v>0</v>
      </c>
      <c r="J254" s="47"/>
    </row>
    <row r="255" spans="1:10" s="56" customFormat="1" ht="14.25">
      <c r="A255" s="44"/>
      <c r="B255" s="45"/>
      <c r="C255" s="46">
        <f>IF(B255&lt;&gt;"",VLOOKUP(B255,'Tipo Projeto'!$A$3:$B$35,2,0),0)</f>
        <v>0</v>
      </c>
      <c r="D255" s="47"/>
      <c r="E255" s="47"/>
      <c r="F255" s="47"/>
      <c r="G255" s="48"/>
      <c r="H255" s="47"/>
      <c r="I255" s="76">
        <f t="shared" si="3"/>
        <v>0</v>
      </c>
      <c r="J255" s="47"/>
    </row>
    <row r="256" spans="1:10" s="56" customFormat="1" ht="14.25">
      <c r="A256" s="44"/>
      <c r="B256" s="45"/>
      <c r="C256" s="46">
        <f>IF(B256&lt;&gt;"",VLOOKUP(B256,'Tipo Projeto'!$A$3:$B$35,2,0),0)</f>
        <v>0</v>
      </c>
      <c r="D256" s="47"/>
      <c r="E256" s="47"/>
      <c r="F256" s="47"/>
      <c r="G256" s="48"/>
      <c r="H256" s="47"/>
      <c r="I256" s="76">
        <f t="shared" si="3"/>
        <v>0</v>
      </c>
      <c r="J256" s="47"/>
    </row>
    <row r="257" spans="1:10" s="56" customFormat="1" ht="14.25">
      <c r="A257" s="44"/>
      <c r="B257" s="45"/>
      <c r="C257" s="46">
        <f>IF(B257&lt;&gt;"",VLOOKUP(B257,'Tipo Projeto'!$A$3:$B$35,2,0),0)</f>
        <v>0</v>
      </c>
      <c r="D257" s="47"/>
      <c r="E257" s="47"/>
      <c r="F257" s="47"/>
      <c r="G257" s="48"/>
      <c r="H257" s="47"/>
      <c r="I257" s="76">
        <f t="shared" si="3"/>
        <v>0</v>
      </c>
      <c r="J257" s="47"/>
    </row>
    <row r="258" spans="1:10" s="56" customFormat="1" ht="14.25">
      <c r="A258" s="44"/>
      <c r="B258" s="45"/>
      <c r="C258" s="46">
        <f>IF(B258&lt;&gt;"",VLOOKUP(B258,'Tipo Projeto'!$A$3:$B$35,2,0),0)</f>
        <v>0</v>
      </c>
      <c r="D258" s="47"/>
      <c r="E258" s="47"/>
      <c r="F258" s="47"/>
      <c r="G258" s="48"/>
      <c r="H258" s="47"/>
      <c r="I258" s="76">
        <f t="shared" si="3"/>
        <v>0</v>
      </c>
      <c r="J258" s="47"/>
    </row>
    <row r="259" spans="1:10" s="56" customFormat="1" ht="14.25">
      <c r="A259" s="44"/>
      <c r="B259" s="45"/>
      <c r="C259" s="46">
        <f>IF(B259&lt;&gt;"",VLOOKUP(B259,'Tipo Projeto'!$A$3:$B$35,2,0),0)</f>
        <v>0</v>
      </c>
      <c r="D259" s="47"/>
      <c r="E259" s="47"/>
      <c r="F259" s="47"/>
      <c r="G259" s="48"/>
      <c r="H259" s="47"/>
      <c r="I259" s="76">
        <f t="shared" si="3"/>
        <v>0</v>
      </c>
      <c r="J259" s="47"/>
    </row>
    <row r="260" spans="1:10" s="56" customFormat="1" ht="14.25">
      <c r="A260" s="44"/>
      <c r="B260" s="45"/>
      <c r="C260" s="46">
        <f>IF(B260&lt;&gt;"",VLOOKUP(B260,'Tipo Projeto'!$A$3:$B$35,2,0),0)</f>
        <v>0</v>
      </c>
      <c r="D260" s="47"/>
      <c r="E260" s="47"/>
      <c r="F260" s="47"/>
      <c r="G260" s="48"/>
      <c r="H260" s="47"/>
      <c r="I260" s="76">
        <f t="shared" si="3"/>
        <v>0</v>
      </c>
      <c r="J260" s="47"/>
    </row>
    <row r="261" spans="1:10" s="56" customFormat="1" ht="14.25">
      <c r="A261" s="44"/>
      <c r="B261" s="45"/>
      <c r="C261" s="46">
        <f>IF(B261&lt;&gt;"",VLOOKUP(B261,'Tipo Projeto'!$A$3:$B$35,2,0),0)</f>
        <v>0</v>
      </c>
      <c r="D261" s="47"/>
      <c r="E261" s="47"/>
      <c r="F261" s="47"/>
      <c r="G261" s="48"/>
      <c r="H261" s="47"/>
      <c r="I261" s="76">
        <f t="shared" si="3"/>
        <v>0</v>
      </c>
      <c r="J261" s="47"/>
    </row>
    <row r="262" spans="1:10" s="56" customFormat="1" ht="14.25">
      <c r="A262" s="44"/>
      <c r="B262" s="45"/>
      <c r="C262" s="46">
        <f>IF(B262&lt;&gt;"",VLOOKUP(B262,'Tipo Projeto'!$A$3:$B$35,2,0),0)</f>
        <v>0</v>
      </c>
      <c r="D262" s="47"/>
      <c r="E262" s="47"/>
      <c r="F262" s="47"/>
      <c r="G262" s="48"/>
      <c r="H262" s="47"/>
      <c r="I262" s="76">
        <f t="shared" si="3"/>
        <v>0</v>
      </c>
      <c r="J262" s="47"/>
    </row>
    <row r="263" spans="1:10" s="56" customFormat="1" ht="14.25">
      <c r="A263" s="44"/>
      <c r="B263" s="45"/>
      <c r="C263" s="46">
        <f>IF(B263&lt;&gt;"",VLOOKUP(B263,'Tipo Projeto'!$A$3:$B$35,2,0),0)</f>
        <v>0</v>
      </c>
      <c r="D263" s="47"/>
      <c r="E263" s="47"/>
      <c r="F263" s="47"/>
      <c r="G263" s="48"/>
      <c r="H263" s="47"/>
      <c r="I263" s="76">
        <f t="shared" si="3"/>
        <v>0</v>
      </c>
      <c r="J263" s="47"/>
    </row>
    <row r="264" spans="1:10" s="56" customFormat="1" ht="14.25">
      <c r="A264" s="44"/>
      <c r="B264" s="45"/>
      <c r="C264" s="46">
        <f>IF(B264&lt;&gt;"",VLOOKUP(B264,'Tipo Projeto'!$A$3:$B$35,2,0),0)</f>
        <v>0</v>
      </c>
      <c r="D264" s="47"/>
      <c r="E264" s="47"/>
      <c r="F264" s="47"/>
      <c r="G264" s="48"/>
      <c r="H264" s="47"/>
      <c r="I264" s="76">
        <f t="shared" si="3"/>
        <v>0</v>
      </c>
      <c r="J264" s="47"/>
    </row>
    <row r="265" spans="1:10" s="56" customFormat="1" ht="14.25">
      <c r="A265" s="44"/>
      <c r="B265" s="45"/>
      <c r="C265" s="46">
        <f>IF(B265&lt;&gt;"",VLOOKUP(B265,'Tipo Projeto'!$A$3:$B$35,2,0),0)</f>
        <v>0</v>
      </c>
      <c r="D265" s="47"/>
      <c r="E265" s="47"/>
      <c r="F265" s="47"/>
      <c r="G265" s="48"/>
      <c r="H265" s="47"/>
      <c r="I265" s="76">
        <f t="shared" si="3"/>
        <v>0</v>
      </c>
      <c r="J265" s="47"/>
    </row>
    <row r="266" spans="1:10" s="56" customFormat="1" ht="14.25">
      <c r="A266" s="44"/>
      <c r="B266" s="45"/>
      <c r="C266" s="46">
        <f>IF(B266&lt;&gt;"",VLOOKUP(B266,'Tipo Projeto'!$A$3:$B$35,2,0),0)</f>
        <v>0</v>
      </c>
      <c r="D266" s="47"/>
      <c r="E266" s="47"/>
      <c r="F266" s="47"/>
      <c r="G266" s="48"/>
      <c r="H266" s="47"/>
      <c r="I266" s="76">
        <f t="shared" si="3"/>
        <v>0</v>
      </c>
      <c r="J266" s="47"/>
    </row>
    <row r="267" spans="1:10" s="56" customFormat="1" ht="14.25">
      <c r="A267" s="44"/>
      <c r="B267" s="45"/>
      <c r="C267" s="46">
        <f>IF(B267&lt;&gt;"",VLOOKUP(B267,'Tipo Projeto'!$A$3:$B$35,2,0),0)</f>
        <v>0</v>
      </c>
      <c r="D267" s="47"/>
      <c r="E267" s="47"/>
      <c r="F267" s="47"/>
      <c r="G267" s="48"/>
      <c r="H267" s="47"/>
      <c r="I267" s="76">
        <f t="shared" ref="I267:I330" si="4">IF(B267&lt;&gt;"Manutenção em interface",IF(B267&lt;&gt;"Desenv., Manutenção e Publicação de Páginas Estáticas",IF(H267="EE",4,IF(H267="CE",4,IF(H267="SE",5,IF(H267="ALI",7,IF(H267="AIE",5,0)))))*C267,C267),C267)</f>
        <v>0</v>
      </c>
      <c r="J267" s="47"/>
    </row>
    <row r="268" spans="1:10" s="56" customFormat="1" ht="14.25">
      <c r="A268" s="44"/>
      <c r="B268" s="45"/>
      <c r="C268" s="46">
        <f>IF(B268&lt;&gt;"",VLOOKUP(B268,'Tipo Projeto'!$A$3:$B$35,2,0),0)</f>
        <v>0</v>
      </c>
      <c r="D268" s="47"/>
      <c r="E268" s="47"/>
      <c r="F268" s="47"/>
      <c r="G268" s="48"/>
      <c r="H268" s="47"/>
      <c r="I268" s="76">
        <f t="shared" si="4"/>
        <v>0</v>
      </c>
      <c r="J268" s="47"/>
    </row>
    <row r="269" spans="1:10" s="56" customFormat="1" ht="14.25">
      <c r="A269" s="44"/>
      <c r="B269" s="45"/>
      <c r="C269" s="46">
        <f>IF(B269&lt;&gt;"",VLOOKUP(B269,'Tipo Projeto'!$A$3:$B$35,2,0),0)</f>
        <v>0</v>
      </c>
      <c r="D269" s="47"/>
      <c r="E269" s="47"/>
      <c r="F269" s="47"/>
      <c r="G269" s="48"/>
      <c r="H269" s="47"/>
      <c r="I269" s="76">
        <f t="shared" si="4"/>
        <v>0</v>
      </c>
      <c r="J269" s="47"/>
    </row>
    <row r="270" spans="1:10" s="56" customFormat="1" ht="14.25">
      <c r="A270" s="44"/>
      <c r="B270" s="45"/>
      <c r="C270" s="46">
        <f>IF(B270&lt;&gt;"",VLOOKUP(B270,'Tipo Projeto'!$A$3:$B$35,2,0),0)</f>
        <v>0</v>
      </c>
      <c r="D270" s="47"/>
      <c r="E270" s="47"/>
      <c r="F270" s="47"/>
      <c r="G270" s="48"/>
      <c r="H270" s="47"/>
      <c r="I270" s="76">
        <f t="shared" si="4"/>
        <v>0</v>
      </c>
      <c r="J270" s="47"/>
    </row>
    <row r="271" spans="1:10" s="56" customFormat="1" ht="14.25">
      <c r="A271" s="44"/>
      <c r="B271" s="45"/>
      <c r="C271" s="46">
        <f>IF(B271&lt;&gt;"",VLOOKUP(B271,'Tipo Projeto'!$A$3:$B$35,2,0),0)</f>
        <v>0</v>
      </c>
      <c r="D271" s="47"/>
      <c r="E271" s="47"/>
      <c r="F271" s="47"/>
      <c r="G271" s="48"/>
      <c r="H271" s="47"/>
      <c r="I271" s="76">
        <f t="shared" si="4"/>
        <v>0</v>
      </c>
      <c r="J271" s="47"/>
    </row>
    <row r="272" spans="1:10" s="56" customFormat="1" ht="14.25">
      <c r="A272" s="44"/>
      <c r="B272" s="45"/>
      <c r="C272" s="46">
        <f>IF(B272&lt;&gt;"",VLOOKUP(B272,'Tipo Projeto'!$A$3:$B$35,2,0),0)</f>
        <v>0</v>
      </c>
      <c r="D272" s="47"/>
      <c r="E272" s="47"/>
      <c r="F272" s="47"/>
      <c r="G272" s="48"/>
      <c r="H272" s="47"/>
      <c r="I272" s="76">
        <f t="shared" si="4"/>
        <v>0</v>
      </c>
      <c r="J272" s="47"/>
    </row>
    <row r="273" spans="1:10" s="56" customFormat="1" ht="14.25">
      <c r="A273" s="44"/>
      <c r="B273" s="45"/>
      <c r="C273" s="46">
        <f>IF(B273&lt;&gt;"",VLOOKUP(B273,'Tipo Projeto'!$A$3:$B$35,2,0),0)</f>
        <v>0</v>
      </c>
      <c r="D273" s="47"/>
      <c r="E273" s="47"/>
      <c r="F273" s="47"/>
      <c r="G273" s="48"/>
      <c r="H273" s="47"/>
      <c r="I273" s="76">
        <f t="shared" si="4"/>
        <v>0</v>
      </c>
      <c r="J273" s="47"/>
    </row>
    <row r="274" spans="1:10" s="56" customFormat="1" ht="14.25">
      <c r="A274" s="44"/>
      <c r="B274" s="45"/>
      <c r="C274" s="46">
        <f>IF(B274&lt;&gt;"",VLOOKUP(B274,'Tipo Projeto'!$A$3:$B$35,2,0),0)</f>
        <v>0</v>
      </c>
      <c r="D274" s="47"/>
      <c r="E274" s="47"/>
      <c r="F274" s="47"/>
      <c r="G274" s="48"/>
      <c r="H274" s="47"/>
      <c r="I274" s="76">
        <f t="shared" si="4"/>
        <v>0</v>
      </c>
      <c r="J274" s="47"/>
    </row>
    <row r="275" spans="1:10" s="56" customFormat="1" ht="14.25">
      <c r="A275" s="44"/>
      <c r="B275" s="45"/>
      <c r="C275" s="46">
        <f>IF(B275&lt;&gt;"",VLOOKUP(B275,'Tipo Projeto'!$A$3:$B$35,2,0),0)</f>
        <v>0</v>
      </c>
      <c r="D275" s="47"/>
      <c r="E275" s="47"/>
      <c r="F275" s="47"/>
      <c r="G275" s="48"/>
      <c r="H275" s="47"/>
      <c r="I275" s="76">
        <f t="shared" si="4"/>
        <v>0</v>
      </c>
      <c r="J275" s="47"/>
    </row>
    <row r="276" spans="1:10" s="56" customFormat="1" ht="14.25">
      <c r="A276" s="44"/>
      <c r="B276" s="45"/>
      <c r="C276" s="46">
        <f>IF(B276&lt;&gt;"",VLOOKUP(B276,'Tipo Projeto'!$A$3:$B$35,2,0),0)</f>
        <v>0</v>
      </c>
      <c r="D276" s="47"/>
      <c r="E276" s="47"/>
      <c r="F276" s="47"/>
      <c r="G276" s="48"/>
      <c r="H276" s="47"/>
      <c r="I276" s="76">
        <f t="shared" si="4"/>
        <v>0</v>
      </c>
      <c r="J276" s="47"/>
    </row>
    <row r="277" spans="1:10" s="56" customFormat="1" ht="14.25">
      <c r="A277" s="44"/>
      <c r="B277" s="45"/>
      <c r="C277" s="46">
        <f>IF(B277&lt;&gt;"",VLOOKUP(B277,'Tipo Projeto'!$A$3:$B$35,2,0),0)</f>
        <v>0</v>
      </c>
      <c r="D277" s="47"/>
      <c r="E277" s="47"/>
      <c r="F277" s="47"/>
      <c r="G277" s="48"/>
      <c r="H277" s="47"/>
      <c r="I277" s="76">
        <f t="shared" si="4"/>
        <v>0</v>
      </c>
      <c r="J277" s="47"/>
    </row>
    <row r="278" spans="1:10" s="56" customFormat="1" ht="14.25">
      <c r="A278" s="44"/>
      <c r="B278" s="45"/>
      <c r="C278" s="46">
        <f>IF(B278&lt;&gt;"",VLOOKUP(B278,'Tipo Projeto'!$A$3:$B$35,2,0),0)</f>
        <v>0</v>
      </c>
      <c r="D278" s="47"/>
      <c r="E278" s="47"/>
      <c r="F278" s="47"/>
      <c r="G278" s="48"/>
      <c r="H278" s="47"/>
      <c r="I278" s="76">
        <f t="shared" si="4"/>
        <v>0</v>
      </c>
      <c r="J278" s="47"/>
    </row>
    <row r="279" spans="1:10" s="56" customFormat="1" ht="14.25">
      <c r="A279" s="44"/>
      <c r="B279" s="45"/>
      <c r="C279" s="46">
        <f>IF(B279&lt;&gt;"",VLOOKUP(B279,'Tipo Projeto'!$A$3:$B$35,2,0),0)</f>
        <v>0</v>
      </c>
      <c r="D279" s="47"/>
      <c r="E279" s="47"/>
      <c r="F279" s="47"/>
      <c r="G279" s="48"/>
      <c r="H279" s="47"/>
      <c r="I279" s="76">
        <f t="shared" si="4"/>
        <v>0</v>
      </c>
      <c r="J279" s="47"/>
    </row>
    <row r="280" spans="1:10" s="56" customFormat="1" ht="14.25">
      <c r="A280" s="44"/>
      <c r="B280" s="45"/>
      <c r="C280" s="46">
        <f>IF(B280&lt;&gt;"",VLOOKUP(B280,'Tipo Projeto'!$A$3:$B$35,2,0),0)</f>
        <v>0</v>
      </c>
      <c r="D280" s="47"/>
      <c r="E280" s="47"/>
      <c r="F280" s="47"/>
      <c r="G280" s="48"/>
      <c r="H280" s="47"/>
      <c r="I280" s="76">
        <f t="shared" si="4"/>
        <v>0</v>
      </c>
      <c r="J280" s="47"/>
    </row>
    <row r="281" spans="1:10" s="56" customFormat="1" ht="14.25">
      <c r="A281" s="44"/>
      <c r="B281" s="45"/>
      <c r="C281" s="46">
        <f>IF(B281&lt;&gt;"",VLOOKUP(B281,'Tipo Projeto'!$A$3:$B$35,2,0),0)</f>
        <v>0</v>
      </c>
      <c r="D281" s="47"/>
      <c r="E281" s="47"/>
      <c r="F281" s="47"/>
      <c r="G281" s="48"/>
      <c r="H281" s="47"/>
      <c r="I281" s="76">
        <f t="shared" si="4"/>
        <v>0</v>
      </c>
      <c r="J281" s="47"/>
    </row>
    <row r="282" spans="1:10" s="56" customFormat="1" ht="14.25">
      <c r="A282" s="44"/>
      <c r="B282" s="45"/>
      <c r="C282" s="46">
        <f>IF(B282&lt;&gt;"",VLOOKUP(B282,'Tipo Projeto'!$A$3:$B$35,2,0),0)</f>
        <v>0</v>
      </c>
      <c r="D282" s="47"/>
      <c r="E282" s="47"/>
      <c r="F282" s="47"/>
      <c r="G282" s="48"/>
      <c r="H282" s="47"/>
      <c r="I282" s="76">
        <f t="shared" si="4"/>
        <v>0</v>
      </c>
      <c r="J282" s="47"/>
    </row>
    <row r="283" spans="1:10" s="56" customFormat="1" ht="14.25">
      <c r="A283" s="44"/>
      <c r="B283" s="45"/>
      <c r="C283" s="46">
        <f>IF(B283&lt;&gt;"",VLOOKUP(B283,'Tipo Projeto'!$A$3:$B$35,2,0),0)</f>
        <v>0</v>
      </c>
      <c r="D283" s="47"/>
      <c r="E283" s="47"/>
      <c r="F283" s="47"/>
      <c r="G283" s="48"/>
      <c r="H283" s="47"/>
      <c r="I283" s="76">
        <f t="shared" si="4"/>
        <v>0</v>
      </c>
      <c r="J283" s="47"/>
    </row>
    <row r="284" spans="1:10" s="56" customFormat="1" ht="14.25">
      <c r="A284" s="44"/>
      <c r="B284" s="45"/>
      <c r="C284" s="46">
        <f>IF(B284&lt;&gt;"",VLOOKUP(B284,'Tipo Projeto'!$A$3:$B$35,2,0),0)</f>
        <v>0</v>
      </c>
      <c r="D284" s="47"/>
      <c r="E284" s="47"/>
      <c r="F284" s="47"/>
      <c r="G284" s="48"/>
      <c r="H284" s="47"/>
      <c r="I284" s="76">
        <f t="shared" si="4"/>
        <v>0</v>
      </c>
      <c r="J284" s="47"/>
    </row>
    <row r="285" spans="1:10" s="56" customFormat="1" ht="14.25">
      <c r="A285" s="44"/>
      <c r="B285" s="45"/>
      <c r="C285" s="46">
        <f>IF(B285&lt;&gt;"",VLOOKUP(B285,'Tipo Projeto'!$A$3:$B$35,2,0),0)</f>
        <v>0</v>
      </c>
      <c r="D285" s="47"/>
      <c r="E285" s="47"/>
      <c r="F285" s="47"/>
      <c r="G285" s="48"/>
      <c r="H285" s="47"/>
      <c r="I285" s="76">
        <f t="shared" si="4"/>
        <v>0</v>
      </c>
      <c r="J285" s="47"/>
    </row>
    <row r="286" spans="1:10" s="56" customFormat="1" ht="14.25">
      <c r="A286" s="44"/>
      <c r="B286" s="45"/>
      <c r="C286" s="46">
        <f>IF(B286&lt;&gt;"",VLOOKUP(B286,'Tipo Projeto'!$A$3:$B$35,2,0),0)</f>
        <v>0</v>
      </c>
      <c r="D286" s="47"/>
      <c r="E286" s="47"/>
      <c r="F286" s="47"/>
      <c r="G286" s="48"/>
      <c r="H286" s="47"/>
      <c r="I286" s="76">
        <f t="shared" si="4"/>
        <v>0</v>
      </c>
      <c r="J286" s="47"/>
    </row>
    <row r="287" spans="1:10" s="56" customFormat="1" ht="14.25">
      <c r="A287" s="44"/>
      <c r="B287" s="45"/>
      <c r="C287" s="46">
        <f>IF(B287&lt;&gt;"",VLOOKUP(B287,'Tipo Projeto'!$A$3:$B$35,2,0),0)</f>
        <v>0</v>
      </c>
      <c r="D287" s="47"/>
      <c r="E287" s="47"/>
      <c r="F287" s="47"/>
      <c r="G287" s="48"/>
      <c r="H287" s="47"/>
      <c r="I287" s="76">
        <f t="shared" si="4"/>
        <v>0</v>
      </c>
      <c r="J287" s="47"/>
    </row>
    <row r="288" spans="1:10" s="56" customFormat="1" ht="14.25">
      <c r="A288" s="44"/>
      <c r="B288" s="45"/>
      <c r="C288" s="46">
        <f>IF(B288&lt;&gt;"",VLOOKUP(B288,'Tipo Projeto'!$A$3:$B$35,2,0),0)</f>
        <v>0</v>
      </c>
      <c r="D288" s="47"/>
      <c r="E288" s="47"/>
      <c r="F288" s="47"/>
      <c r="G288" s="48"/>
      <c r="H288" s="47"/>
      <c r="I288" s="76">
        <f t="shared" si="4"/>
        <v>0</v>
      </c>
      <c r="J288" s="47"/>
    </row>
    <row r="289" spans="1:10" s="56" customFormat="1" ht="14.25">
      <c r="A289" s="44"/>
      <c r="B289" s="45"/>
      <c r="C289" s="46">
        <f>IF(B289&lt;&gt;"",VLOOKUP(B289,'Tipo Projeto'!$A$3:$B$35,2,0),0)</f>
        <v>0</v>
      </c>
      <c r="D289" s="47"/>
      <c r="E289" s="47"/>
      <c r="F289" s="47"/>
      <c r="G289" s="48"/>
      <c r="H289" s="47"/>
      <c r="I289" s="76">
        <f t="shared" si="4"/>
        <v>0</v>
      </c>
      <c r="J289" s="47"/>
    </row>
    <row r="290" spans="1:10" s="56" customFormat="1" ht="14.25">
      <c r="A290" s="44"/>
      <c r="B290" s="45"/>
      <c r="C290" s="46">
        <f>IF(B290&lt;&gt;"",VLOOKUP(B290,'Tipo Projeto'!$A$3:$B$35,2,0),0)</f>
        <v>0</v>
      </c>
      <c r="D290" s="47"/>
      <c r="E290" s="47"/>
      <c r="F290" s="47"/>
      <c r="G290" s="48"/>
      <c r="H290" s="47"/>
      <c r="I290" s="76">
        <f t="shared" si="4"/>
        <v>0</v>
      </c>
      <c r="J290" s="47"/>
    </row>
    <row r="291" spans="1:10" s="56" customFormat="1" ht="14.25">
      <c r="A291" s="44"/>
      <c r="B291" s="45"/>
      <c r="C291" s="46">
        <f>IF(B291&lt;&gt;"",VLOOKUP(B291,'Tipo Projeto'!$A$3:$B$35,2,0),0)</f>
        <v>0</v>
      </c>
      <c r="D291" s="47"/>
      <c r="E291" s="47"/>
      <c r="F291" s="47"/>
      <c r="G291" s="48"/>
      <c r="H291" s="47"/>
      <c r="I291" s="76">
        <f t="shared" si="4"/>
        <v>0</v>
      </c>
      <c r="J291" s="47"/>
    </row>
    <row r="292" spans="1:10" s="56" customFormat="1" ht="14.25">
      <c r="A292" s="44"/>
      <c r="B292" s="45"/>
      <c r="C292" s="46">
        <f>IF(B292&lt;&gt;"",VLOOKUP(B292,'Tipo Projeto'!$A$3:$B$35,2,0),0)</f>
        <v>0</v>
      </c>
      <c r="D292" s="47"/>
      <c r="E292" s="47"/>
      <c r="F292" s="47"/>
      <c r="G292" s="48"/>
      <c r="H292" s="47"/>
      <c r="I292" s="76">
        <f t="shared" si="4"/>
        <v>0</v>
      </c>
      <c r="J292" s="47"/>
    </row>
    <row r="293" spans="1:10" s="56" customFormat="1" ht="14.25">
      <c r="A293" s="44"/>
      <c r="B293" s="45"/>
      <c r="C293" s="46">
        <f>IF(B293&lt;&gt;"",VLOOKUP(B293,'Tipo Projeto'!$A$3:$B$35,2,0),0)</f>
        <v>0</v>
      </c>
      <c r="D293" s="47"/>
      <c r="E293" s="47"/>
      <c r="F293" s="47"/>
      <c r="G293" s="48"/>
      <c r="H293" s="47"/>
      <c r="I293" s="76">
        <f t="shared" si="4"/>
        <v>0</v>
      </c>
      <c r="J293" s="47"/>
    </row>
    <row r="294" spans="1:10" s="56" customFormat="1" ht="14.25">
      <c r="A294" s="44"/>
      <c r="B294" s="45"/>
      <c r="C294" s="46">
        <f>IF(B294&lt;&gt;"",VLOOKUP(B294,'Tipo Projeto'!$A$3:$B$35,2,0),0)</f>
        <v>0</v>
      </c>
      <c r="D294" s="47"/>
      <c r="E294" s="47"/>
      <c r="F294" s="47"/>
      <c r="G294" s="48"/>
      <c r="H294" s="47"/>
      <c r="I294" s="76">
        <f t="shared" si="4"/>
        <v>0</v>
      </c>
      <c r="J294" s="47"/>
    </row>
    <row r="295" spans="1:10" s="56" customFormat="1" ht="14.25">
      <c r="A295" s="44"/>
      <c r="B295" s="45"/>
      <c r="C295" s="46">
        <f>IF(B295&lt;&gt;"",VLOOKUP(B295,'Tipo Projeto'!$A$3:$B$35,2,0),0)</f>
        <v>0</v>
      </c>
      <c r="D295" s="47"/>
      <c r="E295" s="47"/>
      <c r="F295" s="47"/>
      <c r="G295" s="48"/>
      <c r="H295" s="47"/>
      <c r="I295" s="76">
        <f t="shared" si="4"/>
        <v>0</v>
      </c>
      <c r="J295" s="47"/>
    </row>
    <row r="296" spans="1:10" s="56" customFormat="1" ht="14.25">
      <c r="A296" s="44"/>
      <c r="B296" s="45"/>
      <c r="C296" s="46">
        <f>IF(B296&lt;&gt;"",VLOOKUP(B296,'Tipo Projeto'!$A$3:$B$35,2,0),0)</f>
        <v>0</v>
      </c>
      <c r="D296" s="47"/>
      <c r="E296" s="47"/>
      <c r="F296" s="47"/>
      <c r="G296" s="48"/>
      <c r="H296" s="47"/>
      <c r="I296" s="76">
        <f t="shared" si="4"/>
        <v>0</v>
      </c>
      <c r="J296" s="47"/>
    </row>
    <row r="297" spans="1:10" s="56" customFormat="1" ht="14.25">
      <c r="A297" s="44"/>
      <c r="B297" s="45"/>
      <c r="C297" s="46">
        <f>IF(B297&lt;&gt;"",VLOOKUP(B297,'Tipo Projeto'!$A$3:$B$35,2,0),0)</f>
        <v>0</v>
      </c>
      <c r="D297" s="47"/>
      <c r="E297" s="47"/>
      <c r="F297" s="47"/>
      <c r="G297" s="48"/>
      <c r="H297" s="47"/>
      <c r="I297" s="76">
        <f t="shared" si="4"/>
        <v>0</v>
      </c>
      <c r="J297" s="47"/>
    </row>
    <row r="298" spans="1:10" s="56" customFormat="1" ht="14.25">
      <c r="A298" s="44"/>
      <c r="B298" s="45"/>
      <c r="C298" s="46">
        <f>IF(B298&lt;&gt;"",VLOOKUP(B298,'Tipo Projeto'!$A$3:$B$35,2,0),0)</f>
        <v>0</v>
      </c>
      <c r="D298" s="47"/>
      <c r="E298" s="47"/>
      <c r="F298" s="47"/>
      <c r="G298" s="48"/>
      <c r="H298" s="47"/>
      <c r="I298" s="76">
        <f t="shared" si="4"/>
        <v>0</v>
      </c>
      <c r="J298" s="47"/>
    </row>
    <row r="299" spans="1:10" s="56" customFormat="1" ht="14.25">
      <c r="A299" s="44"/>
      <c r="B299" s="45"/>
      <c r="C299" s="46">
        <f>IF(B299&lt;&gt;"",VLOOKUP(B299,'Tipo Projeto'!$A$3:$B$35,2,0),0)</f>
        <v>0</v>
      </c>
      <c r="D299" s="47"/>
      <c r="E299" s="47"/>
      <c r="F299" s="47"/>
      <c r="G299" s="48"/>
      <c r="H299" s="47"/>
      <c r="I299" s="76">
        <f t="shared" si="4"/>
        <v>0</v>
      </c>
      <c r="J299" s="47"/>
    </row>
    <row r="300" spans="1:10" s="56" customFormat="1" ht="14.25">
      <c r="A300" s="44"/>
      <c r="B300" s="45"/>
      <c r="C300" s="46">
        <f>IF(B300&lt;&gt;"",VLOOKUP(B300,'Tipo Projeto'!$A$3:$B$35,2,0),0)</f>
        <v>0</v>
      </c>
      <c r="D300" s="47"/>
      <c r="E300" s="47"/>
      <c r="F300" s="47"/>
      <c r="G300" s="48"/>
      <c r="H300" s="47"/>
      <c r="I300" s="76">
        <f t="shared" si="4"/>
        <v>0</v>
      </c>
      <c r="J300" s="47"/>
    </row>
    <row r="301" spans="1:10" s="56" customFormat="1" ht="14.25">
      <c r="A301" s="44"/>
      <c r="B301" s="45"/>
      <c r="C301" s="46">
        <f>IF(B301&lt;&gt;"",VLOOKUP(B301,'Tipo Projeto'!$A$3:$B$35,2,0),0)</f>
        <v>0</v>
      </c>
      <c r="D301" s="47"/>
      <c r="E301" s="47"/>
      <c r="F301" s="47"/>
      <c r="G301" s="48"/>
      <c r="H301" s="47"/>
      <c r="I301" s="76">
        <f t="shared" si="4"/>
        <v>0</v>
      </c>
      <c r="J301" s="47"/>
    </row>
    <row r="302" spans="1:10" s="56" customFormat="1" ht="14.25">
      <c r="A302" s="44"/>
      <c r="B302" s="45"/>
      <c r="C302" s="46">
        <f>IF(B302&lt;&gt;"",VLOOKUP(B302,'Tipo Projeto'!$A$3:$B$35,2,0),0)</f>
        <v>0</v>
      </c>
      <c r="D302" s="47"/>
      <c r="E302" s="47"/>
      <c r="F302" s="47"/>
      <c r="G302" s="48"/>
      <c r="H302" s="47"/>
      <c r="I302" s="76">
        <f t="shared" si="4"/>
        <v>0</v>
      </c>
      <c r="J302" s="47"/>
    </row>
    <row r="303" spans="1:10" s="56" customFormat="1" ht="14.25">
      <c r="A303" s="44"/>
      <c r="B303" s="45"/>
      <c r="C303" s="46">
        <f>IF(B303&lt;&gt;"",VLOOKUP(B303,'Tipo Projeto'!$A$3:$B$35,2,0),0)</f>
        <v>0</v>
      </c>
      <c r="D303" s="47"/>
      <c r="E303" s="47"/>
      <c r="F303" s="47"/>
      <c r="G303" s="48"/>
      <c r="H303" s="47"/>
      <c r="I303" s="76">
        <f t="shared" si="4"/>
        <v>0</v>
      </c>
      <c r="J303" s="47"/>
    </row>
    <row r="304" spans="1:10" s="56" customFormat="1" ht="14.25">
      <c r="A304" s="44"/>
      <c r="B304" s="45"/>
      <c r="C304" s="46">
        <f>IF(B304&lt;&gt;"",VLOOKUP(B304,'Tipo Projeto'!$A$3:$B$35,2,0),0)</f>
        <v>0</v>
      </c>
      <c r="D304" s="47"/>
      <c r="E304" s="47"/>
      <c r="F304" s="47"/>
      <c r="G304" s="48"/>
      <c r="H304" s="47"/>
      <c r="I304" s="76">
        <f t="shared" si="4"/>
        <v>0</v>
      </c>
      <c r="J304" s="47"/>
    </row>
    <row r="305" spans="1:10" s="56" customFormat="1" ht="14.25">
      <c r="A305" s="44"/>
      <c r="B305" s="45"/>
      <c r="C305" s="46">
        <f>IF(B305&lt;&gt;"",VLOOKUP(B305,'Tipo Projeto'!$A$3:$B$35,2,0),0)</f>
        <v>0</v>
      </c>
      <c r="D305" s="47"/>
      <c r="E305" s="47"/>
      <c r="F305" s="47"/>
      <c r="G305" s="48"/>
      <c r="H305" s="47"/>
      <c r="I305" s="76">
        <f t="shared" si="4"/>
        <v>0</v>
      </c>
      <c r="J305" s="47"/>
    </row>
    <row r="306" spans="1:10" s="56" customFormat="1" ht="14.25">
      <c r="A306" s="44"/>
      <c r="B306" s="45"/>
      <c r="C306" s="46">
        <f>IF(B306&lt;&gt;"",VLOOKUP(B306,'Tipo Projeto'!$A$3:$B$35,2,0),0)</f>
        <v>0</v>
      </c>
      <c r="D306" s="47"/>
      <c r="E306" s="47"/>
      <c r="F306" s="47"/>
      <c r="G306" s="48"/>
      <c r="H306" s="47"/>
      <c r="I306" s="76">
        <f t="shared" si="4"/>
        <v>0</v>
      </c>
      <c r="J306" s="47"/>
    </row>
    <row r="307" spans="1:10" s="56" customFormat="1" ht="14.25">
      <c r="A307" s="44"/>
      <c r="B307" s="45"/>
      <c r="C307" s="46">
        <f>IF(B307&lt;&gt;"",VLOOKUP(B307,'Tipo Projeto'!$A$3:$B$35,2,0),0)</f>
        <v>0</v>
      </c>
      <c r="D307" s="47"/>
      <c r="E307" s="47"/>
      <c r="F307" s="47"/>
      <c r="G307" s="48"/>
      <c r="H307" s="47"/>
      <c r="I307" s="76">
        <f t="shared" si="4"/>
        <v>0</v>
      </c>
      <c r="J307" s="47"/>
    </row>
    <row r="308" spans="1:10" s="56" customFormat="1" ht="14.25">
      <c r="A308" s="44"/>
      <c r="B308" s="45"/>
      <c r="C308" s="46">
        <f>IF(B308&lt;&gt;"",VLOOKUP(B308,'Tipo Projeto'!$A$3:$B$35,2,0),0)</f>
        <v>0</v>
      </c>
      <c r="D308" s="47"/>
      <c r="E308" s="47"/>
      <c r="F308" s="47"/>
      <c r="G308" s="48"/>
      <c r="H308" s="47"/>
      <c r="I308" s="76">
        <f t="shared" si="4"/>
        <v>0</v>
      </c>
      <c r="J308" s="47"/>
    </row>
    <row r="309" spans="1:10" s="56" customFormat="1" ht="14.25">
      <c r="A309" s="44"/>
      <c r="B309" s="45"/>
      <c r="C309" s="46">
        <f>IF(B309&lt;&gt;"",VLOOKUP(B309,'Tipo Projeto'!$A$3:$B$35,2,0),0)</f>
        <v>0</v>
      </c>
      <c r="D309" s="47"/>
      <c r="E309" s="47"/>
      <c r="F309" s="47"/>
      <c r="G309" s="48"/>
      <c r="H309" s="47"/>
      <c r="I309" s="76">
        <f t="shared" si="4"/>
        <v>0</v>
      </c>
      <c r="J309" s="47"/>
    </row>
    <row r="310" spans="1:10" s="56" customFormat="1" ht="14.25">
      <c r="A310" s="44"/>
      <c r="B310" s="45"/>
      <c r="C310" s="46">
        <f>IF(B310&lt;&gt;"",VLOOKUP(B310,'Tipo Projeto'!$A$3:$B$35,2,0),0)</f>
        <v>0</v>
      </c>
      <c r="D310" s="47"/>
      <c r="E310" s="47"/>
      <c r="F310" s="47"/>
      <c r="G310" s="48"/>
      <c r="H310" s="47"/>
      <c r="I310" s="76">
        <f t="shared" si="4"/>
        <v>0</v>
      </c>
      <c r="J310" s="47"/>
    </row>
    <row r="311" spans="1:10" s="56" customFormat="1" ht="14.25">
      <c r="A311" s="44"/>
      <c r="B311" s="45"/>
      <c r="C311" s="46">
        <f>IF(B311&lt;&gt;"",VLOOKUP(B311,'Tipo Projeto'!$A$3:$B$35,2,0),0)</f>
        <v>0</v>
      </c>
      <c r="D311" s="47"/>
      <c r="E311" s="47"/>
      <c r="F311" s="47"/>
      <c r="G311" s="48"/>
      <c r="H311" s="47"/>
      <c r="I311" s="76">
        <f t="shared" si="4"/>
        <v>0</v>
      </c>
      <c r="J311" s="47"/>
    </row>
    <row r="312" spans="1:10" s="56" customFormat="1" ht="14.25">
      <c r="A312" s="44"/>
      <c r="B312" s="45"/>
      <c r="C312" s="46">
        <f>IF(B312&lt;&gt;"",VLOOKUP(B312,'Tipo Projeto'!$A$3:$B$35,2,0),0)</f>
        <v>0</v>
      </c>
      <c r="D312" s="47"/>
      <c r="E312" s="47"/>
      <c r="F312" s="47"/>
      <c r="G312" s="48"/>
      <c r="H312" s="47"/>
      <c r="I312" s="76">
        <f t="shared" si="4"/>
        <v>0</v>
      </c>
      <c r="J312" s="47"/>
    </row>
    <row r="313" spans="1:10" s="56" customFormat="1" ht="14.25">
      <c r="A313" s="44"/>
      <c r="B313" s="45"/>
      <c r="C313" s="46">
        <f>IF(B313&lt;&gt;"",VLOOKUP(B313,'Tipo Projeto'!$A$3:$B$35,2,0),0)</f>
        <v>0</v>
      </c>
      <c r="D313" s="47"/>
      <c r="E313" s="47"/>
      <c r="F313" s="47"/>
      <c r="G313" s="48"/>
      <c r="H313" s="47"/>
      <c r="I313" s="76">
        <f t="shared" si="4"/>
        <v>0</v>
      </c>
      <c r="J313" s="47"/>
    </row>
    <row r="314" spans="1:10" s="56" customFormat="1" ht="14.25">
      <c r="A314" s="44"/>
      <c r="B314" s="45"/>
      <c r="C314" s="46">
        <f>IF(B314&lt;&gt;"",VLOOKUP(B314,'Tipo Projeto'!$A$3:$B$35,2,0),0)</f>
        <v>0</v>
      </c>
      <c r="D314" s="47"/>
      <c r="E314" s="47"/>
      <c r="F314" s="47"/>
      <c r="G314" s="48"/>
      <c r="H314" s="47"/>
      <c r="I314" s="76">
        <f t="shared" si="4"/>
        <v>0</v>
      </c>
      <c r="J314" s="47"/>
    </row>
    <row r="315" spans="1:10" s="56" customFormat="1" ht="14.25">
      <c r="A315" s="44"/>
      <c r="B315" s="45"/>
      <c r="C315" s="46">
        <f>IF(B315&lt;&gt;"",VLOOKUP(B315,'Tipo Projeto'!$A$3:$B$35,2,0),0)</f>
        <v>0</v>
      </c>
      <c r="D315" s="47"/>
      <c r="E315" s="47"/>
      <c r="F315" s="47"/>
      <c r="G315" s="48"/>
      <c r="H315" s="47"/>
      <c r="I315" s="76">
        <f t="shared" si="4"/>
        <v>0</v>
      </c>
      <c r="J315" s="47"/>
    </row>
    <row r="316" spans="1:10" s="56" customFormat="1" ht="14.25">
      <c r="A316" s="44"/>
      <c r="B316" s="45"/>
      <c r="C316" s="46">
        <f>IF(B316&lt;&gt;"",VLOOKUP(B316,'Tipo Projeto'!$A$3:$B$35,2,0),0)</f>
        <v>0</v>
      </c>
      <c r="D316" s="47"/>
      <c r="E316" s="47"/>
      <c r="F316" s="47"/>
      <c r="G316" s="48"/>
      <c r="H316" s="47"/>
      <c r="I316" s="76">
        <f t="shared" si="4"/>
        <v>0</v>
      </c>
      <c r="J316" s="47"/>
    </row>
    <row r="317" spans="1:10" s="56" customFormat="1" ht="14.25">
      <c r="A317" s="44"/>
      <c r="B317" s="45"/>
      <c r="C317" s="46">
        <f>IF(B317&lt;&gt;"",VLOOKUP(B317,'Tipo Projeto'!$A$3:$B$35,2,0),0)</f>
        <v>0</v>
      </c>
      <c r="D317" s="47"/>
      <c r="E317" s="47"/>
      <c r="F317" s="47"/>
      <c r="G317" s="48"/>
      <c r="H317" s="47"/>
      <c r="I317" s="76">
        <f t="shared" si="4"/>
        <v>0</v>
      </c>
      <c r="J317" s="47"/>
    </row>
    <row r="318" spans="1:10" s="56" customFormat="1" ht="14.25">
      <c r="A318" s="44"/>
      <c r="B318" s="45"/>
      <c r="C318" s="46">
        <f>IF(B318&lt;&gt;"",VLOOKUP(B318,'Tipo Projeto'!$A$3:$B$35,2,0),0)</f>
        <v>0</v>
      </c>
      <c r="D318" s="47"/>
      <c r="E318" s="47"/>
      <c r="F318" s="47"/>
      <c r="G318" s="48"/>
      <c r="H318" s="47"/>
      <c r="I318" s="76">
        <f t="shared" si="4"/>
        <v>0</v>
      </c>
      <c r="J318" s="47"/>
    </row>
    <row r="319" spans="1:10" s="56" customFormat="1" ht="14.25">
      <c r="A319" s="44"/>
      <c r="B319" s="45"/>
      <c r="C319" s="46">
        <f>IF(B319&lt;&gt;"",VLOOKUP(B319,'Tipo Projeto'!$A$3:$B$35,2,0),0)</f>
        <v>0</v>
      </c>
      <c r="D319" s="47"/>
      <c r="E319" s="47"/>
      <c r="F319" s="47"/>
      <c r="G319" s="48"/>
      <c r="H319" s="47"/>
      <c r="I319" s="76">
        <f t="shared" si="4"/>
        <v>0</v>
      </c>
      <c r="J319" s="47"/>
    </row>
    <row r="320" spans="1:10" s="56" customFormat="1" ht="14.25">
      <c r="A320" s="44"/>
      <c r="B320" s="45"/>
      <c r="C320" s="46">
        <f>IF(B320&lt;&gt;"",VLOOKUP(B320,'Tipo Projeto'!$A$3:$B$35,2,0),0)</f>
        <v>0</v>
      </c>
      <c r="D320" s="47"/>
      <c r="E320" s="47"/>
      <c r="F320" s="47"/>
      <c r="G320" s="48"/>
      <c r="H320" s="47"/>
      <c r="I320" s="76">
        <f t="shared" si="4"/>
        <v>0</v>
      </c>
      <c r="J320" s="47"/>
    </row>
    <row r="321" spans="1:10" s="56" customFormat="1" ht="14.25">
      <c r="A321" s="44"/>
      <c r="B321" s="45"/>
      <c r="C321" s="46">
        <f>IF(B321&lt;&gt;"",VLOOKUP(B321,'Tipo Projeto'!$A$3:$B$35,2,0),0)</f>
        <v>0</v>
      </c>
      <c r="D321" s="47"/>
      <c r="E321" s="47"/>
      <c r="F321" s="47"/>
      <c r="G321" s="48"/>
      <c r="H321" s="47"/>
      <c r="I321" s="76">
        <f t="shared" si="4"/>
        <v>0</v>
      </c>
      <c r="J321" s="47"/>
    </row>
    <row r="322" spans="1:10" s="56" customFormat="1" ht="14.25">
      <c r="A322" s="44"/>
      <c r="B322" s="45"/>
      <c r="C322" s="46">
        <f>IF(B322&lt;&gt;"",VLOOKUP(B322,'Tipo Projeto'!$A$3:$B$35,2,0),0)</f>
        <v>0</v>
      </c>
      <c r="D322" s="47"/>
      <c r="E322" s="47"/>
      <c r="F322" s="47"/>
      <c r="G322" s="48"/>
      <c r="H322" s="47"/>
      <c r="I322" s="76">
        <f t="shared" si="4"/>
        <v>0</v>
      </c>
      <c r="J322" s="47"/>
    </row>
    <row r="323" spans="1:10" s="56" customFormat="1" ht="14.25">
      <c r="A323" s="44"/>
      <c r="B323" s="45"/>
      <c r="C323" s="46">
        <f>IF(B323&lt;&gt;"",VLOOKUP(B323,'Tipo Projeto'!$A$3:$B$35,2,0),0)</f>
        <v>0</v>
      </c>
      <c r="D323" s="47"/>
      <c r="E323" s="47"/>
      <c r="F323" s="47"/>
      <c r="G323" s="48"/>
      <c r="H323" s="47"/>
      <c r="I323" s="76">
        <f t="shared" si="4"/>
        <v>0</v>
      </c>
      <c r="J323" s="47"/>
    </row>
    <row r="324" spans="1:10" s="56" customFormat="1" ht="14.25">
      <c r="A324" s="44"/>
      <c r="B324" s="45"/>
      <c r="C324" s="46">
        <f>IF(B324&lt;&gt;"",VLOOKUP(B324,'Tipo Projeto'!$A$3:$B$35,2,0),0)</f>
        <v>0</v>
      </c>
      <c r="D324" s="47"/>
      <c r="E324" s="47"/>
      <c r="F324" s="47"/>
      <c r="G324" s="48"/>
      <c r="H324" s="47"/>
      <c r="I324" s="76">
        <f t="shared" si="4"/>
        <v>0</v>
      </c>
      <c r="J324" s="47"/>
    </row>
    <row r="325" spans="1:10" s="56" customFormat="1" ht="14.25">
      <c r="A325" s="44"/>
      <c r="B325" s="45"/>
      <c r="C325" s="46">
        <f>IF(B325&lt;&gt;"",VLOOKUP(B325,'Tipo Projeto'!$A$3:$B$35,2,0),0)</f>
        <v>0</v>
      </c>
      <c r="D325" s="47"/>
      <c r="E325" s="47"/>
      <c r="F325" s="47"/>
      <c r="G325" s="48"/>
      <c r="H325" s="47"/>
      <c r="I325" s="76">
        <f t="shared" si="4"/>
        <v>0</v>
      </c>
      <c r="J325" s="47"/>
    </row>
    <row r="326" spans="1:10" s="56" customFormat="1" ht="14.25">
      <c r="A326" s="44"/>
      <c r="B326" s="45"/>
      <c r="C326" s="46">
        <f>IF(B326&lt;&gt;"",VLOOKUP(B326,'Tipo Projeto'!$A$3:$B$35,2,0),0)</f>
        <v>0</v>
      </c>
      <c r="D326" s="47"/>
      <c r="E326" s="47"/>
      <c r="F326" s="47"/>
      <c r="G326" s="48"/>
      <c r="H326" s="47"/>
      <c r="I326" s="76">
        <f t="shared" si="4"/>
        <v>0</v>
      </c>
      <c r="J326" s="47"/>
    </row>
    <row r="327" spans="1:10" s="56" customFormat="1" ht="14.25">
      <c r="A327" s="44"/>
      <c r="B327" s="45"/>
      <c r="C327" s="46">
        <f>IF(B327&lt;&gt;"",VLOOKUP(B327,'Tipo Projeto'!$A$3:$B$35,2,0),0)</f>
        <v>0</v>
      </c>
      <c r="D327" s="47"/>
      <c r="E327" s="47"/>
      <c r="F327" s="47"/>
      <c r="G327" s="48"/>
      <c r="H327" s="47"/>
      <c r="I327" s="76">
        <f t="shared" si="4"/>
        <v>0</v>
      </c>
      <c r="J327" s="47"/>
    </row>
    <row r="328" spans="1:10" s="56" customFormat="1" ht="14.25">
      <c r="A328" s="44"/>
      <c r="B328" s="45"/>
      <c r="C328" s="46">
        <f>IF(B328&lt;&gt;"",VLOOKUP(B328,'Tipo Projeto'!$A$3:$B$35,2,0),0)</f>
        <v>0</v>
      </c>
      <c r="D328" s="47"/>
      <c r="E328" s="47"/>
      <c r="F328" s="47"/>
      <c r="G328" s="48"/>
      <c r="H328" s="47"/>
      <c r="I328" s="76">
        <f t="shared" si="4"/>
        <v>0</v>
      </c>
      <c r="J328" s="47"/>
    </row>
    <row r="329" spans="1:10" s="56" customFormat="1" ht="14.25">
      <c r="A329" s="44"/>
      <c r="B329" s="45"/>
      <c r="C329" s="46">
        <f>IF(B329&lt;&gt;"",VLOOKUP(B329,'Tipo Projeto'!$A$3:$B$35,2,0),0)</f>
        <v>0</v>
      </c>
      <c r="D329" s="47"/>
      <c r="E329" s="47"/>
      <c r="F329" s="47"/>
      <c r="G329" s="48"/>
      <c r="H329" s="47"/>
      <c r="I329" s="76">
        <f t="shared" si="4"/>
        <v>0</v>
      </c>
      <c r="J329" s="47"/>
    </row>
    <row r="330" spans="1:10" s="56" customFormat="1" ht="14.25">
      <c r="A330" s="44"/>
      <c r="B330" s="45"/>
      <c r="C330" s="46">
        <f>IF(B330&lt;&gt;"",VLOOKUP(B330,'Tipo Projeto'!$A$3:$B$35,2,0),0)</f>
        <v>0</v>
      </c>
      <c r="D330" s="47"/>
      <c r="E330" s="47"/>
      <c r="F330" s="47"/>
      <c r="G330" s="48"/>
      <c r="H330" s="47"/>
      <c r="I330" s="76">
        <f t="shared" si="4"/>
        <v>0</v>
      </c>
      <c r="J330" s="47"/>
    </row>
    <row r="331" spans="1:10" s="56" customFormat="1" ht="14.25">
      <c r="A331" s="44"/>
      <c r="B331" s="45"/>
      <c r="C331" s="46">
        <f>IF(B331&lt;&gt;"",VLOOKUP(B331,'Tipo Projeto'!$A$3:$B$35,2,0),0)</f>
        <v>0</v>
      </c>
      <c r="D331" s="47"/>
      <c r="E331" s="47"/>
      <c r="F331" s="47"/>
      <c r="G331" s="48"/>
      <c r="H331" s="47"/>
      <c r="I331" s="76">
        <f t="shared" ref="I331:I382" si="5">IF(B331&lt;&gt;"Manutenção em interface",IF(B331&lt;&gt;"Desenv., Manutenção e Publicação de Páginas Estáticas",IF(H331="EE",4,IF(H331="CE",4,IF(H331="SE",5,IF(H331="ALI",7,IF(H331="AIE",5,0)))))*C331,C331),C331)</f>
        <v>0</v>
      </c>
      <c r="J331" s="47"/>
    </row>
    <row r="332" spans="1:10" s="56" customFormat="1" ht="14.25">
      <c r="A332" s="44"/>
      <c r="B332" s="45"/>
      <c r="C332" s="46">
        <f>IF(B332&lt;&gt;"",VLOOKUP(B332,'Tipo Projeto'!$A$3:$B$35,2,0),0)</f>
        <v>0</v>
      </c>
      <c r="D332" s="47"/>
      <c r="E332" s="47"/>
      <c r="F332" s="47"/>
      <c r="G332" s="48"/>
      <c r="H332" s="47"/>
      <c r="I332" s="76">
        <f t="shared" si="5"/>
        <v>0</v>
      </c>
      <c r="J332" s="47"/>
    </row>
    <row r="333" spans="1:10" s="56" customFormat="1" ht="14.25">
      <c r="A333" s="44"/>
      <c r="B333" s="45"/>
      <c r="C333" s="46">
        <f>IF(B333&lt;&gt;"",VLOOKUP(B333,'Tipo Projeto'!$A$3:$B$35,2,0),0)</f>
        <v>0</v>
      </c>
      <c r="D333" s="47"/>
      <c r="E333" s="47"/>
      <c r="F333" s="47"/>
      <c r="G333" s="48"/>
      <c r="H333" s="47"/>
      <c r="I333" s="76">
        <f t="shared" si="5"/>
        <v>0</v>
      </c>
      <c r="J333" s="47"/>
    </row>
    <row r="334" spans="1:10" s="56" customFormat="1" ht="14.25">
      <c r="A334" s="44"/>
      <c r="B334" s="45"/>
      <c r="C334" s="46">
        <f>IF(B334&lt;&gt;"",VLOOKUP(B334,'Tipo Projeto'!$A$3:$B$35,2,0),0)</f>
        <v>0</v>
      </c>
      <c r="D334" s="47"/>
      <c r="E334" s="47"/>
      <c r="F334" s="47"/>
      <c r="G334" s="48"/>
      <c r="H334" s="47"/>
      <c r="I334" s="76">
        <f t="shared" si="5"/>
        <v>0</v>
      </c>
      <c r="J334" s="47"/>
    </row>
    <row r="335" spans="1:10" s="56" customFormat="1" ht="14.25">
      <c r="A335" s="44"/>
      <c r="B335" s="45"/>
      <c r="C335" s="46">
        <f>IF(B335&lt;&gt;"",VLOOKUP(B335,'Tipo Projeto'!$A$3:$B$35,2,0),0)</f>
        <v>0</v>
      </c>
      <c r="D335" s="47"/>
      <c r="E335" s="47"/>
      <c r="F335" s="47"/>
      <c r="G335" s="48"/>
      <c r="H335" s="47"/>
      <c r="I335" s="76">
        <f t="shared" si="5"/>
        <v>0</v>
      </c>
      <c r="J335" s="47"/>
    </row>
    <row r="336" spans="1:10" s="56" customFormat="1" ht="14.25">
      <c r="A336" s="44"/>
      <c r="B336" s="45"/>
      <c r="C336" s="46">
        <f>IF(B336&lt;&gt;"",VLOOKUP(B336,'Tipo Projeto'!$A$3:$B$35,2,0),0)</f>
        <v>0</v>
      </c>
      <c r="D336" s="47"/>
      <c r="E336" s="47"/>
      <c r="F336" s="47"/>
      <c r="G336" s="48"/>
      <c r="H336" s="47"/>
      <c r="I336" s="76">
        <f t="shared" si="5"/>
        <v>0</v>
      </c>
      <c r="J336" s="47"/>
    </row>
    <row r="337" spans="1:10" s="56" customFormat="1" ht="14.25">
      <c r="A337" s="44"/>
      <c r="B337" s="45"/>
      <c r="C337" s="46">
        <f>IF(B337&lt;&gt;"",VLOOKUP(B337,'Tipo Projeto'!$A$3:$B$35,2,0),0)</f>
        <v>0</v>
      </c>
      <c r="D337" s="47"/>
      <c r="E337" s="47"/>
      <c r="F337" s="47"/>
      <c r="G337" s="48"/>
      <c r="H337" s="47"/>
      <c r="I337" s="76">
        <f t="shared" si="5"/>
        <v>0</v>
      </c>
      <c r="J337" s="47"/>
    </row>
    <row r="338" spans="1:10" s="56" customFormat="1" ht="14.25">
      <c r="A338" s="44"/>
      <c r="B338" s="45"/>
      <c r="C338" s="46">
        <f>IF(B338&lt;&gt;"",VLOOKUP(B338,'Tipo Projeto'!$A$3:$B$35,2,0),0)</f>
        <v>0</v>
      </c>
      <c r="D338" s="47"/>
      <c r="E338" s="47"/>
      <c r="F338" s="47"/>
      <c r="G338" s="48"/>
      <c r="H338" s="47"/>
      <c r="I338" s="76">
        <f t="shared" si="5"/>
        <v>0</v>
      </c>
      <c r="J338" s="47"/>
    </row>
    <row r="339" spans="1:10" s="56" customFormat="1" ht="14.25">
      <c r="A339" s="44"/>
      <c r="B339" s="45"/>
      <c r="C339" s="46">
        <f>IF(B339&lt;&gt;"",VLOOKUP(B339,'Tipo Projeto'!$A$3:$B$35,2,0),0)</f>
        <v>0</v>
      </c>
      <c r="D339" s="47"/>
      <c r="E339" s="47"/>
      <c r="F339" s="47"/>
      <c r="G339" s="48"/>
      <c r="H339" s="47"/>
      <c r="I339" s="76">
        <f t="shared" si="5"/>
        <v>0</v>
      </c>
      <c r="J339" s="47"/>
    </row>
    <row r="340" spans="1:10" s="56" customFormat="1" ht="14.25">
      <c r="A340" s="44"/>
      <c r="B340" s="45"/>
      <c r="C340" s="46">
        <f>IF(B340&lt;&gt;"",VLOOKUP(B340,'Tipo Projeto'!$A$3:$B$35,2,0),0)</f>
        <v>0</v>
      </c>
      <c r="D340" s="47"/>
      <c r="E340" s="47"/>
      <c r="F340" s="47"/>
      <c r="G340" s="48"/>
      <c r="H340" s="47"/>
      <c r="I340" s="76">
        <f t="shared" si="5"/>
        <v>0</v>
      </c>
      <c r="J340" s="47"/>
    </row>
    <row r="341" spans="1:10" s="56" customFormat="1" ht="14.25">
      <c r="A341" s="44"/>
      <c r="B341" s="45"/>
      <c r="C341" s="46">
        <f>IF(B341&lt;&gt;"",VLOOKUP(B341,'Tipo Projeto'!$A$3:$B$35,2,0),0)</f>
        <v>0</v>
      </c>
      <c r="D341" s="47"/>
      <c r="E341" s="47"/>
      <c r="F341" s="47"/>
      <c r="G341" s="48"/>
      <c r="H341" s="47"/>
      <c r="I341" s="76">
        <f t="shared" si="5"/>
        <v>0</v>
      </c>
      <c r="J341" s="47"/>
    </row>
    <row r="342" spans="1:10" s="56" customFormat="1" ht="14.25">
      <c r="A342" s="44"/>
      <c r="B342" s="45"/>
      <c r="C342" s="46">
        <f>IF(B342&lt;&gt;"",VLOOKUP(B342,'Tipo Projeto'!$A$3:$B$35,2,0),0)</f>
        <v>0</v>
      </c>
      <c r="D342" s="47"/>
      <c r="E342" s="47"/>
      <c r="F342" s="47"/>
      <c r="G342" s="48"/>
      <c r="H342" s="47"/>
      <c r="I342" s="76">
        <f t="shared" si="5"/>
        <v>0</v>
      </c>
      <c r="J342" s="47"/>
    </row>
    <row r="343" spans="1:10" s="56" customFormat="1" ht="14.25">
      <c r="A343" s="44"/>
      <c r="B343" s="45"/>
      <c r="C343" s="46">
        <f>IF(B343&lt;&gt;"",VLOOKUP(B343,'Tipo Projeto'!$A$3:$B$35,2,0),0)</f>
        <v>0</v>
      </c>
      <c r="D343" s="47"/>
      <c r="E343" s="47"/>
      <c r="F343" s="47"/>
      <c r="G343" s="48"/>
      <c r="H343" s="47"/>
      <c r="I343" s="76">
        <f t="shared" si="5"/>
        <v>0</v>
      </c>
      <c r="J343" s="47"/>
    </row>
    <row r="344" spans="1:10" s="56" customFormat="1" ht="14.25">
      <c r="A344" s="44"/>
      <c r="B344" s="45"/>
      <c r="C344" s="46">
        <f>IF(B344&lt;&gt;"",VLOOKUP(B344,'Tipo Projeto'!$A$3:$B$35,2,0),0)</f>
        <v>0</v>
      </c>
      <c r="D344" s="47"/>
      <c r="E344" s="47"/>
      <c r="F344" s="47"/>
      <c r="G344" s="48"/>
      <c r="H344" s="47"/>
      <c r="I344" s="76">
        <f t="shared" si="5"/>
        <v>0</v>
      </c>
      <c r="J344" s="47"/>
    </row>
    <row r="345" spans="1:10" s="56" customFormat="1" ht="14.25">
      <c r="A345" s="44"/>
      <c r="B345" s="45"/>
      <c r="C345" s="46">
        <f>IF(B345&lt;&gt;"",VLOOKUP(B345,'Tipo Projeto'!$A$3:$B$35,2,0),0)</f>
        <v>0</v>
      </c>
      <c r="D345" s="47"/>
      <c r="E345" s="47"/>
      <c r="F345" s="47"/>
      <c r="G345" s="48"/>
      <c r="H345" s="47"/>
      <c r="I345" s="76">
        <f t="shared" si="5"/>
        <v>0</v>
      </c>
      <c r="J345" s="47"/>
    </row>
    <row r="346" spans="1:10" s="56" customFormat="1" ht="14.25">
      <c r="A346" s="44"/>
      <c r="B346" s="45"/>
      <c r="C346" s="46">
        <f>IF(B346&lt;&gt;"",VLOOKUP(B346,'Tipo Projeto'!$A$3:$B$35,2,0),0)</f>
        <v>0</v>
      </c>
      <c r="D346" s="47"/>
      <c r="E346" s="47"/>
      <c r="F346" s="47"/>
      <c r="G346" s="48"/>
      <c r="H346" s="47"/>
      <c r="I346" s="76">
        <f t="shared" si="5"/>
        <v>0</v>
      </c>
      <c r="J346" s="47"/>
    </row>
    <row r="347" spans="1:10" s="56" customFormat="1" ht="14.25">
      <c r="A347" s="44"/>
      <c r="B347" s="45"/>
      <c r="C347" s="46">
        <f>IF(B347&lt;&gt;"",VLOOKUP(B347,'Tipo Projeto'!$A$3:$B$35,2,0),0)</f>
        <v>0</v>
      </c>
      <c r="D347" s="47"/>
      <c r="E347" s="47"/>
      <c r="F347" s="47"/>
      <c r="G347" s="48"/>
      <c r="H347" s="47"/>
      <c r="I347" s="76">
        <f t="shared" si="5"/>
        <v>0</v>
      </c>
      <c r="J347" s="47"/>
    </row>
    <row r="348" spans="1:10" s="56" customFormat="1" ht="14.25">
      <c r="A348" s="44"/>
      <c r="B348" s="45"/>
      <c r="C348" s="46">
        <f>IF(B348&lt;&gt;"",VLOOKUP(B348,'Tipo Projeto'!$A$3:$B$35,2,0),0)</f>
        <v>0</v>
      </c>
      <c r="D348" s="47"/>
      <c r="E348" s="47"/>
      <c r="F348" s="47"/>
      <c r="G348" s="48"/>
      <c r="H348" s="47"/>
      <c r="I348" s="76">
        <f t="shared" si="5"/>
        <v>0</v>
      </c>
      <c r="J348" s="47"/>
    </row>
    <row r="349" spans="1:10" s="56" customFormat="1" ht="14.25">
      <c r="A349" s="44"/>
      <c r="B349" s="45"/>
      <c r="C349" s="46">
        <f>IF(B349&lt;&gt;"",VLOOKUP(B349,'Tipo Projeto'!$A$3:$B$35,2,0),0)</f>
        <v>0</v>
      </c>
      <c r="D349" s="47"/>
      <c r="E349" s="47"/>
      <c r="F349" s="47"/>
      <c r="G349" s="48"/>
      <c r="H349" s="47"/>
      <c r="I349" s="76">
        <f t="shared" si="5"/>
        <v>0</v>
      </c>
      <c r="J349" s="47"/>
    </row>
    <row r="350" spans="1:10" s="56" customFormat="1" ht="14.25">
      <c r="A350" s="44"/>
      <c r="B350" s="45"/>
      <c r="C350" s="46">
        <f>IF(B350&lt;&gt;"",VLOOKUP(B350,'Tipo Projeto'!$A$3:$B$35,2,0),0)</f>
        <v>0</v>
      </c>
      <c r="D350" s="47"/>
      <c r="E350" s="47"/>
      <c r="F350" s="47"/>
      <c r="G350" s="48"/>
      <c r="H350" s="47"/>
      <c r="I350" s="76">
        <f t="shared" si="5"/>
        <v>0</v>
      </c>
      <c r="J350" s="47"/>
    </row>
    <row r="351" spans="1:10" s="56" customFormat="1" ht="14.25">
      <c r="A351" s="44"/>
      <c r="B351" s="45"/>
      <c r="C351" s="46">
        <f>IF(B351&lt;&gt;"",VLOOKUP(B351,'Tipo Projeto'!$A$3:$B$35,2,0),0)</f>
        <v>0</v>
      </c>
      <c r="D351" s="47"/>
      <c r="E351" s="47"/>
      <c r="F351" s="47"/>
      <c r="G351" s="48"/>
      <c r="H351" s="47"/>
      <c r="I351" s="76">
        <f t="shared" si="5"/>
        <v>0</v>
      </c>
      <c r="J351" s="47"/>
    </row>
    <row r="352" spans="1:10" s="56" customFormat="1" ht="14.25">
      <c r="A352" s="44"/>
      <c r="B352" s="45"/>
      <c r="C352" s="46">
        <f>IF(B352&lt;&gt;"",VLOOKUP(B352,'Tipo Projeto'!$A$3:$B$35,2,0),0)</f>
        <v>0</v>
      </c>
      <c r="D352" s="47"/>
      <c r="E352" s="47"/>
      <c r="F352" s="47"/>
      <c r="G352" s="48"/>
      <c r="H352" s="47"/>
      <c r="I352" s="76">
        <f t="shared" si="5"/>
        <v>0</v>
      </c>
      <c r="J352" s="47"/>
    </row>
    <row r="353" spans="1:10" s="56" customFormat="1" ht="14.25">
      <c r="A353" s="44"/>
      <c r="B353" s="45"/>
      <c r="C353" s="46">
        <f>IF(B353&lt;&gt;"",VLOOKUP(B353,'Tipo Projeto'!$A$3:$B$35,2,0),0)</f>
        <v>0</v>
      </c>
      <c r="D353" s="47"/>
      <c r="E353" s="47"/>
      <c r="F353" s="47"/>
      <c r="G353" s="48"/>
      <c r="H353" s="47"/>
      <c r="I353" s="76">
        <f t="shared" si="5"/>
        <v>0</v>
      </c>
      <c r="J353" s="47"/>
    </row>
    <row r="354" spans="1:10" s="56" customFormat="1" ht="14.25">
      <c r="A354" s="44"/>
      <c r="B354" s="45"/>
      <c r="C354" s="46">
        <f>IF(B354&lt;&gt;"",VLOOKUP(B354,'Tipo Projeto'!$A$3:$B$35,2,0),0)</f>
        <v>0</v>
      </c>
      <c r="D354" s="47"/>
      <c r="E354" s="47"/>
      <c r="F354" s="47"/>
      <c r="G354" s="48"/>
      <c r="H354" s="47"/>
      <c r="I354" s="76">
        <f t="shared" si="5"/>
        <v>0</v>
      </c>
      <c r="J354" s="47"/>
    </row>
    <row r="355" spans="1:10" s="56" customFormat="1" ht="14.25">
      <c r="A355" s="44"/>
      <c r="B355" s="45"/>
      <c r="C355" s="46">
        <f>IF(B355&lt;&gt;"",VLOOKUP(B355,'Tipo Projeto'!$A$3:$B$35,2,0),0)</f>
        <v>0</v>
      </c>
      <c r="D355" s="47"/>
      <c r="E355" s="47"/>
      <c r="F355" s="47"/>
      <c r="G355" s="48"/>
      <c r="H355" s="47"/>
      <c r="I355" s="76">
        <f t="shared" si="5"/>
        <v>0</v>
      </c>
      <c r="J355" s="47"/>
    </row>
    <row r="356" spans="1:10" s="56" customFormat="1" ht="14.25">
      <c r="A356" s="44"/>
      <c r="B356" s="45"/>
      <c r="C356" s="46">
        <f>IF(B356&lt;&gt;"",VLOOKUP(B356,'Tipo Projeto'!$A$3:$B$35,2,0),0)</f>
        <v>0</v>
      </c>
      <c r="D356" s="47"/>
      <c r="E356" s="47"/>
      <c r="F356" s="47"/>
      <c r="G356" s="48"/>
      <c r="H356" s="47"/>
      <c r="I356" s="76">
        <f t="shared" si="5"/>
        <v>0</v>
      </c>
      <c r="J356" s="47"/>
    </row>
    <row r="357" spans="1:10" s="56" customFormat="1" ht="14.25">
      <c r="A357" s="44"/>
      <c r="B357" s="45"/>
      <c r="C357" s="46">
        <f>IF(B357&lt;&gt;"",VLOOKUP(B357,'Tipo Projeto'!$A$3:$B$35,2,0),0)</f>
        <v>0</v>
      </c>
      <c r="D357" s="47"/>
      <c r="E357" s="47"/>
      <c r="F357" s="47"/>
      <c r="G357" s="48"/>
      <c r="H357" s="47"/>
      <c r="I357" s="76">
        <f t="shared" si="5"/>
        <v>0</v>
      </c>
      <c r="J357" s="47"/>
    </row>
    <row r="358" spans="1:10" s="56" customFormat="1" ht="14.25">
      <c r="A358" s="44"/>
      <c r="B358" s="45"/>
      <c r="C358" s="46">
        <f>IF(B358&lt;&gt;"",VLOOKUP(B358,'Tipo Projeto'!$A$3:$B$35,2,0),0)</f>
        <v>0</v>
      </c>
      <c r="D358" s="47"/>
      <c r="E358" s="47"/>
      <c r="F358" s="47"/>
      <c r="G358" s="48"/>
      <c r="H358" s="47"/>
      <c r="I358" s="76">
        <f t="shared" si="5"/>
        <v>0</v>
      </c>
      <c r="J358" s="47"/>
    </row>
    <row r="359" spans="1:10" s="56" customFormat="1" ht="14.25">
      <c r="A359" s="44"/>
      <c r="B359" s="45"/>
      <c r="C359" s="46">
        <f>IF(B359&lt;&gt;"",VLOOKUP(B359,'Tipo Projeto'!$A$3:$B$35,2,0),0)</f>
        <v>0</v>
      </c>
      <c r="D359" s="47"/>
      <c r="E359" s="47"/>
      <c r="F359" s="47"/>
      <c r="G359" s="48"/>
      <c r="H359" s="47"/>
      <c r="I359" s="76">
        <f t="shared" si="5"/>
        <v>0</v>
      </c>
      <c r="J359" s="47"/>
    </row>
    <row r="360" spans="1:10" s="56" customFormat="1" ht="14.25">
      <c r="A360" s="44"/>
      <c r="B360" s="45"/>
      <c r="C360" s="46">
        <f>IF(B360&lt;&gt;"",VLOOKUP(B360,'Tipo Projeto'!$A$3:$B$35,2,0),0)</f>
        <v>0</v>
      </c>
      <c r="D360" s="47"/>
      <c r="E360" s="47"/>
      <c r="F360" s="47"/>
      <c r="G360" s="48"/>
      <c r="H360" s="47"/>
      <c r="I360" s="76">
        <f t="shared" si="5"/>
        <v>0</v>
      </c>
      <c r="J360" s="47"/>
    </row>
    <row r="361" spans="1:10" s="56" customFormat="1" ht="14.25">
      <c r="A361" s="44"/>
      <c r="B361" s="45"/>
      <c r="C361" s="46">
        <f>IF(B361&lt;&gt;"",VLOOKUP(B361,'Tipo Projeto'!$A$3:$B$35,2,0),0)</f>
        <v>0</v>
      </c>
      <c r="D361" s="47"/>
      <c r="E361" s="47"/>
      <c r="F361" s="47"/>
      <c r="G361" s="48"/>
      <c r="H361" s="47"/>
      <c r="I361" s="76">
        <f t="shared" si="5"/>
        <v>0</v>
      </c>
      <c r="J361" s="47"/>
    </row>
    <row r="362" spans="1:10" s="56" customFormat="1" ht="14.25">
      <c r="A362" s="44"/>
      <c r="B362" s="45"/>
      <c r="C362" s="46">
        <f>IF(B362&lt;&gt;"",VLOOKUP(B362,'Tipo Projeto'!$A$3:$B$35,2,0),0)</f>
        <v>0</v>
      </c>
      <c r="D362" s="47"/>
      <c r="E362" s="47"/>
      <c r="F362" s="47"/>
      <c r="G362" s="48"/>
      <c r="H362" s="47"/>
      <c r="I362" s="76">
        <f t="shared" si="5"/>
        <v>0</v>
      </c>
      <c r="J362" s="47"/>
    </row>
    <row r="363" spans="1:10" s="56" customFormat="1" ht="14.25">
      <c r="A363" s="44"/>
      <c r="B363" s="45"/>
      <c r="C363" s="46">
        <f>IF(B363&lt;&gt;"",VLOOKUP(B363,'Tipo Projeto'!$A$3:$B$35,2,0),0)</f>
        <v>0</v>
      </c>
      <c r="D363" s="47"/>
      <c r="E363" s="47"/>
      <c r="F363" s="47"/>
      <c r="G363" s="48"/>
      <c r="H363" s="47"/>
      <c r="I363" s="76">
        <f t="shared" si="5"/>
        <v>0</v>
      </c>
      <c r="J363" s="47"/>
    </row>
    <row r="364" spans="1:10" s="56" customFormat="1" ht="14.25">
      <c r="A364" s="44"/>
      <c r="B364" s="45"/>
      <c r="C364" s="46">
        <f>IF(B364&lt;&gt;"",VLOOKUP(B364,'Tipo Projeto'!$A$3:$B$35,2,0),0)</f>
        <v>0</v>
      </c>
      <c r="D364" s="47"/>
      <c r="E364" s="47"/>
      <c r="F364" s="47"/>
      <c r="G364" s="48"/>
      <c r="H364" s="47"/>
      <c r="I364" s="76">
        <f t="shared" si="5"/>
        <v>0</v>
      </c>
      <c r="J364" s="47"/>
    </row>
    <row r="365" spans="1:10" s="56" customFormat="1" ht="14.25">
      <c r="A365" s="44"/>
      <c r="B365" s="45"/>
      <c r="C365" s="46">
        <f>IF(B365&lt;&gt;"",VLOOKUP(B365,'Tipo Projeto'!$A$3:$B$35,2,0),0)</f>
        <v>0</v>
      </c>
      <c r="D365" s="47"/>
      <c r="E365" s="47"/>
      <c r="F365" s="47"/>
      <c r="G365" s="48"/>
      <c r="H365" s="47"/>
      <c r="I365" s="76">
        <f t="shared" si="5"/>
        <v>0</v>
      </c>
      <c r="J365" s="47"/>
    </row>
    <row r="366" spans="1:10" s="56" customFormat="1" ht="14.25">
      <c r="A366" s="44"/>
      <c r="B366" s="45"/>
      <c r="C366" s="46">
        <f>IF(B366&lt;&gt;"",VLOOKUP(B366,'Tipo Projeto'!$A$3:$B$35,2,0),0)</f>
        <v>0</v>
      </c>
      <c r="D366" s="47"/>
      <c r="E366" s="47"/>
      <c r="F366" s="47"/>
      <c r="G366" s="48"/>
      <c r="H366" s="47"/>
      <c r="I366" s="76">
        <f t="shared" si="5"/>
        <v>0</v>
      </c>
      <c r="J366" s="47"/>
    </row>
    <row r="367" spans="1:10" s="56" customFormat="1" ht="14.25">
      <c r="A367" s="44"/>
      <c r="B367" s="45"/>
      <c r="C367" s="46">
        <f>IF(B367&lt;&gt;"",VLOOKUP(B367,'Tipo Projeto'!$A$3:$B$35,2,0),0)</f>
        <v>0</v>
      </c>
      <c r="D367" s="47"/>
      <c r="E367" s="47"/>
      <c r="F367" s="47"/>
      <c r="G367" s="48"/>
      <c r="H367" s="47"/>
      <c r="I367" s="76">
        <f t="shared" si="5"/>
        <v>0</v>
      </c>
      <c r="J367" s="47"/>
    </row>
    <row r="368" spans="1:10" s="56" customFormat="1" ht="14.25">
      <c r="A368" s="44"/>
      <c r="B368" s="45"/>
      <c r="C368" s="46">
        <f>IF(B368&lt;&gt;"",VLOOKUP(B368,'Tipo Projeto'!$A$3:$B$35,2,0),0)</f>
        <v>0</v>
      </c>
      <c r="D368" s="47"/>
      <c r="E368" s="47"/>
      <c r="F368" s="47"/>
      <c r="G368" s="48"/>
      <c r="H368" s="47"/>
      <c r="I368" s="76">
        <f t="shared" si="5"/>
        <v>0</v>
      </c>
      <c r="J368" s="47"/>
    </row>
    <row r="369" spans="1:10" s="56" customFormat="1" ht="14.25">
      <c r="A369" s="44"/>
      <c r="B369" s="45"/>
      <c r="C369" s="46">
        <f>IF(B369&lt;&gt;"",VLOOKUP(B369,'Tipo Projeto'!$A$3:$B$35,2,0),0)</f>
        <v>0</v>
      </c>
      <c r="D369" s="47"/>
      <c r="E369" s="47"/>
      <c r="F369" s="47"/>
      <c r="G369" s="48"/>
      <c r="H369" s="47"/>
      <c r="I369" s="76">
        <f t="shared" si="5"/>
        <v>0</v>
      </c>
      <c r="J369" s="47"/>
    </row>
    <row r="370" spans="1:10" s="56" customFormat="1" ht="14.25">
      <c r="A370" s="44"/>
      <c r="B370" s="45"/>
      <c r="C370" s="46">
        <f>IF(B370&lt;&gt;"",VLOOKUP(B370,'Tipo Projeto'!$A$3:$B$35,2,0),0)</f>
        <v>0</v>
      </c>
      <c r="D370" s="47"/>
      <c r="E370" s="47"/>
      <c r="F370" s="47"/>
      <c r="G370" s="48"/>
      <c r="H370" s="47"/>
      <c r="I370" s="76">
        <f t="shared" si="5"/>
        <v>0</v>
      </c>
      <c r="J370" s="47"/>
    </row>
    <row r="371" spans="1:10" s="56" customFormat="1" ht="14.25">
      <c r="A371" s="44"/>
      <c r="B371" s="45"/>
      <c r="C371" s="46">
        <f>IF(B371&lt;&gt;"",VLOOKUP(B371,'Tipo Projeto'!$A$3:$B$35,2,0),0)</f>
        <v>0</v>
      </c>
      <c r="D371" s="47"/>
      <c r="E371" s="47"/>
      <c r="F371" s="47"/>
      <c r="G371" s="48"/>
      <c r="H371" s="47"/>
      <c r="I371" s="76">
        <f t="shared" si="5"/>
        <v>0</v>
      </c>
      <c r="J371" s="47"/>
    </row>
    <row r="372" spans="1:10" s="56" customFormat="1" ht="14.25">
      <c r="A372" s="44"/>
      <c r="B372" s="45"/>
      <c r="C372" s="46">
        <f>IF(B372&lt;&gt;"",VLOOKUP(B372,'Tipo Projeto'!$A$3:$B$35,2,0),0)</f>
        <v>0</v>
      </c>
      <c r="D372" s="47"/>
      <c r="E372" s="47"/>
      <c r="F372" s="47"/>
      <c r="G372" s="48"/>
      <c r="H372" s="47"/>
      <c r="I372" s="76">
        <f t="shared" si="5"/>
        <v>0</v>
      </c>
      <c r="J372" s="47"/>
    </row>
    <row r="373" spans="1:10" s="56" customFormat="1" ht="14.25">
      <c r="A373" s="44"/>
      <c r="B373" s="45"/>
      <c r="C373" s="46">
        <f>IF(B373&lt;&gt;"",VLOOKUP(B373,'Tipo Projeto'!$A$3:$B$35,2,0),0)</f>
        <v>0</v>
      </c>
      <c r="D373" s="47"/>
      <c r="E373" s="47"/>
      <c r="F373" s="47"/>
      <c r="G373" s="48"/>
      <c r="H373" s="47"/>
      <c r="I373" s="76">
        <f t="shared" si="5"/>
        <v>0</v>
      </c>
      <c r="J373" s="47"/>
    </row>
    <row r="374" spans="1:10" s="56" customFormat="1" ht="14.25">
      <c r="A374" s="44"/>
      <c r="B374" s="45"/>
      <c r="C374" s="46">
        <f>IF(B374&lt;&gt;"",VLOOKUP(B374,'Tipo Projeto'!$A$3:$B$35,2,0),0)</f>
        <v>0</v>
      </c>
      <c r="D374" s="47"/>
      <c r="E374" s="47"/>
      <c r="F374" s="47"/>
      <c r="G374" s="48"/>
      <c r="H374" s="47"/>
      <c r="I374" s="76">
        <f t="shared" si="5"/>
        <v>0</v>
      </c>
      <c r="J374" s="47"/>
    </row>
    <row r="375" spans="1:10" s="56" customFormat="1" ht="14.25">
      <c r="A375" s="44"/>
      <c r="B375" s="45"/>
      <c r="C375" s="46">
        <f>IF(B375&lt;&gt;"",VLOOKUP(B375,'Tipo Projeto'!$A$3:$B$35,2,0),0)</f>
        <v>0</v>
      </c>
      <c r="D375" s="47"/>
      <c r="E375" s="47"/>
      <c r="F375" s="47"/>
      <c r="G375" s="48"/>
      <c r="H375" s="47"/>
      <c r="I375" s="76">
        <f t="shared" si="5"/>
        <v>0</v>
      </c>
      <c r="J375" s="47"/>
    </row>
    <row r="376" spans="1:10" s="56" customFormat="1" ht="14.25">
      <c r="A376" s="44"/>
      <c r="B376" s="45"/>
      <c r="C376" s="46">
        <f>IF(B376&lt;&gt;"",VLOOKUP(B376,'Tipo Projeto'!$A$3:$B$35,2,0),0)</f>
        <v>0</v>
      </c>
      <c r="D376" s="47"/>
      <c r="E376" s="47"/>
      <c r="F376" s="47"/>
      <c r="G376" s="48"/>
      <c r="H376" s="47"/>
      <c r="I376" s="76">
        <f t="shared" si="5"/>
        <v>0</v>
      </c>
      <c r="J376" s="47"/>
    </row>
    <row r="377" spans="1:10" s="56" customFormat="1" ht="14.25">
      <c r="A377" s="44"/>
      <c r="B377" s="45"/>
      <c r="C377" s="46">
        <f>IF(B377&lt;&gt;"",VLOOKUP(B377,'Tipo Projeto'!$A$3:$B$35,2,0),0)</f>
        <v>0</v>
      </c>
      <c r="D377" s="47"/>
      <c r="E377" s="47"/>
      <c r="F377" s="47"/>
      <c r="G377" s="48"/>
      <c r="H377" s="47"/>
      <c r="I377" s="76">
        <f t="shared" si="5"/>
        <v>0</v>
      </c>
      <c r="J377" s="47"/>
    </row>
    <row r="378" spans="1:10" s="56" customFormat="1" ht="14.25">
      <c r="A378" s="44"/>
      <c r="B378" s="45"/>
      <c r="C378" s="46">
        <f>IF(B378&lt;&gt;"",VLOOKUP(B378,'Tipo Projeto'!$A$3:$B$35,2,0),0)</f>
        <v>0</v>
      </c>
      <c r="D378" s="47"/>
      <c r="E378" s="47"/>
      <c r="F378" s="47"/>
      <c r="G378" s="48"/>
      <c r="H378" s="47"/>
      <c r="I378" s="76">
        <f t="shared" si="5"/>
        <v>0</v>
      </c>
      <c r="J378" s="47"/>
    </row>
    <row r="379" spans="1:10" s="56" customFormat="1" ht="14.25">
      <c r="A379" s="44"/>
      <c r="B379" s="45"/>
      <c r="C379" s="46">
        <f>IF(B379&lt;&gt;"",VLOOKUP(B379,'Tipo Projeto'!$A$3:$B$35,2,0),0)</f>
        <v>0</v>
      </c>
      <c r="D379" s="47"/>
      <c r="E379" s="47"/>
      <c r="F379" s="47"/>
      <c r="G379" s="48"/>
      <c r="H379" s="47"/>
      <c r="I379" s="76">
        <f t="shared" si="5"/>
        <v>0</v>
      </c>
      <c r="J379" s="47"/>
    </row>
    <row r="380" spans="1:10" s="56" customFormat="1" ht="14.25">
      <c r="A380" s="44"/>
      <c r="B380" s="45"/>
      <c r="C380" s="46">
        <f>IF(B380&lt;&gt;"",VLOOKUP(B380,'Tipo Projeto'!$A$3:$B$35,2,0),0)</f>
        <v>0</v>
      </c>
      <c r="D380" s="47"/>
      <c r="E380" s="47"/>
      <c r="F380" s="47"/>
      <c r="G380" s="48"/>
      <c r="H380" s="47"/>
      <c r="I380" s="76">
        <f t="shared" si="5"/>
        <v>0</v>
      </c>
      <c r="J380" s="47"/>
    </row>
    <row r="381" spans="1:10" s="56" customFormat="1" ht="14.25">
      <c r="A381" s="44"/>
      <c r="B381" s="45"/>
      <c r="C381" s="46">
        <f>IF(B381&lt;&gt;"",VLOOKUP(B381,'Tipo Projeto'!$A$3:$B$35,2,0),0)</f>
        <v>0</v>
      </c>
      <c r="D381" s="47"/>
      <c r="E381" s="47"/>
      <c r="F381" s="47"/>
      <c r="G381" s="48"/>
      <c r="H381" s="47"/>
      <c r="I381" s="76">
        <f t="shared" si="5"/>
        <v>0</v>
      </c>
      <c r="J381" s="47"/>
    </row>
    <row r="382" spans="1:10" s="56" customFormat="1" ht="14.25">
      <c r="A382" s="44"/>
      <c r="B382" s="45"/>
      <c r="C382" s="46">
        <f>IF(B382&lt;&gt;"",VLOOKUP(B382,'Tipo Projeto'!$A$3:$B$35,2,0),0)</f>
        <v>0</v>
      </c>
      <c r="D382" s="47"/>
      <c r="E382" s="47"/>
      <c r="F382" s="47"/>
      <c r="G382" s="48"/>
      <c r="H382" s="47"/>
      <c r="I382" s="76">
        <f t="shared" si="5"/>
        <v>0</v>
      </c>
      <c r="J382" s="47"/>
    </row>
    <row r="383" spans="1:10" s="56" customFormat="1" ht="14.25">
      <c r="A383" s="233" t="s">
        <v>66</v>
      </c>
      <c r="B383" s="233"/>
      <c r="C383" s="233"/>
      <c r="D383" s="233"/>
      <c r="E383" s="233"/>
      <c r="F383" s="233"/>
      <c r="G383" s="233"/>
      <c r="H383" s="233"/>
      <c r="I383" s="233"/>
      <c r="J383" s="233"/>
    </row>
    <row r="384" spans="1:10" ht="12.95" customHeight="1">
      <c r="A384" s="66"/>
      <c r="D384" s="68"/>
      <c r="E384" s="68"/>
      <c r="F384" s="68"/>
      <c r="G384" s="249" t="s">
        <v>81</v>
      </c>
      <c r="H384" s="249"/>
      <c r="I384" s="71">
        <f>SUM(I10:I383)</f>
        <v>0</v>
      </c>
    </row>
  </sheetData>
  <mergeCells count="20">
    <mergeCell ref="E8:E9"/>
    <mergeCell ref="A383:J383"/>
    <mergeCell ref="C1:J1"/>
    <mergeCell ref="A2:B2"/>
    <mergeCell ref="H3:J3"/>
    <mergeCell ref="H4:J4"/>
    <mergeCell ref="A5:B6"/>
    <mergeCell ref="C5:D6"/>
    <mergeCell ref="H5:J5"/>
    <mergeCell ref="H6:J6"/>
    <mergeCell ref="G384:H384"/>
    <mergeCell ref="F8:F9"/>
    <mergeCell ref="G8:G9"/>
    <mergeCell ref="H8:I8"/>
    <mergeCell ref="J8:J9"/>
    <mergeCell ref="A10:J10"/>
    <mergeCell ref="A8:A9"/>
    <mergeCell ref="B8:B9"/>
    <mergeCell ref="C8:C9"/>
    <mergeCell ref="D8:D9"/>
  </mergeCells>
  <conditionalFormatting sqref="H11:H382">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382">
      <formula1>"-------,EE,SE,CE,ALI,AIE"</formula1>
      <formula2>0</formula2>
    </dataValidation>
    <dataValidation type="list" allowBlank="1" showInputMessage="1" showErrorMessage="1" sqref="B11:B382">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X405"/>
  <sheetViews>
    <sheetView showGridLines="0" zoomScale="85" zoomScaleNormal="85" workbookViewId="0">
      <selection activeCell="C11" sqref="C11"/>
    </sheetView>
  </sheetViews>
  <sheetFormatPr defaultColWidth="8.85546875" defaultRowHeight="12.75"/>
  <cols>
    <col min="1" max="1" width="0.85546875" style="16" customWidth="1" collapsed="1"/>
    <col min="2" max="2" width="4.5703125" style="15" customWidth="1" collapsed="1"/>
    <col min="3" max="3" width="34.140625" style="17" customWidth="1" collapsed="1"/>
    <col min="4" max="4" width="14.42578125" style="17" hidden="1" customWidth="1" collapsed="1"/>
    <col min="5" max="5" width="10.140625" style="17" customWidth="1" collapsed="1"/>
    <col min="6" max="6" width="7.85546875" style="17" customWidth="1" collapsed="1"/>
    <col min="7" max="7" width="15.5703125" style="17" customWidth="1" collapsed="1"/>
    <col min="8" max="8" width="19.5703125" style="17" customWidth="1" collapsed="1"/>
    <col min="9" max="9" width="44" style="18" customWidth="1" collapsed="1"/>
    <col min="10" max="10" width="11.5703125" style="15" customWidth="1" collapsed="1"/>
    <col min="11" max="11" width="9.42578125" style="16" customWidth="1" collapsed="1"/>
    <col min="12" max="12" width="8.42578125" style="16" customWidth="1" collapsed="1"/>
    <col min="13" max="14" width="9.140625" style="16" customWidth="1" collapsed="1"/>
    <col min="15" max="15" width="9.5703125" style="16" customWidth="1" collapsed="1"/>
    <col min="16" max="24" width="9.140625" style="16" customWidth="1" collapsed="1"/>
    <col min="25" max="16384" width="8.85546875" style="16"/>
  </cols>
  <sheetData>
    <row r="1" spans="2:22" ht="69" customHeight="1">
      <c r="B1" s="2" t="s">
        <v>82</v>
      </c>
      <c r="C1" s="81"/>
      <c r="D1" s="81"/>
      <c r="E1" s="81"/>
      <c r="F1" s="81"/>
      <c r="G1" s="230" t="s">
        <v>83</v>
      </c>
      <c r="H1" s="230"/>
      <c r="I1" s="230"/>
      <c r="J1" s="230"/>
      <c r="K1" s="230"/>
      <c r="L1" s="230"/>
      <c r="M1" s="82"/>
      <c r="N1" s="82"/>
      <c r="O1" s="78"/>
      <c r="P1" s="78"/>
      <c r="Q1" s="78"/>
      <c r="R1" s="78"/>
      <c r="S1" s="78"/>
      <c r="T1" s="78"/>
      <c r="U1" s="78"/>
      <c r="V1" s="79"/>
    </row>
    <row r="2" spans="2:22" ht="9" customHeight="1">
      <c r="B2" s="80"/>
      <c r="C2" s="32"/>
      <c r="D2" s="32"/>
      <c r="E2" s="32"/>
      <c r="F2" s="32"/>
      <c r="G2" s="32"/>
      <c r="H2" s="32"/>
      <c r="I2" s="32"/>
      <c r="J2" s="32"/>
      <c r="K2" s="32"/>
      <c r="L2" s="32"/>
      <c r="M2" s="32"/>
    </row>
    <row r="3" spans="2:22" ht="18.600000000000001" customHeight="1">
      <c r="B3" s="251" t="s">
        <v>84</v>
      </c>
      <c r="C3" s="251"/>
      <c r="D3" s="257" t="str">
        <f>TEXT(J404,"#.##0,0#")</f>
        <v>0,0</v>
      </c>
      <c r="E3" s="257"/>
      <c r="F3" s="22"/>
      <c r="G3" s="22"/>
      <c r="H3" s="22"/>
      <c r="I3" s="27" t="s">
        <v>7</v>
      </c>
      <c r="J3" s="224"/>
      <c r="K3" s="224"/>
      <c r="L3" s="224"/>
    </row>
    <row r="4" spans="2:22" ht="18.600000000000001" customHeight="1">
      <c r="B4" s="251"/>
      <c r="C4" s="251"/>
      <c r="D4" s="257"/>
      <c r="E4" s="257"/>
      <c r="F4" s="22"/>
      <c r="G4" s="22"/>
      <c r="H4" s="22"/>
      <c r="I4" s="27" t="s">
        <v>8</v>
      </c>
      <c r="J4" s="225"/>
      <c r="K4" s="225"/>
      <c r="L4" s="225"/>
    </row>
    <row r="5" spans="2:22" ht="18.600000000000001" customHeight="1">
      <c r="B5" s="251" t="s">
        <v>85</v>
      </c>
      <c r="C5" s="251"/>
      <c r="D5" s="257" t="str">
        <f>TEXT(K404,"#.##0,0#")</f>
        <v>0,0</v>
      </c>
      <c r="E5" s="257"/>
      <c r="F5" s="22"/>
      <c r="G5" s="22"/>
      <c r="H5" s="22"/>
      <c r="I5" s="27" t="s">
        <v>9</v>
      </c>
      <c r="J5" s="224"/>
      <c r="K5" s="224"/>
      <c r="L5" s="224"/>
    </row>
    <row r="6" spans="2:22" ht="18.600000000000001" customHeight="1">
      <c r="B6" s="251"/>
      <c r="C6" s="251"/>
      <c r="D6" s="257"/>
      <c r="E6" s="257"/>
      <c r="F6" s="22"/>
      <c r="G6" s="22"/>
      <c r="H6" s="22"/>
      <c r="I6" s="27" t="s">
        <v>10</v>
      </c>
      <c r="J6" s="225"/>
      <c r="K6" s="225"/>
      <c r="L6" s="225"/>
    </row>
    <row r="7" spans="2:22" ht="9" customHeight="1">
      <c r="B7" s="83"/>
      <c r="C7" s="83"/>
      <c r="D7" s="83"/>
      <c r="E7" s="83"/>
      <c r="F7" s="83"/>
      <c r="G7" s="83"/>
      <c r="H7" s="83"/>
      <c r="I7" s="84"/>
      <c r="J7" s="84"/>
      <c r="K7" s="84"/>
      <c r="L7" s="84"/>
    </row>
    <row r="8" spans="2:22" s="38" customFormat="1" ht="26.45" customHeight="1">
      <c r="B8" s="226" t="s">
        <v>43</v>
      </c>
      <c r="C8" s="223" t="s">
        <v>86</v>
      </c>
      <c r="D8" s="85" t="s">
        <v>52</v>
      </c>
      <c r="E8" s="235" t="s">
        <v>87</v>
      </c>
      <c r="F8" s="235" t="s">
        <v>70</v>
      </c>
      <c r="G8" s="235" t="s">
        <v>47</v>
      </c>
      <c r="H8" s="235"/>
      <c r="I8" s="229" t="s">
        <v>88</v>
      </c>
      <c r="J8" s="256" t="s">
        <v>72</v>
      </c>
      <c r="K8" s="256"/>
      <c r="L8" s="256" t="s">
        <v>73</v>
      </c>
    </row>
    <row r="9" spans="2:22" s="43" customFormat="1" ht="15.75">
      <c r="B9" s="226"/>
      <c r="C9" s="223"/>
      <c r="D9" s="34"/>
      <c r="E9" s="235"/>
      <c r="F9" s="235"/>
      <c r="G9" s="235"/>
      <c r="H9" s="235"/>
      <c r="I9" s="229"/>
      <c r="J9" s="35" t="s">
        <v>26</v>
      </c>
      <c r="K9" s="35" t="s">
        <v>53</v>
      </c>
      <c r="L9" s="256"/>
    </row>
    <row r="10" spans="2:22" s="56" customFormat="1" ht="14.25">
      <c r="B10" s="233" t="s">
        <v>77</v>
      </c>
      <c r="C10" s="233"/>
      <c r="D10" s="233"/>
      <c r="E10" s="233"/>
      <c r="F10" s="233"/>
      <c r="G10" s="233"/>
      <c r="H10" s="233"/>
      <c r="I10" s="233"/>
      <c r="J10" s="233"/>
      <c r="K10" s="233"/>
      <c r="L10" s="233"/>
    </row>
    <row r="11" spans="2:22" s="56" customFormat="1" ht="24" customHeight="1">
      <c r="B11" s="44"/>
      <c r="C11" s="47"/>
      <c r="D11" s="86"/>
      <c r="E11" s="86"/>
      <c r="F11" s="86"/>
      <c r="G11" s="253"/>
      <c r="H11" s="253"/>
      <c r="I11" s="48"/>
      <c r="J11" s="76" t="str">
        <f t="shared" ref="J11:J74" si="0">IF($C11&lt;&gt;"",$E11*1.5,"")</f>
        <v/>
      </c>
      <c r="K11" s="87" t="str">
        <f t="shared" ref="K11:K74" si="1">IFERROR($J11/10,"")</f>
        <v/>
      </c>
      <c r="L11" s="47"/>
    </row>
    <row r="12" spans="2:22" s="56" customFormat="1" ht="14.1" customHeight="1">
      <c r="B12" s="44"/>
      <c r="C12" s="47"/>
      <c r="D12" s="86"/>
      <c r="E12" s="86"/>
      <c r="F12" s="86"/>
      <c r="G12" s="253" t="s">
        <v>89</v>
      </c>
      <c r="H12" s="253"/>
      <c r="I12" s="48"/>
      <c r="J12" s="76" t="str">
        <f t="shared" si="0"/>
        <v/>
      </c>
      <c r="K12" s="87" t="str">
        <f t="shared" si="1"/>
        <v/>
      </c>
      <c r="L12" s="47"/>
    </row>
    <row r="13" spans="2:22" s="56" customFormat="1" ht="14.25">
      <c r="B13" s="44"/>
      <c r="C13" s="47"/>
      <c r="D13" s="86"/>
      <c r="E13" s="86"/>
      <c r="F13" s="86"/>
      <c r="G13" s="253"/>
      <c r="H13" s="253"/>
      <c r="I13" s="48"/>
      <c r="J13" s="76" t="str">
        <f t="shared" si="0"/>
        <v/>
      </c>
      <c r="K13" s="87" t="str">
        <f t="shared" si="1"/>
        <v/>
      </c>
      <c r="L13" s="47"/>
    </row>
    <row r="14" spans="2:22" s="56" customFormat="1" ht="14.25">
      <c r="B14" s="44"/>
      <c r="C14" s="47"/>
      <c r="D14" s="86"/>
      <c r="E14" s="86"/>
      <c r="F14" s="86"/>
      <c r="G14" s="253"/>
      <c r="H14" s="253"/>
      <c r="I14" s="48"/>
      <c r="J14" s="76" t="str">
        <f t="shared" si="0"/>
        <v/>
      </c>
      <c r="K14" s="87" t="str">
        <f t="shared" si="1"/>
        <v/>
      </c>
      <c r="L14" s="47"/>
    </row>
    <row r="15" spans="2:22" s="56" customFormat="1" ht="14.25">
      <c r="B15" s="44"/>
      <c r="C15" s="47"/>
      <c r="D15" s="86"/>
      <c r="E15" s="86"/>
      <c r="F15" s="86"/>
      <c r="G15" s="253"/>
      <c r="H15" s="253"/>
      <c r="I15" s="48"/>
      <c r="J15" s="76" t="str">
        <f t="shared" si="0"/>
        <v/>
      </c>
      <c r="K15" s="87" t="str">
        <f t="shared" si="1"/>
        <v/>
      </c>
      <c r="L15" s="47"/>
    </row>
    <row r="16" spans="2:22" s="56" customFormat="1" ht="14.25">
      <c r="B16" s="44"/>
      <c r="C16" s="47"/>
      <c r="D16" s="86"/>
      <c r="E16" s="86"/>
      <c r="F16" s="86"/>
      <c r="G16" s="253"/>
      <c r="H16" s="253"/>
      <c r="I16" s="48"/>
      <c r="J16" s="76" t="str">
        <f t="shared" si="0"/>
        <v/>
      </c>
      <c r="K16" s="87" t="str">
        <f t="shared" si="1"/>
        <v/>
      </c>
      <c r="L16" s="47"/>
    </row>
    <row r="17" spans="2:12" s="56" customFormat="1" ht="14.25">
      <c r="B17" s="44"/>
      <c r="C17" s="47"/>
      <c r="D17" s="86"/>
      <c r="E17" s="86"/>
      <c r="F17" s="86"/>
      <c r="G17" s="253"/>
      <c r="H17" s="253"/>
      <c r="I17" s="48"/>
      <c r="J17" s="76" t="str">
        <f t="shared" si="0"/>
        <v/>
      </c>
      <c r="K17" s="87" t="str">
        <f t="shared" si="1"/>
        <v/>
      </c>
      <c r="L17" s="47"/>
    </row>
    <row r="18" spans="2:12" s="56" customFormat="1" ht="14.25">
      <c r="B18" s="44"/>
      <c r="C18" s="47"/>
      <c r="D18" s="86"/>
      <c r="E18" s="86"/>
      <c r="F18" s="86"/>
      <c r="G18" s="253"/>
      <c r="H18" s="253"/>
      <c r="I18" s="48"/>
      <c r="J18" s="76" t="str">
        <f t="shared" si="0"/>
        <v/>
      </c>
      <c r="K18" s="87" t="str">
        <f t="shared" si="1"/>
        <v/>
      </c>
      <c r="L18" s="47"/>
    </row>
    <row r="19" spans="2:12" s="56" customFormat="1" ht="14.25">
      <c r="B19" s="44"/>
      <c r="C19" s="47"/>
      <c r="D19" s="86"/>
      <c r="E19" s="86"/>
      <c r="F19" s="86"/>
      <c r="G19" s="253"/>
      <c r="H19" s="253"/>
      <c r="I19" s="48"/>
      <c r="J19" s="76" t="str">
        <f t="shared" si="0"/>
        <v/>
      </c>
      <c r="K19" s="87" t="str">
        <f t="shared" si="1"/>
        <v/>
      </c>
      <c r="L19" s="47"/>
    </row>
    <row r="20" spans="2:12" s="56" customFormat="1" ht="14.25">
      <c r="B20" s="44"/>
      <c r="C20" s="47"/>
      <c r="D20" s="86"/>
      <c r="E20" s="86"/>
      <c r="F20" s="86"/>
      <c r="G20" s="253"/>
      <c r="H20" s="253"/>
      <c r="I20" s="48"/>
      <c r="J20" s="76" t="str">
        <f t="shared" si="0"/>
        <v/>
      </c>
      <c r="K20" s="87" t="str">
        <f t="shared" si="1"/>
        <v/>
      </c>
      <c r="L20" s="47"/>
    </row>
    <row r="21" spans="2:12" s="56" customFormat="1" ht="14.25">
      <c r="B21" s="44"/>
      <c r="C21" s="47"/>
      <c r="D21" s="86"/>
      <c r="E21" s="86"/>
      <c r="F21" s="86"/>
      <c r="G21" s="253"/>
      <c r="H21" s="253"/>
      <c r="I21" s="48"/>
      <c r="J21" s="76" t="str">
        <f t="shared" si="0"/>
        <v/>
      </c>
      <c r="K21" s="87" t="str">
        <f t="shared" si="1"/>
        <v/>
      </c>
      <c r="L21" s="47"/>
    </row>
    <row r="22" spans="2:12" s="56" customFormat="1" ht="14.25">
      <c r="B22" s="44"/>
      <c r="C22" s="47"/>
      <c r="D22" s="86"/>
      <c r="E22" s="86"/>
      <c r="F22" s="86"/>
      <c r="G22" s="253"/>
      <c r="H22" s="253"/>
      <c r="I22" s="48"/>
      <c r="J22" s="76" t="str">
        <f t="shared" si="0"/>
        <v/>
      </c>
      <c r="K22" s="87" t="str">
        <f t="shared" si="1"/>
        <v/>
      </c>
      <c r="L22" s="47"/>
    </row>
    <row r="23" spans="2:12" s="56" customFormat="1" ht="14.25">
      <c r="B23" s="44"/>
      <c r="C23" s="47"/>
      <c r="D23" s="86"/>
      <c r="E23" s="86"/>
      <c r="F23" s="86"/>
      <c r="G23" s="253"/>
      <c r="H23" s="253"/>
      <c r="I23" s="48"/>
      <c r="J23" s="76" t="str">
        <f t="shared" si="0"/>
        <v/>
      </c>
      <c r="K23" s="87" t="str">
        <f t="shared" si="1"/>
        <v/>
      </c>
      <c r="L23" s="47"/>
    </row>
    <row r="24" spans="2:12" s="56" customFormat="1" ht="14.25">
      <c r="B24" s="44"/>
      <c r="C24" s="47"/>
      <c r="D24" s="86"/>
      <c r="E24" s="86"/>
      <c r="F24" s="86"/>
      <c r="G24" s="253"/>
      <c r="H24" s="253"/>
      <c r="I24" s="48"/>
      <c r="J24" s="76" t="str">
        <f t="shared" si="0"/>
        <v/>
      </c>
      <c r="K24" s="87" t="str">
        <f t="shared" si="1"/>
        <v/>
      </c>
      <c r="L24" s="47"/>
    </row>
    <row r="25" spans="2:12" s="56" customFormat="1" ht="14.25">
      <c r="B25" s="44"/>
      <c r="C25" s="47"/>
      <c r="D25" s="86"/>
      <c r="E25" s="86"/>
      <c r="F25" s="86"/>
      <c r="G25" s="253"/>
      <c r="H25" s="253"/>
      <c r="I25" s="48"/>
      <c r="J25" s="76" t="str">
        <f t="shared" si="0"/>
        <v/>
      </c>
      <c r="K25" s="87" t="str">
        <f t="shared" si="1"/>
        <v/>
      </c>
      <c r="L25" s="47"/>
    </row>
    <row r="26" spans="2:12" s="56" customFormat="1" ht="14.25">
      <c r="B26" s="44"/>
      <c r="C26" s="47"/>
      <c r="D26" s="86"/>
      <c r="E26" s="86"/>
      <c r="F26" s="86"/>
      <c r="G26" s="253"/>
      <c r="H26" s="253"/>
      <c r="I26" s="48"/>
      <c r="J26" s="76" t="str">
        <f t="shared" si="0"/>
        <v/>
      </c>
      <c r="K26" s="87" t="str">
        <f t="shared" si="1"/>
        <v/>
      </c>
      <c r="L26" s="47"/>
    </row>
    <row r="27" spans="2:12" s="56" customFormat="1" ht="14.25">
      <c r="B27" s="44"/>
      <c r="C27" s="47"/>
      <c r="D27" s="86"/>
      <c r="E27" s="86"/>
      <c r="F27" s="86"/>
      <c r="G27" s="253"/>
      <c r="H27" s="253"/>
      <c r="I27" s="48"/>
      <c r="J27" s="76" t="str">
        <f t="shared" si="0"/>
        <v/>
      </c>
      <c r="K27" s="87" t="str">
        <f t="shared" si="1"/>
        <v/>
      </c>
      <c r="L27" s="47"/>
    </row>
    <row r="28" spans="2:12" s="56" customFormat="1" ht="14.25">
      <c r="B28" s="44"/>
      <c r="C28" s="47"/>
      <c r="D28" s="86"/>
      <c r="E28" s="86"/>
      <c r="F28" s="86"/>
      <c r="G28" s="253"/>
      <c r="H28" s="253"/>
      <c r="I28" s="48"/>
      <c r="J28" s="76" t="str">
        <f t="shared" si="0"/>
        <v/>
      </c>
      <c r="K28" s="87" t="str">
        <f t="shared" si="1"/>
        <v/>
      </c>
      <c r="L28" s="47"/>
    </row>
    <row r="29" spans="2:12" s="56" customFormat="1" ht="14.25">
      <c r="B29" s="44"/>
      <c r="C29" s="47"/>
      <c r="D29" s="86"/>
      <c r="E29" s="86"/>
      <c r="F29" s="86"/>
      <c r="G29" s="253"/>
      <c r="H29" s="253"/>
      <c r="I29" s="88"/>
      <c r="J29" s="76" t="str">
        <f t="shared" si="0"/>
        <v/>
      </c>
      <c r="K29" s="87" t="str">
        <f t="shared" si="1"/>
        <v/>
      </c>
      <c r="L29" s="47"/>
    </row>
    <row r="30" spans="2:12" s="56" customFormat="1" ht="14.25">
      <c r="B30" s="44"/>
      <c r="C30" s="47"/>
      <c r="D30" s="86"/>
      <c r="E30" s="86"/>
      <c r="F30" s="86"/>
      <c r="G30" s="253"/>
      <c r="H30" s="253"/>
      <c r="I30" s="88"/>
      <c r="J30" s="76" t="str">
        <f t="shared" si="0"/>
        <v/>
      </c>
      <c r="K30" s="87" t="str">
        <f t="shared" si="1"/>
        <v/>
      </c>
      <c r="L30" s="47"/>
    </row>
    <row r="31" spans="2:12" s="56" customFormat="1" ht="14.25">
      <c r="B31" s="44"/>
      <c r="C31" s="47"/>
      <c r="D31" s="86"/>
      <c r="E31" s="86"/>
      <c r="F31" s="86"/>
      <c r="G31" s="253"/>
      <c r="H31" s="253"/>
      <c r="I31" s="48"/>
      <c r="J31" s="76" t="str">
        <f t="shared" si="0"/>
        <v/>
      </c>
      <c r="K31" s="87" t="str">
        <f t="shared" si="1"/>
        <v/>
      </c>
      <c r="L31" s="47"/>
    </row>
    <row r="32" spans="2:12" s="56" customFormat="1" ht="14.25">
      <c r="B32" s="44"/>
      <c r="C32" s="47"/>
      <c r="D32" s="86"/>
      <c r="E32" s="86"/>
      <c r="F32" s="86"/>
      <c r="G32" s="253"/>
      <c r="H32" s="253"/>
      <c r="I32" s="48"/>
      <c r="J32" s="76" t="str">
        <f t="shared" si="0"/>
        <v/>
      </c>
      <c r="K32" s="87" t="str">
        <f t="shared" si="1"/>
        <v/>
      </c>
      <c r="L32" s="47"/>
    </row>
    <row r="33" spans="2:12" s="56" customFormat="1" ht="14.25">
      <c r="B33" s="44"/>
      <c r="C33" s="47"/>
      <c r="D33" s="86"/>
      <c r="E33" s="86"/>
      <c r="F33" s="86"/>
      <c r="G33" s="253"/>
      <c r="H33" s="253"/>
      <c r="I33" s="48"/>
      <c r="J33" s="76" t="str">
        <f t="shared" si="0"/>
        <v/>
      </c>
      <c r="K33" s="87" t="str">
        <f t="shared" si="1"/>
        <v/>
      </c>
      <c r="L33" s="47"/>
    </row>
    <row r="34" spans="2:12" s="56" customFormat="1" ht="14.25">
      <c r="B34" s="44"/>
      <c r="C34" s="47"/>
      <c r="D34" s="86"/>
      <c r="E34" s="86"/>
      <c r="F34" s="86"/>
      <c r="G34" s="253"/>
      <c r="H34" s="253"/>
      <c r="I34" s="48"/>
      <c r="J34" s="76" t="str">
        <f t="shared" si="0"/>
        <v/>
      </c>
      <c r="K34" s="87" t="str">
        <f t="shared" si="1"/>
        <v/>
      </c>
      <c r="L34" s="47"/>
    </row>
    <row r="35" spans="2:12" s="56" customFormat="1" ht="14.25">
      <c r="B35" s="44"/>
      <c r="C35" s="47"/>
      <c r="D35" s="86"/>
      <c r="E35" s="86"/>
      <c r="F35" s="86"/>
      <c r="G35" s="253"/>
      <c r="H35" s="253"/>
      <c r="I35" s="48"/>
      <c r="J35" s="76" t="str">
        <f t="shared" si="0"/>
        <v/>
      </c>
      <c r="K35" s="87" t="str">
        <f t="shared" si="1"/>
        <v/>
      </c>
      <c r="L35" s="47"/>
    </row>
    <row r="36" spans="2:12" s="56" customFormat="1" ht="14.25">
      <c r="B36" s="44"/>
      <c r="C36" s="47"/>
      <c r="D36" s="86"/>
      <c r="E36" s="86"/>
      <c r="F36" s="86"/>
      <c r="G36" s="253"/>
      <c r="H36" s="253"/>
      <c r="I36" s="48"/>
      <c r="J36" s="76" t="str">
        <f t="shared" si="0"/>
        <v/>
      </c>
      <c r="K36" s="87" t="str">
        <f t="shared" si="1"/>
        <v/>
      </c>
      <c r="L36" s="47"/>
    </row>
    <row r="37" spans="2:12" s="56" customFormat="1" ht="14.25">
      <c r="B37" s="44"/>
      <c r="C37" s="47"/>
      <c r="D37" s="86"/>
      <c r="E37" s="86"/>
      <c r="F37" s="86"/>
      <c r="G37" s="253"/>
      <c r="H37" s="253"/>
      <c r="I37" s="48"/>
      <c r="J37" s="76" t="str">
        <f t="shared" si="0"/>
        <v/>
      </c>
      <c r="K37" s="87" t="str">
        <f t="shared" si="1"/>
        <v/>
      </c>
      <c r="L37" s="47"/>
    </row>
    <row r="38" spans="2:12" s="56" customFormat="1" ht="14.25">
      <c r="B38" s="44"/>
      <c r="C38" s="47"/>
      <c r="D38" s="86"/>
      <c r="E38" s="86"/>
      <c r="F38" s="86"/>
      <c r="G38" s="253"/>
      <c r="H38" s="253"/>
      <c r="I38" s="48"/>
      <c r="J38" s="76" t="str">
        <f t="shared" si="0"/>
        <v/>
      </c>
      <c r="K38" s="87" t="str">
        <f t="shared" si="1"/>
        <v/>
      </c>
      <c r="L38" s="47"/>
    </row>
    <row r="39" spans="2:12" s="56" customFormat="1" ht="14.25">
      <c r="B39" s="44"/>
      <c r="C39" s="47"/>
      <c r="D39" s="86"/>
      <c r="E39" s="86"/>
      <c r="F39" s="86"/>
      <c r="G39" s="253"/>
      <c r="H39" s="253"/>
      <c r="I39" s="48"/>
      <c r="J39" s="76" t="str">
        <f t="shared" si="0"/>
        <v/>
      </c>
      <c r="K39" s="87" t="str">
        <f t="shared" si="1"/>
        <v/>
      </c>
      <c r="L39" s="47"/>
    </row>
    <row r="40" spans="2:12" s="56" customFormat="1" ht="14.25">
      <c r="B40" s="44"/>
      <c r="C40" s="47"/>
      <c r="D40" s="86"/>
      <c r="E40" s="86"/>
      <c r="F40" s="86"/>
      <c r="G40" s="253"/>
      <c r="H40" s="253"/>
      <c r="I40" s="48"/>
      <c r="J40" s="76" t="str">
        <f t="shared" si="0"/>
        <v/>
      </c>
      <c r="K40" s="87" t="str">
        <f t="shared" si="1"/>
        <v/>
      </c>
      <c r="L40" s="47"/>
    </row>
    <row r="41" spans="2:12" s="56" customFormat="1" ht="14.25">
      <c r="B41" s="44"/>
      <c r="C41" s="47"/>
      <c r="D41" s="86"/>
      <c r="E41" s="86"/>
      <c r="F41" s="86"/>
      <c r="G41" s="253"/>
      <c r="H41" s="253"/>
      <c r="I41" s="48"/>
      <c r="J41" s="76" t="str">
        <f t="shared" si="0"/>
        <v/>
      </c>
      <c r="K41" s="87" t="str">
        <f t="shared" si="1"/>
        <v/>
      </c>
      <c r="L41" s="47"/>
    </row>
    <row r="42" spans="2:12" s="56" customFormat="1" ht="14.25">
      <c r="B42" s="44"/>
      <c r="C42" s="47"/>
      <c r="D42" s="86"/>
      <c r="E42" s="86"/>
      <c r="F42" s="86"/>
      <c r="G42" s="253"/>
      <c r="H42" s="253"/>
      <c r="I42" s="48"/>
      <c r="J42" s="76" t="str">
        <f t="shared" si="0"/>
        <v/>
      </c>
      <c r="K42" s="87" t="str">
        <f t="shared" si="1"/>
        <v/>
      </c>
      <c r="L42" s="47"/>
    </row>
    <row r="43" spans="2:12" s="56" customFormat="1" ht="14.25">
      <c r="B43" s="44"/>
      <c r="C43" s="47"/>
      <c r="D43" s="86"/>
      <c r="E43" s="86"/>
      <c r="F43" s="86"/>
      <c r="G43" s="253"/>
      <c r="H43" s="253"/>
      <c r="I43" s="48"/>
      <c r="J43" s="76" t="str">
        <f t="shared" si="0"/>
        <v/>
      </c>
      <c r="K43" s="87" t="str">
        <f t="shared" si="1"/>
        <v/>
      </c>
      <c r="L43" s="47"/>
    </row>
    <row r="44" spans="2:12" s="56" customFormat="1" ht="14.25">
      <c r="B44" s="44"/>
      <c r="C44" s="47"/>
      <c r="D44" s="86"/>
      <c r="E44" s="86"/>
      <c r="F44" s="86"/>
      <c r="G44" s="253"/>
      <c r="H44" s="253"/>
      <c r="I44" s="48"/>
      <c r="J44" s="76" t="str">
        <f t="shared" si="0"/>
        <v/>
      </c>
      <c r="K44" s="87" t="str">
        <f t="shared" si="1"/>
        <v/>
      </c>
      <c r="L44" s="47"/>
    </row>
    <row r="45" spans="2:12" s="56" customFormat="1" ht="14.25">
      <c r="B45" s="44"/>
      <c r="C45" s="47"/>
      <c r="D45" s="86"/>
      <c r="E45" s="86"/>
      <c r="F45" s="86"/>
      <c r="G45" s="253"/>
      <c r="H45" s="253"/>
      <c r="I45" s="48"/>
      <c r="J45" s="76" t="str">
        <f t="shared" si="0"/>
        <v/>
      </c>
      <c r="K45" s="87" t="str">
        <f t="shared" si="1"/>
        <v/>
      </c>
      <c r="L45" s="47"/>
    </row>
    <row r="46" spans="2:12" s="56" customFormat="1" ht="14.25">
      <c r="B46" s="44"/>
      <c r="C46" s="47"/>
      <c r="D46" s="86"/>
      <c r="E46" s="86"/>
      <c r="F46" s="86"/>
      <c r="G46" s="253"/>
      <c r="H46" s="253"/>
      <c r="I46" s="48"/>
      <c r="J46" s="76" t="str">
        <f t="shared" si="0"/>
        <v/>
      </c>
      <c r="K46" s="87" t="str">
        <f t="shared" si="1"/>
        <v/>
      </c>
      <c r="L46" s="47"/>
    </row>
    <row r="47" spans="2:12" s="56" customFormat="1" ht="14.25">
      <c r="B47" s="44"/>
      <c r="C47" s="47"/>
      <c r="D47" s="86"/>
      <c r="E47" s="86"/>
      <c r="F47" s="86"/>
      <c r="G47" s="253"/>
      <c r="H47" s="253"/>
      <c r="I47" s="48"/>
      <c r="J47" s="76" t="str">
        <f t="shared" si="0"/>
        <v/>
      </c>
      <c r="K47" s="87" t="str">
        <f t="shared" si="1"/>
        <v/>
      </c>
      <c r="L47" s="47"/>
    </row>
    <row r="48" spans="2:12" s="56" customFormat="1" ht="14.25">
      <c r="B48" s="44"/>
      <c r="C48" s="47"/>
      <c r="D48" s="86"/>
      <c r="E48" s="86"/>
      <c r="F48" s="86"/>
      <c r="G48" s="253"/>
      <c r="H48" s="253"/>
      <c r="I48" s="48"/>
      <c r="J48" s="76" t="str">
        <f t="shared" si="0"/>
        <v/>
      </c>
      <c r="K48" s="87" t="str">
        <f t="shared" si="1"/>
        <v/>
      </c>
      <c r="L48" s="47"/>
    </row>
    <row r="49" spans="2:12" s="56" customFormat="1" ht="14.25">
      <c r="B49" s="44"/>
      <c r="C49" s="47"/>
      <c r="D49" s="86"/>
      <c r="E49" s="86"/>
      <c r="F49" s="86"/>
      <c r="G49" s="253"/>
      <c r="H49" s="253"/>
      <c r="I49" s="48"/>
      <c r="J49" s="76" t="str">
        <f t="shared" si="0"/>
        <v/>
      </c>
      <c r="K49" s="87" t="str">
        <f t="shared" si="1"/>
        <v/>
      </c>
      <c r="L49" s="47"/>
    </row>
    <row r="50" spans="2:12" s="56" customFormat="1" ht="14.25">
      <c r="B50" s="44"/>
      <c r="C50" s="47"/>
      <c r="D50" s="86"/>
      <c r="E50" s="86"/>
      <c r="F50" s="86"/>
      <c r="G50" s="253"/>
      <c r="H50" s="253"/>
      <c r="I50" s="48"/>
      <c r="J50" s="76" t="str">
        <f t="shared" si="0"/>
        <v/>
      </c>
      <c r="K50" s="87" t="str">
        <f t="shared" si="1"/>
        <v/>
      </c>
      <c r="L50" s="47"/>
    </row>
    <row r="51" spans="2:12" s="56" customFormat="1" ht="14.25">
      <c r="B51" s="44"/>
      <c r="C51" s="47"/>
      <c r="D51" s="86"/>
      <c r="E51" s="86"/>
      <c r="F51" s="86"/>
      <c r="G51" s="253"/>
      <c r="H51" s="253"/>
      <c r="I51" s="48"/>
      <c r="J51" s="76" t="str">
        <f t="shared" si="0"/>
        <v/>
      </c>
      <c r="K51" s="87" t="str">
        <f t="shared" si="1"/>
        <v/>
      </c>
      <c r="L51" s="47"/>
    </row>
    <row r="52" spans="2:12" s="56" customFormat="1" ht="14.25">
      <c r="B52" s="44"/>
      <c r="C52" s="47"/>
      <c r="D52" s="86"/>
      <c r="E52" s="86"/>
      <c r="F52" s="86"/>
      <c r="G52" s="253"/>
      <c r="H52" s="253"/>
      <c r="I52" s="48"/>
      <c r="J52" s="76" t="str">
        <f t="shared" si="0"/>
        <v/>
      </c>
      <c r="K52" s="87" t="str">
        <f t="shared" si="1"/>
        <v/>
      </c>
      <c r="L52" s="47"/>
    </row>
    <row r="53" spans="2:12" s="56" customFormat="1" ht="14.25">
      <c r="B53" s="44"/>
      <c r="C53" s="47"/>
      <c r="D53" s="86"/>
      <c r="E53" s="86"/>
      <c r="F53" s="86"/>
      <c r="G53" s="253"/>
      <c r="H53" s="253"/>
      <c r="I53" s="48"/>
      <c r="J53" s="76" t="str">
        <f t="shared" si="0"/>
        <v/>
      </c>
      <c r="K53" s="87" t="str">
        <f t="shared" si="1"/>
        <v/>
      </c>
      <c r="L53" s="47"/>
    </row>
    <row r="54" spans="2:12" s="56" customFormat="1" ht="14.25">
      <c r="B54" s="44"/>
      <c r="C54" s="47"/>
      <c r="D54" s="86"/>
      <c r="E54" s="86"/>
      <c r="F54" s="86"/>
      <c r="G54" s="253"/>
      <c r="H54" s="253"/>
      <c r="I54" s="48"/>
      <c r="J54" s="76" t="str">
        <f t="shared" si="0"/>
        <v/>
      </c>
      <c r="K54" s="87" t="str">
        <f t="shared" si="1"/>
        <v/>
      </c>
      <c r="L54" s="47"/>
    </row>
    <row r="55" spans="2:12" s="56" customFormat="1" ht="14.25">
      <c r="B55" s="44"/>
      <c r="C55" s="47"/>
      <c r="D55" s="86"/>
      <c r="E55" s="86"/>
      <c r="F55" s="86"/>
      <c r="G55" s="253"/>
      <c r="H55" s="253"/>
      <c r="I55" s="48"/>
      <c r="J55" s="76" t="str">
        <f t="shared" si="0"/>
        <v/>
      </c>
      <c r="K55" s="87" t="str">
        <f t="shared" si="1"/>
        <v/>
      </c>
      <c r="L55" s="47"/>
    </row>
    <row r="56" spans="2:12" s="56" customFormat="1" ht="14.25">
      <c r="B56" s="44"/>
      <c r="C56" s="47"/>
      <c r="D56" s="86"/>
      <c r="E56" s="86"/>
      <c r="F56" s="86"/>
      <c r="G56" s="253"/>
      <c r="H56" s="253"/>
      <c r="I56" s="48"/>
      <c r="J56" s="76" t="str">
        <f t="shared" si="0"/>
        <v/>
      </c>
      <c r="K56" s="87" t="str">
        <f t="shared" si="1"/>
        <v/>
      </c>
      <c r="L56" s="47"/>
    </row>
    <row r="57" spans="2:12" s="56" customFormat="1" ht="14.25">
      <c r="B57" s="44"/>
      <c r="C57" s="47"/>
      <c r="D57" s="86"/>
      <c r="E57" s="86"/>
      <c r="F57" s="86"/>
      <c r="G57" s="253"/>
      <c r="H57" s="253"/>
      <c r="I57" s="48"/>
      <c r="J57" s="76" t="str">
        <f t="shared" si="0"/>
        <v/>
      </c>
      <c r="K57" s="87" t="str">
        <f t="shared" si="1"/>
        <v/>
      </c>
      <c r="L57" s="47"/>
    </row>
    <row r="58" spans="2:12" s="56" customFormat="1" ht="14.25">
      <c r="B58" s="44"/>
      <c r="C58" s="47"/>
      <c r="D58" s="86"/>
      <c r="E58" s="86"/>
      <c r="F58" s="86"/>
      <c r="G58" s="253"/>
      <c r="H58" s="253"/>
      <c r="I58" s="48"/>
      <c r="J58" s="76" t="str">
        <f t="shared" si="0"/>
        <v/>
      </c>
      <c r="K58" s="87" t="str">
        <f t="shared" si="1"/>
        <v/>
      </c>
      <c r="L58" s="47"/>
    </row>
    <row r="59" spans="2:12" s="56" customFormat="1" ht="14.25">
      <c r="B59" s="44"/>
      <c r="C59" s="47"/>
      <c r="D59" s="86"/>
      <c r="E59" s="86"/>
      <c r="F59" s="86"/>
      <c r="G59" s="253"/>
      <c r="H59" s="253"/>
      <c r="I59" s="48"/>
      <c r="J59" s="76" t="str">
        <f t="shared" si="0"/>
        <v/>
      </c>
      <c r="K59" s="87" t="str">
        <f t="shared" si="1"/>
        <v/>
      </c>
      <c r="L59" s="47"/>
    </row>
    <row r="60" spans="2:12" s="56" customFormat="1" ht="14.25">
      <c r="B60" s="44"/>
      <c r="C60" s="47"/>
      <c r="D60" s="86"/>
      <c r="E60" s="86"/>
      <c r="F60" s="86"/>
      <c r="G60" s="253"/>
      <c r="H60" s="253"/>
      <c r="I60" s="48"/>
      <c r="J60" s="76" t="str">
        <f t="shared" si="0"/>
        <v/>
      </c>
      <c r="K60" s="87" t="str">
        <f t="shared" si="1"/>
        <v/>
      </c>
      <c r="L60" s="47"/>
    </row>
    <row r="61" spans="2:12" s="56" customFormat="1" ht="14.25">
      <c r="B61" s="44"/>
      <c r="C61" s="47"/>
      <c r="D61" s="86"/>
      <c r="E61" s="86"/>
      <c r="F61" s="86"/>
      <c r="G61" s="253"/>
      <c r="H61" s="253"/>
      <c r="I61" s="48"/>
      <c r="J61" s="76" t="str">
        <f t="shared" si="0"/>
        <v/>
      </c>
      <c r="K61" s="87" t="str">
        <f t="shared" si="1"/>
        <v/>
      </c>
      <c r="L61" s="47"/>
    </row>
    <row r="62" spans="2:12" s="56" customFormat="1" ht="14.25">
      <c r="B62" s="44"/>
      <c r="C62" s="47"/>
      <c r="D62" s="86"/>
      <c r="E62" s="86"/>
      <c r="F62" s="86"/>
      <c r="G62" s="253"/>
      <c r="H62" s="253"/>
      <c r="I62" s="48"/>
      <c r="J62" s="76" t="str">
        <f t="shared" si="0"/>
        <v/>
      </c>
      <c r="K62" s="87" t="str">
        <f t="shared" si="1"/>
        <v/>
      </c>
      <c r="L62" s="47"/>
    </row>
    <row r="63" spans="2:12" s="56" customFormat="1" ht="14.25">
      <c r="B63" s="44"/>
      <c r="C63" s="47"/>
      <c r="D63" s="86"/>
      <c r="E63" s="86"/>
      <c r="F63" s="86"/>
      <c r="G63" s="253"/>
      <c r="H63" s="253"/>
      <c r="I63" s="48"/>
      <c r="J63" s="76" t="str">
        <f t="shared" si="0"/>
        <v/>
      </c>
      <c r="K63" s="87" t="str">
        <f t="shared" si="1"/>
        <v/>
      </c>
      <c r="L63" s="47"/>
    </row>
    <row r="64" spans="2:12" s="56" customFormat="1" ht="14.25">
      <c r="B64" s="44"/>
      <c r="C64" s="47"/>
      <c r="D64" s="86"/>
      <c r="E64" s="86"/>
      <c r="F64" s="86"/>
      <c r="G64" s="253"/>
      <c r="H64" s="253"/>
      <c r="I64" s="48"/>
      <c r="J64" s="76" t="str">
        <f t="shared" si="0"/>
        <v/>
      </c>
      <c r="K64" s="87" t="str">
        <f t="shared" si="1"/>
        <v/>
      </c>
      <c r="L64" s="47"/>
    </row>
    <row r="65" spans="2:12" s="56" customFormat="1" ht="14.25">
      <c r="B65" s="44"/>
      <c r="C65" s="47"/>
      <c r="D65" s="86"/>
      <c r="E65" s="86"/>
      <c r="F65" s="86"/>
      <c r="G65" s="253"/>
      <c r="H65" s="253"/>
      <c r="I65" s="48"/>
      <c r="J65" s="76" t="str">
        <f t="shared" si="0"/>
        <v/>
      </c>
      <c r="K65" s="87" t="str">
        <f t="shared" si="1"/>
        <v/>
      </c>
      <c r="L65" s="47"/>
    </row>
    <row r="66" spans="2:12" s="56" customFormat="1" ht="14.25">
      <c r="B66" s="44"/>
      <c r="C66" s="47"/>
      <c r="D66" s="86"/>
      <c r="E66" s="86"/>
      <c r="F66" s="86"/>
      <c r="G66" s="253"/>
      <c r="H66" s="253"/>
      <c r="I66" s="48"/>
      <c r="J66" s="76" t="str">
        <f t="shared" si="0"/>
        <v/>
      </c>
      <c r="K66" s="87" t="str">
        <f t="shared" si="1"/>
        <v/>
      </c>
      <c r="L66" s="47"/>
    </row>
    <row r="67" spans="2:12" s="56" customFormat="1" ht="14.25">
      <c r="B67" s="44"/>
      <c r="C67" s="47"/>
      <c r="D67" s="86"/>
      <c r="E67" s="86"/>
      <c r="F67" s="86"/>
      <c r="G67" s="253"/>
      <c r="H67" s="253"/>
      <c r="I67" s="48"/>
      <c r="J67" s="76" t="str">
        <f t="shared" si="0"/>
        <v/>
      </c>
      <c r="K67" s="87" t="str">
        <f t="shared" si="1"/>
        <v/>
      </c>
      <c r="L67" s="47"/>
    </row>
    <row r="68" spans="2:12" s="56" customFormat="1" ht="14.25">
      <c r="B68" s="44"/>
      <c r="C68" s="47"/>
      <c r="D68" s="86"/>
      <c r="E68" s="86"/>
      <c r="F68" s="86"/>
      <c r="G68" s="253"/>
      <c r="H68" s="253"/>
      <c r="I68" s="48"/>
      <c r="J68" s="76" t="str">
        <f t="shared" si="0"/>
        <v/>
      </c>
      <c r="K68" s="87" t="str">
        <f t="shared" si="1"/>
        <v/>
      </c>
      <c r="L68" s="47"/>
    </row>
    <row r="69" spans="2:12" s="56" customFormat="1" ht="14.25">
      <c r="B69" s="44"/>
      <c r="C69" s="47"/>
      <c r="D69" s="86"/>
      <c r="E69" s="86"/>
      <c r="F69" s="86"/>
      <c r="G69" s="253"/>
      <c r="H69" s="253"/>
      <c r="I69" s="48"/>
      <c r="J69" s="76" t="str">
        <f t="shared" si="0"/>
        <v/>
      </c>
      <c r="K69" s="87" t="str">
        <f t="shared" si="1"/>
        <v/>
      </c>
      <c r="L69" s="47"/>
    </row>
    <row r="70" spans="2:12" s="56" customFormat="1" ht="14.25">
      <c r="B70" s="44"/>
      <c r="C70" s="47"/>
      <c r="D70" s="86"/>
      <c r="E70" s="86"/>
      <c r="F70" s="86"/>
      <c r="G70" s="253"/>
      <c r="H70" s="253"/>
      <c r="I70" s="48"/>
      <c r="J70" s="76" t="str">
        <f t="shared" si="0"/>
        <v/>
      </c>
      <c r="K70" s="87" t="str">
        <f t="shared" si="1"/>
        <v/>
      </c>
      <c r="L70" s="47"/>
    </row>
    <row r="71" spans="2:12" s="56" customFormat="1" ht="14.25">
      <c r="B71" s="44"/>
      <c r="C71" s="47"/>
      <c r="D71" s="86"/>
      <c r="E71" s="86"/>
      <c r="F71" s="86"/>
      <c r="G71" s="253"/>
      <c r="H71" s="253"/>
      <c r="I71" s="48"/>
      <c r="J71" s="76" t="str">
        <f t="shared" si="0"/>
        <v/>
      </c>
      <c r="K71" s="87" t="str">
        <f t="shared" si="1"/>
        <v/>
      </c>
      <c r="L71" s="47"/>
    </row>
    <row r="72" spans="2:12" s="56" customFormat="1" ht="14.25">
      <c r="B72" s="44"/>
      <c r="C72" s="47"/>
      <c r="D72" s="86"/>
      <c r="E72" s="86"/>
      <c r="F72" s="86"/>
      <c r="G72" s="253"/>
      <c r="H72" s="253"/>
      <c r="I72" s="48"/>
      <c r="J72" s="76" t="str">
        <f t="shared" si="0"/>
        <v/>
      </c>
      <c r="K72" s="87" t="str">
        <f t="shared" si="1"/>
        <v/>
      </c>
      <c r="L72" s="47"/>
    </row>
    <row r="73" spans="2:12" s="56" customFormat="1" ht="14.25">
      <c r="B73" s="44"/>
      <c r="C73" s="47"/>
      <c r="D73" s="86"/>
      <c r="E73" s="86"/>
      <c r="F73" s="86"/>
      <c r="G73" s="253"/>
      <c r="H73" s="253"/>
      <c r="I73" s="48"/>
      <c r="J73" s="76" t="str">
        <f t="shared" si="0"/>
        <v/>
      </c>
      <c r="K73" s="87" t="str">
        <f t="shared" si="1"/>
        <v/>
      </c>
      <c r="L73" s="47"/>
    </row>
    <row r="74" spans="2:12" s="56" customFormat="1" ht="14.25">
      <c r="B74" s="44"/>
      <c r="C74" s="47"/>
      <c r="D74" s="86"/>
      <c r="E74" s="86"/>
      <c r="F74" s="86"/>
      <c r="G74" s="253"/>
      <c r="H74" s="253"/>
      <c r="I74" s="48"/>
      <c r="J74" s="76" t="str">
        <f t="shared" si="0"/>
        <v/>
      </c>
      <c r="K74" s="87" t="str">
        <f t="shared" si="1"/>
        <v/>
      </c>
      <c r="L74" s="47"/>
    </row>
    <row r="75" spans="2:12" s="56" customFormat="1" ht="14.25">
      <c r="B75" s="44"/>
      <c r="C75" s="47"/>
      <c r="D75" s="86"/>
      <c r="E75" s="86"/>
      <c r="F75" s="86"/>
      <c r="G75" s="253"/>
      <c r="H75" s="253"/>
      <c r="I75" s="48"/>
      <c r="J75" s="76" t="str">
        <f t="shared" ref="J75:J138" si="2">IF($C75&lt;&gt;"",$E75*1.5,"")</f>
        <v/>
      </c>
      <c r="K75" s="87" t="str">
        <f t="shared" ref="K75:K138" si="3">IFERROR($J75/10,"")</f>
        <v/>
      </c>
      <c r="L75" s="47"/>
    </row>
    <row r="76" spans="2:12" s="56" customFormat="1" ht="14.25">
      <c r="B76" s="44"/>
      <c r="C76" s="47"/>
      <c r="D76" s="86"/>
      <c r="E76" s="86"/>
      <c r="F76" s="86"/>
      <c r="G76" s="253"/>
      <c r="H76" s="253"/>
      <c r="I76" s="48"/>
      <c r="J76" s="76" t="str">
        <f t="shared" si="2"/>
        <v/>
      </c>
      <c r="K76" s="87" t="str">
        <f t="shared" si="3"/>
        <v/>
      </c>
      <c r="L76" s="47"/>
    </row>
    <row r="77" spans="2:12" s="56" customFormat="1" ht="14.25">
      <c r="B77" s="44"/>
      <c r="C77" s="47"/>
      <c r="D77" s="86"/>
      <c r="E77" s="86"/>
      <c r="F77" s="86"/>
      <c r="G77" s="253"/>
      <c r="H77" s="253"/>
      <c r="I77" s="48"/>
      <c r="J77" s="76" t="str">
        <f t="shared" si="2"/>
        <v/>
      </c>
      <c r="K77" s="87" t="str">
        <f t="shared" si="3"/>
        <v/>
      </c>
      <c r="L77" s="47"/>
    </row>
    <row r="78" spans="2:12" s="56" customFormat="1" ht="14.25">
      <c r="B78" s="44"/>
      <c r="C78" s="47"/>
      <c r="D78" s="86"/>
      <c r="E78" s="86"/>
      <c r="F78" s="86"/>
      <c r="G78" s="253"/>
      <c r="H78" s="253"/>
      <c r="I78" s="48"/>
      <c r="J78" s="76" t="str">
        <f t="shared" si="2"/>
        <v/>
      </c>
      <c r="K78" s="87" t="str">
        <f t="shared" si="3"/>
        <v/>
      </c>
      <c r="L78" s="47"/>
    </row>
    <row r="79" spans="2:12" s="56" customFormat="1" ht="14.25">
      <c r="B79" s="44"/>
      <c r="C79" s="47"/>
      <c r="D79" s="86"/>
      <c r="E79" s="86"/>
      <c r="F79" s="86"/>
      <c r="G79" s="253"/>
      <c r="H79" s="253"/>
      <c r="I79" s="48"/>
      <c r="J79" s="76" t="str">
        <f t="shared" si="2"/>
        <v/>
      </c>
      <c r="K79" s="87" t="str">
        <f t="shared" si="3"/>
        <v/>
      </c>
      <c r="L79" s="47"/>
    </row>
    <row r="80" spans="2:12" s="56" customFormat="1" ht="14.25">
      <c r="B80" s="44"/>
      <c r="C80" s="47"/>
      <c r="D80" s="86"/>
      <c r="E80" s="86"/>
      <c r="F80" s="86"/>
      <c r="G80" s="253"/>
      <c r="H80" s="253"/>
      <c r="I80" s="48"/>
      <c r="J80" s="76" t="str">
        <f t="shared" si="2"/>
        <v/>
      </c>
      <c r="K80" s="87" t="str">
        <f t="shared" si="3"/>
        <v/>
      </c>
      <c r="L80" s="47"/>
    </row>
    <row r="81" spans="2:12" s="56" customFormat="1" ht="14.25">
      <c r="B81" s="44"/>
      <c r="C81" s="47"/>
      <c r="D81" s="86"/>
      <c r="E81" s="86"/>
      <c r="F81" s="86"/>
      <c r="G81" s="253"/>
      <c r="H81" s="253"/>
      <c r="I81" s="48"/>
      <c r="J81" s="76" t="str">
        <f t="shared" si="2"/>
        <v/>
      </c>
      <c r="K81" s="87" t="str">
        <f t="shared" si="3"/>
        <v/>
      </c>
      <c r="L81" s="47"/>
    </row>
    <row r="82" spans="2:12" s="56" customFormat="1" ht="14.25">
      <c r="B82" s="44"/>
      <c r="C82" s="47"/>
      <c r="D82" s="86"/>
      <c r="E82" s="86"/>
      <c r="F82" s="86"/>
      <c r="G82" s="253"/>
      <c r="H82" s="253"/>
      <c r="I82" s="48"/>
      <c r="J82" s="76" t="str">
        <f t="shared" si="2"/>
        <v/>
      </c>
      <c r="K82" s="87" t="str">
        <f t="shared" si="3"/>
        <v/>
      </c>
      <c r="L82" s="47"/>
    </row>
    <row r="83" spans="2:12" s="56" customFormat="1" ht="14.25">
      <c r="B83" s="44"/>
      <c r="C83" s="47"/>
      <c r="D83" s="86"/>
      <c r="E83" s="86"/>
      <c r="F83" s="86"/>
      <c r="G83" s="253"/>
      <c r="H83" s="253"/>
      <c r="I83" s="48"/>
      <c r="J83" s="76" t="str">
        <f t="shared" si="2"/>
        <v/>
      </c>
      <c r="K83" s="87" t="str">
        <f t="shared" si="3"/>
        <v/>
      </c>
      <c r="L83" s="47"/>
    </row>
    <row r="84" spans="2:12" s="56" customFormat="1" ht="14.25">
      <c r="B84" s="44"/>
      <c r="C84" s="47"/>
      <c r="D84" s="86"/>
      <c r="E84" s="86"/>
      <c r="F84" s="86"/>
      <c r="G84" s="253"/>
      <c r="H84" s="253"/>
      <c r="I84" s="48"/>
      <c r="J84" s="76" t="str">
        <f t="shared" si="2"/>
        <v/>
      </c>
      <c r="K84" s="87" t="str">
        <f t="shared" si="3"/>
        <v/>
      </c>
      <c r="L84" s="47"/>
    </row>
    <row r="85" spans="2:12" s="56" customFormat="1" ht="14.25">
      <c r="B85" s="44"/>
      <c r="C85" s="47"/>
      <c r="D85" s="86"/>
      <c r="E85" s="86"/>
      <c r="F85" s="86"/>
      <c r="G85" s="253"/>
      <c r="H85" s="253"/>
      <c r="I85" s="48"/>
      <c r="J85" s="76" t="str">
        <f t="shared" si="2"/>
        <v/>
      </c>
      <c r="K85" s="87" t="str">
        <f t="shared" si="3"/>
        <v/>
      </c>
      <c r="L85" s="47"/>
    </row>
    <row r="86" spans="2:12" s="56" customFormat="1" ht="14.25">
      <c r="B86" s="44"/>
      <c r="C86" s="47"/>
      <c r="D86" s="86"/>
      <c r="E86" s="86"/>
      <c r="F86" s="86"/>
      <c r="G86" s="253"/>
      <c r="H86" s="253"/>
      <c r="I86" s="48"/>
      <c r="J86" s="76" t="str">
        <f t="shared" si="2"/>
        <v/>
      </c>
      <c r="K86" s="87" t="str">
        <f t="shared" si="3"/>
        <v/>
      </c>
      <c r="L86" s="47"/>
    </row>
    <row r="87" spans="2:12" s="56" customFormat="1" ht="14.25">
      <c r="B87" s="44"/>
      <c r="C87" s="47"/>
      <c r="D87" s="86"/>
      <c r="E87" s="86"/>
      <c r="F87" s="86"/>
      <c r="G87" s="253"/>
      <c r="H87" s="253"/>
      <c r="I87" s="48"/>
      <c r="J87" s="76" t="str">
        <f t="shared" si="2"/>
        <v/>
      </c>
      <c r="K87" s="87" t="str">
        <f t="shared" si="3"/>
        <v/>
      </c>
      <c r="L87" s="47"/>
    </row>
    <row r="88" spans="2:12" s="56" customFormat="1" ht="14.25">
      <c r="B88" s="44"/>
      <c r="C88" s="47"/>
      <c r="D88" s="86"/>
      <c r="E88" s="86"/>
      <c r="F88" s="86"/>
      <c r="G88" s="253"/>
      <c r="H88" s="253"/>
      <c r="I88" s="48"/>
      <c r="J88" s="76" t="str">
        <f t="shared" si="2"/>
        <v/>
      </c>
      <c r="K88" s="87" t="str">
        <f t="shared" si="3"/>
        <v/>
      </c>
      <c r="L88" s="47"/>
    </row>
    <row r="89" spans="2:12" s="56" customFormat="1" ht="14.25">
      <c r="B89" s="44"/>
      <c r="C89" s="47"/>
      <c r="D89" s="86"/>
      <c r="E89" s="86"/>
      <c r="F89" s="86"/>
      <c r="G89" s="253"/>
      <c r="H89" s="253"/>
      <c r="I89" s="48"/>
      <c r="J89" s="76" t="str">
        <f t="shared" si="2"/>
        <v/>
      </c>
      <c r="K89" s="87" t="str">
        <f t="shared" si="3"/>
        <v/>
      </c>
      <c r="L89" s="47"/>
    </row>
    <row r="90" spans="2:12" s="56" customFormat="1" ht="14.25">
      <c r="B90" s="44"/>
      <c r="C90" s="47"/>
      <c r="D90" s="86"/>
      <c r="E90" s="86"/>
      <c r="F90" s="86"/>
      <c r="G90" s="253"/>
      <c r="H90" s="253"/>
      <c r="I90" s="48"/>
      <c r="J90" s="76" t="str">
        <f t="shared" si="2"/>
        <v/>
      </c>
      <c r="K90" s="87" t="str">
        <f t="shared" si="3"/>
        <v/>
      </c>
      <c r="L90" s="47"/>
    </row>
    <row r="91" spans="2:12" s="56" customFormat="1" ht="14.25">
      <c r="B91" s="44"/>
      <c r="C91" s="47"/>
      <c r="D91" s="86"/>
      <c r="E91" s="86"/>
      <c r="F91" s="86"/>
      <c r="G91" s="253"/>
      <c r="H91" s="253"/>
      <c r="I91" s="48"/>
      <c r="J91" s="76" t="str">
        <f t="shared" si="2"/>
        <v/>
      </c>
      <c r="K91" s="87" t="str">
        <f t="shared" si="3"/>
        <v/>
      </c>
      <c r="L91" s="47"/>
    </row>
    <row r="92" spans="2:12" s="56" customFormat="1" ht="14.25">
      <c r="B92" s="44"/>
      <c r="C92" s="47"/>
      <c r="D92" s="86"/>
      <c r="E92" s="86"/>
      <c r="F92" s="86"/>
      <c r="G92" s="253"/>
      <c r="H92" s="253"/>
      <c r="I92" s="48"/>
      <c r="J92" s="76" t="str">
        <f t="shared" si="2"/>
        <v/>
      </c>
      <c r="K92" s="87" t="str">
        <f t="shared" si="3"/>
        <v/>
      </c>
      <c r="L92" s="47"/>
    </row>
    <row r="93" spans="2:12" s="56" customFormat="1" ht="14.25">
      <c r="B93" s="44"/>
      <c r="C93" s="47"/>
      <c r="D93" s="86"/>
      <c r="E93" s="86"/>
      <c r="F93" s="86"/>
      <c r="G93" s="253"/>
      <c r="H93" s="253"/>
      <c r="I93" s="48"/>
      <c r="J93" s="76" t="str">
        <f t="shared" si="2"/>
        <v/>
      </c>
      <c r="K93" s="87" t="str">
        <f t="shared" si="3"/>
        <v/>
      </c>
      <c r="L93" s="47"/>
    </row>
    <row r="94" spans="2:12" s="56" customFormat="1" ht="14.25">
      <c r="B94" s="44"/>
      <c r="C94" s="47"/>
      <c r="D94" s="86"/>
      <c r="E94" s="86"/>
      <c r="F94" s="86"/>
      <c r="G94" s="253"/>
      <c r="H94" s="253"/>
      <c r="I94" s="48"/>
      <c r="J94" s="76" t="str">
        <f t="shared" si="2"/>
        <v/>
      </c>
      <c r="K94" s="87" t="str">
        <f t="shared" si="3"/>
        <v/>
      </c>
      <c r="L94" s="47"/>
    </row>
    <row r="95" spans="2:12" s="56" customFormat="1" ht="14.25">
      <c r="B95" s="44"/>
      <c r="C95" s="47"/>
      <c r="D95" s="86"/>
      <c r="E95" s="86"/>
      <c r="F95" s="86"/>
      <c r="G95" s="253"/>
      <c r="H95" s="253"/>
      <c r="I95" s="48"/>
      <c r="J95" s="76" t="str">
        <f t="shared" si="2"/>
        <v/>
      </c>
      <c r="K95" s="87" t="str">
        <f t="shared" si="3"/>
        <v/>
      </c>
      <c r="L95" s="47"/>
    </row>
    <row r="96" spans="2:12" s="56" customFormat="1" ht="14.25">
      <c r="B96" s="44"/>
      <c r="C96" s="47"/>
      <c r="D96" s="86"/>
      <c r="E96" s="86"/>
      <c r="F96" s="86"/>
      <c r="G96" s="253"/>
      <c r="H96" s="253"/>
      <c r="I96" s="48"/>
      <c r="J96" s="76" t="str">
        <f t="shared" si="2"/>
        <v/>
      </c>
      <c r="K96" s="87" t="str">
        <f t="shared" si="3"/>
        <v/>
      </c>
      <c r="L96" s="47"/>
    </row>
    <row r="97" spans="2:12" s="56" customFormat="1" ht="14.25">
      <c r="B97" s="44"/>
      <c r="C97" s="47"/>
      <c r="D97" s="86"/>
      <c r="E97" s="86"/>
      <c r="F97" s="86"/>
      <c r="G97" s="253"/>
      <c r="H97" s="253"/>
      <c r="I97" s="48"/>
      <c r="J97" s="76" t="str">
        <f t="shared" si="2"/>
        <v/>
      </c>
      <c r="K97" s="87" t="str">
        <f t="shared" si="3"/>
        <v/>
      </c>
      <c r="L97" s="47"/>
    </row>
    <row r="98" spans="2:12" s="56" customFormat="1" ht="14.25">
      <c r="B98" s="44"/>
      <c r="C98" s="47"/>
      <c r="D98" s="86"/>
      <c r="E98" s="86"/>
      <c r="F98" s="86"/>
      <c r="G98" s="253"/>
      <c r="H98" s="253"/>
      <c r="I98" s="48"/>
      <c r="J98" s="76" t="str">
        <f t="shared" si="2"/>
        <v/>
      </c>
      <c r="K98" s="87" t="str">
        <f t="shared" si="3"/>
        <v/>
      </c>
      <c r="L98" s="47"/>
    </row>
    <row r="99" spans="2:12" s="56" customFormat="1" ht="14.25">
      <c r="B99" s="44"/>
      <c r="C99" s="47"/>
      <c r="D99" s="86"/>
      <c r="E99" s="86"/>
      <c r="F99" s="86"/>
      <c r="G99" s="253"/>
      <c r="H99" s="253"/>
      <c r="I99" s="48"/>
      <c r="J99" s="76" t="str">
        <f t="shared" si="2"/>
        <v/>
      </c>
      <c r="K99" s="87" t="str">
        <f t="shared" si="3"/>
        <v/>
      </c>
      <c r="L99" s="47"/>
    </row>
    <row r="100" spans="2:12" s="56" customFormat="1" ht="14.25">
      <c r="B100" s="44"/>
      <c r="C100" s="47"/>
      <c r="D100" s="86"/>
      <c r="E100" s="86"/>
      <c r="F100" s="86"/>
      <c r="G100" s="253"/>
      <c r="H100" s="253"/>
      <c r="I100" s="48"/>
      <c r="J100" s="76" t="str">
        <f t="shared" si="2"/>
        <v/>
      </c>
      <c r="K100" s="87" t="str">
        <f t="shared" si="3"/>
        <v/>
      </c>
      <c r="L100" s="47"/>
    </row>
    <row r="101" spans="2:12" s="56" customFormat="1" ht="14.25">
      <c r="B101" s="44"/>
      <c r="C101" s="47"/>
      <c r="D101" s="86"/>
      <c r="E101" s="86"/>
      <c r="F101" s="86"/>
      <c r="G101" s="253"/>
      <c r="H101" s="253"/>
      <c r="I101" s="48"/>
      <c r="J101" s="76" t="str">
        <f t="shared" si="2"/>
        <v/>
      </c>
      <c r="K101" s="87" t="str">
        <f t="shared" si="3"/>
        <v/>
      </c>
      <c r="L101" s="47"/>
    </row>
    <row r="102" spans="2:12" s="56" customFormat="1" ht="14.25">
      <c r="B102" s="44"/>
      <c r="C102" s="47"/>
      <c r="D102" s="86"/>
      <c r="E102" s="86"/>
      <c r="F102" s="86"/>
      <c r="G102" s="253"/>
      <c r="H102" s="253"/>
      <c r="I102" s="48"/>
      <c r="J102" s="76" t="str">
        <f t="shared" si="2"/>
        <v/>
      </c>
      <c r="K102" s="87" t="str">
        <f t="shared" si="3"/>
        <v/>
      </c>
      <c r="L102" s="47"/>
    </row>
    <row r="103" spans="2:12" s="56" customFormat="1" ht="14.25">
      <c r="B103" s="44"/>
      <c r="C103" s="47"/>
      <c r="D103" s="86"/>
      <c r="E103" s="86"/>
      <c r="F103" s="86"/>
      <c r="G103" s="253"/>
      <c r="H103" s="253"/>
      <c r="I103" s="48"/>
      <c r="J103" s="76" t="str">
        <f t="shared" si="2"/>
        <v/>
      </c>
      <c r="K103" s="87" t="str">
        <f t="shared" si="3"/>
        <v/>
      </c>
      <c r="L103" s="47"/>
    </row>
    <row r="104" spans="2:12" s="56" customFormat="1" ht="14.25">
      <c r="B104" s="44"/>
      <c r="C104" s="47"/>
      <c r="D104" s="86"/>
      <c r="E104" s="86"/>
      <c r="F104" s="86"/>
      <c r="G104" s="253"/>
      <c r="H104" s="253"/>
      <c r="I104" s="48"/>
      <c r="J104" s="76" t="str">
        <f t="shared" si="2"/>
        <v/>
      </c>
      <c r="K104" s="87" t="str">
        <f t="shared" si="3"/>
        <v/>
      </c>
      <c r="L104" s="47"/>
    </row>
    <row r="105" spans="2:12" s="56" customFormat="1" ht="14.25">
      <c r="B105" s="44"/>
      <c r="C105" s="47"/>
      <c r="D105" s="86"/>
      <c r="E105" s="86"/>
      <c r="F105" s="86"/>
      <c r="G105" s="253"/>
      <c r="H105" s="253"/>
      <c r="I105" s="48"/>
      <c r="J105" s="76" t="str">
        <f t="shared" si="2"/>
        <v/>
      </c>
      <c r="K105" s="87" t="str">
        <f t="shared" si="3"/>
        <v/>
      </c>
      <c r="L105" s="47"/>
    </row>
    <row r="106" spans="2:12" s="56" customFormat="1" ht="14.25">
      <c r="B106" s="44"/>
      <c r="C106" s="47"/>
      <c r="D106" s="86"/>
      <c r="E106" s="86"/>
      <c r="F106" s="86"/>
      <c r="G106" s="253"/>
      <c r="H106" s="253"/>
      <c r="I106" s="48"/>
      <c r="J106" s="76" t="str">
        <f t="shared" si="2"/>
        <v/>
      </c>
      <c r="K106" s="87" t="str">
        <f t="shared" si="3"/>
        <v/>
      </c>
      <c r="L106" s="47"/>
    </row>
    <row r="107" spans="2:12" s="56" customFormat="1" ht="14.25">
      <c r="B107" s="44"/>
      <c r="C107" s="47"/>
      <c r="D107" s="86"/>
      <c r="E107" s="86"/>
      <c r="F107" s="86"/>
      <c r="G107" s="253"/>
      <c r="H107" s="253"/>
      <c r="I107" s="48"/>
      <c r="J107" s="76" t="str">
        <f t="shared" si="2"/>
        <v/>
      </c>
      <c r="K107" s="87" t="str">
        <f t="shared" si="3"/>
        <v/>
      </c>
      <c r="L107" s="47"/>
    </row>
    <row r="108" spans="2:12" s="56" customFormat="1" ht="14.25">
      <c r="B108" s="44"/>
      <c r="C108" s="47"/>
      <c r="D108" s="86"/>
      <c r="E108" s="86"/>
      <c r="F108" s="86"/>
      <c r="G108" s="253"/>
      <c r="H108" s="253"/>
      <c r="I108" s="48"/>
      <c r="J108" s="76" t="str">
        <f t="shared" si="2"/>
        <v/>
      </c>
      <c r="K108" s="87" t="str">
        <f t="shared" si="3"/>
        <v/>
      </c>
      <c r="L108" s="47"/>
    </row>
    <row r="109" spans="2:12" s="56" customFormat="1" ht="14.25">
      <c r="B109" s="44"/>
      <c r="C109" s="47"/>
      <c r="D109" s="86"/>
      <c r="E109" s="86"/>
      <c r="F109" s="86"/>
      <c r="G109" s="253"/>
      <c r="H109" s="253"/>
      <c r="I109" s="48"/>
      <c r="J109" s="76" t="str">
        <f t="shared" si="2"/>
        <v/>
      </c>
      <c r="K109" s="87" t="str">
        <f t="shared" si="3"/>
        <v/>
      </c>
      <c r="L109" s="47"/>
    </row>
    <row r="110" spans="2:12" s="56" customFormat="1" ht="14.1" customHeight="1">
      <c r="B110" s="44"/>
      <c r="C110" s="47"/>
      <c r="D110" s="86"/>
      <c r="E110" s="86"/>
      <c r="F110" s="86"/>
      <c r="G110" s="253" t="s">
        <v>89</v>
      </c>
      <c r="H110" s="253"/>
      <c r="I110" s="48"/>
      <c r="J110" s="76" t="str">
        <f t="shared" si="2"/>
        <v/>
      </c>
      <c r="K110" s="87" t="str">
        <f t="shared" si="3"/>
        <v/>
      </c>
      <c r="L110" s="47"/>
    </row>
    <row r="111" spans="2:12" s="56" customFormat="1" ht="14.25">
      <c r="B111" s="44"/>
      <c r="C111" s="47"/>
      <c r="D111" s="86"/>
      <c r="E111" s="86"/>
      <c r="F111" s="86"/>
      <c r="G111" s="253"/>
      <c r="H111" s="253"/>
      <c r="I111" s="48"/>
      <c r="J111" s="76" t="str">
        <f t="shared" si="2"/>
        <v/>
      </c>
      <c r="K111" s="87" t="str">
        <f t="shared" si="3"/>
        <v/>
      </c>
      <c r="L111" s="47"/>
    </row>
    <row r="112" spans="2:12" s="56" customFormat="1" ht="14.25">
      <c r="B112" s="44"/>
      <c r="C112" s="47"/>
      <c r="D112" s="86"/>
      <c r="E112" s="86"/>
      <c r="F112" s="86"/>
      <c r="G112" s="253"/>
      <c r="H112" s="253"/>
      <c r="I112" s="48"/>
      <c r="J112" s="76" t="str">
        <f t="shared" si="2"/>
        <v/>
      </c>
      <c r="K112" s="87" t="str">
        <f t="shared" si="3"/>
        <v/>
      </c>
      <c r="L112" s="47"/>
    </row>
    <row r="113" spans="2:12" s="56" customFormat="1" ht="14.25">
      <c r="B113" s="44"/>
      <c r="C113" s="47"/>
      <c r="D113" s="86"/>
      <c r="E113" s="86"/>
      <c r="F113" s="86"/>
      <c r="G113" s="253"/>
      <c r="H113" s="253"/>
      <c r="I113" s="48"/>
      <c r="J113" s="76" t="str">
        <f t="shared" si="2"/>
        <v/>
      </c>
      <c r="K113" s="87" t="str">
        <f t="shared" si="3"/>
        <v/>
      </c>
      <c r="L113" s="47"/>
    </row>
    <row r="114" spans="2:12" s="56" customFormat="1" ht="14.25">
      <c r="B114" s="44"/>
      <c r="C114" s="47"/>
      <c r="D114" s="86"/>
      <c r="E114" s="86"/>
      <c r="F114" s="86"/>
      <c r="G114" s="253"/>
      <c r="H114" s="253"/>
      <c r="I114" s="48"/>
      <c r="J114" s="76" t="str">
        <f t="shared" si="2"/>
        <v/>
      </c>
      <c r="K114" s="87" t="str">
        <f t="shared" si="3"/>
        <v/>
      </c>
      <c r="L114" s="47"/>
    </row>
    <row r="115" spans="2:12" s="56" customFormat="1" ht="14.25">
      <c r="B115" s="44"/>
      <c r="C115" s="47"/>
      <c r="D115" s="86"/>
      <c r="E115" s="86"/>
      <c r="F115" s="86"/>
      <c r="G115" s="253"/>
      <c r="H115" s="253"/>
      <c r="I115" s="48"/>
      <c r="J115" s="76" t="str">
        <f t="shared" si="2"/>
        <v/>
      </c>
      <c r="K115" s="87" t="str">
        <f t="shared" si="3"/>
        <v/>
      </c>
      <c r="L115" s="47"/>
    </row>
    <row r="116" spans="2:12" s="56" customFormat="1" ht="14.25">
      <c r="B116" s="44"/>
      <c r="C116" s="47"/>
      <c r="D116" s="86"/>
      <c r="E116" s="86"/>
      <c r="F116" s="86"/>
      <c r="G116" s="253"/>
      <c r="H116" s="253"/>
      <c r="I116" s="48"/>
      <c r="J116" s="76" t="str">
        <f t="shared" si="2"/>
        <v/>
      </c>
      <c r="K116" s="87" t="str">
        <f t="shared" si="3"/>
        <v/>
      </c>
      <c r="L116" s="47"/>
    </row>
    <row r="117" spans="2:12" s="56" customFormat="1" ht="14.25">
      <c r="B117" s="44"/>
      <c r="C117" s="47"/>
      <c r="D117" s="86"/>
      <c r="E117" s="86"/>
      <c r="F117" s="86"/>
      <c r="G117" s="253"/>
      <c r="H117" s="253"/>
      <c r="I117" s="48"/>
      <c r="J117" s="76" t="str">
        <f t="shared" si="2"/>
        <v/>
      </c>
      <c r="K117" s="87" t="str">
        <f t="shared" si="3"/>
        <v/>
      </c>
      <c r="L117" s="47"/>
    </row>
    <row r="118" spans="2:12" s="56" customFormat="1" ht="14.25">
      <c r="B118" s="44"/>
      <c r="C118" s="47"/>
      <c r="D118" s="86"/>
      <c r="E118" s="86"/>
      <c r="F118" s="86"/>
      <c r="G118" s="253"/>
      <c r="H118" s="253"/>
      <c r="I118" s="48"/>
      <c r="J118" s="76" t="str">
        <f t="shared" si="2"/>
        <v/>
      </c>
      <c r="K118" s="87" t="str">
        <f t="shared" si="3"/>
        <v/>
      </c>
      <c r="L118" s="47"/>
    </row>
    <row r="119" spans="2:12" s="56" customFormat="1" ht="14.25">
      <c r="B119" s="44"/>
      <c r="C119" s="47"/>
      <c r="D119" s="86"/>
      <c r="E119" s="86"/>
      <c r="F119" s="86"/>
      <c r="G119" s="253"/>
      <c r="H119" s="253"/>
      <c r="I119" s="48"/>
      <c r="J119" s="76" t="str">
        <f t="shared" si="2"/>
        <v/>
      </c>
      <c r="K119" s="87" t="str">
        <f t="shared" si="3"/>
        <v/>
      </c>
      <c r="L119" s="47"/>
    </row>
    <row r="120" spans="2:12" s="56" customFormat="1" ht="14.25">
      <c r="B120" s="44"/>
      <c r="C120" s="47"/>
      <c r="D120" s="86"/>
      <c r="E120" s="86"/>
      <c r="F120" s="86"/>
      <c r="G120" s="253"/>
      <c r="H120" s="253"/>
      <c r="I120" s="48"/>
      <c r="J120" s="76" t="str">
        <f t="shared" si="2"/>
        <v/>
      </c>
      <c r="K120" s="87" t="str">
        <f t="shared" si="3"/>
        <v/>
      </c>
      <c r="L120" s="47"/>
    </row>
    <row r="121" spans="2:12" s="56" customFormat="1" ht="14.25">
      <c r="B121" s="44"/>
      <c r="C121" s="47"/>
      <c r="D121" s="86"/>
      <c r="E121" s="86"/>
      <c r="F121" s="86"/>
      <c r="G121" s="253"/>
      <c r="H121" s="253"/>
      <c r="I121" s="48"/>
      <c r="J121" s="76" t="str">
        <f t="shared" si="2"/>
        <v/>
      </c>
      <c r="K121" s="87" t="str">
        <f t="shared" si="3"/>
        <v/>
      </c>
      <c r="L121" s="47"/>
    </row>
    <row r="122" spans="2:12" s="56" customFormat="1" ht="14.25">
      <c r="B122" s="44"/>
      <c r="C122" s="47"/>
      <c r="D122" s="86"/>
      <c r="E122" s="86"/>
      <c r="F122" s="86"/>
      <c r="G122" s="253"/>
      <c r="H122" s="253"/>
      <c r="I122" s="48"/>
      <c r="J122" s="76" t="str">
        <f t="shared" si="2"/>
        <v/>
      </c>
      <c r="K122" s="87" t="str">
        <f t="shared" si="3"/>
        <v/>
      </c>
      <c r="L122" s="47"/>
    </row>
    <row r="123" spans="2:12" s="56" customFormat="1" ht="14.25">
      <c r="B123" s="44"/>
      <c r="C123" s="47"/>
      <c r="D123" s="86"/>
      <c r="E123" s="86"/>
      <c r="F123" s="86"/>
      <c r="G123" s="253"/>
      <c r="H123" s="253"/>
      <c r="I123" s="48"/>
      <c r="J123" s="76" t="str">
        <f t="shared" si="2"/>
        <v/>
      </c>
      <c r="K123" s="87" t="str">
        <f t="shared" si="3"/>
        <v/>
      </c>
      <c r="L123" s="47"/>
    </row>
    <row r="124" spans="2:12" s="56" customFormat="1" ht="14.25">
      <c r="B124" s="44"/>
      <c r="C124" s="47"/>
      <c r="D124" s="86"/>
      <c r="E124" s="86"/>
      <c r="F124" s="86"/>
      <c r="G124" s="253"/>
      <c r="H124" s="253"/>
      <c r="I124" s="48"/>
      <c r="J124" s="76" t="str">
        <f t="shared" si="2"/>
        <v/>
      </c>
      <c r="K124" s="87" t="str">
        <f t="shared" si="3"/>
        <v/>
      </c>
      <c r="L124" s="47"/>
    </row>
    <row r="125" spans="2:12" s="56" customFormat="1" ht="14.25">
      <c r="B125" s="44"/>
      <c r="C125" s="47"/>
      <c r="D125" s="86"/>
      <c r="E125" s="86"/>
      <c r="F125" s="86"/>
      <c r="G125" s="253"/>
      <c r="H125" s="253"/>
      <c r="I125" s="48"/>
      <c r="J125" s="76" t="str">
        <f t="shared" si="2"/>
        <v/>
      </c>
      <c r="K125" s="87" t="str">
        <f t="shared" si="3"/>
        <v/>
      </c>
      <c r="L125" s="47"/>
    </row>
    <row r="126" spans="2:12" s="56" customFormat="1" ht="14.25">
      <c r="B126" s="44"/>
      <c r="C126" s="47"/>
      <c r="D126" s="86"/>
      <c r="E126" s="86"/>
      <c r="F126" s="86"/>
      <c r="G126" s="253"/>
      <c r="H126" s="253"/>
      <c r="I126" s="48"/>
      <c r="J126" s="76" t="str">
        <f t="shared" si="2"/>
        <v/>
      </c>
      <c r="K126" s="87" t="str">
        <f t="shared" si="3"/>
        <v/>
      </c>
      <c r="L126" s="47"/>
    </row>
    <row r="127" spans="2:12" s="56" customFormat="1" ht="14.25">
      <c r="B127" s="44"/>
      <c r="C127" s="47"/>
      <c r="D127" s="86"/>
      <c r="E127" s="86"/>
      <c r="F127" s="86"/>
      <c r="G127" s="253"/>
      <c r="H127" s="253"/>
      <c r="I127" s="88"/>
      <c r="J127" s="76" t="str">
        <f t="shared" si="2"/>
        <v/>
      </c>
      <c r="K127" s="87" t="str">
        <f t="shared" si="3"/>
        <v/>
      </c>
      <c r="L127" s="47"/>
    </row>
    <row r="128" spans="2:12" s="56" customFormat="1" ht="14.25">
      <c r="B128" s="44"/>
      <c r="C128" s="47"/>
      <c r="D128" s="86"/>
      <c r="E128" s="86"/>
      <c r="F128" s="86"/>
      <c r="G128" s="253"/>
      <c r="H128" s="253"/>
      <c r="I128" s="88"/>
      <c r="J128" s="76" t="str">
        <f t="shared" si="2"/>
        <v/>
      </c>
      <c r="K128" s="87" t="str">
        <f t="shared" si="3"/>
        <v/>
      </c>
      <c r="L128" s="47"/>
    </row>
    <row r="129" spans="2:12" s="56" customFormat="1" ht="14.25">
      <c r="B129" s="44"/>
      <c r="C129" s="47"/>
      <c r="D129" s="86"/>
      <c r="E129" s="86"/>
      <c r="F129" s="86"/>
      <c r="G129" s="253"/>
      <c r="H129" s="253"/>
      <c r="I129" s="48"/>
      <c r="J129" s="76" t="str">
        <f t="shared" si="2"/>
        <v/>
      </c>
      <c r="K129" s="87" t="str">
        <f t="shared" si="3"/>
        <v/>
      </c>
      <c r="L129" s="47"/>
    </row>
    <row r="130" spans="2:12" s="56" customFormat="1" ht="14.25">
      <c r="B130" s="44"/>
      <c r="C130" s="47"/>
      <c r="D130" s="86"/>
      <c r="E130" s="86"/>
      <c r="F130" s="86"/>
      <c r="G130" s="253"/>
      <c r="H130" s="253"/>
      <c r="I130" s="48"/>
      <c r="J130" s="76" t="str">
        <f t="shared" si="2"/>
        <v/>
      </c>
      <c r="K130" s="87" t="str">
        <f t="shared" si="3"/>
        <v/>
      </c>
      <c r="L130" s="47"/>
    </row>
    <row r="131" spans="2:12" s="56" customFormat="1" ht="14.25">
      <c r="B131" s="44"/>
      <c r="C131" s="47"/>
      <c r="D131" s="86"/>
      <c r="E131" s="86"/>
      <c r="F131" s="86"/>
      <c r="G131" s="253"/>
      <c r="H131" s="253"/>
      <c r="I131" s="48"/>
      <c r="J131" s="76" t="str">
        <f t="shared" si="2"/>
        <v/>
      </c>
      <c r="K131" s="87" t="str">
        <f t="shared" si="3"/>
        <v/>
      </c>
      <c r="L131" s="47"/>
    </row>
    <row r="132" spans="2:12" s="56" customFormat="1" ht="14.25">
      <c r="B132" s="44"/>
      <c r="C132" s="47"/>
      <c r="D132" s="86"/>
      <c r="E132" s="86"/>
      <c r="F132" s="86"/>
      <c r="G132" s="253"/>
      <c r="H132" s="253"/>
      <c r="I132" s="48"/>
      <c r="J132" s="76" t="str">
        <f t="shared" si="2"/>
        <v/>
      </c>
      <c r="K132" s="87" t="str">
        <f t="shared" si="3"/>
        <v/>
      </c>
      <c r="L132" s="47"/>
    </row>
    <row r="133" spans="2:12" s="56" customFormat="1" ht="14.25">
      <c r="B133" s="44"/>
      <c r="C133" s="47"/>
      <c r="D133" s="86"/>
      <c r="E133" s="86"/>
      <c r="F133" s="86"/>
      <c r="G133" s="253"/>
      <c r="H133" s="253"/>
      <c r="I133" s="48"/>
      <c r="J133" s="76" t="str">
        <f t="shared" si="2"/>
        <v/>
      </c>
      <c r="K133" s="87" t="str">
        <f t="shared" si="3"/>
        <v/>
      </c>
      <c r="L133" s="47"/>
    </row>
    <row r="134" spans="2:12" s="56" customFormat="1" ht="14.25">
      <c r="B134" s="44"/>
      <c r="C134" s="47"/>
      <c r="D134" s="86"/>
      <c r="E134" s="86"/>
      <c r="F134" s="86"/>
      <c r="G134" s="253"/>
      <c r="H134" s="253"/>
      <c r="I134" s="48"/>
      <c r="J134" s="76" t="str">
        <f t="shared" si="2"/>
        <v/>
      </c>
      <c r="K134" s="87" t="str">
        <f t="shared" si="3"/>
        <v/>
      </c>
      <c r="L134" s="47"/>
    </row>
    <row r="135" spans="2:12" s="56" customFormat="1" ht="14.25">
      <c r="B135" s="44"/>
      <c r="C135" s="47"/>
      <c r="D135" s="86"/>
      <c r="E135" s="86"/>
      <c r="F135" s="86"/>
      <c r="G135" s="253"/>
      <c r="H135" s="253"/>
      <c r="I135" s="48"/>
      <c r="J135" s="76" t="str">
        <f t="shared" si="2"/>
        <v/>
      </c>
      <c r="K135" s="87" t="str">
        <f t="shared" si="3"/>
        <v/>
      </c>
      <c r="L135" s="47"/>
    </row>
    <row r="136" spans="2:12" s="56" customFormat="1" ht="14.25">
      <c r="B136" s="44"/>
      <c r="C136" s="47"/>
      <c r="D136" s="86"/>
      <c r="E136" s="86"/>
      <c r="F136" s="86"/>
      <c r="G136" s="253"/>
      <c r="H136" s="253"/>
      <c r="I136" s="48"/>
      <c r="J136" s="76" t="str">
        <f t="shared" si="2"/>
        <v/>
      </c>
      <c r="K136" s="87" t="str">
        <f t="shared" si="3"/>
        <v/>
      </c>
      <c r="L136" s="47"/>
    </row>
    <row r="137" spans="2:12" s="56" customFormat="1" ht="14.25">
      <c r="B137" s="44"/>
      <c r="C137" s="47"/>
      <c r="D137" s="86"/>
      <c r="E137" s="86"/>
      <c r="F137" s="86"/>
      <c r="G137" s="253"/>
      <c r="H137" s="253"/>
      <c r="I137" s="48"/>
      <c r="J137" s="76" t="str">
        <f t="shared" si="2"/>
        <v/>
      </c>
      <c r="K137" s="87" t="str">
        <f t="shared" si="3"/>
        <v/>
      </c>
      <c r="L137" s="47"/>
    </row>
    <row r="138" spans="2:12" s="56" customFormat="1" ht="14.25">
      <c r="B138" s="44"/>
      <c r="C138" s="47"/>
      <c r="D138" s="86"/>
      <c r="E138" s="86"/>
      <c r="F138" s="86"/>
      <c r="G138" s="253"/>
      <c r="H138" s="253"/>
      <c r="I138" s="48"/>
      <c r="J138" s="76" t="str">
        <f t="shared" si="2"/>
        <v/>
      </c>
      <c r="K138" s="87" t="str">
        <f t="shared" si="3"/>
        <v/>
      </c>
      <c r="L138" s="47"/>
    </row>
    <row r="139" spans="2:12" s="56" customFormat="1" ht="14.25">
      <c r="B139" s="44"/>
      <c r="C139" s="47"/>
      <c r="D139" s="86"/>
      <c r="E139" s="86"/>
      <c r="F139" s="86"/>
      <c r="G139" s="253"/>
      <c r="H139" s="253"/>
      <c r="I139" s="48"/>
      <c r="J139" s="76" t="str">
        <f t="shared" ref="J139:J202" si="4">IF($C139&lt;&gt;"",$E139*1.5,"")</f>
        <v/>
      </c>
      <c r="K139" s="87" t="str">
        <f t="shared" ref="K139:K202" si="5">IFERROR($J139/10,"")</f>
        <v/>
      </c>
      <c r="L139" s="47"/>
    </row>
    <row r="140" spans="2:12" s="56" customFormat="1" ht="14.25">
      <c r="B140" s="44"/>
      <c r="C140" s="47"/>
      <c r="D140" s="86"/>
      <c r="E140" s="86"/>
      <c r="F140" s="86"/>
      <c r="G140" s="253"/>
      <c r="H140" s="253"/>
      <c r="I140" s="48"/>
      <c r="J140" s="76" t="str">
        <f t="shared" si="4"/>
        <v/>
      </c>
      <c r="K140" s="87" t="str">
        <f t="shared" si="5"/>
        <v/>
      </c>
      <c r="L140" s="47"/>
    </row>
    <row r="141" spans="2:12" s="56" customFormat="1" ht="14.25">
      <c r="B141" s="44"/>
      <c r="C141" s="47"/>
      <c r="D141" s="86"/>
      <c r="E141" s="86"/>
      <c r="F141" s="86"/>
      <c r="G141" s="253"/>
      <c r="H141" s="253"/>
      <c r="I141" s="48"/>
      <c r="J141" s="76" t="str">
        <f t="shared" si="4"/>
        <v/>
      </c>
      <c r="K141" s="87" t="str">
        <f t="shared" si="5"/>
        <v/>
      </c>
      <c r="L141" s="47"/>
    </row>
    <row r="142" spans="2:12" s="56" customFormat="1" ht="14.25">
      <c r="B142" s="44"/>
      <c r="C142" s="47"/>
      <c r="D142" s="86"/>
      <c r="E142" s="86"/>
      <c r="F142" s="86"/>
      <c r="G142" s="253"/>
      <c r="H142" s="253"/>
      <c r="I142" s="48"/>
      <c r="J142" s="76" t="str">
        <f t="shared" si="4"/>
        <v/>
      </c>
      <c r="K142" s="87" t="str">
        <f t="shared" si="5"/>
        <v/>
      </c>
      <c r="L142" s="47"/>
    </row>
    <row r="143" spans="2:12" s="56" customFormat="1" ht="14.25">
      <c r="B143" s="44"/>
      <c r="C143" s="47"/>
      <c r="D143" s="86"/>
      <c r="E143" s="86"/>
      <c r="F143" s="86"/>
      <c r="G143" s="253"/>
      <c r="H143" s="253"/>
      <c r="I143" s="48"/>
      <c r="J143" s="76" t="str">
        <f t="shared" si="4"/>
        <v/>
      </c>
      <c r="K143" s="87" t="str">
        <f t="shared" si="5"/>
        <v/>
      </c>
      <c r="L143" s="47"/>
    </row>
    <row r="144" spans="2:12" s="56" customFormat="1" ht="14.25">
      <c r="B144" s="44"/>
      <c r="C144" s="47"/>
      <c r="D144" s="86"/>
      <c r="E144" s="86"/>
      <c r="F144" s="86"/>
      <c r="G144" s="253"/>
      <c r="H144" s="253"/>
      <c r="I144" s="48"/>
      <c r="J144" s="76" t="str">
        <f t="shared" si="4"/>
        <v/>
      </c>
      <c r="K144" s="87" t="str">
        <f t="shared" si="5"/>
        <v/>
      </c>
      <c r="L144" s="47"/>
    </row>
    <row r="145" spans="2:12" s="56" customFormat="1" ht="14.25">
      <c r="B145" s="44"/>
      <c r="C145" s="47"/>
      <c r="D145" s="86"/>
      <c r="E145" s="86"/>
      <c r="F145" s="86"/>
      <c r="G145" s="253"/>
      <c r="H145" s="253"/>
      <c r="I145" s="48"/>
      <c r="J145" s="76" t="str">
        <f t="shared" si="4"/>
        <v/>
      </c>
      <c r="K145" s="87" t="str">
        <f t="shared" si="5"/>
        <v/>
      </c>
      <c r="L145" s="47"/>
    </row>
    <row r="146" spans="2:12" s="56" customFormat="1" ht="14.25">
      <c r="B146" s="44"/>
      <c r="C146" s="47"/>
      <c r="D146" s="86"/>
      <c r="E146" s="86"/>
      <c r="F146" s="86"/>
      <c r="G146" s="253"/>
      <c r="H146" s="253"/>
      <c r="I146" s="48"/>
      <c r="J146" s="76" t="str">
        <f t="shared" si="4"/>
        <v/>
      </c>
      <c r="K146" s="87" t="str">
        <f t="shared" si="5"/>
        <v/>
      </c>
      <c r="L146" s="47"/>
    </row>
    <row r="147" spans="2:12" s="56" customFormat="1" ht="14.25">
      <c r="B147" s="44"/>
      <c r="C147" s="47"/>
      <c r="D147" s="86"/>
      <c r="E147" s="86"/>
      <c r="F147" s="86"/>
      <c r="G147" s="253"/>
      <c r="H147" s="253"/>
      <c r="I147" s="48"/>
      <c r="J147" s="76" t="str">
        <f t="shared" si="4"/>
        <v/>
      </c>
      <c r="K147" s="87" t="str">
        <f t="shared" si="5"/>
        <v/>
      </c>
      <c r="L147" s="47"/>
    </row>
    <row r="148" spans="2:12" s="56" customFormat="1" ht="14.25">
      <c r="B148" s="44"/>
      <c r="C148" s="47"/>
      <c r="D148" s="86"/>
      <c r="E148" s="86"/>
      <c r="F148" s="86"/>
      <c r="G148" s="253"/>
      <c r="H148" s="253"/>
      <c r="I148" s="48"/>
      <c r="J148" s="76" t="str">
        <f t="shared" si="4"/>
        <v/>
      </c>
      <c r="K148" s="87" t="str">
        <f t="shared" si="5"/>
        <v/>
      </c>
      <c r="L148" s="47"/>
    </row>
    <row r="149" spans="2:12" s="56" customFormat="1" ht="14.25">
      <c r="B149" s="44"/>
      <c r="C149" s="47"/>
      <c r="D149" s="86"/>
      <c r="E149" s="86"/>
      <c r="F149" s="86"/>
      <c r="G149" s="253"/>
      <c r="H149" s="253"/>
      <c r="I149" s="48"/>
      <c r="J149" s="76" t="str">
        <f t="shared" si="4"/>
        <v/>
      </c>
      <c r="K149" s="87" t="str">
        <f t="shared" si="5"/>
        <v/>
      </c>
      <c r="L149" s="47"/>
    </row>
    <row r="150" spans="2:12" s="56" customFormat="1" ht="14.25">
      <c r="B150" s="44"/>
      <c r="C150" s="47"/>
      <c r="D150" s="86"/>
      <c r="E150" s="86"/>
      <c r="F150" s="86"/>
      <c r="G150" s="253"/>
      <c r="H150" s="253"/>
      <c r="I150" s="48"/>
      <c r="J150" s="76" t="str">
        <f t="shared" si="4"/>
        <v/>
      </c>
      <c r="K150" s="87" t="str">
        <f t="shared" si="5"/>
        <v/>
      </c>
      <c r="L150" s="47"/>
    </row>
    <row r="151" spans="2:12" s="56" customFormat="1" ht="14.25">
      <c r="B151" s="44"/>
      <c r="C151" s="47"/>
      <c r="D151" s="86"/>
      <c r="E151" s="86"/>
      <c r="F151" s="86"/>
      <c r="G151" s="253"/>
      <c r="H151" s="253"/>
      <c r="I151" s="48"/>
      <c r="J151" s="76" t="str">
        <f t="shared" si="4"/>
        <v/>
      </c>
      <c r="K151" s="87" t="str">
        <f t="shared" si="5"/>
        <v/>
      </c>
      <c r="L151" s="47"/>
    </row>
    <row r="152" spans="2:12" s="56" customFormat="1" ht="14.25">
      <c r="B152" s="44"/>
      <c r="C152" s="47"/>
      <c r="D152" s="86"/>
      <c r="E152" s="86"/>
      <c r="F152" s="86"/>
      <c r="G152" s="253"/>
      <c r="H152" s="253"/>
      <c r="I152" s="48"/>
      <c r="J152" s="76" t="str">
        <f t="shared" si="4"/>
        <v/>
      </c>
      <c r="K152" s="87" t="str">
        <f t="shared" si="5"/>
        <v/>
      </c>
      <c r="L152" s="47"/>
    </row>
    <row r="153" spans="2:12" s="56" customFormat="1" ht="14.25">
      <c r="B153" s="44"/>
      <c r="C153" s="47"/>
      <c r="D153" s="86"/>
      <c r="E153" s="86"/>
      <c r="F153" s="86"/>
      <c r="G153" s="253"/>
      <c r="H153" s="253"/>
      <c r="I153" s="48"/>
      <c r="J153" s="76" t="str">
        <f t="shared" si="4"/>
        <v/>
      </c>
      <c r="K153" s="87" t="str">
        <f t="shared" si="5"/>
        <v/>
      </c>
      <c r="L153" s="47"/>
    </row>
    <row r="154" spans="2:12" s="56" customFormat="1" ht="14.25">
      <c r="B154" s="44"/>
      <c r="C154" s="47"/>
      <c r="D154" s="86"/>
      <c r="E154" s="86"/>
      <c r="F154" s="86"/>
      <c r="G154" s="253"/>
      <c r="H154" s="253"/>
      <c r="I154" s="48"/>
      <c r="J154" s="76" t="str">
        <f t="shared" si="4"/>
        <v/>
      </c>
      <c r="K154" s="87" t="str">
        <f t="shared" si="5"/>
        <v/>
      </c>
      <c r="L154" s="47"/>
    </row>
    <row r="155" spans="2:12" s="56" customFormat="1" ht="14.25">
      <c r="B155" s="44"/>
      <c r="C155" s="47"/>
      <c r="D155" s="86"/>
      <c r="E155" s="86"/>
      <c r="F155" s="86"/>
      <c r="G155" s="253"/>
      <c r="H155" s="253"/>
      <c r="I155" s="48"/>
      <c r="J155" s="76" t="str">
        <f t="shared" si="4"/>
        <v/>
      </c>
      <c r="K155" s="87" t="str">
        <f t="shared" si="5"/>
        <v/>
      </c>
      <c r="L155" s="47"/>
    </row>
    <row r="156" spans="2:12" s="56" customFormat="1" ht="14.25">
      <c r="B156" s="44"/>
      <c r="C156" s="47"/>
      <c r="D156" s="86"/>
      <c r="E156" s="86"/>
      <c r="F156" s="86"/>
      <c r="G156" s="253"/>
      <c r="H156" s="253"/>
      <c r="I156" s="48"/>
      <c r="J156" s="76" t="str">
        <f t="shared" si="4"/>
        <v/>
      </c>
      <c r="K156" s="87" t="str">
        <f t="shared" si="5"/>
        <v/>
      </c>
      <c r="L156" s="47"/>
    </row>
    <row r="157" spans="2:12" s="56" customFormat="1" ht="14.25">
      <c r="B157" s="44"/>
      <c r="C157" s="47"/>
      <c r="D157" s="86"/>
      <c r="E157" s="86"/>
      <c r="F157" s="86"/>
      <c r="G157" s="253"/>
      <c r="H157" s="253"/>
      <c r="I157" s="48"/>
      <c r="J157" s="76" t="str">
        <f t="shared" si="4"/>
        <v/>
      </c>
      <c r="K157" s="87" t="str">
        <f t="shared" si="5"/>
        <v/>
      </c>
      <c r="L157" s="47"/>
    </row>
    <row r="158" spans="2:12" s="56" customFormat="1" ht="14.25">
      <c r="B158" s="44"/>
      <c r="C158" s="47"/>
      <c r="D158" s="86"/>
      <c r="E158" s="86"/>
      <c r="F158" s="86"/>
      <c r="G158" s="253"/>
      <c r="H158" s="253"/>
      <c r="I158" s="48"/>
      <c r="J158" s="76" t="str">
        <f t="shared" si="4"/>
        <v/>
      </c>
      <c r="K158" s="87" t="str">
        <f t="shared" si="5"/>
        <v/>
      </c>
      <c r="L158" s="47"/>
    </row>
    <row r="159" spans="2:12" s="56" customFormat="1" ht="14.25">
      <c r="B159" s="44"/>
      <c r="C159" s="47"/>
      <c r="D159" s="86"/>
      <c r="E159" s="86"/>
      <c r="F159" s="86"/>
      <c r="G159" s="253"/>
      <c r="H159" s="253"/>
      <c r="I159" s="48"/>
      <c r="J159" s="76" t="str">
        <f t="shared" si="4"/>
        <v/>
      </c>
      <c r="K159" s="87" t="str">
        <f t="shared" si="5"/>
        <v/>
      </c>
      <c r="L159" s="47"/>
    </row>
    <row r="160" spans="2:12" s="56" customFormat="1" ht="14.25">
      <c r="B160" s="44"/>
      <c r="C160" s="47"/>
      <c r="D160" s="86"/>
      <c r="E160" s="86"/>
      <c r="F160" s="86"/>
      <c r="G160" s="253"/>
      <c r="H160" s="253"/>
      <c r="I160" s="48"/>
      <c r="J160" s="76" t="str">
        <f t="shared" si="4"/>
        <v/>
      </c>
      <c r="K160" s="87" t="str">
        <f t="shared" si="5"/>
        <v/>
      </c>
      <c r="L160" s="47"/>
    </row>
    <row r="161" spans="2:12" s="56" customFormat="1" ht="14.25">
      <c r="B161" s="44"/>
      <c r="C161" s="47"/>
      <c r="D161" s="86"/>
      <c r="E161" s="86"/>
      <c r="F161" s="86"/>
      <c r="G161" s="253"/>
      <c r="H161" s="253"/>
      <c r="I161" s="48"/>
      <c r="J161" s="76" t="str">
        <f t="shared" si="4"/>
        <v/>
      </c>
      <c r="K161" s="87" t="str">
        <f t="shared" si="5"/>
        <v/>
      </c>
      <c r="L161" s="47"/>
    </row>
    <row r="162" spans="2:12" s="56" customFormat="1" ht="14.25">
      <c r="B162" s="44"/>
      <c r="C162" s="47"/>
      <c r="D162" s="86"/>
      <c r="E162" s="86"/>
      <c r="F162" s="86"/>
      <c r="G162" s="253"/>
      <c r="H162" s="253"/>
      <c r="I162" s="48"/>
      <c r="J162" s="76" t="str">
        <f t="shared" si="4"/>
        <v/>
      </c>
      <c r="K162" s="87" t="str">
        <f t="shared" si="5"/>
        <v/>
      </c>
      <c r="L162" s="47"/>
    </row>
    <row r="163" spans="2:12" s="56" customFormat="1" ht="14.25">
      <c r="B163" s="44"/>
      <c r="C163" s="47"/>
      <c r="D163" s="86"/>
      <c r="E163" s="86"/>
      <c r="F163" s="86"/>
      <c r="G163" s="253"/>
      <c r="H163" s="253"/>
      <c r="I163" s="48"/>
      <c r="J163" s="76" t="str">
        <f t="shared" si="4"/>
        <v/>
      </c>
      <c r="K163" s="87" t="str">
        <f t="shared" si="5"/>
        <v/>
      </c>
      <c r="L163" s="47"/>
    </row>
    <row r="164" spans="2:12" s="56" customFormat="1" ht="14.25">
      <c r="B164" s="44"/>
      <c r="C164" s="47"/>
      <c r="D164" s="86"/>
      <c r="E164" s="86"/>
      <c r="F164" s="86"/>
      <c r="G164" s="253"/>
      <c r="H164" s="253"/>
      <c r="I164" s="48"/>
      <c r="J164" s="76" t="str">
        <f t="shared" si="4"/>
        <v/>
      </c>
      <c r="K164" s="87" t="str">
        <f t="shared" si="5"/>
        <v/>
      </c>
      <c r="L164" s="47"/>
    </row>
    <row r="165" spans="2:12" s="56" customFormat="1" ht="14.25">
      <c r="B165" s="44"/>
      <c r="C165" s="47"/>
      <c r="D165" s="86"/>
      <c r="E165" s="86"/>
      <c r="F165" s="86"/>
      <c r="G165" s="253"/>
      <c r="H165" s="253"/>
      <c r="I165" s="48"/>
      <c r="J165" s="76" t="str">
        <f t="shared" si="4"/>
        <v/>
      </c>
      <c r="K165" s="87" t="str">
        <f t="shared" si="5"/>
        <v/>
      </c>
      <c r="L165" s="47"/>
    </row>
    <row r="166" spans="2:12" s="56" customFormat="1" ht="14.25">
      <c r="B166" s="44"/>
      <c r="C166" s="47"/>
      <c r="D166" s="86"/>
      <c r="E166" s="86"/>
      <c r="F166" s="86"/>
      <c r="G166" s="253"/>
      <c r="H166" s="253"/>
      <c r="I166" s="48"/>
      <c r="J166" s="76" t="str">
        <f t="shared" si="4"/>
        <v/>
      </c>
      <c r="K166" s="87" t="str">
        <f t="shared" si="5"/>
        <v/>
      </c>
      <c r="L166" s="47"/>
    </row>
    <row r="167" spans="2:12" s="56" customFormat="1" ht="14.25">
      <c r="B167" s="44"/>
      <c r="C167" s="47"/>
      <c r="D167" s="86"/>
      <c r="E167" s="86"/>
      <c r="F167" s="86"/>
      <c r="G167" s="253"/>
      <c r="H167" s="253"/>
      <c r="I167" s="48"/>
      <c r="J167" s="76" t="str">
        <f t="shared" si="4"/>
        <v/>
      </c>
      <c r="K167" s="87" t="str">
        <f t="shared" si="5"/>
        <v/>
      </c>
      <c r="L167" s="47"/>
    </row>
    <row r="168" spans="2:12" s="56" customFormat="1" ht="14.25">
      <c r="B168" s="44"/>
      <c r="C168" s="47"/>
      <c r="D168" s="86"/>
      <c r="E168" s="86"/>
      <c r="F168" s="86"/>
      <c r="G168" s="253"/>
      <c r="H168" s="253"/>
      <c r="I168" s="48"/>
      <c r="J168" s="76" t="str">
        <f t="shared" si="4"/>
        <v/>
      </c>
      <c r="K168" s="87" t="str">
        <f t="shared" si="5"/>
        <v/>
      </c>
      <c r="L168" s="47"/>
    </row>
    <row r="169" spans="2:12" s="56" customFormat="1" ht="14.25">
      <c r="B169" s="44"/>
      <c r="C169" s="47"/>
      <c r="D169" s="86"/>
      <c r="E169" s="86"/>
      <c r="F169" s="86"/>
      <c r="G169" s="253"/>
      <c r="H169" s="253"/>
      <c r="I169" s="48"/>
      <c r="J169" s="76" t="str">
        <f t="shared" si="4"/>
        <v/>
      </c>
      <c r="K169" s="87" t="str">
        <f t="shared" si="5"/>
        <v/>
      </c>
      <c r="L169" s="47"/>
    </row>
    <row r="170" spans="2:12" s="56" customFormat="1" ht="14.25">
      <c r="B170" s="44"/>
      <c r="C170" s="47"/>
      <c r="D170" s="86"/>
      <c r="E170" s="86"/>
      <c r="F170" s="86"/>
      <c r="G170" s="253"/>
      <c r="H170" s="253"/>
      <c r="I170" s="48"/>
      <c r="J170" s="76" t="str">
        <f t="shared" si="4"/>
        <v/>
      </c>
      <c r="K170" s="87" t="str">
        <f t="shared" si="5"/>
        <v/>
      </c>
      <c r="L170" s="47"/>
    </row>
    <row r="171" spans="2:12" s="56" customFormat="1" ht="14.25">
      <c r="B171" s="44"/>
      <c r="C171" s="47"/>
      <c r="D171" s="86"/>
      <c r="E171" s="86"/>
      <c r="F171" s="86"/>
      <c r="G171" s="253"/>
      <c r="H171" s="253"/>
      <c r="I171" s="48"/>
      <c r="J171" s="76" t="str">
        <f t="shared" si="4"/>
        <v/>
      </c>
      <c r="K171" s="87" t="str">
        <f t="shared" si="5"/>
        <v/>
      </c>
      <c r="L171" s="47"/>
    </row>
    <row r="172" spans="2:12" s="56" customFormat="1" ht="14.25">
      <c r="B172" s="44"/>
      <c r="C172" s="47"/>
      <c r="D172" s="86"/>
      <c r="E172" s="86"/>
      <c r="F172" s="86"/>
      <c r="G172" s="253"/>
      <c r="H172" s="253"/>
      <c r="I172" s="48"/>
      <c r="J172" s="76" t="str">
        <f t="shared" si="4"/>
        <v/>
      </c>
      <c r="K172" s="87" t="str">
        <f t="shared" si="5"/>
        <v/>
      </c>
      <c r="L172" s="47"/>
    </row>
    <row r="173" spans="2:12" s="56" customFormat="1" ht="14.25">
      <c r="B173" s="44"/>
      <c r="C173" s="47"/>
      <c r="D173" s="86"/>
      <c r="E173" s="86"/>
      <c r="F173" s="86"/>
      <c r="G173" s="253"/>
      <c r="H173" s="253"/>
      <c r="I173" s="48"/>
      <c r="J173" s="76" t="str">
        <f t="shared" si="4"/>
        <v/>
      </c>
      <c r="K173" s="87" t="str">
        <f t="shared" si="5"/>
        <v/>
      </c>
      <c r="L173" s="47"/>
    </row>
    <row r="174" spans="2:12" s="56" customFormat="1" ht="14.25">
      <c r="B174" s="44"/>
      <c r="C174" s="47"/>
      <c r="D174" s="86"/>
      <c r="E174" s="86"/>
      <c r="F174" s="86"/>
      <c r="G174" s="253"/>
      <c r="H174" s="253"/>
      <c r="I174" s="48"/>
      <c r="J174" s="76" t="str">
        <f t="shared" si="4"/>
        <v/>
      </c>
      <c r="K174" s="87" t="str">
        <f t="shared" si="5"/>
        <v/>
      </c>
      <c r="L174" s="47"/>
    </row>
    <row r="175" spans="2:12" s="56" customFormat="1" ht="14.25">
      <c r="B175" s="44"/>
      <c r="C175" s="47"/>
      <c r="D175" s="86"/>
      <c r="E175" s="86"/>
      <c r="F175" s="86"/>
      <c r="G175" s="253"/>
      <c r="H175" s="253"/>
      <c r="I175" s="48"/>
      <c r="J175" s="76" t="str">
        <f t="shared" si="4"/>
        <v/>
      </c>
      <c r="K175" s="87" t="str">
        <f t="shared" si="5"/>
        <v/>
      </c>
      <c r="L175" s="47"/>
    </row>
    <row r="176" spans="2:12" s="56" customFormat="1" ht="14.25">
      <c r="B176" s="44"/>
      <c r="C176" s="47"/>
      <c r="D176" s="86"/>
      <c r="E176" s="86"/>
      <c r="F176" s="86"/>
      <c r="G176" s="253"/>
      <c r="H176" s="253"/>
      <c r="I176" s="48"/>
      <c r="J176" s="76" t="str">
        <f t="shared" si="4"/>
        <v/>
      </c>
      <c r="K176" s="87" t="str">
        <f t="shared" si="5"/>
        <v/>
      </c>
      <c r="L176" s="47"/>
    </row>
    <row r="177" spans="2:12" s="56" customFormat="1" ht="14.25">
      <c r="B177" s="44"/>
      <c r="C177" s="47"/>
      <c r="D177" s="86"/>
      <c r="E177" s="86"/>
      <c r="F177" s="86"/>
      <c r="G177" s="253"/>
      <c r="H177" s="253"/>
      <c r="I177" s="48"/>
      <c r="J177" s="76" t="str">
        <f t="shared" si="4"/>
        <v/>
      </c>
      <c r="K177" s="87" t="str">
        <f t="shared" si="5"/>
        <v/>
      </c>
      <c r="L177" s="47"/>
    </row>
    <row r="178" spans="2:12" s="56" customFormat="1" ht="14.25">
      <c r="B178" s="44"/>
      <c r="C178" s="47"/>
      <c r="D178" s="86"/>
      <c r="E178" s="86"/>
      <c r="F178" s="86"/>
      <c r="G178" s="253"/>
      <c r="H178" s="253"/>
      <c r="I178" s="48"/>
      <c r="J178" s="76" t="str">
        <f t="shared" si="4"/>
        <v/>
      </c>
      <c r="K178" s="87" t="str">
        <f t="shared" si="5"/>
        <v/>
      </c>
      <c r="L178" s="47"/>
    </row>
    <row r="179" spans="2:12" s="56" customFormat="1" ht="14.25">
      <c r="B179" s="44"/>
      <c r="C179" s="47"/>
      <c r="D179" s="86"/>
      <c r="E179" s="86"/>
      <c r="F179" s="86"/>
      <c r="G179" s="253"/>
      <c r="H179" s="253"/>
      <c r="I179" s="48"/>
      <c r="J179" s="76" t="str">
        <f t="shared" si="4"/>
        <v/>
      </c>
      <c r="K179" s="87" t="str">
        <f t="shared" si="5"/>
        <v/>
      </c>
      <c r="L179" s="47"/>
    </row>
    <row r="180" spans="2:12" s="56" customFormat="1" ht="14.25">
      <c r="B180" s="44"/>
      <c r="C180" s="47"/>
      <c r="D180" s="86"/>
      <c r="E180" s="86"/>
      <c r="F180" s="86"/>
      <c r="G180" s="253"/>
      <c r="H180" s="253"/>
      <c r="I180" s="48"/>
      <c r="J180" s="76" t="str">
        <f t="shared" si="4"/>
        <v/>
      </c>
      <c r="K180" s="87" t="str">
        <f t="shared" si="5"/>
        <v/>
      </c>
      <c r="L180" s="47"/>
    </row>
    <row r="181" spans="2:12" s="56" customFormat="1" ht="14.25">
      <c r="B181" s="44"/>
      <c r="C181" s="47"/>
      <c r="D181" s="86"/>
      <c r="E181" s="86"/>
      <c r="F181" s="86"/>
      <c r="G181" s="253"/>
      <c r="H181" s="253"/>
      <c r="I181" s="48"/>
      <c r="J181" s="76" t="str">
        <f t="shared" si="4"/>
        <v/>
      </c>
      <c r="K181" s="87" t="str">
        <f t="shared" si="5"/>
        <v/>
      </c>
      <c r="L181" s="47"/>
    </row>
    <row r="182" spans="2:12" s="56" customFormat="1" ht="14.25">
      <c r="B182" s="44"/>
      <c r="C182" s="47"/>
      <c r="D182" s="86"/>
      <c r="E182" s="86"/>
      <c r="F182" s="86"/>
      <c r="G182" s="253"/>
      <c r="H182" s="253"/>
      <c r="I182" s="48"/>
      <c r="J182" s="76" t="str">
        <f t="shared" si="4"/>
        <v/>
      </c>
      <c r="K182" s="87" t="str">
        <f t="shared" si="5"/>
        <v/>
      </c>
      <c r="L182" s="47"/>
    </row>
    <row r="183" spans="2:12" s="56" customFormat="1" ht="14.25">
      <c r="B183" s="44"/>
      <c r="C183" s="47"/>
      <c r="D183" s="86"/>
      <c r="E183" s="86"/>
      <c r="F183" s="86"/>
      <c r="G183" s="253"/>
      <c r="H183" s="253"/>
      <c r="I183" s="48"/>
      <c r="J183" s="76" t="str">
        <f t="shared" si="4"/>
        <v/>
      </c>
      <c r="K183" s="87" t="str">
        <f t="shared" si="5"/>
        <v/>
      </c>
      <c r="L183" s="47"/>
    </row>
    <row r="184" spans="2:12" s="56" customFormat="1" ht="14.25">
      <c r="B184" s="44"/>
      <c r="C184" s="47"/>
      <c r="D184" s="86"/>
      <c r="E184" s="86"/>
      <c r="F184" s="86"/>
      <c r="G184" s="253"/>
      <c r="H184" s="253"/>
      <c r="I184" s="48"/>
      <c r="J184" s="76" t="str">
        <f t="shared" si="4"/>
        <v/>
      </c>
      <c r="K184" s="87" t="str">
        <f t="shared" si="5"/>
        <v/>
      </c>
      <c r="L184" s="47"/>
    </row>
    <row r="185" spans="2:12" s="56" customFormat="1" ht="14.25">
      <c r="B185" s="44"/>
      <c r="C185" s="47"/>
      <c r="D185" s="86"/>
      <c r="E185" s="86"/>
      <c r="F185" s="86"/>
      <c r="G185" s="253"/>
      <c r="H185" s="253"/>
      <c r="I185" s="48"/>
      <c r="J185" s="76" t="str">
        <f t="shared" si="4"/>
        <v/>
      </c>
      <c r="K185" s="87" t="str">
        <f t="shared" si="5"/>
        <v/>
      </c>
      <c r="L185" s="47"/>
    </row>
    <row r="186" spans="2:12" s="56" customFormat="1" ht="14.25">
      <c r="B186" s="44"/>
      <c r="C186" s="47"/>
      <c r="D186" s="86"/>
      <c r="E186" s="86"/>
      <c r="F186" s="86"/>
      <c r="G186" s="253"/>
      <c r="H186" s="253"/>
      <c r="I186" s="48"/>
      <c r="J186" s="76" t="str">
        <f t="shared" si="4"/>
        <v/>
      </c>
      <c r="K186" s="87" t="str">
        <f t="shared" si="5"/>
        <v/>
      </c>
      <c r="L186" s="47"/>
    </row>
    <row r="187" spans="2:12" s="56" customFormat="1" ht="14.25">
      <c r="B187" s="44"/>
      <c r="C187" s="47"/>
      <c r="D187" s="86"/>
      <c r="E187" s="86"/>
      <c r="F187" s="86"/>
      <c r="G187" s="253"/>
      <c r="H187" s="253"/>
      <c r="I187" s="48"/>
      <c r="J187" s="76" t="str">
        <f t="shared" si="4"/>
        <v/>
      </c>
      <c r="K187" s="87" t="str">
        <f t="shared" si="5"/>
        <v/>
      </c>
      <c r="L187" s="47"/>
    </row>
    <row r="188" spans="2:12" s="56" customFormat="1" ht="14.25">
      <c r="B188" s="44"/>
      <c r="C188" s="47"/>
      <c r="D188" s="86"/>
      <c r="E188" s="86"/>
      <c r="F188" s="86"/>
      <c r="G188" s="253"/>
      <c r="H188" s="253"/>
      <c r="I188" s="48"/>
      <c r="J188" s="76" t="str">
        <f t="shared" si="4"/>
        <v/>
      </c>
      <c r="K188" s="87" t="str">
        <f t="shared" si="5"/>
        <v/>
      </c>
      <c r="L188" s="47"/>
    </row>
    <row r="189" spans="2:12" s="56" customFormat="1" ht="14.25">
      <c r="B189" s="44"/>
      <c r="C189" s="47"/>
      <c r="D189" s="86"/>
      <c r="E189" s="86"/>
      <c r="F189" s="86"/>
      <c r="G189" s="253"/>
      <c r="H189" s="253"/>
      <c r="I189" s="48"/>
      <c r="J189" s="76" t="str">
        <f t="shared" si="4"/>
        <v/>
      </c>
      <c r="K189" s="87" t="str">
        <f t="shared" si="5"/>
        <v/>
      </c>
      <c r="L189" s="47"/>
    </row>
    <row r="190" spans="2:12" s="56" customFormat="1" ht="14.25">
      <c r="B190" s="44"/>
      <c r="C190" s="47"/>
      <c r="D190" s="86"/>
      <c r="E190" s="86"/>
      <c r="F190" s="86"/>
      <c r="G190" s="253"/>
      <c r="H190" s="253"/>
      <c r="I190" s="48"/>
      <c r="J190" s="76" t="str">
        <f t="shared" si="4"/>
        <v/>
      </c>
      <c r="K190" s="87" t="str">
        <f t="shared" si="5"/>
        <v/>
      </c>
      <c r="L190" s="47"/>
    </row>
    <row r="191" spans="2:12" s="56" customFormat="1" ht="14.25">
      <c r="B191" s="44"/>
      <c r="C191" s="47"/>
      <c r="D191" s="86"/>
      <c r="E191" s="86"/>
      <c r="F191" s="86"/>
      <c r="G191" s="253"/>
      <c r="H191" s="253"/>
      <c r="I191" s="48"/>
      <c r="J191" s="76" t="str">
        <f t="shared" si="4"/>
        <v/>
      </c>
      <c r="K191" s="87" t="str">
        <f t="shared" si="5"/>
        <v/>
      </c>
      <c r="L191" s="47"/>
    </row>
    <row r="192" spans="2:12" s="56" customFormat="1" ht="14.25">
      <c r="B192" s="44"/>
      <c r="C192" s="47"/>
      <c r="D192" s="86"/>
      <c r="E192" s="86"/>
      <c r="F192" s="86"/>
      <c r="G192" s="253"/>
      <c r="H192" s="253"/>
      <c r="I192" s="48"/>
      <c r="J192" s="76" t="str">
        <f t="shared" si="4"/>
        <v/>
      </c>
      <c r="K192" s="87" t="str">
        <f t="shared" si="5"/>
        <v/>
      </c>
      <c r="L192" s="47"/>
    </row>
    <row r="193" spans="2:12" s="56" customFormat="1" ht="14.25">
      <c r="B193" s="44"/>
      <c r="C193" s="47"/>
      <c r="D193" s="86"/>
      <c r="E193" s="86"/>
      <c r="F193" s="86"/>
      <c r="G193" s="253"/>
      <c r="H193" s="253"/>
      <c r="I193" s="48"/>
      <c r="J193" s="76" t="str">
        <f t="shared" si="4"/>
        <v/>
      </c>
      <c r="K193" s="87" t="str">
        <f t="shared" si="5"/>
        <v/>
      </c>
      <c r="L193" s="47"/>
    </row>
    <row r="194" spans="2:12" s="56" customFormat="1" ht="14.25">
      <c r="B194" s="44"/>
      <c r="C194" s="47"/>
      <c r="D194" s="86"/>
      <c r="E194" s="86"/>
      <c r="F194" s="86"/>
      <c r="G194" s="253"/>
      <c r="H194" s="253"/>
      <c r="I194" s="48"/>
      <c r="J194" s="76" t="str">
        <f t="shared" si="4"/>
        <v/>
      </c>
      <c r="K194" s="87" t="str">
        <f t="shared" si="5"/>
        <v/>
      </c>
      <c r="L194" s="47"/>
    </row>
    <row r="195" spans="2:12" s="56" customFormat="1" ht="14.25">
      <c r="B195" s="44"/>
      <c r="C195" s="47"/>
      <c r="D195" s="86"/>
      <c r="E195" s="86"/>
      <c r="F195" s="86"/>
      <c r="G195" s="253"/>
      <c r="H195" s="253"/>
      <c r="I195" s="48"/>
      <c r="J195" s="76" t="str">
        <f t="shared" si="4"/>
        <v/>
      </c>
      <c r="K195" s="87" t="str">
        <f t="shared" si="5"/>
        <v/>
      </c>
      <c r="L195" s="47"/>
    </row>
    <row r="196" spans="2:12" s="56" customFormat="1" ht="14.25">
      <c r="B196" s="44"/>
      <c r="C196" s="47"/>
      <c r="D196" s="86"/>
      <c r="E196" s="86"/>
      <c r="F196" s="86"/>
      <c r="G196" s="253"/>
      <c r="H196" s="253"/>
      <c r="I196" s="48"/>
      <c r="J196" s="76" t="str">
        <f t="shared" si="4"/>
        <v/>
      </c>
      <c r="K196" s="87" t="str">
        <f t="shared" si="5"/>
        <v/>
      </c>
      <c r="L196" s="47"/>
    </row>
    <row r="197" spans="2:12" s="56" customFormat="1" ht="14.25">
      <c r="B197" s="44"/>
      <c r="C197" s="47"/>
      <c r="D197" s="86"/>
      <c r="E197" s="86"/>
      <c r="F197" s="86"/>
      <c r="G197" s="253"/>
      <c r="H197" s="253"/>
      <c r="I197" s="48"/>
      <c r="J197" s="76" t="str">
        <f t="shared" si="4"/>
        <v/>
      </c>
      <c r="K197" s="87" t="str">
        <f t="shared" si="5"/>
        <v/>
      </c>
      <c r="L197" s="47"/>
    </row>
    <row r="198" spans="2:12" s="56" customFormat="1" ht="14.25">
      <c r="B198" s="44"/>
      <c r="C198" s="47"/>
      <c r="D198" s="86"/>
      <c r="E198" s="86"/>
      <c r="F198" s="86"/>
      <c r="G198" s="253"/>
      <c r="H198" s="253"/>
      <c r="I198" s="48"/>
      <c r="J198" s="76" t="str">
        <f t="shared" si="4"/>
        <v/>
      </c>
      <c r="K198" s="87" t="str">
        <f t="shared" si="5"/>
        <v/>
      </c>
      <c r="L198" s="47"/>
    </row>
    <row r="199" spans="2:12" s="56" customFormat="1" ht="14.25">
      <c r="B199" s="44"/>
      <c r="C199" s="47"/>
      <c r="D199" s="86"/>
      <c r="E199" s="86"/>
      <c r="F199" s="86"/>
      <c r="G199" s="253"/>
      <c r="H199" s="253"/>
      <c r="I199" s="48"/>
      <c r="J199" s="76" t="str">
        <f t="shared" si="4"/>
        <v/>
      </c>
      <c r="K199" s="87" t="str">
        <f t="shared" si="5"/>
        <v/>
      </c>
      <c r="L199" s="47"/>
    </row>
    <row r="200" spans="2:12" s="56" customFormat="1" ht="14.25">
      <c r="B200" s="44"/>
      <c r="C200" s="47"/>
      <c r="D200" s="86"/>
      <c r="E200" s="86"/>
      <c r="F200" s="86"/>
      <c r="G200" s="253"/>
      <c r="H200" s="253"/>
      <c r="I200" s="48"/>
      <c r="J200" s="76" t="str">
        <f t="shared" si="4"/>
        <v/>
      </c>
      <c r="K200" s="87" t="str">
        <f t="shared" si="5"/>
        <v/>
      </c>
      <c r="L200" s="47"/>
    </row>
    <row r="201" spans="2:12" s="56" customFormat="1" ht="14.25">
      <c r="B201" s="44"/>
      <c r="C201" s="47"/>
      <c r="D201" s="86"/>
      <c r="E201" s="86"/>
      <c r="F201" s="86"/>
      <c r="G201" s="253"/>
      <c r="H201" s="253"/>
      <c r="I201" s="48"/>
      <c r="J201" s="76" t="str">
        <f t="shared" si="4"/>
        <v/>
      </c>
      <c r="K201" s="87" t="str">
        <f t="shared" si="5"/>
        <v/>
      </c>
      <c r="L201" s="47"/>
    </row>
    <row r="202" spans="2:12" s="56" customFormat="1" ht="14.25">
      <c r="B202" s="44"/>
      <c r="C202" s="47"/>
      <c r="D202" s="86"/>
      <c r="E202" s="86"/>
      <c r="F202" s="86"/>
      <c r="G202" s="253"/>
      <c r="H202" s="253"/>
      <c r="I202" s="48"/>
      <c r="J202" s="76" t="str">
        <f t="shared" si="4"/>
        <v/>
      </c>
      <c r="K202" s="87" t="str">
        <f t="shared" si="5"/>
        <v/>
      </c>
      <c r="L202" s="47"/>
    </row>
    <row r="203" spans="2:12" s="56" customFormat="1" ht="14.25">
      <c r="B203" s="44"/>
      <c r="C203" s="47"/>
      <c r="D203" s="86"/>
      <c r="E203" s="86"/>
      <c r="F203" s="86"/>
      <c r="G203" s="253"/>
      <c r="H203" s="253"/>
      <c r="I203" s="48"/>
      <c r="J203" s="76" t="str">
        <f t="shared" ref="J203:J266" si="6">IF($C203&lt;&gt;"",$E203*1.5,"")</f>
        <v/>
      </c>
      <c r="K203" s="87" t="str">
        <f t="shared" ref="K203:K266" si="7">IFERROR($J203/10,"")</f>
        <v/>
      </c>
      <c r="L203" s="47"/>
    </row>
    <row r="204" spans="2:12" s="56" customFormat="1" ht="14.25">
      <c r="B204" s="44"/>
      <c r="C204" s="47"/>
      <c r="D204" s="86"/>
      <c r="E204" s="86"/>
      <c r="F204" s="86"/>
      <c r="G204" s="253"/>
      <c r="H204" s="253"/>
      <c r="I204" s="48"/>
      <c r="J204" s="76" t="str">
        <f t="shared" si="6"/>
        <v/>
      </c>
      <c r="K204" s="87" t="str">
        <f t="shared" si="7"/>
        <v/>
      </c>
      <c r="L204" s="47"/>
    </row>
    <row r="205" spans="2:12" s="56" customFormat="1" ht="14.25">
      <c r="B205" s="44"/>
      <c r="C205" s="47"/>
      <c r="D205" s="86"/>
      <c r="E205" s="86"/>
      <c r="F205" s="86"/>
      <c r="G205" s="253"/>
      <c r="H205" s="253"/>
      <c r="I205" s="48"/>
      <c r="J205" s="76" t="str">
        <f t="shared" si="6"/>
        <v/>
      </c>
      <c r="K205" s="87" t="str">
        <f t="shared" si="7"/>
        <v/>
      </c>
      <c r="L205" s="47"/>
    </row>
    <row r="206" spans="2:12" s="56" customFormat="1" ht="14.25">
      <c r="B206" s="44"/>
      <c r="C206" s="47"/>
      <c r="D206" s="86"/>
      <c r="E206" s="86"/>
      <c r="F206" s="86"/>
      <c r="G206" s="253"/>
      <c r="H206" s="253"/>
      <c r="I206" s="48"/>
      <c r="J206" s="76" t="str">
        <f t="shared" si="6"/>
        <v/>
      </c>
      <c r="K206" s="87" t="str">
        <f t="shared" si="7"/>
        <v/>
      </c>
      <c r="L206" s="47"/>
    </row>
    <row r="207" spans="2:12" s="56" customFormat="1" ht="24" customHeight="1">
      <c r="B207" s="44"/>
      <c r="C207" s="47"/>
      <c r="D207" s="86"/>
      <c r="E207" s="86"/>
      <c r="F207" s="86"/>
      <c r="G207" s="253"/>
      <c r="H207" s="253"/>
      <c r="I207" s="48"/>
      <c r="J207" s="76" t="str">
        <f t="shared" si="6"/>
        <v/>
      </c>
      <c r="K207" s="87" t="str">
        <f t="shared" si="7"/>
        <v/>
      </c>
      <c r="L207" s="47"/>
    </row>
    <row r="208" spans="2:12" s="56" customFormat="1" ht="14.1" customHeight="1">
      <c r="B208" s="44"/>
      <c r="C208" s="47"/>
      <c r="D208" s="86"/>
      <c r="E208" s="86"/>
      <c r="F208" s="86"/>
      <c r="G208" s="253" t="s">
        <v>89</v>
      </c>
      <c r="H208" s="253"/>
      <c r="I208" s="48"/>
      <c r="J208" s="76" t="str">
        <f t="shared" si="6"/>
        <v/>
      </c>
      <c r="K208" s="87" t="str">
        <f t="shared" si="7"/>
        <v/>
      </c>
      <c r="L208" s="47"/>
    </row>
    <row r="209" spans="2:12" s="56" customFormat="1" ht="14.25">
      <c r="B209" s="44"/>
      <c r="C209" s="47"/>
      <c r="D209" s="86"/>
      <c r="E209" s="86"/>
      <c r="F209" s="86"/>
      <c r="G209" s="253"/>
      <c r="H209" s="253"/>
      <c r="I209" s="48"/>
      <c r="J209" s="76" t="str">
        <f t="shared" si="6"/>
        <v/>
      </c>
      <c r="K209" s="87" t="str">
        <f t="shared" si="7"/>
        <v/>
      </c>
      <c r="L209" s="47"/>
    </row>
    <row r="210" spans="2:12" s="56" customFormat="1" ht="14.25">
      <c r="B210" s="44"/>
      <c r="C210" s="47"/>
      <c r="D210" s="86"/>
      <c r="E210" s="86"/>
      <c r="F210" s="86"/>
      <c r="G210" s="253"/>
      <c r="H210" s="253"/>
      <c r="I210" s="48"/>
      <c r="J210" s="76" t="str">
        <f t="shared" si="6"/>
        <v/>
      </c>
      <c r="K210" s="87" t="str">
        <f t="shared" si="7"/>
        <v/>
      </c>
      <c r="L210" s="47"/>
    </row>
    <row r="211" spans="2:12" s="56" customFormat="1" ht="14.25">
      <c r="B211" s="44"/>
      <c r="C211" s="47"/>
      <c r="D211" s="86"/>
      <c r="E211" s="86"/>
      <c r="F211" s="86"/>
      <c r="G211" s="253"/>
      <c r="H211" s="253"/>
      <c r="I211" s="48"/>
      <c r="J211" s="76" t="str">
        <f t="shared" si="6"/>
        <v/>
      </c>
      <c r="K211" s="87" t="str">
        <f t="shared" si="7"/>
        <v/>
      </c>
      <c r="L211" s="47"/>
    </row>
    <row r="212" spans="2:12" s="56" customFormat="1" ht="14.25">
      <c r="B212" s="44"/>
      <c r="C212" s="47"/>
      <c r="D212" s="86"/>
      <c r="E212" s="86"/>
      <c r="F212" s="86"/>
      <c r="G212" s="253"/>
      <c r="H212" s="253"/>
      <c r="I212" s="48"/>
      <c r="J212" s="76" t="str">
        <f t="shared" si="6"/>
        <v/>
      </c>
      <c r="K212" s="87" t="str">
        <f t="shared" si="7"/>
        <v/>
      </c>
      <c r="L212" s="47"/>
    </row>
    <row r="213" spans="2:12" s="56" customFormat="1" ht="14.25">
      <c r="B213" s="44"/>
      <c r="C213" s="47"/>
      <c r="D213" s="86"/>
      <c r="E213" s="86"/>
      <c r="F213" s="86"/>
      <c r="G213" s="253"/>
      <c r="H213" s="253"/>
      <c r="I213" s="48"/>
      <c r="J213" s="76" t="str">
        <f t="shared" si="6"/>
        <v/>
      </c>
      <c r="K213" s="87" t="str">
        <f t="shared" si="7"/>
        <v/>
      </c>
      <c r="L213" s="47"/>
    </row>
    <row r="214" spans="2:12" s="56" customFormat="1" ht="14.25">
      <c r="B214" s="44"/>
      <c r="C214" s="47"/>
      <c r="D214" s="86"/>
      <c r="E214" s="86"/>
      <c r="F214" s="86"/>
      <c r="G214" s="253"/>
      <c r="H214" s="253"/>
      <c r="I214" s="48"/>
      <c r="J214" s="76" t="str">
        <f t="shared" si="6"/>
        <v/>
      </c>
      <c r="K214" s="87" t="str">
        <f t="shared" si="7"/>
        <v/>
      </c>
      <c r="L214" s="47"/>
    </row>
    <row r="215" spans="2:12" s="56" customFormat="1" ht="14.25">
      <c r="B215" s="44"/>
      <c r="C215" s="47"/>
      <c r="D215" s="86"/>
      <c r="E215" s="86"/>
      <c r="F215" s="86"/>
      <c r="G215" s="253"/>
      <c r="H215" s="253"/>
      <c r="I215" s="48"/>
      <c r="J215" s="76" t="str">
        <f t="shared" si="6"/>
        <v/>
      </c>
      <c r="K215" s="87" t="str">
        <f t="shared" si="7"/>
        <v/>
      </c>
      <c r="L215" s="47"/>
    </row>
    <row r="216" spans="2:12" s="56" customFormat="1" ht="14.25">
      <c r="B216" s="44"/>
      <c r="C216" s="47"/>
      <c r="D216" s="86"/>
      <c r="E216" s="86"/>
      <c r="F216" s="86"/>
      <c r="G216" s="253"/>
      <c r="H216" s="253"/>
      <c r="I216" s="48"/>
      <c r="J216" s="76" t="str">
        <f t="shared" si="6"/>
        <v/>
      </c>
      <c r="K216" s="87" t="str">
        <f t="shared" si="7"/>
        <v/>
      </c>
      <c r="L216" s="47"/>
    </row>
    <row r="217" spans="2:12" s="56" customFormat="1" ht="14.25">
      <c r="B217" s="44"/>
      <c r="C217" s="47"/>
      <c r="D217" s="86"/>
      <c r="E217" s="86"/>
      <c r="F217" s="86"/>
      <c r="G217" s="253"/>
      <c r="H217" s="253"/>
      <c r="I217" s="48"/>
      <c r="J217" s="76" t="str">
        <f t="shared" si="6"/>
        <v/>
      </c>
      <c r="K217" s="87" t="str">
        <f t="shared" si="7"/>
        <v/>
      </c>
      <c r="L217" s="47"/>
    </row>
    <row r="218" spans="2:12" s="56" customFormat="1" ht="14.25">
      <c r="B218" s="44"/>
      <c r="C218" s="47"/>
      <c r="D218" s="86"/>
      <c r="E218" s="86"/>
      <c r="F218" s="86"/>
      <c r="G218" s="253"/>
      <c r="H218" s="253"/>
      <c r="I218" s="48"/>
      <c r="J218" s="76" t="str">
        <f t="shared" si="6"/>
        <v/>
      </c>
      <c r="K218" s="87" t="str">
        <f t="shared" si="7"/>
        <v/>
      </c>
      <c r="L218" s="47"/>
    </row>
    <row r="219" spans="2:12" s="56" customFormat="1" ht="14.25">
      <c r="B219" s="44"/>
      <c r="C219" s="47"/>
      <c r="D219" s="86"/>
      <c r="E219" s="86"/>
      <c r="F219" s="86"/>
      <c r="G219" s="253"/>
      <c r="H219" s="253"/>
      <c r="I219" s="48"/>
      <c r="J219" s="76" t="str">
        <f t="shared" si="6"/>
        <v/>
      </c>
      <c r="K219" s="87" t="str">
        <f t="shared" si="7"/>
        <v/>
      </c>
      <c r="L219" s="47"/>
    </row>
    <row r="220" spans="2:12" s="56" customFormat="1" ht="14.25">
      <c r="B220" s="44"/>
      <c r="C220" s="47"/>
      <c r="D220" s="86"/>
      <c r="E220" s="86"/>
      <c r="F220" s="86"/>
      <c r="G220" s="253"/>
      <c r="H220" s="253"/>
      <c r="I220" s="48"/>
      <c r="J220" s="76" t="str">
        <f t="shared" si="6"/>
        <v/>
      </c>
      <c r="K220" s="87" t="str">
        <f t="shared" si="7"/>
        <v/>
      </c>
      <c r="L220" s="47"/>
    </row>
    <row r="221" spans="2:12" s="56" customFormat="1" ht="14.25">
      <c r="B221" s="44"/>
      <c r="C221" s="47"/>
      <c r="D221" s="86"/>
      <c r="E221" s="86"/>
      <c r="F221" s="86"/>
      <c r="G221" s="253"/>
      <c r="H221" s="253"/>
      <c r="I221" s="48"/>
      <c r="J221" s="76" t="str">
        <f t="shared" si="6"/>
        <v/>
      </c>
      <c r="K221" s="87" t="str">
        <f t="shared" si="7"/>
        <v/>
      </c>
      <c r="L221" s="47"/>
    </row>
    <row r="222" spans="2:12" s="56" customFormat="1" ht="14.25">
      <c r="B222" s="44"/>
      <c r="C222" s="47"/>
      <c r="D222" s="86"/>
      <c r="E222" s="86"/>
      <c r="F222" s="86"/>
      <c r="G222" s="253"/>
      <c r="H222" s="253"/>
      <c r="I222" s="48"/>
      <c r="J222" s="76" t="str">
        <f t="shared" si="6"/>
        <v/>
      </c>
      <c r="K222" s="87" t="str">
        <f t="shared" si="7"/>
        <v/>
      </c>
      <c r="L222" s="47"/>
    </row>
    <row r="223" spans="2:12" s="56" customFormat="1" ht="14.25">
      <c r="B223" s="44"/>
      <c r="C223" s="47"/>
      <c r="D223" s="86"/>
      <c r="E223" s="86"/>
      <c r="F223" s="86"/>
      <c r="G223" s="253"/>
      <c r="H223" s="253"/>
      <c r="I223" s="48"/>
      <c r="J223" s="76" t="str">
        <f t="shared" si="6"/>
        <v/>
      </c>
      <c r="K223" s="87" t="str">
        <f t="shared" si="7"/>
        <v/>
      </c>
      <c r="L223" s="47"/>
    </row>
    <row r="224" spans="2:12" s="56" customFormat="1" ht="14.25">
      <c r="B224" s="44"/>
      <c r="C224" s="47"/>
      <c r="D224" s="86"/>
      <c r="E224" s="86"/>
      <c r="F224" s="86"/>
      <c r="G224" s="253"/>
      <c r="H224" s="253"/>
      <c r="I224" s="48"/>
      <c r="J224" s="76" t="str">
        <f t="shared" si="6"/>
        <v/>
      </c>
      <c r="K224" s="87" t="str">
        <f t="shared" si="7"/>
        <v/>
      </c>
      <c r="L224" s="47"/>
    </row>
    <row r="225" spans="2:12" s="56" customFormat="1" ht="14.25">
      <c r="B225" s="44"/>
      <c r="C225" s="47"/>
      <c r="D225" s="86"/>
      <c r="E225" s="86"/>
      <c r="F225" s="86"/>
      <c r="G225" s="253"/>
      <c r="H225" s="253"/>
      <c r="I225" s="88"/>
      <c r="J225" s="76" t="str">
        <f t="shared" si="6"/>
        <v/>
      </c>
      <c r="K225" s="87" t="str">
        <f t="shared" si="7"/>
        <v/>
      </c>
      <c r="L225" s="47"/>
    </row>
    <row r="226" spans="2:12" s="56" customFormat="1" ht="14.25">
      <c r="B226" s="44"/>
      <c r="C226" s="47"/>
      <c r="D226" s="86"/>
      <c r="E226" s="86"/>
      <c r="F226" s="86"/>
      <c r="G226" s="253"/>
      <c r="H226" s="253"/>
      <c r="I226" s="88"/>
      <c r="J226" s="76" t="str">
        <f t="shared" si="6"/>
        <v/>
      </c>
      <c r="K226" s="87" t="str">
        <f t="shared" si="7"/>
        <v/>
      </c>
      <c r="L226" s="47"/>
    </row>
    <row r="227" spans="2:12" s="56" customFormat="1" ht="14.25">
      <c r="B227" s="44"/>
      <c r="C227" s="47"/>
      <c r="D227" s="86"/>
      <c r="E227" s="86"/>
      <c r="F227" s="86"/>
      <c r="G227" s="253"/>
      <c r="H227" s="253"/>
      <c r="I227" s="48"/>
      <c r="J227" s="76" t="str">
        <f t="shared" si="6"/>
        <v/>
      </c>
      <c r="K227" s="87" t="str">
        <f t="shared" si="7"/>
        <v/>
      </c>
      <c r="L227" s="47"/>
    </row>
    <row r="228" spans="2:12" s="56" customFormat="1" ht="14.25">
      <c r="B228" s="44"/>
      <c r="C228" s="47"/>
      <c r="D228" s="86"/>
      <c r="E228" s="86"/>
      <c r="F228" s="86"/>
      <c r="G228" s="253"/>
      <c r="H228" s="253"/>
      <c r="I228" s="48"/>
      <c r="J228" s="76" t="str">
        <f t="shared" si="6"/>
        <v/>
      </c>
      <c r="K228" s="87" t="str">
        <f t="shared" si="7"/>
        <v/>
      </c>
      <c r="L228" s="47"/>
    </row>
    <row r="229" spans="2:12" s="56" customFormat="1" ht="14.25">
      <c r="B229" s="44"/>
      <c r="C229" s="47"/>
      <c r="D229" s="86"/>
      <c r="E229" s="86"/>
      <c r="F229" s="86"/>
      <c r="G229" s="253"/>
      <c r="H229" s="253"/>
      <c r="I229" s="48"/>
      <c r="J229" s="76" t="str">
        <f t="shared" si="6"/>
        <v/>
      </c>
      <c r="K229" s="87" t="str">
        <f t="shared" si="7"/>
        <v/>
      </c>
      <c r="L229" s="47"/>
    </row>
    <row r="230" spans="2:12" s="56" customFormat="1" ht="14.25">
      <c r="B230" s="44"/>
      <c r="C230" s="47"/>
      <c r="D230" s="86"/>
      <c r="E230" s="86"/>
      <c r="F230" s="86"/>
      <c r="G230" s="253"/>
      <c r="H230" s="253"/>
      <c r="I230" s="48"/>
      <c r="J230" s="76" t="str">
        <f t="shared" si="6"/>
        <v/>
      </c>
      <c r="K230" s="87" t="str">
        <f t="shared" si="7"/>
        <v/>
      </c>
      <c r="L230" s="47"/>
    </row>
    <row r="231" spans="2:12" s="56" customFormat="1" ht="14.25">
      <c r="B231" s="44"/>
      <c r="C231" s="47"/>
      <c r="D231" s="86"/>
      <c r="E231" s="86"/>
      <c r="F231" s="86"/>
      <c r="G231" s="253"/>
      <c r="H231" s="253"/>
      <c r="I231" s="48"/>
      <c r="J231" s="76" t="str">
        <f t="shared" si="6"/>
        <v/>
      </c>
      <c r="K231" s="87" t="str">
        <f t="shared" si="7"/>
        <v/>
      </c>
      <c r="L231" s="47"/>
    </row>
    <row r="232" spans="2:12" s="56" customFormat="1" ht="14.25">
      <c r="B232" s="44"/>
      <c r="C232" s="47"/>
      <c r="D232" s="86"/>
      <c r="E232" s="86"/>
      <c r="F232" s="86"/>
      <c r="G232" s="253"/>
      <c r="H232" s="253"/>
      <c r="I232" s="48"/>
      <c r="J232" s="76" t="str">
        <f t="shared" si="6"/>
        <v/>
      </c>
      <c r="K232" s="87" t="str">
        <f t="shared" si="7"/>
        <v/>
      </c>
      <c r="L232" s="47"/>
    </row>
    <row r="233" spans="2:12" s="56" customFormat="1" ht="14.25">
      <c r="B233" s="44"/>
      <c r="C233" s="47"/>
      <c r="D233" s="86"/>
      <c r="E233" s="86"/>
      <c r="F233" s="86"/>
      <c r="G233" s="253"/>
      <c r="H233" s="253"/>
      <c r="I233" s="48"/>
      <c r="J233" s="76" t="str">
        <f t="shared" si="6"/>
        <v/>
      </c>
      <c r="K233" s="87" t="str">
        <f t="shared" si="7"/>
        <v/>
      </c>
      <c r="L233" s="47"/>
    </row>
    <row r="234" spans="2:12" s="56" customFormat="1" ht="14.25">
      <c r="B234" s="44"/>
      <c r="C234" s="47"/>
      <c r="D234" s="86"/>
      <c r="E234" s="86"/>
      <c r="F234" s="86"/>
      <c r="G234" s="253"/>
      <c r="H234" s="253"/>
      <c r="I234" s="48"/>
      <c r="J234" s="76" t="str">
        <f t="shared" si="6"/>
        <v/>
      </c>
      <c r="K234" s="87" t="str">
        <f t="shared" si="7"/>
        <v/>
      </c>
      <c r="L234" s="47"/>
    </row>
    <row r="235" spans="2:12" s="56" customFormat="1" ht="14.25">
      <c r="B235" s="44"/>
      <c r="C235" s="47"/>
      <c r="D235" s="86"/>
      <c r="E235" s="86"/>
      <c r="F235" s="86"/>
      <c r="G235" s="253"/>
      <c r="H235" s="253"/>
      <c r="I235" s="48"/>
      <c r="J235" s="76" t="str">
        <f t="shared" si="6"/>
        <v/>
      </c>
      <c r="K235" s="87" t="str">
        <f t="shared" si="7"/>
        <v/>
      </c>
      <c r="L235" s="47"/>
    </row>
    <row r="236" spans="2:12" s="56" customFormat="1" ht="14.25">
      <c r="B236" s="44"/>
      <c r="C236" s="47"/>
      <c r="D236" s="86"/>
      <c r="E236" s="86"/>
      <c r="F236" s="86"/>
      <c r="G236" s="253"/>
      <c r="H236" s="253"/>
      <c r="I236" s="48"/>
      <c r="J236" s="76" t="str">
        <f t="shared" si="6"/>
        <v/>
      </c>
      <c r="K236" s="87" t="str">
        <f t="shared" si="7"/>
        <v/>
      </c>
      <c r="L236" s="47"/>
    </row>
    <row r="237" spans="2:12" s="56" customFormat="1" ht="14.25">
      <c r="B237" s="44"/>
      <c r="C237" s="47"/>
      <c r="D237" s="86"/>
      <c r="E237" s="86"/>
      <c r="F237" s="86"/>
      <c r="G237" s="253"/>
      <c r="H237" s="253"/>
      <c r="I237" s="48"/>
      <c r="J237" s="76" t="str">
        <f t="shared" si="6"/>
        <v/>
      </c>
      <c r="K237" s="87" t="str">
        <f t="shared" si="7"/>
        <v/>
      </c>
      <c r="L237" s="47"/>
    </row>
    <row r="238" spans="2:12" s="56" customFormat="1" ht="14.25">
      <c r="B238" s="44"/>
      <c r="C238" s="47"/>
      <c r="D238" s="86"/>
      <c r="E238" s="86"/>
      <c r="F238" s="86"/>
      <c r="G238" s="253"/>
      <c r="H238" s="253"/>
      <c r="I238" s="48"/>
      <c r="J238" s="76" t="str">
        <f t="shared" si="6"/>
        <v/>
      </c>
      <c r="K238" s="87" t="str">
        <f t="shared" si="7"/>
        <v/>
      </c>
      <c r="L238" s="47"/>
    </row>
    <row r="239" spans="2:12" s="56" customFormat="1" ht="14.25">
      <c r="B239" s="44"/>
      <c r="C239" s="47"/>
      <c r="D239" s="86"/>
      <c r="E239" s="86"/>
      <c r="F239" s="86"/>
      <c r="G239" s="253"/>
      <c r="H239" s="253"/>
      <c r="I239" s="48"/>
      <c r="J239" s="76" t="str">
        <f t="shared" si="6"/>
        <v/>
      </c>
      <c r="K239" s="87" t="str">
        <f t="shared" si="7"/>
        <v/>
      </c>
      <c r="L239" s="47"/>
    </row>
    <row r="240" spans="2:12" s="56" customFormat="1" ht="14.25">
      <c r="B240" s="44"/>
      <c r="C240" s="47"/>
      <c r="D240" s="86"/>
      <c r="E240" s="86"/>
      <c r="F240" s="86"/>
      <c r="G240" s="253"/>
      <c r="H240" s="253"/>
      <c r="I240" s="48"/>
      <c r="J240" s="76" t="str">
        <f t="shared" si="6"/>
        <v/>
      </c>
      <c r="K240" s="87" t="str">
        <f t="shared" si="7"/>
        <v/>
      </c>
      <c r="L240" s="47"/>
    </row>
    <row r="241" spans="2:12" s="56" customFormat="1" ht="14.25">
      <c r="B241" s="44"/>
      <c r="C241" s="47"/>
      <c r="D241" s="86"/>
      <c r="E241" s="86"/>
      <c r="F241" s="86"/>
      <c r="G241" s="253"/>
      <c r="H241" s="253"/>
      <c r="I241" s="48"/>
      <c r="J241" s="76" t="str">
        <f t="shared" si="6"/>
        <v/>
      </c>
      <c r="K241" s="87" t="str">
        <f t="shared" si="7"/>
        <v/>
      </c>
      <c r="L241" s="47"/>
    </row>
    <row r="242" spans="2:12" s="56" customFormat="1" ht="14.25">
      <c r="B242" s="44"/>
      <c r="C242" s="47"/>
      <c r="D242" s="86"/>
      <c r="E242" s="86"/>
      <c r="F242" s="86"/>
      <c r="G242" s="253"/>
      <c r="H242" s="253"/>
      <c r="I242" s="48"/>
      <c r="J242" s="76" t="str">
        <f t="shared" si="6"/>
        <v/>
      </c>
      <c r="K242" s="87" t="str">
        <f t="shared" si="7"/>
        <v/>
      </c>
      <c r="L242" s="47"/>
    </row>
    <row r="243" spans="2:12" s="56" customFormat="1" ht="14.25">
      <c r="B243" s="44"/>
      <c r="C243" s="47"/>
      <c r="D243" s="86"/>
      <c r="E243" s="86"/>
      <c r="F243" s="86"/>
      <c r="G243" s="253"/>
      <c r="H243" s="253"/>
      <c r="I243" s="48"/>
      <c r="J243" s="76" t="str">
        <f t="shared" si="6"/>
        <v/>
      </c>
      <c r="K243" s="87" t="str">
        <f t="shared" si="7"/>
        <v/>
      </c>
      <c r="L243" s="47"/>
    </row>
    <row r="244" spans="2:12" s="56" customFormat="1" ht="14.25">
      <c r="B244" s="44"/>
      <c r="C244" s="47"/>
      <c r="D244" s="86"/>
      <c r="E244" s="86"/>
      <c r="F244" s="86"/>
      <c r="G244" s="253"/>
      <c r="H244" s="253"/>
      <c r="I244" s="48"/>
      <c r="J244" s="76" t="str">
        <f t="shared" si="6"/>
        <v/>
      </c>
      <c r="K244" s="87" t="str">
        <f t="shared" si="7"/>
        <v/>
      </c>
      <c r="L244" s="47"/>
    </row>
    <row r="245" spans="2:12" s="56" customFormat="1" ht="14.25">
      <c r="B245" s="44"/>
      <c r="C245" s="47"/>
      <c r="D245" s="86"/>
      <c r="E245" s="86"/>
      <c r="F245" s="86"/>
      <c r="G245" s="253"/>
      <c r="H245" s="253"/>
      <c r="I245" s="48"/>
      <c r="J245" s="76" t="str">
        <f t="shared" si="6"/>
        <v/>
      </c>
      <c r="K245" s="87" t="str">
        <f t="shared" si="7"/>
        <v/>
      </c>
      <c r="L245" s="47"/>
    </row>
    <row r="246" spans="2:12" s="56" customFormat="1" ht="14.25">
      <c r="B246" s="44"/>
      <c r="C246" s="47"/>
      <c r="D246" s="86"/>
      <c r="E246" s="86"/>
      <c r="F246" s="86"/>
      <c r="G246" s="253"/>
      <c r="H246" s="253"/>
      <c r="I246" s="48"/>
      <c r="J246" s="76" t="str">
        <f t="shared" si="6"/>
        <v/>
      </c>
      <c r="K246" s="87" t="str">
        <f t="shared" si="7"/>
        <v/>
      </c>
      <c r="L246" s="47"/>
    </row>
    <row r="247" spans="2:12" s="56" customFormat="1" ht="14.25">
      <c r="B247" s="44"/>
      <c r="C247" s="47"/>
      <c r="D247" s="86"/>
      <c r="E247" s="86"/>
      <c r="F247" s="86"/>
      <c r="G247" s="253"/>
      <c r="H247" s="253"/>
      <c r="I247" s="48"/>
      <c r="J247" s="76" t="str">
        <f t="shared" si="6"/>
        <v/>
      </c>
      <c r="K247" s="87" t="str">
        <f t="shared" si="7"/>
        <v/>
      </c>
      <c r="L247" s="47"/>
    </row>
    <row r="248" spans="2:12" s="56" customFormat="1" ht="14.25">
      <c r="B248" s="44"/>
      <c r="C248" s="47"/>
      <c r="D248" s="86"/>
      <c r="E248" s="86"/>
      <c r="F248" s="86"/>
      <c r="G248" s="253"/>
      <c r="H248" s="253"/>
      <c r="I248" s="48"/>
      <c r="J248" s="76" t="str">
        <f t="shared" si="6"/>
        <v/>
      </c>
      <c r="K248" s="87" t="str">
        <f t="shared" si="7"/>
        <v/>
      </c>
      <c r="L248" s="47"/>
    </row>
    <row r="249" spans="2:12" s="56" customFormat="1" ht="14.25">
      <c r="B249" s="44"/>
      <c r="C249" s="47"/>
      <c r="D249" s="86"/>
      <c r="E249" s="86"/>
      <c r="F249" s="86"/>
      <c r="G249" s="253"/>
      <c r="H249" s="253"/>
      <c r="I249" s="48"/>
      <c r="J249" s="76" t="str">
        <f t="shared" si="6"/>
        <v/>
      </c>
      <c r="K249" s="87" t="str">
        <f t="shared" si="7"/>
        <v/>
      </c>
      <c r="L249" s="47"/>
    </row>
    <row r="250" spans="2:12" s="56" customFormat="1" ht="14.25">
      <c r="B250" s="44"/>
      <c r="C250" s="47"/>
      <c r="D250" s="86"/>
      <c r="E250" s="86"/>
      <c r="F250" s="86"/>
      <c r="G250" s="253"/>
      <c r="H250" s="253"/>
      <c r="I250" s="48"/>
      <c r="J250" s="76" t="str">
        <f t="shared" si="6"/>
        <v/>
      </c>
      <c r="K250" s="87" t="str">
        <f t="shared" si="7"/>
        <v/>
      </c>
      <c r="L250" s="47"/>
    </row>
    <row r="251" spans="2:12" s="56" customFormat="1" ht="14.25">
      <c r="B251" s="44"/>
      <c r="C251" s="47"/>
      <c r="D251" s="86"/>
      <c r="E251" s="86"/>
      <c r="F251" s="86"/>
      <c r="G251" s="253"/>
      <c r="H251" s="253"/>
      <c r="I251" s="48"/>
      <c r="J251" s="76" t="str">
        <f t="shared" si="6"/>
        <v/>
      </c>
      <c r="K251" s="87" t="str">
        <f t="shared" si="7"/>
        <v/>
      </c>
      <c r="L251" s="47"/>
    </row>
    <row r="252" spans="2:12" s="56" customFormat="1" ht="14.25">
      <c r="B252" s="44"/>
      <c r="C252" s="47"/>
      <c r="D252" s="86"/>
      <c r="E252" s="86"/>
      <c r="F252" s="86"/>
      <c r="G252" s="253"/>
      <c r="H252" s="253"/>
      <c r="I252" s="48"/>
      <c r="J252" s="76" t="str">
        <f t="shared" si="6"/>
        <v/>
      </c>
      <c r="K252" s="87" t="str">
        <f t="shared" si="7"/>
        <v/>
      </c>
      <c r="L252" s="47"/>
    </row>
    <row r="253" spans="2:12" s="56" customFormat="1" ht="14.25">
      <c r="B253" s="44"/>
      <c r="C253" s="47"/>
      <c r="D253" s="86"/>
      <c r="E253" s="86"/>
      <c r="F253" s="86"/>
      <c r="G253" s="253"/>
      <c r="H253" s="253"/>
      <c r="I253" s="48"/>
      <c r="J253" s="76" t="str">
        <f t="shared" si="6"/>
        <v/>
      </c>
      <c r="K253" s="87" t="str">
        <f t="shared" si="7"/>
        <v/>
      </c>
      <c r="L253" s="47"/>
    </row>
    <row r="254" spans="2:12" s="56" customFormat="1" ht="14.25">
      <c r="B254" s="44"/>
      <c r="C254" s="47"/>
      <c r="D254" s="86"/>
      <c r="E254" s="86"/>
      <c r="F254" s="86"/>
      <c r="G254" s="253"/>
      <c r="H254" s="253"/>
      <c r="I254" s="48"/>
      <c r="J254" s="76" t="str">
        <f t="shared" si="6"/>
        <v/>
      </c>
      <c r="K254" s="87" t="str">
        <f t="shared" si="7"/>
        <v/>
      </c>
      <c r="L254" s="47"/>
    </row>
    <row r="255" spans="2:12" s="56" customFormat="1" ht="14.25">
      <c r="B255" s="44"/>
      <c r="C255" s="47"/>
      <c r="D255" s="86"/>
      <c r="E255" s="86"/>
      <c r="F255" s="86"/>
      <c r="G255" s="253"/>
      <c r="H255" s="253"/>
      <c r="I255" s="48"/>
      <c r="J255" s="76" t="str">
        <f t="shared" si="6"/>
        <v/>
      </c>
      <c r="K255" s="87" t="str">
        <f t="shared" si="7"/>
        <v/>
      </c>
      <c r="L255" s="47"/>
    </row>
    <row r="256" spans="2:12" s="56" customFormat="1" ht="14.25">
      <c r="B256" s="44"/>
      <c r="C256" s="47"/>
      <c r="D256" s="86"/>
      <c r="E256" s="86"/>
      <c r="F256" s="86"/>
      <c r="G256" s="253"/>
      <c r="H256" s="253"/>
      <c r="I256" s="48"/>
      <c r="J256" s="76" t="str">
        <f t="shared" si="6"/>
        <v/>
      </c>
      <c r="K256" s="87" t="str">
        <f t="shared" si="7"/>
        <v/>
      </c>
      <c r="L256" s="47"/>
    </row>
    <row r="257" spans="2:12" s="56" customFormat="1" ht="14.25">
      <c r="B257" s="44"/>
      <c r="C257" s="47"/>
      <c r="D257" s="86"/>
      <c r="E257" s="86"/>
      <c r="F257" s="86"/>
      <c r="G257" s="253"/>
      <c r="H257" s="253"/>
      <c r="I257" s="48"/>
      <c r="J257" s="76" t="str">
        <f t="shared" si="6"/>
        <v/>
      </c>
      <c r="K257" s="87" t="str">
        <f t="shared" si="7"/>
        <v/>
      </c>
      <c r="L257" s="47"/>
    </row>
    <row r="258" spans="2:12" s="56" customFormat="1" ht="14.25">
      <c r="B258" s="44"/>
      <c r="C258" s="47"/>
      <c r="D258" s="86"/>
      <c r="E258" s="86"/>
      <c r="F258" s="86"/>
      <c r="G258" s="253"/>
      <c r="H258" s="253"/>
      <c r="I258" s="48"/>
      <c r="J258" s="76" t="str">
        <f t="shared" si="6"/>
        <v/>
      </c>
      <c r="K258" s="87" t="str">
        <f t="shared" si="7"/>
        <v/>
      </c>
      <c r="L258" s="47"/>
    </row>
    <row r="259" spans="2:12" s="56" customFormat="1" ht="14.25">
      <c r="B259" s="44"/>
      <c r="C259" s="47"/>
      <c r="D259" s="86"/>
      <c r="E259" s="86"/>
      <c r="F259" s="86"/>
      <c r="G259" s="253"/>
      <c r="H259" s="253"/>
      <c r="I259" s="48"/>
      <c r="J259" s="76" t="str">
        <f t="shared" si="6"/>
        <v/>
      </c>
      <c r="K259" s="87" t="str">
        <f t="shared" si="7"/>
        <v/>
      </c>
      <c r="L259" s="47"/>
    </row>
    <row r="260" spans="2:12" s="56" customFormat="1" ht="14.25">
      <c r="B260" s="44"/>
      <c r="C260" s="47"/>
      <c r="D260" s="86"/>
      <c r="E260" s="86"/>
      <c r="F260" s="86"/>
      <c r="G260" s="253"/>
      <c r="H260" s="253"/>
      <c r="I260" s="48"/>
      <c r="J260" s="76" t="str">
        <f t="shared" si="6"/>
        <v/>
      </c>
      <c r="K260" s="87" t="str">
        <f t="shared" si="7"/>
        <v/>
      </c>
      <c r="L260" s="47"/>
    </row>
    <row r="261" spans="2:12" s="56" customFormat="1" ht="14.25">
      <c r="B261" s="44"/>
      <c r="C261" s="47"/>
      <c r="D261" s="86"/>
      <c r="E261" s="86"/>
      <c r="F261" s="86"/>
      <c r="G261" s="253"/>
      <c r="H261" s="253"/>
      <c r="I261" s="48"/>
      <c r="J261" s="76" t="str">
        <f t="shared" si="6"/>
        <v/>
      </c>
      <c r="K261" s="87" t="str">
        <f t="shared" si="7"/>
        <v/>
      </c>
      <c r="L261" s="47"/>
    </row>
    <row r="262" spans="2:12" s="56" customFormat="1" ht="14.25">
      <c r="B262" s="44"/>
      <c r="C262" s="47"/>
      <c r="D262" s="86"/>
      <c r="E262" s="86"/>
      <c r="F262" s="86"/>
      <c r="G262" s="253"/>
      <c r="H262" s="253"/>
      <c r="I262" s="48"/>
      <c r="J262" s="76" t="str">
        <f t="shared" si="6"/>
        <v/>
      </c>
      <c r="K262" s="87" t="str">
        <f t="shared" si="7"/>
        <v/>
      </c>
      <c r="L262" s="47"/>
    </row>
    <row r="263" spans="2:12" s="56" customFormat="1" ht="14.25">
      <c r="B263" s="44"/>
      <c r="C263" s="47"/>
      <c r="D263" s="86"/>
      <c r="E263" s="86"/>
      <c r="F263" s="86"/>
      <c r="G263" s="253"/>
      <c r="H263" s="253"/>
      <c r="I263" s="48"/>
      <c r="J263" s="76" t="str">
        <f t="shared" si="6"/>
        <v/>
      </c>
      <c r="K263" s="87" t="str">
        <f t="shared" si="7"/>
        <v/>
      </c>
      <c r="L263" s="47"/>
    </row>
    <row r="264" spans="2:12" s="56" customFormat="1" ht="14.25">
      <c r="B264" s="44"/>
      <c r="C264" s="47"/>
      <c r="D264" s="86"/>
      <c r="E264" s="86"/>
      <c r="F264" s="86"/>
      <c r="G264" s="253"/>
      <c r="H264" s="253"/>
      <c r="I264" s="48"/>
      <c r="J264" s="76" t="str">
        <f t="shared" si="6"/>
        <v/>
      </c>
      <c r="K264" s="87" t="str">
        <f t="shared" si="7"/>
        <v/>
      </c>
      <c r="L264" s="47"/>
    </row>
    <row r="265" spans="2:12" s="56" customFormat="1" ht="14.25">
      <c r="B265" s="44"/>
      <c r="C265" s="47"/>
      <c r="D265" s="86"/>
      <c r="E265" s="86"/>
      <c r="F265" s="86"/>
      <c r="G265" s="253"/>
      <c r="H265" s="253"/>
      <c r="I265" s="48"/>
      <c r="J265" s="76" t="str">
        <f t="shared" si="6"/>
        <v/>
      </c>
      <c r="K265" s="87" t="str">
        <f t="shared" si="7"/>
        <v/>
      </c>
      <c r="L265" s="47"/>
    </row>
    <row r="266" spans="2:12" s="56" customFormat="1" ht="14.25">
      <c r="B266" s="44"/>
      <c r="C266" s="47"/>
      <c r="D266" s="86"/>
      <c r="E266" s="86"/>
      <c r="F266" s="86"/>
      <c r="G266" s="253"/>
      <c r="H266" s="253"/>
      <c r="I266" s="48"/>
      <c r="J266" s="76" t="str">
        <f t="shared" si="6"/>
        <v/>
      </c>
      <c r="K266" s="87" t="str">
        <f t="shared" si="7"/>
        <v/>
      </c>
      <c r="L266" s="47"/>
    </row>
    <row r="267" spans="2:12" s="56" customFormat="1" ht="14.25">
      <c r="B267" s="44"/>
      <c r="C267" s="47"/>
      <c r="D267" s="86"/>
      <c r="E267" s="86"/>
      <c r="F267" s="86"/>
      <c r="G267" s="253"/>
      <c r="H267" s="253"/>
      <c r="I267" s="48"/>
      <c r="J267" s="76" t="str">
        <f t="shared" ref="J267:J330" si="8">IF($C267&lt;&gt;"",$E267*1.5,"")</f>
        <v/>
      </c>
      <c r="K267" s="87" t="str">
        <f t="shared" ref="K267:K330" si="9">IFERROR($J267/10,"")</f>
        <v/>
      </c>
      <c r="L267" s="47"/>
    </row>
    <row r="268" spans="2:12" s="56" customFormat="1" ht="14.25">
      <c r="B268" s="44"/>
      <c r="C268" s="47"/>
      <c r="D268" s="86"/>
      <c r="E268" s="86"/>
      <c r="F268" s="86"/>
      <c r="G268" s="253"/>
      <c r="H268" s="253"/>
      <c r="I268" s="48"/>
      <c r="J268" s="76" t="str">
        <f t="shared" si="8"/>
        <v/>
      </c>
      <c r="K268" s="87" t="str">
        <f t="shared" si="9"/>
        <v/>
      </c>
      <c r="L268" s="47"/>
    </row>
    <row r="269" spans="2:12" s="56" customFormat="1" ht="14.25">
      <c r="B269" s="44"/>
      <c r="C269" s="47"/>
      <c r="D269" s="86"/>
      <c r="E269" s="86"/>
      <c r="F269" s="86"/>
      <c r="G269" s="253"/>
      <c r="H269" s="253"/>
      <c r="I269" s="48"/>
      <c r="J269" s="76" t="str">
        <f t="shared" si="8"/>
        <v/>
      </c>
      <c r="K269" s="87" t="str">
        <f t="shared" si="9"/>
        <v/>
      </c>
      <c r="L269" s="47"/>
    </row>
    <row r="270" spans="2:12" s="56" customFormat="1" ht="14.25">
      <c r="B270" s="44"/>
      <c r="C270" s="47"/>
      <c r="D270" s="86"/>
      <c r="E270" s="86"/>
      <c r="F270" s="86"/>
      <c r="G270" s="253"/>
      <c r="H270" s="253"/>
      <c r="I270" s="48"/>
      <c r="J270" s="76" t="str">
        <f t="shared" si="8"/>
        <v/>
      </c>
      <c r="K270" s="87" t="str">
        <f t="shared" si="9"/>
        <v/>
      </c>
      <c r="L270" s="47"/>
    </row>
    <row r="271" spans="2:12" s="56" customFormat="1" ht="14.25">
      <c r="B271" s="44"/>
      <c r="C271" s="47"/>
      <c r="D271" s="86"/>
      <c r="E271" s="86"/>
      <c r="F271" s="86"/>
      <c r="G271" s="253"/>
      <c r="H271" s="253"/>
      <c r="I271" s="48"/>
      <c r="J271" s="76" t="str">
        <f t="shared" si="8"/>
        <v/>
      </c>
      <c r="K271" s="87" t="str">
        <f t="shared" si="9"/>
        <v/>
      </c>
      <c r="L271" s="47"/>
    </row>
    <row r="272" spans="2:12" s="56" customFormat="1" ht="14.25">
      <c r="B272" s="44"/>
      <c r="C272" s="47"/>
      <c r="D272" s="86"/>
      <c r="E272" s="86"/>
      <c r="F272" s="86"/>
      <c r="G272" s="253"/>
      <c r="H272" s="253"/>
      <c r="I272" s="48"/>
      <c r="J272" s="76" t="str">
        <f t="shared" si="8"/>
        <v/>
      </c>
      <c r="K272" s="87" t="str">
        <f t="shared" si="9"/>
        <v/>
      </c>
      <c r="L272" s="47"/>
    </row>
    <row r="273" spans="2:12" s="56" customFormat="1" ht="14.25">
      <c r="B273" s="44"/>
      <c r="C273" s="47"/>
      <c r="D273" s="86"/>
      <c r="E273" s="86"/>
      <c r="F273" s="86"/>
      <c r="G273" s="253"/>
      <c r="H273" s="253"/>
      <c r="I273" s="48"/>
      <c r="J273" s="76" t="str">
        <f t="shared" si="8"/>
        <v/>
      </c>
      <c r="K273" s="87" t="str">
        <f t="shared" si="9"/>
        <v/>
      </c>
      <c r="L273" s="47"/>
    </row>
    <row r="274" spans="2:12" s="56" customFormat="1" ht="14.25">
      <c r="B274" s="44"/>
      <c r="C274" s="47"/>
      <c r="D274" s="86"/>
      <c r="E274" s="86"/>
      <c r="F274" s="86"/>
      <c r="G274" s="253"/>
      <c r="H274" s="253"/>
      <c r="I274" s="48"/>
      <c r="J274" s="76" t="str">
        <f t="shared" si="8"/>
        <v/>
      </c>
      <c r="K274" s="87" t="str">
        <f t="shared" si="9"/>
        <v/>
      </c>
      <c r="L274" s="47"/>
    </row>
    <row r="275" spans="2:12" s="56" customFormat="1" ht="14.25">
      <c r="B275" s="44"/>
      <c r="C275" s="47"/>
      <c r="D275" s="86"/>
      <c r="E275" s="86"/>
      <c r="F275" s="86"/>
      <c r="G275" s="253"/>
      <c r="H275" s="253"/>
      <c r="I275" s="48"/>
      <c r="J275" s="76" t="str">
        <f t="shared" si="8"/>
        <v/>
      </c>
      <c r="K275" s="87" t="str">
        <f t="shared" si="9"/>
        <v/>
      </c>
      <c r="L275" s="47"/>
    </row>
    <row r="276" spans="2:12" s="56" customFormat="1" ht="14.25">
      <c r="B276" s="44"/>
      <c r="C276" s="47"/>
      <c r="D276" s="86"/>
      <c r="E276" s="86"/>
      <c r="F276" s="86"/>
      <c r="G276" s="253"/>
      <c r="H276" s="253"/>
      <c r="I276" s="48"/>
      <c r="J276" s="76" t="str">
        <f t="shared" si="8"/>
        <v/>
      </c>
      <c r="K276" s="87" t="str">
        <f t="shared" si="9"/>
        <v/>
      </c>
      <c r="L276" s="47"/>
    </row>
    <row r="277" spans="2:12" s="56" customFormat="1" ht="14.25">
      <c r="B277" s="44"/>
      <c r="C277" s="47"/>
      <c r="D277" s="86"/>
      <c r="E277" s="86"/>
      <c r="F277" s="86"/>
      <c r="G277" s="253"/>
      <c r="H277" s="253"/>
      <c r="I277" s="48"/>
      <c r="J277" s="76" t="str">
        <f t="shared" si="8"/>
        <v/>
      </c>
      <c r="K277" s="87" t="str">
        <f t="shared" si="9"/>
        <v/>
      </c>
      <c r="L277" s="47"/>
    </row>
    <row r="278" spans="2:12" s="56" customFormat="1" ht="14.25">
      <c r="B278" s="44"/>
      <c r="C278" s="47"/>
      <c r="D278" s="86"/>
      <c r="E278" s="86"/>
      <c r="F278" s="86"/>
      <c r="G278" s="253"/>
      <c r="H278" s="253"/>
      <c r="I278" s="48"/>
      <c r="J278" s="76" t="str">
        <f t="shared" si="8"/>
        <v/>
      </c>
      <c r="K278" s="87" t="str">
        <f t="shared" si="9"/>
        <v/>
      </c>
      <c r="L278" s="47"/>
    </row>
    <row r="279" spans="2:12" s="56" customFormat="1" ht="14.25">
      <c r="B279" s="44"/>
      <c r="C279" s="47"/>
      <c r="D279" s="86"/>
      <c r="E279" s="86"/>
      <c r="F279" s="86"/>
      <c r="G279" s="253"/>
      <c r="H279" s="253"/>
      <c r="I279" s="48"/>
      <c r="J279" s="76" t="str">
        <f t="shared" si="8"/>
        <v/>
      </c>
      <c r="K279" s="87" t="str">
        <f t="shared" si="9"/>
        <v/>
      </c>
      <c r="L279" s="47"/>
    </row>
    <row r="280" spans="2:12" s="56" customFormat="1" ht="14.25">
      <c r="B280" s="44"/>
      <c r="C280" s="47"/>
      <c r="D280" s="86"/>
      <c r="E280" s="86"/>
      <c r="F280" s="86"/>
      <c r="G280" s="253"/>
      <c r="H280" s="253"/>
      <c r="I280" s="48"/>
      <c r="J280" s="76" t="str">
        <f t="shared" si="8"/>
        <v/>
      </c>
      <c r="K280" s="87" t="str">
        <f t="shared" si="9"/>
        <v/>
      </c>
      <c r="L280" s="47"/>
    </row>
    <row r="281" spans="2:12" s="56" customFormat="1" ht="14.25">
      <c r="B281" s="44"/>
      <c r="C281" s="47"/>
      <c r="D281" s="86"/>
      <c r="E281" s="86"/>
      <c r="F281" s="86"/>
      <c r="G281" s="253"/>
      <c r="H281" s="253"/>
      <c r="I281" s="48"/>
      <c r="J281" s="76" t="str">
        <f t="shared" si="8"/>
        <v/>
      </c>
      <c r="K281" s="87" t="str">
        <f t="shared" si="9"/>
        <v/>
      </c>
      <c r="L281" s="47"/>
    </row>
    <row r="282" spans="2:12" s="56" customFormat="1" ht="14.25">
      <c r="B282" s="44"/>
      <c r="C282" s="47"/>
      <c r="D282" s="86"/>
      <c r="E282" s="86"/>
      <c r="F282" s="86"/>
      <c r="G282" s="253"/>
      <c r="H282" s="253"/>
      <c r="I282" s="48"/>
      <c r="J282" s="76" t="str">
        <f t="shared" si="8"/>
        <v/>
      </c>
      <c r="K282" s="87" t="str">
        <f t="shared" si="9"/>
        <v/>
      </c>
      <c r="L282" s="47"/>
    </row>
    <row r="283" spans="2:12" s="56" customFormat="1" ht="14.25">
      <c r="B283" s="44"/>
      <c r="C283" s="47"/>
      <c r="D283" s="86"/>
      <c r="E283" s="86"/>
      <c r="F283" s="86"/>
      <c r="G283" s="253"/>
      <c r="H283" s="253"/>
      <c r="I283" s="48"/>
      <c r="J283" s="76" t="str">
        <f t="shared" si="8"/>
        <v/>
      </c>
      <c r="K283" s="87" t="str">
        <f t="shared" si="9"/>
        <v/>
      </c>
      <c r="L283" s="47"/>
    </row>
    <row r="284" spans="2:12" s="56" customFormat="1" ht="14.25">
      <c r="B284" s="44"/>
      <c r="C284" s="47"/>
      <c r="D284" s="86"/>
      <c r="E284" s="86"/>
      <c r="F284" s="86"/>
      <c r="G284" s="253"/>
      <c r="H284" s="253"/>
      <c r="I284" s="48"/>
      <c r="J284" s="76" t="str">
        <f t="shared" si="8"/>
        <v/>
      </c>
      <c r="K284" s="87" t="str">
        <f t="shared" si="9"/>
        <v/>
      </c>
      <c r="L284" s="47"/>
    </row>
    <row r="285" spans="2:12" s="56" customFormat="1" ht="14.25">
      <c r="B285" s="44"/>
      <c r="C285" s="47"/>
      <c r="D285" s="86"/>
      <c r="E285" s="86"/>
      <c r="F285" s="86"/>
      <c r="G285" s="253"/>
      <c r="H285" s="253"/>
      <c r="I285" s="48"/>
      <c r="J285" s="76" t="str">
        <f t="shared" si="8"/>
        <v/>
      </c>
      <c r="K285" s="87" t="str">
        <f t="shared" si="9"/>
        <v/>
      </c>
      <c r="L285" s="47"/>
    </row>
    <row r="286" spans="2:12" s="56" customFormat="1" ht="14.25">
      <c r="B286" s="44"/>
      <c r="C286" s="47"/>
      <c r="D286" s="86"/>
      <c r="E286" s="86"/>
      <c r="F286" s="86"/>
      <c r="G286" s="253"/>
      <c r="H286" s="253"/>
      <c r="I286" s="48"/>
      <c r="J286" s="76" t="str">
        <f t="shared" si="8"/>
        <v/>
      </c>
      <c r="K286" s="87" t="str">
        <f t="shared" si="9"/>
        <v/>
      </c>
      <c r="L286" s="47"/>
    </row>
    <row r="287" spans="2:12" s="56" customFormat="1" ht="14.25">
      <c r="B287" s="44"/>
      <c r="C287" s="47"/>
      <c r="D287" s="86"/>
      <c r="E287" s="86"/>
      <c r="F287" s="86"/>
      <c r="G287" s="253"/>
      <c r="H287" s="253"/>
      <c r="I287" s="48"/>
      <c r="J287" s="76" t="str">
        <f t="shared" si="8"/>
        <v/>
      </c>
      <c r="K287" s="87" t="str">
        <f t="shared" si="9"/>
        <v/>
      </c>
      <c r="L287" s="47"/>
    </row>
    <row r="288" spans="2:12" s="56" customFormat="1" ht="14.25">
      <c r="B288" s="44"/>
      <c r="C288" s="47"/>
      <c r="D288" s="86"/>
      <c r="E288" s="86"/>
      <c r="F288" s="86"/>
      <c r="G288" s="253"/>
      <c r="H288" s="253"/>
      <c r="I288" s="48"/>
      <c r="J288" s="76" t="str">
        <f t="shared" si="8"/>
        <v/>
      </c>
      <c r="K288" s="87" t="str">
        <f t="shared" si="9"/>
        <v/>
      </c>
      <c r="L288" s="47"/>
    </row>
    <row r="289" spans="2:12" s="56" customFormat="1" ht="14.25">
      <c r="B289" s="44"/>
      <c r="C289" s="47"/>
      <c r="D289" s="86"/>
      <c r="E289" s="86"/>
      <c r="F289" s="86"/>
      <c r="G289" s="253"/>
      <c r="H289" s="253"/>
      <c r="I289" s="48"/>
      <c r="J289" s="76" t="str">
        <f t="shared" si="8"/>
        <v/>
      </c>
      <c r="K289" s="87" t="str">
        <f t="shared" si="9"/>
        <v/>
      </c>
      <c r="L289" s="47"/>
    </row>
    <row r="290" spans="2:12" s="56" customFormat="1" ht="14.25">
      <c r="B290" s="44"/>
      <c r="C290" s="47"/>
      <c r="D290" s="86"/>
      <c r="E290" s="86"/>
      <c r="F290" s="86"/>
      <c r="G290" s="253"/>
      <c r="H290" s="253"/>
      <c r="I290" s="48"/>
      <c r="J290" s="76" t="str">
        <f t="shared" si="8"/>
        <v/>
      </c>
      <c r="K290" s="87" t="str">
        <f t="shared" si="9"/>
        <v/>
      </c>
      <c r="L290" s="47"/>
    </row>
    <row r="291" spans="2:12" s="56" customFormat="1" ht="14.25">
      <c r="B291" s="44"/>
      <c r="C291" s="47"/>
      <c r="D291" s="86"/>
      <c r="E291" s="86"/>
      <c r="F291" s="86"/>
      <c r="G291" s="253"/>
      <c r="H291" s="253"/>
      <c r="I291" s="48"/>
      <c r="J291" s="76" t="str">
        <f t="shared" si="8"/>
        <v/>
      </c>
      <c r="K291" s="87" t="str">
        <f t="shared" si="9"/>
        <v/>
      </c>
      <c r="L291" s="47"/>
    </row>
    <row r="292" spans="2:12" s="56" customFormat="1" ht="14.25">
      <c r="B292" s="44"/>
      <c r="C292" s="47"/>
      <c r="D292" s="86"/>
      <c r="E292" s="86"/>
      <c r="F292" s="86"/>
      <c r="G292" s="253"/>
      <c r="H292" s="253"/>
      <c r="I292" s="48"/>
      <c r="J292" s="76" t="str">
        <f t="shared" si="8"/>
        <v/>
      </c>
      <c r="K292" s="87" t="str">
        <f t="shared" si="9"/>
        <v/>
      </c>
      <c r="L292" s="47"/>
    </row>
    <row r="293" spans="2:12" s="56" customFormat="1" ht="14.25">
      <c r="B293" s="44"/>
      <c r="C293" s="47"/>
      <c r="D293" s="86"/>
      <c r="E293" s="86"/>
      <c r="F293" s="86"/>
      <c r="G293" s="253"/>
      <c r="H293" s="253"/>
      <c r="I293" s="48"/>
      <c r="J293" s="76" t="str">
        <f t="shared" si="8"/>
        <v/>
      </c>
      <c r="K293" s="87" t="str">
        <f t="shared" si="9"/>
        <v/>
      </c>
      <c r="L293" s="47"/>
    </row>
    <row r="294" spans="2:12" s="56" customFormat="1" ht="14.25">
      <c r="B294" s="44"/>
      <c r="C294" s="47"/>
      <c r="D294" s="86"/>
      <c r="E294" s="86"/>
      <c r="F294" s="86"/>
      <c r="G294" s="253"/>
      <c r="H294" s="253"/>
      <c r="I294" s="48"/>
      <c r="J294" s="76" t="str">
        <f t="shared" si="8"/>
        <v/>
      </c>
      <c r="K294" s="87" t="str">
        <f t="shared" si="9"/>
        <v/>
      </c>
      <c r="L294" s="47"/>
    </row>
    <row r="295" spans="2:12" s="56" customFormat="1" ht="14.25">
      <c r="B295" s="44"/>
      <c r="C295" s="47"/>
      <c r="D295" s="86"/>
      <c r="E295" s="86"/>
      <c r="F295" s="86"/>
      <c r="G295" s="253"/>
      <c r="H295" s="253"/>
      <c r="I295" s="48"/>
      <c r="J295" s="76" t="str">
        <f t="shared" si="8"/>
        <v/>
      </c>
      <c r="K295" s="87" t="str">
        <f t="shared" si="9"/>
        <v/>
      </c>
      <c r="L295" s="47"/>
    </row>
    <row r="296" spans="2:12" s="56" customFormat="1" ht="14.25">
      <c r="B296" s="44"/>
      <c r="C296" s="47"/>
      <c r="D296" s="86"/>
      <c r="E296" s="86"/>
      <c r="F296" s="86"/>
      <c r="G296" s="253"/>
      <c r="H296" s="253"/>
      <c r="I296" s="48"/>
      <c r="J296" s="76" t="str">
        <f t="shared" si="8"/>
        <v/>
      </c>
      <c r="K296" s="87" t="str">
        <f t="shared" si="9"/>
        <v/>
      </c>
      <c r="L296" s="47"/>
    </row>
    <row r="297" spans="2:12" s="56" customFormat="1" ht="14.25">
      <c r="B297" s="44"/>
      <c r="C297" s="47"/>
      <c r="D297" s="86"/>
      <c r="E297" s="86"/>
      <c r="F297" s="86"/>
      <c r="G297" s="253"/>
      <c r="H297" s="253"/>
      <c r="I297" s="48"/>
      <c r="J297" s="76" t="str">
        <f t="shared" si="8"/>
        <v/>
      </c>
      <c r="K297" s="87" t="str">
        <f t="shared" si="9"/>
        <v/>
      </c>
      <c r="L297" s="47"/>
    </row>
    <row r="298" spans="2:12" s="56" customFormat="1" ht="14.25">
      <c r="B298" s="44"/>
      <c r="C298" s="47"/>
      <c r="D298" s="86"/>
      <c r="E298" s="86"/>
      <c r="F298" s="86"/>
      <c r="G298" s="253"/>
      <c r="H298" s="253"/>
      <c r="I298" s="48"/>
      <c r="J298" s="76" t="str">
        <f t="shared" si="8"/>
        <v/>
      </c>
      <c r="K298" s="87" t="str">
        <f t="shared" si="9"/>
        <v/>
      </c>
      <c r="L298" s="47"/>
    </row>
    <row r="299" spans="2:12" s="56" customFormat="1" ht="14.25">
      <c r="B299" s="44"/>
      <c r="C299" s="47"/>
      <c r="D299" s="86"/>
      <c r="E299" s="86"/>
      <c r="F299" s="86"/>
      <c r="G299" s="253"/>
      <c r="H299" s="253"/>
      <c r="I299" s="48"/>
      <c r="J299" s="76" t="str">
        <f t="shared" si="8"/>
        <v/>
      </c>
      <c r="K299" s="87" t="str">
        <f t="shared" si="9"/>
        <v/>
      </c>
      <c r="L299" s="47"/>
    </row>
    <row r="300" spans="2:12" s="56" customFormat="1" ht="14.25">
      <c r="B300" s="44"/>
      <c r="C300" s="47"/>
      <c r="D300" s="86"/>
      <c r="E300" s="86"/>
      <c r="F300" s="86"/>
      <c r="G300" s="253"/>
      <c r="H300" s="253"/>
      <c r="I300" s="48"/>
      <c r="J300" s="76" t="str">
        <f t="shared" si="8"/>
        <v/>
      </c>
      <c r="K300" s="87" t="str">
        <f t="shared" si="9"/>
        <v/>
      </c>
      <c r="L300" s="47"/>
    </row>
    <row r="301" spans="2:12" s="56" customFormat="1" ht="14.25">
      <c r="B301" s="44"/>
      <c r="C301" s="47"/>
      <c r="D301" s="86"/>
      <c r="E301" s="86"/>
      <c r="F301" s="86"/>
      <c r="G301" s="253"/>
      <c r="H301" s="253"/>
      <c r="I301" s="48"/>
      <c r="J301" s="76" t="str">
        <f t="shared" si="8"/>
        <v/>
      </c>
      <c r="K301" s="87" t="str">
        <f t="shared" si="9"/>
        <v/>
      </c>
      <c r="L301" s="47"/>
    </row>
    <row r="302" spans="2:12" s="56" customFormat="1" ht="14.25">
      <c r="B302" s="44"/>
      <c r="C302" s="47"/>
      <c r="D302" s="86"/>
      <c r="E302" s="86"/>
      <c r="F302" s="86"/>
      <c r="G302" s="253"/>
      <c r="H302" s="253"/>
      <c r="I302" s="48"/>
      <c r="J302" s="76" t="str">
        <f t="shared" si="8"/>
        <v/>
      </c>
      <c r="K302" s="87" t="str">
        <f t="shared" si="9"/>
        <v/>
      </c>
      <c r="L302" s="47"/>
    </row>
    <row r="303" spans="2:12" s="56" customFormat="1" ht="14.25">
      <c r="B303" s="44"/>
      <c r="C303" s="47"/>
      <c r="D303" s="86"/>
      <c r="E303" s="86"/>
      <c r="F303" s="86"/>
      <c r="G303" s="253"/>
      <c r="H303" s="253"/>
      <c r="I303" s="48"/>
      <c r="J303" s="76" t="str">
        <f t="shared" si="8"/>
        <v/>
      </c>
      <c r="K303" s="87" t="str">
        <f t="shared" si="9"/>
        <v/>
      </c>
      <c r="L303" s="47"/>
    </row>
    <row r="304" spans="2:12" s="56" customFormat="1" ht="14.25">
      <c r="B304" s="44"/>
      <c r="C304" s="47"/>
      <c r="D304" s="86"/>
      <c r="E304" s="86"/>
      <c r="F304" s="86"/>
      <c r="G304" s="253"/>
      <c r="H304" s="253"/>
      <c r="I304" s="48"/>
      <c r="J304" s="76" t="str">
        <f t="shared" si="8"/>
        <v/>
      </c>
      <c r="K304" s="87" t="str">
        <f t="shared" si="9"/>
        <v/>
      </c>
      <c r="L304" s="47"/>
    </row>
    <row r="305" spans="2:12" s="56" customFormat="1" ht="14.25">
      <c r="B305" s="44"/>
      <c r="C305" s="47"/>
      <c r="D305" s="86"/>
      <c r="E305" s="86"/>
      <c r="F305" s="86"/>
      <c r="G305" s="253"/>
      <c r="H305" s="253"/>
      <c r="I305" s="48"/>
      <c r="J305" s="76" t="str">
        <f t="shared" si="8"/>
        <v/>
      </c>
      <c r="K305" s="87" t="str">
        <f t="shared" si="9"/>
        <v/>
      </c>
      <c r="L305" s="47"/>
    </row>
    <row r="306" spans="2:12" s="56" customFormat="1" ht="14.1" customHeight="1">
      <c r="B306" s="44"/>
      <c r="C306" s="47"/>
      <c r="D306" s="86"/>
      <c r="E306" s="86"/>
      <c r="F306" s="86"/>
      <c r="G306" s="253" t="s">
        <v>89</v>
      </c>
      <c r="H306" s="253"/>
      <c r="I306" s="48"/>
      <c r="J306" s="76" t="str">
        <f t="shared" si="8"/>
        <v/>
      </c>
      <c r="K306" s="87" t="str">
        <f t="shared" si="9"/>
        <v/>
      </c>
      <c r="L306" s="47"/>
    </row>
    <row r="307" spans="2:12" s="56" customFormat="1" ht="14.25">
      <c r="B307" s="44"/>
      <c r="C307" s="47"/>
      <c r="D307" s="86"/>
      <c r="E307" s="86"/>
      <c r="F307" s="86"/>
      <c r="G307" s="253"/>
      <c r="H307" s="253"/>
      <c r="I307" s="48"/>
      <c r="J307" s="76" t="str">
        <f t="shared" si="8"/>
        <v/>
      </c>
      <c r="K307" s="87" t="str">
        <f t="shared" si="9"/>
        <v/>
      </c>
      <c r="L307" s="47"/>
    </row>
    <row r="308" spans="2:12" s="56" customFormat="1" ht="14.25">
      <c r="B308" s="44"/>
      <c r="C308" s="47"/>
      <c r="D308" s="86"/>
      <c r="E308" s="86"/>
      <c r="F308" s="86"/>
      <c r="G308" s="253"/>
      <c r="H308" s="253"/>
      <c r="I308" s="48"/>
      <c r="J308" s="76" t="str">
        <f t="shared" si="8"/>
        <v/>
      </c>
      <c r="K308" s="87" t="str">
        <f t="shared" si="9"/>
        <v/>
      </c>
      <c r="L308" s="47"/>
    </row>
    <row r="309" spans="2:12" s="56" customFormat="1" ht="14.25">
      <c r="B309" s="44"/>
      <c r="C309" s="47"/>
      <c r="D309" s="86"/>
      <c r="E309" s="86"/>
      <c r="F309" s="86"/>
      <c r="G309" s="253"/>
      <c r="H309" s="253"/>
      <c r="I309" s="48"/>
      <c r="J309" s="76" t="str">
        <f t="shared" si="8"/>
        <v/>
      </c>
      <c r="K309" s="87" t="str">
        <f t="shared" si="9"/>
        <v/>
      </c>
      <c r="L309" s="47"/>
    </row>
    <row r="310" spans="2:12" s="56" customFormat="1" ht="14.25">
      <c r="B310" s="44"/>
      <c r="C310" s="47"/>
      <c r="D310" s="86"/>
      <c r="E310" s="86"/>
      <c r="F310" s="86"/>
      <c r="G310" s="253"/>
      <c r="H310" s="253"/>
      <c r="I310" s="48"/>
      <c r="J310" s="76" t="str">
        <f t="shared" si="8"/>
        <v/>
      </c>
      <c r="K310" s="87" t="str">
        <f t="shared" si="9"/>
        <v/>
      </c>
      <c r="L310" s="47"/>
    </row>
    <row r="311" spans="2:12" s="56" customFormat="1" ht="14.25">
      <c r="B311" s="44"/>
      <c r="C311" s="47"/>
      <c r="D311" s="86"/>
      <c r="E311" s="86"/>
      <c r="F311" s="86"/>
      <c r="G311" s="253"/>
      <c r="H311" s="253"/>
      <c r="I311" s="48"/>
      <c r="J311" s="76" t="str">
        <f t="shared" si="8"/>
        <v/>
      </c>
      <c r="K311" s="87" t="str">
        <f t="shared" si="9"/>
        <v/>
      </c>
      <c r="L311" s="47"/>
    </row>
    <row r="312" spans="2:12" s="56" customFormat="1" ht="14.25">
      <c r="B312" s="44"/>
      <c r="C312" s="47"/>
      <c r="D312" s="86"/>
      <c r="E312" s="86"/>
      <c r="F312" s="86"/>
      <c r="G312" s="253"/>
      <c r="H312" s="253"/>
      <c r="I312" s="48"/>
      <c r="J312" s="76" t="str">
        <f t="shared" si="8"/>
        <v/>
      </c>
      <c r="K312" s="87" t="str">
        <f t="shared" si="9"/>
        <v/>
      </c>
      <c r="L312" s="47"/>
    </row>
    <row r="313" spans="2:12" s="56" customFormat="1" ht="14.25">
      <c r="B313" s="44"/>
      <c r="C313" s="47"/>
      <c r="D313" s="86"/>
      <c r="E313" s="86"/>
      <c r="F313" s="86"/>
      <c r="G313" s="253"/>
      <c r="H313" s="253"/>
      <c r="I313" s="48"/>
      <c r="J313" s="76" t="str">
        <f t="shared" si="8"/>
        <v/>
      </c>
      <c r="K313" s="87" t="str">
        <f t="shared" si="9"/>
        <v/>
      </c>
      <c r="L313" s="47"/>
    </row>
    <row r="314" spans="2:12" s="56" customFormat="1" ht="14.25">
      <c r="B314" s="44"/>
      <c r="C314" s="47"/>
      <c r="D314" s="86"/>
      <c r="E314" s="86"/>
      <c r="F314" s="86"/>
      <c r="G314" s="253"/>
      <c r="H314" s="253"/>
      <c r="I314" s="48"/>
      <c r="J314" s="76" t="str">
        <f t="shared" si="8"/>
        <v/>
      </c>
      <c r="K314" s="87" t="str">
        <f t="shared" si="9"/>
        <v/>
      </c>
      <c r="L314" s="47"/>
    </row>
    <row r="315" spans="2:12" s="56" customFormat="1" ht="14.25">
      <c r="B315" s="44"/>
      <c r="C315" s="47"/>
      <c r="D315" s="86"/>
      <c r="E315" s="86"/>
      <c r="F315" s="86"/>
      <c r="G315" s="253"/>
      <c r="H315" s="253"/>
      <c r="I315" s="48"/>
      <c r="J315" s="76" t="str">
        <f t="shared" si="8"/>
        <v/>
      </c>
      <c r="K315" s="87" t="str">
        <f t="shared" si="9"/>
        <v/>
      </c>
      <c r="L315" s="47"/>
    </row>
    <row r="316" spans="2:12" s="56" customFormat="1" ht="14.25">
      <c r="B316" s="44"/>
      <c r="C316" s="47"/>
      <c r="D316" s="86"/>
      <c r="E316" s="86"/>
      <c r="F316" s="86"/>
      <c r="G316" s="253"/>
      <c r="H316" s="253"/>
      <c r="I316" s="48"/>
      <c r="J316" s="76" t="str">
        <f t="shared" si="8"/>
        <v/>
      </c>
      <c r="K316" s="87" t="str">
        <f t="shared" si="9"/>
        <v/>
      </c>
      <c r="L316" s="47"/>
    </row>
    <row r="317" spans="2:12" s="56" customFormat="1" ht="14.25">
      <c r="B317" s="44"/>
      <c r="C317" s="47"/>
      <c r="D317" s="86"/>
      <c r="E317" s="86"/>
      <c r="F317" s="86"/>
      <c r="G317" s="253"/>
      <c r="H317" s="253"/>
      <c r="I317" s="48"/>
      <c r="J317" s="76" t="str">
        <f t="shared" si="8"/>
        <v/>
      </c>
      <c r="K317" s="87" t="str">
        <f t="shared" si="9"/>
        <v/>
      </c>
      <c r="L317" s="47"/>
    </row>
    <row r="318" spans="2:12" s="56" customFormat="1" ht="14.25">
      <c r="B318" s="44"/>
      <c r="C318" s="47"/>
      <c r="D318" s="86"/>
      <c r="E318" s="86"/>
      <c r="F318" s="86"/>
      <c r="G318" s="253"/>
      <c r="H318" s="253"/>
      <c r="I318" s="48"/>
      <c r="J318" s="76" t="str">
        <f t="shared" si="8"/>
        <v/>
      </c>
      <c r="K318" s="87" t="str">
        <f t="shared" si="9"/>
        <v/>
      </c>
      <c r="L318" s="47"/>
    </row>
    <row r="319" spans="2:12" s="56" customFormat="1" ht="14.25">
      <c r="B319" s="44"/>
      <c r="C319" s="47"/>
      <c r="D319" s="86"/>
      <c r="E319" s="86"/>
      <c r="F319" s="86"/>
      <c r="G319" s="253"/>
      <c r="H319" s="253"/>
      <c r="I319" s="48"/>
      <c r="J319" s="76" t="str">
        <f t="shared" si="8"/>
        <v/>
      </c>
      <c r="K319" s="87" t="str">
        <f t="shared" si="9"/>
        <v/>
      </c>
      <c r="L319" s="47"/>
    </row>
    <row r="320" spans="2:12" s="56" customFormat="1" ht="14.25">
      <c r="B320" s="44"/>
      <c r="C320" s="47"/>
      <c r="D320" s="86"/>
      <c r="E320" s="86"/>
      <c r="F320" s="86"/>
      <c r="G320" s="253"/>
      <c r="H320" s="253"/>
      <c r="I320" s="48"/>
      <c r="J320" s="76" t="str">
        <f t="shared" si="8"/>
        <v/>
      </c>
      <c r="K320" s="87" t="str">
        <f t="shared" si="9"/>
        <v/>
      </c>
      <c r="L320" s="47"/>
    </row>
    <row r="321" spans="2:12" s="56" customFormat="1" ht="14.25">
      <c r="B321" s="44"/>
      <c r="C321" s="47"/>
      <c r="D321" s="86"/>
      <c r="E321" s="86"/>
      <c r="F321" s="86"/>
      <c r="G321" s="253"/>
      <c r="H321" s="253"/>
      <c r="I321" s="48"/>
      <c r="J321" s="76" t="str">
        <f t="shared" si="8"/>
        <v/>
      </c>
      <c r="K321" s="87" t="str">
        <f t="shared" si="9"/>
        <v/>
      </c>
      <c r="L321" s="47"/>
    </row>
    <row r="322" spans="2:12" s="56" customFormat="1" ht="14.25">
      <c r="B322" s="44"/>
      <c r="C322" s="47"/>
      <c r="D322" s="86"/>
      <c r="E322" s="86"/>
      <c r="F322" s="86"/>
      <c r="G322" s="253"/>
      <c r="H322" s="253"/>
      <c r="I322" s="48"/>
      <c r="J322" s="76" t="str">
        <f t="shared" si="8"/>
        <v/>
      </c>
      <c r="K322" s="87" t="str">
        <f t="shared" si="9"/>
        <v/>
      </c>
      <c r="L322" s="47"/>
    </row>
    <row r="323" spans="2:12" s="56" customFormat="1" ht="14.25">
      <c r="B323" s="44"/>
      <c r="C323" s="47"/>
      <c r="D323" s="86"/>
      <c r="E323" s="86"/>
      <c r="F323" s="86"/>
      <c r="G323" s="253"/>
      <c r="H323" s="253"/>
      <c r="I323" s="88"/>
      <c r="J323" s="76" t="str">
        <f t="shared" si="8"/>
        <v/>
      </c>
      <c r="K323" s="87" t="str">
        <f t="shared" si="9"/>
        <v/>
      </c>
      <c r="L323" s="47"/>
    </row>
    <row r="324" spans="2:12" s="56" customFormat="1" ht="14.25">
      <c r="B324" s="44"/>
      <c r="C324" s="47"/>
      <c r="D324" s="86"/>
      <c r="E324" s="86"/>
      <c r="F324" s="86"/>
      <c r="G324" s="253"/>
      <c r="H324" s="253"/>
      <c r="I324" s="88"/>
      <c r="J324" s="76" t="str">
        <f t="shared" si="8"/>
        <v/>
      </c>
      <c r="K324" s="87" t="str">
        <f t="shared" si="9"/>
        <v/>
      </c>
      <c r="L324" s="47"/>
    </row>
    <row r="325" spans="2:12" s="56" customFormat="1" ht="14.25">
      <c r="B325" s="44"/>
      <c r="C325" s="47"/>
      <c r="D325" s="86"/>
      <c r="E325" s="86"/>
      <c r="F325" s="86"/>
      <c r="G325" s="253"/>
      <c r="H325" s="253"/>
      <c r="I325" s="48"/>
      <c r="J325" s="76" t="str">
        <f t="shared" si="8"/>
        <v/>
      </c>
      <c r="K325" s="87" t="str">
        <f t="shared" si="9"/>
        <v/>
      </c>
      <c r="L325" s="47"/>
    </row>
    <row r="326" spans="2:12" s="56" customFormat="1" ht="14.25">
      <c r="B326" s="44"/>
      <c r="C326" s="47"/>
      <c r="D326" s="86"/>
      <c r="E326" s="86"/>
      <c r="F326" s="86"/>
      <c r="G326" s="253"/>
      <c r="H326" s="253"/>
      <c r="I326" s="48"/>
      <c r="J326" s="76" t="str">
        <f t="shared" si="8"/>
        <v/>
      </c>
      <c r="K326" s="87" t="str">
        <f t="shared" si="9"/>
        <v/>
      </c>
      <c r="L326" s="47"/>
    </row>
    <row r="327" spans="2:12" s="56" customFormat="1" ht="14.25">
      <c r="B327" s="44"/>
      <c r="C327" s="47"/>
      <c r="D327" s="86"/>
      <c r="E327" s="86"/>
      <c r="F327" s="86"/>
      <c r="G327" s="253"/>
      <c r="H327" s="253"/>
      <c r="I327" s="48"/>
      <c r="J327" s="76" t="str">
        <f t="shared" si="8"/>
        <v/>
      </c>
      <c r="K327" s="87" t="str">
        <f t="shared" si="9"/>
        <v/>
      </c>
      <c r="L327" s="47"/>
    </row>
    <row r="328" spans="2:12" s="56" customFormat="1" ht="14.25">
      <c r="B328" s="44"/>
      <c r="C328" s="47"/>
      <c r="D328" s="86"/>
      <c r="E328" s="86"/>
      <c r="F328" s="86"/>
      <c r="G328" s="253"/>
      <c r="H328" s="253"/>
      <c r="I328" s="48"/>
      <c r="J328" s="76" t="str">
        <f t="shared" si="8"/>
        <v/>
      </c>
      <c r="K328" s="87" t="str">
        <f t="shared" si="9"/>
        <v/>
      </c>
      <c r="L328" s="47"/>
    </row>
    <row r="329" spans="2:12" s="56" customFormat="1" ht="14.25">
      <c r="B329" s="44"/>
      <c r="C329" s="47"/>
      <c r="D329" s="86"/>
      <c r="E329" s="86"/>
      <c r="F329" s="86"/>
      <c r="G329" s="253"/>
      <c r="H329" s="253"/>
      <c r="I329" s="48"/>
      <c r="J329" s="76" t="str">
        <f t="shared" si="8"/>
        <v/>
      </c>
      <c r="K329" s="87" t="str">
        <f t="shared" si="9"/>
        <v/>
      </c>
      <c r="L329" s="47"/>
    </row>
    <row r="330" spans="2:12" s="56" customFormat="1" ht="14.25">
      <c r="B330" s="44"/>
      <c r="C330" s="47"/>
      <c r="D330" s="86"/>
      <c r="E330" s="86"/>
      <c r="F330" s="86"/>
      <c r="G330" s="253"/>
      <c r="H330" s="253"/>
      <c r="I330" s="48"/>
      <c r="J330" s="76" t="str">
        <f t="shared" si="8"/>
        <v/>
      </c>
      <c r="K330" s="87" t="str">
        <f t="shared" si="9"/>
        <v/>
      </c>
      <c r="L330" s="47"/>
    </row>
    <row r="331" spans="2:12" s="56" customFormat="1" ht="14.25">
      <c r="B331" s="44"/>
      <c r="C331" s="47"/>
      <c r="D331" s="86"/>
      <c r="E331" s="86"/>
      <c r="F331" s="86"/>
      <c r="G331" s="253"/>
      <c r="H331" s="253"/>
      <c r="I331" s="48"/>
      <c r="J331" s="76" t="str">
        <f t="shared" ref="J331:J394" si="10">IF($C331&lt;&gt;"",$E331*1.5,"")</f>
        <v/>
      </c>
      <c r="K331" s="87" t="str">
        <f t="shared" ref="K331:K394" si="11">IFERROR($J331/10,"")</f>
        <v/>
      </c>
      <c r="L331" s="47"/>
    </row>
    <row r="332" spans="2:12" s="56" customFormat="1" ht="14.25">
      <c r="B332" s="44"/>
      <c r="C332" s="47"/>
      <c r="D332" s="86"/>
      <c r="E332" s="86"/>
      <c r="F332" s="86"/>
      <c r="G332" s="253"/>
      <c r="H332" s="253"/>
      <c r="I332" s="48"/>
      <c r="J332" s="76" t="str">
        <f t="shared" si="10"/>
        <v/>
      </c>
      <c r="K332" s="87" t="str">
        <f t="shared" si="11"/>
        <v/>
      </c>
      <c r="L332" s="47"/>
    </row>
    <row r="333" spans="2:12" s="56" customFormat="1" ht="14.25">
      <c r="B333" s="44"/>
      <c r="C333" s="47"/>
      <c r="D333" s="86"/>
      <c r="E333" s="86"/>
      <c r="F333" s="86"/>
      <c r="G333" s="253"/>
      <c r="H333" s="253"/>
      <c r="I333" s="48"/>
      <c r="J333" s="76" t="str">
        <f t="shared" si="10"/>
        <v/>
      </c>
      <c r="K333" s="87" t="str">
        <f t="shared" si="11"/>
        <v/>
      </c>
      <c r="L333" s="47"/>
    </row>
    <row r="334" spans="2:12" s="56" customFormat="1" ht="14.25">
      <c r="B334" s="44"/>
      <c r="C334" s="47"/>
      <c r="D334" s="86"/>
      <c r="E334" s="86"/>
      <c r="F334" s="86"/>
      <c r="G334" s="253"/>
      <c r="H334" s="253"/>
      <c r="I334" s="48"/>
      <c r="J334" s="76" t="str">
        <f t="shared" si="10"/>
        <v/>
      </c>
      <c r="K334" s="87" t="str">
        <f t="shared" si="11"/>
        <v/>
      </c>
      <c r="L334" s="47"/>
    </row>
    <row r="335" spans="2:12" s="56" customFormat="1" ht="14.25">
      <c r="B335" s="44"/>
      <c r="C335" s="47"/>
      <c r="D335" s="86"/>
      <c r="E335" s="86"/>
      <c r="F335" s="86"/>
      <c r="G335" s="253"/>
      <c r="H335" s="253"/>
      <c r="I335" s="48"/>
      <c r="J335" s="76" t="str">
        <f t="shared" si="10"/>
        <v/>
      </c>
      <c r="K335" s="87" t="str">
        <f t="shared" si="11"/>
        <v/>
      </c>
      <c r="L335" s="47"/>
    </row>
    <row r="336" spans="2:12" s="56" customFormat="1" ht="14.25">
      <c r="B336" s="44"/>
      <c r="C336" s="47"/>
      <c r="D336" s="86"/>
      <c r="E336" s="86"/>
      <c r="F336" s="86"/>
      <c r="G336" s="253"/>
      <c r="H336" s="253"/>
      <c r="I336" s="48"/>
      <c r="J336" s="76" t="str">
        <f t="shared" si="10"/>
        <v/>
      </c>
      <c r="K336" s="87" t="str">
        <f t="shared" si="11"/>
        <v/>
      </c>
      <c r="L336" s="47"/>
    </row>
    <row r="337" spans="2:12" s="56" customFormat="1" ht="14.25">
      <c r="B337" s="44"/>
      <c r="C337" s="47"/>
      <c r="D337" s="86"/>
      <c r="E337" s="86"/>
      <c r="F337" s="86"/>
      <c r="G337" s="253"/>
      <c r="H337" s="253"/>
      <c r="I337" s="48"/>
      <c r="J337" s="76" t="str">
        <f t="shared" si="10"/>
        <v/>
      </c>
      <c r="K337" s="87" t="str">
        <f t="shared" si="11"/>
        <v/>
      </c>
      <c r="L337" s="47"/>
    </row>
    <row r="338" spans="2:12" s="56" customFormat="1" ht="14.25">
      <c r="B338" s="44"/>
      <c r="C338" s="47"/>
      <c r="D338" s="86"/>
      <c r="E338" s="86"/>
      <c r="F338" s="86"/>
      <c r="G338" s="253"/>
      <c r="H338" s="253"/>
      <c r="I338" s="48"/>
      <c r="J338" s="76" t="str">
        <f t="shared" si="10"/>
        <v/>
      </c>
      <c r="K338" s="87" t="str">
        <f t="shared" si="11"/>
        <v/>
      </c>
      <c r="L338" s="47"/>
    </row>
    <row r="339" spans="2:12" s="56" customFormat="1" ht="14.25">
      <c r="B339" s="44"/>
      <c r="C339" s="47"/>
      <c r="D339" s="86"/>
      <c r="E339" s="86"/>
      <c r="F339" s="86"/>
      <c r="G339" s="253"/>
      <c r="H339" s="253"/>
      <c r="I339" s="48"/>
      <c r="J339" s="76" t="str">
        <f t="shared" si="10"/>
        <v/>
      </c>
      <c r="K339" s="87" t="str">
        <f t="shared" si="11"/>
        <v/>
      </c>
      <c r="L339" s="47"/>
    </row>
    <row r="340" spans="2:12" s="56" customFormat="1" ht="14.25">
      <c r="B340" s="44"/>
      <c r="C340" s="47"/>
      <c r="D340" s="86"/>
      <c r="E340" s="86"/>
      <c r="F340" s="86"/>
      <c r="G340" s="253"/>
      <c r="H340" s="253"/>
      <c r="I340" s="48"/>
      <c r="J340" s="76" t="str">
        <f t="shared" si="10"/>
        <v/>
      </c>
      <c r="K340" s="87" t="str">
        <f t="shared" si="11"/>
        <v/>
      </c>
      <c r="L340" s="47"/>
    </row>
    <row r="341" spans="2:12" s="56" customFormat="1" ht="14.25">
      <c r="B341" s="44"/>
      <c r="C341" s="47"/>
      <c r="D341" s="86"/>
      <c r="E341" s="86"/>
      <c r="F341" s="86"/>
      <c r="G341" s="253"/>
      <c r="H341" s="253"/>
      <c r="I341" s="48"/>
      <c r="J341" s="76" t="str">
        <f t="shared" si="10"/>
        <v/>
      </c>
      <c r="K341" s="87" t="str">
        <f t="shared" si="11"/>
        <v/>
      </c>
      <c r="L341" s="47"/>
    </row>
    <row r="342" spans="2:12" s="56" customFormat="1" ht="14.25">
      <c r="B342" s="44"/>
      <c r="C342" s="47"/>
      <c r="D342" s="86"/>
      <c r="E342" s="86"/>
      <c r="F342" s="86"/>
      <c r="G342" s="253"/>
      <c r="H342" s="253"/>
      <c r="I342" s="48"/>
      <c r="J342" s="76" t="str">
        <f t="shared" si="10"/>
        <v/>
      </c>
      <c r="K342" s="87" t="str">
        <f t="shared" si="11"/>
        <v/>
      </c>
      <c r="L342" s="47"/>
    </row>
    <row r="343" spans="2:12" s="56" customFormat="1" ht="14.25">
      <c r="B343" s="44"/>
      <c r="C343" s="47"/>
      <c r="D343" s="86"/>
      <c r="E343" s="86"/>
      <c r="F343" s="86"/>
      <c r="G343" s="253"/>
      <c r="H343" s="253"/>
      <c r="I343" s="48"/>
      <c r="J343" s="76" t="str">
        <f t="shared" si="10"/>
        <v/>
      </c>
      <c r="K343" s="87" t="str">
        <f t="shared" si="11"/>
        <v/>
      </c>
      <c r="L343" s="47"/>
    </row>
    <row r="344" spans="2:12" s="56" customFormat="1" ht="14.25">
      <c r="B344" s="44"/>
      <c r="C344" s="47"/>
      <c r="D344" s="86"/>
      <c r="E344" s="86"/>
      <c r="F344" s="86"/>
      <c r="G344" s="253"/>
      <c r="H344" s="253"/>
      <c r="I344" s="48"/>
      <c r="J344" s="76" t="str">
        <f t="shared" si="10"/>
        <v/>
      </c>
      <c r="K344" s="87" t="str">
        <f t="shared" si="11"/>
        <v/>
      </c>
      <c r="L344" s="47"/>
    </row>
    <row r="345" spans="2:12" s="56" customFormat="1" ht="14.25">
      <c r="B345" s="44"/>
      <c r="C345" s="47"/>
      <c r="D345" s="86"/>
      <c r="E345" s="86"/>
      <c r="F345" s="86"/>
      <c r="G345" s="253"/>
      <c r="H345" s="253"/>
      <c r="I345" s="48"/>
      <c r="J345" s="76" t="str">
        <f t="shared" si="10"/>
        <v/>
      </c>
      <c r="K345" s="87" t="str">
        <f t="shared" si="11"/>
        <v/>
      </c>
      <c r="L345" s="47"/>
    </row>
    <row r="346" spans="2:12" s="56" customFormat="1" ht="14.25">
      <c r="B346" s="44"/>
      <c r="C346" s="47"/>
      <c r="D346" s="86"/>
      <c r="E346" s="86"/>
      <c r="F346" s="86"/>
      <c r="G346" s="253"/>
      <c r="H346" s="253"/>
      <c r="I346" s="48"/>
      <c r="J346" s="76" t="str">
        <f t="shared" si="10"/>
        <v/>
      </c>
      <c r="K346" s="87" t="str">
        <f t="shared" si="11"/>
        <v/>
      </c>
      <c r="L346" s="47"/>
    </row>
    <row r="347" spans="2:12" s="56" customFormat="1" ht="14.25">
      <c r="B347" s="44"/>
      <c r="C347" s="47"/>
      <c r="D347" s="86"/>
      <c r="E347" s="86"/>
      <c r="F347" s="86"/>
      <c r="G347" s="253"/>
      <c r="H347" s="253"/>
      <c r="I347" s="48"/>
      <c r="J347" s="76" t="str">
        <f t="shared" si="10"/>
        <v/>
      </c>
      <c r="K347" s="87" t="str">
        <f t="shared" si="11"/>
        <v/>
      </c>
      <c r="L347" s="47"/>
    </row>
    <row r="348" spans="2:12" s="56" customFormat="1" ht="14.25">
      <c r="B348" s="44"/>
      <c r="C348" s="47"/>
      <c r="D348" s="86"/>
      <c r="E348" s="86"/>
      <c r="F348" s="86"/>
      <c r="G348" s="253"/>
      <c r="H348" s="253"/>
      <c r="I348" s="48"/>
      <c r="J348" s="76" t="str">
        <f t="shared" si="10"/>
        <v/>
      </c>
      <c r="K348" s="87" t="str">
        <f t="shared" si="11"/>
        <v/>
      </c>
      <c r="L348" s="47"/>
    </row>
    <row r="349" spans="2:12" s="56" customFormat="1" ht="14.25">
      <c r="B349" s="44"/>
      <c r="C349" s="47"/>
      <c r="D349" s="86"/>
      <c r="E349" s="86"/>
      <c r="F349" s="86"/>
      <c r="G349" s="253"/>
      <c r="H349" s="253"/>
      <c r="I349" s="48"/>
      <c r="J349" s="76" t="str">
        <f t="shared" si="10"/>
        <v/>
      </c>
      <c r="K349" s="87" t="str">
        <f t="shared" si="11"/>
        <v/>
      </c>
      <c r="L349" s="47"/>
    </row>
    <row r="350" spans="2:12" s="56" customFormat="1" ht="14.25">
      <c r="B350" s="44"/>
      <c r="C350" s="47"/>
      <c r="D350" s="86"/>
      <c r="E350" s="86"/>
      <c r="F350" s="86"/>
      <c r="G350" s="253"/>
      <c r="H350" s="253"/>
      <c r="I350" s="48"/>
      <c r="J350" s="76" t="str">
        <f t="shared" si="10"/>
        <v/>
      </c>
      <c r="K350" s="87" t="str">
        <f t="shared" si="11"/>
        <v/>
      </c>
      <c r="L350" s="47"/>
    </row>
    <row r="351" spans="2:12" s="56" customFormat="1" ht="14.25">
      <c r="B351" s="44"/>
      <c r="C351" s="47"/>
      <c r="D351" s="86"/>
      <c r="E351" s="86"/>
      <c r="F351" s="86"/>
      <c r="G351" s="253"/>
      <c r="H351" s="253"/>
      <c r="I351" s="48"/>
      <c r="J351" s="76" t="str">
        <f t="shared" si="10"/>
        <v/>
      </c>
      <c r="K351" s="87" t="str">
        <f t="shared" si="11"/>
        <v/>
      </c>
      <c r="L351" s="47"/>
    </row>
    <row r="352" spans="2:12" s="56" customFormat="1" ht="14.25">
      <c r="B352" s="44"/>
      <c r="C352" s="47"/>
      <c r="D352" s="86"/>
      <c r="E352" s="86"/>
      <c r="F352" s="86"/>
      <c r="G352" s="253"/>
      <c r="H352" s="253"/>
      <c r="I352" s="48"/>
      <c r="J352" s="76" t="str">
        <f t="shared" si="10"/>
        <v/>
      </c>
      <c r="K352" s="87" t="str">
        <f t="shared" si="11"/>
        <v/>
      </c>
      <c r="L352" s="47"/>
    </row>
    <row r="353" spans="2:12" s="56" customFormat="1" ht="14.25">
      <c r="B353" s="44"/>
      <c r="C353" s="47"/>
      <c r="D353" s="86"/>
      <c r="E353" s="86"/>
      <c r="F353" s="86"/>
      <c r="G353" s="253"/>
      <c r="H353" s="253"/>
      <c r="I353" s="48"/>
      <c r="J353" s="76" t="str">
        <f t="shared" si="10"/>
        <v/>
      </c>
      <c r="K353" s="87" t="str">
        <f t="shared" si="11"/>
        <v/>
      </c>
      <c r="L353" s="47"/>
    </row>
    <row r="354" spans="2:12" s="56" customFormat="1" ht="14.25">
      <c r="B354" s="44"/>
      <c r="C354" s="47"/>
      <c r="D354" s="86"/>
      <c r="E354" s="86"/>
      <c r="F354" s="86"/>
      <c r="G354" s="253"/>
      <c r="H354" s="253"/>
      <c r="I354" s="48"/>
      <c r="J354" s="76" t="str">
        <f t="shared" si="10"/>
        <v/>
      </c>
      <c r="K354" s="87" t="str">
        <f t="shared" si="11"/>
        <v/>
      </c>
      <c r="L354" s="47"/>
    </row>
    <row r="355" spans="2:12" s="56" customFormat="1" ht="14.25">
      <c r="B355" s="44"/>
      <c r="C355" s="47"/>
      <c r="D355" s="86"/>
      <c r="E355" s="86"/>
      <c r="F355" s="86"/>
      <c r="G355" s="253"/>
      <c r="H355" s="253"/>
      <c r="I355" s="48"/>
      <c r="J355" s="76" t="str">
        <f t="shared" si="10"/>
        <v/>
      </c>
      <c r="K355" s="87" t="str">
        <f t="shared" si="11"/>
        <v/>
      </c>
      <c r="L355" s="47"/>
    </row>
    <row r="356" spans="2:12" s="56" customFormat="1" ht="14.25">
      <c r="B356" s="44"/>
      <c r="C356" s="47"/>
      <c r="D356" s="86"/>
      <c r="E356" s="86"/>
      <c r="F356" s="86"/>
      <c r="G356" s="253"/>
      <c r="H356" s="253"/>
      <c r="I356" s="48"/>
      <c r="J356" s="76" t="str">
        <f t="shared" si="10"/>
        <v/>
      </c>
      <c r="K356" s="87" t="str">
        <f t="shared" si="11"/>
        <v/>
      </c>
      <c r="L356" s="47"/>
    </row>
    <row r="357" spans="2:12" s="56" customFormat="1" ht="14.25">
      <c r="B357" s="44"/>
      <c r="C357" s="47"/>
      <c r="D357" s="86"/>
      <c r="E357" s="86"/>
      <c r="F357" s="86"/>
      <c r="G357" s="253"/>
      <c r="H357" s="253"/>
      <c r="I357" s="48"/>
      <c r="J357" s="76" t="str">
        <f t="shared" si="10"/>
        <v/>
      </c>
      <c r="K357" s="87" t="str">
        <f t="shared" si="11"/>
        <v/>
      </c>
      <c r="L357" s="47"/>
    </row>
    <row r="358" spans="2:12" s="56" customFormat="1" ht="14.25">
      <c r="B358" s="44"/>
      <c r="C358" s="47"/>
      <c r="D358" s="86"/>
      <c r="E358" s="86"/>
      <c r="F358" s="86"/>
      <c r="G358" s="253"/>
      <c r="H358" s="253"/>
      <c r="I358" s="48"/>
      <c r="J358" s="76" t="str">
        <f t="shared" si="10"/>
        <v/>
      </c>
      <c r="K358" s="87" t="str">
        <f t="shared" si="11"/>
        <v/>
      </c>
      <c r="L358" s="47"/>
    </row>
    <row r="359" spans="2:12" s="56" customFormat="1" ht="14.25">
      <c r="B359" s="44"/>
      <c r="C359" s="47"/>
      <c r="D359" s="86"/>
      <c r="E359" s="86"/>
      <c r="F359" s="86"/>
      <c r="G359" s="253"/>
      <c r="H359" s="253"/>
      <c r="I359" s="48"/>
      <c r="J359" s="76" t="str">
        <f t="shared" si="10"/>
        <v/>
      </c>
      <c r="K359" s="87" t="str">
        <f t="shared" si="11"/>
        <v/>
      </c>
      <c r="L359" s="47"/>
    </row>
    <row r="360" spans="2:12" s="56" customFormat="1" ht="14.25">
      <c r="B360" s="44"/>
      <c r="C360" s="47"/>
      <c r="D360" s="86"/>
      <c r="E360" s="86"/>
      <c r="F360" s="86"/>
      <c r="G360" s="253"/>
      <c r="H360" s="253"/>
      <c r="I360" s="48"/>
      <c r="J360" s="76" t="str">
        <f t="shared" si="10"/>
        <v/>
      </c>
      <c r="K360" s="87" t="str">
        <f t="shared" si="11"/>
        <v/>
      </c>
      <c r="L360" s="47"/>
    </row>
    <row r="361" spans="2:12" s="56" customFormat="1" ht="14.25">
      <c r="B361" s="44"/>
      <c r="C361" s="47"/>
      <c r="D361" s="86"/>
      <c r="E361" s="86"/>
      <c r="F361" s="86"/>
      <c r="G361" s="253"/>
      <c r="H361" s="253"/>
      <c r="I361" s="48"/>
      <c r="J361" s="76" t="str">
        <f t="shared" si="10"/>
        <v/>
      </c>
      <c r="K361" s="87" t="str">
        <f t="shared" si="11"/>
        <v/>
      </c>
      <c r="L361" s="47"/>
    </row>
    <row r="362" spans="2:12" s="56" customFormat="1" ht="14.25">
      <c r="B362" s="44"/>
      <c r="C362" s="47"/>
      <c r="D362" s="86"/>
      <c r="E362" s="86"/>
      <c r="F362" s="86"/>
      <c r="G362" s="253"/>
      <c r="H362" s="253"/>
      <c r="I362" s="48"/>
      <c r="J362" s="76" t="str">
        <f t="shared" si="10"/>
        <v/>
      </c>
      <c r="K362" s="87" t="str">
        <f t="shared" si="11"/>
        <v/>
      </c>
      <c r="L362" s="47"/>
    </row>
    <row r="363" spans="2:12" s="56" customFormat="1" ht="14.25">
      <c r="B363" s="44"/>
      <c r="C363" s="47"/>
      <c r="D363" s="86"/>
      <c r="E363" s="86"/>
      <c r="F363" s="86"/>
      <c r="G363" s="253"/>
      <c r="H363" s="253"/>
      <c r="I363" s="48"/>
      <c r="J363" s="76" t="str">
        <f t="shared" si="10"/>
        <v/>
      </c>
      <c r="K363" s="87" t="str">
        <f t="shared" si="11"/>
        <v/>
      </c>
      <c r="L363" s="47"/>
    </row>
    <row r="364" spans="2:12" s="56" customFormat="1" ht="14.25">
      <c r="B364" s="44"/>
      <c r="C364" s="47"/>
      <c r="D364" s="86"/>
      <c r="E364" s="86"/>
      <c r="F364" s="86"/>
      <c r="G364" s="253"/>
      <c r="H364" s="253"/>
      <c r="I364" s="48"/>
      <c r="J364" s="76" t="str">
        <f t="shared" si="10"/>
        <v/>
      </c>
      <c r="K364" s="87" t="str">
        <f t="shared" si="11"/>
        <v/>
      </c>
      <c r="L364" s="47"/>
    </row>
    <row r="365" spans="2:12" s="56" customFormat="1" ht="14.25">
      <c r="B365" s="44"/>
      <c r="C365" s="47"/>
      <c r="D365" s="86"/>
      <c r="E365" s="86"/>
      <c r="F365" s="86"/>
      <c r="G365" s="253"/>
      <c r="H365" s="253"/>
      <c r="I365" s="48"/>
      <c r="J365" s="76" t="str">
        <f t="shared" si="10"/>
        <v/>
      </c>
      <c r="K365" s="87" t="str">
        <f t="shared" si="11"/>
        <v/>
      </c>
      <c r="L365" s="47"/>
    </row>
    <row r="366" spans="2:12" s="56" customFormat="1" ht="14.25">
      <c r="B366" s="44"/>
      <c r="C366" s="47"/>
      <c r="D366" s="86"/>
      <c r="E366" s="86"/>
      <c r="F366" s="86"/>
      <c r="G366" s="253"/>
      <c r="H366" s="253"/>
      <c r="I366" s="48"/>
      <c r="J366" s="76" t="str">
        <f t="shared" si="10"/>
        <v/>
      </c>
      <c r="K366" s="87" t="str">
        <f t="shared" si="11"/>
        <v/>
      </c>
      <c r="L366" s="47"/>
    </row>
    <row r="367" spans="2:12" s="56" customFormat="1" ht="14.25">
      <c r="B367" s="44"/>
      <c r="C367" s="47"/>
      <c r="D367" s="86"/>
      <c r="E367" s="86"/>
      <c r="F367" s="86"/>
      <c r="G367" s="253"/>
      <c r="H367" s="253"/>
      <c r="I367" s="48"/>
      <c r="J367" s="76" t="str">
        <f t="shared" si="10"/>
        <v/>
      </c>
      <c r="K367" s="87" t="str">
        <f t="shared" si="11"/>
        <v/>
      </c>
      <c r="L367" s="47"/>
    </row>
    <row r="368" spans="2:12" s="56" customFormat="1" ht="14.25">
      <c r="B368" s="44"/>
      <c r="C368" s="47"/>
      <c r="D368" s="86"/>
      <c r="E368" s="86"/>
      <c r="F368" s="86"/>
      <c r="G368" s="253"/>
      <c r="H368" s="253"/>
      <c r="I368" s="48"/>
      <c r="J368" s="76" t="str">
        <f t="shared" si="10"/>
        <v/>
      </c>
      <c r="K368" s="87" t="str">
        <f t="shared" si="11"/>
        <v/>
      </c>
      <c r="L368" s="47"/>
    </row>
    <row r="369" spans="2:12" s="56" customFormat="1" ht="14.25">
      <c r="B369" s="44"/>
      <c r="C369" s="47"/>
      <c r="D369" s="86"/>
      <c r="E369" s="86"/>
      <c r="F369" s="86"/>
      <c r="G369" s="253"/>
      <c r="H369" s="253"/>
      <c r="I369" s="48"/>
      <c r="J369" s="76" t="str">
        <f t="shared" si="10"/>
        <v/>
      </c>
      <c r="K369" s="87" t="str">
        <f t="shared" si="11"/>
        <v/>
      </c>
      <c r="L369" s="47"/>
    </row>
    <row r="370" spans="2:12" s="56" customFormat="1" ht="14.25">
      <c r="B370" s="44"/>
      <c r="C370" s="47"/>
      <c r="D370" s="86"/>
      <c r="E370" s="86"/>
      <c r="F370" s="86"/>
      <c r="G370" s="253"/>
      <c r="H370" s="253"/>
      <c r="I370" s="48"/>
      <c r="J370" s="76" t="str">
        <f t="shared" si="10"/>
        <v/>
      </c>
      <c r="K370" s="87" t="str">
        <f t="shared" si="11"/>
        <v/>
      </c>
      <c r="L370" s="47"/>
    </row>
    <row r="371" spans="2:12" s="56" customFormat="1" ht="14.25">
      <c r="B371" s="44"/>
      <c r="C371" s="47"/>
      <c r="D371" s="86"/>
      <c r="E371" s="86"/>
      <c r="F371" s="86"/>
      <c r="G371" s="253"/>
      <c r="H371" s="253"/>
      <c r="I371" s="48"/>
      <c r="J371" s="76" t="str">
        <f t="shared" si="10"/>
        <v/>
      </c>
      <c r="K371" s="87" t="str">
        <f t="shared" si="11"/>
        <v/>
      </c>
      <c r="L371" s="47"/>
    </row>
    <row r="372" spans="2:12" s="56" customFormat="1" ht="14.25">
      <c r="B372" s="44"/>
      <c r="C372" s="47"/>
      <c r="D372" s="86"/>
      <c r="E372" s="86"/>
      <c r="F372" s="86"/>
      <c r="G372" s="253"/>
      <c r="H372" s="253"/>
      <c r="I372" s="48"/>
      <c r="J372" s="76" t="str">
        <f t="shared" si="10"/>
        <v/>
      </c>
      <c r="K372" s="87" t="str">
        <f t="shared" si="11"/>
        <v/>
      </c>
      <c r="L372" s="47"/>
    </row>
    <row r="373" spans="2:12" s="56" customFormat="1" ht="14.25">
      <c r="B373" s="44"/>
      <c r="C373" s="47"/>
      <c r="D373" s="86"/>
      <c r="E373" s="86"/>
      <c r="F373" s="86"/>
      <c r="G373" s="253"/>
      <c r="H373" s="253"/>
      <c r="I373" s="48"/>
      <c r="J373" s="76" t="str">
        <f t="shared" si="10"/>
        <v/>
      </c>
      <c r="K373" s="87" t="str">
        <f t="shared" si="11"/>
        <v/>
      </c>
      <c r="L373" s="47"/>
    </row>
    <row r="374" spans="2:12" s="56" customFormat="1" ht="14.25">
      <c r="B374" s="44"/>
      <c r="C374" s="47"/>
      <c r="D374" s="86"/>
      <c r="E374" s="86"/>
      <c r="F374" s="86"/>
      <c r="G374" s="253"/>
      <c r="H374" s="253"/>
      <c r="I374" s="48"/>
      <c r="J374" s="76" t="str">
        <f t="shared" si="10"/>
        <v/>
      </c>
      <c r="K374" s="87" t="str">
        <f t="shared" si="11"/>
        <v/>
      </c>
      <c r="L374" s="47"/>
    </row>
    <row r="375" spans="2:12" s="56" customFormat="1" ht="14.25">
      <c r="B375" s="44"/>
      <c r="C375" s="47"/>
      <c r="D375" s="86"/>
      <c r="E375" s="86"/>
      <c r="F375" s="86"/>
      <c r="G375" s="253"/>
      <c r="H375" s="253"/>
      <c r="I375" s="48"/>
      <c r="J375" s="76" t="str">
        <f t="shared" si="10"/>
        <v/>
      </c>
      <c r="K375" s="87" t="str">
        <f t="shared" si="11"/>
        <v/>
      </c>
      <c r="L375" s="47"/>
    </row>
    <row r="376" spans="2:12" s="56" customFormat="1" ht="14.25">
      <c r="B376" s="44"/>
      <c r="C376" s="47"/>
      <c r="D376" s="86"/>
      <c r="E376" s="86"/>
      <c r="F376" s="86"/>
      <c r="G376" s="253"/>
      <c r="H376" s="253"/>
      <c r="I376" s="48"/>
      <c r="J376" s="76" t="str">
        <f t="shared" si="10"/>
        <v/>
      </c>
      <c r="K376" s="87" t="str">
        <f t="shared" si="11"/>
        <v/>
      </c>
      <c r="L376" s="47"/>
    </row>
    <row r="377" spans="2:12" s="56" customFormat="1" ht="14.25">
      <c r="B377" s="44"/>
      <c r="C377" s="47"/>
      <c r="D377" s="86"/>
      <c r="E377" s="86"/>
      <c r="F377" s="86"/>
      <c r="G377" s="253"/>
      <c r="H377" s="253"/>
      <c r="I377" s="48"/>
      <c r="J377" s="76" t="str">
        <f t="shared" si="10"/>
        <v/>
      </c>
      <c r="K377" s="87" t="str">
        <f t="shared" si="11"/>
        <v/>
      </c>
      <c r="L377" s="47"/>
    </row>
    <row r="378" spans="2:12" s="56" customFormat="1" ht="14.25">
      <c r="B378" s="44"/>
      <c r="C378" s="47"/>
      <c r="D378" s="86"/>
      <c r="E378" s="86"/>
      <c r="F378" s="86"/>
      <c r="G378" s="253"/>
      <c r="H378" s="253"/>
      <c r="I378" s="48"/>
      <c r="J378" s="76" t="str">
        <f t="shared" si="10"/>
        <v/>
      </c>
      <c r="K378" s="87" t="str">
        <f t="shared" si="11"/>
        <v/>
      </c>
      <c r="L378" s="47"/>
    </row>
    <row r="379" spans="2:12" s="56" customFormat="1" ht="14.25">
      <c r="B379" s="44"/>
      <c r="C379" s="47"/>
      <c r="D379" s="86"/>
      <c r="E379" s="86"/>
      <c r="F379" s="86"/>
      <c r="G379" s="253"/>
      <c r="H379" s="253"/>
      <c r="I379" s="48"/>
      <c r="J379" s="76" t="str">
        <f t="shared" si="10"/>
        <v/>
      </c>
      <c r="K379" s="87" t="str">
        <f t="shared" si="11"/>
        <v/>
      </c>
      <c r="L379" s="47"/>
    </row>
    <row r="380" spans="2:12" s="56" customFormat="1" ht="14.25">
      <c r="B380" s="44"/>
      <c r="C380" s="47"/>
      <c r="D380" s="86"/>
      <c r="E380" s="86"/>
      <c r="F380" s="86"/>
      <c r="G380" s="253"/>
      <c r="H380" s="253"/>
      <c r="I380" s="48"/>
      <c r="J380" s="76" t="str">
        <f t="shared" si="10"/>
        <v/>
      </c>
      <c r="K380" s="87" t="str">
        <f t="shared" si="11"/>
        <v/>
      </c>
      <c r="L380" s="47"/>
    </row>
    <row r="381" spans="2:12" s="56" customFormat="1" ht="14.25">
      <c r="B381" s="44"/>
      <c r="C381" s="47"/>
      <c r="D381" s="86"/>
      <c r="E381" s="86"/>
      <c r="F381" s="86"/>
      <c r="G381" s="253"/>
      <c r="H381" s="253"/>
      <c r="I381" s="48"/>
      <c r="J381" s="76" t="str">
        <f t="shared" si="10"/>
        <v/>
      </c>
      <c r="K381" s="87" t="str">
        <f t="shared" si="11"/>
        <v/>
      </c>
      <c r="L381" s="47"/>
    </row>
    <row r="382" spans="2:12" s="56" customFormat="1" ht="14.25">
      <c r="B382" s="44"/>
      <c r="C382" s="47"/>
      <c r="D382" s="86"/>
      <c r="E382" s="86"/>
      <c r="F382" s="86"/>
      <c r="G382" s="253"/>
      <c r="H382" s="253"/>
      <c r="I382" s="48"/>
      <c r="J382" s="76" t="str">
        <f t="shared" si="10"/>
        <v/>
      </c>
      <c r="K382" s="87" t="str">
        <f t="shared" si="11"/>
        <v/>
      </c>
      <c r="L382" s="47"/>
    </row>
    <row r="383" spans="2:12" s="56" customFormat="1" ht="14.25">
      <c r="B383" s="44"/>
      <c r="C383" s="47"/>
      <c r="D383" s="86"/>
      <c r="E383" s="86"/>
      <c r="F383" s="86"/>
      <c r="G383" s="253"/>
      <c r="H383" s="253"/>
      <c r="I383" s="48"/>
      <c r="J383" s="76" t="str">
        <f t="shared" si="10"/>
        <v/>
      </c>
      <c r="K383" s="87" t="str">
        <f t="shared" si="11"/>
        <v/>
      </c>
      <c r="L383" s="47"/>
    </row>
    <row r="384" spans="2:12" s="56" customFormat="1" ht="14.25">
      <c r="B384" s="44"/>
      <c r="C384" s="47"/>
      <c r="D384" s="86"/>
      <c r="E384" s="86"/>
      <c r="F384" s="86"/>
      <c r="G384" s="253"/>
      <c r="H384" s="253"/>
      <c r="I384" s="48"/>
      <c r="J384" s="76" t="str">
        <f t="shared" si="10"/>
        <v/>
      </c>
      <c r="K384" s="87" t="str">
        <f t="shared" si="11"/>
        <v/>
      </c>
      <c r="L384" s="47"/>
    </row>
    <row r="385" spans="2:12" s="56" customFormat="1" ht="14.25">
      <c r="B385" s="44"/>
      <c r="C385" s="47"/>
      <c r="D385" s="86"/>
      <c r="E385" s="86"/>
      <c r="F385" s="86"/>
      <c r="G385" s="253"/>
      <c r="H385" s="253"/>
      <c r="I385" s="48"/>
      <c r="J385" s="76" t="str">
        <f t="shared" si="10"/>
        <v/>
      </c>
      <c r="K385" s="87" t="str">
        <f t="shared" si="11"/>
        <v/>
      </c>
      <c r="L385" s="47"/>
    </row>
    <row r="386" spans="2:12" s="56" customFormat="1" ht="14.25">
      <c r="B386" s="44"/>
      <c r="C386" s="47"/>
      <c r="D386" s="86"/>
      <c r="E386" s="86"/>
      <c r="F386" s="86"/>
      <c r="G386" s="253"/>
      <c r="H386" s="253"/>
      <c r="I386" s="48"/>
      <c r="J386" s="76" t="str">
        <f t="shared" si="10"/>
        <v/>
      </c>
      <c r="K386" s="87" t="str">
        <f t="shared" si="11"/>
        <v/>
      </c>
      <c r="L386" s="47"/>
    </row>
    <row r="387" spans="2:12" s="56" customFormat="1" ht="14.25">
      <c r="B387" s="44"/>
      <c r="C387" s="47"/>
      <c r="D387" s="86"/>
      <c r="E387" s="86"/>
      <c r="F387" s="86"/>
      <c r="G387" s="253"/>
      <c r="H387" s="253"/>
      <c r="I387" s="48"/>
      <c r="J387" s="76" t="str">
        <f t="shared" si="10"/>
        <v/>
      </c>
      <c r="K387" s="87" t="str">
        <f t="shared" si="11"/>
        <v/>
      </c>
      <c r="L387" s="47"/>
    </row>
    <row r="388" spans="2:12" s="56" customFormat="1" ht="14.25">
      <c r="B388" s="44"/>
      <c r="C388" s="47"/>
      <c r="D388" s="86"/>
      <c r="E388" s="86"/>
      <c r="F388" s="86"/>
      <c r="G388" s="253"/>
      <c r="H388" s="253"/>
      <c r="I388" s="48"/>
      <c r="J388" s="76" t="str">
        <f t="shared" si="10"/>
        <v/>
      </c>
      <c r="K388" s="87" t="str">
        <f t="shared" si="11"/>
        <v/>
      </c>
      <c r="L388" s="47"/>
    </row>
    <row r="389" spans="2:12" s="56" customFormat="1" ht="14.25">
      <c r="B389" s="44"/>
      <c r="C389" s="47"/>
      <c r="D389" s="86"/>
      <c r="E389" s="86"/>
      <c r="F389" s="86"/>
      <c r="G389" s="253"/>
      <c r="H389" s="253"/>
      <c r="I389" s="48"/>
      <c r="J389" s="76" t="str">
        <f t="shared" si="10"/>
        <v/>
      </c>
      <c r="K389" s="87" t="str">
        <f t="shared" si="11"/>
        <v/>
      </c>
      <c r="L389" s="47"/>
    </row>
    <row r="390" spans="2:12" s="56" customFormat="1" ht="14.25">
      <c r="B390" s="44"/>
      <c r="C390" s="47"/>
      <c r="D390" s="86"/>
      <c r="E390" s="86"/>
      <c r="F390" s="86"/>
      <c r="G390" s="253"/>
      <c r="H390" s="253"/>
      <c r="I390" s="48"/>
      <c r="J390" s="76" t="str">
        <f t="shared" si="10"/>
        <v/>
      </c>
      <c r="K390" s="87" t="str">
        <f t="shared" si="11"/>
        <v/>
      </c>
      <c r="L390" s="47"/>
    </row>
    <row r="391" spans="2:12" s="56" customFormat="1" ht="14.25">
      <c r="B391" s="44"/>
      <c r="C391" s="47"/>
      <c r="D391" s="86"/>
      <c r="E391" s="86"/>
      <c r="F391" s="86"/>
      <c r="G391" s="253"/>
      <c r="H391" s="253"/>
      <c r="I391" s="48"/>
      <c r="J391" s="76" t="str">
        <f t="shared" si="10"/>
        <v/>
      </c>
      <c r="K391" s="87" t="str">
        <f t="shared" si="11"/>
        <v/>
      </c>
      <c r="L391" s="47"/>
    </row>
    <row r="392" spans="2:12" s="56" customFormat="1" ht="14.25">
      <c r="B392" s="44"/>
      <c r="C392" s="47"/>
      <c r="D392" s="86"/>
      <c r="E392" s="86"/>
      <c r="F392" s="86"/>
      <c r="G392" s="253"/>
      <c r="H392" s="253"/>
      <c r="I392" s="48"/>
      <c r="J392" s="76" t="str">
        <f t="shared" si="10"/>
        <v/>
      </c>
      <c r="K392" s="87" t="str">
        <f t="shared" si="11"/>
        <v/>
      </c>
      <c r="L392" s="47"/>
    </row>
    <row r="393" spans="2:12" s="56" customFormat="1" ht="14.25">
      <c r="B393" s="44"/>
      <c r="C393" s="47"/>
      <c r="D393" s="86"/>
      <c r="E393" s="86"/>
      <c r="F393" s="86"/>
      <c r="G393" s="253"/>
      <c r="H393" s="253"/>
      <c r="I393" s="48"/>
      <c r="J393" s="76" t="str">
        <f t="shared" si="10"/>
        <v/>
      </c>
      <c r="K393" s="87" t="str">
        <f t="shared" si="11"/>
        <v/>
      </c>
      <c r="L393" s="47"/>
    </row>
    <row r="394" spans="2:12" s="56" customFormat="1" ht="14.25">
      <c r="B394" s="44"/>
      <c r="C394" s="47"/>
      <c r="D394" s="86"/>
      <c r="E394" s="86"/>
      <c r="F394" s="86"/>
      <c r="G394" s="253"/>
      <c r="H394" s="253"/>
      <c r="I394" s="48"/>
      <c r="J394" s="76" t="str">
        <f t="shared" si="10"/>
        <v/>
      </c>
      <c r="K394" s="87" t="str">
        <f t="shared" si="11"/>
        <v/>
      </c>
      <c r="L394" s="47"/>
    </row>
    <row r="395" spans="2:12" s="56" customFormat="1" ht="14.25">
      <c r="B395" s="44"/>
      <c r="C395" s="47"/>
      <c r="D395" s="86"/>
      <c r="E395" s="86"/>
      <c r="F395" s="86"/>
      <c r="G395" s="253"/>
      <c r="H395" s="253"/>
      <c r="I395" s="48"/>
      <c r="J395" s="76" t="str">
        <f t="shared" ref="J395:J402" si="12">IF($C395&lt;&gt;"",$E395*1.5,"")</f>
        <v/>
      </c>
      <c r="K395" s="87" t="str">
        <f t="shared" ref="K395:K402" si="13">IFERROR($J395/10,"")</f>
        <v/>
      </c>
      <c r="L395" s="47"/>
    </row>
    <row r="396" spans="2:12" s="56" customFormat="1" ht="14.25">
      <c r="B396" s="44"/>
      <c r="C396" s="47"/>
      <c r="D396" s="86"/>
      <c r="E396" s="86"/>
      <c r="F396" s="86"/>
      <c r="G396" s="253"/>
      <c r="H396" s="253"/>
      <c r="I396" s="48"/>
      <c r="J396" s="76" t="str">
        <f t="shared" si="12"/>
        <v/>
      </c>
      <c r="K396" s="87" t="str">
        <f t="shared" si="13"/>
        <v/>
      </c>
      <c r="L396" s="47"/>
    </row>
    <row r="397" spans="2:12" s="56" customFormat="1" ht="14.25">
      <c r="B397" s="44"/>
      <c r="C397" s="47"/>
      <c r="D397" s="86"/>
      <c r="E397" s="86"/>
      <c r="F397" s="86"/>
      <c r="G397" s="253"/>
      <c r="H397" s="253"/>
      <c r="I397" s="48"/>
      <c r="J397" s="76" t="str">
        <f t="shared" si="12"/>
        <v/>
      </c>
      <c r="K397" s="87" t="str">
        <f t="shared" si="13"/>
        <v/>
      </c>
      <c r="L397" s="47"/>
    </row>
    <row r="398" spans="2:12" s="56" customFormat="1" ht="14.25">
      <c r="B398" s="44"/>
      <c r="C398" s="47"/>
      <c r="D398" s="86"/>
      <c r="E398" s="86"/>
      <c r="F398" s="86"/>
      <c r="G398" s="253"/>
      <c r="H398" s="253"/>
      <c r="I398" s="48"/>
      <c r="J398" s="76" t="str">
        <f t="shared" si="12"/>
        <v/>
      </c>
      <c r="K398" s="87" t="str">
        <f t="shared" si="13"/>
        <v/>
      </c>
      <c r="L398" s="47"/>
    </row>
    <row r="399" spans="2:12" s="56" customFormat="1" ht="14.25">
      <c r="B399" s="44"/>
      <c r="C399" s="47"/>
      <c r="D399" s="86"/>
      <c r="E399" s="86"/>
      <c r="F399" s="86"/>
      <c r="G399" s="253"/>
      <c r="H399" s="253"/>
      <c r="I399" s="48"/>
      <c r="J399" s="76" t="str">
        <f t="shared" si="12"/>
        <v/>
      </c>
      <c r="K399" s="87" t="str">
        <f t="shared" si="13"/>
        <v/>
      </c>
      <c r="L399" s="47"/>
    </row>
    <row r="400" spans="2:12" s="56" customFormat="1" ht="14.25">
      <c r="B400" s="44"/>
      <c r="C400" s="47"/>
      <c r="D400" s="86"/>
      <c r="E400" s="86"/>
      <c r="F400" s="86"/>
      <c r="G400" s="253"/>
      <c r="H400" s="253"/>
      <c r="I400" s="48"/>
      <c r="J400" s="76" t="str">
        <f t="shared" si="12"/>
        <v/>
      </c>
      <c r="K400" s="87" t="str">
        <f t="shared" si="13"/>
        <v/>
      </c>
      <c r="L400" s="47"/>
    </row>
    <row r="401" spans="2:12" s="56" customFormat="1" ht="14.25">
      <c r="B401" s="44"/>
      <c r="C401" s="47"/>
      <c r="D401" s="86"/>
      <c r="E401" s="86"/>
      <c r="F401" s="86"/>
      <c r="G401" s="253"/>
      <c r="H401" s="253"/>
      <c r="I401" s="48"/>
      <c r="J401" s="76" t="str">
        <f t="shared" si="12"/>
        <v/>
      </c>
      <c r="K401" s="87" t="str">
        <f t="shared" si="13"/>
        <v/>
      </c>
      <c r="L401" s="47"/>
    </row>
    <row r="402" spans="2:12" s="56" customFormat="1" ht="14.25">
      <c r="B402" s="44"/>
      <c r="C402" s="47"/>
      <c r="D402" s="86"/>
      <c r="E402" s="86"/>
      <c r="F402" s="86"/>
      <c r="G402" s="253"/>
      <c r="H402" s="253"/>
      <c r="I402" s="48"/>
      <c r="J402" s="76" t="str">
        <f t="shared" si="12"/>
        <v/>
      </c>
      <c r="K402" s="87" t="str">
        <f t="shared" si="13"/>
        <v/>
      </c>
      <c r="L402" s="47"/>
    </row>
    <row r="403" spans="2:12" s="56" customFormat="1" ht="14.25">
      <c r="B403" s="233" t="s">
        <v>66</v>
      </c>
      <c r="C403" s="233"/>
      <c r="D403" s="233"/>
      <c r="E403" s="233"/>
      <c r="F403" s="233"/>
      <c r="G403" s="233"/>
      <c r="H403" s="233"/>
      <c r="I403" s="233"/>
      <c r="J403" s="233"/>
      <c r="K403" s="233"/>
      <c r="L403" s="233"/>
    </row>
    <row r="404" spans="2:12">
      <c r="B404" s="66"/>
      <c r="C404" s="68"/>
      <c r="D404" s="68"/>
      <c r="E404" s="68"/>
      <c r="F404" s="68"/>
      <c r="G404" s="68"/>
      <c r="H404" s="68"/>
      <c r="I404" s="89" t="s">
        <v>90</v>
      </c>
      <c r="J404" s="90">
        <f>SUM(J11:J402)</f>
        <v>0</v>
      </c>
      <c r="K404" s="254">
        <f>SUM(K11:K402)</f>
        <v>0</v>
      </c>
    </row>
    <row r="405" spans="2:12">
      <c r="I405" s="255" t="s">
        <v>91</v>
      </c>
      <c r="J405" s="255"/>
      <c r="K405" s="254"/>
    </row>
  </sheetData>
  <sheetProtection sheet="1" formatCells="0" formatColumns="0" formatRows="0" insertColumns="0" insertRows="0" insertHyperlinks="0" deleteColumns="0" deleteRows="0" sort="0" autoFilter="0" pivotTables="0"/>
  <mergeCells count="413">
    <mergeCell ref="F8:F9"/>
    <mergeCell ref="G1:L1"/>
    <mergeCell ref="B3:C4"/>
    <mergeCell ref="D3:E4"/>
    <mergeCell ref="J3:L3"/>
    <mergeCell ref="J4:L4"/>
    <mergeCell ref="B5:C6"/>
    <mergeCell ref="D5:E6"/>
    <mergeCell ref="J5:L5"/>
    <mergeCell ref="J6:L6"/>
    <mergeCell ref="G23:H23"/>
    <mergeCell ref="J8:K8"/>
    <mergeCell ref="L8:L9"/>
    <mergeCell ref="B10:L10"/>
    <mergeCell ref="G11:H11"/>
    <mergeCell ref="G12:H12"/>
    <mergeCell ref="G13:H13"/>
    <mergeCell ref="B8:B9"/>
    <mergeCell ref="C8:C9"/>
    <mergeCell ref="E8:E9"/>
    <mergeCell ref="G19:H19"/>
    <mergeCell ref="G8:H9"/>
    <mergeCell ref="I8:I9"/>
    <mergeCell ref="G20:H20"/>
    <mergeCell ref="G21:H21"/>
    <mergeCell ref="G22:H22"/>
    <mergeCell ref="G44:H44"/>
    <mergeCell ref="G45:H45"/>
    <mergeCell ref="G46:H46"/>
    <mergeCell ref="G24:H24"/>
    <mergeCell ref="G25:H25"/>
    <mergeCell ref="G14:H14"/>
    <mergeCell ref="G15:H15"/>
    <mergeCell ref="G16:H16"/>
    <mergeCell ref="G17:H17"/>
    <mergeCell ref="G18:H18"/>
    <mergeCell ref="G38:H38"/>
    <mergeCell ref="G39:H39"/>
    <mergeCell ref="G40:H40"/>
    <mergeCell ref="G41:H41"/>
    <mergeCell ref="G42:H42"/>
    <mergeCell ref="G43:H43"/>
    <mergeCell ref="G32:H32"/>
    <mergeCell ref="G33:H33"/>
    <mergeCell ref="G34:H34"/>
    <mergeCell ref="G35:H35"/>
    <mergeCell ref="G36:H36"/>
    <mergeCell ref="G37:H37"/>
    <mergeCell ref="G26:H26"/>
    <mergeCell ref="G27:H27"/>
    <mergeCell ref="G28:H28"/>
    <mergeCell ref="G29:H29"/>
    <mergeCell ref="G30:H30"/>
    <mergeCell ref="G31:H31"/>
    <mergeCell ref="G68:H68"/>
    <mergeCell ref="G69:H69"/>
    <mergeCell ref="G70:H70"/>
    <mergeCell ref="G47:H47"/>
    <mergeCell ref="G48:H48"/>
    <mergeCell ref="G49:H49"/>
    <mergeCell ref="G62:H62"/>
    <mergeCell ref="G63:H63"/>
    <mergeCell ref="G64:H64"/>
    <mergeCell ref="G65:H65"/>
    <mergeCell ref="G66:H66"/>
    <mergeCell ref="G67:H67"/>
    <mergeCell ref="G56:H56"/>
    <mergeCell ref="G57:H57"/>
    <mergeCell ref="G58:H58"/>
    <mergeCell ref="G59:H59"/>
    <mergeCell ref="G60:H60"/>
    <mergeCell ref="G61:H61"/>
    <mergeCell ref="G50:H50"/>
    <mergeCell ref="G51:H51"/>
    <mergeCell ref="G52:H52"/>
    <mergeCell ref="G53:H53"/>
    <mergeCell ref="G54:H54"/>
    <mergeCell ref="G55:H55"/>
    <mergeCell ref="G92:H92"/>
    <mergeCell ref="G93:H93"/>
    <mergeCell ref="G94:H94"/>
    <mergeCell ref="G71:H71"/>
    <mergeCell ref="G72:H72"/>
    <mergeCell ref="G73:H73"/>
    <mergeCell ref="G86:H86"/>
    <mergeCell ref="G87:H87"/>
    <mergeCell ref="G88:H88"/>
    <mergeCell ref="G89:H89"/>
    <mergeCell ref="G90:H90"/>
    <mergeCell ref="G91:H91"/>
    <mergeCell ref="G80:H80"/>
    <mergeCell ref="G81:H81"/>
    <mergeCell ref="G82:H82"/>
    <mergeCell ref="G83:H83"/>
    <mergeCell ref="G84:H84"/>
    <mergeCell ref="G85:H85"/>
    <mergeCell ref="G74:H74"/>
    <mergeCell ref="G75:H75"/>
    <mergeCell ref="G76:H76"/>
    <mergeCell ref="G77:H77"/>
    <mergeCell ref="G78:H78"/>
    <mergeCell ref="G79:H79"/>
    <mergeCell ref="G116:H116"/>
    <mergeCell ref="G117:H117"/>
    <mergeCell ref="G118:H118"/>
    <mergeCell ref="G95:H95"/>
    <mergeCell ref="G96:H96"/>
    <mergeCell ref="G97:H97"/>
    <mergeCell ref="G110:H110"/>
    <mergeCell ref="G111:H111"/>
    <mergeCell ref="G112:H112"/>
    <mergeCell ref="G113:H113"/>
    <mergeCell ref="G114:H114"/>
    <mergeCell ref="G115:H115"/>
    <mergeCell ref="G104:H104"/>
    <mergeCell ref="G105:H105"/>
    <mergeCell ref="G106:H106"/>
    <mergeCell ref="G107:H107"/>
    <mergeCell ref="G108:H108"/>
    <mergeCell ref="G109:H109"/>
    <mergeCell ref="G98:H98"/>
    <mergeCell ref="G99:H99"/>
    <mergeCell ref="G100:H100"/>
    <mergeCell ref="G101:H101"/>
    <mergeCell ref="G102:H102"/>
    <mergeCell ref="G103:H103"/>
    <mergeCell ref="G140:H140"/>
    <mergeCell ref="G141:H141"/>
    <mergeCell ref="G142:H142"/>
    <mergeCell ref="G119:H119"/>
    <mergeCell ref="G120:H120"/>
    <mergeCell ref="G121:H121"/>
    <mergeCell ref="G134:H134"/>
    <mergeCell ref="G135:H135"/>
    <mergeCell ref="G136:H136"/>
    <mergeCell ref="G137:H137"/>
    <mergeCell ref="G138:H138"/>
    <mergeCell ref="G139:H139"/>
    <mergeCell ref="G128:H128"/>
    <mergeCell ref="G129:H129"/>
    <mergeCell ref="G130:H130"/>
    <mergeCell ref="G131:H131"/>
    <mergeCell ref="G132:H132"/>
    <mergeCell ref="G133:H133"/>
    <mergeCell ref="G122:H122"/>
    <mergeCell ref="G123:H123"/>
    <mergeCell ref="G124:H124"/>
    <mergeCell ref="G125:H125"/>
    <mergeCell ref="G126:H126"/>
    <mergeCell ref="G127:H127"/>
    <mergeCell ref="G164:H164"/>
    <mergeCell ref="G165:H165"/>
    <mergeCell ref="G166:H166"/>
    <mergeCell ref="G143:H143"/>
    <mergeCell ref="G144:H144"/>
    <mergeCell ref="G145:H145"/>
    <mergeCell ref="G158:H158"/>
    <mergeCell ref="G159:H159"/>
    <mergeCell ref="G160:H160"/>
    <mergeCell ref="G161:H161"/>
    <mergeCell ref="G162:H162"/>
    <mergeCell ref="G163:H163"/>
    <mergeCell ref="G152:H152"/>
    <mergeCell ref="G153:H153"/>
    <mergeCell ref="G154:H154"/>
    <mergeCell ref="G155:H155"/>
    <mergeCell ref="G156:H156"/>
    <mergeCell ref="G157:H157"/>
    <mergeCell ref="G146:H146"/>
    <mergeCell ref="G147:H147"/>
    <mergeCell ref="G148:H148"/>
    <mergeCell ref="G149:H149"/>
    <mergeCell ref="G150:H150"/>
    <mergeCell ref="G151:H151"/>
    <mergeCell ref="G188:H188"/>
    <mergeCell ref="G189:H189"/>
    <mergeCell ref="G190:H190"/>
    <mergeCell ref="G167:H167"/>
    <mergeCell ref="G168:H168"/>
    <mergeCell ref="G169:H169"/>
    <mergeCell ref="G182:H182"/>
    <mergeCell ref="G183:H183"/>
    <mergeCell ref="G184:H184"/>
    <mergeCell ref="G185:H185"/>
    <mergeCell ref="G186:H186"/>
    <mergeCell ref="G187:H187"/>
    <mergeCell ref="G176:H176"/>
    <mergeCell ref="G177:H177"/>
    <mergeCell ref="G178:H178"/>
    <mergeCell ref="G179:H179"/>
    <mergeCell ref="G180:H180"/>
    <mergeCell ref="G181:H181"/>
    <mergeCell ref="G170:H170"/>
    <mergeCell ref="G171:H171"/>
    <mergeCell ref="G172:H172"/>
    <mergeCell ref="G173:H173"/>
    <mergeCell ref="G174:H174"/>
    <mergeCell ref="G175:H175"/>
    <mergeCell ref="G212:H212"/>
    <mergeCell ref="G213:H213"/>
    <mergeCell ref="G214:H214"/>
    <mergeCell ref="G191:H191"/>
    <mergeCell ref="G192:H192"/>
    <mergeCell ref="G193:H193"/>
    <mergeCell ref="G206:H206"/>
    <mergeCell ref="G207:H207"/>
    <mergeCell ref="G208:H208"/>
    <mergeCell ref="G209:H209"/>
    <mergeCell ref="G210:H210"/>
    <mergeCell ref="G211:H211"/>
    <mergeCell ref="G200:H200"/>
    <mergeCell ref="G201:H201"/>
    <mergeCell ref="G202:H202"/>
    <mergeCell ref="G203:H203"/>
    <mergeCell ref="G204:H204"/>
    <mergeCell ref="G205:H205"/>
    <mergeCell ref="G194:H194"/>
    <mergeCell ref="G195:H195"/>
    <mergeCell ref="G196:H196"/>
    <mergeCell ref="G197:H197"/>
    <mergeCell ref="G198:H198"/>
    <mergeCell ref="G199:H199"/>
    <mergeCell ref="G236:H236"/>
    <mergeCell ref="G237:H237"/>
    <mergeCell ref="G238:H238"/>
    <mergeCell ref="G215:H215"/>
    <mergeCell ref="G216:H216"/>
    <mergeCell ref="G217:H217"/>
    <mergeCell ref="G230:H230"/>
    <mergeCell ref="G231:H231"/>
    <mergeCell ref="G232:H232"/>
    <mergeCell ref="G233:H233"/>
    <mergeCell ref="G234:H234"/>
    <mergeCell ref="G235:H235"/>
    <mergeCell ref="G224:H224"/>
    <mergeCell ref="G225:H225"/>
    <mergeCell ref="G226:H226"/>
    <mergeCell ref="G227:H227"/>
    <mergeCell ref="G228:H228"/>
    <mergeCell ref="G229:H229"/>
    <mergeCell ref="G218:H218"/>
    <mergeCell ref="G219:H219"/>
    <mergeCell ref="G220:H220"/>
    <mergeCell ref="G221:H221"/>
    <mergeCell ref="G222:H222"/>
    <mergeCell ref="G223:H223"/>
    <mergeCell ref="G260:H260"/>
    <mergeCell ref="G261:H261"/>
    <mergeCell ref="G262:H262"/>
    <mergeCell ref="G239:H239"/>
    <mergeCell ref="G240:H240"/>
    <mergeCell ref="G241:H241"/>
    <mergeCell ref="G254:H254"/>
    <mergeCell ref="G255:H255"/>
    <mergeCell ref="G256:H256"/>
    <mergeCell ref="G257:H257"/>
    <mergeCell ref="G258:H258"/>
    <mergeCell ref="G259:H259"/>
    <mergeCell ref="G248:H248"/>
    <mergeCell ref="G249:H249"/>
    <mergeCell ref="G250:H250"/>
    <mergeCell ref="G251:H251"/>
    <mergeCell ref="G252:H252"/>
    <mergeCell ref="G253:H253"/>
    <mergeCell ref="G242:H242"/>
    <mergeCell ref="G243:H243"/>
    <mergeCell ref="G244:H244"/>
    <mergeCell ref="G245:H245"/>
    <mergeCell ref="G246:H246"/>
    <mergeCell ref="G247:H247"/>
    <mergeCell ref="G284:H284"/>
    <mergeCell ref="G285:H285"/>
    <mergeCell ref="G286:H286"/>
    <mergeCell ref="G263:H263"/>
    <mergeCell ref="G264:H264"/>
    <mergeCell ref="G265:H265"/>
    <mergeCell ref="G278:H278"/>
    <mergeCell ref="G279:H279"/>
    <mergeCell ref="G280:H280"/>
    <mergeCell ref="G281:H281"/>
    <mergeCell ref="G282:H282"/>
    <mergeCell ref="G283:H283"/>
    <mergeCell ref="G272:H272"/>
    <mergeCell ref="G273:H273"/>
    <mergeCell ref="G274:H274"/>
    <mergeCell ref="G275:H275"/>
    <mergeCell ref="G276:H276"/>
    <mergeCell ref="G277:H277"/>
    <mergeCell ref="G266:H266"/>
    <mergeCell ref="G267:H267"/>
    <mergeCell ref="G268:H268"/>
    <mergeCell ref="G269:H269"/>
    <mergeCell ref="G270:H270"/>
    <mergeCell ref="G271:H271"/>
    <mergeCell ref="G308:H308"/>
    <mergeCell ref="G309:H309"/>
    <mergeCell ref="G310:H310"/>
    <mergeCell ref="G287:H287"/>
    <mergeCell ref="G288:H288"/>
    <mergeCell ref="G289:H289"/>
    <mergeCell ref="G302:H302"/>
    <mergeCell ref="G303:H303"/>
    <mergeCell ref="G304:H304"/>
    <mergeCell ref="G305:H305"/>
    <mergeCell ref="G306:H306"/>
    <mergeCell ref="G307:H307"/>
    <mergeCell ref="G296:H296"/>
    <mergeCell ref="G297:H297"/>
    <mergeCell ref="G298:H298"/>
    <mergeCell ref="G299:H299"/>
    <mergeCell ref="G300:H300"/>
    <mergeCell ref="G301:H301"/>
    <mergeCell ref="G290:H290"/>
    <mergeCell ref="G291:H291"/>
    <mergeCell ref="G292:H292"/>
    <mergeCell ref="G293:H293"/>
    <mergeCell ref="G294:H294"/>
    <mergeCell ref="G295:H295"/>
    <mergeCell ref="G332:H332"/>
    <mergeCell ref="G333:H333"/>
    <mergeCell ref="G334:H334"/>
    <mergeCell ref="G311:H311"/>
    <mergeCell ref="G312:H312"/>
    <mergeCell ref="G313:H313"/>
    <mergeCell ref="G326:H326"/>
    <mergeCell ref="G327:H327"/>
    <mergeCell ref="G328:H328"/>
    <mergeCell ref="G329:H329"/>
    <mergeCell ref="G330:H330"/>
    <mergeCell ref="G331:H331"/>
    <mergeCell ref="G320:H320"/>
    <mergeCell ref="G321:H321"/>
    <mergeCell ref="G322:H322"/>
    <mergeCell ref="G323:H323"/>
    <mergeCell ref="G324:H324"/>
    <mergeCell ref="G325:H325"/>
    <mergeCell ref="G314:H314"/>
    <mergeCell ref="G315:H315"/>
    <mergeCell ref="G316:H316"/>
    <mergeCell ref="G317:H317"/>
    <mergeCell ref="G318:H318"/>
    <mergeCell ref="G319:H319"/>
    <mergeCell ref="G355:H355"/>
    <mergeCell ref="G356:H356"/>
    <mergeCell ref="G357:H357"/>
    <mergeCell ref="G358:H358"/>
    <mergeCell ref="G335:H335"/>
    <mergeCell ref="G336:H336"/>
    <mergeCell ref="G337:H337"/>
    <mergeCell ref="G349:H349"/>
    <mergeCell ref="G350:H350"/>
    <mergeCell ref="G351:H351"/>
    <mergeCell ref="G352:H352"/>
    <mergeCell ref="G353:H353"/>
    <mergeCell ref="G354:H354"/>
    <mergeCell ref="G343:H343"/>
    <mergeCell ref="G344:H344"/>
    <mergeCell ref="G345:H345"/>
    <mergeCell ref="G346:H346"/>
    <mergeCell ref="G347:H347"/>
    <mergeCell ref="G348:H348"/>
    <mergeCell ref="G381:H381"/>
    <mergeCell ref="G382:H382"/>
    <mergeCell ref="G359:H359"/>
    <mergeCell ref="G360:H360"/>
    <mergeCell ref="G361:H361"/>
    <mergeCell ref="G338:H338"/>
    <mergeCell ref="G339:H339"/>
    <mergeCell ref="G340:H340"/>
    <mergeCell ref="G341:H341"/>
    <mergeCell ref="G342:H342"/>
    <mergeCell ref="G375:H375"/>
    <mergeCell ref="G376:H376"/>
    <mergeCell ref="G377:H377"/>
    <mergeCell ref="G378:H378"/>
    <mergeCell ref="G379:H379"/>
    <mergeCell ref="G380:H380"/>
    <mergeCell ref="G369:H369"/>
    <mergeCell ref="G370:H370"/>
    <mergeCell ref="G371:H371"/>
    <mergeCell ref="G372:H372"/>
    <mergeCell ref="G373:H373"/>
    <mergeCell ref="G374:H374"/>
    <mergeCell ref="G383:H383"/>
    <mergeCell ref="G384:H384"/>
    <mergeCell ref="G385:H385"/>
    <mergeCell ref="G362:H362"/>
    <mergeCell ref="G363:H363"/>
    <mergeCell ref="G364:H364"/>
    <mergeCell ref="G365:H365"/>
    <mergeCell ref="G366:H366"/>
    <mergeCell ref="G367:H367"/>
    <mergeCell ref="G368:H368"/>
    <mergeCell ref="G386:H386"/>
    <mergeCell ref="G387:H387"/>
    <mergeCell ref="G388:H388"/>
    <mergeCell ref="G398:H398"/>
    <mergeCell ref="G399:H399"/>
    <mergeCell ref="G400:H400"/>
    <mergeCell ref="G394:H394"/>
    <mergeCell ref="G395:H395"/>
    <mergeCell ref="G396:H396"/>
    <mergeCell ref="G397:H397"/>
    <mergeCell ref="G401:H401"/>
    <mergeCell ref="G402:H402"/>
    <mergeCell ref="B403:L403"/>
    <mergeCell ref="K404:K405"/>
    <mergeCell ref="I405:J405"/>
    <mergeCell ref="G389:H389"/>
    <mergeCell ref="G390:H390"/>
    <mergeCell ref="G391:H391"/>
    <mergeCell ref="G392:H392"/>
    <mergeCell ref="G393:H393"/>
  </mergeCells>
  <dataValidations count="3">
    <dataValidation type="list" allowBlank="1" showInputMessage="1" showErrorMessage="1" sqref="C11:C402">
      <formula1>UST</formula1>
      <formula2>0</formula2>
    </dataValidation>
    <dataValidation allowBlank="1" showInputMessage="1" showErrorMessage="1" errorTitle="Erro" error="Selecione uma das opções apresentada" sqref="J11:J402">
      <formula1>0</formula1>
      <formula2>0</formula2>
    </dataValidation>
    <dataValidation type="list" allowBlank="1" showInputMessage="1" showErrorMessage="1" sqref="D11:D402">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109"/>
  <sheetViews>
    <sheetView showGridLines="0" zoomScale="70" zoomScaleNormal="70" workbookViewId="0">
      <selection activeCell="G3" sqref="G3:I3"/>
    </sheetView>
  </sheetViews>
  <sheetFormatPr defaultColWidth="8.85546875" defaultRowHeight="12.75"/>
  <cols>
    <col min="1" max="1" width="5.5703125" style="15" customWidth="1" collapsed="1"/>
    <col min="2" max="2" width="9.5703125" style="17" customWidth="1" collapsed="1"/>
    <col min="3" max="3" width="17.5703125" style="17" customWidth="1" collapsed="1"/>
    <col min="4" max="4" width="18.140625" style="17" customWidth="1" collapsed="1"/>
    <col min="5" max="5" width="23" style="17" customWidth="1" collapsed="1"/>
    <col min="6" max="6" width="44" style="18" customWidth="1" collapsed="1"/>
    <col min="7" max="7" width="12.42578125" style="15" customWidth="1" collapsed="1"/>
    <col min="8" max="8" width="8.42578125" style="16" customWidth="1" collapsed="1"/>
    <col min="9" max="9" width="23.42578125" style="16" customWidth="1" collapsed="1"/>
    <col min="10" max="11" width="9.140625" style="16" customWidth="1" collapsed="1"/>
    <col min="12" max="12" width="9.5703125" style="16" customWidth="1" collapsed="1"/>
    <col min="13" max="21" width="9.140625" style="16" customWidth="1" collapsed="1"/>
    <col min="22" max="16384" width="8.85546875" style="16"/>
  </cols>
  <sheetData>
    <row r="1" spans="1:19" ht="69" customHeight="1">
      <c r="A1" s="2" t="s">
        <v>92</v>
      </c>
      <c r="B1" s="20"/>
      <c r="C1" s="81"/>
      <c r="D1" s="230" t="s">
        <v>93</v>
      </c>
      <c r="E1" s="230"/>
      <c r="F1" s="230"/>
      <c r="G1" s="230"/>
      <c r="H1" s="230"/>
      <c r="I1" s="230"/>
      <c r="J1" s="82"/>
      <c r="K1" s="82"/>
      <c r="L1" s="78"/>
      <c r="M1" s="78"/>
      <c r="N1" s="78"/>
      <c r="O1" s="78"/>
      <c r="P1" s="78"/>
      <c r="Q1" s="78"/>
      <c r="R1" s="78"/>
      <c r="S1" s="79"/>
    </row>
    <row r="2" spans="1:19" ht="9" customHeight="1">
      <c r="A2" s="80"/>
      <c r="B2" s="91"/>
      <c r="C2" s="32"/>
      <c r="D2" s="32"/>
      <c r="E2" s="32"/>
      <c r="F2" s="32"/>
      <c r="G2" s="32"/>
      <c r="H2" s="32"/>
      <c r="I2" s="32"/>
      <c r="J2" s="32"/>
    </row>
    <row r="3" spans="1:19" ht="18.600000000000001" customHeight="1">
      <c r="A3" s="79"/>
      <c r="B3" s="22"/>
      <c r="C3" s="22"/>
      <c r="D3" s="22"/>
      <c r="E3" s="22"/>
      <c r="F3" s="27" t="s">
        <v>7</v>
      </c>
      <c r="G3" s="224"/>
      <c r="H3" s="224"/>
      <c r="I3" s="224"/>
    </row>
    <row r="4" spans="1:19" ht="18.600000000000001" customHeight="1">
      <c r="A4" s="79"/>
      <c r="B4" s="22"/>
      <c r="C4" s="22"/>
      <c r="D4" s="22"/>
      <c r="E4" s="22"/>
      <c r="F4" s="27" t="s">
        <v>8</v>
      </c>
      <c r="G4" s="225"/>
      <c r="H4" s="225"/>
      <c r="I4" s="225"/>
    </row>
    <row r="5" spans="1:19" ht="18.600000000000001" customHeight="1">
      <c r="A5" s="251" t="s">
        <v>69</v>
      </c>
      <c r="B5" s="251"/>
      <c r="C5" s="251"/>
      <c r="D5" s="252" t="str">
        <f>TEXT(H109,"#.##0,0#")</f>
        <v>0,0</v>
      </c>
      <c r="E5" s="92"/>
      <c r="F5" s="27" t="s">
        <v>9</v>
      </c>
      <c r="G5" s="224"/>
      <c r="H5" s="224"/>
      <c r="I5" s="224"/>
    </row>
    <row r="6" spans="1:19" ht="18.600000000000001" customHeight="1">
      <c r="A6" s="251"/>
      <c r="B6" s="251"/>
      <c r="C6" s="251"/>
      <c r="D6" s="252"/>
      <c r="E6" s="92"/>
      <c r="F6" s="27" t="s">
        <v>10</v>
      </c>
      <c r="G6" s="225"/>
      <c r="H6" s="225"/>
      <c r="I6" s="225"/>
    </row>
    <row r="7" spans="1:19" ht="9" customHeight="1">
      <c r="A7" s="83"/>
      <c r="B7" s="83"/>
      <c r="C7" s="83"/>
      <c r="D7" s="83"/>
      <c r="E7" s="83"/>
      <c r="F7" s="84"/>
      <c r="G7" s="84"/>
      <c r="H7" s="84"/>
      <c r="I7" s="84"/>
    </row>
    <row r="8" spans="1:19" s="38" customFormat="1" ht="15.6" customHeight="1">
      <c r="A8" s="226" t="s">
        <v>43</v>
      </c>
      <c r="B8" s="223" t="s">
        <v>70</v>
      </c>
      <c r="C8" s="223" t="s">
        <v>46</v>
      </c>
      <c r="D8" s="235" t="s">
        <v>47</v>
      </c>
      <c r="E8" s="235"/>
      <c r="F8" s="229" t="s">
        <v>94</v>
      </c>
      <c r="G8" s="256" t="s">
        <v>95</v>
      </c>
      <c r="H8" s="256"/>
      <c r="I8" s="256" t="s">
        <v>80</v>
      </c>
    </row>
    <row r="9" spans="1:19" s="43" customFormat="1" ht="15.75">
      <c r="A9" s="226"/>
      <c r="B9" s="223"/>
      <c r="C9" s="223"/>
      <c r="D9" s="235"/>
      <c r="E9" s="235"/>
      <c r="F9" s="229"/>
      <c r="G9" s="35" t="s">
        <v>49</v>
      </c>
      <c r="H9" s="35" t="s">
        <v>53</v>
      </c>
      <c r="I9" s="256"/>
    </row>
    <row r="10" spans="1:19" s="56" customFormat="1" ht="14.25">
      <c r="A10" s="44"/>
      <c r="B10" s="47"/>
      <c r="C10" s="47"/>
      <c r="D10" s="253"/>
      <c r="E10" s="253"/>
      <c r="F10" s="48"/>
      <c r="G10" s="47"/>
      <c r="H10" s="93" t="str">
        <f t="shared" ref="H10:H41" si="0">IF(G10="ALI",35,IF(G10="AIE",15,""))</f>
        <v/>
      </c>
      <c r="I10" s="47"/>
    </row>
    <row r="11" spans="1:19" s="56" customFormat="1" ht="14.25">
      <c r="A11" s="44"/>
      <c r="B11" s="47"/>
      <c r="C11" s="47"/>
      <c r="D11" s="253"/>
      <c r="E11" s="253"/>
      <c r="F11" s="48"/>
      <c r="G11" s="47"/>
      <c r="H11" s="93" t="str">
        <f t="shared" si="0"/>
        <v/>
      </c>
      <c r="I11" s="47"/>
    </row>
    <row r="12" spans="1:19" s="56" customFormat="1" ht="14.25">
      <c r="A12" s="44"/>
      <c r="B12" s="47"/>
      <c r="C12" s="47"/>
      <c r="D12" s="253"/>
      <c r="E12" s="253"/>
      <c r="F12" s="48"/>
      <c r="G12" s="47"/>
      <c r="H12" s="93" t="str">
        <f t="shared" si="0"/>
        <v/>
      </c>
      <c r="I12" s="47"/>
    </row>
    <row r="13" spans="1:19" s="56" customFormat="1" ht="14.25">
      <c r="A13" s="44"/>
      <c r="B13" s="47"/>
      <c r="C13" s="47"/>
      <c r="D13" s="253"/>
      <c r="E13" s="253"/>
      <c r="F13" s="48"/>
      <c r="G13" s="47"/>
      <c r="H13" s="93" t="str">
        <f t="shared" si="0"/>
        <v/>
      </c>
      <c r="I13" s="47"/>
    </row>
    <row r="14" spans="1:19" s="56" customFormat="1" ht="14.25">
      <c r="A14" s="44"/>
      <c r="B14" s="47"/>
      <c r="C14" s="47"/>
      <c r="D14" s="253"/>
      <c r="E14" s="253"/>
      <c r="F14" s="48"/>
      <c r="G14" s="47"/>
      <c r="H14" s="93" t="str">
        <f t="shared" si="0"/>
        <v/>
      </c>
      <c r="I14" s="47"/>
    </row>
    <row r="15" spans="1:19" s="56" customFormat="1" ht="14.25">
      <c r="A15" s="44"/>
      <c r="B15" s="47"/>
      <c r="C15" s="47"/>
      <c r="D15" s="253"/>
      <c r="E15" s="253"/>
      <c r="F15" s="48"/>
      <c r="G15" s="47"/>
      <c r="H15" s="93" t="str">
        <f t="shared" si="0"/>
        <v/>
      </c>
      <c r="I15" s="47"/>
    </row>
    <row r="16" spans="1:19" s="56" customFormat="1" ht="14.25">
      <c r="A16" s="44"/>
      <c r="B16" s="47"/>
      <c r="C16" s="47"/>
      <c r="D16" s="253"/>
      <c r="E16" s="253"/>
      <c r="F16" s="48"/>
      <c r="G16" s="47"/>
      <c r="H16" s="93" t="str">
        <f t="shared" si="0"/>
        <v/>
      </c>
      <c r="I16" s="47"/>
    </row>
    <row r="17" spans="1:9" s="56" customFormat="1" ht="14.25">
      <c r="A17" s="44"/>
      <c r="B17" s="47"/>
      <c r="C17" s="47"/>
      <c r="D17" s="253"/>
      <c r="E17" s="253"/>
      <c r="F17" s="48"/>
      <c r="G17" s="47"/>
      <c r="H17" s="93" t="str">
        <f t="shared" si="0"/>
        <v/>
      </c>
      <c r="I17" s="47"/>
    </row>
    <row r="18" spans="1:9" s="56" customFormat="1" ht="14.25">
      <c r="A18" s="44"/>
      <c r="B18" s="47"/>
      <c r="C18" s="47"/>
      <c r="D18" s="253"/>
      <c r="E18" s="253"/>
      <c r="F18" s="48"/>
      <c r="G18" s="47"/>
      <c r="H18" s="93" t="str">
        <f t="shared" si="0"/>
        <v/>
      </c>
      <c r="I18" s="47"/>
    </row>
    <row r="19" spans="1:9" s="56" customFormat="1" ht="14.25">
      <c r="A19" s="44"/>
      <c r="B19" s="47"/>
      <c r="C19" s="47"/>
      <c r="D19" s="253"/>
      <c r="E19" s="253"/>
      <c r="F19" s="48"/>
      <c r="G19" s="47"/>
      <c r="H19" s="93" t="str">
        <f t="shared" si="0"/>
        <v/>
      </c>
      <c r="I19" s="47"/>
    </row>
    <row r="20" spans="1:9" s="56" customFormat="1" ht="14.25">
      <c r="A20" s="44"/>
      <c r="B20" s="47"/>
      <c r="C20" s="47"/>
      <c r="D20" s="253"/>
      <c r="E20" s="253"/>
      <c r="F20" s="48"/>
      <c r="G20" s="47"/>
      <c r="H20" s="93" t="str">
        <f t="shared" si="0"/>
        <v/>
      </c>
      <c r="I20" s="47"/>
    </row>
    <row r="21" spans="1:9" s="56" customFormat="1" ht="14.25">
      <c r="A21" s="44"/>
      <c r="B21" s="47"/>
      <c r="C21" s="47"/>
      <c r="D21" s="253"/>
      <c r="E21" s="253"/>
      <c r="F21" s="48"/>
      <c r="G21" s="47"/>
      <c r="H21" s="93" t="str">
        <f t="shared" si="0"/>
        <v/>
      </c>
      <c r="I21" s="47"/>
    </row>
    <row r="22" spans="1:9" s="56" customFormat="1" ht="14.25">
      <c r="A22" s="44"/>
      <c r="B22" s="47"/>
      <c r="C22" s="47"/>
      <c r="D22" s="253"/>
      <c r="E22" s="253"/>
      <c r="F22" s="48"/>
      <c r="G22" s="47"/>
      <c r="H22" s="93" t="str">
        <f t="shared" si="0"/>
        <v/>
      </c>
      <c r="I22" s="47"/>
    </row>
    <row r="23" spans="1:9" s="56" customFormat="1" ht="14.25">
      <c r="A23" s="44"/>
      <c r="B23" s="47"/>
      <c r="C23" s="47"/>
      <c r="D23" s="253"/>
      <c r="E23" s="253"/>
      <c r="F23" s="48"/>
      <c r="G23" s="47"/>
      <c r="H23" s="93" t="str">
        <f t="shared" si="0"/>
        <v/>
      </c>
      <c r="I23" s="47"/>
    </row>
    <row r="24" spans="1:9" s="56" customFormat="1" ht="14.25">
      <c r="A24" s="44"/>
      <c r="B24" s="47"/>
      <c r="C24" s="47"/>
      <c r="D24" s="253"/>
      <c r="E24" s="253"/>
      <c r="F24" s="48"/>
      <c r="G24" s="47"/>
      <c r="H24" s="93" t="str">
        <f t="shared" si="0"/>
        <v/>
      </c>
      <c r="I24" s="47"/>
    </row>
    <row r="25" spans="1:9" s="56" customFormat="1" ht="14.25">
      <c r="A25" s="44"/>
      <c r="B25" s="47"/>
      <c r="C25" s="47"/>
      <c r="D25" s="253"/>
      <c r="E25" s="253"/>
      <c r="F25" s="48"/>
      <c r="G25" s="47"/>
      <c r="H25" s="93" t="str">
        <f t="shared" si="0"/>
        <v/>
      </c>
      <c r="I25" s="47"/>
    </row>
    <row r="26" spans="1:9" s="56" customFormat="1" ht="14.25">
      <c r="A26" s="44"/>
      <c r="B26" s="47"/>
      <c r="C26" s="47"/>
      <c r="D26" s="253"/>
      <c r="E26" s="253"/>
      <c r="F26" s="48"/>
      <c r="G26" s="47"/>
      <c r="H26" s="93" t="str">
        <f t="shared" si="0"/>
        <v/>
      </c>
      <c r="I26" s="47"/>
    </row>
    <row r="27" spans="1:9" s="56" customFormat="1" ht="14.25">
      <c r="A27" s="44"/>
      <c r="B27" s="47"/>
      <c r="C27" s="47"/>
      <c r="D27" s="253"/>
      <c r="E27" s="253"/>
      <c r="F27" s="48"/>
      <c r="G27" s="47"/>
      <c r="H27" s="93" t="str">
        <f t="shared" si="0"/>
        <v/>
      </c>
      <c r="I27" s="47"/>
    </row>
    <row r="28" spans="1:9" s="56" customFormat="1" ht="14.25">
      <c r="A28" s="44"/>
      <c r="B28" s="47"/>
      <c r="C28" s="47"/>
      <c r="D28" s="253"/>
      <c r="E28" s="253"/>
      <c r="F28" s="88"/>
      <c r="G28" s="47"/>
      <c r="H28" s="93" t="str">
        <f t="shared" si="0"/>
        <v/>
      </c>
      <c r="I28" s="47"/>
    </row>
    <row r="29" spans="1:9" s="56" customFormat="1" ht="14.25">
      <c r="A29" s="44"/>
      <c r="B29" s="47"/>
      <c r="C29" s="47"/>
      <c r="D29" s="253"/>
      <c r="E29" s="253"/>
      <c r="F29" s="88"/>
      <c r="G29" s="47"/>
      <c r="H29" s="93" t="str">
        <f t="shared" si="0"/>
        <v/>
      </c>
      <c r="I29" s="47"/>
    </row>
    <row r="30" spans="1:9" s="56" customFormat="1" ht="14.25">
      <c r="A30" s="44"/>
      <c r="B30" s="47"/>
      <c r="C30" s="47"/>
      <c r="D30" s="253"/>
      <c r="E30" s="253"/>
      <c r="F30" s="48"/>
      <c r="G30" s="47"/>
      <c r="H30" s="93" t="str">
        <f t="shared" si="0"/>
        <v/>
      </c>
      <c r="I30" s="47"/>
    </row>
    <row r="31" spans="1:9" s="56" customFormat="1" ht="14.25">
      <c r="A31" s="44"/>
      <c r="B31" s="47"/>
      <c r="C31" s="47"/>
      <c r="D31" s="253"/>
      <c r="E31" s="253"/>
      <c r="F31" s="48"/>
      <c r="G31" s="47"/>
      <c r="H31" s="93" t="str">
        <f t="shared" si="0"/>
        <v/>
      </c>
      <c r="I31" s="47"/>
    </row>
    <row r="32" spans="1:9" s="56" customFormat="1" ht="14.25">
      <c r="A32" s="44"/>
      <c r="B32" s="47"/>
      <c r="C32" s="47"/>
      <c r="D32" s="253"/>
      <c r="E32" s="253"/>
      <c r="F32" s="48"/>
      <c r="G32" s="47"/>
      <c r="H32" s="93" t="str">
        <f t="shared" si="0"/>
        <v/>
      </c>
      <c r="I32" s="47"/>
    </row>
    <row r="33" spans="1:9" s="56" customFormat="1" ht="14.25">
      <c r="A33" s="44"/>
      <c r="B33" s="47"/>
      <c r="C33" s="47"/>
      <c r="D33" s="253"/>
      <c r="E33" s="253"/>
      <c r="F33" s="48"/>
      <c r="G33" s="47"/>
      <c r="H33" s="93" t="str">
        <f t="shared" si="0"/>
        <v/>
      </c>
      <c r="I33" s="47"/>
    </row>
    <row r="34" spans="1:9" s="56" customFormat="1" ht="14.25">
      <c r="A34" s="44"/>
      <c r="B34" s="47"/>
      <c r="C34" s="47"/>
      <c r="D34" s="253"/>
      <c r="E34" s="253"/>
      <c r="F34" s="48"/>
      <c r="G34" s="47"/>
      <c r="H34" s="93" t="str">
        <f t="shared" si="0"/>
        <v/>
      </c>
      <c r="I34" s="47"/>
    </row>
    <row r="35" spans="1:9" s="56" customFormat="1" ht="14.25">
      <c r="A35" s="44"/>
      <c r="B35" s="47"/>
      <c r="C35" s="47"/>
      <c r="D35" s="253"/>
      <c r="E35" s="253"/>
      <c r="F35" s="48"/>
      <c r="G35" s="47"/>
      <c r="H35" s="93" t="str">
        <f t="shared" si="0"/>
        <v/>
      </c>
      <c r="I35" s="47"/>
    </row>
    <row r="36" spans="1:9" s="56" customFormat="1" ht="14.25">
      <c r="A36" s="44"/>
      <c r="B36" s="47"/>
      <c r="C36" s="47"/>
      <c r="D36" s="253"/>
      <c r="E36" s="253"/>
      <c r="F36" s="48"/>
      <c r="G36" s="47"/>
      <c r="H36" s="93" t="str">
        <f t="shared" si="0"/>
        <v/>
      </c>
      <c r="I36" s="47"/>
    </row>
    <row r="37" spans="1:9" s="56" customFormat="1" ht="14.25">
      <c r="A37" s="44"/>
      <c r="B37" s="47"/>
      <c r="C37" s="47"/>
      <c r="D37" s="253"/>
      <c r="E37" s="253"/>
      <c r="F37" s="48"/>
      <c r="G37" s="47"/>
      <c r="H37" s="93" t="str">
        <f t="shared" si="0"/>
        <v/>
      </c>
      <c r="I37" s="47"/>
    </row>
    <row r="38" spans="1:9" s="56" customFormat="1" ht="14.25">
      <c r="A38" s="44"/>
      <c r="B38" s="47"/>
      <c r="C38" s="47"/>
      <c r="D38" s="253"/>
      <c r="E38" s="253"/>
      <c r="F38" s="48"/>
      <c r="G38" s="47"/>
      <c r="H38" s="93" t="str">
        <f t="shared" si="0"/>
        <v/>
      </c>
      <c r="I38" s="47"/>
    </row>
    <row r="39" spans="1:9" s="56" customFormat="1" ht="14.25">
      <c r="A39" s="44"/>
      <c r="B39" s="47"/>
      <c r="C39" s="47"/>
      <c r="D39" s="253"/>
      <c r="E39" s="253"/>
      <c r="F39" s="48"/>
      <c r="G39" s="47"/>
      <c r="H39" s="93" t="str">
        <f t="shared" si="0"/>
        <v/>
      </c>
      <c r="I39" s="47"/>
    </row>
    <row r="40" spans="1:9" s="56" customFormat="1" ht="14.25">
      <c r="A40" s="44"/>
      <c r="B40" s="47"/>
      <c r="C40" s="47"/>
      <c r="D40" s="253"/>
      <c r="E40" s="253"/>
      <c r="F40" s="48"/>
      <c r="G40" s="47"/>
      <c r="H40" s="93" t="str">
        <f t="shared" si="0"/>
        <v/>
      </c>
      <c r="I40" s="47"/>
    </row>
    <row r="41" spans="1:9" s="56" customFormat="1" ht="14.25">
      <c r="A41" s="44"/>
      <c r="B41" s="47"/>
      <c r="C41" s="47"/>
      <c r="D41" s="253"/>
      <c r="E41" s="253"/>
      <c r="F41" s="48"/>
      <c r="G41" s="47"/>
      <c r="H41" s="93" t="str">
        <f t="shared" si="0"/>
        <v/>
      </c>
      <c r="I41" s="47"/>
    </row>
    <row r="42" spans="1:9" s="56" customFormat="1" ht="14.25">
      <c r="A42" s="44"/>
      <c r="B42" s="47"/>
      <c r="C42" s="47"/>
      <c r="D42" s="253"/>
      <c r="E42" s="253"/>
      <c r="F42" s="48"/>
      <c r="G42" s="47"/>
      <c r="H42" s="93" t="str">
        <f t="shared" ref="H42:H73" si="1">IF(G42="ALI",35,IF(G42="AIE",15,""))</f>
        <v/>
      </c>
      <c r="I42" s="47"/>
    </row>
    <row r="43" spans="1:9" s="56" customFormat="1" ht="14.25">
      <c r="A43" s="44"/>
      <c r="B43" s="47"/>
      <c r="C43" s="47"/>
      <c r="D43" s="253"/>
      <c r="E43" s="253"/>
      <c r="F43" s="48"/>
      <c r="G43" s="47"/>
      <c r="H43" s="93" t="str">
        <f t="shared" si="1"/>
        <v/>
      </c>
      <c r="I43" s="47"/>
    </row>
    <row r="44" spans="1:9" s="56" customFormat="1" ht="14.25">
      <c r="A44" s="44"/>
      <c r="B44" s="47"/>
      <c r="C44" s="47"/>
      <c r="D44" s="253"/>
      <c r="E44" s="253"/>
      <c r="F44" s="48"/>
      <c r="G44" s="47"/>
      <c r="H44" s="93" t="str">
        <f t="shared" si="1"/>
        <v/>
      </c>
      <c r="I44" s="47"/>
    </row>
    <row r="45" spans="1:9" s="56" customFormat="1" ht="14.25">
      <c r="A45" s="44"/>
      <c r="B45" s="47"/>
      <c r="C45" s="47"/>
      <c r="D45" s="253"/>
      <c r="E45" s="253"/>
      <c r="F45" s="48"/>
      <c r="G45" s="47"/>
      <c r="H45" s="93" t="str">
        <f t="shared" si="1"/>
        <v/>
      </c>
      <c r="I45" s="47"/>
    </row>
    <row r="46" spans="1:9" s="56" customFormat="1" ht="14.25">
      <c r="A46" s="44"/>
      <c r="B46" s="47"/>
      <c r="C46" s="47"/>
      <c r="D46" s="253"/>
      <c r="E46" s="253"/>
      <c r="F46" s="48"/>
      <c r="G46" s="47"/>
      <c r="H46" s="93" t="str">
        <f t="shared" si="1"/>
        <v/>
      </c>
      <c r="I46" s="47"/>
    </row>
    <row r="47" spans="1:9" s="56" customFormat="1" ht="14.25">
      <c r="A47" s="44"/>
      <c r="B47" s="47"/>
      <c r="C47" s="47"/>
      <c r="D47" s="253"/>
      <c r="E47" s="253"/>
      <c r="F47" s="48"/>
      <c r="G47" s="47"/>
      <c r="H47" s="93" t="str">
        <f t="shared" si="1"/>
        <v/>
      </c>
      <c r="I47" s="47"/>
    </row>
    <row r="48" spans="1:9" s="56" customFormat="1" ht="14.25">
      <c r="A48" s="44"/>
      <c r="B48" s="47"/>
      <c r="C48" s="47"/>
      <c r="D48" s="253"/>
      <c r="E48" s="253"/>
      <c r="F48" s="48"/>
      <c r="G48" s="47"/>
      <c r="H48" s="93" t="str">
        <f t="shared" si="1"/>
        <v/>
      </c>
      <c r="I48" s="47"/>
    </row>
    <row r="49" spans="1:9" s="56" customFormat="1" ht="14.25">
      <c r="A49" s="44"/>
      <c r="B49" s="47"/>
      <c r="C49" s="47"/>
      <c r="D49" s="253"/>
      <c r="E49" s="253"/>
      <c r="F49" s="48"/>
      <c r="G49" s="47"/>
      <c r="H49" s="93" t="str">
        <f t="shared" si="1"/>
        <v/>
      </c>
      <c r="I49" s="47"/>
    </row>
    <row r="50" spans="1:9" s="56" customFormat="1" ht="14.25">
      <c r="A50" s="44"/>
      <c r="B50" s="47"/>
      <c r="C50" s="47"/>
      <c r="D50" s="253"/>
      <c r="E50" s="253"/>
      <c r="F50" s="48"/>
      <c r="G50" s="47"/>
      <c r="H50" s="93" t="str">
        <f t="shared" si="1"/>
        <v/>
      </c>
      <c r="I50" s="47"/>
    </row>
    <row r="51" spans="1:9" s="56" customFormat="1" ht="14.25">
      <c r="A51" s="44"/>
      <c r="B51" s="47"/>
      <c r="C51" s="47"/>
      <c r="D51" s="253"/>
      <c r="E51" s="253"/>
      <c r="F51" s="48"/>
      <c r="G51" s="47"/>
      <c r="H51" s="93" t="str">
        <f t="shared" si="1"/>
        <v/>
      </c>
      <c r="I51" s="47"/>
    </row>
    <row r="52" spans="1:9" s="56" customFormat="1" ht="14.25">
      <c r="A52" s="44"/>
      <c r="B52" s="47"/>
      <c r="C52" s="47"/>
      <c r="D52" s="253"/>
      <c r="E52" s="253"/>
      <c r="F52" s="48"/>
      <c r="G52" s="47"/>
      <c r="H52" s="93" t="str">
        <f t="shared" si="1"/>
        <v/>
      </c>
      <c r="I52" s="47"/>
    </row>
    <row r="53" spans="1:9" s="56" customFormat="1" ht="14.25">
      <c r="A53" s="44"/>
      <c r="B53" s="47"/>
      <c r="C53" s="47"/>
      <c r="D53" s="253"/>
      <c r="E53" s="253"/>
      <c r="F53" s="48"/>
      <c r="G53" s="47"/>
      <c r="H53" s="93" t="str">
        <f t="shared" si="1"/>
        <v/>
      </c>
      <c r="I53" s="47"/>
    </row>
    <row r="54" spans="1:9" s="56" customFormat="1" ht="14.25">
      <c r="A54" s="44"/>
      <c r="B54" s="47"/>
      <c r="C54" s="47"/>
      <c r="D54" s="253"/>
      <c r="E54" s="253"/>
      <c r="F54" s="48"/>
      <c r="G54" s="47"/>
      <c r="H54" s="93" t="str">
        <f t="shared" si="1"/>
        <v/>
      </c>
      <c r="I54" s="47"/>
    </row>
    <row r="55" spans="1:9" s="56" customFormat="1" ht="14.25">
      <c r="A55" s="44"/>
      <c r="B55" s="47"/>
      <c r="C55" s="47"/>
      <c r="D55" s="253"/>
      <c r="E55" s="253"/>
      <c r="F55" s="48"/>
      <c r="G55" s="47"/>
      <c r="H55" s="93" t="str">
        <f t="shared" si="1"/>
        <v/>
      </c>
      <c r="I55" s="47"/>
    </row>
    <row r="56" spans="1:9" s="56" customFormat="1" ht="14.25">
      <c r="A56" s="44"/>
      <c r="B56" s="47"/>
      <c r="C56" s="47"/>
      <c r="D56" s="253"/>
      <c r="E56" s="253"/>
      <c r="F56" s="48"/>
      <c r="G56" s="47"/>
      <c r="H56" s="93" t="str">
        <f t="shared" si="1"/>
        <v/>
      </c>
      <c r="I56" s="47"/>
    </row>
    <row r="57" spans="1:9" s="56" customFormat="1" ht="14.25">
      <c r="A57" s="44"/>
      <c r="B57" s="47"/>
      <c r="C57" s="47"/>
      <c r="D57" s="253"/>
      <c r="E57" s="253"/>
      <c r="F57" s="48"/>
      <c r="G57" s="47"/>
      <c r="H57" s="93" t="str">
        <f t="shared" si="1"/>
        <v/>
      </c>
      <c r="I57" s="47"/>
    </row>
    <row r="58" spans="1:9" s="56" customFormat="1" ht="14.25">
      <c r="A58" s="44"/>
      <c r="B58" s="47"/>
      <c r="C58" s="47"/>
      <c r="D58" s="253"/>
      <c r="E58" s="253"/>
      <c r="F58" s="48"/>
      <c r="G58" s="47"/>
      <c r="H58" s="93" t="str">
        <f t="shared" si="1"/>
        <v/>
      </c>
      <c r="I58" s="47"/>
    </row>
    <row r="59" spans="1:9" s="56" customFormat="1" ht="14.25">
      <c r="A59" s="44"/>
      <c r="B59" s="47"/>
      <c r="C59" s="47"/>
      <c r="D59" s="253"/>
      <c r="E59" s="253"/>
      <c r="F59" s="48"/>
      <c r="G59" s="47"/>
      <c r="H59" s="93" t="str">
        <f t="shared" si="1"/>
        <v/>
      </c>
      <c r="I59" s="47"/>
    </row>
    <row r="60" spans="1:9" s="56" customFormat="1" ht="14.25">
      <c r="A60" s="44"/>
      <c r="B60" s="47"/>
      <c r="C60" s="47"/>
      <c r="D60" s="253"/>
      <c r="E60" s="253"/>
      <c r="F60" s="48"/>
      <c r="G60" s="47"/>
      <c r="H60" s="93" t="str">
        <f t="shared" si="1"/>
        <v/>
      </c>
      <c r="I60" s="47"/>
    </row>
    <row r="61" spans="1:9" s="56" customFormat="1" ht="14.25">
      <c r="A61" s="44"/>
      <c r="B61" s="47"/>
      <c r="C61" s="47"/>
      <c r="D61" s="253"/>
      <c r="E61" s="253"/>
      <c r="F61" s="48"/>
      <c r="G61" s="47"/>
      <c r="H61" s="93" t="str">
        <f t="shared" si="1"/>
        <v/>
      </c>
      <c r="I61" s="47"/>
    </row>
    <row r="62" spans="1:9" s="56" customFormat="1" ht="14.25">
      <c r="A62" s="44"/>
      <c r="B62" s="47"/>
      <c r="C62" s="47"/>
      <c r="D62" s="253"/>
      <c r="E62" s="253"/>
      <c r="F62" s="48"/>
      <c r="G62" s="47"/>
      <c r="H62" s="93" t="str">
        <f t="shared" si="1"/>
        <v/>
      </c>
      <c r="I62" s="47"/>
    </row>
    <row r="63" spans="1:9" s="56" customFormat="1" ht="14.25">
      <c r="A63" s="44"/>
      <c r="B63" s="47"/>
      <c r="C63" s="47"/>
      <c r="D63" s="253"/>
      <c r="E63" s="253"/>
      <c r="F63" s="48"/>
      <c r="G63" s="47"/>
      <c r="H63" s="93" t="str">
        <f t="shared" si="1"/>
        <v/>
      </c>
      <c r="I63" s="47"/>
    </row>
    <row r="64" spans="1:9" s="56" customFormat="1" ht="14.25">
      <c r="A64" s="44"/>
      <c r="B64" s="47"/>
      <c r="C64" s="47"/>
      <c r="D64" s="253"/>
      <c r="E64" s="253"/>
      <c r="F64" s="48"/>
      <c r="G64" s="47"/>
      <c r="H64" s="93" t="str">
        <f t="shared" si="1"/>
        <v/>
      </c>
      <c r="I64" s="47"/>
    </row>
    <row r="65" spans="1:9" s="56" customFormat="1" ht="14.25">
      <c r="A65" s="44"/>
      <c r="B65" s="47"/>
      <c r="C65" s="47"/>
      <c r="D65" s="253"/>
      <c r="E65" s="253"/>
      <c r="F65" s="48"/>
      <c r="G65" s="47"/>
      <c r="H65" s="93" t="str">
        <f t="shared" si="1"/>
        <v/>
      </c>
      <c r="I65" s="47"/>
    </row>
    <row r="66" spans="1:9" s="56" customFormat="1" ht="14.25">
      <c r="A66" s="44"/>
      <c r="B66" s="47"/>
      <c r="C66" s="47"/>
      <c r="D66" s="253"/>
      <c r="E66" s="253"/>
      <c r="F66" s="48"/>
      <c r="G66" s="47"/>
      <c r="H66" s="93" t="str">
        <f t="shared" si="1"/>
        <v/>
      </c>
      <c r="I66" s="47"/>
    </row>
    <row r="67" spans="1:9" s="56" customFormat="1" ht="14.25">
      <c r="A67" s="44"/>
      <c r="B67" s="47"/>
      <c r="C67" s="47"/>
      <c r="D67" s="253"/>
      <c r="E67" s="253"/>
      <c r="F67" s="48"/>
      <c r="G67" s="47"/>
      <c r="H67" s="93" t="str">
        <f t="shared" si="1"/>
        <v/>
      </c>
      <c r="I67" s="47"/>
    </row>
    <row r="68" spans="1:9" s="56" customFormat="1" ht="14.25">
      <c r="A68" s="44"/>
      <c r="B68" s="47"/>
      <c r="C68" s="47"/>
      <c r="D68" s="253"/>
      <c r="E68" s="253"/>
      <c r="F68" s="48"/>
      <c r="G68" s="47"/>
      <c r="H68" s="93" t="str">
        <f t="shared" si="1"/>
        <v/>
      </c>
      <c r="I68" s="47"/>
    </row>
    <row r="69" spans="1:9" s="56" customFormat="1" ht="14.25">
      <c r="A69" s="44"/>
      <c r="B69" s="47"/>
      <c r="C69" s="47"/>
      <c r="D69" s="253"/>
      <c r="E69" s="253"/>
      <c r="F69" s="48"/>
      <c r="G69" s="47"/>
      <c r="H69" s="93" t="str">
        <f t="shared" si="1"/>
        <v/>
      </c>
      <c r="I69" s="47"/>
    </row>
    <row r="70" spans="1:9" s="56" customFormat="1" ht="14.25">
      <c r="A70" s="44"/>
      <c r="B70" s="47"/>
      <c r="C70" s="47"/>
      <c r="D70" s="253"/>
      <c r="E70" s="253"/>
      <c r="F70" s="48"/>
      <c r="G70" s="47"/>
      <c r="H70" s="93" t="str">
        <f t="shared" si="1"/>
        <v/>
      </c>
      <c r="I70" s="47"/>
    </row>
    <row r="71" spans="1:9" s="56" customFormat="1" ht="14.25">
      <c r="A71" s="44"/>
      <c r="B71" s="47"/>
      <c r="C71" s="47"/>
      <c r="D71" s="253"/>
      <c r="E71" s="253"/>
      <c r="F71" s="48"/>
      <c r="G71" s="47"/>
      <c r="H71" s="93" t="str">
        <f t="shared" si="1"/>
        <v/>
      </c>
      <c r="I71" s="47"/>
    </row>
    <row r="72" spans="1:9" s="56" customFormat="1" ht="14.25">
      <c r="A72" s="44"/>
      <c r="B72" s="47"/>
      <c r="C72" s="47"/>
      <c r="D72" s="253"/>
      <c r="E72" s="253"/>
      <c r="F72" s="48"/>
      <c r="G72" s="47"/>
      <c r="H72" s="93" t="str">
        <f t="shared" si="1"/>
        <v/>
      </c>
      <c r="I72" s="47"/>
    </row>
    <row r="73" spans="1:9" s="56" customFormat="1" ht="14.25">
      <c r="A73" s="44"/>
      <c r="B73" s="47"/>
      <c r="C73" s="47"/>
      <c r="D73" s="253"/>
      <c r="E73" s="253"/>
      <c r="F73" s="48"/>
      <c r="G73" s="47"/>
      <c r="H73" s="93" t="str">
        <f t="shared" si="1"/>
        <v/>
      </c>
      <c r="I73" s="47"/>
    </row>
    <row r="74" spans="1:9" s="56" customFormat="1" ht="14.25">
      <c r="A74" s="44"/>
      <c r="B74" s="47"/>
      <c r="C74" s="47"/>
      <c r="D74" s="253"/>
      <c r="E74" s="253"/>
      <c r="F74" s="48"/>
      <c r="G74" s="47"/>
      <c r="H74" s="93" t="str">
        <f t="shared" ref="H74:H105" si="2">IF(G74="ALI",35,IF(G74="AIE",15,""))</f>
        <v/>
      </c>
      <c r="I74" s="47"/>
    </row>
    <row r="75" spans="1:9" s="56" customFormat="1" ht="14.25">
      <c r="A75" s="44"/>
      <c r="B75" s="47"/>
      <c r="C75" s="47"/>
      <c r="D75" s="253"/>
      <c r="E75" s="253"/>
      <c r="F75" s="48"/>
      <c r="G75" s="47"/>
      <c r="H75" s="93" t="str">
        <f t="shared" si="2"/>
        <v/>
      </c>
      <c r="I75" s="47"/>
    </row>
    <row r="76" spans="1:9" s="56" customFormat="1" ht="14.25">
      <c r="A76" s="44"/>
      <c r="B76" s="47"/>
      <c r="C76" s="47"/>
      <c r="D76" s="253"/>
      <c r="E76" s="253"/>
      <c r="F76" s="48"/>
      <c r="G76" s="47"/>
      <c r="H76" s="93" t="str">
        <f t="shared" si="2"/>
        <v/>
      </c>
      <c r="I76" s="47"/>
    </row>
    <row r="77" spans="1:9" s="56" customFormat="1" ht="14.25">
      <c r="A77" s="44"/>
      <c r="B77" s="47"/>
      <c r="C77" s="47"/>
      <c r="D77" s="253"/>
      <c r="E77" s="253"/>
      <c r="F77" s="48"/>
      <c r="G77" s="47"/>
      <c r="H77" s="93" t="str">
        <f t="shared" si="2"/>
        <v/>
      </c>
      <c r="I77" s="47"/>
    </row>
    <row r="78" spans="1:9" s="56" customFormat="1" ht="14.25">
      <c r="A78" s="44"/>
      <c r="B78" s="47"/>
      <c r="C78" s="47"/>
      <c r="D78" s="253"/>
      <c r="E78" s="253"/>
      <c r="F78" s="48"/>
      <c r="G78" s="47"/>
      <c r="H78" s="93" t="str">
        <f t="shared" si="2"/>
        <v/>
      </c>
      <c r="I78" s="47"/>
    </row>
    <row r="79" spans="1:9" s="56" customFormat="1" ht="14.25">
      <c r="A79" s="44"/>
      <c r="B79" s="47"/>
      <c r="C79" s="47"/>
      <c r="D79" s="253"/>
      <c r="E79" s="253"/>
      <c r="F79" s="48"/>
      <c r="G79" s="47"/>
      <c r="H79" s="93" t="str">
        <f t="shared" si="2"/>
        <v/>
      </c>
      <c r="I79" s="47"/>
    </row>
    <row r="80" spans="1:9" s="56" customFormat="1" ht="14.25">
      <c r="A80" s="44"/>
      <c r="B80" s="47"/>
      <c r="C80" s="47"/>
      <c r="D80" s="253"/>
      <c r="E80" s="253"/>
      <c r="F80" s="48"/>
      <c r="G80" s="47"/>
      <c r="H80" s="93" t="str">
        <f t="shared" si="2"/>
        <v/>
      </c>
      <c r="I80" s="47"/>
    </row>
    <row r="81" spans="1:9" s="56" customFormat="1" ht="14.25">
      <c r="A81" s="44"/>
      <c r="B81" s="47"/>
      <c r="C81" s="47"/>
      <c r="D81" s="253"/>
      <c r="E81" s="253"/>
      <c r="F81" s="48"/>
      <c r="G81" s="47"/>
      <c r="H81" s="93" t="str">
        <f t="shared" si="2"/>
        <v/>
      </c>
      <c r="I81" s="47"/>
    </row>
    <row r="82" spans="1:9" s="56" customFormat="1" ht="14.25">
      <c r="A82" s="44"/>
      <c r="B82" s="47"/>
      <c r="C82" s="47"/>
      <c r="D82" s="253"/>
      <c r="E82" s="253"/>
      <c r="F82" s="48"/>
      <c r="G82" s="47"/>
      <c r="H82" s="93" t="str">
        <f t="shared" si="2"/>
        <v/>
      </c>
      <c r="I82" s="47"/>
    </row>
    <row r="83" spans="1:9" s="56" customFormat="1" ht="14.25">
      <c r="A83" s="44"/>
      <c r="B83" s="47"/>
      <c r="C83" s="47"/>
      <c r="D83" s="253"/>
      <c r="E83" s="253"/>
      <c r="F83" s="48"/>
      <c r="G83" s="47"/>
      <c r="H83" s="93" t="str">
        <f t="shared" si="2"/>
        <v/>
      </c>
      <c r="I83" s="47"/>
    </row>
    <row r="84" spans="1:9" s="56" customFormat="1" ht="14.25">
      <c r="A84" s="44"/>
      <c r="B84" s="47"/>
      <c r="C84" s="47"/>
      <c r="D84" s="253"/>
      <c r="E84" s="253"/>
      <c r="F84" s="48"/>
      <c r="G84" s="47"/>
      <c r="H84" s="93" t="str">
        <f t="shared" si="2"/>
        <v/>
      </c>
      <c r="I84" s="47"/>
    </row>
    <row r="85" spans="1:9" s="56" customFormat="1" ht="14.25">
      <c r="A85" s="44"/>
      <c r="B85" s="47"/>
      <c r="C85" s="47"/>
      <c r="D85" s="253"/>
      <c r="E85" s="253"/>
      <c r="F85" s="48"/>
      <c r="G85" s="47"/>
      <c r="H85" s="93" t="str">
        <f t="shared" si="2"/>
        <v/>
      </c>
      <c r="I85" s="47"/>
    </row>
    <row r="86" spans="1:9" s="56" customFormat="1" ht="14.25">
      <c r="A86" s="44"/>
      <c r="B86" s="47"/>
      <c r="C86" s="47"/>
      <c r="D86" s="253"/>
      <c r="E86" s="253"/>
      <c r="F86" s="48"/>
      <c r="G86" s="47"/>
      <c r="H86" s="93" t="str">
        <f t="shared" si="2"/>
        <v/>
      </c>
      <c r="I86" s="47"/>
    </row>
    <row r="87" spans="1:9" s="56" customFormat="1" ht="14.25">
      <c r="A87" s="44"/>
      <c r="B87" s="47"/>
      <c r="C87" s="47"/>
      <c r="D87" s="253"/>
      <c r="E87" s="253"/>
      <c r="F87" s="48"/>
      <c r="G87" s="47"/>
      <c r="H87" s="93" t="str">
        <f t="shared" si="2"/>
        <v/>
      </c>
      <c r="I87" s="47"/>
    </row>
    <row r="88" spans="1:9" s="56" customFormat="1" ht="14.25">
      <c r="A88" s="44"/>
      <c r="B88" s="47"/>
      <c r="C88" s="47"/>
      <c r="D88" s="253"/>
      <c r="E88" s="253"/>
      <c r="F88" s="48"/>
      <c r="G88" s="47"/>
      <c r="H88" s="93" t="str">
        <f t="shared" si="2"/>
        <v/>
      </c>
      <c r="I88" s="47"/>
    </row>
    <row r="89" spans="1:9" s="56" customFormat="1" ht="14.25">
      <c r="A89" s="44"/>
      <c r="B89" s="47"/>
      <c r="C89" s="47"/>
      <c r="D89" s="253"/>
      <c r="E89" s="253"/>
      <c r="F89" s="48"/>
      <c r="G89" s="47"/>
      <c r="H89" s="93" t="str">
        <f t="shared" si="2"/>
        <v/>
      </c>
      <c r="I89" s="47"/>
    </row>
    <row r="90" spans="1:9" s="56" customFormat="1" ht="14.25">
      <c r="A90" s="44"/>
      <c r="B90" s="47"/>
      <c r="C90" s="47"/>
      <c r="D90" s="253"/>
      <c r="E90" s="253"/>
      <c r="F90" s="48"/>
      <c r="G90" s="47"/>
      <c r="H90" s="93" t="str">
        <f t="shared" si="2"/>
        <v/>
      </c>
      <c r="I90" s="47"/>
    </row>
    <row r="91" spans="1:9" s="56" customFormat="1" ht="14.25">
      <c r="A91" s="44"/>
      <c r="B91" s="47"/>
      <c r="C91" s="47"/>
      <c r="D91" s="253"/>
      <c r="E91" s="253"/>
      <c r="F91" s="48"/>
      <c r="G91" s="47"/>
      <c r="H91" s="93" t="str">
        <f t="shared" si="2"/>
        <v/>
      </c>
      <c r="I91" s="47"/>
    </row>
    <row r="92" spans="1:9" s="56" customFormat="1" ht="14.25">
      <c r="A92" s="44"/>
      <c r="B92" s="47"/>
      <c r="C92" s="47"/>
      <c r="D92" s="253"/>
      <c r="E92" s="253"/>
      <c r="F92" s="48"/>
      <c r="G92" s="47"/>
      <c r="H92" s="93" t="str">
        <f t="shared" si="2"/>
        <v/>
      </c>
      <c r="I92" s="47"/>
    </row>
    <row r="93" spans="1:9" s="56" customFormat="1" ht="14.25">
      <c r="A93" s="44"/>
      <c r="B93" s="47"/>
      <c r="C93" s="47"/>
      <c r="D93" s="253"/>
      <c r="E93" s="253"/>
      <c r="F93" s="48"/>
      <c r="G93" s="47"/>
      <c r="H93" s="93" t="str">
        <f t="shared" si="2"/>
        <v/>
      </c>
      <c r="I93" s="47"/>
    </row>
    <row r="94" spans="1:9" s="56" customFormat="1" ht="14.25">
      <c r="A94" s="44"/>
      <c r="B94" s="47"/>
      <c r="C94" s="47"/>
      <c r="D94" s="253"/>
      <c r="E94" s="253"/>
      <c r="F94" s="48"/>
      <c r="G94" s="47"/>
      <c r="H94" s="93" t="str">
        <f t="shared" si="2"/>
        <v/>
      </c>
      <c r="I94" s="47"/>
    </row>
    <row r="95" spans="1:9" s="56" customFormat="1" ht="14.25">
      <c r="A95" s="44"/>
      <c r="B95" s="47"/>
      <c r="C95" s="47"/>
      <c r="D95" s="253"/>
      <c r="E95" s="253"/>
      <c r="F95" s="48"/>
      <c r="G95" s="47"/>
      <c r="H95" s="93" t="str">
        <f t="shared" si="2"/>
        <v/>
      </c>
      <c r="I95" s="47"/>
    </row>
    <row r="96" spans="1:9" s="56" customFormat="1" ht="14.25">
      <c r="A96" s="44"/>
      <c r="B96" s="47"/>
      <c r="C96" s="47"/>
      <c r="D96" s="253"/>
      <c r="E96" s="253"/>
      <c r="F96" s="48"/>
      <c r="G96" s="47"/>
      <c r="H96" s="93" t="str">
        <f t="shared" si="2"/>
        <v/>
      </c>
      <c r="I96" s="47"/>
    </row>
    <row r="97" spans="1:9" s="56" customFormat="1" ht="14.25">
      <c r="A97" s="44"/>
      <c r="B97" s="47"/>
      <c r="C97" s="47"/>
      <c r="D97" s="253"/>
      <c r="E97" s="253"/>
      <c r="F97" s="48"/>
      <c r="G97" s="47"/>
      <c r="H97" s="93" t="str">
        <f t="shared" si="2"/>
        <v/>
      </c>
      <c r="I97" s="47"/>
    </row>
    <row r="98" spans="1:9" s="56" customFormat="1" ht="14.25">
      <c r="A98" s="44"/>
      <c r="B98" s="47"/>
      <c r="C98" s="47"/>
      <c r="D98" s="253"/>
      <c r="E98" s="253"/>
      <c r="F98" s="48"/>
      <c r="G98" s="47"/>
      <c r="H98" s="93" t="str">
        <f t="shared" si="2"/>
        <v/>
      </c>
      <c r="I98" s="47"/>
    </row>
    <row r="99" spans="1:9" s="56" customFormat="1" ht="14.25">
      <c r="A99" s="44"/>
      <c r="B99" s="47"/>
      <c r="C99" s="47"/>
      <c r="D99" s="253"/>
      <c r="E99" s="253"/>
      <c r="F99" s="48"/>
      <c r="G99" s="47"/>
      <c r="H99" s="93" t="str">
        <f t="shared" si="2"/>
        <v/>
      </c>
      <c r="I99" s="47"/>
    </row>
    <row r="100" spans="1:9" s="56" customFormat="1" ht="14.25">
      <c r="A100" s="44"/>
      <c r="B100" s="47"/>
      <c r="C100" s="47"/>
      <c r="D100" s="253"/>
      <c r="E100" s="253"/>
      <c r="F100" s="48"/>
      <c r="G100" s="47"/>
      <c r="H100" s="93" t="str">
        <f t="shared" si="2"/>
        <v/>
      </c>
      <c r="I100" s="47"/>
    </row>
    <row r="101" spans="1:9" s="56" customFormat="1" ht="14.25">
      <c r="A101" s="44"/>
      <c r="B101" s="47"/>
      <c r="C101" s="47"/>
      <c r="D101" s="253"/>
      <c r="E101" s="253"/>
      <c r="F101" s="48"/>
      <c r="G101" s="47"/>
      <c r="H101" s="93" t="str">
        <f t="shared" si="2"/>
        <v/>
      </c>
      <c r="I101" s="47"/>
    </row>
    <row r="102" spans="1:9" s="56" customFormat="1" ht="14.25">
      <c r="A102" s="44"/>
      <c r="B102" s="47"/>
      <c r="C102" s="47"/>
      <c r="D102" s="253"/>
      <c r="E102" s="253"/>
      <c r="F102" s="48"/>
      <c r="G102" s="47"/>
      <c r="H102" s="93" t="str">
        <f t="shared" si="2"/>
        <v/>
      </c>
      <c r="I102" s="47"/>
    </row>
    <row r="103" spans="1:9" s="56" customFormat="1" ht="14.25">
      <c r="A103" s="44"/>
      <c r="B103" s="47"/>
      <c r="C103" s="47"/>
      <c r="D103" s="253"/>
      <c r="E103" s="253"/>
      <c r="F103" s="48"/>
      <c r="G103" s="47"/>
      <c r="H103" s="93" t="str">
        <f t="shared" si="2"/>
        <v/>
      </c>
      <c r="I103" s="47"/>
    </row>
    <row r="104" spans="1:9" s="56" customFormat="1" ht="14.25">
      <c r="A104" s="44"/>
      <c r="B104" s="47"/>
      <c r="C104" s="47"/>
      <c r="D104" s="253"/>
      <c r="E104" s="253"/>
      <c r="F104" s="48"/>
      <c r="G104" s="47"/>
      <c r="H104" s="93" t="str">
        <f t="shared" si="2"/>
        <v/>
      </c>
      <c r="I104" s="47"/>
    </row>
    <row r="105" spans="1:9" s="56" customFormat="1" ht="14.25">
      <c r="A105" s="44"/>
      <c r="B105" s="47"/>
      <c r="C105" s="47"/>
      <c r="D105" s="253"/>
      <c r="E105" s="253"/>
      <c r="F105" s="48"/>
      <c r="G105" s="47"/>
      <c r="H105" s="93" t="str">
        <f t="shared" si="2"/>
        <v/>
      </c>
      <c r="I105" s="47"/>
    </row>
    <row r="106" spans="1:9" s="56" customFormat="1" ht="14.25">
      <c r="A106" s="44"/>
      <c r="B106" s="47"/>
      <c r="C106" s="47"/>
      <c r="D106" s="253"/>
      <c r="E106" s="253"/>
      <c r="F106" s="48"/>
      <c r="G106" s="47"/>
      <c r="H106" s="93" t="str">
        <f>IF(G106="ALI",35,IF(G106="AIE",15,""))</f>
        <v/>
      </c>
      <c r="I106" s="47"/>
    </row>
    <row r="107" spans="1:9" s="56" customFormat="1" ht="14.25">
      <c r="A107" s="44"/>
      <c r="B107" s="47"/>
      <c r="C107" s="47"/>
      <c r="D107" s="253"/>
      <c r="E107" s="253"/>
      <c r="F107" s="48"/>
      <c r="G107" s="47"/>
      <c r="H107" s="93" t="str">
        <f>IF(G107="ALI",35,IF(G107="AIE",15,""))</f>
        <v/>
      </c>
      <c r="I107" s="47"/>
    </row>
    <row r="108" spans="1:9" s="56" customFormat="1" ht="14.25">
      <c r="A108" s="233" t="s">
        <v>66</v>
      </c>
      <c r="B108" s="233"/>
      <c r="C108" s="233"/>
      <c r="D108" s="233"/>
      <c r="E108" s="233"/>
      <c r="F108" s="233"/>
      <c r="G108" s="233"/>
      <c r="H108" s="233"/>
      <c r="I108" s="233"/>
    </row>
    <row r="109" spans="1:9" ht="12.95" customHeight="1">
      <c r="A109" s="66"/>
      <c r="B109" s="68"/>
      <c r="C109" s="68"/>
      <c r="D109" s="68"/>
      <c r="E109" s="68"/>
      <c r="F109" s="249" t="s">
        <v>96</v>
      </c>
      <c r="G109" s="249"/>
      <c r="H109" s="94">
        <f>SUM(H10:H108)</f>
        <v>0</v>
      </c>
      <c r="I109" s="72"/>
    </row>
  </sheetData>
  <sheetProtection password="D8EB" sheet="1" formatCells="0" formatColumns="0" formatRows="0" insertColumns="0" insertRows="0" insertHyperlinks="0" deleteColumns="0" deleteRows="0" sort="0" autoFilter="0" pivotTables="0"/>
  <mergeCells count="114">
    <mergeCell ref="D12:E12"/>
    <mergeCell ref="D13:E13"/>
    <mergeCell ref="D21:E21"/>
    <mergeCell ref="D22:E22"/>
    <mergeCell ref="D23:E23"/>
    <mergeCell ref="A5:C6"/>
    <mergeCell ref="D5:D6"/>
    <mergeCell ref="G5:I5"/>
    <mergeCell ref="G6:I6"/>
    <mergeCell ref="I8:I9"/>
    <mergeCell ref="D10:E10"/>
    <mergeCell ref="D11:E11"/>
    <mergeCell ref="D15:E15"/>
    <mergeCell ref="D16:E16"/>
    <mergeCell ref="D17:E17"/>
    <mergeCell ref="D18:E18"/>
    <mergeCell ref="D19:E19"/>
    <mergeCell ref="D20:E20"/>
    <mergeCell ref="A8:A9"/>
    <mergeCell ref="B8:B9"/>
    <mergeCell ref="C8:C9"/>
    <mergeCell ref="D8:E9"/>
    <mergeCell ref="F8:F9"/>
    <mergeCell ref="G8:H8"/>
    <mergeCell ref="D45:E45"/>
    <mergeCell ref="D46:E46"/>
    <mergeCell ref="D47:E47"/>
    <mergeCell ref="D14:E14"/>
    <mergeCell ref="D1:I1"/>
    <mergeCell ref="G3:I3"/>
    <mergeCell ref="G4:I4"/>
    <mergeCell ref="D24:E24"/>
    <mergeCell ref="D25:E25"/>
    <mergeCell ref="D26:E26"/>
    <mergeCell ref="D39:E39"/>
    <mergeCell ref="D40:E40"/>
    <mergeCell ref="D41:E41"/>
    <mergeCell ref="D42:E42"/>
    <mergeCell ref="D43:E43"/>
    <mergeCell ref="D44:E44"/>
    <mergeCell ref="D33:E33"/>
    <mergeCell ref="D34:E34"/>
    <mergeCell ref="D35:E35"/>
    <mergeCell ref="D36:E36"/>
    <mergeCell ref="D37:E37"/>
    <mergeCell ref="D38:E38"/>
    <mergeCell ref="D27:E27"/>
    <mergeCell ref="D28:E28"/>
    <mergeCell ref="D29:E29"/>
    <mergeCell ref="D30:E30"/>
    <mergeCell ref="D31:E31"/>
    <mergeCell ref="D32:E32"/>
    <mergeCell ref="D69:E69"/>
    <mergeCell ref="D70:E70"/>
    <mergeCell ref="D71:E71"/>
    <mergeCell ref="D48:E48"/>
    <mergeCell ref="D49:E49"/>
    <mergeCell ref="D50:E50"/>
    <mergeCell ref="D63:E63"/>
    <mergeCell ref="D64:E64"/>
    <mergeCell ref="D65:E65"/>
    <mergeCell ref="D66:E66"/>
    <mergeCell ref="D67:E67"/>
    <mergeCell ref="D68:E68"/>
    <mergeCell ref="D57:E57"/>
    <mergeCell ref="D58:E58"/>
    <mergeCell ref="D59:E59"/>
    <mergeCell ref="D60:E60"/>
    <mergeCell ref="D61:E61"/>
    <mergeCell ref="D62:E62"/>
    <mergeCell ref="D51:E51"/>
    <mergeCell ref="D52:E52"/>
    <mergeCell ref="D53:E53"/>
    <mergeCell ref="D54:E54"/>
    <mergeCell ref="D55:E55"/>
    <mergeCell ref="D56:E56"/>
    <mergeCell ref="D93:E93"/>
    <mergeCell ref="D94:E94"/>
    <mergeCell ref="D95:E95"/>
    <mergeCell ref="D72:E72"/>
    <mergeCell ref="D73:E73"/>
    <mergeCell ref="D74:E74"/>
    <mergeCell ref="D87:E87"/>
    <mergeCell ref="D88:E88"/>
    <mergeCell ref="D89:E89"/>
    <mergeCell ref="D90:E90"/>
    <mergeCell ref="D91:E91"/>
    <mergeCell ref="D92:E92"/>
    <mergeCell ref="D81:E81"/>
    <mergeCell ref="D82:E82"/>
    <mergeCell ref="D83:E83"/>
    <mergeCell ref="D84:E84"/>
    <mergeCell ref="D85:E85"/>
    <mergeCell ref="D86:E86"/>
    <mergeCell ref="D106:E106"/>
    <mergeCell ref="D96:E96"/>
    <mergeCell ref="D97:E97"/>
    <mergeCell ref="D98:E98"/>
    <mergeCell ref="D75:E75"/>
    <mergeCell ref="D76:E76"/>
    <mergeCell ref="D77:E77"/>
    <mergeCell ref="D78:E78"/>
    <mergeCell ref="D79:E79"/>
    <mergeCell ref="D80:E80"/>
    <mergeCell ref="D107:E107"/>
    <mergeCell ref="A108:I108"/>
    <mergeCell ref="D99:E99"/>
    <mergeCell ref="F109:G109"/>
    <mergeCell ref="D100:E100"/>
    <mergeCell ref="D101:E101"/>
    <mergeCell ref="D102:E102"/>
    <mergeCell ref="D103:E103"/>
    <mergeCell ref="D104:E104"/>
    <mergeCell ref="D105:E105"/>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96"/>
  <sheetViews>
    <sheetView showGridLines="0" zoomScaleNormal="100" workbookViewId="0">
      <selection activeCell="A2" sqref="A2"/>
    </sheetView>
  </sheetViews>
  <sheetFormatPr defaultColWidth="8.85546875" defaultRowHeight="12.75"/>
  <cols>
    <col min="1" max="1" width="4.5703125" style="15" customWidth="1" collapsed="1"/>
    <col min="2" max="2" width="68.42578125" style="15" customWidth="1" collapsed="1"/>
    <col min="3" max="3" width="16.42578125" style="15" customWidth="1" collapsed="1"/>
    <col min="4" max="16384" width="8.85546875" style="15"/>
  </cols>
  <sheetData>
    <row r="1" spans="1:3" ht="69" customHeight="1">
      <c r="A1" s="2" t="str">
        <f>Resumo!A1</f>
        <v>Template V.2.0</v>
      </c>
      <c r="B1" s="258" t="s">
        <v>240</v>
      </c>
      <c r="C1" s="258"/>
    </row>
    <row r="3" spans="1:3">
      <c r="A3" s="218" t="s">
        <v>237</v>
      </c>
      <c r="B3" s="218"/>
      <c r="C3" s="218"/>
    </row>
    <row r="4" spans="1:3">
      <c r="A4" s="35" t="s">
        <v>238</v>
      </c>
      <c r="B4" s="35" t="s">
        <v>239</v>
      </c>
      <c r="C4" s="35" t="s">
        <v>53</v>
      </c>
    </row>
    <row r="5" spans="1:3" ht="12.6" customHeight="1">
      <c r="A5" s="95"/>
      <c r="B5" s="96"/>
      <c r="C5" s="44"/>
    </row>
    <row r="6" spans="1:3" ht="12.6" customHeight="1">
      <c r="A6" s="95"/>
      <c r="B6" s="96"/>
      <c r="C6" s="44"/>
    </row>
    <row r="7" spans="1:3" ht="12.6" customHeight="1">
      <c r="A7" s="95"/>
      <c r="B7" s="96"/>
      <c r="C7" s="44"/>
    </row>
    <row r="8" spans="1:3" ht="12.6" customHeight="1">
      <c r="A8" s="95"/>
      <c r="B8" s="96"/>
      <c r="C8" s="44"/>
    </row>
    <row r="9" spans="1:3" ht="12.6" customHeight="1">
      <c r="A9" s="95"/>
      <c r="B9" s="96"/>
      <c r="C9" s="44"/>
    </row>
    <row r="10" spans="1:3" ht="12.6" customHeight="1">
      <c r="A10" s="95"/>
      <c r="B10" s="96"/>
      <c r="C10" s="44"/>
    </row>
    <row r="11" spans="1:3" ht="12.6" customHeight="1">
      <c r="A11" s="95"/>
      <c r="B11" s="96"/>
      <c r="C11" s="44"/>
    </row>
    <row r="12" spans="1:3" ht="12.6" customHeight="1">
      <c r="A12" s="95"/>
      <c r="B12" s="96"/>
      <c r="C12" s="44"/>
    </row>
    <row r="13" spans="1:3" ht="12.6" customHeight="1">
      <c r="A13" s="95"/>
      <c r="B13" s="96"/>
      <c r="C13" s="44"/>
    </row>
    <row r="14" spans="1:3" ht="12.6" customHeight="1">
      <c r="A14" s="95"/>
      <c r="B14" s="96"/>
      <c r="C14" s="44"/>
    </row>
    <row r="15" spans="1:3" ht="12.6" customHeight="1">
      <c r="A15" s="95"/>
      <c r="B15" s="96"/>
      <c r="C15" s="44"/>
    </row>
    <row r="16" spans="1:3" ht="12.6" customHeight="1">
      <c r="A16" s="95"/>
      <c r="B16" s="96"/>
      <c r="C16" s="44"/>
    </row>
    <row r="17" spans="1:3" ht="12.6" customHeight="1">
      <c r="A17" s="95"/>
      <c r="B17" s="96"/>
      <c r="C17" s="44"/>
    </row>
    <row r="18" spans="1:3" ht="12.6" customHeight="1">
      <c r="A18" s="95"/>
      <c r="B18" s="96"/>
      <c r="C18" s="44"/>
    </row>
    <row r="19" spans="1:3" ht="12.6" customHeight="1">
      <c r="A19" s="95"/>
      <c r="B19" s="96"/>
      <c r="C19" s="44"/>
    </row>
    <row r="20" spans="1:3" ht="12.6" customHeight="1">
      <c r="A20" s="95"/>
      <c r="B20" s="96"/>
      <c r="C20" s="44"/>
    </row>
    <row r="21" spans="1:3" ht="12.6" customHeight="1">
      <c r="A21" s="95"/>
      <c r="B21" s="96"/>
      <c r="C21" s="44"/>
    </row>
    <row r="22" spans="1:3" ht="12.6" customHeight="1">
      <c r="A22" s="95"/>
      <c r="B22" s="96"/>
      <c r="C22" s="44"/>
    </row>
    <row r="23" spans="1:3" ht="12.6" customHeight="1">
      <c r="A23" s="95"/>
      <c r="B23" s="96"/>
      <c r="C23" s="44"/>
    </row>
    <row r="24" spans="1:3" ht="12.6" customHeight="1">
      <c r="A24" s="95"/>
      <c r="B24" s="96"/>
      <c r="C24" s="44"/>
    </row>
    <row r="25" spans="1:3" ht="12.6" customHeight="1">
      <c r="A25" s="95"/>
      <c r="B25" s="96"/>
      <c r="C25" s="44"/>
    </row>
    <row r="26" spans="1:3" ht="12.6" customHeight="1">
      <c r="A26" s="95"/>
      <c r="B26" s="96"/>
      <c r="C26" s="44"/>
    </row>
    <row r="27" spans="1:3" ht="12.6" customHeight="1">
      <c r="A27" s="95"/>
      <c r="B27" s="96"/>
      <c r="C27" s="44"/>
    </row>
    <row r="28" spans="1:3" ht="12.6" customHeight="1">
      <c r="A28" s="95"/>
      <c r="B28" s="96"/>
      <c r="C28" s="44"/>
    </row>
    <row r="29" spans="1:3" ht="12.6" customHeight="1">
      <c r="A29" s="95"/>
      <c r="B29" s="96"/>
      <c r="C29" s="44"/>
    </row>
    <row r="30" spans="1:3" ht="12.6" customHeight="1">
      <c r="A30" s="95"/>
      <c r="B30" s="96"/>
      <c r="C30" s="44"/>
    </row>
    <row r="31" spans="1:3" ht="12.6" customHeight="1">
      <c r="A31" s="95"/>
      <c r="B31" s="96"/>
      <c r="C31" s="44"/>
    </row>
    <row r="32" spans="1:3" ht="12.6" customHeight="1">
      <c r="A32" s="95"/>
      <c r="B32" s="96"/>
      <c r="C32" s="44"/>
    </row>
    <row r="33" spans="1:3" ht="12.6" customHeight="1">
      <c r="A33" s="95"/>
      <c r="B33" s="96"/>
      <c r="C33" s="44"/>
    </row>
    <row r="34" spans="1:3" ht="12.6" customHeight="1">
      <c r="A34" s="95"/>
      <c r="B34" s="96"/>
      <c r="C34" s="44"/>
    </row>
    <row r="35" spans="1:3" ht="12.6" customHeight="1">
      <c r="A35" s="95"/>
      <c r="B35" s="96"/>
      <c r="C35" s="44"/>
    </row>
    <row r="36" spans="1:3" ht="12.6" customHeight="1">
      <c r="A36" s="95"/>
      <c r="B36" s="96"/>
      <c r="C36" s="44"/>
    </row>
    <row r="37" spans="1:3" ht="12.6" customHeight="1">
      <c r="A37" s="95"/>
      <c r="B37" s="96"/>
      <c r="C37" s="44"/>
    </row>
    <row r="38" spans="1:3" ht="12.6" customHeight="1">
      <c r="A38" s="95"/>
      <c r="B38" s="96"/>
      <c r="C38" s="44"/>
    </row>
    <row r="39" spans="1:3" ht="12.6" customHeight="1">
      <c r="A39" s="95"/>
      <c r="B39" s="96"/>
      <c r="C39" s="44"/>
    </row>
    <row r="40" spans="1:3" ht="12.6" customHeight="1">
      <c r="A40" s="95"/>
      <c r="B40" s="96"/>
      <c r="C40" s="44"/>
    </row>
    <row r="41" spans="1:3" ht="12.6" customHeight="1">
      <c r="A41" s="95"/>
      <c r="B41" s="96"/>
      <c r="C41" s="44"/>
    </row>
    <row r="42" spans="1:3" ht="12.6" customHeight="1">
      <c r="A42" s="95"/>
      <c r="B42" s="96"/>
      <c r="C42" s="44"/>
    </row>
    <row r="43" spans="1:3" ht="12.6" customHeight="1">
      <c r="A43" s="95"/>
      <c r="B43" s="96"/>
      <c r="C43" s="44"/>
    </row>
    <row r="44" spans="1:3" ht="12.6" customHeight="1">
      <c r="A44" s="95"/>
      <c r="B44" s="96"/>
      <c r="C44" s="44"/>
    </row>
    <row r="45" spans="1:3" ht="12.6" customHeight="1">
      <c r="A45" s="95"/>
      <c r="B45" s="96"/>
      <c r="C45" s="44"/>
    </row>
    <row r="46" spans="1:3" ht="12.6" customHeight="1">
      <c r="A46" s="95"/>
      <c r="B46" s="96"/>
      <c r="C46" s="44"/>
    </row>
    <row r="47" spans="1:3" ht="12.6" customHeight="1">
      <c r="A47" s="95"/>
      <c r="B47" s="96"/>
      <c r="C47" s="44"/>
    </row>
    <row r="48" spans="1:3" ht="12.6" customHeight="1">
      <c r="A48" s="95"/>
      <c r="B48" s="96"/>
      <c r="C48" s="44"/>
    </row>
    <row r="49" spans="1:3" ht="12.6" customHeight="1">
      <c r="A49" s="95"/>
      <c r="B49" s="96"/>
      <c r="C49" s="44"/>
    </row>
    <row r="50" spans="1:3" ht="12.6" customHeight="1">
      <c r="A50" s="95"/>
      <c r="B50" s="96"/>
      <c r="C50" s="44"/>
    </row>
    <row r="51" spans="1:3" ht="12.6" customHeight="1">
      <c r="A51" s="95"/>
      <c r="B51" s="96"/>
      <c r="C51" s="44"/>
    </row>
    <row r="52" spans="1:3" ht="12.6" customHeight="1">
      <c r="A52" s="95"/>
      <c r="B52" s="96"/>
      <c r="C52" s="44"/>
    </row>
    <row r="53" spans="1:3" ht="12.6" customHeight="1">
      <c r="A53" s="95"/>
      <c r="B53" s="96"/>
      <c r="C53" s="44"/>
    </row>
    <row r="54" spans="1:3" ht="12.6" customHeight="1">
      <c r="A54" s="95"/>
      <c r="B54" s="96"/>
      <c r="C54" s="44"/>
    </row>
    <row r="55" spans="1:3" ht="12.6" customHeight="1">
      <c r="A55" s="95"/>
      <c r="B55" s="96"/>
      <c r="C55" s="44"/>
    </row>
    <row r="56" spans="1:3" ht="12.6" customHeight="1">
      <c r="A56" s="95"/>
      <c r="B56" s="96"/>
      <c r="C56" s="44"/>
    </row>
    <row r="57" spans="1:3" ht="12.6" customHeight="1">
      <c r="A57" s="95"/>
      <c r="B57" s="96"/>
      <c r="C57" s="44"/>
    </row>
    <row r="58" spans="1:3" ht="12.6" customHeight="1">
      <c r="A58" s="95"/>
      <c r="B58" s="96"/>
      <c r="C58" s="44"/>
    </row>
    <row r="59" spans="1:3" ht="12.6" customHeight="1">
      <c r="A59" s="95"/>
      <c r="B59" s="96"/>
      <c r="C59" s="44"/>
    </row>
    <row r="60" spans="1:3" ht="12.6" customHeight="1">
      <c r="A60" s="95"/>
      <c r="B60" s="96"/>
      <c r="C60" s="44"/>
    </row>
    <row r="61" spans="1:3" ht="12.6" customHeight="1">
      <c r="A61" s="95"/>
      <c r="B61" s="96"/>
      <c r="C61" s="44"/>
    </row>
    <row r="62" spans="1:3" ht="12.6" customHeight="1">
      <c r="A62" s="95"/>
      <c r="B62" s="96"/>
      <c r="C62" s="44"/>
    </row>
    <row r="63" spans="1:3" ht="12.6" customHeight="1">
      <c r="A63" s="95"/>
      <c r="B63" s="96"/>
      <c r="C63" s="44"/>
    </row>
    <row r="64" spans="1:3" ht="12.6" customHeight="1">
      <c r="A64" s="95"/>
      <c r="B64" s="96"/>
      <c r="C64" s="44"/>
    </row>
    <row r="65" spans="1:3" ht="12.6" customHeight="1">
      <c r="A65" s="95"/>
      <c r="B65" s="96"/>
      <c r="C65" s="44"/>
    </row>
    <row r="66" spans="1:3" ht="12.6" customHeight="1">
      <c r="A66" s="95"/>
      <c r="B66" s="96"/>
      <c r="C66" s="44"/>
    </row>
    <row r="67" spans="1:3" ht="12.6" customHeight="1">
      <c r="A67" s="95"/>
      <c r="B67" s="96"/>
      <c r="C67" s="44"/>
    </row>
    <row r="68" spans="1:3" ht="12.6" customHeight="1">
      <c r="A68" s="95"/>
      <c r="B68" s="96"/>
      <c r="C68" s="44"/>
    </row>
    <row r="69" spans="1:3" ht="12.6" customHeight="1">
      <c r="A69" s="95"/>
      <c r="B69" s="96"/>
      <c r="C69" s="44"/>
    </row>
    <row r="70" spans="1:3" ht="12.6" customHeight="1">
      <c r="A70" s="95"/>
      <c r="B70" s="96"/>
      <c r="C70" s="44"/>
    </row>
    <row r="71" spans="1:3" ht="12.6" customHeight="1">
      <c r="A71" s="95"/>
      <c r="B71" s="96"/>
      <c r="C71" s="44"/>
    </row>
    <row r="72" spans="1:3" ht="12.6" customHeight="1">
      <c r="A72" s="95"/>
      <c r="B72" s="96"/>
      <c r="C72" s="44"/>
    </row>
    <row r="73" spans="1:3" ht="12.6" customHeight="1">
      <c r="A73" s="95"/>
      <c r="B73" s="96"/>
      <c r="C73" s="44"/>
    </row>
    <row r="74" spans="1:3" ht="12.6" customHeight="1">
      <c r="A74" s="95"/>
      <c r="B74" s="96"/>
      <c r="C74" s="44"/>
    </row>
    <row r="75" spans="1:3" ht="12.6" customHeight="1">
      <c r="A75" s="95"/>
      <c r="B75" s="96"/>
      <c r="C75" s="44"/>
    </row>
    <row r="76" spans="1:3" ht="12.6" customHeight="1">
      <c r="A76" s="95"/>
      <c r="B76" s="96"/>
      <c r="C76" s="44"/>
    </row>
    <row r="77" spans="1:3" ht="12.6" customHeight="1">
      <c r="A77" s="95"/>
      <c r="B77" s="96"/>
      <c r="C77" s="44"/>
    </row>
    <row r="78" spans="1:3" ht="12.6" customHeight="1">
      <c r="A78" s="95"/>
      <c r="B78" s="96"/>
      <c r="C78" s="44"/>
    </row>
    <row r="79" spans="1:3" ht="12.6" customHeight="1">
      <c r="A79" s="95"/>
      <c r="B79" s="96"/>
      <c r="C79" s="44"/>
    </row>
    <row r="80" spans="1:3" ht="12.6" customHeight="1">
      <c r="A80" s="95"/>
      <c r="B80" s="96"/>
      <c r="C80" s="44"/>
    </row>
    <row r="81" spans="1:3" ht="12.6" customHeight="1">
      <c r="A81" s="95"/>
      <c r="B81" s="96"/>
      <c r="C81" s="44"/>
    </row>
    <row r="82" spans="1:3" ht="12.6" customHeight="1">
      <c r="A82" s="95"/>
      <c r="B82" s="96"/>
      <c r="C82" s="44"/>
    </row>
    <row r="83" spans="1:3" ht="12.6" customHeight="1">
      <c r="A83" s="95"/>
      <c r="B83" s="96"/>
      <c r="C83" s="44"/>
    </row>
    <row r="84" spans="1:3" ht="12.6" customHeight="1">
      <c r="A84" s="95"/>
      <c r="B84" s="96"/>
      <c r="C84" s="44"/>
    </row>
    <row r="85" spans="1:3" ht="12.6" customHeight="1">
      <c r="A85" s="95"/>
      <c r="B85" s="96"/>
      <c r="C85" s="44"/>
    </row>
    <row r="86" spans="1:3" ht="12.6" customHeight="1">
      <c r="A86" s="95"/>
      <c r="B86" s="96"/>
      <c r="C86" s="44"/>
    </row>
    <row r="87" spans="1:3" ht="12.6" customHeight="1">
      <c r="A87" s="95"/>
      <c r="B87" s="96"/>
      <c r="C87" s="44"/>
    </row>
    <row r="88" spans="1:3" ht="12.6" customHeight="1">
      <c r="A88" s="95"/>
      <c r="B88" s="96"/>
      <c r="C88" s="44"/>
    </row>
    <row r="89" spans="1:3" ht="12.6" customHeight="1">
      <c r="A89" s="95"/>
      <c r="B89" s="96"/>
      <c r="C89" s="44"/>
    </row>
    <row r="90" spans="1:3" ht="12.6" customHeight="1">
      <c r="A90" s="95"/>
      <c r="B90" s="96"/>
      <c r="C90" s="44"/>
    </row>
    <row r="91" spans="1:3" ht="12.6" customHeight="1">
      <c r="A91" s="95"/>
      <c r="B91" s="96"/>
      <c r="C91" s="44"/>
    </row>
    <row r="92" spans="1:3" ht="12.6" customHeight="1">
      <c r="A92" s="95"/>
      <c r="B92" s="96"/>
      <c r="C92" s="44"/>
    </row>
    <row r="93" spans="1:3" ht="12.6" customHeight="1">
      <c r="A93" s="95"/>
      <c r="B93" s="96"/>
      <c r="C93" s="44"/>
    </row>
    <row r="94" spans="1:3" ht="12.6" customHeight="1">
      <c r="A94" s="95"/>
      <c r="B94" s="96"/>
      <c r="C94" s="44"/>
    </row>
    <row r="95" spans="1:3" ht="12.6" customHeight="1">
      <c r="A95" s="95"/>
      <c r="B95" s="96"/>
      <c r="C95" s="44"/>
    </row>
    <row r="96" spans="1:3" ht="12.6" customHeight="1">
      <c r="A96" s="95"/>
      <c r="B96" s="96"/>
      <c r="C96" s="44"/>
    </row>
    <row r="97" spans="1:3" ht="12.6" customHeight="1">
      <c r="A97" s="95"/>
      <c r="B97" s="96"/>
      <c r="C97" s="44"/>
    </row>
    <row r="98" spans="1:3" ht="12.6" customHeight="1">
      <c r="A98" s="95"/>
      <c r="B98" s="96"/>
      <c r="C98" s="44"/>
    </row>
    <row r="99" spans="1:3" ht="12.6" customHeight="1">
      <c r="A99" s="95"/>
      <c r="B99" s="96"/>
      <c r="C99" s="44"/>
    </row>
    <row r="100" spans="1:3" ht="12.6" customHeight="1">
      <c r="A100" s="95"/>
      <c r="B100" s="96"/>
      <c r="C100" s="44"/>
    </row>
    <row r="101" spans="1:3" ht="12.6" customHeight="1">
      <c r="A101" s="95"/>
      <c r="B101" s="96"/>
      <c r="C101" s="44"/>
    </row>
    <row r="102" spans="1:3" ht="12.6" customHeight="1">
      <c r="A102" s="95"/>
      <c r="B102" s="96"/>
      <c r="C102" s="44"/>
    </row>
    <row r="103" spans="1:3" ht="12.6" customHeight="1">
      <c r="A103" s="95"/>
      <c r="B103" s="96"/>
      <c r="C103" s="44"/>
    </row>
    <row r="104" spans="1:3" ht="12.6" customHeight="1">
      <c r="A104" s="95"/>
      <c r="B104" s="96"/>
      <c r="C104" s="44"/>
    </row>
    <row r="105" spans="1:3" ht="12.6" customHeight="1">
      <c r="A105" s="95"/>
      <c r="B105" s="96"/>
      <c r="C105" s="44"/>
    </row>
    <row r="106" spans="1:3" ht="12.6" customHeight="1">
      <c r="A106" s="95"/>
      <c r="B106" s="96"/>
      <c r="C106" s="44"/>
    </row>
    <row r="107" spans="1:3" ht="12.6" customHeight="1">
      <c r="A107" s="95"/>
      <c r="B107" s="96"/>
      <c r="C107" s="44"/>
    </row>
    <row r="108" spans="1:3" ht="12.6" customHeight="1">
      <c r="A108" s="95"/>
      <c r="B108" s="96"/>
      <c r="C108" s="44"/>
    </row>
    <row r="109" spans="1:3" ht="12.6" customHeight="1">
      <c r="A109" s="95"/>
      <c r="B109" s="96"/>
      <c r="C109" s="44"/>
    </row>
    <row r="110" spans="1:3" ht="12.6" customHeight="1">
      <c r="A110" s="95"/>
      <c r="B110" s="96"/>
      <c r="C110" s="44"/>
    </row>
    <row r="111" spans="1:3" ht="12.6" customHeight="1">
      <c r="A111" s="95"/>
      <c r="B111" s="96"/>
      <c r="C111" s="44"/>
    </row>
    <row r="112" spans="1:3" ht="12.6" customHeight="1">
      <c r="A112" s="95"/>
      <c r="B112" s="96"/>
      <c r="C112" s="44"/>
    </row>
    <row r="113" spans="1:3" ht="12.6" customHeight="1">
      <c r="A113" s="95"/>
      <c r="B113" s="96"/>
      <c r="C113" s="44"/>
    </row>
    <row r="114" spans="1:3" ht="12.6" customHeight="1">
      <c r="A114" s="95"/>
      <c r="B114" s="96"/>
      <c r="C114" s="44"/>
    </row>
    <row r="115" spans="1:3" ht="12.6" customHeight="1">
      <c r="A115" s="95"/>
      <c r="B115" s="96"/>
      <c r="C115" s="44"/>
    </row>
    <row r="116" spans="1:3" ht="12.6" customHeight="1">
      <c r="A116" s="95"/>
      <c r="B116" s="96"/>
      <c r="C116" s="44"/>
    </row>
    <row r="117" spans="1:3" ht="12.6" customHeight="1">
      <c r="A117" s="95"/>
      <c r="B117" s="96"/>
      <c r="C117" s="44"/>
    </row>
    <row r="118" spans="1:3" ht="12.6" customHeight="1">
      <c r="A118" s="95"/>
      <c r="B118" s="96"/>
      <c r="C118" s="44"/>
    </row>
    <row r="119" spans="1:3" ht="12.6" customHeight="1">
      <c r="A119" s="95"/>
      <c r="B119" s="96"/>
      <c r="C119" s="44"/>
    </row>
    <row r="120" spans="1:3" ht="12.6" customHeight="1">
      <c r="A120" s="95"/>
      <c r="B120" s="96"/>
      <c r="C120" s="44"/>
    </row>
    <row r="121" spans="1:3" ht="12.6" customHeight="1">
      <c r="A121" s="95"/>
      <c r="B121" s="96"/>
      <c r="C121" s="44"/>
    </row>
    <row r="122" spans="1:3" ht="12.6" customHeight="1">
      <c r="A122" s="95"/>
      <c r="B122" s="96"/>
      <c r="C122" s="44"/>
    </row>
    <row r="123" spans="1:3" ht="12.6" customHeight="1">
      <c r="A123" s="95"/>
      <c r="B123" s="96"/>
      <c r="C123" s="44"/>
    </row>
    <row r="124" spans="1:3" ht="12.6" customHeight="1">
      <c r="A124" s="95"/>
      <c r="B124" s="96"/>
      <c r="C124" s="44"/>
    </row>
    <row r="125" spans="1:3" ht="12.6" customHeight="1">
      <c r="A125" s="95"/>
      <c r="B125" s="96"/>
      <c r="C125" s="44"/>
    </row>
    <row r="126" spans="1:3" ht="12.6" customHeight="1">
      <c r="A126" s="95"/>
      <c r="B126" s="96"/>
      <c r="C126" s="44"/>
    </row>
    <row r="127" spans="1:3" ht="12.6" customHeight="1">
      <c r="A127" s="95"/>
      <c r="B127" s="96"/>
      <c r="C127" s="44"/>
    </row>
    <row r="128" spans="1:3" ht="12.6" customHeight="1">
      <c r="A128" s="95"/>
      <c r="B128" s="96"/>
      <c r="C128" s="44"/>
    </row>
    <row r="129" spans="1:3" ht="12.6" customHeight="1">
      <c r="A129" s="95"/>
      <c r="B129" s="96"/>
      <c r="C129" s="44"/>
    </row>
    <row r="130" spans="1:3" ht="12.6" customHeight="1">
      <c r="A130" s="95"/>
      <c r="B130" s="96"/>
      <c r="C130" s="44"/>
    </row>
    <row r="131" spans="1:3" ht="12.6" customHeight="1">
      <c r="A131" s="95"/>
      <c r="B131" s="96"/>
      <c r="C131" s="44"/>
    </row>
    <row r="132" spans="1:3" ht="12.6" customHeight="1">
      <c r="A132" s="95"/>
      <c r="B132" s="96"/>
      <c r="C132" s="44"/>
    </row>
    <row r="133" spans="1:3" ht="12.6" customHeight="1">
      <c r="A133" s="95"/>
      <c r="B133" s="96"/>
      <c r="C133" s="44"/>
    </row>
    <row r="134" spans="1:3" ht="12.6" customHeight="1">
      <c r="A134" s="95"/>
      <c r="B134" s="96"/>
      <c r="C134" s="44"/>
    </row>
    <row r="135" spans="1:3" ht="12.6" customHeight="1">
      <c r="A135" s="95"/>
      <c r="B135" s="96"/>
      <c r="C135" s="44"/>
    </row>
    <row r="136" spans="1:3" ht="12.6" customHeight="1">
      <c r="A136" s="95"/>
      <c r="B136" s="96"/>
      <c r="C136" s="44"/>
    </row>
    <row r="137" spans="1:3" ht="12.6" customHeight="1">
      <c r="A137" s="95"/>
      <c r="B137" s="96"/>
      <c r="C137" s="44"/>
    </row>
    <row r="138" spans="1:3" ht="12.6" customHeight="1">
      <c r="A138" s="95"/>
      <c r="B138" s="96"/>
      <c r="C138" s="44"/>
    </row>
    <row r="139" spans="1:3" ht="12.6" customHeight="1">
      <c r="A139" s="95"/>
      <c r="B139" s="96"/>
      <c r="C139" s="44"/>
    </row>
    <row r="140" spans="1:3" ht="12.6" customHeight="1">
      <c r="A140" s="95"/>
      <c r="B140" s="96"/>
      <c r="C140" s="44"/>
    </row>
    <row r="141" spans="1:3" ht="12.6" customHeight="1">
      <c r="A141" s="95"/>
      <c r="B141" s="96"/>
      <c r="C141" s="44"/>
    </row>
    <row r="142" spans="1:3" ht="12.6" customHeight="1">
      <c r="A142" s="95"/>
      <c r="B142" s="96"/>
      <c r="C142" s="44"/>
    </row>
    <row r="143" spans="1:3" ht="12.6" customHeight="1">
      <c r="A143" s="95"/>
      <c r="B143" s="96"/>
      <c r="C143" s="44"/>
    </row>
    <row r="144" spans="1:3" ht="12.6" customHeight="1">
      <c r="A144" s="95"/>
      <c r="B144" s="96"/>
      <c r="C144" s="44"/>
    </row>
    <row r="145" spans="1:3" ht="12.6" customHeight="1">
      <c r="A145" s="95"/>
      <c r="B145" s="96"/>
      <c r="C145" s="44"/>
    </row>
    <row r="146" spans="1:3" ht="12.6" customHeight="1">
      <c r="A146" s="95"/>
      <c r="B146" s="96"/>
      <c r="C146" s="44"/>
    </row>
    <row r="147" spans="1:3" ht="12.6" customHeight="1">
      <c r="A147" s="95"/>
      <c r="B147" s="96"/>
      <c r="C147" s="44"/>
    </row>
    <row r="148" spans="1:3" ht="12.6" customHeight="1">
      <c r="A148" s="95"/>
      <c r="B148" s="96"/>
      <c r="C148" s="44"/>
    </row>
    <row r="149" spans="1:3" ht="12.6" customHeight="1">
      <c r="A149" s="95"/>
      <c r="B149" s="96"/>
      <c r="C149" s="44"/>
    </row>
    <row r="150" spans="1:3" ht="12.6" customHeight="1">
      <c r="A150" s="95"/>
      <c r="B150" s="96"/>
      <c r="C150" s="44"/>
    </row>
    <row r="151" spans="1:3" ht="12.6" customHeight="1">
      <c r="A151" s="95"/>
      <c r="B151" s="96"/>
      <c r="C151" s="44"/>
    </row>
    <row r="152" spans="1:3" ht="12.6" customHeight="1">
      <c r="A152" s="95"/>
      <c r="B152" s="96"/>
      <c r="C152" s="44"/>
    </row>
    <row r="153" spans="1:3" ht="12.6" customHeight="1">
      <c r="A153" s="95"/>
      <c r="B153" s="96"/>
      <c r="C153" s="44"/>
    </row>
    <row r="154" spans="1:3" ht="12.6" customHeight="1">
      <c r="A154" s="95"/>
      <c r="B154" s="96"/>
      <c r="C154" s="44"/>
    </row>
    <row r="155" spans="1:3" ht="12.6" customHeight="1">
      <c r="A155" s="95"/>
      <c r="B155" s="96"/>
      <c r="C155" s="44"/>
    </row>
    <row r="156" spans="1:3" ht="12.6" customHeight="1">
      <c r="A156" s="95"/>
      <c r="B156" s="96"/>
      <c r="C156" s="44"/>
    </row>
    <row r="157" spans="1:3" ht="12.6" customHeight="1">
      <c r="A157" s="95"/>
      <c r="B157" s="96"/>
      <c r="C157" s="44"/>
    </row>
    <row r="158" spans="1:3" ht="12.6" customHeight="1">
      <c r="A158" s="95"/>
      <c r="B158" s="96"/>
      <c r="C158" s="44"/>
    </row>
    <row r="159" spans="1:3" ht="12.6" customHeight="1">
      <c r="A159" s="95"/>
      <c r="B159" s="96"/>
      <c r="C159" s="44"/>
    </row>
    <row r="160" spans="1:3" ht="12.6" customHeight="1">
      <c r="A160" s="95"/>
      <c r="B160" s="96"/>
      <c r="C160" s="44"/>
    </row>
    <row r="161" spans="1:3" ht="12.6" customHeight="1">
      <c r="A161" s="95"/>
      <c r="B161" s="96"/>
      <c r="C161" s="44"/>
    </row>
    <row r="162" spans="1:3" ht="12.6" customHeight="1">
      <c r="A162" s="95"/>
      <c r="B162" s="96"/>
      <c r="C162" s="44"/>
    </row>
    <row r="163" spans="1:3" ht="12.6" customHeight="1">
      <c r="A163" s="95"/>
      <c r="B163" s="96"/>
      <c r="C163" s="44"/>
    </row>
    <row r="164" spans="1:3" ht="12.6" customHeight="1">
      <c r="A164" s="95"/>
      <c r="B164" s="96"/>
      <c r="C164" s="44"/>
    </row>
    <row r="165" spans="1:3" ht="12.6" customHeight="1">
      <c r="A165" s="95"/>
      <c r="B165" s="96"/>
      <c r="C165" s="44"/>
    </row>
    <row r="166" spans="1:3" ht="12.6" customHeight="1">
      <c r="A166" s="95"/>
      <c r="B166" s="96"/>
      <c r="C166" s="44"/>
    </row>
    <row r="167" spans="1:3" ht="12.6" customHeight="1">
      <c r="A167" s="95"/>
      <c r="B167" s="96"/>
      <c r="C167" s="44"/>
    </row>
    <row r="168" spans="1:3" ht="12.6" customHeight="1">
      <c r="A168" s="95"/>
      <c r="B168" s="96"/>
      <c r="C168" s="44"/>
    </row>
    <row r="169" spans="1:3" ht="12.6" customHeight="1">
      <c r="A169" s="95"/>
      <c r="B169" s="96"/>
      <c r="C169" s="44"/>
    </row>
    <row r="170" spans="1:3" ht="12.6" customHeight="1">
      <c r="A170" s="95"/>
      <c r="B170" s="96"/>
      <c r="C170" s="44"/>
    </row>
    <row r="171" spans="1:3" ht="12.6" customHeight="1">
      <c r="A171" s="95"/>
      <c r="B171" s="96"/>
      <c r="C171" s="44"/>
    </row>
    <row r="172" spans="1:3" ht="12.6" customHeight="1">
      <c r="A172" s="95"/>
      <c r="B172" s="96"/>
      <c r="C172" s="44"/>
    </row>
    <row r="173" spans="1:3" ht="12.6" customHeight="1">
      <c r="A173" s="95"/>
      <c r="B173" s="96"/>
      <c r="C173" s="44"/>
    </row>
    <row r="174" spans="1:3" ht="12.6" customHeight="1">
      <c r="A174" s="95"/>
      <c r="B174" s="96"/>
      <c r="C174" s="44"/>
    </row>
    <row r="175" spans="1:3" ht="12.6" customHeight="1">
      <c r="A175" s="95"/>
      <c r="B175" s="96"/>
      <c r="C175" s="44"/>
    </row>
    <row r="176" spans="1:3" ht="12.6" customHeight="1">
      <c r="A176" s="95"/>
      <c r="B176" s="96"/>
      <c r="C176" s="44"/>
    </row>
    <row r="177" spans="1:3" ht="12.6" customHeight="1">
      <c r="A177" s="95"/>
      <c r="B177" s="96"/>
      <c r="C177" s="44"/>
    </row>
    <row r="178" spans="1:3" ht="12.6" customHeight="1">
      <c r="A178" s="95"/>
      <c r="B178" s="96"/>
      <c r="C178" s="44"/>
    </row>
    <row r="179" spans="1:3" ht="12.6" customHeight="1">
      <c r="A179" s="95"/>
      <c r="B179" s="96"/>
      <c r="C179" s="44"/>
    </row>
    <row r="180" spans="1:3" ht="12.6" customHeight="1">
      <c r="A180" s="95"/>
      <c r="B180" s="96"/>
      <c r="C180" s="44"/>
    </row>
    <row r="181" spans="1:3" ht="12.6" customHeight="1">
      <c r="A181" s="95"/>
      <c r="B181" s="96"/>
      <c r="C181" s="44"/>
    </row>
    <row r="182" spans="1:3" ht="12.6" customHeight="1">
      <c r="A182" s="95"/>
      <c r="B182" s="96"/>
      <c r="C182" s="44"/>
    </row>
    <row r="183" spans="1:3" ht="12.6" customHeight="1">
      <c r="A183" s="95"/>
      <c r="B183" s="96"/>
      <c r="C183" s="44"/>
    </row>
    <row r="184" spans="1:3" ht="12.6" customHeight="1">
      <c r="A184" s="95"/>
      <c r="B184" s="96"/>
      <c r="C184" s="44"/>
    </row>
    <row r="185" spans="1:3" ht="12.6" customHeight="1">
      <c r="A185" s="95"/>
      <c r="B185" s="96"/>
      <c r="C185" s="44"/>
    </row>
    <row r="186" spans="1:3" ht="12.6" customHeight="1">
      <c r="A186" s="95"/>
      <c r="B186" s="96"/>
      <c r="C186" s="44"/>
    </row>
    <row r="187" spans="1:3" ht="12.6" customHeight="1">
      <c r="A187" s="95"/>
      <c r="B187" s="96"/>
      <c r="C187" s="44"/>
    </row>
    <row r="188" spans="1:3" ht="12.6" customHeight="1">
      <c r="A188" s="95"/>
      <c r="B188" s="96"/>
      <c r="C188" s="44"/>
    </row>
    <row r="189" spans="1:3" ht="12.6" customHeight="1">
      <c r="A189" s="95"/>
      <c r="B189" s="96"/>
      <c r="C189" s="44"/>
    </row>
    <row r="190" spans="1:3" ht="12.6" customHeight="1">
      <c r="A190" s="95"/>
      <c r="B190" s="96"/>
      <c r="C190" s="44"/>
    </row>
    <row r="191" spans="1:3" ht="12.6" customHeight="1">
      <c r="A191" s="95"/>
      <c r="B191" s="96"/>
      <c r="C191" s="44"/>
    </row>
    <row r="192" spans="1:3" ht="12.6" customHeight="1">
      <c r="A192" s="95"/>
      <c r="B192" s="96"/>
      <c r="C192" s="44"/>
    </row>
    <row r="193" spans="1:3" ht="12.6" customHeight="1">
      <c r="A193" s="95"/>
      <c r="B193" s="96"/>
      <c r="C193" s="44"/>
    </row>
    <row r="194" spans="1:3" ht="12.6" customHeight="1">
      <c r="A194" s="95"/>
      <c r="B194" s="96"/>
      <c r="C194" s="44"/>
    </row>
    <row r="195" spans="1:3" ht="12.6" customHeight="1">
      <c r="A195" s="95"/>
      <c r="B195" s="96"/>
      <c r="C195" s="44"/>
    </row>
    <row r="196" spans="1:3" ht="12.6" customHeight="1">
      <c r="A196" s="95"/>
      <c r="B196" s="96"/>
      <c r="C196" s="44"/>
    </row>
    <row r="197" spans="1:3" ht="12.6" customHeight="1">
      <c r="A197" s="95"/>
      <c r="B197" s="96"/>
      <c r="C197" s="44"/>
    </row>
    <row r="198" spans="1:3" ht="12.6" customHeight="1">
      <c r="A198" s="95"/>
      <c r="B198" s="96"/>
      <c r="C198" s="44"/>
    </row>
    <row r="199" spans="1:3" ht="12.6" customHeight="1">
      <c r="A199" s="95"/>
      <c r="B199" s="96"/>
      <c r="C199" s="44"/>
    </row>
    <row r="200" spans="1:3" ht="12.6" customHeight="1">
      <c r="A200" s="95"/>
      <c r="B200" s="96"/>
      <c r="C200" s="44"/>
    </row>
    <row r="201" spans="1:3" ht="12.6" customHeight="1">
      <c r="A201" s="95"/>
      <c r="B201" s="96"/>
      <c r="C201" s="44"/>
    </row>
    <row r="202" spans="1:3" ht="12.6" customHeight="1">
      <c r="A202" s="95"/>
      <c r="B202" s="96"/>
      <c r="C202" s="44"/>
    </row>
    <row r="203" spans="1:3" ht="12.6" customHeight="1">
      <c r="A203" s="95"/>
      <c r="B203" s="96"/>
      <c r="C203" s="44"/>
    </row>
    <row r="204" spans="1:3" ht="12.6" customHeight="1">
      <c r="A204" s="95"/>
      <c r="B204" s="96"/>
      <c r="C204" s="44"/>
    </row>
    <row r="205" spans="1:3" ht="12.6" customHeight="1">
      <c r="A205" s="95"/>
      <c r="B205" s="96"/>
      <c r="C205" s="44"/>
    </row>
    <row r="206" spans="1:3" ht="12.6" customHeight="1">
      <c r="A206" s="95"/>
      <c r="B206" s="96"/>
      <c r="C206" s="44"/>
    </row>
    <row r="207" spans="1:3" ht="12.6" customHeight="1">
      <c r="A207" s="95"/>
      <c r="B207" s="96"/>
      <c r="C207" s="44"/>
    </row>
    <row r="208" spans="1:3" ht="12.6" customHeight="1">
      <c r="A208" s="95"/>
      <c r="B208" s="96"/>
      <c r="C208" s="44"/>
    </row>
    <row r="209" spans="1:3" ht="12.6" customHeight="1">
      <c r="A209" s="95"/>
      <c r="B209" s="96"/>
      <c r="C209" s="44"/>
    </row>
    <row r="210" spans="1:3" ht="12.6" customHeight="1">
      <c r="A210" s="95"/>
      <c r="B210" s="96"/>
      <c r="C210" s="44"/>
    </row>
    <row r="211" spans="1:3" ht="12.6" customHeight="1">
      <c r="A211" s="95"/>
      <c r="B211" s="96"/>
      <c r="C211" s="44"/>
    </row>
    <row r="212" spans="1:3" ht="12.6" customHeight="1">
      <c r="A212" s="95"/>
      <c r="B212" s="96"/>
      <c r="C212" s="44"/>
    </row>
    <row r="213" spans="1:3" ht="12.6" customHeight="1">
      <c r="A213" s="95"/>
      <c r="B213" s="96"/>
      <c r="C213" s="44"/>
    </row>
    <row r="214" spans="1:3" ht="12.6" customHeight="1">
      <c r="A214" s="95"/>
      <c r="B214" s="96"/>
      <c r="C214" s="44"/>
    </row>
    <row r="215" spans="1:3" ht="12.6" customHeight="1">
      <c r="A215" s="95"/>
      <c r="B215" s="96"/>
      <c r="C215" s="44"/>
    </row>
    <row r="216" spans="1:3" ht="12.6" customHeight="1">
      <c r="A216" s="95"/>
      <c r="B216" s="96"/>
      <c r="C216" s="44"/>
    </row>
    <row r="217" spans="1:3" ht="12.6" customHeight="1">
      <c r="A217" s="95"/>
      <c r="B217" s="96"/>
      <c r="C217" s="44"/>
    </row>
    <row r="218" spans="1:3" ht="12.6" customHeight="1">
      <c r="A218" s="95"/>
      <c r="B218" s="96"/>
      <c r="C218" s="44"/>
    </row>
    <row r="219" spans="1:3" ht="12.6" customHeight="1">
      <c r="A219" s="95"/>
      <c r="B219" s="96"/>
      <c r="C219" s="44"/>
    </row>
    <row r="220" spans="1:3" ht="12.6" customHeight="1">
      <c r="A220" s="95"/>
      <c r="B220" s="96"/>
      <c r="C220" s="44"/>
    </row>
    <row r="221" spans="1:3" ht="12.6" customHeight="1">
      <c r="A221" s="95"/>
      <c r="B221" s="96"/>
      <c r="C221" s="44"/>
    </row>
    <row r="222" spans="1:3" ht="12.6" customHeight="1">
      <c r="A222" s="95"/>
      <c r="B222" s="96"/>
      <c r="C222" s="44"/>
    </row>
    <row r="223" spans="1:3" ht="12.6" customHeight="1">
      <c r="A223" s="95"/>
      <c r="B223" s="96"/>
      <c r="C223" s="44"/>
    </row>
    <row r="224" spans="1:3" ht="12.6" customHeight="1">
      <c r="A224" s="95"/>
      <c r="B224" s="96"/>
      <c r="C224" s="44"/>
    </row>
    <row r="225" spans="1:3" ht="12.6" customHeight="1">
      <c r="A225" s="95"/>
      <c r="B225" s="96"/>
      <c r="C225" s="44"/>
    </row>
    <row r="226" spans="1:3" ht="12.6" customHeight="1">
      <c r="A226" s="95"/>
      <c r="B226" s="96"/>
      <c r="C226" s="44"/>
    </row>
    <row r="227" spans="1:3" ht="12.6" customHeight="1">
      <c r="A227" s="95"/>
      <c r="B227" s="96"/>
      <c r="C227" s="44"/>
    </row>
    <row r="228" spans="1:3" ht="12.6" customHeight="1">
      <c r="A228" s="95"/>
      <c r="B228" s="96"/>
      <c r="C228" s="44"/>
    </row>
    <row r="229" spans="1:3" ht="12.6" customHeight="1">
      <c r="A229" s="95"/>
      <c r="B229" s="96"/>
      <c r="C229" s="44"/>
    </row>
    <row r="230" spans="1:3" ht="12.6" customHeight="1">
      <c r="A230" s="95"/>
      <c r="B230" s="96"/>
      <c r="C230" s="44"/>
    </row>
    <row r="231" spans="1:3" ht="12.6" customHeight="1">
      <c r="A231" s="95"/>
      <c r="B231" s="96"/>
      <c r="C231" s="44"/>
    </row>
    <row r="232" spans="1:3" ht="12.6" customHeight="1">
      <c r="A232" s="95"/>
      <c r="B232" s="96"/>
      <c r="C232" s="44"/>
    </row>
    <row r="233" spans="1:3" ht="12.6" customHeight="1">
      <c r="A233" s="95"/>
      <c r="B233" s="96"/>
      <c r="C233" s="44"/>
    </row>
    <row r="234" spans="1:3" ht="12.6" customHeight="1">
      <c r="A234" s="95"/>
      <c r="B234" s="96"/>
      <c r="C234" s="44"/>
    </row>
    <row r="235" spans="1:3" ht="12.6" customHeight="1">
      <c r="A235" s="95"/>
      <c r="B235" s="96"/>
      <c r="C235" s="44"/>
    </row>
    <row r="236" spans="1:3" ht="12.6" customHeight="1">
      <c r="A236" s="95"/>
      <c r="B236" s="96"/>
      <c r="C236" s="44"/>
    </row>
    <row r="237" spans="1:3" ht="12.6" customHeight="1">
      <c r="A237" s="95"/>
      <c r="B237" s="96"/>
      <c r="C237" s="44"/>
    </row>
    <row r="238" spans="1:3" ht="12.6" customHeight="1">
      <c r="A238" s="95"/>
      <c r="B238" s="96"/>
      <c r="C238" s="44"/>
    </row>
    <row r="239" spans="1:3" ht="12.6" customHeight="1">
      <c r="A239" s="95"/>
      <c r="B239" s="96"/>
      <c r="C239" s="44"/>
    </row>
    <row r="240" spans="1:3" ht="12.6" customHeight="1">
      <c r="A240" s="95"/>
      <c r="B240" s="96"/>
      <c r="C240" s="44"/>
    </row>
    <row r="241" spans="1:3" ht="12.6" customHeight="1">
      <c r="A241" s="95"/>
      <c r="B241" s="96"/>
      <c r="C241" s="44"/>
    </row>
    <row r="242" spans="1:3" ht="12.6" customHeight="1">
      <c r="A242" s="95"/>
      <c r="B242" s="96"/>
      <c r="C242" s="44"/>
    </row>
    <row r="243" spans="1:3" ht="12.6" customHeight="1">
      <c r="A243" s="95"/>
      <c r="B243" s="96"/>
      <c r="C243" s="44"/>
    </row>
    <row r="244" spans="1:3" ht="12.6" customHeight="1">
      <c r="A244" s="95"/>
      <c r="B244" s="96"/>
      <c r="C244" s="44"/>
    </row>
    <row r="245" spans="1:3" ht="12.6" customHeight="1">
      <c r="A245" s="95"/>
      <c r="B245" s="96"/>
      <c r="C245" s="44"/>
    </row>
    <row r="246" spans="1:3" ht="12.6" customHeight="1">
      <c r="A246" s="95"/>
      <c r="B246" s="96"/>
      <c r="C246" s="44"/>
    </row>
    <row r="247" spans="1:3" ht="12.6" customHeight="1">
      <c r="A247" s="95"/>
      <c r="B247" s="96"/>
      <c r="C247" s="44"/>
    </row>
    <row r="248" spans="1:3" ht="12.6" customHeight="1">
      <c r="A248" s="95"/>
      <c r="B248" s="96"/>
      <c r="C248" s="44"/>
    </row>
    <row r="249" spans="1:3" ht="12.6" customHeight="1">
      <c r="A249" s="95"/>
      <c r="B249" s="96"/>
      <c r="C249" s="44"/>
    </row>
    <row r="250" spans="1:3" ht="12.6" customHeight="1">
      <c r="A250" s="95"/>
      <c r="B250" s="96"/>
      <c r="C250" s="44"/>
    </row>
    <row r="251" spans="1:3" ht="12.6" customHeight="1">
      <c r="A251" s="95"/>
      <c r="B251" s="96"/>
      <c r="C251" s="44"/>
    </row>
    <row r="252" spans="1:3" ht="12.6" customHeight="1">
      <c r="A252" s="95"/>
      <c r="B252" s="96"/>
      <c r="C252" s="44"/>
    </row>
    <row r="253" spans="1:3" ht="12.6" customHeight="1">
      <c r="A253" s="95"/>
      <c r="B253" s="96"/>
      <c r="C253" s="44"/>
    </row>
    <row r="254" spans="1:3" ht="12.6" customHeight="1">
      <c r="A254" s="95"/>
      <c r="B254" s="96"/>
      <c r="C254" s="44"/>
    </row>
    <row r="255" spans="1:3" ht="12.6" customHeight="1">
      <c r="A255" s="95"/>
      <c r="B255" s="96"/>
      <c r="C255" s="44"/>
    </row>
    <row r="256" spans="1:3" ht="12.6" customHeight="1">
      <c r="A256" s="95"/>
      <c r="B256" s="96"/>
      <c r="C256" s="44"/>
    </row>
    <row r="257" spans="1:3" ht="12.6" customHeight="1">
      <c r="A257" s="95"/>
      <c r="B257" s="96"/>
      <c r="C257" s="44"/>
    </row>
    <row r="258" spans="1:3" ht="12.6" customHeight="1">
      <c r="A258" s="95"/>
      <c r="B258" s="96"/>
      <c r="C258" s="44"/>
    </row>
    <row r="259" spans="1:3" ht="12.6" customHeight="1">
      <c r="A259" s="95"/>
      <c r="B259" s="96"/>
      <c r="C259" s="44"/>
    </row>
    <row r="260" spans="1:3" ht="12.6" customHeight="1">
      <c r="A260" s="95"/>
      <c r="B260" s="96"/>
      <c r="C260" s="44"/>
    </row>
    <row r="261" spans="1:3" ht="12.6" customHeight="1">
      <c r="A261" s="95"/>
      <c r="B261" s="96"/>
      <c r="C261" s="44"/>
    </row>
    <row r="262" spans="1:3" ht="12.6" customHeight="1">
      <c r="A262" s="95"/>
      <c r="B262" s="96"/>
      <c r="C262" s="44"/>
    </row>
    <row r="263" spans="1:3" ht="12.6" customHeight="1">
      <c r="A263" s="95"/>
      <c r="B263" s="96"/>
      <c r="C263" s="44"/>
    </row>
    <row r="264" spans="1:3" ht="12.6" customHeight="1">
      <c r="A264" s="95"/>
      <c r="B264" s="96"/>
      <c r="C264" s="44"/>
    </row>
    <row r="265" spans="1:3" ht="12.6" customHeight="1">
      <c r="A265" s="95"/>
      <c r="B265" s="96"/>
      <c r="C265" s="44"/>
    </row>
    <row r="266" spans="1:3" ht="12.6" customHeight="1">
      <c r="A266" s="95"/>
      <c r="B266" s="96"/>
      <c r="C266" s="44"/>
    </row>
    <row r="267" spans="1:3" ht="12.6" customHeight="1">
      <c r="A267" s="95"/>
      <c r="B267" s="96"/>
      <c r="C267" s="44"/>
    </row>
    <row r="268" spans="1:3" ht="12.6" customHeight="1">
      <c r="A268" s="95"/>
      <c r="B268" s="96"/>
      <c r="C268" s="44"/>
    </row>
    <row r="269" spans="1:3" ht="12.6" customHeight="1">
      <c r="A269" s="95"/>
      <c r="B269" s="96"/>
      <c r="C269" s="44"/>
    </row>
    <row r="270" spans="1:3" ht="12.6" customHeight="1">
      <c r="A270" s="95"/>
      <c r="B270" s="96"/>
      <c r="C270" s="44"/>
    </row>
    <row r="271" spans="1:3" ht="12.6" customHeight="1">
      <c r="A271" s="95"/>
      <c r="B271" s="96"/>
      <c r="C271" s="44"/>
    </row>
    <row r="272" spans="1:3" ht="12.6" customHeight="1">
      <c r="A272" s="95"/>
      <c r="B272" s="96"/>
      <c r="C272" s="44"/>
    </row>
    <row r="273" spans="1:3" ht="12.6" customHeight="1">
      <c r="A273" s="95"/>
      <c r="B273" s="96"/>
      <c r="C273" s="44"/>
    </row>
    <row r="274" spans="1:3" ht="12.6" customHeight="1">
      <c r="A274" s="95"/>
      <c r="B274" s="96"/>
      <c r="C274" s="44"/>
    </row>
    <row r="275" spans="1:3" ht="12.6" customHeight="1">
      <c r="A275" s="95"/>
      <c r="B275" s="96"/>
      <c r="C275" s="44"/>
    </row>
    <row r="276" spans="1:3" ht="12.6" customHeight="1">
      <c r="A276" s="95"/>
      <c r="B276" s="96"/>
      <c r="C276" s="44"/>
    </row>
    <row r="277" spans="1:3" ht="12.6" customHeight="1">
      <c r="A277" s="95"/>
      <c r="B277" s="96"/>
      <c r="C277" s="44"/>
    </row>
    <row r="278" spans="1:3" ht="12.6" customHeight="1">
      <c r="A278" s="95"/>
      <c r="B278" s="96"/>
      <c r="C278" s="44"/>
    </row>
    <row r="279" spans="1:3" ht="12.6" customHeight="1">
      <c r="A279" s="95"/>
      <c r="B279" s="96"/>
      <c r="C279" s="44"/>
    </row>
    <row r="280" spans="1:3" ht="12.6" customHeight="1">
      <c r="A280" s="95"/>
      <c r="B280" s="96"/>
      <c r="C280" s="44"/>
    </row>
    <row r="281" spans="1:3" ht="12.6" customHeight="1">
      <c r="A281" s="95"/>
      <c r="B281" s="96"/>
      <c r="C281" s="44"/>
    </row>
    <row r="282" spans="1:3" ht="12.6" customHeight="1">
      <c r="A282" s="95"/>
      <c r="B282" s="96"/>
      <c r="C282" s="44"/>
    </row>
    <row r="283" spans="1:3" ht="12.6" customHeight="1">
      <c r="A283" s="95"/>
      <c r="B283" s="96"/>
      <c r="C283" s="44"/>
    </row>
    <row r="284" spans="1:3" ht="12.6" customHeight="1">
      <c r="A284" s="95"/>
      <c r="B284" s="96"/>
      <c r="C284" s="44"/>
    </row>
    <row r="285" spans="1:3" ht="12.6" customHeight="1">
      <c r="A285" s="95"/>
      <c r="B285" s="96"/>
      <c r="C285" s="44"/>
    </row>
    <row r="286" spans="1:3" ht="12.6" customHeight="1">
      <c r="A286" s="95"/>
      <c r="B286" s="96"/>
      <c r="C286" s="44"/>
    </row>
    <row r="287" spans="1:3" ht="12.6" customHeight="1">
      <c r="A287" s="95"/>
      <c r="B287" s="96"/>
      <c r="C287" s="44"/>
    </row>
    <row r="288" spans="1:3" ht="12.6" customHeight="1">
      <c r="A288" s="95"/>
      <c r="B288" s="96"/>
      <c r="C288" s="44"/>
    </row>
    <row r="289" spans="1:3" ht="12.6" customHeight="1">
      <c r="A289" s="95"/>
      <c r="B289" s="96"/>
      <c r="C289" s="44"/>
    </row>
    <row r="290" spans="1:3" ht="12.6" customHeight="1">
      <c r="A290" s="95"/>
      <c r="B290" s="96"/>
      <c r="C290" s="44"/>
    </row>
    <row r="291" spans="1:3" ht="12.6" customHeight="1">
      <c r="A291" s="95"/>
      <c r="B291" s="96"/>
      <c r="C291" s="44"/>
    </row>
    <row r="292" spans="1:3" ht="12.6" customHeight="1">
      <c r="A292" s="95"/>
      <c r="B292" s="96"/>
      <c r="C292" s="44"/>
    </row>
    <row r="293" spans="1:3" ht="12.6" customHeight="1">
      <c r="A293" s="95"/>
      <c r="B293" s="96"/>
      <c r="C293" s="44"/>
    </row>
    <row r="294" spans="1:3" ht="12.6" customHeight="1">
      <c r="A294" s="95"/>
      <c r="B294" s="96"/>
      <c r="C294" s="44"/>
    </row>
    <row r="295" spans="1:3" ht="12.6" customHeight="1">
      <c r="A295" s="95"/>
      <c r="B295" s="96"/>
      <c r="C295" s="44"/>
    </row>
    <row r="296" spans="1:3" ht="12.6" customHeight="1">
      <c r="A296" s="95"/>
      <c r="B296" s="96"/>
      <c r="C296" s="44"/>
    </row>
    <row r="297" spans="1:3" ht="12.6" customHeight="1">
      <c r="A297" s="95"/>
      <c r="B297" s="96"/>
      <c r="C297" s="44"/>
    </row>
    <row r="298" spans="1:3" ht="12.6" customHeight="1">
      <c r="A298" s="95"/>
      <c r="B298" s="96"/>
      <c r="C298" s="44"/>
    </row>
    <row r="299" spans="1:3" ht="12.6" customHeight="1">
      <c r="A299" s="95"/>
      <c r="B299" s="96"/>
      <c r="C299" s="44"/>
    </row>
    <row r="300" spans="1:3" ht="12.6" customHeight="1">
      <c r="A300" s="95"/>
      <c r="B300" s="96"/>
      <c r="C300" s="44"/>
    </row>
    <row r="301" spans="1:3" ht="12.6" customHeight="1">
      <c r="A301" s="95"/>
      <c r="B301" s="96"/>
      <c r="C301" s="44"/>
    </row>
    <row r="302" spans="1:3" ht="12.6" customHeight="1">
      <c r="A302" s="95"/>
      <c r="B302" s="96"/>
      <c r="C302" s="44"/>
    </row>
    <row r="303" spans="1:3" ht="12.6" customHeight="1">
      <c r="A303" s="95"/>
      <c r="B303" s="96"/>
      <c r="C303" s="44"/>
    </row>
    <row r="304" spans="1:3" ht="12.6" customHeight="1">
      <c r="A304" s="95"/>
      <c r="B304" s="96"/>
      <c r="C304" s="44"/>
    </row>
    <row r="305" spans="1:3" ht="12.6" customHeight="1">
      <c r="A305" s="95"/>
      <c r="B305" s="96"/>
      <c r="C305" s="44"/>
    </row>
    <row r="306" spans="1:3" ht="12.6" customHeight="1">
      <c r="A306" s="95"/>
      <c r="B306" s="96"/>
      <c r="C306" s="44"/>
    </row>
    <row r="307" spans="1:3" ht="12.6" customHeight="1">
      <c r="A307" s="95"/>
      <c r="B307" s="96"/>
      <c r="C307" s="44"/>
    </row>
    <row r="308" spans="1:3" ht="12.6" customHeight="1">
      <c r="A308" s="95"/>
      <c r="B308" s="96"/>
      <c r="C308" s="44"/>
    </row>
    <row r="309" spans="1:3" ht="12.6" customHeight="1">
      <c r="A309" s="95"/>
      <c r="B309" s="96"/>
      <c r="C309" s="44"/>
    </row>
    <row r="310" spans="1:3" ht="12.6" customHeight="1">
      <c r="A310" s="95"/>
      <c r="B310" s="96"/>
      <c r="C310" s="44"/>
    </row>
    <row r="311" spans="1:3" ht="12.6" customHeight="1">
      <c r="A311" s="95"/>
      <c r="B311" s="96"/>
      <c r="C311" s="44"/>
    </row>
    <row r="312" spans="1:3" ht="12.6" customHeight="1">
      <c r="A312" s="95"/>
      <c r="B312" s="96"/>
      <c r="C312" s="44"/>
    </row>
    <row r="313" spans="1:3" ht="12.6" customHeight="1">
      <c r="A313" s="95"/>
      <c r="B313" s="96"/>
      <c r="C313" s="44"/>
    </row>
    <row r="314" spans="1:3" ht="12.6" customHeight="1">
      <c r="A314" s="95"/>
      <c r="B314" s="96"/>
      <c r="C314" s="44"/>
    </row>
    <row r="315" spans="1:3" ht="12.6" customHeight="1">
      <c r="A315" s="95"/>
      <c r="B315" s="96"/>
      <c r="C315" s="44"/>
    </row>
    <row r="316" spans="1:3" ht="12.6" customHeight="1">
      <c r="A316" s="95"/>
      <c r="B316" s="96"/>
      <c r="C316" s="44"/>
    </row>
    <row r="317" spans="1:3" ht="12.6" customHeight="1">
      <c r="A317" s="95"/>
      <c r="B317" s="96"/>
      <c r="C317" s="44"/>
    </row>
    <row r="318" spans="1:3" ht="12.6" customHeight="1">
      <c r="A318" s="95"/>
      <c r="B318" s="96"/>
      <c r="C318" s="44"/>
    </row>
    <row r="319" spans="1:3" ht="12.6" customHeight="1">
      <c r="A319" s="95"/>
      <c r="B319" s="96"/>
      <c r="C319" s="44"/>
    </row>
    <row r="320" spans="1:3" ht="12.6" customHeight="1">
      <c r="A320" s="95"/>
      <c r="B320" s="96"/>
      <c r="C320" s="44"/>
    </row>
    <row r="321" spans="1:3" ht="12.6" customHeight="1">
      <c r="A321" s="95"/>
      <c r="B321" s="96"/>
      <c r="C321" s="44"/>
    </row>
    <row r="322" spans="1:3" ht="12.6" customHeight="1">
      <c r="A322" s="95"/>
      <c r="B322" s="96"/>
      <c r="C322" s="44"/>
    </row>
    <row r="323" spans="1:3" ht="12.6" customHeight="1">
      <c r="A323" s="95"/>
      <c r="B323" s="96"/>
      <c r="C323" s="44"/>
    </row>
    <row r="324" spans="1:3" ht="12.6" customHeight="1">
      <c r="A324" s="95"/>
      <c r="B324" s="96"/>
      <c r="C324" s="44"/>
    </row>
    <row r="325" spans="1:3" ht="12.6" customHeight="1">
      <c r="A325" s="95"/>
      <c r="B325" s="96"/>
      <c r="C325" s="44"/>
    </row>
    <row r="326" spans="1:3" ht="12.6" customHeight="1">
      <c r="A326" s="95"/>
      <c r="B326" s="96"/>
      <c r="C326" s="44"/>
    </row>
    <row r="327" spans="1:3" ht="12.6" customHeight="1">
      <c r="A327" s="95"/>
      <c r="B327" s="96"/>
      <c r="C327" s="44"/>
    </row>
    <row r="328" spans="1:3" ht="12.6" customHeight="1">
      <c r="A328" s="95"/>
      <c r="B328" s="96"/>
      <c r="C328" s="44"/>
    </row>
    <row r="329" spans="1:3" ht="12.6" customHeight="1">
      <c r="A329" s="95"/>
      <c r="B329" s="96"/>
      <c r="C329" s="44"/>
    </row>
    <row r="330" spans="1:3" ht="12.6" customHeight="1">
      <c r="A330" s="95"/>
      <c r="B330" s="96"/>
      <c r="C330" s="44"/>
    </row>
    <row r="331" spans="1:3" ht="12.6" customHeight="1">
      <c r="A331" s="95"/>
      <c r="B331" s="96"/>
      <c r="C331" s="44"/>
    </row>
    <row r="332" spans="1:3" ht="12.6" customHeight="1">
      <c r="A332" s="95"/>
      <c r="B332" s="96"/>
      <c r="C332" s="44"/>
    </row>
    <row r="333" spans="1:3" ht="12.6" customHeight="1">
      <c r="A333" s="95"/>
      <c r="B333" s="96"/>
      <c r="C333" s="44"/>
    </row>
    <row r="334" spans="1:3" ht="12.6" customHeight="1">
      <c r="A334" s="95"/>
      <c r="B334" s="96"/>
      <c r="C334" s="44"/>
    </row>
    <row r="335" spans="1:3" ht="12.6" customHeight="1">
      <c r="A335" s="95"/>
      <c r="B335" s="96"/>
      <c r="C335" s="44"/>
    </row>
    <row r="336" spans="1:3" ht="12.6" customHeight="1">
      <c r="A336" s="95"/>
      <c r="B336" s="96"/>
      <c r="C336" s="44"/>
    </row>
    <row r="337" spans="1:3" ht="12.6" customHeight="1">
      <c r="A337" s="95"/>
      <c r="B337" s="96"/>
      <c r="C337" s="44"/>
    </row>
    <row r="338" spans="1:3" ht="12.6" customHeight="1">
      <c r="A338" s="95"/>
      <c r="B338" s="96"/>
      <c r="C338" s="44"/>
    </row>
    <row r="339" spans="1:3" ht="12.6" customHeight="1">
      <c r="A339" s="95"/>
      <c r="B339" s="96"/>
      <c r="C339" s="44"/>
    </row>
    <row r="340" spans="1:3" ht="12.6" customHeight="1">
      <c r="A340" s="95"/>
      <c r="B340" s="96"/>
      <c r="C340" s="44"/>
    </row>
    <row r="341" spans="1:3" ht="12.6" customHeight="1">
      <c r="A341" s="95"/>
      <c r="B341" s="96"/>
      <c r="C341" s="44"/>
    </row>
    <row r="342" spans="1:3" ht="12.6" customHeight="1">
      <c r="A342" s="95"/>
      <c r="B342" s="96"/>
      <c r="C342" s="44"/>
    </row>
    <row r="343" spans="1:3" ht="12.6" customHeight="1">
      <c r="A343" s="95"/>
      <c r="B343" s="96"/>
      <c r="C343" s="44"/>
    </row>
    <row r="344" spans="1:3" ht="12.6" customHeight="1">
      <c r="A344" s="95"/>
      <c r="B344" s="96"/>
      <c r="C344" s="44"/>
    </row>
    <row r="345" spans="1:3" ht="12.6" customHeight="1">
      <c r="A345" s="95"/>
      <c r="B345" s="96"/>
      <c r="C345" s="44"/>
    </row>
    <row r="346" spans="1:3" ht="12.6" customHeight="1">
      <c r="A346" s="95"/>
      <c r="B346" s="96"/>
      <c r="C346" s="44"/>
    </row>
    <row r="347" spans="1:3" ht="12.6" customHeight="1">
      <c r="A347" s="95"/>
      <c r="B347" s="96"/>
      <c r="C347" s="44"/>
    </row>
    <row r="348" spans="1:3" ht="12.6" customHeight="1">
      <c r="A348" s="95"/>
      <c r="B348" s="96"/>
      <c r="C348" s="44"/>
    </row>
    <row r="349" spans="1:3" ht="12.6" customHeight="1">
      <c r="A349" s="95"/>
      <c r="B349" s="96"/>
      <c r="C349" s="44"/>
    </row>
    <row r="350" spans="1:3" ht="12.6" customHeight="1">
      <c r="A350" s="95"/>
      <c r="B350" s="96"/>
      <c r="C350" s="44"/>
    </row>
    <row r="351" spans="1:3" ht="12.6" customHeight="1">
      <c r="A351" s="95"/>
      <c r="B351" s="96"/>
      <c r="C351" s="44"/>
    </row>
    <row r="352" spans="1:3" ht="12.6" customHeight="1">
      <c r="A352" s="95"/>
      <c r="B352" s="96"/>
      <c r="C352" s="44"/>
    </row>
    <row r="353" spans="1:3" ht="12.6" customHeight="1">
      <c r="A353" s="95"/>
      <c r="B353" s="96"/>
      <c r="C353" s="44"/>
    </row>
    <row r="354" spans="1:3" ht="12.6" customHeight="1">
      <c r="A354" s="95"/>
      <c r="B354" s="96"/>
      <c r="C354" s="44"/>
    </row>
    <row r="355" spans="1:3" ht="12.6" customHeight="1">
      <c r="A355" s="95"/>
      <c r="B355" s="96"/>
      <c r="C355" s="44"/>
    </row>
    <row r="356" spans="1:3" ht="12.6" customHeight="1">
      <c r="A356" s="95"/>
      <c r="B356" s="96"/>
      <c r="C356" s="44"/>
    </row>
    <row r="357" spans="1:3" ht="12.6" customHeight="1">
      <c r="A357" s="95"/>
      <c r="B357" s="96"/>
      <c r="C357" s="44"/>
    </row>
    <row r="358" spans="1:3" ht="12.6" customHeight="1">
      <c r="A358" s="95"/>
      <c r="B358" s="96"/>
      <c r="C358" s="44"/>
    </row>
    <row r="359" spans="1:3" ht="12.6" customHeight="1">
      <c r="A359" s="95"/>
      <c r="B359" s="96"/>
      <c r="C359" s="44"/>
    </row>
    <row r="360" spans="1:3" ht="12.6" customHeight="1">
      <c r="A360" s="95"/>
      <c r="B360" s="96"/>
      <c r="C360" s="44"/>
    </row>
    <row r="361" spans="1:3" ht="12.6" customHeight="1">
      <c r="A361" s="95"/>
      <c r="B361" s="96"/>
      <c r="C361" s="44"/>
    </row>
    <row r="362" spans="1:3" ht="12.6" customHeight="1">
      <c r="A362" s="95"/>
      <c r="B362" s="96"/>
      <c r="C362" s="44"/>
    </row>
    <row r="363" spans="1:3" ht="12.6" customHeight="1">
      <c r="A363" s="95"/>
      <c r="B363" s="96"/>
      <c r="C363" s="44"/>
    </row>
    <row r="364" spans="1:3" ht="12.6" customHeight="1">
      <c r="A364" s="95"/>
      <c r="B364" s="96"/>
      <c r="C364" s="44"/>
    </row>
    <row r="365" spans="1:3" ht="12.6" customHeight="1">
      <c r="A365" s="95"/>
      <c r="B365" s="96"/>
      <c r="C365" s="44"/>
    </row>
    <row r="366" spans="1:3" ht="12.6" customHeight="1">
      <c r="A366" s="95"/>
      <c r="B366" s="96"/>
      <c r="C366" s="44"/>
    </row>
    <row r="367" spans="1:3" ht="12.6" customHeight="1">
      <c r="A367" s="95"/>
      <c r="B367" s="96"/>
      <c r="C367" s="44"/>
    </row>
    <row r="368" spans="1:3" ht="12.6" customHeight="1">
      <c r="A368" s="95"/>
      <c r="B368" s="96"/>
      <c r="C368" s="44"/>
    </row>
    <row r="369" spans="1:3" ht="12.6" customHeight="1">
      <c r="A369" s="95"/>
      <c r="B369" s="96"/>
      <c r="C369" s="44"/>
    </row>
    <row r="370" spans="1:3" ht="12.6" customHeight="1">
      <c r="A370" s="95"/>
      <c r="B370" s="96"/>
      <c r="C370" s="44"/>
    </row>
    <row r="371" spans="1:3" ht="12.6" customHeight="1">
      <c r="A371" s="95"/>
      <c r="B371" s="96"/>
      <c r="C371" s="44"/>
    </row>
    <row r="372" spans="1:3" ht="12.6" customHeight="1">
      <c r="A372" s="95"/>
      <c r="B372" s="96"/>
      <c r="C372" s="44"/>
    </row>
    <row r="373" spans="1:3" ht="12.6" customHeight="1">
      <c r="A373" s="95"/>
      <c r="B373" s="96"/>
      <c r="C373" s="44"/>
    </row>
    <row r="374" spans="1:3" ht="12.6" customHeight="1">
      <c r="A374" s="95"/>
      <c r="B374" s="96"/>
      <c r="C374" s="44"/>
    </row>
    <row r="375" spans="1:3" ht="12.6" customHeight="1">
      <c r="A375" s="95"/>
      <c r="B375" s="96"/>
      <c r="C375" s="44"/>
    </row>
    <row r="376" spans="1:3" ht="12.6" customHeight="1">
      <c r="A376" s="95"/>
      <c r="B376" s="96"/>
      <c r="C376" s="44"/>
    </row>
    <row r="377" spans="1:3" ht="12.6" customHeight="1">
      <c r="A377" s="95"/>
      <c r="B377" s="96"/>
      <c r="C377" s="44"/>
    </row>
    <row r="378" spans="1:3" ht="12.6" customHeight="1">
      <c r="A378" s="95"/>
      <c r="B378" s="96"/>
      <c r="C378" s="44"/>
    </row>
    <row r="379" spans="1:3" ht="12.6" customHeight="1">
      <c r="A379" s="95"/>
      <c r="B379" s="96"/>
      <c r="C379" s="44"/>
    </row>
    <row r="380" spans="1:3" ht="12.6" customHeight="1">
      <c r="A380" s="95"/>
      <c r="B380" s="96"/>
      <c r="C380" s="44"/>
    </row>
    <row r="381" spans="1:3" ht="12.6" customHeight="1">
      <c r="A381" s="95"/>
      <c r="B381" s="96"/>
      <c r="C381" s="44"/>
    </row>
    <row r="382" spans="1:3" ht="12.6" customHeight="1">
      <c r="A382" s="95"/>
      <c r="B382" s="96"/>
      <c r="C382" s="44"/>
    </row>
    <row r="383" spans="1:3" ht="12.6" customHeight="1">
      <c r="A383" s="95"/>
      <c r="B383" s="96"/>
      <c r="C383" s="44"/>
    </row>
    <row r="384" spans="1:3" ht="12.6" customHeight="1">
      <c r="A384" s="95"/>
      <c r="B384" s="96"/>
      <c r="C384" s="44"/>
    </row>
    <row r="385" spans="1:3" ht="12.6" customHeight="1">
      <c r="A385" s="95"/>
      <c r="B385" s="96"/>
      <c r="C385" s="44"/>
    </row>
    <row r="386" spans="1:3" ht="12.6" customHeight="1">
      <c r="A386" s="95"/>
      <c r="B386" s="96"/>
      <c r="C386" s="44"/>
    </row>
    <row r="387" spans="1:3" ht="12.6" customHeight="1">
      <c r="A387" s="95"/>
      <c r="B387" s="96"/>
      <c r="C387" s="44"/>
    </row>
    <row r="388" spans="1:3" ht="12.6" customHeight="1">
      <c r="A388" s="95"/>
      <c r="B388" s="96"/>
      <c r="C388" s="44"/>
    </row>
    <row r="389" spans="1:3" ht="12.6" customHeight="1">
      <c r="A389" s="95"/>
      <c r="B389" s="96"/>
      <c r="C389" s="44"/>
    </row>
    <row r="390" spans="1:3" ht="12.6" customHeight="1">
      <c r="A390" s="95"/>
      <c r="B390" s="96"/>
      <c r="C390" s="44"/>
    </row>
    <row r="391" spans="1:3" ht="12.6" customHeight="1">
      <c r="A391" s="95"/>
      <c r="B391" s="96"/>
      <c r="C391" s="44"/>
    </row>
    <row r="392" spans="1:3" ht="12.6" customHeight="1">
      <c r="A392" s="95"/>
      <c r="B392" s="96"/>
      <c r="C392" s="44"/>
    </row>
    <row r="393" spans="1:3" ht="12.6" customHeight="1">
      <c r="A393" s="95"/>
      <c r="B393" s="96"/>
      <c r="C393" s="44"/>
    </row>
    <row r="394" spans="1:3" ht="12.6" customHeight="1">
      <c r="A394" s="95"/>
      <c r="B394" s="96"/>
      <c r="C394" s="44"/>
    </row>
    <row r="395" spans="1:3" ht="12.6" customHeight="1">
      <c r="A395" s="95"/>
      <c r="B395" s="96"/>
      <c r="C395" s="44"/>
    </row>
    <row r="396" spans="1:3" ht="12.6" customHeight="1">
      <c r="A396" s="95"/>
      <c r="B396" s="96"/>
      <c r="C396" s="44"/>
    </row>
    <row r="397" spans="1:3" ht="12.6" customHeight="1">
      <c r="A397" s="95"/>
      <c r="B397" s="96"/>
      <c r="C397" s="44"/>
    </row>
    <row r="398" spans="1:3" ht="12.6" customHeight="1">
      <c r="A398" s="95"/>
      <c r="B398" s="96"/>
      <c r="C398" s="44"/>
    </row>
    <row r="399" spans="1:3" ht="12.6" customHeight="1">
      <c r="A399" s="95"/>
      <c r="B399" s="96"/>
      <c r="C399" s="44"/>
    </row>
    <row r="400" spans="1:3" ht="12.6" customHeight="1">
      <c r="A400" s="95"/>
      <c r="B400" s="96"/>
      <c r="C400" s="44"/>
    </row>
    <row r="401" spans="1:3" ht="12.6" customHeight="1">
      <c r="A401" s="95"/>
      <c r="B401" s="96"/>
      <c r="C401" s="44"/>
    </row>
    <row r="402" spans="1:3" ht="12.6" customHeight="1">
      <c r="A402" s="95"/>
      <c r="B402" s="96"/>
      <c r="C402" s="44"/>
    </row>
    <row r="403" spans="1:3" ht="12.6" customHeight="1">
      <c r="A403" s="95"/>
      <c r="B403" s="96"/>
      <c r="C403" s="44"/>
    </row>
    <row r="404" spans="1:3" ht="12.6" customHeight="1">
      <c r="A404" s="95"/>
      <c r="B404" s="96"/>
      <c r="C404" s="44"/>
    </row>
    <row r="405" spans="1:3" ht="12.6" customHeight="1">
      <c r="A405" s="95"/>
      <c r="B405" s="96"/>
      <c r="C405" s="44"/>
    </row>
    <row r="406" spans="1:3" ht="12.6" customHeight="1">
      <c r="A406" s="95"/>
      <c r="B406" s="96"/>
      <c r="C406" s="44"/>
    </row>
    <row r="407" spans="1:3" ht="12.6" customHeight="1">
      <c r="A407" s="95"/>
      <c r="B407" s="96"/>
      <c r="C407" s="44"/>
    </row>
    <row r="408" spans="1:3" ht="12.6" customHeight="1">
      <c r="A408" s="95"/>
      <c r="B408" s="96"/>
      <c r="C408" s="44"/>
    </row>
    <row r="409" spans="1:3" ht="12.6" customHeight="1">
      <c r="A409" s="95"/>
      <c r="B409" s="96"/>
      <c r="C409" s="44"/>
    </row>
    <row r="410" spans="1:3" ht="12.6" customHeight="1">
      <c r="A410" s="95"/>
      <c r="B410" s="96"/>
      <c r="C410" s="44"/>
    </row>
    <row r="411" spans="1:3" ht="12.6" customHeight="1">
      <c r="A411" s="95"/>
      <c r="B411" s="96"/>
      <c r="C411" s="44"/>
    </row>
    <row r="412" spans="1:3" ht="12.6" customHeight="1">
      <c r="A412" s="95"/>
      <c r="B412" s="96"/>
      <c r="C412" s="44"/>
    </row>
    <row r="413" spans="1:3" ht="12.6" customHeight="1">
      <c r="A413" s="95"/>
      <c r="B413" s="96"/>
      <c r="C413" s="44"/>
    </row>
    <row r="414" spans="1:3" ht="12.6" customHeight="1">
      <c r="A414" s="95"/>
      <c r="B414" s="96"/>
      <c r="C414" s="44"/>
    </row>
    <row r="415" spans="1:3" ht="12.6" customHeight="1">
      <c r="A415" s="95"/>
      <c r="B415" s="96"/>
      <c r="C415" s="44"/>
    </row>
    <row r="416" spans="1:3" ht="12.6" customHeight="1">
      <c r="A416" s="95"/>
      <c r="B416" s="96"/>
      <c r="C416" s="44"/>
    </row>
    <row r="417" spans="1:3" ht="12.6" customHeight="1">
      <c r="A417" s="95"/>
      <c r="B417" s="96"/>
      <c r="C417" s="44"/>
    </row>
    <row r="418" spans="1:3" ht="12.6" customHeight="1">
      <c r="A418" s="95"/>
      <c r="B418" s="96"/>
      <c r="C418" s="44"/>
    </row>
    <row r="419" spans="1:3" ht="12.6" customHeight="1">
      <c r="A419" s="95"/>
      <c r="B419" s="96"/>
      <c r="C419" s="44"/>
    </row>
    <row r="420" spans="1:3" ht="12.6" customHeight="1">
      <c r="A420" s="95"/>
      <c r="B420" s="96"/>
      <c r="C420" s="44"/>
    </row>
    <row r="421" spans="1:3" ht="12.6" customHeight="1">
      <c r="A421" s="95"/>
      <c r="B421" s="96"/>
      <c r="C421" s="44"/>
    </row>
    <row r="422" spans="1:3" ht="12.6" customHeight="1">
      <c r="A422" s="95"/>
      <c r="B422" s="96"/>
      <c r="C422" s="44"/>
    </row>
    <row r="423" spans="1:3" ht="12.6" customHeight="1">
      <c r="A423" s="95"/>
      <c r="B423" s="96"/>
      <c r="C423" s="44"/>
    </row>
    <row r="424" spans="1:3" ht="12.6" customHeight="1">
      <c r="A424" s="95"/>
      <c r="B424" s="96"/>
      <c r="C424" s="44"/>
    </row>
    <row r="425" spans="1:3" ht="12.6" customHeight="1">
      <c r="A425" s="95"/>
      <c r="B425" s="96"/>
      <c r="C425" s="44"/>
    </row>
    <row r="426" spans="1:3" ht="12.6" customHeight="1">
      <c r="A426" s="95"/>
      <c r="B426" s="96"/>
      <c r="C426" s="44"/>
    </row>
    <row r="427" spans="1:3" ht="12.6" customHeight="1">
      <c r="A427" s="95"/>
      <c r="B427" s="96"/>
      <c r="C427" s="44"/>
    </row>
    <row r="428" spans="1:3" ht="12.6" customHeight="1">
      <c r="A428" s="95"/>
      <c r="B428" s="96"/>
      <c r="C428" s="44"/>
    </row>
    <row r="429" spans="1:3" ht="12.6" customHeight="1">
      <c r="A429" s="95"/>
      <c r="B429" s="96"/>
      <c r="C429" s="44"/>
    </row>
    <row r="430" spans="1:3" ht="12.6" customHeight="1">
      <c r="A430" s="95"/>
      <c r="B430" s="96"/>
      <c r="C430" s="44"/>
    </row>
    <row r="431" spans="1:3" ht="12.6" customHeight="1">
      <c r="A431" s="95"/>
      <c r="B431" s="96"/>
      <c r="C431" s="44"/>
    </row>
    <row r="432" spans="1:3" ht="12.6" customHeight="1">
      <c r="A432" s="95"/>
      <c r="B432" s="96"/>
      <c r="C432" s="44"/>
    </row>
    <row r="433" spans="1:3" ht="12.6" customHeight="1">
      <c r="A433" s="95"/>
      <c r="B433" s="96"/>
      <c r="C433" s="44"/>
    </row>
    <row r="434" spans="1:3" ht="12.6" customHeight="1">
      <c r="A434" s="95"/>
      <c r="B434" s="96"/>
      <c r="C434" s="44"/>
    </row>
    <row r="435" spans="1:3" ht="12.6" customHeight="1">
      <c r="A435" s="95"/>
      <c r="B435" s="96"/>
      <c r="C435" s="44"/>
    </row>
    <row r="436" spans="1:3" ht="12.6" customHeight="1">
      <c r="A436" s="95"/>
      <c r="B436" s="96"/>
      <c r="C436" s="44"/>
    </row>
    <row r="437" spans="1:3" ht="12.6" customHeight="1">
      <c r="A437" s="95"/>
      <c r="B437" s="96"/>
      <c r="C437" s="44"/>
    </row>
    <row r="438" spans="1:3" ht="12.6" customHeight="1">
      <c r="A438" s="95"/>
      <c r="B438" s="96"/>
      <c r="C438" s="44"/>
    </row>
    <row r="439" spans="1:3" ht="12.6" customHeight="1">
      <c r="A439" s="95"/>
      <c r="B439" s="96"/>
      <c r="C439" s="44"/>
    </row>
    <row r="440" spans="1:3" ht="12.6" customHeight="1">
      <c r="A440" s="95"/>
      <c r="B440" s="96"/>
      <c r="C440" s="44"/>
    </row>
    <row r="441" spans="1:3" ht="12.6" customHeight="1">
      <c r="A441" s="95"/>
      <c r="B441" s="96"/>
      <c r="C441" s="44"/>
    </row>
    <row r="442" spans="1:3" ht="12.6" customHeight="1">
      <c r="A442" s="95"/>
      <c r="B442" s="96"/>
      <c r="C442" s="44"/>
    </row>
    <row r="443" spans="1:3" ht="12.6" customHeight="1">
      <c r="A443" s="95"/>
      <c r="B443" s="96"/>
      <c r="C443" s="44"/>
    </row>
    <row r="444" spans="1:3" ht="12.6" customHeight="1">
      <c r="A444" s="95"/>
      <c r="B444" s="96"/>
      <c r="C444" s="44"/>
    </row>
    <row r="445" spans="1:3" ht="12.6" customHeight="1">
      <c r="A445" s="95"/>
      <c r="B445" s="96"/>
      <c r="C445" s="44"/>
    </row>
    <row r="446" spans="1:3" ht="12.6" customHeight="1">
      <c r="A446" s="95"/>
      <c r="B446" s="96"/>
      <c r="C446" s="44"/>
    </row>
    <row r="447" spans="1:3" ht="12.6" customHeight="1">
      <c r="A447" s="95"/>
      <c r="B447" s="96"/>
      <c r="C447" s="44"/>
    </row>
    <row r="448" spans="1:3" ht="12.6" customHeight="1">
      <c r="A448" s="95"/>
      <c r="B448" s="96"/>
      <c r="C448" s="44"/>
    </row>
    <row r="449" spans="1:3" ht="12.6" customHeight="1">
      <c r="A449" s="95"/>
      <c r="B449" s="96"/>
      <c r="C449" s="44"/>
    </row>
    <row r="450" spans="1:3" ht="12.6" customHeight="1">
      <c r="A450" s="95"/>
      <c r="B450" s="96"/>
      <c r="C450" s="44"/>
    </row>
    <row r="451" spans="1:3" ht="12.6" customHeight="1">
      <c r="A451" s="95"/>
      <c r="B451" s="96"/>
      <c r="C451" s="44"/>
    </row>
    <row r="452" spans="1:3" ht="12.6" customHeight="1">
      <c r="A452" s="95"/>
      <c r="B452" s="96"/>
      <c r="C452" s="44"/>
    </row>
    <row r="453" spans="1:3" ht="12.6" customHeight="1">
      <c r="A453" s="95"/>
      <c r="B453" s="96"/>
      <c r="C453" s="44"/>
    </row>
    <row r="454" spans="1:3" ht="12.6" customHeight="1">
      <c r="A454" s="95"/>
      <c r="B454" s="96"/>
      <c r="C454" s="44"/>
    </row>
    <row r="455" spans="1:3" ht="12.6" customHeight="1">
      <c r="A455" s="95"/>
      <c r="B455" s="96"/>
      <c r="C455" s="44"/>
    </row>
    <row r="456" spans="1:3" ht="12.6" customHeight="1">
      <c r="A456" s="95"/>
      <c r="B456" s="96"/>
      <c r="C456" s="44"/>
    </row>
    <row r="457" spans="1:3" ht="12.6" customHeight="1">
      <c r="A457" s="95"/>
      <c r="B457" s="96"/>
      <c r="C457" s="44"/>
    </row>
    <row r="458" spans="1:3" ht="12.6" customHeight="1">
      <c r="A458" s="95"/>
      <c r="B458" s="96"/>
      <c r="C458" s="44"/>
    </row>
    <row r="459" spans="1:3" ht="12.6" customHeight="1">
      <c r="A459" s="95"/>
      <c r="B459" s="96"/>
      <c r="C459" s="44"/>
    </row>
    <row r="460" spans="1:3" ht="12.6" customHeight="1">
      <c r="A460" s="95"/>
      <c r="B460" s="96"/>
      <c r="C460" s="44"/>
    </row>
    <row r="461" spans="1:3" ht="12.6" customHeight="1">
      <c r="A461" s="95"/>
      <c r="B461" s="96"/>
      <c r="C461" s="44"/>
    </row>
    <row r="462" spans="1:3" ht="12.6" customHeight="1">
      <c r="A462" s="95"/>
      <c r="B462" s="96"/>
      <c r="C462" s="44"/>
    </row>
    <row r="463" spans="1:3" ht="12.6" customHeight="1">
      <c r="A463" s="95"/>
      <c r="B463" s="96"/>
      <c r="C463" s="44"/>
    </row>
    <row r="464" spans="1:3" ht="12.6" customHeight="1">
      <c r="A464" s="95"/>
      <c r="B464" s="96"/>
      <c r="C464" s="44"/>
    </row>
    <row r="465" spans="1:3" ht="12.6" customHeight="1">
      <c r="A465" s="95"/>
      <c r="B465" s="96"/>
      <c r="C465" s="44"/>
    </row>
    <row r="466" spans="1:3" ht="12.6" customHeight="1">
      <c r="A466" s="95"/>
      <c r="B466" s="96"/>
      <c r="C466" s="44"/>
    </row>
    <row r="467" spans="1:3" ht="12.6" customHeight="1">
      <c r="A467" s="95"/>
      <c r="B467" s="96"/>
      <c r="C467" s="44"/>
    </row>
    <row r="468" spans="1:3" ht="12.6" customHeight="1">
      <c r="A468" s="95"/>
      <c r="B468" s="96"/>
      <c r="C468" s="44"/>
    </row>
    <row r="469" spans="1:3" ht="12.6" customHeight="1">
      <c r="A469" s="95"/>
      <c r="B469" s="96"/>
      <c r="C469" s="44"/>
    </row>
    <row r="470" spans="1:3" ht="12.6" customHeight="1">
      <c r="A470" s="95"/>
      <c r="B470" s="96"/>
      <c r="C470" s="44"/>
    </row>
    <row r="471" spans="1:3">
      <c r="A471" s="95"/>
      <c r="B471" s="96"/>
      <c r="C471" s="44"/>
    </row>
    <row r="472" spans="1:3">
      <c r="A472" s="95"/>
      <c r="B472" s="96"/>
      <c r="C472" s="44"/>
    </row>
    <row r="473" spans="1:3">
      <c r="A473" s="95"/>
      <c r="B473" s="96"/>
      <c r="C473" s="44"/>
    </row>
    <row r="474" spans="1:3">
      <c r="A474" s="95"/>
      <c r="B474" s="96"/>
      <c r="C474" s="44"/>
    </row>
    <row r="475" spans="1:3">
      <c r="A475" s="95"/>
      <c r="B475" s="96"/>
      <c r="C475" s="44"/>
    </row>
    <row r="476" spans="1:3">
      <c r="A476" s="95"/>
      <c r="B476" s="96"/>
      <c r="C476" s="44"/>
    </row>
    <row r="477" spans="1:3">
      <c r="A477" s="95"/>
      <c r="B477" s="96"/>
      <c r="C477" s="44"/>
    </row>
    <row r="478" spans="1:3">
      <c r="A478" s="95"/>
      <c r="B478" s="96"/>
      <c r="C478" s="44"/>
    </row>
    <row r="479" spans="1:3">
      <c r="A479" s="95"/>
      <c r="B479" s="96"/>
      <c r="C479" s="44"/>
    </row>
    <row r="480" spans="1:3">
      <c r="A480" s="95"/>
      <c r="B480" s="96"/>
      <c r="C480" s="44"/>
    </row>
    <row r="481" spans="1:3">
      <c r="A481" s="95"/>
      <c r="B481" s="96"/>
      <c r="C481" s="44"/>
    </row>
    <row r="482" spans="1:3">
      <c r="A482" s="95"/>
      <c r="B482" s="96"/>
      <c r="C482" s="44"/>
    </row>
    <row r="483" spans="1:3">
      <c r="A483" s="95"/>
      <c r="B483" s="96"/>
      <c r="C483" s="44"/>
    </row>
    <row r="484" spans="1:3">
      <c r="A484" s="95"/>
      <c r="B484" s="96"/>
      <c r="C484" s="44"/>
    </row>
    <row r="485" spans="1:3">
      <c r="A485" s="95"/>
      <c r="B485" s="96"/>
      <c r="C485" s="44"/>
    </row>
    <row r="486" spans="1:3">
      <c r="A486" s="95"/>
      <c r="B486" s="96"/>
      <c r="C486" s="44"/>
    </row>
    <row r="487" spans="1:3">
      <c r="A487" s="95"/>
      <c r="B487" s="96"/>
      <c r="C487" s="44"/>
    </row>
    <row r="488" spans="1:3">
      <c r="A488" s="95"/>
      <c r="B488" s="96"/>
      <c r="C488" s="44"/>
    </row>
    <row r="489" spans="1:3">
      <c r="A489" s="95"/>
      <c r="B489" s="96"/>
      <c r="C489" s="44"/>
    </row>
    <row r="490" spans="1:3">
      <c r="A490" s="95"/>
      <c r="B490" s="96"/>
      <c r="C490" s="44"/>
    </row>
    <row r="491" spans="1:3">
      <c r="A491" s="95"/>
      <c r="B491" s="96"/>
      <c r="C491" s="44"/>
    </row>
    <row r="492" spans="1:3">
      <c r="A492" s="95"/>
      <c r="B492" s="96"/>
      <c r="C492" s="44"/>
    </row>
    <row r="493" spans="1:3">
      <c r="A493" s="95"/>
      <c r="B493" s="96"/>
      <c r="C493" s="44"/>
    </row>
    <row r="494" spans="1:3">
      <c r="A494" s="95"/>
      <c r="B494" s="96"/>
      <c r="C494" s="44"/>
    </row>
    <row r="495" spans="1:3">
      <c r="A495" s="95"/>
      <c r="B495" s="96"/>
      <c r="C495" s="44"/>
    </row>
    <row r="496" spans="1:3">
      <c r="A496" s="95"/>
      <c r="B496" s="96"/>
      <c r="C496" s="97"/>
    </row>
  </sheetData>
  <sheetProtection formatCells="0" formatColumns="0" formatRows="0" insertColumns="0" insertRows="0" insertHyperlinks="0" deleteColumns="0" deleteRows="0" sort="0" autoFilter="0" pivotTables="0"/>
  <mergeCells count="2">
    <mergeCell ref="A3:C3"/>
    <mergeCell ref="B1:C1"/>
  </mergeCells>
  <pageMargins left="0.51180555555555496" right="0.51180555555555496" top="0.78749999999999998" bottom="0.78749999999999998" header="0.51180555555555496" footer="0.51180555555555496"/>
  <pageSetup paperSize="9" firstPageNumber="0" orientation="portrait" horizontalDpi="300" verticalDpi="300"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8064A2"/>
  </sheetPr>
  <dimension ref="A1:S135"/>
  <sheetViews>
    <sheetView showGridLines="0" zoomScale="70" zoomScaleNormal="70" workbookViewId="0">
      <selection activeCell="B5" sqref="B5:F6"/>
    </sheetView>
  </sheetViews>
  <sheetFormatPr defaultRowHeight="12.75"/>
  <cols>
    <col min="1" max="1" width="1.85546875" style="98" customWidth="1" collapsed="1"/>
    <col min="2" max="2" width="11.42578125" style="98" customWidth="1" collapsed="1"/>
    <col min="3" max="3" width="11" style="99" customWidth="1" collapsed="1"/>
    <col min="4" max="5" width="7" style="98" customWidth="1" collapsed="1"/>
    <col min="6" max="6" width="6.5703125" style="98" customWidth="1" collapsed="1"/>
    <col min="7" max="7" width="16.140625" style="98" customWidth="1" collapsed="1"/>
    <col min="8" max="8" width="14.42578125" style="98" customWidth="1" collapsed="1"/>
    <col min="9" max="9" width="1.140625" style="98" customWidth="1" collapsed="1"/>
    <col min="10" max="10" width="25.5703125" style="98" customWidth="1" collapsed="1"/>
    <col min="11" max="11" width="10.42578125" style="98" customWidth="1" collapsed="1"/>
    <col min="12" max="12" width="8.5703125" style="98" customWidth="1" collapsed="1"/>
    <col min="13" max="13" width="1.140625" style="98" customWidth="1" collapsed="1"/>
    <col min="14" max="14" width="22.85546875" style="98" customWidth="1" collapsed="1"/>
    <col min="15" max="15" width="7.5703125" style="98" customWidth="1" collapsed="1"/>
    <col min="16" max="16" width="8" style="98" customWidth="1" collapsed="1"/>
    <col min="17" max="17" width="12.5703125" style="98" customWidth="1" collapsed="1"/>
    <col min="18" max="18" width="12.140625" style="98" customWidth="1" collapsed="1"/>
    <col min="19" max="16384" width="9.140625" style="98"/>
  </cols>
  <sheetData>
    <row r="1" spans="2:18" ht="69.75" customHeight="1">
      <c r="B1" s="100" t="str">
        <f>Resumo!$A$1</f>
        <v>Template V.2.0</v>
      </c>
      <c r="D1" s="280" t="s">
        <v>97</v>
      </c>
      <c r="E1" s="280"/>
      <c r="F1" s="280"/>
      <c r="G1" s="280"/>
      <c r="H1" s="280"/>
      <c r="I1" s="280"/>
      <c r="J1" s="280"/>
      <c r="K1" s="280"/>
      <c r="L1" s="280"/>
      <c r="M1" s="280"/>
      <c r="N1" s="280"/>
      <c r="O1" s="280"/>
      <c r="P1" s="280"/>
      <c r="Q1" s="280"/>
      <c r="R1" s="280"/>
    </row>
    <row r="2" spans="2:18" ht="15.75">
      <c r="B2" s="281" t="s">
        <v>98</v>
      </c>
      <c r="C2" s="281"/>
      <c r="D2" s="281"/>
      <c r="E2" s="281"/>
      <c r="F2" s="281"/>
      <c r="G2" s="281"/>
      <c r="H2" s="281"/>
      <c r="I2" s="101"/>
      <c r="J2" s="282" t="str">
        <f>IF(G4="SISP v1.0","PRAZO SISP 1 ATÉ 99 PF","PRAZO SISP 2/2.1 ATÉ 99 PF")</f>
        <v>PRAZO SISP 2/2.1 ATÉ 99 PF</v>
      </c>
      <c r="K2" s="282"/>
      <c r="L2" s="282"/>
      <c r="M2" s="101"/>
      <c r="N2" s="282" t="s">
        <v>99</v>
      </c>
      <c r="O2" s="282"/>
      <c r="P2" s="282"/>
      <c r="Q2" s="282"/>
      <c r="R2" s="282"/>
    </row>
    <row r="3" spans="2:18" ht="15.75" customHeight="1">
      <c r="B3" s="273" t="s">
        <v>100</v>
      </c>
      <c r="C3" s="273"/>
      <c r="D3" s="273"/>
      <c r="E3" s="273"/>
      <c r="F3" s="273"/>
      <c r="G3" s="283" t="s">
        <v>101</v>
      </c>
      <c r="H3" s="283"/>
      <c r="I3" s="101"/>
      <c r="J3" s="284" t="s">
        <v>102</v>
      </c>
      <c r="K3" s="285" t="str">
        <f>IF(G3="Úteis", "Prazo em dias úteis","Prazo em dias corridos")</f>
        <v>Prazo em dias corridos</v>
      </c>
      <c r="L3" s="285"/>
      <c r="M3" s="101"/>
      <c r="N3" s="284" t="s">
        <v>103</v>
      </c>
      <c r="O3" s="284"/>
      <c r="P3" s="284"/>
      <c r="Q3" s="286" t="s">
        <v>104</v>
      </c>
      <c r="R3" s="286"/>
    </row>
    <row r="4" spans="2:18" ht="15.75" customHeight="1">
      <c r="B4" s="273" t="s">
        <v>105</v>
      </c>
      <c r="C4" s="273"/>
      <c r="D4" s="273"/>
      <c r="E4" s="273"/>
      <c r="F4" s="273"/>
      <c r="G4" s="283" t="s">
        <v>106</v>
      </c>
      <c r="H4" s="283"/>
      <c r="I4" s="101"/>
      <c r="J4" s="284"/>
      <c r="K4" s="285"/>
      <c r="L4" s="285"/>
      <c r="M4" s="101"/>
      <c r="N4" s="267" t="s">
        <v>107</v>
      </c>
      <c r="O4" s="267"/>
      <c r="P4" s="267"/>
      <c r="Q4" s="287"/>
      <c r="R4" s="287"/>
    </row>
    <row r="5" spans="2:18" ht="35.25" customHeight="1">
      <c r="B5" s="288" t="s">
        <v>108</v>
      </c>
      <c r="C5" s="288"/>
      <c r="D5" s="288"/>
      <c r="E5" s="288"/>
      <c r="F5" s="288"/>
      <c r="G5" s="289" t="s">
        <v>109</v>
      </c>
      <c r="H5" s="103" t="s">
        <v>110</v>
      </c>
      <c r="I5" s="101"/>
      <c r="J5" s="284"/>
      <c r="K5" s="104" t="s">
        <v>111</v>
      </c>
      <c r="L5" s="105" t="s">
        <v>112</v>
      </c>
      <c r="M5" s="101"/>
      <c r="N5" s="267" t="s">
        <v>113</v>
      </c>
      <c r="O5" s="267"/>
      <c r="P5" s="267"/>
      <c r="Q5" s="268" t="e">
        <f>IF(AND(Q4&lt;&gt;"",B17&lt;&gt;0),(Q4-G11)+1,B17)</f>
        <v>#VALUE!</v>
      </c>
      <c r="R5" s="268"/>
    </row>
    <row r="6" spans="2:18" ht="13.5" customHeight="1">
      <c r="B6" s="288"/>
      <c r="C6" s="288"/>
      <c r="D6" s="288"/>
      <c r="E6" s="288"/>
      <c r="F6" s="288"/>
      <c r="G6" s="289"/>
      <c r="H6" s="106">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01"/>
      <c r="J6" s="102" t="s">
        <v>114</v>
      </c>
      <c r="K6" s="6">
        <v>7</v>
      </c>
      <c r="L6" s="6">
        <v>7</v>
      </c>
      <c r="M6" s="101"/>
      <c r="N6" s="269" t="s">
        <v>115</v>
      </c>
      <c r="O6" s="269"/>
      <c r="P6" s="269"/>
      <c r="Q6" s="270" t="e">
        <f>IF(G8&lt;&gt;0,Q5/B17-1,"-")</f>
        <v>#VALUE!</v>
      </c>
      <c r="R6" s="270"/>
    </row>
    <row r="7" spans="2:18" ht="24" customHeight="1">
      <c r="B7" s="273" t="s">
        <v>116</v>
      </c>
      <c r="C7" s="273"/>
      <c r="D7" s="273"/>
      <c r="E7" s="273"/>
      <c r="F7" s="273"/>
      <c r="G7" s="274" t="s">
        <v>117</v>
      </c>
      <c r="H7" s="274"/>
      <c r="I7" s="101"/>
      <c r="J7" s="102" t="s">
        <v>118</v>
      </c>
      <c r="K7" s="6">
        <v>13</v>
      </c>
      <c r="L7" s="6">
        <v>13</v>
      </c>
      <c r="M7" s="101"/>
      <c r="N7" s="275"/>
      <c r="O7" s="275"/>
      <c r="P7" s="275"/>
      <c r="Q7" s="107" t="s">
        <v>119</v>
      </c>
      <c r="R7" s="108" t="s">
        <v>120</v>
      </c>
    </row>
    <row r="8" spans="2:18" ht="18.75">
      <c r="B8" s="276" t="s">
        <v>121</v>
      </c>
      <c r="C8" s="276"/>
      <c r="D8" s="276"/>
      <c r="E8" s="276"/>
      <c r="F8" s="276"/>
      <c r="G8" s="277">
        <v>200</v>
      </c>
      <c r="H8" s="277"/>
      <c r="I8" s="101"/>
      <c r="J8" s="102" t="s">
        <v>122</v>
      </c>
      <c r="K8" s="6">
        <v>20</v>
      </c>
      <c r="L8" s="6">
        <v>20</v>
      </c>
      <c r="M8" s="101"/>
      <c r="N8" s="278" t="s">
        <v>123</v>
      </c>
      <c r="O8" s="278"/>
      <c r="P8" s="278"/>
      <c r="Q8" s="109" t="e">
        <f>IF(Q5=B17,"-",GROWTH(R22:R24,Q22:Q24,Q6,1))</f>
        <v>#VALUE!</v>
      </c>
      <c r="R8" s="110" t="e">
        <f>IF(Q5=B17,"-",TREND(R22:R24,Q22:Q24,Q6,0))</f>
        <v>#VALUE!</v>
      </c>
    </row>
    <row r="9" spans="2:18" ht="15" customHeight="1">
      <c r="B9" s="279" t="s">
        <v>124</v>
      </c>
      <c r="C9" s="279"/>
      <c r="D9" s="263" t="s">
        <v>125</v>
      </c>
      <c r="E9" s="263" t="s">
        <v>126</v>
      </c>
      <c r="F9" s="264" t="s">
        <v>127</v>
      </c>
      <c r="G9" s="265" t="s">
        <v>128</v>
      </c>
      <c r="H9" s="265"/>
      <c r="I9" s="101"/>
      <c r="J9" s="102" t="s">
        <v>129</v>
      </c>
      <c r="K9" s="6">
        <v>26</v>
      </c>
      <c r="L9" s="6">
        <v>26</v>
      </c>
      <c r="M9" s="101"/>
      <c r="N9" s="271" t="s">
        <v>130</v>
      </c>
      <c r="O9" s="271"/>
      <c r="P9" s="271"/>
      <c r="Q9" s="111" t="e">
        <f>IF(Q5=B17,"-",Q8/100+1)</f>
        <v>#VALUE!</v>
      </c>
      <c r="R9" s="112" t="e">
        <f>IF(Q5=B17,"-",R8/100+1)</f>
        <v>#VALUE!</v>
      </c>
    </row>
    <row r="10" spans="2:18" ht="19.5" customHeight="1">
      <c r="B10" s="279"/>
      <c r="C10" s="279"/>
      <c r="D10" s="263"/>
      <c r="E10" s="263"/>
      <c r="F10" s="264"/>
      <c r="G10" s="113" t="s">
        <v>131</v>
      </c>
      <c r="H10" s="114" t="s">
        <v>132</v>
      </c>
      <c r="I10" s="101"/>
      <c r="J10" s="102" t="s">
        <v>133</v>
      </c>
      <c r="K10" s="6">
        <v>33</v>
      </c>
      <c r="L10" s="6">
        <v>33</v>
      </c>
      <c r="M10" s="101"/>
      <c r="N10" s="272" t="s">
        <v>134</v>
      </c>
      <c r="O10" s="272"/>
      <c r="P10" s="272"/>
      <c r="Q10" s="115" t="e">
        <f>IF(Q5=B17,"-",(Q8/100+1)*G8)</f>
        <v>#VALUE!</v>
      </c>
      <c r="R10" s="116" t="e">
        <f>IF(Q5=B17,"-",(R8/100+1)*G8)</f>
        <v>#VALUE!</v>
      </c>
    </row>
    <row r="11" spans="2:18" ht="15">
      <c r="B11" s="259" t="s">
        <v>19</v>
      </c>
      <c r="C11" s="259"/>
      <c r="D11" s="118">
        <v>0.25</v>
      </c>
      <c r="E11" s="119">
        <v>0.25</v>
      </c>
      <c r="F11" s="120" t="str">
        <f t="shared" ref="F11:F16" si="0">IF(ISERR($B$17*E11),"ERRO",$B$17*E11)</f>
        <v>ERRO</v>
      </c>
      <c r="G11" s="121">
        <v>42369</v>
      </c>
      <c r="H11" s="122" t="str">
        <f>IF(E11="",G11,(IF(G11="","-",IF(ISERR(IF(AND((G11&gt;=0),(G11&lt;=2958465)),G11+(F11-1),"-")),"-",IF(AND((G11&gt;=0),(G11&lt;=2958465)),G11+(F11-1),"-")))))</f>
        <v>-</v>
      </c>
      <c r="I11" s="101"/>
      <c r="J11" s="102" t="s">
        <v>135</v>
      </c>
      <c r="K11" s="6">
        <v>39</v>
      </c>
      <c r="L11" s="6">
        <v>39</v>
      </c>
      <c r="M11" s="101"/>
      <c r="N11" s="266" t="s">
        <v>136</v>
      </c>
      <c r="O11" s="266"/>
      <c r="P11" s="266"/>
      <c r="Q11" s="266"/>
      <c r="R11" s="266"/>
    </row>
    <row r="12" spans="2:18" ht="15">
      <c r="B12" s="259" t="s">
        <v>137</v>
      </c>
      <c r="C12" s="259"/>
      <c r="D12" s="123">
        <f>IF(G4="SISP v1.0",15%,10%)</f>
        <v>0.1</v>
      </c>
      <c r="E12" s="119">
        <v>0.1</v>
      </c>
      <c r="F12" s="120" t="str">
        <f t="shared" si="0"/>
        <v>ERRO</v>
      </c>
      <c r="G12" s="124" t="str">
        <f>IF(AND((H11&gt;=0),(H11&lt;=2958465)),H11,"-")</f>
        <v>-</v>
      </c>
      <c r="H12" s="122" t="str">
        <f>IF(G12="", "-",(IF(AND((G12&gt;=0),(G12&lt;=2958465)),G12+(F12),"-")))</f>
        <v>-</v>
      </c>
      <c r="I12" s="101"/>
      <c r="J12" s="102" t="s">
        <v>138</v>
      </c>
      <c r="K12" s="6">
        <v>46</v>
      </c>
      <c r="L12" s="6">
        <v>46</v>
      </c>
      <c r="M12" s="101"/>
      <c r="N12" s="125" t="s">
        <v>124</v>
      </c>
      <c r="O12" s="126" t="s">
        <v>126</v>
      </c>
      <c r="P12" s="126" t="s">
        <v>127</v>
      </c>
      <c r="Q12" s="127" t="s">
        <v>139</v>
      </c>
      <c r="R12" s="128" t="s">
        <v>140</v>
      </c>
    </row>
    <row r="13" spans="2:18" ht="15">
      <c r="B13" s="259" t="s">
        <v>23</v>
      </c>
      <c r="C13" s="259"/>
      <c r="D13" s="118">
        <v>0.4</v>
      </c>
      <c r="E13" s="119">
        <v>0.4</v>
      </c>
      <c r="F13" s="120" t="str">
        <f t="shared" si="0"/>
        <v>ERRO</v>
      </c>
      <c r="G13" s="124" t="str">
        <f>IF(AND((H12&gt;=0),(H12&lt;=2958465)),H12,"-")</f>
        <v>-</v>
      </c>
      <c r="H13" s="122" t="str">
        <f>IF(G13="", "-",(IF(AND((G13&gt;=0),(G13&lt;=2958465)),G13+(F13),"-")))</f>
        <v>-</v>
      </c>
      <c r="I13" s="101"/>
      <c r="J13" s="102" t="s">
        <v>141</v>
      </c>
      <c r="K13" s="6">
        <v>52</v>
      </c>
      <c r="L13" s="6">
        <v>52</v>
      </c>
      <c r="M13" s="101"/>
      <c r="N13" s="129" t="s">
        <v>19</v>
      </c>
      <c r="O13" s="130">
        <f t="shared" ref="O13:O18" si="1">E11</f>
        <v>0.25</v>
      </c>
      <c r="P13" s="131" t="e">
        <f>IF(Q5=B17,"-",IF(AND($G$8&lt;&gt;0,$G$11&lt;&gt;""),$Q$5*O13,"-"))</f>
        <v>#VALUE!</v>
      </c>
      <c r="Q13" s="132" t="e">
        <f>IF(Q5=B17,"-",IF(G11="","-",G11))</f>
        <v>#VALUE!</v>
      </c>
      <c r="R13" s="133" t="e">
        <f>IF(Q13&lt;&gt;"-",(IF(P13&gt;1,((Q13+P13)-1),(Q13+P13))),"-")</f>
        <v>#VALUE!</v>
      </c>
    </row>
    <row r="14" spans="2:18" ht="15">
      <c r="B14" s="259" t="s">
        <v>25</v>
      </c>
      <c r="C14" s="259"/>
      <c r="D14" s="123">
        <f>IF(G4="SISP v1.0",10%,15%)</f>
        <v>0.15</v>
      </c>
      <c r="E14" s="119">
        <v>0.15</v>
      </c>
      <c r="F14" s="120" t="str">
        <f t="shared" si="0"/>
        <v>ERRO</v>
      </c>
      <c r="G14" s="124" t="str">
        <f>IF(AND((H13&gt;=0),(H13&lt;=2958465)),H13,"-")</f>
        <v>-</v>
      </c>
      <c r="H14" s="122" t="str">
        <f>IF(G14="", "-",(IF(AND((G14&gt;=0),(G14&lt;=2958465)),G14+(F14),"-")))</f>
        <v>-</v>
      </c>
      <c r="I14" s="101"/>
      <c r="J14" s="102" t="s">
        <v>142</v>
      </c>
      <c r="K14" s="6">
        <v>59</v>
      </c>
      <c r="L14" s="6">
        <v>59</v>
      </c>
      <c r="M14" s="101"/>
      <c r="N14" s="117" t="s">
        <v>137</v>
      </c>
      <c r="O14" s="134">
        <f t="shared" si="1"/>
        <v>0.1</v>
      </c>
      <c r="P14" s="135" t="e">
        <f>IF(Q5=B17,"-",IF(AND($G$8&lt;&gt;0,$G$11&lt;&gt;""),$Q$5*O14,"-"))</f>
        <v>#VALUE!</v>
      </c>
      <c r="Q14" s="136" t="e">
        <f>R13</f>
        <v>#VALUE!</v>
      </c>
      <c r="R14" s="122" t="e">
        <f>IF(Q14&lt;&gt;"-",Q14+P14,"-")</f>
        <v>#VALUE!</v>
      </c>
    </row>
    <row r="15" spans="2:18" ht="16.5" customHeight="1">
      <c r="B15" s="259" t="s">
        <v>27</v>
      </c>
      <c r="C15" s="259"/>
      <c r="D15" s="118">
        <v>0.05</v>
      </c>
      <c r="E15" s="119">
        <v>0.05</v>
      </c>
      <c r="F15" s="120" t="str">
        <f t="shared" si="0"/>
        <v>ERRO</v>
      </c>
      <c r="G15" s="124" t="str">
        <f>IF(AND((H14&gt;=0),(H14&lt;=2958465)),H14,"-")</f>
        <v>-</v>
      </c>
      <c r="H15" s="122" t="str">
        <f>IF(G15="", "-",(IF(AND((G15&gt;=0),(G15&lt;=2958465)),G15+(F15),"-")))</f>
        <v>-</v>
      </c>
      <c r="I15" s="101"/>
      <c r="J15" s="102" t="s">
        <v>143</v>
      </c>
      <c r="K15" s="6">
        <v>65</v>
      </c>
      <c r="L15" s="6">
        <v>65</v>
      </c>
      <c r="M15" s="101"/>
      <c r="N15" s="117" t="s">
        <v>23</v>
      </c>
      <c r="O15" s="134">
        <f t="shared" si="1"/>
        <v>0.4</v>
      </c>
      <c r="P15" s="135" t="e">
        <f>IF(Q5=B17,"-",IF(AND($G$8&lt;&gt;0,$G$11&lt;&gt;""),$Q$5*O15,"-"))</f>
        <v>#VALUE!</v>
      </c>
      <c r="Q15" s="136" t="e">
        <f>R14</f>
        <v>#VALUE!</v>
      </c>
      <c r="R15" s="122" t="e">
        <f>IF(Q15&lt;&gt;"-",Q15+P15,"-")</f>
        <v>#VALUE!</v>
      </c>
    </row>
    <row r="16" spans="2:18" ht="15" customHeight="1">
      <c r="B16" s="259" t="s">
        <v>29</v>
      </c>
      <c r="C16" s="259"/>
      <c r="D16" s="118">
        <v>0.05</v>
      </c>
      <c r="E16" s="119">
        <v>0.05</v>
      </c>
      <c r="F16" s="120" t="str">
        <f t="shared" si="0"/>
        <v>ERRO</v>
      </c>
      <c r="G16" s="124" t="str">
        <f>IF(AND((H15&gt;=0),(H15&lt;=2958465)),H15,"-")</f>
        <v>-</v>
      </c>
      <c r="H16" s="122" t="str">
        <f>IF(G16="", "-",(IF(AND((G16&gt;=0),(G16&lt;=2958465)),G16+(F16),"-")))</f>
        <v>-</v>
      </c>
      <c r="I16" s="101"/>
      <c r="J16" s="260" t="s">
        <v>144</v>
      </c>
      <c r="K16" s="261" t="s">
        <v>145</v>
      </c>
      <c r="L16" s="261"/>
      <c r="M16" s="101"/>
      <c r="N16" s="117" t="s">
        <v>25</v>
      </c>
      <c r="O16" s="134">
        <f t="shared" si="1"/>
        <v>0.15</v>
      </c>
      <c r="P16" s="135" t="e">
        <f>IF(Q5=B17,"-",IF(AND($G$8&lt;&gt;0,$G$11&lt;&gt;""),$Q$5*O16,"-"))</f>
        <v>#VALUE!</v>
      </c>
      <c r="Q16" s="136" t="e">
        <f>R15</f>
        <v>#VALUE!</v>
      </c>
      <c r="R16" s="122" t="e">
        <f>IF(Q16&lt;&gt;"-",Q16+P16,"-")</f>
        <v>#VALUE!</v>
      </c>
    </row>
    <row r="17" spans="2:19" ht="15">
      <c r="B17" s="137" t="e">
        <f>#VALUE!</f>
        <v>#VALUE!</v>
      </c>
      <c r="C17" s="138" t="s">
        <v>146</v>
      </c>
      <c r="D17" s="139">
        <v>1</v>
      </c>
      <c r="E17" s="139">
        <f>SUM(E11:E16)</f>
        <v>1</v>
      </c>
      <c r="F17" s="262" t="e">
        <f>IF(B17&lt;&gt;"ERRO - Insira novamente o tamanho em PF do projeto",SUM(F11:F16)&amp;" dias","ERRO - Insira novamente PF")</f>
        <v>#VALUE!</v>
      </c>
      <c r="G17" s="262"/>
      <c r="H17" s="262"/>
      <c r="I17" s="101"/>
      <c r="J17" s="260"/>
      <c r="K17" s="261"/>
      <c r="L17" s="261"/>
      <c r="M17" s="101"/>
      <c r="N17" s="117" t="s">
        <v>27</v>
      </c>
      <c r="O17" s="134">
        <f t="shared" si="1"/>
        <v>0.05</v>
      </c>
      <c r="P17" s="135" t="e">
        <f>IF(Q5=B17,"-",IF(AND($G$8&lt;&gt;0,$G$11&lt;&gt;""),$Q$5*O17,"-"))</f>
        <v>#VALUE!</v>
      </c>
      <c r="Q17" s="136" t="e">
        <f>R16</f>
        <v>#VALUE!</v>
      </c>
      <c r="R17" s="122" t="e">
        <f>IF(Q17&lt;&gt;"-",Q17+P17,"-")</f>
        <v>#VALUE!</v>
      </c>
    </row>
    <row r="18" spans="2:19" ht="14.25" customHeight="1">
      <c r="B18" s="140"/>
      <c r="C18" s="140"/>
      <c r="D18" s="140"/>
      <c r="E18" s="140"/>
      <c r="F18" s="141"/>
      <c r="G18" s="140"/>
      <c r="H18" s="140"/>
      <c r="I18" s="140"/>
      <c r="J18" s="142"/>
      <c r="K18" s="142"/>
      <c r="L18" s="142"/>
      <c r="M18" s="142"/>
      <c r="N18" s="143" t="s">
        <v>29</v>
      </c>
      <c r="O18" s="144">
        <f t="shared" si="1"/>
        <v>0.05</v>
      </c>
      <c r="P18" s="145" t="e">
        <f>IF(Q5=B17,"-",IF(AND($G$8&lt;&gt;0,$G$11&lt;&gt;""),$Q$5*O18,"-"))</f>
        <v>#VALUE!</v>
      </c>
      <c r="Q18" s="146" t="e">
        <f>R17</f>
        <v>#VALUE!</v>
      </c>
      <c r="R18" s="147" t="e">
        <f>IF(Q18&lt;&gt;"-",Q18+P18,"-")</f>
        <v>#VALUE!</v>
      </c>
    </row>
    <row r="19" spans="2:19" ht="15">
      <c r="B19" s="142"/>
      <c r="C19" s="148"/>
      <c r="D19" s="142"/>
      <c r="E19" s="142"/>
      <c r="F19" s="142"/>
      <c r="G19" s="142"/>
      <c r="H19" s="142"/>
      <c r="I19" s="142"/>
      <c r="J19" s="142"/>
      <c r="K19" s="142"/>
      <c r="L19" s="142"/>
      <c r="M19" s="142"/>
      <c r="N19" s="142"/>
      <c r="O19" s="142"/>
      <c r="P19" s="142"/>
    </row>
    <row r="20" spans="2:19" ht="15">
      <c r="B20" s="142"/>
      <c r="C20" s="148"/>
      <c r="D20" s="142"/>
      <c r="E20" s="142"/>
      <c r="F20" s="142"/>
      <c r="G20" s="142"/>
      <c r="H20" s="142"/>
      <c r="I20" s="142"/>
      <c r="J20" s="142"/>
      <c r="K20" s="142"/>
      <c r="L20" s="142"/>
      <c r="M20" s="142"/>
      <c r="N20" s="142"/>
      <c r="O20" s="142"/>
      <c r="P20" s="142"/>
    </row>
    <row r="21" spans="2:19" ht="30">
      <c r="B21" s="142"/>
      <c r="C21" s="148"/>
      <c r="D21" s="142"/>
      <c r="E21" s="142"/>
      <c r="F21" s="142"/>
      <c r="G21" s="142"/>
      <c r="H21" s="142"/>
      <c r="I21" s="142"/>
      <c r="J21" s="142"/>
      <c r="K21" s="142"/>
      <c r="L21" s="142"/>
      <c r="M21" s="142"/>
      <c r="N21" s="142"/>
      <c r="O21" s="142"/>
      <c r="P21" s="142"/>
      <c r="Q21" s="149" t="s">
        <v>147</v>
      </c>
      <c r="R21" s="150" t="s">
        <v>148</v>
      </c>
      <c r="S21" s="151"/>
    </row>
    <row r="22" spans="2:19" ht="15">
      <c r="B22" s="142"/>
      <c r="C22" s="148"/>
      <c r="D22" s="142"/>
      <c r="E22" s="142"/>
      <c r="F22" s="142"/>
      <c r="G22" s="142"/>
      <c r="H22" s="142"/>
      <c r="I22" s="142"/>
      <c r="J22" s="142"/>
      <c r="K22" s="142"/>
      <c r="L22" s="142"/>
      <c r="M22" s="142"/>
      <c r="N22" s="142"/>
      <c r="O22" s="142"/>
      <c r="P22" s="142"/>
      <c r="Q22" s="152">
        <v>-0.1</v>
      </c>
      <c r="R22" s="153">
        <v>20</v>
      </c>
      <c r="S22" s="151"/>
    </row>
    <row r="23" spans="2:19" ht="15">
      <c r="Q23" s="152">
        <v>-0.2</v>
      </c>
      <c r="R23" s="153">
        <v>50</v>
      </c>
      <c r="S23" s="151"/>
    </row>
    <row r="24" spans="2:19" ht="15">
      <c r="Q24" s="154">
        <v>-0.25</v>
      </c>
      <c r="R24" s="155">
        <v>70</v>
      </c>
      <c r="S24" s="151"/>
    </row>
    <row r="25" spans="2:19">
      <c r="Q25" s="151"/>
      <c r="R25" s="151"/>
      <c r="S25" s="151"/>
    </row>
    <row r="26" spans="2:19" ht="25.5">
      <c r="Q26" s="156" t="s">
        <v>149</v>
      </c>
      <c r="R26" s="157" t="s">
        <v>119</v>
      </c>
      <c r="S26" s="158" t="s">
        <v>150</v>
      </c>
    </row>
    <row r="27" spans="2:19">
      <c r="Q27" s="159">
        <v>-0.01</v>
      </c>
      <c r="R27" s="160">
        <f t="shared" ref="R27:R45" si="2">GROWTH($R$22:$R$24,$Q$22:$Q$24,Q27,1)</f>
        <v>9.4974870513428584</v>
      </c>
      <c r="S27" s="161">
        <f t="shared" ref="S27:S58" si="3">TREND($R$22:$R$24,$Q$22:$Q$24,Q27,0)</f>
        <v>2.6222222222222218</v>
      </c>
    </row>
    <row r="28" spans="2:19">
      <c r="Q28" s="159">
        <v>-0.02</v>
      </c>
      <c r="R28" s="160">
        <f t="shared" si="2"/>
        <v>10.336729939663668</v>
      </c>
      <c r="S28" s="161">
        <f t="shared" si="3"/>
        <v>5.2444444444444436</v>
      </c>
    </row>
    <row r="29" spans="2:19">
      <c r="Q29" s="159">
        <v>-0.03</v>
      </c>
      <c r="R29" s="160">
        <f t="shared" si="2"/>
        <v>11.25013230004161</v>
      </c>
      <c r="S29" s="161">
        <f t="shared" si="3"/>
        <v>7.8666666666666645</v>
      </c>
    </row>
    <row r="30" spans="2:19">
      <c r="Q30" s="159">
        <v>-0.04</v>
      </c>
      <c r="R30" s="160">
        <f t="shared" si="2"/>
        <v>12.244247214274969</v>
      </c>
      <c r="S30" s="161">
        <f t="shared" si="3"/>
        <v>10.488888888888887</v>
      </c>
    </row>
    <row r="31" spans="2:19">
      <c r="Q31" s="159">
        <v>-0.05</v>
      </c>
      <c r="R31" s="160">
        <f t="shared" si="2"/>
        <v>13.32620682547225</v>
      </c>
      <c r="S31" s="161">
        <f t="shared" si="3"/>
        <v>13.111111111111109</v>
      </c>
    </row>
    <row r="32" spans="2:19">
      <c r="Q32" s="159">
        <v>-0.06</v>
      </c>
      <c r="R32" s="160">
        <f t="shared" si="2"/>
        <v>14.503773506649086</v>
      </c>
      <c r="S32" s="161">
        <f t="shared" si="3"/>
        <v>15.733333333333329</v>
      </c>
    </row>
    <row r="33" spans="17:19">
      <c r="Q33" s="159">
        <v>-7.0000000000000007E-2</v>
      </c>
      <c r="R33" s="160">
        <f t="shared" si="2"/>
        <v>15.785395550824445</v>
      </c>
      <c r="S33" s="161">
        <f t="shared" si="3"/>
        <v>18.355555555555554</v>
      </c>
    </row>
    <row r="34" spans="17:19">
      <c r="Q34" s="159">
        <v>-0.08</v>
      </c>
      <c r="R34" s="160">
        <f t="shared" si="2"/>
        <v>17.180267782157173</v>
      </c>
      <c r="S34" s="161">
        <f t="shared" si="3"/>
        <v>20.977777777777774</v>
      </c>
    </row>
    <row r="35" spans="17:19">
      <c r="Q35" s="159">
        <v>-0.09</v>
      </c>
      <c r="R35" s="160">
        <f t="shared" si="2"/>
        <v>18.69839752296939</v>
      </c>
      <c r="S35" s="161">
        <f t="shared" si="3"/>
        <v>23.599999999999994</v>
      </c>
    </row>
    <row r="36" spans="17:19">
      <c r="Q36" s="159">
        <v>-0.1</v>
      </c>
      <c r="R36" s="162">
        <f t="shared" si="2"/>
        <v>20.350676389928065</v>
      </c>
      <c r="S36" s="163">
        <f t="shared" si="3"/>
        <v>26.222222222222218</v>
      </c>
    </row>
    <row r="37" spans="17:19">
      <c r="Q37" s="159">
        <v>-0.11</v>
      </c>
      <c r="R37" s="160">
        <f t="shared" si="2"/>
        <v>22.148958434476945</v>
      </c>
      <c r="S37" s="161">
        <f t="shared" si="3"/>
        <v>28.844444444444438</v>
      </c>
    </row>
    <row r="38" spans="17:19">
      <c r="Q38" s="159">
        <v>-0.12</v>
      </c>
      <c r="R38" s="160">
        <f t="shared" si="2"/>
        <v>24.106145188126657</v>
      </c>
      <c r="S38" s="161">
        <f t="shared" si="3"/>
        <v>31.466666666666658</v>
      </c>
    </row>
    <row r="39" spans="17:19">
      <c r="Q39" s="159">
        <v>-0.13</v>
      </c>
      <c r="R39" s="160">
        <f t="shared" si="2"/>
        <v>26.236278222749089</v>
      </c>
      <c r="S39" s="161">
        <f t="shared" si="3"/>
        <v>34.088888888888881</v>
      </c>
    </row>
    <row r="40" spans="17:19">
      <c r="Q40" s="159">
        <v>-0.14000000000000001</v>
      </c>
      <c r="R40" s="160">
        <f t="shared" si="2"/>
        <v>28.554639889937153</v>
      </c>
      <c r="S40" s="161">
        <f t="shared" si="3"/>
        <v>36.711111111111109</v>
      </c>
    </row>
    <row r="41" spans="17:19">
      <c r="Q41" s="159">
        <v>-0.15</v>
      </c>
      <c r="R41" s="160">
        <f t="shared" si="2"/>
        <v>31.077862962171093</v>
      </c>
      <c r="S41" s="161">
        <f t="shared" si="3"/>
        <v>39.333333333333321</v>
      </c>
    </row>
    <row r="42" spans="17:19">
      <c r="Q42" s="159">
        <v>-0.16</v>
      </c>
      <c r="R42" s="160">
        <f t="shared" si="2"/>
        <v>33.824049962396906</v>
      </c>
      <c r="S42" s="161">
        <f t="shared" si="3"/>
        <v>41.955555555555549</v>
      </c>
    </row>
    <row r="43" spans="17:19">
      <c r="Q43" s="159">
        <v>-0.17</v>
      </c>
      <c r="R43" s="160">
        <f t="shared" si="2"/>
        <v>36.812903038130841</v>
      </c>
      <c r="S43" s="161">
        <f t="shared" si="3"/>
        <v>44.577777777777776</v>
      </c>
    </row>
    <row r="44" spans="17:19">
      <c r="Q44" s="159">
        <v>-0.18</v>
      </c>
      <c r="R44" s="160">
        <f t="shared" si="2"/>
        <v>40.065865311854225</v>
      </c>
      <c r="S44" s="161">
        <f t="shared" si="3"/>
        <v>47.199999999999989</v>
      </c>
    </row>
    <row r="45" spans="17:19">
      <c r="Q45" s="159">
        <v>-0.19</v>
      </c>
      <c r="R45" s="160">
        <f t="shared" si="2"/>
        <v>43.606274721797959</v>
      </c>
      <c r="S45" s="161">
        <f t="shared" si="3"/>
        <v>49.822222222222216</v>
      </c>
    </row>
    <row r="46" spans="17:19">
      <c r="Q46" s="159">
        <v>-0.2</v>
      </c>
      <c r="R46" s="162">
        <v>50</v>
      </c>
      <c r="S46" s="163">
        <f t="shared" si="3"/>
        <v>52.444444444444436</v>
      </c>
    </row>
    <row r="47" spans="17:19">
      <c r="Q47" s="159">
        <v>-0.21</v>
      </c>
      <c r="R47" s="160">
        <f>GROWTH($R$22:$R$24,$Q$22:$Q$24,Q47,1)</f>
        <v>51.653280186659927</v>
      </c>
      <c r="S47" s="161">
        <f t="shared" si="3"/>
        <v>55.066666666666656</v>
      </c>
    </row>
    <row r="48" spans="17:19">
      <c r="Q48" s="159">
        <v>-0.22</v>
      </c>
      <c r="R48" s="160">
        <f>GROWTH($R$22:$R$24,$Q$22:$Q$24,Q48,1)</f>
        <v>56.217608394821809</v>
      </c>
      <c r="S48" s="161">
        <f t="shared" si="3"/>
        <v>57.688888888888876</v>
      </c>
    </row>
    <row r="49" spans="17:19">
      <c r="Q49" s="159">
        <v>-0.23</v>
      </c>
      <c r="R49" s="160">
        <f>GROWTH($R$22:$R$24,$Q$22:$Q$24,Q49,1)</f>
        <v>61.18526223722295</v>
      </c>
      <c r="S49" s="161">
        <f t="shared" si="3"/>
        <v>60.311111111111103</v>
      </c>
    </row>
    <row r="50" spans="17:19">
      <c r="Q50" s="159">
        <v>-0.24</v>
      </c>
      <c r="R50" s="160">
        <f>GROWTH($R$22:$R$24,$Q$22:$Q$24,Q50,1)</f>
        <v>66.591881475032011</v>
      </c>
      <c r="S50" s="161">
        <f t="shared" si="3"/>
        <v>62.933333333333316</v>
      </c>
    </row>
    <row r="51" spans="17:19">
      <c r="Q51" s="159">
        <v>-0.25</v>
      </c>
      <c r="R51" s="162">
        <v>70</v>
      </c>
      <c r="S51" s="163">
        <f t="shared" si="3"/>
        <v>65.555555555555543</v>
      </c>
    </row>
    <row r="52" spans="17:19">
      <c r="Q52" s="159">
        <v>-0.26</v>
      </c>
      <c r="R52" s="160">
        <f t="shared" ref="R52:R83" si="4">GROWTH($R$22:$R$24,$Q$22:$Q$24,Q52,1)</f>
        <v>78.880599957951503</v>
      </c>
      <c r="S52" s="161">
        <f t="shared" si="3"/>
        <v>68.177777777777763</v>
      </c>
    </row>
    <row r="53" spans="17:19">
      <c r="Q53" s="159">
        <v>-0.27</v>
      </c>
      <c r="R53" s="160">
        <f t="shared" si="4"/>
        <v>85.850862953132875</v>
      </c>
      <c r="S53" s="161">
        <f t="shared" si="3"/>
        <v>70.8</v>
      </c>
    </row>
    <row r="54" spans="17:19">
      <c r="Q54" s="159">
        <v>-0.28000000000000003</v>
      </c>
      <c r="R54" s="160">
        <f t="shared" si="4"/>
        <v>93.437051362774795</v>
      </c>
      <c r="S54" s="161">
        <f t="shared" si="3"/>
        <v>73.422222222222217</v>
      </c>
    </row>
    <row r="55" spans="17:19">
      <c r="Q55" s="159">
        <v>-0.28999999999999998</v>
      </c>
      <c r="R55" s="160">
        <f t="shared" si="4"/>
        <v>101.69359127043245</v>
      </c>
      <c r="S55" s="161">
        <f t="shared" si="3"/>
        <v>76.044444444444423</v>
      </c>
    </row>
    <row r="56" spans="17:19">
      <c r="Q56" s="159">
        <v>-0.3</v>
      </c>
      <c r="R56" s="160">
        <f t="shared" si="4"/>
        <v>110.67971810589327</v>
      </c>
      <c r="S56" s="161">
        <f t="shared" si="3"/>
        <v>78.666666666666643</v>
      </c>
    </row>
    <row r="57" spans="17:19">
      <c r="Q57" s="159">
        <v>-0.31</v>
      </c>
      <c r="R57" s="160">
        <f t="shared" si="4"/>
        <v>120.45990162176226</v>
      </c>
      <c r="S57" s="161">
        <f t="shared" si="3"/>
        <v>81.288888888888877</v>
      </c>
    </row>
    <row r="58" spans="17:19">
      <c r="Q58" s="159">
        <v>-0.32</v>
      </c>
      <c r="R58" s="160">
        <f t="shared" si="4"/>
        <v>131.10430842299021</v>
      </c>
      <c r="S58" s="161">
        <f t="shared" si="3"/>
        <v>83.911111111111097</v>
      </c>
    </row>
    <row r="59" spans="17:19">
      <c r="Q59" s="159">
        <v>-0.33</v>
      </c>
      <c r="R59" s="160">
        <f t="shared" si="4"/>
        <v>142.68930536769835</v>
      </c>
      <c r="S59" s="161">
        <f t="shared" ref="S59:S90" si="5">TREND($R$22:$R$24,$Q$22:$Q$24,Q59,0)</f>
        <v>86.533333333333317</v>
      </c>
    </row>
    <row r="60" spans="17:19">
      <c r="Q60" s="159">
        <v>-0.34</v>
      </c>
      <c r="R60" s="160">
        <f t="shared" si="4"/>
        <v>155.29800745088212</v>
      </c>
      <c r="S60" s="161">
        <f t="shared" si="5"/>
        <v>89.155555555555551</v>
      </c>
    </row>
    <row r="61" spans="17:19">
      <c r="Q61" s="159">
        <v>-0.35</v>
      </c>
      <c r="R61" s="160">
        <f t="shared" si="4"/>
        <v>169.02087410171018</v>
      </c>
      <c r="S61" s="161">
        <f t="shared" si="5"/>
        <v>91.777777777777757</v>
      </c>
    </row>
    <row r="62" spans="17:19">
      <c r="Q62" s="159">
        <v>-0.36</v>
      </c>
      <c r="R62" s="160">
        <f t="shared" si="4"/>
        <v>183.95635817247503</v>
      </c>
      <c r="S62" s="161">
        <f t="shared" si="5"/>
        <v>94.399999999999977</v>
      </c>
    </row>
    <row r="63" spans="17:19">
      <c r="Q63" s="159">
        <v>-0.37</v>
      </c>
      <c r="R63" s="160">
        <f t="shared" si="4"/>
        <v>200.21161227527659</v>
      </c>
      <c r="S63" s="161">
        <f t="shared" si="5"/>
        <v>97.022222222222197</v>
      </c>
    </row>
    <row r="64" spans="17:19">
      <c r="Q64" s="159">
        <v>-0.38</v>
      </c>
      <c r="R64" s="160">
        <f t="shared" si="4"/>
        <v>217.903257533957</v>
      </c>
      <c r="S64" s="161">
        <f t="shared" si="5"/>
        <v>99.644444444444431</v>
      </c>
    </row>
    <row r="65" spans="17:19">
      <c r="Q65" s="159">
        <v>-0.39</v>
      </c>
      <c r="R65" s="160">
        <f t="shared" si="4"/>
        <v>237.15822026659424</v>
      </c>
      <c r="S65" s="161">
        <f t="shared" si="5"/>
        <v>102.26666666666665</v>
      </c>
    </row>
    <row r="66" spans="17:19">
      <c r="Q66" s="159">
        <v>-0.4</v>
      </c>
      <c r="R66" s="160">
        <f t="shared" si="4"/>
        <v>258.11464260121767</v>
      </c>
      <c r="S66" s="161">
        <f t="shared" si="5"/>
        <v>104.88888888888887</v>
      </c>
    </row>
    <row r="67" spans="17:19">
      <c r="Q67" s="159">
        <v>-0.41</v>
      </c>
      <c r="R67" s="160">
        <f t="shared" si="4"/>
        <v>280.92287355783799</v>
      </c>
      <c r="S67" s="161">
        <f t="shared" si="5"/>
        <v>107.51111111111108</v>
      </c>
    </row>
    <row r="68" spans="17:19">
      <c r="Q68" s="159">
        <v>-0.42</v>
      </c>
      <c r="R68" s="160">
        <f t="shared" si="4"/>
        <v>305.74654770717279</v>
      </c>
      <c r="S68" s="161">
        <f t="shared" si="5"/>
        <v>110.13333333333331</v>
      </c>
    </row>
    <row r="69" spans="17:19">
      <c r="Q69" s="159">
        <v>-0.43</v>
      </c>
      <c r="R69" s="160">
        <f t="shared" si="4"/>
        <v>332.76375914476068</v>
      </c>
      <c r="S69" s="161">
        <f t="shared" si="5"/>
        <v>112.75555555555553</v>
      </c>
    </row>
    <row r="70" spans="17:19">
      <c r="Q70" s="159">
        <v>-0.44</v>
      </c>
      <c r="R70" s="160">
        <f t="shared" si="4"/>
        <v>362.16833920298285</v>
      </c>
      <c r="S70" s="161">
        <f t="shared" si="5"/>
        <v>115.37777777777775</v>
      </c>
    </row>
    <row r="71" spans="17:19">
      <c r="Q71" s="159">
        <v>-0.45</v>
      </c>
      <c r="R71" s="160">
        <f t="shared" si="4"/>
        <v>394.17124706776224</v>
      </c>
      <c r="S71" s="161">
        <f t="shared" si="5"/>
        <v>117.99999999999999</v>
      </c>
    </row>
    <row r="72" spans="17:19">
      <c r="Q72" s="159">
        <v>-0.46</v>
      </c>
      <c r="R72" s="160">
        <f t="shared" si="4"/>
        <v>429.00208327673522</v>
      </c>
      <c r="S72" s="161">
        <f t="shared" si="5"/>
        <v>120.62222222222221</v>
      </c>
    </row>
    <row r="73" spans="17:19">
      <c r="Q73" s="159">
        <v>-0.47</v>
      </c>
      <c r="R73" s="160">
        <f t="shared" si="4"/>
        <v>466.91073695727931</v>
      </c>
      <c r="S73" s="161">
        <f t="shared" si="5"/>
        <v>123.24444444444441</v>
      </c>
    </row>
    <row r="74" spans="17:19">
      <c r="Q74" s="159">
        <v>-0.48</v>
      </c>
      <c r="R74" s="160">
        <f t="shared" si="4"/>
        <v>508.16917862228996</v>
      </c>
      <c r="S74" s="161">
        <f t="shared" si="5"/>
        <v>125.86666666666663</v>
      </c>
    </row>
    <row r="75" spans="17:19">
      <c r="Q75" s="159">
        <v>-0.49</v>
      </c>
      <c r="R75" s="160">
        <f t="shared" si="4"/>
        <v>553.0734113858698</v>
      </c>
      <c r="S75" s="161">
        <f t="shared" si="5"/>
        <v>128.48888888888885</v>
      </c>
    </row>
    <row r="76" spans="17:19">
      <c r="Q76" s="159">
        <v>-0.5</v>
      </c>
      <c r="R76" s="160">
        <f t="shared" si="4"/>
        <v>601.94559459766924</v>
      </c>
      <c r="S76" s="161">
        <f t="shared" si="5"/>
        <v>131.11111111111109</v>
      </c>
    </row>
    <row r="77" spans="17:19">
      <c r="Q77" s="159">
        <v>-0.51</v>
      </c>
      <c r="R77" s="160">
        <f t="shared" si="4"/>
        <v>655.13635513160523</v>
      </c>
      <c r="S77" s="161">
        <f t="shared" si="5"/>
        <v>133.73333333333332</v>
      </c>
    </row>
    <row r="78" spans="17:19">
      <c r="Q78" s="159">
        <v>-0.52</v>
      </c>
      <c r="R78" s="160">
        <f t="shared" si="4"/>
        <v>713.02730291098419</v>
      </c>
      <c r="S78" s="161">
        <f t="shared" si="5"/>
        <v>136.35555555555553</v>
      </c>
    </row>
    <row r="79" spans="17:19">
      <c r="Q79" s="159">
        <v>-0.53</v>
      </c>
      <c r="R79" s="160">
        <f t="shared" si="4"/>
        <v>776.03376871732564</v>
      </c>
      <c r="S79" s="161">
        <f t="shared" si="5"/>
        <v>138.97777777777776</v>
      </c>
    </row>
    <row r="80" spans="17:19">
      <c r="Q80" s="159">
        <v>-0.54</v>
      </c>
      <c r="R80" s="160">
        <f t="shared" si="4"/>
        <v>844.60778392493023</v>
      </c>
      <c r="S80" s="161">
        <f t="shared" si="5"/>
        <v>141.6</v>
      </c>
    </row>
    <row r="81" spans="17:19">
      <c r="Q81" s="159">
        <v>-0.55000000000000004</v>
      </c>
      <c r="R81" s="160">
        <f t="shared" si="4"/>
        <v>919.24132353888274</v>
      </c>
      <c r="S81" s="161">
        <f t="shared" si="5"/>
        <v>144.2222222222222</v>
      </c>
    </row>
    <row r="82" spans="17:19">
      <c r="Q82" s="159">
        <v>-0.56000000000000005</v>
      </c>
      <c r="R82" s="160">
        <f t="shared" si="4"/>
        <v>1000.4698358032441</v>
      </c>
      <c r="S82" s="161">
        <f t="shared" si="5"/>
        <v>146.84444444444443</v>
      </c>
    </row>
    <row r="83" spans="17:19">
      <c r="Q83" s="159">
        <v>-0.56999999999999995</v>
      </c>
      <c r="R83" s="160">
        <f t="shared" si="4"/>
        <v>1088.8760837021161</v>
      </c>
      <c r="S83" s="161">
        <f t="shared" si="5"/>
        <v>149.46666666666661</v>
      </c>
    </row>
    <row r="84" spans="17:19">
      <c r="Q84" s="159">
        <v>-0.57999999999999996</v>
      </c>
      <c r="R84" s="160">
        <f t="shared" ref="R84:R115" si="6">GROWTH($R$22:$R$24,$Q$22:$Q$24,Q84,1)</f>
        <v>1185.0943259139242</v>
      </c>
      <c r="S84" s="161">
        <f t="shared" si="5"/>
        <v>152.08888888888885</v>
      </c>
    </row>
    <row r="85" spans="17:19">
      <c r="Q85" s="159">
        <v>-0.59</v>
      </c>
      <c r="R85" s="160">
        <f t="shared" si="6"/>
        <v>1289.8148672145812</v>
      </c>
      <c r="S85" s="161">
        <f t="shared" si="5"/>
        <v>154.71111111111108</v>
      </c>
    </row>
    <row r="86" spans="17:19">
      <c r="Q86" s="159">
        <v>-0.6</v>
      </c>
      <c r="R86" s="160">
        <f t="shared" si="6"/>
        <v>1403.7890109758237</v>
      </c>
      <c r="S86" s="161">
        <f t="shared" si="5"/>
        <v>157.33333333333329</v>
      </c>
    </row>
    <row r="87" spans="17:19">
      <c r="Q87" s="159">
        <v>-0.61</v>
      </c>
      <c r="R87" s="160">
        <f t="shared" si="6"/>
        <v>1527.8344492897181</v>
      </c>
      <c r="S87" s="161">
        <f t="shared" si="5"/>
        <v>159.95555555555552</v>
      </c>
    </row>
    <row r="88" spans="17:19">
      <c r="Q88" s="159">
        <v>-0.62</v>
      </c>
      <c r="R88" s="160">
        <f t="shared" si="6"/>
        <v>1662.8411293900749</v>
      </c>
      <c r="S88" s="161">
        <f t="shared" si="5"/>
        <v>162.57777777777775</v>
      </c>
    </row>
    <row r="89" spans="17:19">
      <c r="Q89" s="159">
        <v>-0.63</v>
      </c>
      <c r="R89" s="160">
        <f t="shared" si="6"/>
        <v>1809.7776384586134</v>
      </c>
      <c r="S89" s="161">
        <f t="shared" si="5"/>
        <v>165.19999999999996</v>
      </c>
    </row>
    <row r="90" spans="17:19">
      <c r="Q90" s="159">
        <v>-0.64</v>
      </c>
      <c r="R90" s="160">
        <f t="shared" si="6"/>
        <v>1969.6981526227967</v>
      </c>
      <c r="S90" s="161">
        <f t="shared" si="5"/>
        <v>167.82222222222219</v>
      </c>
    </row>
    <row r="91" spans="17:19">
      <c r="Q91" s="159">
        <v>-0.65</v>
      </c>
      <c r="R91" s="160">
        <f t="shared" si="6"/>
        <v>2143.7500000000032</v>
      </c>
      <c r="S91" s="161">
        <f t="shared" ref="S91:S115" si="7">TREND($R$22:$R$24,$Q$22:$Q$24,Q91,0)</f>
        <v>170.44444444444443</v>
      </c>
    </row>
    <row r="92" spans="17:19">
      <c r="Q92" s="159">
        <v>-0.66</v>
      </c>
      <c r="R92" s="160">
        <f t="shared" si="6"/>
        <v>2333.1818920480518</v>
      </c>
      <c r="S92" s="161">
        <f t="shared" si="7"/>
        <v>173.06666666666663</v>
      </c>
    </row>
    <row r="93" spans="17:19">
      <c r="Q93" s="159">
        <v>-0.67</v>
      </c>
      <c r="R93" s="160">
        <f t="shared" si="6"/>
        <v>2539.3528822768158</v>
      </c>
      <c r="S93" s="161">
        <f t="shared" si="7"/>
        <v>175.68888888888887</v>
      </c>
    </row>
    <row r="94" spans="17:19">
      <c r="Q94" s="159">
        <v>-0.68</v>
      </c>
      <c r="R94" s="160">
        <f t="shared" si="6"/>
        <v>2763.7421165939554</v>
      </c>
      <c r="S94" s="161">
        <f t="shared" si="7"/>
        <v>178.3111111111111</v>
      </c>
    </row>
    <row r="95" spans="17:19">
      <c r="Q95" s="159">
        <v>-0.69</v>
      </c>
      <c r="R95" s="160">
        <f t="shared" si="6"/>
        <v>3007.9594452373472</v>
      </c>
      <c r="S95" s="161">
        <f t="shared" si="7"/>
        <v>180.93333333333328</v>
      </c>
    </row>
    <row r="96" spans="17:19">
      <c r="Q96" s="159">
        <v>-0.7</v>
      </c>
      <c r="R96" s="160">
        <f t="shared" si="6"/>
        <v>3273.7569724280715</v>
      </c>
      <c r="S96" s="161">
        <f t="shared" si="7"/>
        <v>183.55555555555551</v>
      </c>
    </row>
    <row r="97" spans="17:19">
      <c r="Q97" s="159">
        <v>-0.71</v>
      </c>
      <c r="R97" s="160">
        <f t="shared" si="6"/>
        <v>3563.0416266053498</v>
      </c>
      <c r="S97" s="161">
        <f t="shared" si="7"/>
        <v>186.17777777777772</v>
      </c>
    </row>
    <row r="98" spans="17:19">
      <c r="Q98" s="159">
        <v>-0.72</v>
      </c>
      <c r="R98" s="160">
        <f t="shared" si="6"/>
        <v>3877.8888414269545</v>
      </c>
      <c r="S98" s="161">
        <f t="shared" si="7"/>
        <v>188.79999999999995</v>
      </c>
    </row>
    <row r="99" spans="17:19">
      <c r="Q99" s="159">
        <v>-0.73</v>
      </c>
      <c r="R99" s="160">
        <f t="shared" si="6"/>
        <v>4220.5574456874938</v>
      </c>
      <c r="S99" s="161">
        <f t="shared" si="7"/>
        <v>191.42222222222219</v>
      </c>
    </row>
    <row r="100" spans="17:19">
      <c r="Q100" s="159">
        <v>-0.74</v>
      </c>
      <c r="R100" s="160">
        <f t="shared" si="6"/>
        <v>4593.5058689803536</v>
      </c>
      <c r="S100" s="161">
        <f t="shared" si="7"/>
        <v>194.04444444444439</v>
      </c>
    </row>
    <row r="101" spans="17:19">
      <c r="Q101" s="159">
        <v>-0.75</v>
      </c>
      <c r="R101" s="160">
        <f t="shared" si="6"/>
        <v>4999.4097793685823</v>
      </c>
      <c r="S101" s="161">
        <f t="shared" si="7"/>
        <v>196.66666666666663</v>
      </c>
    </row>
    <row r="102" spans="17:19">
      <c r="Q102" s="159">
        <v>-0.76</v>
      </c>
      <c r="R102" s="160">
        <f t="shared" si="6"/>
        <v>5441.1812796038321</v>
      </c>
      <c r="S102" s="161">
        <f t="shared" si="7"/>
        <v>199.28888888888886</v>
      </c>
    </row>
    <row r="103" spans="17:19">
      <c r="Q103" s="159">
        <v>-0.77</v>
      </c>
      <c r="R103" s="160">
        <f t="shared" si="6"/>
        <v>5921.9897996139953</v>
      </c>
      <c r="S103" s="161">
        <f t="shared" si="7"/>
        <v>201.91111111111107</v>
      </c>
    </row>
    <row r="104" spans="17:19">
      <c r="Q104" s="159">
        <v>-0.78</v>
      </c>
      <c r="R104" s="160">
        <f t="shared" si="6"/>
        <v>6445.2848351499179</v>
      </c>
      <c r="S104" s="161">
        <f t="shared" si="7"/>
        <v>204.5333333333333</v>
      </c>
    </row>
    <row r="105" spans="17:19">
      <c r="Q105" s="159">
        <v>-0.79</v>
      </c>
      <c r="R105" s="160">
        <f t="shared" si="6"/>
        <v>7014.8206957265047</v>
      </c>
      <c r="S105" s="161">
        <f t="shared" si="7"/>
        <v>207.15555555555554</v>
      </c>
    </row>
    <row r="106" spans="17:19">
      <c r="Q106" s="159">
        <v>-0.8</v>
      </c>
      <c r="R106" s="160">
        <f t="shared" si="6"/>
        <v>7634.6834394089665</v>
      </c>
      <c r="S106" s="161">
        <f t="shared" si="7"/>
        <v>209.77777777777774</v>
      </c>
    </row>
    <row r="107" spans="17:19">
      <c r="Q107" s="159">
        <v>-0.81</v>
      </c>
      <c r="R107" s="160">
        <f t="shared" si="6"/>
        <v>8309.3201876842595</v>
      </c>
      <c r="S107" s="161">
        <f t="shared" si="7"/>
        <v>212.39999999999998</v>
      </c>
    </row>
    <row r="108" spans="17:19">
      <c r="Q108" s="159">
        <v>-0.82</v>
      </c>
      <c r="R108" s="160">
        <f t="shared" si="6"/>
        <v>9043.5710307331574</v>
      </c>
      <c r="S108" s="161">
        <f t="shared" si="7"/>
        <v>215.02222222222215</v>
      </c>
    </row>
    <row r="109" spans="17:19">
      <c r="Q109" s="159">
        <v>-0.83</v>
      </c>
      <c r="R109" s="160">
        <f t="shared" si="6"/>
        <v>9842.7037520032318</v>
      </c>
      <c r="S109" s="161">
        <f t="shared" si="7"/>
        <v>217.64444444444439</v>
      </c>
    </row>
    <row r="110" spans="17:19">
      <c r="Q110" s="159">
        <v>-0.84</v>
      </c>
      <c r="R110" s="160">
        <f t="shared" si="6"/>
        <v>10712.451621209257</v>
      </c>
      <c r="S110" s="161">
        <f t="shared" si="7"/>
        <v>220.26666666666662</v>
      </c>
    </row>
    <row r="111" spans="17:19">
      <c r="Q111" s="159">
        <v>-0.85</v>
      </c>
      <c r="R111" s="160">
        <f t="shared" si="6"/>
        <v>11659.054526902017</v>
      </c>
      <c r="S111" s="161">
        <f t="shared" si="7"/>
        <v>222.88888888888883</v>
      </c>
    </row>
    <row r="112" spans="17:19">
      <c r="Q112" s="159">
        <v>-0.86</v>
      </c>
      <c r="R112" s="160">
        <f t="shared" si="6"/>
        <v>12689.303743705488</v>
      </c>
      <c r="S112" s="161">
        <f t="shared" si="7"/>
        <v>225.51111111111106</v>
      </c>
    </row>
    <row r="113" spans="17:19">
      <c r="Q113" s="159">
        <v>-0.87</v>
      </c>
      <c r="R113" s="160">
        <f t="shared" si="6"/>
        <v>13810.590655398801</v>
      </c>
      <c r="S113" s="161">
        <f t="shared" si="7"/>
        <v>228.1333333333333</v>
      </c>
    </row>
    <row r="114" spans="17:19">
      <c r="Q114" s="159">
        <v>-0.88</v>
      </c>
      <c r="R114" s="160">
        <f t="shared" si="6"/>
        <v>15030.959783400349</v>
      </c>
      <c r="S114" s="161">
        <f t="shared" si="7"/>
        <v>230.7555555555555</v>
      </c>
    </row>
    <row r="115" spans="17:19">
      <c r="Q115" s="164">
        <v>-0.89</v>
      </c>
      <c r="R115" s="165">
        <f t="shared" si="6"/>
        <v>16359.166501099548</v>
      </c>
      <c r="S115" s="166">
        <f t="shared" si="7"/>
        <v>233.37777777777774</v>
      </c>
    </row>
    <row r="135" ht="31.5" customHeight="1"/>
  </sheetData>
  <mergeCells count="43">
    <mergeCell ref="Q3:R3"/>
    <mergeCell ref="B4:F4"/>
    <mergeCell ref="G4:H4"/>
    <mergeCell ref="N4:P4"/>
    <mergeCell ref="Q4:R4"/>
    <mergeCell ref="B5:F6"/>
    <mergeCell ref="G5:G6"/>
    <mergeCell ref="D9:D10"/>
    <mergeCell ref="D1:R1"/>
    <mergeCell ref="B2:H2"/>
    <mergeCell ref="J2:L2"/>
    <mergeCell ref="N2:R2"/>
    <mergeCell ref="B3:F3"/>
    <mergeCell ref="G3:H3"/>
    <mergeCell ref="J3:J5"/>
    <mergeCell ref="K3:L4"/>
    <mergeCell ref="N3:P3"/>
    <mergeCell ref="B13:C13"/>
    <mergeCell ref="B11:C11"/>
    <mergeCell ref="N9:P9"/>
    <mergeCell ref="N10:P10"/>
    <mergeCell ref="B7:F7"/>
    <mergeCell ref="G7:H7"/>
    <mergeCell ref="N7:P7"/>
    <mergeCell ref="B8:F8"/>
    <mergeCell ref="G8:H8"/>
    <mergeCell ref="N8:P8"/>
    <mergeCell ref="E9:E10"/>
    <mergeCell ref="F9:F10"/>
    <mergeCell ref="G9:H9"/>
    <mergeCell ref="N11:R11"/>
    <mergeCell ref="B12:C12"/>
    <mergeCell ref="N5:P5"/>
    <mergeCell ref="Q5:R5"/>
    <mergeCell ref="N6:P6"/>
    <mergeCell ref="Q6:R6"/>
    <mergeCell ref="B9:C10"/>
    <mergeCell ref="B14:C14"/>
    <mergeCell ref="B15:C15"/>
    <mergeCell ref="B16:C16"/>
    <mergeCell ref="J16:J17"/>
    <mergeCell ref="K16:L17"/>
    <mergeCell ref="F17:H17"/>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formula1>0</formula1>
      <formula2>0</formula2>
    </dataValidation>
    <dataValidation type="list" allowBlank="1" showInputMessage="1" showErrorMessage="1" prompt="Informe qual o tipo de prazo que deseja distribuir os dias, se em dias úteis ou em dias corridos. Proporção utilizada: 7 dias corridos para cada 5 dias úteis (7/5)" sqref="G3:H3">
      <formula1>"Úteis,Corridos"</formula1>
      <formula2>0</formula2>
    </dataValidation>
    <dataValidation type="list" allowBlank="1" showInputMessage="1" showErrorMessage="1" prompt="Informe qual a versão do Roteiro de Métricas (SISP) adota para o cálculo do prazo" sqref="G4:H4">
      <formula1>"SISP v1.0,SISP v2.0/2.1"</formula1>
      <formula2>0</formula2>
    </dataValidation>
    <dataValidation type="list" allowBlank="1" showInputMessage="1" showErrorMessage="1" prompt="Informe a complexidade do projeto. Informação relevante apenas para projetos com menos de 100 PF" sqref="G7:H7">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 - Projetos com mais de 99 PF devem  ter mais de 99 PF - Projetos com até 99 PF devem no máximo ter 99 PF" prompt="Informe a quantidade de PF que deseja calcular o prazo" sqref="G8">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46C0A"/>
  </sheetPr>
  <dimension ref="A1:R24"/>
  <sheetViews>
    <sheetView showGridLines="0" zoomScaleNormal="100" workbookViewId="0">
      <selection activeCell="C2" sqref="C2"/>
    </sheetView>
  </sheetViews>
  <sheetFormatPr defaultColWidth="8.5703125" defaultRowHeight="12.75"/>
  <cols>
    <col min="1" max="1" width="23.140625" customWidth="1" collapsed="1"/>
    <col min="2" max="2" width="11.85546875" customWidth="1" collapsed="1"/>
    <col min="3" max="3" width="11.42578125" customWidth="1" collapsed="1"/>
    <col min="4" max="5" width="12.42578125" customWidth="1" collapsed="1"/>
    <col min="6" max="6" width="15.85546875" customWidth="1" collapsed="1"/>
    <col min="7" max="7" width="12.42578125" customWidth="1" collapsed="1"/>
    <col min="8" max="8" width="15.85546875" customWidth="1" collapsed="1"/>
    <col min="9" max="9" width="15.42578125" customWidth="1" collapsed="1"/>
  </cols>
  <sheetData>
    <row r="1" spans="1:18" s="168" customFormat="1" ht="69" customHeight="1">
      <c r="A1" s="2" t="str">
        <f>Resumo!A1</f>
        <v>Template V.2.0</v>
      </c>
      <c r="B1" s="2"/>
      <c r="C1" s="290" t="s">
        <v>151</v>
      </c>
      <c r="D1" s="290"/>
      <c r="E1" s="290"/>
      <c r="F1" s="290"/>
      <c r="G1" s="290"/>
      <c r="H1" s="290"/>
      <c r="I1" s="290"/>
      <c r="J1" s="167"/>
      <c r="K1" s="167"/>
      <c r="L1" s="167"/>
      <c r="M1" s="167"/>
      <c r="N1" s="167"/>
      <c r="O1" s="167"/>
      <c r="P1" s="167"/>
      <c r="Q1" s="167"/>
      <c r="R1" s="167"/>
    </row>
    <row r="3" spans="1:18">
      <c r="A3" s="169" t="s">
        <v>152</v>
      </c>
      <c r="C3" s="170">
        <v>8</v>
      </c>
    </row>
    <row r="4" spans="1:18" ht="45">
      <c r="B4" s="169"/>
      <c r="D4" s="171" t="s">
        <v>19</v>
      </c>
      <c r="E4" s="171" t="s">
        <v>21</v>
      </c>
      <c r="F4" s="171" t="s">
        <v>23</v>
      </c>
      <c r="G4" s="171" t="s">
        <v>25</v>
      </c>
      <c r="H4" s="171" t="s">
        <v>27</v>
      </c>
      <c r="I4" s="171" t="s">
        <v>29</v>
      </c>
    </row>
    <row r="5" spans="1:18" ht="15">
      <c r="A5" s="172" t="s">
        <v>47</v>
      </c>
      <c r="B5" s="172" t="s">
        <v>153</v>
      </c>
      <c r="C5" s="173" t="s">
        <v>154</v>
      </c>
      <c r="D5" s="174">
        <f>Resumo!G18</f>
        <v>0.25</v>
      </c>
      <c r="E5" s="174">
        <f>Resumo!G19</f>
        <v>0.1</v>
      </c>
      <c r="F5" s="174">
        <f>Resumo!G20</f>
        <v>0.4</v>
      </c>
      <c r="G5" s="174">
        <f>Resumo!G21</f>
        <v>0.15</v>
      </c>
      <c r="H5" s="174">
        <f>Resumo!G22</f>
        <v>0.05</v>
      </c>
      <c r="I5" s="174">
        <f>Resumo!G23</f>
        <v>0.05</v>
      </c>
    </row>
    <row r="6" spans="1:18">
      <c r="A6" s="175"/>
      <c r="B6" s="176">
        <f>IF(Resumo!$B$5="Detalhada",SUMIF('AFP - Detalhada'!$E$10:$E$630,Esforço!A6,'AFP - Detalhada'!$Q$10:$Q$630),IF(Resumo!B5="Estimativa",SUMIF('AFP - Estimativa'!$F$10:$F$383,Esforço!A6,'AFP - Estimativa'!$I$10:$I$383)*(1+'AFP - Estimativa'!$C$6),IF(Resumo!B5="Indicativa",SUMIF('AFP - Indicativa'!$D$10:$D$108,Esforço!A6,'AFP - Indicativa'!$H$10:$H$108)*(1+'AFP - Indicativa'!$D$6),0)))</f>
        <v>0</v>
      </c>
      <c r="C6" s="176">
        <f t="shared" ref="C6:C23" si="0">ROUND(B6*$C$3,0)</f>
        <v>0</v>
      </c>
      <c r="D6" s="176">
        <f t="shared" ref="D6:I15" si="1">ROUND($C6*D$5,0)</f>
        <v>0</v>
      </c>
      <c r="E6" s="176">
        <f t="shared" si="1"/>
        <v>0</v>
      </c>
      <c r="F6" s="176">
        <f t="shared" si="1"/>
        <v>0</v>
      </c>
      <c r="G6" s="176">
        <f t="shared" si="1"/>
        <v>0</v>
      </c>
      <c r="H6" s="176">
        <f t="shared" si="1"/>
        <v>0</v>
      </c>
      <c r="I6" s="176">
        <f t="shared" si="1"/>
        <v>0</v>
      </c>
    </row>
    <row r="7" spans="1:18">
      <c r="A7" s="175"/>
      <c r="B7" s="176">
        <f>IF(Resumo!$B$5="Detalhada",SUMIF('AFP - Detalhada'!$E$10:$E$630,Esforço!A7,'AFP - Detalhada'!$Q$10:$Q$630),IF(Resumo!B6="Estimativa",SUMIF('AFP - Estimativa'!$F$10:$F$383,Esforço!A7,'AFP - Estimativa'!$I$10:$I$383)*(1+'AFP - Estimativa'!$C$6),IF(Resumo!B6="Indicativa",SUMIF('AFP - Indicativa'!$D$10:$D$108,Esforço!A7,'AFP - Indicativa'!$H$10:$H$108)*(1+'AFP - Indicativa'!$D$6),0)))</f>
        <v>0</v>
      </c>
      <c r="C7" s="176">
        <f t="shared" si="0"/>
        <v>0</v>
      </c>
      <c r="D7" s="176">
        <f t="shared" si="1"/>
        <v>0</v>
      </c>
      <c r="E7" s="176">
        <f t="shared" si="1"/>
        <v>0</v>
      </c>
      <c r="F7" s="176">
        <f t="shared" si="1"/>
        <v>0</v>
      </c>
      <c r="G7" s="176">
        <f t="shared" si="1"/>
        <v>0</v>
      </c>
      <c r="H7" s="176">
        <f t="shared" si="1"/>
        <v>0</v>
      </c>
      <c r="I7" s="176">
        <f t="shared" si="1"/>
        <v>0</v>
      </c>
    </row>
    <row r="8" spans="1:18">
      <c r="A8" s="175"/>
      <c r="B8" s="176">
        <f>IF(Resumo!$B$5="Detalhada",SUMIF('AFP - Detalhada'!$E$10:$E$630,Esforço!A8,'AFP - Detalhada'!$Q$10:$Q$630),IF(Resumo!B7="Estimativa",SUMIF('AFP - Estimativa'!$F$10:$F$383,Esforço!A8,'AFP - Estimativa'!$I$10:$I$383)*(1+'AFP - Estimativa'!$C$6),IF(Resumo!B7="Indicativa",SUMIF('AFP - Indicativa'!$D$10:$D$108,Esforço!A8,'AFP - Indicativa'!$H$10:$H$108)*(1+'AFP - Indicativa'!$D$6),0)))</f>
        <v>0</v>
      </c>
      <c r="C8" s="176">
        <f t="shared" si="0"/>
        <v>0</v>
      </c>
      <c r="D8" s="176">
        <f t="shared" si="1"/>
        <v>0</v>
      </c>
      <c r="E8" s="176">
        <f t="shared" si="1"/>
        <v>0</v>
      </c>
      <c r="F8" s="176">
        <f t="shared" si="1"/>
        <v>0</v>
      </c>
      <c r="G8" s="176">
        <f t="shared" si="1"/>
        <v>0</v>
      </c>
      <c r="H8" s="176">
        <f t="shared" si="1"/>
        <v>0</v>
      </c>
      <c r="I8" s="176">
        <f t="shared" si="1"/>
        <v>0</v>
      </c>
    </row>
    <row r="9" spans="1:18">
      <c r="A9" s="175"/>
      <c r="B9" s="176">
        <f>IF(Resumo!$B$5="Detalhada",SUMIF('AFP - Detalhada'!$E$10:$E$630,Esforço!A9,'AFP - Detalhada'!$Q$10:$Q$630),IF(Resumo!B8="Estimativa",SUMIF('AFP - Estimativa'!$F$10:$F$383,Esforço!A9,'AFP - Estimativa'!$I$10:$I$383)*(1+'AFP - Estimativa'!$C$6),IF(Resumo!B8="Indicativa",SUMIF('AFP - Indicativa'!$D$10:$D$108,Esforço!A9,'AFP - Indicativa'!$H$10:$H$108)*(1+'AFP - Indicativa'!$D$6),0)))</f>
        <v>0</v>
      </c>
      <c r="C9" s="176">
        <f t="shared" si="0"/>
        <v>0</v>
      </c>
      <c r="D9" s="176">
        <f t="shared" si="1"/>
        <v>0</v>
      </c>
      <c r="E9" s="176">
        <f t="shared" si="1"/>
        <v>0</v>
      </c>
      <c r="F9" s="176">
        <f t="shared" si="1"/>
        <v>0</v>
      </c>
      <c r="G9" s="176">
        <f t="shared" si="1"/>
        <v>0</v>
      </c>
      <c r="H9" s="176">
        <f t="shared" si="1"/>
        <v>0</v>
      </c>
      <c r="I9" s="176">
        <f t="shared" si="1"/>
        <v>0</v>
      </c>
    </row>
    <row r="10" spans="1:18">
      <c r="A10" s="175"/>
      <c r="B10" s="176">
        <f>IF(Resumo!$B$5="Detalhada",SUMIF('AFP - Detalhada'!$E$10:$E$630,Esforço!A10,'AFP - Detalhada'!$Q$10:$Q$630),IF(Resumo!B9="Estimativa",SUMIF('AFP - Estimativa'!$F$10:$F$383,Esforço!A10,'AFP - Estimativa'!$I$10:$I$383)*(1+'AFP - Estimativa'!$C$6),IF(Resumo!B9="Indicativa",SUMIF('AFP - Indicativa'!$D$10:$D$108,Esforço!A10,'AFP - Indicativa'!$H$10:$H$108)*(1+'AFP - Indicativa'!$D$6),0)))</f>
        <v>0</v>
      </c>
      <c r="C10" s="176">
        <f t="shared" si="0"/>
        <v>0</v>
      </c>
      <c r="D10" s="176">
        <f t="shared" si="1"/>
        <v>0</v>
      </c>
      <c r="E10" s="176">
        <f t="shared" si="1"/>
        <v>0</v>
      </c>
      <c r="F10" s="176">
        <f t="shared" si="1"/>
        <v>0</v>
      </c>
      <c r="G10" s="176">
        <f t="shared" si="1"/>
        <v>0</v>
      </c>
      <c r="H10" s="176">
        <f t="shared" si="1"/>
        <v>0</v>
      </c>
      <c r="I10" s="176">
        <f t="shared" si="1"/>
        <v>0</v>
      </c>
    </row>
    <row r="11" spans="1:18">
      <c r="A11" s="175"/>
      <c r="B11" s="176">
        <f>IF(Resumo!$B$5="Detalhada",SUMIF('AFP - Detalhada'!$E$10:$E$630,Esforço!A11,'AFP - Detalhada'!$Q$10:$Q$630),IF(Resumo!B10="Estimativa",SUMIF('AFP - Estimativa'!$F$10:$F$383,Esforço!A11,'AFP - Estimativa'!$I$10:$I$383)*(1+'AFP - Estimativa'!$C$6),IF(Resumo!B10="Indicativa",SUMIF('AFP - Indicativa'!$D$10:$D$108,Esforço!A11,'AFP - Indicativa'!$H$10:$H$108)*(1+'AFP - Indicativa'!$D$6),0)))</f>
        <v>0</v>
      </c>
      <c r="C11" s="176">
        <f t="shared" si="0"/>
        <v>0</v>
      </c>
      <c r="D11" s="176">
        <f t="shared" si="1"/>
        <v>0</v>
      </c>
      <c r="E11" s="176">
        <f t="shared" si="1"/>
        <v>0</v>
      </c>
      <c r="F11" s="176">
        <f t="shared" si="1"/>
        <v>0</v>
      </c>
      <c r="G11" s="176">
        <f t="shared" si="1"/>
        <v>0</v>
      </c>
      <c r="H11" s="176">
        <f t="shared" si="1"/>
        <v>0</v>
      </c>
      <c r="I11" s="176">
        <f t="shared" si="1"/>
        <v>0</v>
      </c>
    </row>
    <row r="12" spans="1:18">
      <c r="A12" s="175"/>
      <c r="B12" s="176">
        <f>IF(Resumo!$B$5="Detalhada",SUMIF('AFP - Detalhada'!$E$10:$E$630,Esforço!A12,'AFP - Detalhada'!$Q$10:$Q$630),IF(Resumo!B11="Estimativa",SUMIF('AFP - Estimativa'!$F$10:$F$383,Esforço!A12,'AFP - Estimativa'!$I$10:$I$383)*(1+'AFP - Estimativa'!$C$6),IF(Resumo!B11="Indicativa",SUMIF('AFP - Indicativa'!$D$10:$D$108,Esforço!A12,'AFP - Indicativa'!$H$10:$H$108)*(1+'AFP - Indicativa'!$D$6),0)))</f>
        <v>0</v>
      </c>
      <c r="C12" s="176">
        <f t="shared" si="0"/>
        <v>0</v>
      </c>
      <c r="D12" s="176">
        <f t="shared" si="1"/>
        <v>0</v>
      </c>
      <c r="E12" s="176">
        <f t="shared" si="1"/>
        <v>0</v>
      </c>
      <c r="F12" s="176">
        <f t="shared" si="1"/>
        <v>0</v>
      </c>
      <c r="G12" s="176">
        <f t="shared" si="1"/>
        <v>0</v>
      </c>
      <c r="H12" s="176">
        <f t="shared" si="1"/>
        <v>0</v>
      </c>
      <c r="I12" s="176">
        <f t="shared" si="1"/>
        <v>0</v>
      </c>
    </row>
    <row r="13" spans="1:18">
      <c r="A13" s="175"/>
      <c r="B13" s="176">
        <f>IF(Resumo!$B$5="Detalhada",SUMIF('AFP - Detalhada'!$E$10:$E$630,Esforço!A13,'AFP - Detalhada'!$Q$10:$Q$630),IF(Resumo!B12="Estimativa",SUMIF('AFP - Estimativa'!$F$10:$F$383,Esforço!A13,'AFP - Estimativa'!$I$10:$I$383)*(1+'AFP - Estimativa'!$C$6),IF(Resumo!B12="Indicativa",SUMIF('AFP - Indicativa'!$D$10:$D$108,Esforço!A13,'AFP - Indicativa'!$H$10:$H$108)*(1+'AFP - Indicativa'!$D$6),0)))</f>
        <v>0</v>
      </c>
      <c r="C13" s="176">
        <f t="shared" si="0"/>
        <v>0</v>
      </c>
      <c r="D13" s="176">
        <f t="shared" si="1"/>
        <v>0</v>
      </c>
      <c r="E13" s="176">
        <f t="shared" si="1"/>
        <v>0</v>
      </c>
      <c r="F13" s="176">
        <f t="shared" si="1"/>
        <v>0</v>
      </c>
      <c r="G13" s="176">
        <f t="shared" si="1"/>
        <v>0</v>
      </c>
      <c r="H13" s="176">
        <f t="shared" si="1"/>
        <v>0</v>
      </c>
      <c r="I13" s="176">
        <f t="shared" si="1"/>
        <v>0</v>
      </c>
    </row>
    <row r="14" spans="1:18">
      <c r="A14" s="175"/>
      <c r="B14" s="176">
        <f>IF(Resumo!$B$5="Detalhada",SUMIF('AFP - Detalhada'!$E$10:$E$630,Esforço!A14,'AFP - Detalhada'!$Q$10:$Q$630),IF(Resumo!B13="Estimativa",SUMIF('AFP - Estimativa'!$F$10:$F$383,Esforço!A14,'AFP - Estimativa'!$I$10:$I$383)*(1+'AFP - Estimativa'!$C$6),IF(Resumo!B13="Indicativa",SUMIF('AFP - Indicativa'!$D$10:$D$108,Esforço!A14,'AFP - Indicativa'!$H$10:$H$108)*(1+'AFP - Indicativa'!$D$6),0)))</f>
        <v>0</v>
      </c>
      <c r="C14" s="176">
        <f t="shared" si="0"/>
        <v>0</v>
      </c>
      <c r="D14" s="176">
        <f t="shared" si="1"/>
        <v>0</v>
      </c>
      <c r="E14" s="176">
        <f t="shared" si="1"/>
        <v>0</v>
      </c>
      <c r="F14" s="176">
        <f t="shared" si="1"/>
        <v>0</v>
      </c>
      <c r="G14" s="176">
        <f t="shared" si="1"/>
        <v>0</v>
      </c>
      <c r="H14" s="176">
        <f t="shared" si="1"/>
        <v>0</v>
      </c>
      <c r="I14" s="176">
        <f t="shared" si="1"/>
        <v>0</v>
      </c>
    </row>
    <row r="15" spans="1:18">
      <c r="A15" s="175"/>
      <c r="B15" s="176">
        <f>IF(Resumo!$B$5="Detalhada",SUMIF('AFP - Detalhada'!$E$10:$E$630,Esforço!A15,'AFP - Detalhada'!$Q$10:$Q$630),IF(Resumo!B14="Estimativa",SUMIF('AFP - Estimativa'!$F$10:$F$383,Esforço!A15,'AFP - Estimativa'!$I$10:$I$383)*(1+'AFP - Estimativa'!$C$6),IF(Resumo!B14="Indicativa",SUMIF('AFP - Indicativa'!$D$10:$D$108,Esforço!A15,'AFP - Indicativa'!$H$10:$H$108)*(1+'AFP - Indicativa'!$D$6),0)))</f>
        <v>0</v>
      </c>
      <c r="C15" s="176">
        <f t="shared" si="0"/>
        <v>0</v>
      </c>
      <c r="D15" s="176">
        <f t="shared" si="1"/>
        <v>0</v>
      </c>
      <c r="E15" s="176">
        <f t="shared" si="1"/>
        <v>0</v>
      </c>
      <c r="F15" s="176">
        <f t="shared" si="1"/>
        <v>0</v>
      </c>
      <c r="G15" s="176">
        <f t="shared" si="1"/>
        <v>0</v>
      </c>
      <c r="H15" s="176">
        <f t="shared" si="1"/>
        <v>0</v>
      </c>
      <c r="I15" s="176">
        <f t="shared" si="1"/>
        <v>0</v>
      </c>
    </row>
    <row r="16" spans="1:18">
      <c r="A16" s="175"/>
      <c r="B16" s="176">
        <f>IF(Resumo!$B$5="Detalhada",SUMIF('AFP - Detalhada'!$E$10:$E$630,Esforço!A16,'AFP - Detalhada'!$Q$10:$Q$630),IF(Resumo!B15="Estimativa",SUMIF('AFP - Estimativa'!$F$10:$F$383,Esforço!A16,'AFP - Estimativa'!$I$10:$I$383)*(1+'AFP - Estimativa'!$C$6),IF(Resumo!B15="Indicativa",SUMIF('AFP - Indicativa'!$D$10:$D$108,Esforço!A16,'AFP - Indicativa'!$H$10:$H$108)*(1+'AFP - Indicativa'!$D$6),0)))</f>
        <v>0</v>
      </c>
      <c r="C16" s="176">
        <f t="shared" si="0"/>
        <v>0</v>
      </c>
      <c r="D16" s="176">
        <f t="shared" ref="D16:I23" si="2">ROUND($C16*D$5,0)</f>
        <v>0</v>
      </c>
      <c r="E16" s="176">
        <f t="shared" si="2"/>
        <v>0</v>
      </c>
      <c r="F16" s="176">
        <f t="shared" si="2"/>
        <v>0</v>
      </c>
      <c r="G16" s="176">
        <f t="shared" si="2"/>
        <v>0</v>
      </c>
      <c r="H16" s="176">
        <f t="shared" si="2"/>
        <v>0</v>
      </c>
      <c r="I16" s="176">
        <f t="shared" si="2"/>
        <v>0</v>
      </c>
    </row>
    <row r="17" spans="1:9">
      <c r="A17" s="175"/>
      <c r="B17" s="176">
        <f>IF(Resumo!$B$5="Detalhada",SUMIF('AFP - Detalhada'!$E$10:$E$630,Esforço!A17,'AFP - Detalhada'!$Q$10:$Q$630),IF(Resumo!B16="Estimativa",SUMIF('AFP - Estimativa'!$F$10:$F$383,Esforço!A17,'AFP - Estimativa'!$I$10:$I$383)*(1+'AFP - Estimativa'!$C$6),IF(Resumo!B16="Indicativa",SUMIF('AFP - Indicativa'!$D$10:$D$108,Esforço!A17,'AFP - Indicativa'!$H$10:$H$108)*(1+'AFP - Indicativa'!$D$6),0)))</f>
        <v>0</v>
      </c>
      <c r="C17" s="176">
        <f t="shared" si="0"/>
        <v>0</v>
      </c>
      <c r="D17" s="176">
        <f t="shared" si="2"/>
        <v>0</v>
      </c>
      <c r="E17" s="176">
        <f t="shared" si="2"/>
        <v>0</v>
      </c>
      <c r="F17" s="176">
        <f t="shared" si="2"/>
        <v>0</v>
      </c>
      <c r="G17" s="176">
        <f t="shared" si="2"/>
        <v>0</v>
      </c>
      <c r="H17" s="176">
        <f t="shared" si="2"/>
        <v>0</v>
      </c>
      <c r="I17" s="176">
        <f t="shared" si="2"/>
        <v>0</v>
      </c>
    </row>
    <row r="18" spans="1:9">
      <c r="A18" s="175"/>
      <c r="B18" s="176">
        <f>IF(Resumo!$B$5="Detalhada",SUMIF('AFP - Detalhada'!$E$10:$E$630,Esforço!A18,'AFP - Detalhada'!$Q$10:$Q$630),IF(Resumo!B17="Estimativa",SUMIF('AFP - Estimativa'!$F$10:$F$383,Esforço!A18,'AFP - Estimativa'!$I$10:$I$383)*(1+'AFP - Estimativa'!$C$6),IF(Resumo!B17="Indicativa",SUMIF('AFP - Indicativa'!$D$10:$D$108,Esforço!A18,'AFP - Indicativa'!$H$10:$H$108)*(1+'AFP - Indicativa'!$D$6),0)))</f>
        <v>0</v>
      </c>
      <c r="C18" s="176">
        <f t="shared" si="0"/>
        <v>0</v>
      </c>
      <c r="D18" s="176">
        <f t="shared" si="2"/>
        <v>0</v>
      </c>
      <c r="E18" s="176">
        <f t="shared" si="2"/>
        <v>0</v>
      </c>
      <c r="F18" s="176">
        <f t="shared" si="2"/>
        <v>0</v>
      </c>
      <c r="G18" s="176">
        <f t="shared" si="2"/>
        <v>0</v>
      </c>
      <c r="H18" s="176">
        <f t="shared" si="2"/>
        <v>0</v>
      </c>
      <c r="I18" s="176">
        <f t="shared" si="2"/>
        <v>0</v>
      </c>
    </row>
    <row r="19" spans="1:9">
      <c r="A19" s="175"/>
      <c r="B19" s="176">
        <f>IF(Resumo!$B$5="Detalhada",SUMIF('AFP - Detalhada'!$E$10:$E$630,Esforço!A19,'AFP - Detalhada'!$Q$10:$Q$630),IF(Resumo!B18="Estimativa",SUMIF('AFP - Estimativa'!$F$10:$F$383,Esforço!A19,'AFP - Estimativa'!$I$10:$I$383)*(1+'AFP - Estimativa'!$C$6),IF(Resumo!B18="Indicativa",SUMIF('AFP - Indicativa'!$D$10:$D$108,Esforço!A19,'AFP - Indicativa'!$H$10:$H$108)*(1+'AFP - Indicativa'!$D$6),0)))</f>
        <v>0</v>
      </c>
      <c r="C19" s="176">
        <f t="shared" si="0"/>
        <v>0</v>
      </c>
      <c r="D19" s="176">
        <f t="shared" si="2"/>
        <v>0</v>
      </c>
      <c r="E19" s="176">
        <f t="shared" si="2"/>
        <v>0</v>
      </c>
      <c r="F19" s="176">
        <f t="shared" si="2"/>
        <v>0</v>
      </c>
      <c r="G19" s="176">
        <f t="shared" si="2"/>
        <v>0</v>
      </c>
      <c r="H19" s="176">
        <f t="shared" si="2"/>
        <v>0</v>
      </c>
      <c r="I19" s="176">
        <f t="shared" si="2"/>
        <v>0</v>
      </c>
    </row>
    <row r="20" spans="1:9">
      <c r="A20" s="175"/>
      <c r="B20" s="176">
        <f>IF(Resumo!$B$5="Detalhada",SUMIF('AFP - Detalhada'!$E$10:$E$630,Esforço!A20,'AFP - Detalhada'!$Q$10:$Q$630),IF(Resumo!B19="Estimativa",SUMIF('AFP - Estimativa'!$F$10:$F$383,Esforço!A20,'AFP - Estimativa'!$I$10:$I$383)*(1+'AFP - Estimativa'!$C$6),IF(Resumo!B19="Indicativa",SUMIF('AFP - Indicativa'!$D$10:$D$108,Esforço!A20,'AFP - Indicativa'!$H$10:$H$108)*(1+'AFP - Indicativa'!$D$6),0)))</f>
        <v>0</v>
      </c>
      <c r="C20" s="176">
        <f t="shared" si="0"/>
        <v>0</v>
      </c>
      <c r="D20" s="176">
        <f t="shared" si="2"/>
        <v>0</v>
      </c>
      <c r="E20" s="176">
        <f t="shared" si="2"/>
        <v>0</v>
      </c>
      <c r="F20" s="176">
        <f t="shared" si="2"/>
        <v>0</v>
      </c>
      <c r="G20" s="176">
        <f t="shared" si="2"/>
        <v>0</v>
      </c>
      <c r="H20" s="176">
        <f t="shared" si="2"/>
        <v>0</v>
      </c>
      <c r="I20" s="176">
        <f t="shared" si="2"/>
        <v>0</v>
      </c>
    </row>
    <row r="21" spans="1:9">
      <c r="A21" s="175"/>
      <c r="B21" s="176">
        <f>IF(Resumo!$B$5="Detalhada",SUMIF('AFP - Detalhada'!$E$10:$E$630,Esforço!A21,'AFP - Detalhada'!$Q$10:$Q$630),IF(Resumo!B20="Estimativa",SUMIF('AFP - Estimativa'!$F$10:$F$383,Esforço!A21,'AFP - Estimativa'!$I$10:$I$383)*(1+'AFP - Estimativa'!$C$6),IF(Resumo!B20="Indicativa",SUMIF('AFP - Indicativa'!$D$10:$D$108,Esforço!A21,'AFP - Indicativa'!$H$10:$H$108)*(1+'AFP - Indicativa'!$D$6),0)))</f>
        <v>0</v>
      </c>
      <c r="C21" s="176">
        <f t="shared" si="0"/>
        <v>0</v>
      </c>
      <c r="D21" s="176">
        <f t="shared" si="2"/>
        <v>0</v>
      </c>
      <c r="E21" s="176">
        <f t="shared" si="2"/>
        <v>0</v>
      </c>
      <c r="F21" s="176">
        <f t="shared" si="2"/>
        <v>0</v>
      </c>
      <c r="G21" s="176">
        <f t="shared" si="2"/>
        <v>0</v>
      </c>
      <c r="H21" s="176">
        <f t="shared" si="2"/>
        <v>0</v>
      </c>
      <c r="I21" s="176">
        <f t="shared" si="2"/>
        <v>0</v>
      </c>
    </row>
    <row r="22" spans="1:9">
      <c r="A22" s="175"/>
      <c r="B22" s="176">
        <f>IF(Resumo!$B$5="Detalhada",SUMIF('AFP - Detalhada'!$E$10:$E$630,Esforço!A22,'AFP - Detalhada'!$Q$10:$Q$630),IF(Resumo!B23="Estimativa",SUMIF('AFP - Estimativa'!$F$10:$F$383,Esforço!A22,'AFP - Estimativa'!$I$10:$I$383)*(1+'AFP - Estimativa'!$C$6),IF(Resumo!B23="Indicativa",SUMIF('AFP - Indicativa'!$D$10:$D$108,Esforço!A22,'AFP - Indicativa'!$H$10:$H$108)*(1+'AFP - Indicativa'!$D$6),0)))</f>
        <v>0</v>
      </c>
      <c r="C22" s="176">
        <f t="shared" si="0"/>
        <v>0</v>
      </c>
      <c r="D22" s="176">
        <f t="shared" si="2"/>
        <v>0</v>
      </c>
      <c r="E22" s="176">
        <f t="shared" si="2"/>
        <v>0</v>
      </c>
      <c r="F22" s="176">
        <f t="shared" si="2"/>
        <v>0</v>
      </c>
      <c r="G22" s="176">
        <f t="shared" si="2"/>
        <v>0</v>
      </c>
      <c r="H22" s="176">
        <f t="shared" si="2"/>
        <v>0</v>
      </c>
      <c r="I22" s="176">
        <f t="shared" si="2"/>
        <v>0</v>
      </c>
    </row>
    <row r="23" spans="1:9">
      <c r="A23" s="175"/>
      <c r="B23" s="176">
        <f>IF(Resumo!$B$5="Detalhada",SUMIF('AFP - Detalhada'!$E$10:$E$630,Esforço!A23,'AFP - Detalhada'!$Q$10:$Q$630),IF(Resumo!B24="Estimativa",SUMIF('AFP - Estimativa'!$F$10:$F$383,Esforço!A23,'AFP - Estimativa'!$I$10:$I$383)*(1+'AFP - Estimativa'!$C$6),IF(Resumo!B24="Indicativa",SUMIF('AFP - Indicativa'!$D$10:$D$108,Esforço!A23,'AFP - Indicativa'!$H$10:$H$108)*(1+'AFP - Indicativa'!$D$6),0)))</f>
        <v>0</v>
      </c>
      <c r="C23" s="176">
        <f t="shared" si="0"/>
        <v>0</v>
      </c>
      <c r="D23" s="176">
        <f t="shared" si="2"/>
        <v>0</v>
      </c>
      <c r="E23" s="176">
        <f t="shared" si="2"/>
        <v>0</v>
      </c>
      <c r="F23" s="176">
        <f t="shared" si="2"/>
        <v>0</v>
      </c>
      <c r="G23" s="176">
        <f t="shared" si="2"/>
        <v>0</v>
      </c>
      <c r="H23" s="176">
        <f t="shared" si="2"/>
        <v>0</v>
      </c>
      <c r="I23" s="176">
        <f t="shared" si="2"/>
        <v>0</v>
      </c>
    </row>
    <row r="24" spans="1:9">
      <c r="A24" s="177" t="s">
        <v>146</v>
      </c>
      <c r="B24" s="178">
        <f>SUM(B6:B23)</f>
        <v>0</v>
      </c>
      <c r="C24" s="178">
        <f>SUM(C6:C23)</f>
        <v>0</v>
      </c>
      <c r="D24" s="178">
        <f>SUM(D6:D23)</f>
        <v>0</v>
      </c>
      <c r="E24" s="178">
        <f>ROUND($C24*E$5,0)</f>
        <v>0</v>
      </c>
      <c r="F24" s="178">
        <f>SUM(F6:F23)</f>
        <v>0</v>
      </c>
      <c r="G24" s="178">
        <f>SUM(G6:G23)</f>
        <v>0</v>
      </c>
      <c r="H24" s="178">
        <f>SUM(H6:H23)</f>
        <v>0</v>
      </c>
      <c r="I24" s="178">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F81BD"/>
  </sheetPr>
  <dimension ref="A1:N192"/>
  <sheetViews>
    <sheetView zoomScale="70" zoomScaleNormal="70" workbookViewId="0">
      <selection activeCell="A16" sqref="A16"/>
    </sheetView>
  </sheetViews>
  <sheetFormatPr defaultColWidth="8.7109375" defaultRowHeight="12.75"/>
  <cols>
    <col min="1" max="1" width="59.5703125" style="168" customWidth="1" collapsed="1"/>
    <col min="2" max="2" width="16.140625" style="168" customWidth="1" collapsed="1"/>
    <col min="3" max="3" width="10.5703125" style="168" customWidth="1" collapsed="1"/>
    <col min="4" max="4" width="59.140625" style="179" customWidth="1" collapsed="1"/>
    <col min="5" max="5" width="10.140625" style="180" customWidth="1" collapsed="1"/>
    <col min="6" max="6" width="13.140625" style="181" customWidth="1" collapsed="1"/>
    <col min="7" max="8" width="8.85546875" style="181" customWidth="1" collapsed="1"/>
    <col min="9" max="9" width="8.7109375" style="168" customWidth="1" collapsed="1"/>
    <col min="10" max="10" width="35.140625" style="168" customWidth="1" collapsed="1"/>
    <col min="11" max="11" width="8.5703125" style="181" customWidth="1" collapsed="1"/>
    <col min="12" max="12" width="8.42578125" style="181" customWidth="1" collapsed="1"/>
    <col min="13" max="13" width="27.140625" style="168" customWidth="1" collapsed="1"/>
    <col min="14" max="14" width="45.140625" style="168" customWidth="1" collapsed="1"/>
    <col min="15" max="16384" width="8.7109375" style="168"/>
  </cols>
  <sheetData>
    <row r="1" spans="1:14" ht="14.1" customHeight="1">
      <c r="A1" s="291" t="s">
        <v>155</v>
      </c>
      <c r="B1" s="291"/>
      <c r="D1" s="292" t="s">
        <v>156</v>
      </c>
      <c r="E1" s="292"/>
      <c r="F1" s="292"/>
      <c r="G1" s="292"/>
      <c r="H1" s="292"/>
      <c r="J1" s="292" t="s">
        <v>24</v>
      </c>
      <c r="K1" s="292"/>
      <c r="L1" s="292"/>
      <c r="M1" s="292"/>
      <c r="N1" s="292"/>
    </row>
    <row r="2" spans="1:14" ht="14.1" customHeight="1">
      <c r="A2" s="182" t="s">
        <v>49</v>
      </c>
      <c r="B2" s="182" t="s">
        <v>157</v>
      </c>
      <c r="D2" s="183" t="s">
        <v>158</v>
      </c>
      <c r="E2" s="184" t="s">
        <v>159</v>
      </c>
      <c r="F2" s="184" t="s">
        <v>160</v>
      </c>
      <c r="G2" s="184" t="s">
        <v>161</v>
      </c>
      <c r="H2" s="184" t="s">
        <v>162</v>
      </c>
      <c r="J2" s="185" t="s">
        <v>163</v>
      </c>
      <c r="K2" s="186" t="s">
        <v>164</v>
      </c>
      <c r="L2" s="186" t="s">
        <v>49</v>
      </c>
      <c r="M2" s="186" t="s">
        <v>165</v>
      </c>
      <c r="N2" s="187" t="s">
        <v>61</v>
      </c>
    </row>
    <row r="3" spans="1:14" ht="14.1" customHeight="1">
      <c r="A3" s="183"/>
      <c r="B3" s="188"/>
      <c r="D3" s="183" t="s">
        <v>166</v>
      </c>
      <c r="E3" s="184" t="s">
        <v>159</v>
      </c>
      <c r="F3" s="184" t="s">
        <v>160</v>
      </c>
      <c r="G3" s="184" t="s">
        <v>161</v>
      </c>
      <c r="H3" s="184" t="s">
        <v>162</v>
      </c>
      <c r="J3" s="189" t="s">
        <v>229</v>
      </c>
      <c r="K3" s="190">
        <v>0.6</v>
      </c>
      <c r="L3" s="190"/>
      <c r="M3" s="191"/>
      <c r="N3" s="191" t="s">
        <v>230</v>
      </c>
    </row>
    <row r="4" spans="1:14" ht="14.1" customHeight="1">
      <c r="A4" s="183"/>
      <c r="B4" s="188"/>
      <c r="D4" s="183" t="s">
        <v>167</v>
      </c>
      <c r="E4" s="184" t="s">
        <v>159</v>
      </c>
      <c r="F4" s="184" t="s">
        <v>160</v>
      </c>
      <c r="G4" s="184" t="s">
        <v>161</v>
      </c>
      <c r="H4" s="184" t="s">
        <v>162</v>
      </c>
      <c r="J4" s="189" t="s">
        <v>231</v>
      </c>
      <c r="K4" s="190">
        <v>0.3</v>
      </c>
      <c r="L4" s="190"/>
      <c r="M4" s="191"/>
      <c r="N4" s="191" t="s">
        <v>232</v>
      </c>
    </row>
    <row r="5" spans="1:14" ht="14.1" customHeight="1">
      <c r="A5" s="183"/>
      <c r="B5" s="188"/>
      <c r="D5" s="183" t="s">
        <v>168</v>
      </c>
      <c r="E5" s="184" t="s">
        <v>159</v>
      </c>
      <c r="F5" s="184" t="s">
        <v>160</v>
      </c>
      <c r="G5" s="184" t="s">
        <v>161</v>
      </c>
      <c r="H5" s="184" t="s">
        <v>162</v>
      </c>
      <c r="J5" s="189" t="s">
        <v>233</v>
      </c>
      <c r="K5" s="190">
        <v>0.6</v>
      </c>
      <c r="L5" s="190"/>
      <c r="M5" s="191"/>
      <c r="N5" s="191" t="s">
        <v>234</v>
      </c>
    </row>
    <row r="6" spans="1:14" ht="14.1" customHeight="1">
      <c r="A6" s="183"/>
      <c r="B6" s="188"/>
      <c r="D6" s="183" t="s">
        <v>169</v>
      </c>
      <c r="E6" s="184" t="s">
        <v>159</v>
      </c>
      <c r="F6" s="184" t="s">
        <v>160</v>
      </c>
      <c r="G6" s="184" t="s">
        <v>161</v>
      </c>
      <c r="H6" s="184"/>
      <c r="J6" s="189" t="s">
        <v>235</v>
      </c>
      <c r="K6" s="190">
        <v>0.6</v>
      </c>
      <c r="L6" s="190"/>
      <c r="M6" s="191"/>
      <c r="N6" s="191" t="s">
        <v>236</v>
      </c>
    </row>
    <row r="7" spans="1:14" ht="14.1" customHeight="1">
      <c r="A7" s="183"/>
      <c r="B7" s="188"/>
      <c r="D7" s="183" t="s">
        <v>170</v>
      </c>
      <c r="E7" s="184" t="s">
        <v>159</v>
      </c>
      <c r="F7" s="184" t="s">
        <v>160</v>
      </c>
      <c r="G7" s="184" t="s">
        <v>161</v>
      </c>
      <c r="H7" s="184" t="s">
        <v>162</v>
      </c>
      <c r="J7" s="189"/>
      <c r="K7" s="190"/>
      <c r="L7" s="190"/>
      <c r="M7" s="191"/>
      <c r="N7" s="191"/>
    </row>
    <row r="8" spans="1:14" ht="14.1" customHeight="1">
      <c r="A8" s="183"/>
      <c r="B8" s="188"/>
      <c r="D8" s="192" t="s">
        <v>171</v>
      </c>
      <c r="E8" s="184" t="s">
        <v>159</v>
      </c>
      <c r="F8" s="184" t="s">
        <v>160</v>
      </c>
      <c r="G8" s="184"/>
      <c r="H8" s="184"/>
      <c r="J8" s="189"/>
      <c r="K8" s="190"/>
      <c r="L8" s="190"/>
      <c r="M8" s="191"/>
      <c r="N8" s="191"/>
    </row>
    <row r="9" spans="1:14" ht="14.1" customHeight="1">
      <c r="A9" s="193"/>
      <c r="B9" s="188"/>
      <c r="D9" s="192" t="s">
        <v>172</v>
      </c>
      <c r="E9" s="184" t="s">
        <v>159</v>
      </c>
      <c r="F9" s="184" t="s">
        <v>160</v>
      </c>
      <c r="G9" s="184" t="s">
        <v>161</v>
      </c>
      <c r="H9" s="184" t="s">
        <v>162</v>
      </c>
      <c r="J9" s="189"/>
      <c r="K9" s="190"/>
      <c r="L9" s="190"/>
      <c r="M9" s="191"/>
      <c r="N9" s="191"/>
    </row>
    <row r="10" spans="1:14" ht="14.1" customHeight="1">
      <c r="A10" s="193"/>
      <c r="B10" s="188"/>
      <c r="D10" s="183" t="s">
        <v>173</v>
      </c>
      <c r="E10" s="184" t="s">
        <v>159</v>
      </c>
      <c r="F10" s="184"/>
      <c r="G10" s="184"/>
      <c r="H10" s="184"/>
      <c r="J10" s="189"/>
      <c r="K10" s="190"/>
      <c r="L10" s="190"/>
      <c r="M10" s="191"/>
      <c r="N10" s="191"/>
    </row>
    <row r="11" spans="1:14" ht="14.1" customHeight="1">
      <c r="A11" s="193"/>
      <c r="B11" s="188"/>
      <c r="D11" s="183" t="s">
        <v>174</v>
      </c>
      <c r="E11" s="184" t="s">
        <v>159</v>
      </c>
      <c r="F11" s="184" t="s">
        <v>160</v>
      </c>
      <c r="G11" s="184"/>
      <c r="H11" s="184"/>
      <c r="J11" s="189"/>
      <c r="K11" s="190"/>
      <c r="L11" s="190"/>
      <c r="M11" s="191"/>
      <c r="N11" s="191"/>
    </row>
    <row r="12" spans="1:14" ht="14.1" customHeight="1">
      <c r="A12" s="193"/>
      <c r="B12" s="188"/>
      <c r="D12" s="183" t="s">
        <v>175</v>
      </c>
      <c r="E12" s="184" t="s">
        <v>159</v>
      </c>
      <c r="F12" s="184"/>
      <c r="G12" s="184"/>
      <c r="H12" s="184" t="s">
        <v>162</v>
      </c>
      <c r="J12" s="189"/>
      <c r="K12" s="190"/>
      <c r="L12" s="190"/>
      <c r="M12" s="191"/>
      <c r="N12" s="191"/>
    </row>
    <row r="13" spans="1:14" ht="14.1" customHeight="1">
      <c r="A13" s="192"/>
      <c r="B13" s="188"/>
      <c r="D13" s="183" t="s">
        <v>176</v>
      </c>
      <c r="E13" s="184"/>
      <c r="F13" s="184"/>
      <c r="G13" s="184"/>
      <c r="H13" s="184" t="s">
        <v>162</v>
      </c>
      <c r="J13" s="189"/>
      <c r="K13" s="190"/>
      <c r="L13" s="190"/>
      <c r="M13" s="191"/>
      <c r="N13" s="191"/>
    </row>
    <row r="14" spans="1:14" ht="14.1" customHeight="1">
      <c r="A14" s="192"/>
      <c r="B14" s="188"/>
      <c r="D14" s="183" t="s">
        <v>177</v>
      </c>
      <c r="E14" s="184"/>
      <c r="F14" s="184"/>
      <c r="G14" s="184"/>
      <c r="H14" s="184" t="s">
        <v>162</v>
      </c>
      <c r="J14" s="189"/>
      <c r="K14" s="190"/>
      <c r="L14" s="190"/>
      <c r="M14" s="191"/>
      <c r="N14" s="191"/>
    </row>
    <row r="15" spans="1:14" ht="14.1" customHeight="1">
      <c r="A15" s="183"/>
      <c r="B15" s="188"/>
      <c r="D15" s="192" t="s">
        <v>178</v>
      </c>
      <c r="E15" s="184"/>
      <c r="F15" s="184"/>
      <c r="G15" s="184"/>
      <c r="H15" s="184" t="s">
        <v>162</v>
      </c>
      <c r="J15" s="189"/>
      <c r="K15" s="190"/>
      <c r="L15" s="190"/>
      <c r="M15" s="191"/>
      <c r="N15" s="191"/>
    </row>
    <row r="16" spans="1:14">
      <c r="A16" s="183"/>
      <c r="B16" s="188"/>
      <c r="D16" s="183" t="s">
        <v>179</v>
      </c>
      <c r="E16" s="184"/>
      <c r="F16" s="184"/>
      <c r="G16" s="184" t="s">
        <v>161</v>
      </c>
      <c r="H16" s="184"/>
      <c r="J16" s="189"/>
      <c r="K16" s="190"/>
      <c r="L16" s="190"/>
      <c r="M16" s="191"/>
      <c r="N16" s="191"/>
    </row>
    <row r="17" spans="1:14" ht="14.1" customHeight="1">
      <c r="A17" s="183"/>
      <c r="B17" s="188"/>
      <c r="D17" s="183" t="s">
        <v>180</v>
      </c>
      <c r="E17" s="184" t="s">
        <v>159</v>
      </c>
      <c r="F17" s="184" t="s">
        <v>160</v>
      </c>
      <c r="G17" s="184" t="s">
        <v>161</v>
      </c>
      <c r="H17" s="184"/>
      <c r="J17" s="189"/>
      <c r="K17" s="190"/>
      <c r="L17" s="190"/>
      <c r="M17" s="191"/>
      <c r="N17" s="191"/>
    </row>
    <row r="18" spans="1:14" ht="14.1" customHeight="1">
      <c r="A18" s="183"/>
      <c r="B18" s="188"/>
      <c r="D18" s="183" t="s">
        <v>181</v>
      </c>
      <c r="E18" s="184" t="s">
        <v>159</v>
      </c>
      <c r="F18" s="184" t="s">
        <v>160</v>
      </c>
      <c r="G18" s="184" t="s">
        <v>161</v>
      </c>
      <c r="H18" s="184" t="s">
        <v>162</v>
      </c>
      <c r="J18" s="189"/>
      <c r="K18" s="190"/>
      <c r="L18" s="190"/>
      <c r="M18" s="191"/>
      <c r="N18" s="191"/>
    </row>
    <row r="19" spans="1:14" ht="14.1" customHeight="1">
      <c r="A19" s="193"/>
      <c r="B19" s="188"/>
      <c r="D19" s="183" t="s">
        <v>182</v>
      </c>
      <c r="E19" s="184"/>
      <c r="F19" s="184"/>
      <c r="G19" s="184"/>
      <c r="H19" s="184" t="s">
        <v>162</v>
      </c>
      <c r="J19" s="189"/>
      <c r="K19" s="190"/>
      <c r="L19" s="190"/>
      <c r="M19" s="191"/>
      <c r="N19" s="191"/>
    </row>
    <row r="20" spans="1:14" ht="14.1" customHeight="1">
      <c r="A20" s="193"/>
      <c r="B20" s="188"/>
      <c r="D20" s="183" t="s">
        <v>183</v>
      </c>
      <c r="E20" s="184"/>
      <c r="F20" s="184"/>
      <c r="G20" s="184" t="s">
        <v>161</v>
      </c>
      <c r="H20" s="184"/>
      <c r="J20" s="189"/>
      <c r="K20" s="190"/>
      <c r="L20" s="190"/>
      <c r="M20" s="191"/>
      <c r="N20" s="191"/>
    </row>
    <row r="21" spans="1:14" ht="14.1" customHeight="1">
      <c r="A21" s="192"/>
      <c r="B21" s="188"/>
      <c r="D21" s="183" t="s">
        <v>184</v>
      </c>
      <c r="E21" s="184" t="s">
        <v>159</v>
      </c>
      <c r="F21" s="184" t="s">
        <v>160</v>
      </c>
      <c r="G21" s="184" t="s">
        <v>161</v>
      </c>
      <c r="H21" s="184" t="s">
        <v>162</v>
      </c>
      <c r="J21" s="189"/>
      <c r="K21" s="190"/>
      <c r="L21" s="190"/>
      <c r="M21" s="191"/>
      <c r="N21" s="191"/>
    </row>
    <row r="22" spans="1:14" ht="14.1" customHeight="1">
      <c r="A22" s="192"/>
      <c r="B22" s="188"/>
      <c r="D22" s="183" t="s">
        <v>185</v>
      </c>
      <c r="E22" s="184" t="s">
        <v>159</v>
      </c>
      <c r="F22" s="184" t="s">
        <v>160</v>
      </c>
      <c r="G22" s="184" t="s">
        <v>161</v>
      </c>
      <c r="H22" s="184" t="s">
        <v>162</v>
      </c>
      <c r="J22" s="189"/>
      <c r="K22" s="190"/>
      <c r="L22" s="190"/>
      <c r="M22" s="191"/>
      <c r="N22" s="191"/>
    </row>
    <row r="23" spans="1:14" ht="14.1" customHeight="1">
      <c r="A23" s="192"/>
      <c r="B23" s="188"/>
      <c r="D23" s="183" t="s">
        <v>186</v>
      </c>
      <c r="E23" s="184" t="s">
        <v>159</v>
      </c>
      <c r="F23" s="184" t="s">
        <v>160</v>
      </c>
      <c r="G23" s="184" t="s">
        <v>161</v>
      </c>
      <c r="H23" s="184" t="s">
        <v>162</v>
      </c>
      <c r="J23" s="189"/>
      <c r="K23" s="190"/>
      <c r="L23" s="190"/>
      <c r="M23" s="191"/>
      <c r="N23" s="191"/>
    </row>
    <row r="24" spans="1:14" ht="14.1" customHeight="1">
      <c r="A24" s="192"/>
      <c r="B24" s="188"/>
      <c r="D24" s="183" t="s">
        <v>187</v>
      </c>
      <c r="E24" s="184" t="s">
        <v>159</v>
      </c>
      <c r="F24" s="184" t="s">
        <v>160</v>
      </c>
      <c r="G24" s="184" t="s">
        <v>161</v>
      </c>
      <c r="H24" s="184" t="s">
        <v>162</v>
      </c>
      <c r="J24" s="189"/>
      <c r="K24" s="190"/>
      <c r="L24" s="190"/>
      <c r="M24" s="191"/>
      <c r="N24" s="191"/>
    </row>
    <row r="25" spans="1:14" ht="14.1" customHeight="1">
      <c r="A25" s="192"/>
      <c r="B25" s="188"/>
      <c r="D25" s="183" t="s">
        <v>188</v>
      </c>
      <c r="E25" s="184" t="s">
        <v>159</v>
      </c>
      <c r="F25" s="184" t="s">
        <v>160</v>
      </c>
      <c r="G25" s="184"/>
      <c r="H25" s="184"/>
      <c r="J25" s="189"/>
      <c r="K25" s="190"/>
      <c r="L25" s="190"/>
      <c r="M25" s="191"/>
      <c r="N25" s="191"/>
    </row>
    <row r="26" spans="1:14" ht="14.1" customHeight="1">
      <c r="A26" s="192"/>
      <c r="B26" s="188"/>
      <c r="D26" s="183" t="s">
        <v>189</v>
      </c>
      <c r="E26" s="184" t="s">
        <v>159</v>
      </c>
      <c r="F26" s="184" t="s">
        <v>160</v>
      </c>
      <c r="G26" s="184" t="s">
        <v>161</v>
      </c>
      <c r="H26" s="184" t="s">
        <v>162</v>
      </c>
      <c r="J26" s="189"/>
      <c r="K26" s="190"/>
      <c r="L26" s="190"/>
      <c r="M26" s="191"/>
      <c r="N26" s="191"/>
    </row>
    <row r="27" spans="1:14" ht="14.1" customHeight="1">
      <c r="A27" s="192"/>
      <c r="B27" s="188"/>
      <c r="D27" s="183" t="s">
        <v>190</v>
      </c>
      <c r="E27" s="184" t="s">
        <v>159</v>
      </c>
      <c r="F27" s="184" t="s">
        <v>160</v>
      </c>
      <c r="G27" s="184" t="s">
        <v>161</v>
      </c>
      <c r="H27" s="184" t="s">
        <v>162</v>
      </c>
      <c r="J27" s="189"/>
      <c r="K27" s="190"/>
      <c r="L27" s="190"/>
      <c r="M27" s="191"/>
      <c r="N27" s="191"/>
    </row>
    <row r="28" spans="1:14" ht="14.1" customHeight="1">
      <c r="A28" s="192"/>
      <c r="B28" s="188"/>
      <c r="D28" s="183" t="s">
        <v>191</v>
      </c>
      <c r="E28" s="184" t="s">
        <v>159</v>
      </c>
      <c r="F28" s="184" t="s">
        <v>160</v>
      </c>
      <c r="G28" s="184" t="s">
        <v>161</v>
      </c>
      <c r="H28" s="184" t="s">
        <v>162</v>
      </c>
      <c r="J28" s="189"/>
      <c r="K28" s="190"/>
      <c r="L28" s="190"/>
      <c r="M28" s="191"/>
      <c r="N28" s="191"/>
    </row>
    <row r="29" spans="1:14" ht="14.1" customHeight="1">
      <c r="A29" s="192"/>
      <c r="B29" s="188"/>
      <c r="D29" s="183" t="s">
        <v>192</v>
      </c>
      <c r="E29" s="184" t="s">
        <v>159</v>
      </c>
      <c r="F29" s="184" t="s">
        <v>160</v>
      </c>
      <c r="G29" s="184" t="s">
        <v>161</v>
      </c>
      <c r="H29" s="184" t="s">
        <v>162</v>
      </c>
      <c r="J29" s="189"/>
      <c r="K29" s="190"/>
      <c r="L29" s="190"/>
      <c r="M29" s="191"/>
      <c r="N29" s="191"/>
    </row>
    <row r="30" spans="1:14" ht="14.1" customHeight="1">
      <c r="A30" s="192"/>
      <c r="B30" s="188"/>
      <c r="D30" s="183" t="s">
        <v>193</v>
      </c>
      <c r="E30" s="184" t="s">
        <v>159</v>
      </c>
      <c r="F30" s="184" t="s">
        <v>160</v>
      </c>
      <c r="G30" s="184" t="s">
        <v>161</v>
      </c>
      <c r="H30" s="184" t="s">
        <v>162</v>
      </c>
      <c r="J30" s="189"/>
      <c r="K30" s="190"/>
      <c r="L30" s="190"/>
      <c r="M30" s="191"/>
      <c r="N30" s="191"/>
    </row>
    <row r="31" spans="1:14" ht="14.1" customHeight="1">
      <c r="A31" s="192"/>
      <c r="B31" s="188"/>
      <c r="D31" s="183" t="s">
        <v>194</v>
      </c>
      <c r="E31" s="184" t="s">
        <v>159</v>
      </c>
      <c r="F31" s="184" t="s">
        <v>160</v>
      </c>
      <c r="G31" s="184" t="s">
        <v>161</v>
      </c>
      <c r="H31" s="184" t="s">
        <v>162</v>
      </c>
      <c r="J31" s="189"/>
      <c r="K31" s="190"/>
      <c r="L31" s="190"/>
      <c r="M31" s="191"/>
      <c r="N31" s="191"/>
    </row>
    <row r="32" spans="1:14" ht="14.1" customHeight="1">
      <c r="A32" s="192"/>
      <c r="B32" s="188"/>
      <c r="D32" s="183" t="s">
        <v>195</v>
      </c>
      <c r="E32" s="184" t="s">
        <v>159</v>
      </c>
      <c r="F32" s="184" t="s">
        <v>160</v>
      </c>
      <c r="G32" s="184" t="s">
        <v>161</v>
      </c>
      <c r="H32" s="184" t="s">
        <v>162</v>
      </c>
      <c r="J32" s="189"/>
      <c r="K32" s="190"/>
      <c r="L32" s="190"/>
      <c r="M32" s="191"/>
      <c r="N32" s="191"/>
    </row>
    <row r="33" spans="1:14" ht="14.1" customHeight="1">
      <c r="A33" s="192"/>
      <c r="B33" s="188"/>
      <c r="D33" s="183" t="s">
        <v>196</v>
      </c>
      <c r="E33" s="184" t="s">
        <v>159</v>
      </c>
      <c r="F33" s="184" t="s">
        <v>160</v>
      </c>
      <c r="G33" s="184" t="s">
        <v>161</v>
      </c>
      <c r="H33" s="184" t="s">
        <v>162</v>
      </c>
      <c r="J33" s="189"/>
      <c r="K33" s="190"/>
      <c r="L33" s="190"/>
      <c r="M33" s="191"/>
      <c r="N33" s="191"/>
    </row>
    <row r="34" spans="1:14" ht="14.1" customHeight="1">
      <c r="A34" s="192"/>
      <c r="B34" s="188"/>
      <c r="D34" s="183" t="s">
        <v>197</v>
      </c>
      <c r="E34" s="184" t="s">
        <v>159</v>
      </c>
      <c r="F34" s="184" t="s">
        <v>160</v>
      </c>
      <c r="G34" s="184" t="s">
        <v>161</v>
      </c>
      <c r="H34" s="184" t="s">
        <v>162</v>
      </c>
      <c r="J34" s="189"/>
      <c r="K34" s="190"/>
      <c r="L34" s="190"/>
      <c r="M34" s="191"/>
      <c r="N34" s="191"/>
    </row>
    <row r="35" spans="1:14" ht="14.1" customHeight="1">
      <c r="A35" s="192"/>
      <c r="B35" s="188"/>
      <c r="D35" s="183" t="s">
        <v>198</v>
      </c>
      <c r="E35" s="184" t="s">
        <v>159</v>
      </c>
      <c r="F35" s="184" t="s">
        <v>160</v>
      </c>
      <c r="G35" s="184" t="s">
        <v>161</v>
      </c>
      <c r="H35" s="184" t="s">
        <v>162</v>
      </c>
      <c r="J35" s="189"/>
      <c r="K35" s="190"/>
      <c r="L35" s="190"/>
      <c r="M35" s="191"/>
      <c r="N35" s="191"/>
    </row>
    <row r="36" spans="1:14" ht="14.1" customHeight="1">
      <c r="A36" s="192"/>
      <c r="B36" s="188"/>
      <c r="D36" s="183" t="s">
        <v>199</v>
      </c>
      <c r="E36" s="184" t="s">
        <v>159</v>
      </c>
      <c r="F36" s="184" t="s">
        <v>160</v>
      </c>
      <c r="G36" s="184" t="s">
        <v>161</v>
      </c>
      <c r="H36" s="184" t="s">
        <v>162</v>
      </c>
      <c r="J36" s="189"/>
      <c r="K36" s="190"/>
      <c r="L36" s="190"/>
      <c r="M36" s="191"/>
      <c r="N36" s="191"/>
    </row>
    <row r="37" spans="1:14" ht="14.1" customHeight="1">
      <c r="A37" s="192"/>
      <c r="B37" s="188"/>
      <c r="D37" s="183" t="s">
        <v>200</v>
      </c>
      <c r="E37" s="184" t="s">
        <v>159</v>
      </c>
      <c r="F37" s="184" t="s">
        <v>160</v>
      </c>
      <c r="G37" s="184" t="s">
        <v>161</v>
      </c>
      <c r="H37" s="184" t="s">
        <v>162</v>
      </c>
      <c r="J37" s="189"/>
      <c r="K37" s="190"/>
      <c r="L37" s="190"/>
      <c r="M37" s="191"/>
      <c r="N37" s="191"/>
    </row>
    <row r="38" spans="1:14" ht="14.1" customHeight="1">
      <c r="A38" s="192"/>
      <c r="B38" s="188"/>
      <c r="D38" s="183" t="s">
        <v>201</v>
      </c>
      <c r="E38" s="184" t="s">
        <v>159</v>
      </c>
      <c r="F38" s="184" t="s">
        <v>160</v>
      </c>
      <c r="G38" s="184" t="s">
        <v>161</v>
      </c>
      <c r="H38" s="184" t="s">
        <v>162</v>
      </c>
      <c r="J38" s="189"/>
      <c r="K38" s="190"/>
      <c r="L38" s="190"/>
      <c r="M38" s="191"/>
      <c r="N38" s="191"/>
    </row>
    <row r="39" spans="1:14" ht="14.1" customHeight="1">
      <c r="A39" s="192"/>
      <c r="B39" s="188"/>
      <c r="D39" s="183" t="s">
        <v>202</v>
      </c>
      <c r="E39" s="184" t="s">
        <v>159</v>
      </c>
      <c r="F39" s="184" t="s">
        <v>160</v>
      </c>
      <c r="G39" s="184" t="s">
        <v>161</v>
      </c>
      <c r="H39" s="184" t="s">
        <v>162</v>
      </c>
      <c r="J39" s="189"/>
      <c r="K39" s="190"/>
      <c r="L39" s="190"/>
      <c r="M39" s="191"/>
      <c r="N39" s="191"/>
    </row>
    <row r="40" spans="1:14" ht="14.1" customHeight="1">
      <c r="A40" s="193"/>
      <c r="B40" s="193"/>
      <c r="D40" s="183" t="s">
        <v>203</v>
      </c>
      <c r="E40" s="184" t="s">
        <v>159</v>
      </c>
      <c r="F40" s="184" t="s">
        <v>160</v>
      </c>
      <c r="G40" s="184" t="s">
        <v>161</v>
      </c>
      <c r="H40" s="184" t="s">
        <v>162</v>
      </c>
      <c r="J40" s="189"/>
      <c r="K40" s="190"/>
      <c r="L40" s="190"/>
      <c r="M40" s="191"/>
      <c r="N40" s="191"/>
    </row>
    <row r="41" spans="1:14" ht="14.1" customHeight="1">
      <c r="A41" s="193"/>
      <c r="B41" s="193"/>
      <c r="D41" s="183" t="s">
        <v>204</v>
      </c>
      <c r="E41" s="184" t="s">
        <v>159</v>
      </c>
      <c r="F41" s="184" t="s">
        <v>160</v>
      </c>
      <c r="G41" s="184" t="s">
        <v>161</v>
      </c>
      <c r="H41" s="184" t="s">
        <v>162</v>
      </c>
      <c r="J41" s="189"/>
      <c r="K41" s="190"/>
      <c r="L41" s="190"/>
      <c r="M41" s="191"/>
      <c r="N41" s="191"/>
    </row>
    <row r="42" spans="1:14" ht="14.1" customHeight="1">
      <c r="A42" s="193"/>
      <c r="B42" s="193"/>
      <c r="D42" s="183" t="s">
        <v>205</v>
      </c>
      <c r="E42" s="184" t="s">
        <v>159</v>
      </c>
      <c r="F42" s="184" t="s">
        <v>160</v>
      </c>
      <c r="G42" s="184" t="s">
        <v>161</v>
      </c>
      <c r="H42" s="184" t="s">
        <v>162</v>
      </c>
      <c r="J42" s="189"/>
      <c r="K42" s="190"/>
      <c r="L42" s="190"/>
      <c r="M42" s="191"/>
      <c r="N42" s="191"/>
    </row>
    <row r="43" spans="1:14" ht="14.1" customHeight="1">
      <c r="A43" s="193"/>
      <c r="B43" s="193"/>
      <c r="D43" s="183" t="s">
        <v>206</v>
      </c>
      <c r="E43" s="184" t="s">
        <v>159</v>
      </c>
      <c r="F43" s="184" t="s">
        <v>160</v>
      </c>
      <c r="G43" s="184" t="s">
        <v>161</v>
      </c>
      <c r="H43" s="184" t="s">
        <v>162</v>
      </c>
      <c r="J43" s="189"/>
      <c r="K43" s="190"/>
      <c r="L43" s="190"/>
      <c r="M43" s="191"/>
      <c r="N43" s="191"/>
    </row>
    <row r="44" spans="1:14" ht="14.1" customHeight="1">
      <c r="A44" s="193"/>
      <c r="B44" s="193"/>
      <c r="D44" s="183" t="s">
        <v>207</v>
      </c>
      <c r="E44" s="184" t="s">
        <v>159</v>
      </c>
      <c r="F44" s="184" t="s">
        <v>160</v>
      </c>
      <c r="G44" s="184" t="s">
        <v>161</v>
      </c>
      <c r="H44" s="184" t="s">
        <v>162</v>
      </c>
      <c r="J44" s="189"/>
      <c r="K44" s="190"/>
      <c r="L44" s="190"/>
      <c r="M44" s="191"/>
      <c r="N44" s="191"/>
    </row>
    <row r="45" spans="1:14" ht="14.1" customHeight="1">
      <c r="A45" s="193"/>
      <c r="B45" s="193"/>
      <c r="D45" s="183" t="s">
        <v>208</v>
      </c>
      <c r="E45" s="184" t="s">
        <v>159</v>
      </c>
      <c r="F45" s="184" t="s">
        <v>160</v>
      </c>
      <c r="G45" s="184" t="s">
        <v>161</v>
      </c>
      <c r="H45" s="184" t="s">
        <v>162</v>
      </c>
      <c r="J45" s="189"/>
      <c r="K45" s="190"/>
      <c r="L45" s="190"/>
      <c r="M45" s="191"/>
      <c r="N45" s="191"/>
    </row>
    <row r="46" spans="1:14" ht="14.1" customHeight="1">
      <c r="A46" s="193"/>
      <c r="B46" s="193"/>
      <c r="D46" s="183" t="s">
        <v>209</v>
      </c>
      <c r="E46" s="184" t="s">
        <v>159</v>
      </c>
      <c r="F46" s="184" t="s">
        <v>160</v>
      </c>
      <c r="G46" s="184" t="s">
        <v>161</v>
      </c>
      <c r="H46" s="184" t="s">
        <v>162</v>
      </c>
      <c r="J46" s="189"/>
      <c r="K46" s="190"/>
      <c r="L46" s="190"/>
      <c r="M46" s="191"/>
      <c r="N46" s="191"/>
    </row>
    <row r="47" spans="1:14" ht="14.1" customHeight="1">
      <c r="A47" s="193"/>
      <c r="B47" s="193"/>
      <c r="D47" s="183" t="s">
        <v>210</v>
      </c>
      <c r="E47" s="184" t="s">
        <v>159</v>
      </c>
      <c r="F47" s="184" t="s">
        <v>160</v>
      </c>
      <c r="G47" s="184" t="s">
        <v>161</v>
      </c>
      <c r="H47" s="184" t="s">
        <v>162</v>
      </c>
      <c r="J47" s="189"/>
      <c r="K47" s="190"/>
      <c r="L47" s="190"/>
      <c r="M47" s="191"/>
      <c r="N47" s="191"/>
    </row>
    <row r="48" spans="1:14" ht="14.1" customHeight="1">
      <c r="A48" s="193"/>
      <c r="B48" s="193"/>
      <c r="D48" s="183" t="s">
        <v>211</v>
      </c>
      <c r="E48" s="184" t="s">
        <v>159</v>
      </c>
      <c r="F48" s="184" t="s">
        <v>160</v>
      </c>
      <c r="G48" s="184" t="s">
        <v>161</v>
      </c>
      <c r="H48" s="184" t="s">
        <v>162</v>
      </c>
      <c r="J48" s="189"/>
      <c r="K48" s="190"/>
      <c r="L48" s="190"/>
      <c r="M48" s="191"/>
      <c r="N48" s="191"/>
    </row>
    <row r="49" spans="1:14" ht="14.1" customHeight="1">
      <c r="A49" s="193"/>
      <c r="B49" s="193"/>
      <c r="D49" s="183" t="s">
        <v>212</v>
      </c>
      <c r="E49" s="184" t="s">
        <v>159</v>
      </c>
      <c r="F49" s="184" t="s">
        <v>160</v>
      </c>
      <c r="G49" s="184" t="s">
        <v>161</v>
      </c>
      <c r="H49" s="184" t="s">
        <v>162</v>
      </c>
      <c r="J49" s="189"/>
      <c r="K49" s="190"/>
      <c r="L49" s="190"/>
      <c r="M49" s="191"/>
      <c r="N49" s="191"/>
    </row>
    <row r="50" spans="1:14" ht="14.1" customHeight="1">
      <c r="A50" s="193"/>
      <c r="B50" s="193"/>
      <c r="D50" s="183" t="s">
        <v>213</v>
      </c>
      <c r="E50" s="184" t="s">
        <v>159</v>
      </c>
      <c r="F50" s="184" t="s">
        <v>160</v>
      </c>
      <c r="G50" s="184" t="s">
        <v>161</v>
      </c>
      <c r="H50" s="184" t="s">
        <v>162</v>
      </c>
      <c r="J50" s="189"/>
      <c r="K50" s="190"/>
      <c r="L50" s="190"/>
      <c r="M50" s="191"/>
      <c r="N50" s="191"/>
    </row>
    <row r="51" spans="1:14" ht="14.1" customHeight="1">
      <c r="A51" s="193"/>
      <c r="B51" s="193"/>
      <c r="D51" s="183" t="s">
        <v>214</v>
      </c>
      <c r="E51" s="184" t="s">
        <v>159</v>
      </c>
      <c r="F51" s="184" t="s">
        <v>160</v>
      </c>
      <c r="G51" s="184" t="s">
        <v>161</v>
      </c>
      <c r="H51" s="184" t="s">
        <v>162</v>
      </c>
      <c r="J51" s="189"/>
      <c r="K51" s="190"/>
      <c r="L51" s="190"/>
      <c r="M51" s="191"/>
      <c r="N51" s="191"/>
    </row>
    <row r="52" spans="1:14" ht="14.1" customHeight="1">
      <c r="A52" s="193"/>
      <c r="B52" s="193"/>
      <c r="D52" s="183" t="s">
        <v>215</v>
      </c>
      <c r="E52" s="184" t="s">
        <v>159</v>
      </c>
      <c r="F52" s="184" t="s">
        <v>160</v>
      </c>
      <c r="G52" s="184" t="s">
        <v>161</v>
      </c>
      <c r="H52" s="184" t="s">
        <v>162</v>
      </c>
      <c r="J52" s="189"/>
      <c r="K52" s="190"/>
      <c r="L52" s="190"/>
      <c r="M52" s="191"/>
      <c r="N52" s="191"/>
    </row>
    <row r="53" spans="1:14" ht="14.1" customHeight="1">
      <c r="A53" s="193"/>
      <c r="B53" s="193"/>
      <c r="D53" s="183" t="s">
        <v>216</v>
      </c>
      <c r="E53" s="184" t="s">
        <v>159</v>
      </c>
      <c r="F53" s="184" t="s">
        <v>160</v>
      </c>
      <c r="G53" s="184" t="s">
        <v>161</v>
      </c>
      <c r="H53" s="184" t="s">
        <v>162</v>
      </c>
      <c r="J53" s="189"/>
      <c r="K53" s="190"/>
      <c r="L53" s="190"/>
      <c r="M53" s="191"/>
      <c r="N53" s="191"/>
    </row>
    <row r="54" spans="1:14" ht="14.1" customHeight="1">
      <c r="A54" s="193"/>
      <c r="B54" s="193"/>
      <c r="D54" s="168"/>
      <c r="E54" s="168"/>
      <c r="F54" s="168"/>
      <c r="G54" s="168"/>
      <c r="H54" s="168"/>
      <c r="J54" s="189"/>
      <c r="K54" s="190"/>
      <c r="L54" s="190"/>
      <c r="M54" s="191"/>
      <c r="N54" s="191"/>
    </row>
    <row r="55" spans="1:14" ht="14.1" customHeight="1">
      <c r="A55" s="193"/>
      <c r="B55" s="193"/>
      <c r="D55" s="168"/>
      <c r="E55" s="168"/>
      <c r="F55" s="168"/>
      <c r="G55" s="168"/>
      <c r="H55" s="168"/>
      <c r="J55" s="189"/>
      <c r="K55" s="190"/>
      <c r="L55" s="190"/>
      <c r="M55" s="191"/>
      <c r="N55" s="191"/>
    </row>
    <row r="56" spans="1:14" ht="14.1" customHeight="1">
      <c r="A56" s="193"/>
      <c r="B56" s="193"/>
      <c r="D56" s="168"/>
      <c r="E56" s="168"/>
      <c r="F56" s="168"/>
      <c r="G56" s="168"/>
      <c r="H56" s="168"/>
      <c r="J56" s="189"/>
      <c r="K56" s="190"/>
      <c r="L56" s="190"/>
      <c r="M56" s="191"/>
      <c r="N56" s="191"/>
    </row>
    <row r="57" spans="1:14" ht="14.1" customHeight="1">
      <c r="A57" s="193"/>
      <c r="B57" s="193"/>
      <c r="D57" s="168"/>
      <c r="E57" s="168"/>
      <c r="F57" s="168"/>
      <c r="G57" s="168"/>
      <c r="H57" s="168"/>
      <c r="J57" s="189"/>
      <c r="K57" s="190"/>
      <c r="L57" s="190"/>
      <c r="M57" s="191"/>
      <c r="N57" s="191"/>
    </row>
    <row r="58" spans="1:14" ht="14.1" customHeight="1">
      <c r="A58" s="193"/>
      <c r="B58" s="193"/>
      <c r="D58" s="168"/>
      <c r="E58" s="168"/>
      <c r="F58" s="168"/>
      <c r="G58" s="168"/>
      <c r="H58" s="168"/>
      <c r="J58" s="189"/>
      <c r="K58" s="190"/>
      <c r="L58" s="190"/>
      <c r="M58" s="191"/>
      <c r="N58" s="191"/>
    </row>
    <row r="59" spans="1:14" ht="14.1" customHeight="1">
      <c r="A59" s="193"/>
      <c r="B59" s="193"/>
      <c r="D59" s="168"/>
      <c r="E59" s="168"/>
      <c r="F59" s="168"/>
      <c r="G59" s="168"/>
      <c r="H59" s="168"/>
      <c r="J59" s="189"/>
      <c r="K59" s="190"/>
      <c r="L59" s="190"/>
      <c r="M59" s="191"/>
      <c r="N59" s="191"/>
    </row>
    <row r="60" spans="1:14" ht="14.1" customHeight="1">
      <c r="A60" s="193"/>
      <c r="B60" s="193"/>
      <c r="D60" s="168"/>
      <c r="E60" s="168"/>
      <c r="F60" s="168"/>
      <c r="G60" s="168"/>
      <c r="H60" s="168"/>
      <c r="J60" s="189"/>
      <c r="K60" s="190"/>
      <c r="L60" s="190"/>
      <c r="M60" s="191"/>
      <c r="N60" s="191"/>
    </row>
    <row r="61" spans="1:14" ht="14.1" customHeight="1">
      <c r="A61" s="193"/>
      <c r="B61" s="193"/>
      <c r="D61" s="168"/>
      <c r="E61" s="168"/>
      <c r="F61" s="168"/>
      <c r="G61" s="168"/>
      <c r="H61" s="168"/>
      <c r="J61" s="189"/>
      <c r="K61" s="190"/>
      <c r="L61" s="190"/>
      <c r="M61" s="191"/>
      <c r="N61" s="191"/>
    </row>
    <row r="62" spans="1:14" ht="14.1" customHeight="1">
      <c r="A62" s="193"/>
      <c r="B62" s="193"/>
      <c r="D62" s="168"/>
      <c r="E62" s="168"/>
      <c r="F62" s="168"/>
      <c r="G62" s="168"/>
      <c r="H62" s="168"/>
      <c r="J62" s="189"/>
      <c r="K62" s="190"/>
      <c r="L62" s="190"/>
      <c r="M62" s="191"/>
      <c r="N62" s="191"/>
    </row>
    <row r="63" spans="1:14" ht="14.1" customHeight="1">
      <c r="A63" s="193"/>
      <c r="B63" s="193"/>
      <c r="D63" s="168"/>
      <c r="E63" s="168"/>
      <c r="F63" s="168"/>
      <c r="G63" s="168"/>
      <c r="H63" s="168"/>
      <c r="J63" s="189"/>
      <c r="K63" s="190"/>
      <c r="L63" s="190"/>
      <c r="M63" s="191"/>
      <c r="N63" s="191"/>
    </row>
    <row r="64" spans="1:14" ht="14.1" customHeight="1">
      <c r="A64" s="193"/>
      <c r="B64" s="193"/>
      <c r="D64" s="168"/>
      <c r="E64" s="168"/>
      <c r="F64" s="168"/>
      <c r="G64" s="168"/>
      <c r="H64" s="168"/>
      <c r="J64" s="189"/>
      <c r="K64" s="190"/>
      <c r="L64" s="190"/>
      <c r="M64" s="191"/>
      <c r="N64" s="191"/>
    </row>
    <row r="65" spans="1:14" ht="14.1" customHeight="1">
      <c r="A65" s="193"/>
      <c r="B65" s="193"/>
      <c r="D65" s="168"/>
      <c r="E65" s="168"/>
      <c r="F65" s="168"/>
      <c r="G65" s="168"/>
      <c r="H65" s="168"/>
      <c r="J65" s="189"/>
      <c r="K65" s="190"/>
      <c r="L65" s="190"/>
      <c r="M65" s="191"/>
      <c r="N65" s="191"/>
    </row>
    <row r="66" spans="1:14" ht="14.1" customHeight="1">
      <c r="A66" s="193"/>
      <c r="B66" s="193"/>
      <c r="D66" s="168"/>
      <c r="E66" s="168"/>
      <c r="F66" s="168"/>
      <c r="G66" s="168"/>
      <c r="H66" s="168"/>
      <c r="J66" s="189"/>
      <c r="K66" s="190"/>
      <c r="L66" s="190"/>
      <c r="M66" s="191"/>
      <c r="N66" s="191"/>
    </row>
    <row r="67" spans="1:14" ht="14.1" customHeight="1">
      <c r="A67" s="193"/>
      <c r="B67" s="193"/>
      <c r="D67" s="168"/>
      <c r="E67" s="168"/>
      <c r="F67" s="168"/>
      <c r="G67" s="168"/>
      <c r="H67" s="168"/>
      <c r="J67" s="189"/>
      <c r="K67" s="190"/>
      <c r="L67" s="190"/>
      <c r="M67" s="191"/>
      <c r="N67" s="191"/>
    </row>
    <row r="68" spans="1:14" ht="14.1" customHeight="1">
      <c r="A68" s="193"/>
      <c r="B68" s="193"/>
      <c r="D68" s="168"/>
      <c r="E68" s="168"/>
      <c r="F68" s="168"/>
      <c r="G68" s="168"/>
      <c r="H68" s="168"/>
      <c r="J68" s="189"/>
      <c r="K68" s="190"/>
      <c r="L68" s="190"/>
      <c r="M68" s="191"/>
      <c r="N68" s="191"/>
    </row>
    <row r="69" spans="1:14" ht="14.1" customHeight="1">
      <c r="A69" s="193"/>
      <c r="B69" s="193"/>
      <c r="D69" s="168"/>
      <c r="E69" s="168"/>
      <c r="F69" s="168"/>
      <c r="G69" s="168"/>
      <c r="H69" s="168"/>
      <c r="J69" s="189"/>
      <c r="K69" s="190"/>
      <c r="L69" s="190"/>
      <c r="M69" s="191"/>
      <c r="N69" s="191"/>
    </row>
    <row r="70" spans="1:14" ht="14.1" customHeight="1">
      <c r="A70" s="193"/>
      <c r="B70" s="193"/>
      <c r="D70" s="168"/>
      <c r="E70" s="168"/>
      <c r="F70" s="168"/>
      <c r="G70" s="168"/>
      <c r="H70" s="168"/>
      <c r="J70" s="189"/>
      <c r="K70" s="190"/>
      <c r="L70" s="190"/>
      <c r="M70" s="191"/>
      <c r="N70" s="191"/>
    </row>
    <row r="71" spans="1:14" ht="14.1" customHeight="1">
      <c r="A71" s="193"/>
      <c r="B71" s="193"/>
      <c r="D71" s="168"/>
      <c r="E71" s="168"/>
      <c r="F71" s="168"/>
      <c r="G71" s="168"/>
      <c r="H71" s="168"/>
      <c r="J71" s="189"/>
      <c r="K71" s="190"/>
      <c r="L71" s="190"/>
      <c r="M71" s="191"/>
      <c r="N71" s="191"/>
    </row>
    <row r="72" spans="1:14" ht="14.1" customHeight="1">
      <c r="A72" s="193"/>
      <c r="B72" s="193"/>
      <c r="D72" s="168"/>
      <c r="E72" s="168"/>
      <c r="F72" s="168"/>
      <c r="G72" s="168"/>
      <c r="H72" s="168"/>
      <c r="J72" s="189"/>
      <c r="K72" s="190"/>
      <c r="L72" s="190"/>
      <c r="M72" s="191"/>
      <c r="N72" s="191"/>
    </row>
    <row r="73" spans="1:14" ht="14.1" customHeight="1">
      <c r="A73" s="193"/>
      <c r="B73" s="193"/>
      <c r="D73" s="168"/>
      <c r="E73" s="168"/>
      <c r="F73" s="168"/>
      <c r="G73" s="168"/>
      <c r="H73" s="168"/>
      <c r="J73" s="189"/>
      <c r="K73" s="190"/>
      <c r="L73" s="190"/>
      <c r="M73" s="191"/>
      <c r="N73" s="191"/>
    </row>
    <row r="74" spans="1:14" ht="14.1" customHeight="1">
      <c r="A74" s="193"/>
      <c r="B74" s="193"/>
      <c r="D74" s="168"/>
      <c r="E74" s="168"/>
      <c r="F74" s="168"/>
      <c r="G74" s="168"/>
      <c r="H74" s="168"/>
      <c r="J74" s="189"/>
      <c r="K74" s="190"/>
      <c r="L74" s="190"/>
      <c r="M74" s="191"/>
      <c r="N74" s="191"/>
    </row>
    <row r="75" spans="1:14" ht="14.1" customHeight="1">
      <c r="A75" s="193"/>
      <c r="B75" s="193"/>
      <c r="D75" s="168"/>
      <c r="E75" s="168"/>
      <c r="F75" s="168"/>
      <c r="G75" s="168"/>
      <c r="H75" s="168"/>
      <c r="J75" s="189"/>
      <c r="K75" s="190"/>
      <c r="L75" s="190"/>
      <c r="M75" s="191"/>
      <c r="N75" s="191"/>
    </row>
    <row r="76" spans="1:14" ht="14.1" customHeight="1">
      <c r="A76" s="193"/>
      <c r="B76" s="193"/>
      <c r="D76" s="168"/>
      <c r="E76" s="168"/>
      <c r="F76" s="168"/>
      <c r="G76" s="168"/>
      <c r="H76" s="168"/>
      <c r="J76" s="189"/>
      <c r="K76" s="190"/>
      <c r="L76" s="190"/>
      <c r="M76" s="191"/>
      <c r="N76" s="191"/>
    </row>
    <row r="77" spans="1:14" ht="14.1" customHeight="1">
      <c r="A77" s="193"/>
      <c r="B77" s="193"/>
      <c r="D77" s="168"/>
      <c r="E77" s="168"/>
      <c r="F77" s="168"/>
      <c r="G77" s="168"/>
      <c r="H77" s="168"/>
      <c r="J77" s="189"/>
      <c r="K77" s="190"/>
      <c r="L77" s="190"/>
      <c r="M77" s="191"/>
      <c r="N77" s="191"/>
    </row>
    <row r="78" spans="1:14" ht="14.1" customHeight="1">
      <c r="A78" s="193"/>
      <c r="B78" s="193"/>
      <c r="D78" s="168"/>
      <c r="E78" s="168"/>
      <c r="F78" s="168"/>
      <c r="G78" s="168"/>
      <c r="H78" s="168"/>
      <c r="J78" s="189"/>
      <c r="K78" s="190"/>
      <c r="L78" s="190"/>
      <c r="M78" s="191"/>
      <c r="N78" s="191"/>
    </row>
    <row r="79" spans="1:14" ht="14.1" customHeight="1">
      <c r="A79" s="193"/>
      <c r="B79" s="193"/>
      <c r="D79" s="168"/>
      <c r="E79" s="168"/>
      <c r="F79" s="168"/>
      <c r="G79" s="168"/>
      <c r="H79" s="168"/>
      <c r="J79" s="189"/>
      <c r="K79" s="190"/>
      <c r="L79" s="190"/>
      <c r="M79" s="191"/>
      <c r="N79" s="191"/>
    </row>
    <row r="80" spans="1:14" ht="14.1" customHeight="1">
      <c r="A80" s="193"/>
      <c r="B80" s="193"/>
      <c r="D80" s="168"/>
      <c r="E80" s="168"/>
      <c r="F80" s="168"/>
      <c r="G80" s="168"/>
      <c r="H80" s="168"/>
      <c r="J80" s="189"/>
      <c r="K80" s="190"/>
      <c r="L80" s="190"/>
      <c r="M80" s="191"/>
      <c r="N80" s="191"/>
    </row>
    <row r="81" spans="1:14" ht="14.1" customHeight="1">
      <c r="A81" s="193"/>
      <c r="B81" s="193"/>
      <c r="D81" s="168"/>
      <c r="E81" s="168"/>
      <c r="F81" s="168"/>
      <c r="G81" s="168"/>
      <c r="H81" s="168"/>
      <c r="J81" s="189"/>
      <c r="K81" s="190"/>
      <c r="L81" s="190"/>
      <c r="M81" s="191"/>
      <c r="N81" s="191"/>
    </row>
    <row r="82" spans="1:14" ht="14.1" customHeight="1">
      <c r="A82" s="193"/>
      <c r="B82" s="193"/>
      <c r="D82" s="168"/>
      <c r="E82" s="168"/>
      <c r="F82" s="168"/>
      <c r="G82" s="168"/>
      <c r="H82" s="168"/>
      <c r="J82" s="189"/>
      <c r="K82" s="190"/>
      <c r="L82" s="190"/>
      <c r="M82" s="191"/>
      <c r="N82" s="191"/>
    </row>
    <row r="83" spans="1:14" ht="14.1" customHeight="1">
      <c r="A83" s="193"/>
      <c r="B83" s="193"/>
      <c r="D83" s="168"/>
      <c r="E83" s="168"/>
      <c r="F83" s="168"/>
      <c r="G83" s="168"/>
      <c r="H83" s="168"/>
      <c r="J83" s="189"/>
      <c r="K83" s="190"/>
      <c r="L83" s="190"/>
      <c r="M83" s="191"/>
      <c r="N83" s="191"/>
    </row>
    <row r="84" spans="1:14" ht="14.1" customHeight="1">
      <c r="A84" s="193"/>
      <c r="B84" s="193"/>
      <c r="D84" s="168"/>
      <c r="E84" s="168"/>
      <c r="F84" s="168"/>
      <c r="G84" s="168"/>
      <c r="H84" s="168"/>
      <c r="J84" s="189"/>
      <c r="K84" s="190"/>
      <c r="L84" s="190"/>
      <c r="M84" s="191"/>
      <c r="N84" s="191"/>
    </row>
    <row r="85" spans="1:14" ht="14.1" customHeight="1">
      <c r="A85" s="193"/>
      <c r="B85" s="193"/>
      <c r="D85" s="168"/>
      <c r="E85" s="168"/>
      <c r="F85" s="168"/>
      <c r="G85" s="168"/>
      <c r="H85" s="168"/>
      <c r="J85" s="189"/>
      <c r="K85" s="190"/>
      <c r="L85" s="190"/>
      <c r="M85" s="191"/>
      <c r="N85" s="191"/>
    </row>
    <row r="86" spans="1:14" ht="14.1" customHeight="1">
      <c r="A86" s="193"/>
      <c r="B86" s="193"/>
      <c r="D86" s="168"/>
      <c r="E86" s="168"/>
      <c r="F86" s="168"/>
      <c r="G86" s="168"/>
      <c r="H86" s="168"/>
      <c r="J86" s="189"/>
      <c r="K86" s="190"/>
      <c r="L86" s="190"/>
      <c r="M86" s="191"/>
      <c r="N86" s="191"/>
    </row>
    <row r="87" spans="1:14" ht="14.1" customHeight="1">
      <c r="A87" s="193"/>
      <c r="B87" s="193"/>
      <c r="D87" s="168"/>
      <c r="E87" s="168"/>
      <c r="F87" s="168"/>
      <c r="G87" s="168"/>
      <c r="H87" s="168"/>
      <c r="J87" s="189"/>
      <c r="K87" s="190"/>
      <c r="L87" s="190"/>
      <c r="M87" s="191"/>
      <c r="N87" s="191"/>
    </row>
    <row r="88" spans="1:14" ht="14.1" customHeight="1">
      <c r="A88" s="193"/>
      <c r="B88" s="193"/>
      <c r="D88" s="168"/>
      <c r="E88" s="168"/>
      <c r="F88" s="168"/>
      <c r="G88" s="168"/>
      <c r="H88" s="168"/>
      <c r="J88" s="189"/>
      <c r="K88" s="190"/>
      <c r="L88" s="190"/>
      <c r="M88" s="191"/>
      <c r="N88" s="191"/>
    </row>
    <row r="89" spans="1:14" ht="14.1" customHeight="1">
      <c r="A89" s="193"/>
      <c r="B89" s="193"/>
      <c r="D89" s="168"/>
      <c r="E89" s="168"/>
      <c r="F89" s="168"/>
      <c r="G89" s="168"/>
      <c r="H89" s="168"/>
      <c r="J89" s="189"/>
      <c r="K89" s="190"/>
      <c r="L89" s="190"/>
      <c r="M89" s="191"/>
      <c r="N89" s="191"/>
    </row>
    <row r="90" spans="1:14" ht="14.1" customHeight="1">
      <c r="A90" s="193"/>
      <c r="B90" s="193"/>
      <c r="D90" s="168"/>
      <c r="E90" s="168"/>
      <c r="F90" s="168"/>
      <c r="G90" s="168"/>
      <c r="H90" s="168"/>
      <c r="J90" s="189"/>
      <c r="K90" s="190"/>
      <c r="L90" s="190"/>
      <c r="M90" s="191"/>
      <c r="N90" s="191"/>
    </row>
    <row r="91" spans="1:14" ht="14.1" customHeight="1">
      <c r="A91" s="193"/>
      <c r="B91" s="193"/>
      <c r="D91" s="168"/>
      <c r="E91" s="168"/>
      <c r="F91" s="168"/>
      <c r="G91" s="168"/>
      <c r="H91" s="168"/>
      <c r="J91" s="189"/>
      <c r="K91" s="190"/>
      <c r="L91" s="190"/>
      <c r="M91" s="191"/>
      <c r="N91" s="191"/>
    </row>
    <row r="92" spans="1:14" ht="14.1" customHeight="1">
      <c r="A92" s="193"/>
      <c r="B92" s="193"/>
      <c r="D92" s="168"/>
      <c r="E92" s="168"/>
      <c r="F92" s="168"/>
      <c r="G92" s="168"/>
      <c r="H92" s="168"/>
      <c r="J92" s="189"/>
      <c r="K92" s="190"/>
      <c r="L92" s="190"/>
      <c r="M92" s="191"/>
      <c r="N92" s="191"/>
    </row>
    <row r="93" spans="1:14" ht="14.1" customHeight="1">
      <c r="A93" s="193"/>
      <c r="B93" s="193"/>
      <c r="D93" s="168"/>
      <c r="E93" s="168"/>
      <c r="F93" s="168"/>
      <c r="G93" s="168"/>
      <c r="H93" s="168"/>
      <c r="J93" s="189"/>
      <c r="K93" s="190"/>
      <c r="L93" s="190"/>
      <c r="M93" s="191"/>
      <c r="N93" s="191"/>
    </row>
    <row r="94" spans="1:14" ht="14.1" customHeight="1">
      <c r="A94" s="193"/>
      <c r="B94" s="193"/>
      <c r="D94" s="168"/>
      <c r="E94" s="168"/>
      <c r="F94" s="168"/>
      <c r="G94" s="168"/>
      <c r="H94" s="168"/>
      <c r="J94" s="189"/>
      <c r="K94" s="190"/>
      <c r="L94" s="190"/>
      <c r="M94" s="191"/>
      <c r="N94" s="191"/>
    </row>
    <row r="95" spans="1:14" ht="14.1" customHeight="1">
      <c r="A95" s="193"/>
      <c r="B95" s="193"/>
      <c r="D95" s="168"/>
      <c r="E95" s="168"/>
      <c r="F95" s="168"/>
      <c r="G95" s="168"/>
      <c r="H95" s="168"/>
      <c r="J95" s="189"/>
      <c r="K95" s="190"/>
      <c r="L95" s="190"/>
      <c r="M95" s="191"/>
      <c r="N95" s="191"/>
    </row>
    <row r="96" spans="1:14" ht="14.1" customHeight="1">
      <c r="A96" s="193"/>
      <c r="B96" s="193"/>
      <c r="D96" s="168"/>
      <c r="E96" s="168"/>
      <c r="F96" s="168"/>
      <c r="G96" s="168"/>
      <c r="H96" s="168"/>
      <c r="J96" s="189"/>
      <c r="K96" s="190"/>
      <c r="L96" s="190"/>
      <c r="M96" s="191"/>
      <c r="N96" s="191"/>
    </row>
    <row r="97" spans="1:14" ht="14.1" customHeight="1">
      <c r="A97" s="193"/>
      <c r="B97" s="193"/>
      <c r="D97" s="168"/>
      <c r="E97" s="168"/>
      <c r="F97" s="168"/>
      <c r="G97" s="168"/>
      <c r="H97" s="168"/>
      <c r="J97" s="189"/>
      <c r="K97" s="190"/>
      <c r="L97" s="190"/>
      <c r="M97" s="191"/>
      <c r="N97" s="191"/>
    </row>
    <row r="98" spans="1:14" ht="14.1" customHeight="1">
      <c r="A98" s="193"/>
      <c r="B98" s="193"/>
      <c r="D98" s="168"/>
      <c r="E98" s="168"/>
      <c r="F98" s="168"/>
      <c r="G98" s="168"/>
      <c r="H98" s="168"/>
      <c r="J98" s="189"/>
      <c r="K98" s="190"/>
      <c r="L98" s="190"/>
      <c r="M98" s="191"/>
      <c r="N98" s="191"/>
    </row>
    <row r="99" spans="1:14" ht="14.1" customHeight="1">
      <c r="A99" s="193"/>
      <c r="B99" s="193"/>
      <c r="D99" s="168"/>
      <c r="E99" s="168"/>
      <c r="F99" s="168"/>
      <c r="G99" s="168"/>
      <c r="H99" s="168"/>
      <c r="J99" s="189"/>
      <c r="K99" s="190"/>
      <c r="L99" s="190"/>
      <c r="M99" s="191"/>
      <c r="N99" s="191"/>
    </row>
    <row r="100" spans="1:14" ht="14.1" customHeight="1">
      <c r="A100" s="193"/>
      <c r="B100" s="193"/>
      <c r="D100" s="168"/>
      <c r="E100" s="168"/>
      <c r="F100" s="168"/>
      <c r="G100" s="168"/>
      <c r="H100" s="168"/>
      <c r="J100" s="189"/>
      <c r="K100" s="190"/>
      <c r="L100" s="190"/>
      <c r="M100" s="191"/>
      <c r="N100" s="191"/>
    </row>
    <row r="101" spans="1:14" ht="14.1" customHeight="1">
      <c r="D101" s="168"/>
      <c r="E101" s="168"/>
      <c r="F101" s="168"/>
      <c r="G101" s="168"/>
      <c r="H101" s="168"/>
      <c r="J101" s="189"/>
      <c r="K101" s="190"/>
      <c r="L101" s="190"/>
      <c r="M101" s="191"/>
      <c r="N101" s="191"/>
    </row>
    <row r="102" spans="1:14" ht="14.1" customHeight="1">
      <c r="D102" s="168"/>
      <c r="E102" s="168"/>
      <c r="F102" s="168"/>
      <c r="G102" s="168"/>
      <c r="H102" s="168"/>
      <c r="J102" s="189"/>
      <c r="K102" s="190"/>
      <c r="L102" s="190"/>
      <c r="M102" s="191"/>
      <c r="N102" s="191"/>
    </row>
    <row r="103" spans="1:14" ht="14.1" customHeight="1">
      <c r="D103" s="168"/>
      <c r="E103" s="168"/>
      <c r="F103" s="168"/>
      <c r="G103" s="168"/>
      <c r="H103" s="168"/>
      <c r="J103" s="189"/>
      <c r="K103" s="190"/>
      <c r="L103" s="190"/>
      <c r="M103" s="191"/>
      <c r="N103" s="191"/>
    </row>
    <row r="104" spans="1:14" ht="14.1" customHeight="1">
      <c r="D104" s="168"/>
      <c r="E104" s="168"/>
      <c r="F104" s="168"/>
      <c r="G104" s="168"/>
      <c r="H104" s="168"/>
    </row>
    <row r="105" spans="1:14" ht="14.1" customHeight="1">
      <c r="D105" s="168"/>
      <c r="E105" s="168"/>
      <c r="F105" s="168"/>
      <c r="G105" s="168"/>
      <c r="H105" s="168"/>
    </row>
    <row r="106" spans="1:14" ht="14.1" customHeight="1">
      <c r="D106" s="168"/>
      <c r="E106" s="168"/>
      <c r="F106" s="168"/>
      <c r="G106" s="168"/>
      <c r="H106" s="168"/>
    </row>
    <row r="107" spans="1:14" ht="14.1" customHeight="1">
      <c r="D107" s="168"/>
      <c r="E107" s="168"/>
      <c r="F107" s="168"/>
      <c r="G107" s="168"/>
      <c r="H107" s="168"/>
    </row>
    <row r="108" spans="1:14" ht="14.1" customHeight="1">
      <c r="D108" s="168"/>
      <c r="E108" s="168"/>
      <c r="F108" s="168"/>
      <c r="G108" s="168"/>
      <c r="H108" s="168"/>
    </row>
    <row r="109" spans="1:14" ht="14.1" customHeight="1">
      <c r="D109" s="168"/>
      <c r="E109" s="168"/>
      <c r="F109" s="168"/>
      <c r="G109" s="168"/>
      <c r="H109" s="168"/>
    </row>
    <row r="110" spans="1:14" ht="14.1" customHeight="1">
      <c r="D110" s="168"/>
      <c r="E110" s="168"/>
      <c r="F110" s="168"/>
      <c r="G110" s="168"/>
      <c r="H110" s="168"/>
    </row>
    <row r="111" spans="1:14" ht="14.1" customHeight="1">
      <c r="D111" s="168"/>
      <c r="E111" s="168"/>
      <c r="F111" s="168"/>
      <c r="G111" s="168"/>
      <c r="H111" s="168"/>
    </row>
    <row r="112" spans="1:14" ht="14.1" customHeight="1">
      <c r="D112" s="168"/>
      <c r="E112" s="168"/>
      <c r="F112" s="168"/>
      <c r="G112" s="168"/>
      <c r="H112" s="168"/>
    </row>
    <row r="113" spans="11:12" s="168" customFormat="1" ht="14.1" customHeight="1">
      <c r="K113" s="181"/>
      <c r="L113" s="181"/>
    </row>
    <row r="114" spans="11:12" s="168" customFormat="1" ht="14.1" customHeight="1">
      <c r="K114" s="181"/>
      <c r="L114" s="181"/>
    </row>
    <row r="115" spans="11:12" s="168" customFormat="1" ht="14.1" customHeight="1">
      <c r="K115" s="181"/>
      <c r="L115" s="181"/>
    </row>
    <row r="116" spans="11:12" s="168" customFormat="1" ht="14.1" customHeight="1">
      <c r="K116" s="181"/>
      <c r="L116" s="181"/>
    </row>
    <row r="117" spans="11:12" s="168" customFormat="1" ht="14.1" customHeight="1">
      <c r="K117" s="181"/>
      <c r="L117" s="181"/>
    </row>
    <row r="118" spans="11:12" s="168" customFormat="1" ht="14.1" customHeight="1">
      <c r="K118" s="181"/>
      <c r="L118" s="181"/>
    </row>
    <row r="119" spans="11:12" s="168" customFormat="1" ht="14.1" customHeight="1">
      <c r="K119" s="181"/>
      <c r="L119" s="181"/>
    </row>
    <row r="120" spans="11:12" s="168" customFormat="1" ht="14.1" customHeight="1">
      <c r="K120" s="181"/>
      <c r="L120" s="181"/>
    </row>
    <row r="121" spans="11:12" s="168" customFormat="1" ht="14.1" customHeight="1">
      <c r="K121" s="181"/>
      <c r="L121" s="181"/>
    </row>
    <row r="122" spans="11:12" s="168" customFormat="1" ht="14.1" customHeight="1">
      <c r="K122" s="181"/>
      <c r="L122" s="181"/>
    </row>
    <row r="123" spans="11:12" s="168" customFormat="1" ht="14.1" customHeight="1">
      <c r="K123" s="181"/>
      <c r="L123" s="181"/>
    </row>
    <row r="124" spans="11:12" s="168" customFormat="1" ht="14.1" customHeight="1">
      <c r="K124" s="181"/>
      <c r="L124" s="181"/>
    </row>
    <row r="125" spans="11:12" s="168" customFormat="1" ht="14.1" customHeight="1">
      <c r="K125" s="181"/>
      <c r="L125" s="181"/>
    </row>
    <row r="126" spans="11:12" s="168" customFormat="1" ht="14.1" customHeight="1">
      <c r="K126" s="181"/>
      <c r="L126" s="181"/>
    </row>
    <row r="127" spans="11:12" s="168" customFormat="1" ht="14.1" customHeight="1">
      <c r="K127" s="181"/>
      <c r="L127" s="181"/>
    </row>
    <row r="128" spans="11:12" s="168" customFormat="1" ht="14.1" customHeight="1">
      <c r="K128" s="181"/>
      <c r="L128" s="181"/>
    </row>
    <row r="129" spans="11:12" s="168" customFormat="1" ht="14.1" customHeight="1">
      <c r="K129" s="181"/>
      <c r="L129" s="181"/>
    </row>
    <row r="130" spans="11:12" s="168" customFormat="1" ht="14.1" customHeight="1">
      <c r="K130" s="181"/>
      <c r="L130" s="181"/>
    </row>
    <row r="131" spans="11:12" s="168" customFormat="1" ht="14.1" customHeight="1">
      <c r="K131" s="181"/>
      <c r="L131" s="181"/>
    </row>
    <row r="132" spans="11:12" s="168" customFormat="1" ht="14.1" customHeight="1">
      <c r="K132" s="181"/>
      <c r="L132" s="181"/>
    </row>
    <row r="133" spans="11:12" s="168" customFormat="1" ht="14.1" customHeight="1">
      <c r="K133" s="181"/>
      <c r="L133" s="181"/>
    </row>
    <row r="134" spans="11:12" s="168" customFormat="1" ht="14.1" customHeight="1">
      <c r="K134" s="181"/>
      <c r="L134" s="181"/>
    </row>
    <row r="135" spans="11:12" s="168" customFormat="1" ht="14.1" customHeight="1">
      <c r="K135" s="181"/>
      <c r="L135" s="181"/>
    </row>
    <row r="136" spans="11:12" s="168" customFormat="1" ht="14.1" customHeight="1">
      <c r="K136" s="181"/>
      <c r="L136" s="181"/>
    </row>
    <row r="137" spans="11:12" s="168" customFormat="1" ht="14.1" customHeight="1">
      <c r="K137" s="181"/>
      <c r="L137" s="181"/>
    </row>
    <row r="138" spans="11:12" s="168" customFormat="1" ht="14.1" customHeight="1">
      <c r="K138" s="181"/>
      <c r="L138" s="181"/>
    </row>
    <row r="139" spans="11:12" s="168" customFormat="1" ht="14.1" customHeight="1">
      <c r="K139" s="181"/>
      <c r="L139" s="181"/>
    </row>
    <row r="140" spans="11:12" s="168" customFormat="1" ht="14.1" customHeight="1">
      <c r="K140" s="181"/>
      <c r="L140" s="181"/>
    </row>
    <row r="141" spans="11:12" s="168" customFormat="1" ht="14.1" customHeight="1">
      <c r="K141" s="181"/>
      <c r="L141" s="181"/>
    </row>
    <row r="142" spans="11:12" s="168" customFormat="1" ht="14.1" customHeight="1">
      <c r="K142" s="181"/>
      <c r="L142" s="181"/>
    </row>
    <row r="143" spans="11:12" s="168" customFormat="1" ht="14.1" customHeight="1">
      <c r="K143" s="181"/>
      <c r="L143" s="181"/>
    </row>
    <row r="144" spans="11:12" s="168" customFormat="1" ht="14.1" customHeight="1">
      <c r="K144" s="181"/>
      <c r="L144" s="181"/>
    </row>
    <row r="145" spans="3:8" ht="14.1" customHeight="1">
      <c r="D145" s="168"/>
      <c r="E145" s="168"/>
      <c r="F145" s="168"/>
      <c r="G145" s="168"/>
      <c r="H145" s="168"/>
    </row>
    <row r="146" spans="3:8" ht="14.1" customHeight="1">
      <c r="D146" s="168"/>
      <c r="E146" s="168"/>
      <c r="F146" s="168"/>
      <c r="G146" s="168"/>
      <c r="H146" s="168"/>
    </row>
    <row r="147" spans="3:8" ht="14.1" customHeight="1">
      <c r="D147" s="168"/>
      <c r="E147" s="168"/>
      <c r="F147" s="168"/>
      <c r="G147" s="168"/>
      <c r="H147" s="168"/>
    </row>
    <row r="148" spans="3:8" ht="14.1" customHeight="1">
      <c r="D148" s="168"/>
      <c r="E148" s="168"/>
      <c r="F148" s="168"/>
      <c r="G148" s="168"/>
      <c r="H148" s="168"/>
    </row>
    <row r="149" spans="3:8" ht="14.1" customHeight="1">
      <c r="C149" s="194"/>
      <c r="D149" s="168"/>
      <c r="E149" s="168"/>
      <c r="F149" s="168"/>
      <c r="G149" s="168"/>
      <c r="H149" s="168"/>
    </row>
    <row r="150" spans="3:8" ht="14.1" customHeight="1">
      <c r="C150" s="194"/>
      <c r="D150" s="168"/>
      <c r="E150" s="168"/>
      <c r="F150" s="168"/>
      <c r="G150" s="168"/>
      <c r="H150" s="168"/>
    </row>
    <row r="151" spans="3:8" ht="14.1" customHeight="1">
      <c r="C151" s="194"/>
      <c r="D151" s="168"/>
      <c r="E151" s="168"/>
      <c r="F151" s="168"/>
      <c r="G151" s="168"/>
      <c r="H151" s="168"/>
    </row>
    <row r="152" spans="3:8" ht="14.1" customHeight="1">
      <c r="C152" s="194"/>
      <c r="D152" s="168"/>
      <c r="E152" s="168"/>
      <c r="F152" s="168"/>
      <c r="G152" s="168"/>
      <c r="H152" s="168"/>
    </row>
    <row r="153" spans="3:8" ht="14.1" customHeight="1">
      <c r="C153" s="194"/>
      <c r="D153" s="168"/>
      <c r="E153" s="168"/>
      <c r="F153" s="168"/>
      <c r="G153" s="168"/>
      <c r="H153" s="168"/>
    </row>
    <row r="154" spans="3:8" ht="14.1" customHeight="1">
      <c r="C154" s="194"/>
      <c r="D154" s="168"/>
      <c r="E154" s="168"/>
      <c r="F154" s="168"/>
      <c r="G154" s="168"/>
      <c r="H154" s="168"/>
    </row>
    <row r="155" spans="3:8" ht="14.1" customHeight="1">
      <c r="C155" s="194"/>
      <c r="D155" s="168"/>
      <c r="E155" s="168"/>
      <c r="F155" s="168"/>
      <c r="G155" s="168"/>
      <c r="H155" s="168"/>
    </row>
    <row r="156" spans="3:8" ht="14.1" customHeight="1">
      <c r="C156" s="194"/>
      <c r="D156" s="168"/>
      <c r="E156" s="168"/>
      <c r="F156" s="168"/>
      <c r="G156" s="168"/>
      <c r="H156" s="168"/>
    </row>
    <row r="157" spans="3:8" ht="14.1" customHeight="1">
      <c r="C157" s="194"/>
      <c r="D157" s="168"/>
      <c r="E157" s="168"/>
      <c r="F157" s="168"/>
      <c r="G157" s="168"/>
      <c r="H157" s="168"/>
    </row>
    <row r="158" spans="3:8" ht="14.1" customHeight="1">
      <c r="C158" s="194"/>
      <c r="D158" s="168"/>
      <c r="E158" s="168"/>
      <c r="F158" s="168"/>
      <c r="G158" s="168"/>
      <c r="H158" s="168"/>
    </row>
    <row r="159" spans="3:8" ht="14.1" customHeight="1">
      <c r="C159" s="194"/>
      <c r="D159" s="168"/>
      <c r="E159" s="168"/>
      <c r="F159" s="168"/>
      <c r="G159" s="168"/>
      <c r="H159" s="168"/>
    </row>
    <row r="160" spans="3:8" ht="14.1" customHeight="1">
      <c r="C160" s="194"/>
      <c r="D160" s="168"/>
      <c r="E160" s="168"/>
      <c r="F160" s="168"/>
      <c r="G160" s="168"/>
      <c r="H160" s="168"/>
    </row>
    <row r="161" spans="3:8" ht="14.1" customHeight="1">
      <c r="C161" s="194"/>
      <c r="D161" s="168"/>
      <c r="E161" s="168"/>
      <c r="F161" s="168"/>
      <c r="G161" s="168"/>
      <c r="H161" s="168"/>
    </row>
    <row r="162" spans="3:8" ht="14.1" customHeight="1">
      <c r="C162" s="194"/>
      <c r="D162" s="168"/>
      <c r="E162" s="168"/>
      <c r="F162" s="168"/>
      <c r="G162" s="168"/>
      <c r="H162" s="168"/>
    </row>
    <row r="163" spans="3:8" ht="14.1" customHeight="1">
      <c r="C163" s="194"/>
      <c r="D163" s="168"/>
      <c r="E163" s="168"/>
      <c r="F163" s="168"/>
      <c r="G163" s="168"/>
      <c r="H163" s="168"/>
    </row>
    <row r="164" spans="3:8" ht="14.1" customHeight="1">
      <c r="C164" s="194"/>
      <c r="D164" s="168"/>
      <c r="E164" s="168"/>
      <c r="F164" s="168"/>
      <c r="G164" s="168"/>
      <c r="H164" s="168"/>
    </row>
    <row r="165" spans="3:8" ht="14.1" customHeight="1">
      <c r="C165" s="194"/>
      <c r="D165" s="168"/>
      <c r="E165" s="168"/>
      <c r="F165" s="168"/>
      <c r="G165" s="168"/>
      <c r="H165" s="168"/>
    </row>
    <row r="166" spans="3:8" ht="14.1" customHeight="1">
      <c r="C166" s="194"/>
      <c r="D166" s="168"/>
      <c r="E166" s="168"/>
      <c r="F166" s="168"/>
      <c r="G166" s="168"/>
      <c r="H166" s="168"/>
    </row>
    <row r="167" spans="3:8" ht="14.1" customHeight="1">
      <c r="C167" s="194"/>
      <c r="D167" s="168"/>
      <c r="E167" s="168"/>
      <c r="F167" s="168"/>
      <c r="G167" s="168"/>
      <c r="H167" s="168"/>
    </row>
    <row r="168" spans="3:8" ht="14.1" customHeight="1">
      <c r="C168" s="194"/>
      <c r="D168" s="168"/>
      <c r="E168" s="168"/>
      <c r="F168" s="168"/>
      <c r="G168" s="168"/>
      <c r="H168" s="168"/>
    </row>
    <row r="169" spans="3:8" ht="14.1" customHeight="1">
      <c r="C169" s="194"/>
      <c r="D169" s="168"/>
      <c r="E169" s="168"/>
      <c r="F169" s="168"/>
      <c r="G169" s="168"/>
      <c r="H169" s="168"/>
    </row>
    <row r="170" spans="3:8" ht="14.1" customHeight="1">
      <c r="C170" s="194"/>
      <c r="D170" s="179" t="str">
        <f t="shared" ref="D170:D192" si="0">C170&amp;" - "</f>
        <v xml:space="preserve"> - </v>
      </c>
      <c r="F170" s="168"/>
    </row>
    <row r="171" spans="3:8" ht="14.1" customHeight="1">
      <c r="C171" s="194"/>
      <c r="D171" s="179" t="str">
        <f t="shared" si="0"/>
        <v xml:space="preserve"> - </v>
      </c>
      <c r="F171" s="168"/>
    </row>
    <row r="172" spans="3:8" ht="14.1" customHeight="1">
      <c r="C172" s="194"/>
      <c r="D172" s="179" t="str">
        <f t="shared" si="0"/>
        <v xml:space="preserve"> - </v>
      </c>
      <c r="F172" s="168"/>
    </row>
    <row r="173" spans="3:8" ht="14.1" customHeight="1">
      <c r="C173" s="194"/>
      <c r="D173" s="179" t="str">
        <f t="shared" si="0"/>
        <v xml:space="preserve"> - </v>
      </c>
      <c r="F173" s="168"/>
    </row>
    <row r="174" spans="3:8" ht="14.1" customHeight="1">
      <c r="C174" s="194"/>
      <c r="D174" s="179" t="str">
        <f t="shared" si="0"/>
        <v xml:space="preserve"> - </v>
      </c>
      <c r="F174" s="168"/>
    </row>
    <row r="175" spans="3:8" ht="14.1" customHeight="1">
      <c r="C175" s="194"/>
      <c r="D175" s="179" t="str">
        <f t="shared" si="0"/>
        <v xml:space="preserve"> - </v>
      </c>
      <c r="F175" s="168"/>
    </row>
    <row r="176" spans="3:8" ht="14.1" customHeight="1">
      <c r="C176" s="194"/>
      <c r="D176" s="179" t="str">
        <f t="shared" si="0"/>
        <v xml:space="preserve"> - </v>
      </c>
      <c r="F176" s="168"/>
    </row>
    <row r="177" spans="3:6" ht="14.1" customHeight="1">
      <c r="C177" s="194"/>
      <c r="D177" s="179" t="str">
        <f t="shared" si="0"/>
        <v xml:space="preserve"> - </v>
      </c>
      <c r="F177" s="168"/>
    </row>
    <row r="178" spans="3:6" ht="14.1" customHeight="1">
      <c r="C178" s="194"/>
      <c r="D178" s="179" t="str">
        <f t="shared" si="0"/>
        <v xml:space="preserve"> - </v>
      </c>
      <c r="F178" s="168"/>
    </row>
    <row r="179" spans="3:6" ht="14.1" customHeight="1">
      <c r="C179" s="194"/>
      <c r="D179" s="179" t="str">
        <f t="shared" si="0"/>
        <v xml:space="preserve"> - </v>
      </c>
      <c r="F179" s="168"/>
    </row>
    <row r="180" spans="3:6" ht="14.1" customHeight="1">
      <c r="C180" s="194"/>
      <c r="D180" s="179" t="str">
        <f t="shared" si="0"/>
        <v xml:space="preserve"> - </v>
      </c>
      <c r="F180" s="168"/>
    </row>
    <row r="181" spans="3:6" ht="14.1" customHeight="1">
      <c r="C181" s="194"/>
      <c r="D181" s="179" t="str">
        <f t="shared" si="0"/>
        <v xml:space="preserve"> - </v>
      </c>
      <c r="F181" s="168"/>
    </row>
    <row r="182" spans="3:6" ht="14.1" customHeight="1">
      <c r="C182" s="194"/>
      <c r="D182" s="179" t="str">
        <f t="shared" si="0"/>
        <v xml:space="preserve"> - </v>
      </c>
      <c r="F182" s="168"/>
    </row>
    <row r="183" spans="3:6" ht="14.1" customHeight="1">
      <c r="C183" s="194"/>
      <c r="D183" s="179" t="str">
        <f t="shared" si="0"/>
        <v xml:space="preserve"> - </v>
      </c>
      <c r="F183" s="168"/>
    </row>
    <row r="184" spans="3:6" ht="14.1" customHeight="1">
      <c r="C184" s="194"/>
      <c r="D184" s="179" t="str">
        <f t="shared" si="0"/>
        <v xml:space="preserve"> - </v>
      </c>
      <c r="F184" s="168"/>
    </row>
    <row r="185" spans="3:6" ht="14.1" customHeight="1">
      <c r="C185" s="194"/>
      <c r="D185" s="179" t="str">
        <f t="shared" si="0"/>
        <v xml:space="preserve"> - </v>
      </c>
      <c r="F185" s="168"/>
    </row>
    <row r="186" spans="3:6" ht="14.1" customHeight="1">
      <c r="C186" s="194"/>
      <c r="D186" s="179" t="str">
        <f t="shared" si="0"/>
        <v xml:space="preserve"> - </v>
      </c>
      <c r="F186" s="168"/>
    </row>
    <row r="187" spans="3:6" ht="14.1" customHeight="1">
      <c r="C187" s="194"/>
      <c r="D187" s="179" t="str">
        <f t="shared" si="0"/>
        <v xml:space="preserve"> - </v>
      </c>
      <c r="F187" s="168"/>
    </row>
    <row r="188" spans="3:6" ht="14.1" customHeight="1">
      <c r="C188" s="194"/>
      <c r="D188" s="179" t="str">
        <f t="shared" si="0"/>
        <v xml:space="preserve"> - </v>
      </c>
      <c r="F188" s="168"/>
    </row>
    <row r="189" spans="3:6" ht="14.1" customHeight="1">
      <c r="C189" s="194"/>
      <c r="D189" s="179" t="str">
        <f t="shared" si="0"/>
        <v xml:space="preserve"> - </v>
      </c>
      <c r="F189" s="168"/>
    </row>
    <row r="190" spans="3:6" ht="14.1" customHeight="1">
      <c r="C190" s="194"/>
      <c r="D190" s="179" t="str">
        <f t="shared" si="0"/>
        <v xml:space="preserve"> - </v>
      </c>
      <c r="F190" s="168"/>
    </row>
    <row r="191" spans="3:6" ht="14.1" customHeight="1">
      <c r="C191" s="194"/>
      <c r="D191" s="179" t="str">
        <f t="shared" si="0"/>
        <v xml:space="preserve"> - </v>
      </c>
      <c r="F191" s="168"/>
    </row>
    <row r="192" spans="3:6" ht="14.1" customHeight="1">
      <c r="C192" s="194"/>
      <c r="D192" s="179" t="str">
        <f t="shared" si="0"/>
        <v xml:space="preserve"> - </v>
      </c>
      <c r="F192" s="168"/>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58ED5"/>
  </sheetPr>
  <dimension ref="A1:C8"/>
  <sheetViews>
    <sheetView zoomScaleNormal="100" workbookViewId="0">
      <selection activeCell="C2" sqref="C2"/>
    </sheetView>
  </sheetViews>
  <sheetFormatPr defaultColWidth="8.5703125" defaultRowHeight="12.75"/>
  <cols>
    <col min="1" max="1" width="35.42578125" customWidth="1" collapsed="1"/>
    <col min="2" max="2" width="71.140625" style="195" customWidth="1" collapsed="1"/>
    <col min="3" max="3" width="9.5703125" customWidth="1" collapsed="1"/>
  </cols>
  <sheetData>
    <row r="1" spans="1:3">
      <c r="A1" s="196" t="s">
        <v>217</v>
      </c>
      <c r="B1" s="197" t="s">
        <v>80</v>
      </c>
      <c r="C1" s="196" t="s">
        <v>218</v>
      </c>
    </row>
    <row r="2" spans="1:3">
      <c r="A2" s="198" t="s">
        <v>219</v>
      </c>
      <c r="B2" s="199" t="s">
        <v>220</v>
      </c>
      <c r="C2" s="200">
        <v>0.33</v>
      </c>
    </row>
    <row r="3" spans="1:3" ht="25.5">
      <c r="A3" s="199" t="s">
        <v>221</v>
      </c>
      <c r="B3" s="199"/>
      <c r="C3" s="200">
        <v>0.35</v>
      </c>
    </row>
    <row r="4" spans="1:3" ht="25.5">
      <c r="A4" s="198" t="s">
        <v>109</v>
      </c>
      <c r="B4" s="199" t="s">
        <v>222</v>
      </c>
      <c r="C4" s="200">
        <v>0.36</v>
      </c>
    </row>
    <row r="5" spans="1:3">
      <c r="A5" s="199" t="s">
        <v>223</v>
      </c>
      <c r="B5" s="199" t="s">
        <v>224</v>
      </c>
      <c r="C5" s="200">
        <v>0.37</v>
      </c>
    </row>
    <row r="6" spans="1:3">
      <c r="A6" s="199" t="s">
        <v>225</v>
      </c>
      <c r="B6" s="199" t="s">
        <v>226</v>
      </c>
      <c r="C6" s="200">
        <v>0.39</v>
      </c>
    </row>
    <row r="7" spans="1:3" ht="25.5">
      <c r="A7" s="199" t="s">
        <v>227</v>
      </c>
      <c r="B7" s="199"/>
      <c r="C7" s="200">
        <v>0.4</v>
      </c>
    </row>
    <row r="8" spans="1:3">
      <c r="A8" s="198" t="s">
        <v>228</v>
      </c>
      <c r="B8" s="199"/>
      <c r="C8" s="200">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TotalTime>
  <Application>Microsoft Excel</Application>
  <DocSecurity>0</DocSecurity>
  <ScaleCrop>false</ScaleCrop>
  <HeadingPairs>
    <vt:vector size="4" baseType="variant">
      <vt:variant>
        <vt:lpstr>Planilhas</vt:lpstr>
      </vt:variant>
      <vt:variant>
        <vt:i4>12</vt:i4>
      </vt:variant>
      <vt:variant>
        <vt:lpstr>Intervalos Nomeados</vt:lpstr>
      </vt:variant>
      <vt:variant>
        <vt:i4>36</vt:i4>
      </vt:variant>
    </vt:vector>
  </HeadingPairs>
  <TitlesOfParts>
    <vt:vector size="48" baseType="lpstr">
      <vt:lpstr>Instrução de Uso</vt:lpstr>
      <vt:lpstr>Resumo</vt:lpstr>
      <vt:lpstr>AFP - Detalhada</vt:lpstr>
      <vt:lpstr>AFP - INM</vt:lpstr>
      <vt:lpstr>AFP - Estimativa</vt:lpstr>
      <vt:lpstr>UST</vt:lpstr>
      <vt:lpstr>AFP - Indicativa</vt:lpstr>
      <vt:lpstr>Funcionalidade</vt:lpstr>
      <vt:lpstr>Redução de Prazo</vt:lpstr>
      <vt:lpstr>Esforço</vt:lpstr>
      <vt:lpstr>Tipo Projeto</vt:lpstr>
      <vt:lpstr>Tipo Sistema</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creator>Wilson</dc:creator>
  <cp:lastModifiedBy>Victor</cp:lastModifiedBy>
  <cp:revision>5</cp:revision>
  <cp:lastPrinted>2012-02-01T18:39:25Z</cp:lastPrinted>
  <dcterms:created xsi:type="dcterms:W3CDTF">2002-03-25T11:25:06Z</dcterms:created>
  <dcterms:modified xsi:type="dcterms:W3CDTF">2022-02-22T19:26:47Z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