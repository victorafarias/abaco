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ntos8\Downloads\"/>
    </mc:Choice>
  </mc:AlternateContent>
  <xr:revisionPtr revIDLastSave="0" documentId="13_ncr:1_{B4EF4AE5-3261-4127-87EC-DFE4D067750C}" xr6:coauthVersionLast="46" xr6:coauthVersionMax="46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Revisão" sheetId="1" r:id="rId1"/>
    <sheet name="Resumo" sheetId="2" r:id="rId2"/>
    <sheet name="Itens Não Mensuráveis" sheetId="3" state="hidden" r:id="rId3"/>
    <sheet name="Funções" sheetId="4" r:id="rId4"/>
    <sheet name="QuadroResumo" sheetId="5" r:id="rId5"/>
    <sheet name="Lista" sheetId="6" r:id="rId6"/>
    <sheet name="Estórias " sheetId="7" r:id="rId7"/>
    <sheet name="Regras" sheetId="8" state="hidden" r:id="rId8"/>
    <sheet name="PF por Funcionalidade" sheetId="9" r:id="rId9"/>
  </sheets>
  <definedNames>
    <definedName name="_xlnm._FilterDatabase" localSheetId="5" hidden="1">Lista!$A$2:$E$33</definedName>
    <definedName name="Lista_Estorias">'Estórias '!$B$3:$B$99</definedName>
    <definedName name="ListaCTIS">Lista!$A$3:$A$33</definedName>
    <definedName name="ListaTipos">QuadroResumo!$B$4:$B$9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9" i="7" l="1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H19" i="5"/>
  <c r="G19" i="5"/>
  <c r="H18" i="5"/>
  <c r="G18" i="5"/>
  <c r="J17" i="5"/>
  <c r="H17" i="5"/>
  <c r="G17" i="5"/>
  <c r="J16" i="5"/>
  <c r="H16" i="5"/>
  <c r="G16" i="5"/>
  <c r="J15" i="5"/>
  <c r="H15" i="5"/>
  <c r="G15" i="5"/>
  <c r="J14" i="5"/>
  <c r="H14" i="5"/>
  <c r="G14" i="5"/>
  <c r="G20" i="5" s="1"/>
  <c r="D10" i="5"/>
  <c r="H9" i="5"/>
  <c r="G9" i="5"/>
  <c r="H8" i="5"/>
  <c r="G8" i="5"/>
  <c r="F8" i="5"/>
  <c r="E8" i="5"/>
  <c r="D8" i="5"/>
  <c r="C8" i="5"/>
  <c r="J7" i="5"/>
  <c r="H7" i="5"/>
  <c r="G7" i="5"/>
  <c r="F7" i="5"/>
  <c r="E7" i="5"/>
  <c r="D7" i="5"/>
  <c r="C7" i="5"/>
  <c r="J6" i="5"/>
  <c r="H6" i="5"/>
  <c r="G6" i="5"/>
  <c r="F6" i="5"/>
  <c r="E6" i="5"/>
  <c r="D6" i="5"/>
  <c r="C6" i="5"/>
  <c r="J5" i="5"/>
  <c r="H5" i="5"/>
  <c r="G5" i="5"/>
  <c r="F5" i="5"/>
  <c r="E5" i="5"/>
  <c r="D5" i="5"/>
  <c r="C5" i="5"/>
  <c r="J4" i="5"/>
  <c r="H4" i="5"/>
  <c r="G4" i="5"/>
  <c r="G10" i="5" s="1"/>
  <c r="F4" i="5"/>
  <c r="E4" i="5"/>
  <c r="E10" i="5" s="1"/>
  <c r="D4" i="5"/>
  <c r="C4" i="5"/>
  <c r="C10" i="5" s="1"/>
  <c r="AF202" i="4"/>
  <c r="AG202" i="4" s="1"/>
  <c r="AA202" i="4" s="1"/>
  <c r="AD202" i="4"/>
  <c r="AC202" i="4"/>
  <c r="AB202" i="4"/>
  <c r="AE202" i="4" s="1"/>
  <c r="Z202" i="4"/>
  <c r="P202" i="4"/>
  <c r="Q202" i="4" s="1"/>
  <c r="O202" i="4"/>
  <c r="N202" i="4"/>
  <c r="M202" i="4"/>
  <c r="L202" i="4"/>
  <c r="K202" i="4" s="1"/>
  <c r="AF201" i="4"/>
  <c r="AG201" i="4" s="1"/>
  <c r="AA201" i="4" s="1"/>
  <c r="AE201" i="4"/>
  <c r="AD201" i="4"/>
  <c r="AC201" i="4"/>
  <c r="AB201" i="4"/>
  <c r="Z201" i="4"/>
  <c r="P201" i="4"/>
  <c r="N201" i="4"/>
  <c r="M201" i="4"/>
  <c r="L201" i="4"/>
  <c r="O201" i="4" s="1"/>
  <c r="J201" i="4"/>
  <c r="AF200" i="4"/>
  <c r="AG200" i="4" s="1"/>
  <c r="AE200" i="4"/>
  <c r="AD200" i="4"/>
  <c r="AC200" i="4"/>
  <c r="AB200" i="4"/>
  <c r="AA200" i="4" s="1"/>
  <c r="Q200" i="4"/>
  <c r="K200" i="4" s="1"/>
  <c r="P200" i="4"/>
  <c r="O200" i="4"/>
  <c r="N200" i="4"/>
  <c r="M200" i="4"/>
  <c r="L200" i="4"/>
  <c r="J200" i="4"/>
  <c r="AF199" i="4"/>
  <c r="AD199" i="4"/>
  <c r="AC199" i="4"/>
  <c r="AB199" i="4"/>
  <c r="AE199" i="4" s="1"/>
  <c r="Z199" i="4"/>
  <c r="P199" i="4"/>
  <c r="Q199" i="4" s="1"/>
  <c r="O199" i="4"/>
  <c r="N199" i="4"/>
  <c r="M199" i="4"/>
  <c r="L199" i="4"/>
  <c r="K199" i="4" s="1"/>
  <c r="AG198" i="4"/>
  <c r="AF198" i="4"/>
  <c r="AD198" i="4"/>
  <c r="AC198" i="4"/>
  <c r="AB198" i="4"/>
  <c r="AA198" i="4"/>
  <c r="P198" i="4"/>
  <c r="N198" i="4"/>
  <c r="M198" i="4"/>
  <c r="L198" i="4"/>
  <c r="AF197" i="4"/>
  <c r="AG197" i="4" s="1"/>
  <c r="AE197" i="4"/>
  <c r="AD197" i="4"/>
  <c r="AC197" i="4"/>
  <c r="AB197" i="4"/>
  <c r="AA197" i="4" s="1"/>
  <c r="P197" i="4"/>
  <c r="Q197" i="4" s="1"/>
  <c r="O197" i="4"/>
  <c r="N197" i="4"/>
  <c r="M197" i="4"/>
  <c r="L197" i="4"/>
  <c r="J197" i="4"/>
  <c r="AF196" i="4"/>
  <c r="AD196" i="4"/>
  <c r="AC196" i="4"/>
  <c r="AB196" i="4"/>
  <c r="P196" i="4"/>
  <c r="Q196" i="4" s="1"/>
  <c r="O196" i="4"/>
  <c r="N196" i="4"/>
  <c r="M196" i="4"/>
  <c r="L196" i="4"/>
  <c r="AF195" i="4"/>
  <c r="AG195" i="4" s="1"/>
  <c r="AE195" i="4"/>
  <c r="AD195" i="4"/>
  <c r="AC195" i="4"/>
  <c r="AB195" i="4"/>
  <c r="AA195" i="4"/>
  <c r="Z195" i="4"/>
  <c r="P195" i="4"/>
  <c r="Q195" i="4" s="1"/>
  <c r="K195" i="4" s="1"/>
  <c r="N195" i="4"/>
  <c r="M195" i="4"/>
  <c r="L195" i="4"/>
  <c r="O195" i="4" s="1"/>
  <c r="J195" i="4"/>
  <c r="AF194" i="4"/>
  <c r="AG194" i="4" s="1"/>
  <c r="AE194" i="4"/>
  <c r="AD194" i="4"/>
  <c r="AC194" i="4"/>
  <c r="AB194" i="4"/>
  <c r="Q194" i="4"/>
  <c r="K194" i="4" s="1"/>
  <c r="P194" i="4"/>
  <c r="O194" i="4"/>
  <c r="N194" i="4"/>
  <c r="M194" i="4"/>
  <c r="L194" i="4"/>
  <c r="J194" i="4"/>
  <c r="AF193" i="4"/>
  <c r="AG193" i="4" s="1"/>
  <c r="AA193" i="4" s="1"/>
  <c r="AD193" i="4"/>
  <c r="AC193" i="4"/>
  <c r="AB193" i="4"/>
  <c r="AE193" i="4" s="1"/>
  <c r="Z193" i="4"/>
  <c r="P193" i="4"/>
  <c r="Q193" i="4" s="1"/>
  <c r="N193" i="4"/>
  <c r="M193" i="4"/>
  <c r="L193" i="4"/>
  <c r="AG192" i="4"/>
  <c r="AA192" i="4" s="1"/>
  <c r="AF192" i="4"/>
  <c r="AE192" i="4"/>
  <c r="AD192" i="4"/>
  <c r="AC192" i="4"/>
  <c r="AB192" i="4"/>
  <c r="Z192" i="4"/>
  <c r="P192" i="4"/>
  <c r="N192" i="4"/>
  <c r="M192" i="4"/>
  <c r="L192" i="4"/>
  <c r="O192" i="4" s="1"/>
  <c r="J192" i="4"/>
  <c r="AF191" i="4"/>
  <c r="AG191" i="4" s="1"/>
  <c r="AD191" i="4"/>
  <c r="AC191" i="4"/>
  <c r="AB191" i="4"/>
  <c r="Q191" i="4"/>
  <c r="P191" i="4"/>
  <c r="N191" i="4"/>
  <c r="M191" i="4"/>
  <c r="L191" i="4"/>
  <c r="J191" i="4"/>
  <c r="AF190" i="4"/>
  <c r="AD190" i="4"/>
  <c r="AC190" i="4"/>
  <c r="AB190" i="4"/>
  <c r="P190" i="4"/>
  <c r="Q190" i="4" s="1"/>
  <c r="N190" i="4"/>
  <c r="M190" i="4"/>
  <c r="L190" i="4"/>
  <c r="AG189" i="4"/>
  <c r="AF189" i="4"/>
  <c r="AE189" i="4"/>
  <c r="AD189" i="4"/>
  <c r="AC189" i="4"/>
  <c r="AB189" i="4"/>
  <c r="P189" i="4"/>
  <c r="N189" i="4"/>
  <c r="M189" i="4"/>
  <c r="L189" i="4"/>
  <c r="AF188" i="4"/>
  <c r="AG188" i="4" s="1"/>
  <c r="AE188" i="4"/>
  <c r="AD188" i="4"/>
  <c r="AC188" i="4"/>
  <c r="AB188" i="4"/>
  <c r="P188" i="4"/>
  <c r="Q188" i="4" s="1"/>
  <c r="N188" i="4"/>
  <c r="M188" i="4"/>
  <c r="L188" i="4"/>
  <c r="J188" i="4"/>
  <c r="AF187" i="4"/>
  <c r="AG187" i="4" s="1"/>
  <c r="AD187" i="4"/>
  <c r="AC187" i="4"/>
  <c r="AB187" i="4"/>
  <c r="AE187" i="4" s="1"/>
  <c r="Z187" i="4"/>
  <c r="P187" i="4"/>
  <c r="Q187" i="4" s="1"/>
  <c r="O187" i="4"/>
  <c r="N187" i="4"/>
  <c r="M187" i="4"/>
  <c r="L187" i="4"/>
  <c r="AF186" i="4"/>
  <c r="AG186" i="4" s="1"/>
  <c r="AA186" i="4" s="1"/>
  <c r="AE186" i="4"/>
  <c r="AD186" i="4"/>
  <c r="AC186" i="4"/>
  <c r="AB186" i="4"/>
  <c r="Z186" i="4"/>
  <c r="P186" i="4"/>
  <c r="Q186" i="4" s="1"/>
  <c r="K186" i="4" s="1"/>
  <c r="N186" i="4"/>
  <c r="M186" i="4"/>
  <c r="L186" i="4"/>
  <c r="O186" i="4" s="1"/>
  <c r="J186" i="4"/>
  <c r="AF185" i="4"/>
  <c r="AG185" i="4" s="1"/>
  <c r="AE185" i="4"/>
  <c r="AD185" i="4"/>
  <c r="AC185" i="4"/>
  <c r="AB185" i="4"/>
  <c r="P185" i="4"/>
  <c r="Q185" i="4" s="1"/>
  <c r="O185" i="4"/>
  <c r="N185" i="4"/>
  <c r="M185" i="4"/>
  <c r="L185" i="4"/>
  <c r="K185" i="4" s="1"/>
  <c r="J185" i="4"/>
  <c r="AF184" i="4"/>
  <c r="AG184" i="4" s="1"/>
  <c r="AA184" i="4" s="1"/>
  <c r="AD184" i="4"/>
  <c r="AC184" i="4"/>
  <c r="AB184" i="4"/>
  <c r="AE184" i="4" s="1"/>
  <c r="Z184" i="4"/>
  <c r="P184" i="4"/>
  <c r="Q184" i="4" s="1"/>
  <c r="O184" i="4"/>
  <c r="N184" i="4"/>
  <c r="M184" i="4"/>
  <c r="L184" i="4"/>
  <c r="AF183" i="4"/>
  <c r="AG183" i="4" s="1"/>
  <c r="AD183" i="4"/>
  <c r="AC183" i="4"/>
  <c r="AB183" i="4"/>
  <c r="AE183" i="4" s="1"/>
  <c r="AA183" i="4"/>
  <c r="Z183" i="4"/>
  <c r="P183" i="4"/>
  <c r="Q183" i="4" s="1"/>
  <c r="N183" i="4"/>
  <c r="M183" i="4"/>
  <c r="L183" i="4"/>
  <c r="O183" i="4" s="1"/>
  <c r="AF182" i="4"/>
  <c r="AG182" i="4" s="1"/>
  <c r="AD182" i="4"/>
  <c r="AC182" i="4"/>
  <c r="AB182" i="4"/>
  <c r="P182" i="4"/>
  <c r="Q182" i="4" s="1"/>
  <c r="K182" i="4" s="1"/>
  <c r="N182" i="4"/>
  <c r="M182" i="4"/>
  <c r="L182" i="4"/>
  <c r="AF181" i="4"/>
  <c r="AD181" i="4"/>
  <c r="AC181" i="4"/>
  <c r="AB181" i="4"/>
  <c r="AE181" i="4" s="1"/>
  <c r="P181" i="4"/>
  <c r="Q181" i="4" s="1"/>
  <c r="O181" i="4"/>
  <c r="N181" i="4"/>
  <c r="M181" i="4"/>
  <c r="L181" i="4"/>
  <c r="AG180" i="4"/>
  <c r="AF180" i="4"/>
  <c r="AD180" i="4"/>
  <c r="AC180" i="4"/>
  <c r="AB180" i="4"/>
  <c r="AA180" i="4"/>
  <c r="P180" i="4"/>
  <c r="N180" i="4"/>
  <c r="M180" i="4"/>
  <c r="L180" i="4"/>
  <c r="AF179" i="4"/>
  <c r="AG179" i="4" s="1"/>
  <c r="AD179" i="4"/>
  <c r="AC179" i="4"/>
  <c r="AB179" i="4"/>
  <c r="P179" i="4"/>
  <c r="Q179" i="4" s="1"/>
  <c r="O179" i="4"/>
  <c r="N179" i="4"/>
  <c r="M179" i="4"/>
  <c r="L179" i="4"/>
  <c r="K179" i="4" s="1"/>
  <c r="J179" i="4"/>
  <c r="AF178" i="4"/>
  <c r="AD178" i="4"/>
  <c r="AC178" i="4"/>
  <c r="AB178" i="4"/>
  <c r="Z178" i="4"/>
  <c r="P178" i="4"/>
  <c r="Q178" i="4" s="1"/>
  <c r="O178" i="4"/>
  <c r="N178" i="4"/>
  <c r="M178" i="4"/>
  <c r="L178" i="4"/>
  <c r="AF177" i="4"/>
  <c r="AG177" i="4" s="1"/>
  <c r="AA177" i="4" s="1"/>
  <c r="AE177" i="4"/>
  <c r="AD177" i="4"/>
  <c r="AC177" i="4"/>
  <c r="AB177" i="4"/>
  <c r="Z177" i="4"/>
  <c r="P177" i="4"/>
  <c r="Q177" i="4" s="1"/>
  <c r="K177" i="4" s="1"/>
  <c r="N177" i="4"/>
  <c r="M177" i="4"/>
  <c r="L177" i="4"/>
  <c r="O177" i="4" s="1"/>
  <c r="J177" i="4"/>
  <c r="AF176" i="4"/>
  <c r="AG176" i="4" s="1"/>
  <c r="AD176" i="4"/>
  <c r="AC176" i="4"/>
  <c r="AB176" i="4"/>
  <c r="P176" i="4"/>
  <c r="Q176" i="4" s="1"/>
  <c r="K176" i="4" s="1"/>
  <c r="O176" i="4"/>
  <c r="N176" i="4"/>
  <c r="M176" i="4"/>
  <c r="L176" i="4"/>
  <c r="J176" i="4"/>
  <c r="AF175" i="4"/>
  <c r="AG175" i="4" s="1"/>
  <c r="AD175" i="4"/>
  <c r="AC175" i="4"/>
  <c r="AB175" i="4"/>
  <c r="AE175" i="4" s="1"/>
  <c r="AA175" i="4"/>
  <c r="P175" i="4"/>
  <c r="Q175" i="4" s="1"/>
  <c r="N175" i="4"/>
  <c r="M175" i="4"/>
  <c r="L175" i="4"/>
  <c r="AF174" i="4"/>
  <c r="AG174" i="4" s="1"/>
  <c r="AA174" i="4" s="1"/>
  <c r="AE174" i="4"/>
  <c r="AD174" i="4"/>
  <c r="AC174" i="4"/>
  <c r="AB174" i="4"/>
  <c r="Z174" i="4" s="1"/>
  <c r="P174" i="4"/>
  <c r="N174" i="4"/>
  <c r="M174" i="4"/>
  <c r="L174" i="4"/>
  <c r="O174" i="4" s="1"/>
  <c r="J174" i="4"/>
  <c r="AF173" i="4"/>
  <c r="AG173" i="4" s="1"/>
  <c r="AD173" i="4"/>
  <c r="AC173" i="4"/>
  <c r="AB173" i="4"/>
  <c r="Q173" i="4"/>
  <c r="K173" i="4" s="1"/>
  <c r="P173" i="4"/>
  <c r="N173" i="4"/>
  <c r="M173" i="4"/>
  <c r="L173" i="4"/>
  <c r="O173" i="4" s="1"/>
  <c r="J173" i="4"/>
  <c r="AF172" i="4"/>
  <c r="AD172" i="4"/>
  <c r="AC172" i="4"/>
  <c r="AB172" i="4"/>
  <c r="P172" i="4"/>
  <c r="Q172" i="4" s="1"/>
  <c r="N172" i="4"/>
  <c r="M172" i="4"/>
  <c r="L172" i="4"/>
  <c r="AG171" i="4"/>
  <c r="AF171" i="4"/>
  <c r="AD171" i="4"/>
  <c r="AC171" i="4"/>
  <c r="AB171" i="4"/>
  <c r="P171" i="4"/>
  <c r="N171" i="4"/>
  <c r="M171" i="4"/>
  <c r="L171" i="4"/>
  <c r="AF170" i="4"/>
  <c r="AG170" i="4" s="1"/>
  <c r="AE170" i="4"/>
  <c r="AD170" i="4"/>
  <c r="AC170" i="4"/>
  <c r="AB170" i="4"/>
  <c r="P170" i="4"/>
  <c r="Q170" i="4" s="1"/>
  <c r="N170" i="4"/>
  <c r="M170" i="4"/>
  <c r="L170" i="4"/>
  <c r="J170" i="4"/>
  <c r="AF169" i="4"/>
  <c r="AD169" i="4"/>
  <c r="AC169" i="4"/>
  <c r="AB169" i="4"/>
  <c r="AE169" i="4" s="1"/>
  <c r="Z169" i="4"/>
  <c r="P169" i="4"/>
  <c r="Q169" i="4" s="1"/>
  <c r="O169" i="4"/>
  <c r="N169" i="4"/>
  <c r="M169" i="4"/>
  <c r="L169" i="4"/>
  <c r="AF168" i="4"/>
  <c r="AG168" i="4" s="1"/>
  <c r="AA168" i="4" s="1"/>
  <c r="AE168" i="4"/>
  <c r="AD168" i="4"/>
  <c r="AC168" i="4"/>
  <c r="AB168" i="4"/>
  <c r="Z168" i="4"/>
  <c r="P168" i="4"/>
  <c r="Q168" i="4" s="1"/>
  <c r="N168" i="4"/>
  <c r="M168" i="4"/>
  <c r="L168" i="4"/>
  <c r="O168" i="4" s="1"/>
  <c r="K168" i="4"/>
  <c r="J168" i="4"/>
  <c r="AF167" i="4"/>
  <c r="AG167" i="4" s="1"/>
  <c r="AE167" i="4"/>
  <c r="AD167" i="4"/>
  <c r="AC167" i="4"/>
  <c r="AB167" i="4"/>
  <c r="P167" i="4"/>
  <c r="Q167" i="4" s="1"/>
  <c r="N167" i="4"/>
  <c r="M167" i="4"/>
  <c r="L167" i="4"/>
  <c r="K167" i="4"/>
  <c r="AF166" i="4"/>
  <c r="AG166" i="4" s="1"/>
  <c r="AA166" i="4" s="1"/>
  <c r="AD166" i="4"/>
  <c r="AC166" i="4"/>
  <c r="AB166" i="4"/>
  <c r="AE166" i="4" s="1"/>
  <c r="Z166" i="4"/>
  <c r="P166" i="4"/>
  <c r="Q166" i="4" s="1"/>
  <c r="N166" i="4"/>
  <c r="M166" i="4"/>
  <c r="L166" i="4"/>
  <c r="AG165" i="4"/>
  <c r="AA165" i="4" s="1"/>
  <c r="AF165" i="4"/>
  <c r="AD165" i="4"/>
  <c r="AC165" i="4"/>
  <c r="AB165" i="4"/>
  <c r="AE165" i="4" s="1"/>
  <c r="Z165" i="4"/>
  <c r="P165" i="4"/>
  <c r="N165" i="4"/>
  <c r="M165" i="4"/>
  <c r="L165" i="4"/>
  <c r="O165" i="4" s="1"/>
  <c r="J165" i="4"/>
  <c r="AF164" i="4"/>
  <c r="AG164" i="4" s="1"/>
  <c r="AD164" i="4"/>
  <c r="AC164" i="4"/>
  <c r="AB164" i="4"/>
  <c r="Q164" i="4"/>
  <c r="P164" i="4"/>
  <c r="N164" i="4"/>
  <c r="M164" i="4"/>
  <c r="L164" i="4"/>
  <c r="AF163" i="4"/>
  <c r="AD163" i="4"/>
  <c r="AC163" i="4"/>
  <c r="AB163" i="4"/>
  <c r="P163" i="4"/>
  <c r="Q163" i="4" s="1"/>
  <c r="N163" i="4"/>
  <c r="M163" i="4"/>
  <c r="L163" i="4"/>
  <c r="AG162" i="4"/>
  <c r="AF162" i="4"/>
  <c r="AD162" i="4"/>
  <c r="AC162" i="4"/>
  <c r="AB162" i="4"/>
  <c r="P162" i="4"/>
  <c r="Q162" i="4" s="1"/>
  <c r="N162" i="4"/>
  <c r="M162" i="4"/>
  <c r="L162" i="4"/>
  <c r="AF161" i="4"/>
  <c r="AG161" i="4" s="1"/>
  <c r="AD161" i="4"/>
  <c r="AC161" i="4"/>
  <c r="AB161" i="4"/>
  <c r="P161" i="4"/>
  <c r="Q161" i="4" s="1"/>
  <c r="O161" i="4"/>
  <c r="N161" i="4"/>
  <c r="M161" i="4"/>
  <c r="L161" i="4"/>
  <c r="J161" i="4"/>
  <c r="AF160" i="4"/>
  <c r="AD160" i="4"/>
  <c r="AC160" i="4"/>
  <c r="AB160" i="4"/>
  <c r="P160" i="4"/>
  <c r="Q160" i="4" s="1"/>
  <c r="O160" i="4"/>
  <c r="N160" i="4"/>
  <c r="M160" i="4"/>
  <c r="L160" i="4"/>
  <c r="AF159" i="4"/>
  <c r="AG159" i="4" s="1"/>
  <c r="AE159" i="4"/>
  <c r="AD159" i="4"/>
  <c r="AC159" i="4"/>
  <c r="AB159" i="4"/>
  <c r="AA159" i="4"/>
  <c r="Z159" i="4"/>
  <c r="P159" i="4"/>
  <c r="Q159" i="4" s="1"/>
  <c r="K159" i="4" s="1"/>
  <c r="N159" i="4"/>
  <c r="M159" i="4"/>
  <c r="L159" i="4"/>
  <c r="O159" i="4" s="1"/>
  <c r="J159" i="4"/>
  <c r="AF158" i="4"/>
  <c r="AG158" i="4" s="1"/>
  <c r="AD158" i="4"/>
  <c r="AC158" i="4"/>
  <c r="AB158" i="4"/>
  <c r="Q158" i="4"/>
  <c r="K158" i="4" s="1"/>
  <c r="P158" i="4"/>
  <c r="O158" i="4"/>
  <c r="N158" i="4"/>
  <c r="M158" i="4"/>
  <c r="L158" i="4"/>
  <c r="J158" i="4"/>
  <c r="AF157" i="4"/>
  <c r="AG157" i="4" s="1"/>
  <c r="AA157" i="4" s="1"/>
  <c r="AD157" i="4"/>
  <c r="AC157" i="4"/>
  <c r="AB157" i="4"/>
  <c r="AE157" i="4" s="1"/>
  <c r="Z157" i="4"/>
  <c r="P157" i="4"/>
  <c r="Q157" i="4" s="1"/>
  <c r="N157" i="4"/>
  <c r="M157" i="4"/>
  <c r="L157" i="4"/>
  <c r="AG156" i="4"/>
  <c r="AA156" i="4" s="1"/>
  <c r="AF156" i="4"/>
  <c r="AE156" i="4"/>
  <c r="AD156" i="4"/>
  <c r="AC156" i="4"/>
  <c r="AB156" i="4"/>
  <c r="Z156" i="4"/>
  <c r="P156" i="4"/>
  <c r="N156" i="4"/>
  <c r="M156" i="4"/>
  <c r="L156" i="4"/>
  <c r="O156" i="4" s="1"/>
  <c r="J156" i="4"/>
  <c r="AF155" i="4"/>
  <c r="AG155" i="4" s="1"/>
  <c r="AD155" i="4"/>
  <c r="AC155" i="4"/>
  <c r="AB155" i="4"/>
  <c r="Q155" i="4"/>
  <c r="P155" i="4"/>
  <c r="N155" i="4"/>
  <c r="M155" i="4"/>
  <c r="L155" i="4"/>
  <c r="J155" i="4" s="1"/>
  <c r="AF154" i="4"/>
  <c r="AD154" i="4"/>
  <c r="AC154" i="4"/>
  <c r="AB154" i="4"/>
  <c r="P154" i="4"/>
  <c r="Q154" i="4" s="1"/>
  <c r="N154" i="4"/>
  <c r="M154" i="4"/>
  <c r="L154" i="4"/>
  <c r="AG153" i="4"/>
  <c r="AF153" i="4"/>
  <c r="AE153" i="4"/>
  <c r="AD153" i="4"/>
  <c r="AC153" i="4"/>
  <c r="AB153" i="4"/>
  <c r="P153" i="4"/>
  <c r="N153" i="4"/>
  <c r="M153" i="4"/>
  <c r="L153" i="4"/>
  <c r="AF152" i="4"/>
  <c r="AG152" i="4" s="1"/>
  <c r="AE152" i="4"/>
  <c r="AD152" i="4"/>
  <c r="AC152" i="4"/>
  <c r="AB152" i="4"/>
  <c r="P152" i="4"/>
  <c r="Q152" i="4" s="1"/>
  <c r="N152" i="4"/>
  <c r="M152" i="4"/>
  <c r="L152" i="4"/>
  <c r="J152" i="4"/>
  <c r="AF151" i="4"/>
  <c r="AD151" i="4"/>
  <c r="AC151" i="4"/>
  <c r="AB151" i="4"/>
  <c r="AE151" i="4" s="1"/>
  <c r="Z151" i="4"/>
  <c r="P151" i="4"/>
  <c r="Q151" i="4" s="1"/>
  <c r="O151" i="4"/>
  <c r="N151" i="4"/>
  <c r="M151" i="4"/>
  <c r="L151" i="4"/>
  <c r="AF150" i="4"/>
  <c r="AG150" i="4" s="1"/>
  <c r="AA150" i="4" s="1"/>
  <c r="AE150" i="4"/>
  <c r="AD150" i="4"/>
  <c r="AC150" i="4"/>
  <c r="AB150" i="4"/>
  <c r="Z150" i="4"/>
  <c r="P150" i="4"/>
  <c r="Q150" i="4" s="1"/>
  <c r="K150" i="4" s="1"/>
  <c r="N150" i="4"/>
  <c r="M150" i="4"/>
  <c r="L150" i="4"/>
  <c r="O150" i="4" s="1"/>
  <c r="J150" i="4"/>
  <c r="AF149" i="4"/>
  <c r="AG149" i="4" s="1"/>
  <c r="AE149" i="4"/>
  <c r="AD149" i="4"/>
  <c r="AC149" i="4"/>
  <c r="AB149" i="4"/>
  <c r="P149" i="4"/>
  <c r="Q149" i="4" s="1"/>
  <c r="O149" i="4"/>
  <c r="N149" i="4"/>
  <c r="M149" i="4"/>
  <c r="L149" i="4"/>
  <c r="K149" i="4" s="1"/>
  <c r="J149" i="4"/>
  <c r="AF148" i="4"/>
  <c r="AG148" i="4" s="1"/>
  <c r="AA148" i="4" s="1"/>
  <c r="AD148" i="4"/>
  <c r="AC148" i="4"/>
  <c r="AB148" i="4"/>
  <c r="AE148" i="4" s="1"/>
  <c r="Z148" i="4"/>
  <c r="P148" i="4"/>
  <c r="Q148" i="4" s="1"/>
  <c r="O148" i="4"/>
  <c r="N148" i="4"/>
  <c r="M148" i="4"/>
  <c r="L148" i="4"/>
  <c r="AF147" i="4"/>
  <c r="AG147" i="4" s="1"/>
  <c r="AA147" i="4" s="1"/>
  <c r="AD147" i="4"/>
  <c r="AC147" i="4"/>
  <c r="AB147" i="4"/>
  <c r="AE147" i="4" s="1"/>
  <c r="Z147" i="4"/>
  <c r="P147" i="4"/>
  <c r="Q147" i="4" s="1"/>
  <c r="N147" i="4"/>
  <c r="M147" i="4"/>
  <c r="L147" i="4"/>
  <c r="O147" i="4" s="1"/>
  <c r="AF146" i="4"/>
  <c r="AG146" i="4" s="1"/>
  <c r="AD146" i="4"/>
  <c r="AC146" i="4"/>
  <c r="AB146" i="4"/>
  <c r="P146" i="4"/>
  <c r="Q146" i="4" s="1"/>
  <c r="K146" i="4" s="1"/>
  <c r="N146" i="4"/>
  <c r="M146" i="4"/>
  <c r="L146" i="4"/>
  <c r="AF145" i="4"/>
  <c r="AD145" i="4"/>
  <c r="AC145" i="4"/>
  <c r="AB145" i="4"/>
  <c r="AE145" i="4" s="1"/>
  <c r="P145" i="4"/>
  <c r="Q145" i="4" s="1"/>
  <c r="O145" i="4"/>
  <c r="N145" i="4"/>
  <c r="M145" i="4"/>
  <c r="L145" i="4"/>
  <c r="AG144" i="4"/>
  <c r="AF144" i="4"/>
  <c r="AD144" i="4"/>
  <c r="AC144" i="4"/>
  <c r="AB144" i="4"/>
  <c r="AA144" i="4"/>
  <c r="P144" i="4"/>
  <c r="N144" i="4"/>
  <c r="M144" i="4"/>
  <c r="L144" i="4"/>
  <c r="AF143" i="4"/>
  <c r="AG143" i="4" s="1"/>
  <c r="AD143" i="4"/>
  <c r="AC143" i="4"/>
  <c r="AB143" i="4"/>
  <c r="P143" i="4"/>
  <c r="Q143" i="4" s="1"/>
  <c r="O143" i="4"/>
  <c r="N143" i="4"/>
  <c r="M143" i="4"/>
  <c r="L143" i="4"/>
  <c r="K143" i="4" s="1"/>
  <c r="J143" i="4"/>
  <c r="AF142" i="4"/>
  <c r="AD142" i="4"/>
  <c r="AC142" i="4"/>
  <c r="AB142" i="4"/>
  <c r="Z142" i="4"/>
  <c r="P142" i="4"/>
  <c r="Q142" i="4" s="1"/>
  <c r="O142" i="4"/>
  <c r="N142" i="4"/>
  <c r="M142" i="4"/>
  <c r="L142" i="4"/>
  <c r="AF141" i="4"/>
  <c r="AG141" i="4" s="1"/>
  <c r="AA141" i="4" s="1"/>
  <c r="AE141" i="4"/>
  <c r="AD141" i="4"/>
  <c r="AC141" i="4"/>
  <c r="AB141" i="4"/>
  <c r="Z141" i="4"/>
  <c r="P141" i="4"/>
  <c r="Q141" i="4" s="1"/>
  <c r="K141" i="4" s="1"/>
  <c r="O141" i="4"/>
  <c r="N141" i="4"/>
  <c r="M141" i="4"/>
  <c r="L141" i="4"/>
  <c r="J141" i="4"/>
  <c r="AF140" i="4"/>
  <c r="AG140" i="4" s="1"/>
  <c r="AA140" i="4" s="1"/>
  <c r="AE140" i="4"/>
  <c r="AD140" i="4"/>
  <c r="AC140" i="4"/>
  <c r="AB140" i="4"/>
  <c r="Z140" i="4" s="1"/>
  <c r="Q140" i="4"/>
  <c r="P140" i="4"/>
  <c r="N140" i="4"/>
  <c r="M140" i="4"/>
  <c r="L140" i="4"/>
  <c r="AF139" i="4"/>
  <c r="AD139" i="4"/>
  <c r="AC139" i="4"/>
  <c r="AB139" i="4"/>
  <c r="AE139" i="4" s="1"/>
  <c r="P139" i="4"/>
  <c r="Q139" i="4" s="1"/>
  <c r="N139" i="4"/>
  <c r="M139" i="4"/>
  <c r="L139" i="4"/>
  <c r="AG138" i="4"/>
  <c r="AA138" i="4" s="1"/>
  <c r="AF138" i="4"/>
  <c r="AE138" i="4"/>
  <c r="AD138" i="4"/>
  <c r="AC138" i="4"/>
  <c r="AB138" i="4"/>
  <c r="Z138" i="4"/>
  <c r="P138" i="4"/>
  <c r="Q138" i="4" s="1"/>
  <c r="N138" i="4"/>
  <c r="M138" i="4"/>
  <c r="L138" i="4"/>
  <c r="O138" i="4" s="1"/>
  <c r="K138" i="4"/>
  <c r="AF137" i="4"/>
  <c r="AG137" i="4" s="1"/>
  <c r="AA137" i="4" s="1"/>
  <c r="AD137" i="4"/>
  <c r="AC137" i="4"/>
  <c r="AB137" i="4"/>
  <c r="Z137" i="4" s="1"/>
  <c r="Q137" i="4"/>
  <c r="P137" i="4"/>
  <c r="N137" i="4"/>
  <c r="M137" i="4"/>
  <c r="L137" i="4"/>
  <c r="K137" i="4"/>
  <c r="AF136" i="4"/>
  <c r="AD136" i="4"/>
  <c r="AC136" i="4"/>
  <c r="AB136" i="4"/>
  <c r="Z136" i="4"/>
  <c r="P136" i="4"/>
  <c r="Q136" i="4" s="1"/>
  <c r="K136" i="4" s="1"/>
  <c r="O136" i="4"/>
  <c r="N136" i="4"/>
  <c r="M136" i="4"/>
  <c r="L136" i="4"/>
  <c r="J136" i="4" s="1"/>
  <c r="AF135" i="4"/>
  <c r="AG135" i="4" s="1"/>
  <c r="AD135" i="4"/>
  <c r="AC135" i="4"/>
  <c r="AB135" i="4"/>
  <c r="AA135" i="4" s="1"/>
  <c r="Q135" i="4"/>
  <c r="P135" i="4"/>
  <c r="N135" i="4"/>
  <c r="M135" i="4"/>
  <c r="L135" i="4"/>
  <c r="O135" i="4" s="1"/>
  <c r="K135" i="4"/>
  <c r="J135" i="4"/>
  <c r="AF134" i="4"/>
  <c r="AD134" i="4"/>
  <c r="AC134" i="4"/>
  <c r="AB134" i="4"/>
  <c r="P134" i="4"/>
  <c r="Q134" i="4" s="1"/>
  <c r="O134" i="4"/>
  <c r="N134" i="4"/>
  <c r="M134" i="4"/>
  <c r="L134" i="4"/>
  <c r="K134" i="4" s="1"/>
  <c r="J134" i="4"/>
  <c r="AG133" i="4"/>
  <c r="AA133" i="4" s="1"/>
  <c r="AF133" i="4"/>
  <c r="AE133" i="4"/>
  <c r="AD133" i="4"/>
  <c r="AC133" i="4"/>
  <c r="AB133" i="4"/>
  <c r="Z133" i="4"/>
  <c r="P133" i="4"/>
  <c r="N133" i="4"/>
  <c r="M133" i="4"/>
  <c r="L133" i="4"/>
  <c r="AG132" i="4"/>
  <c r="AA132" i="4" s="1"/>
  <c r="AF132" i="4"/>
  <c r="AD132" i="4"/>
  <c r="AC132" i="4"/>
  <c r="AB132" i="4"/>
  <c r="AE132" i="4" s="1"/>
  <c r="Z132" i="4"/>
  <c r="P132" i="4"/>
  <c r="O132" i="4"/>
  <c r="N132" i="4"/>
  <c r="M132" i="4"/>
  <c r="L132" i="4"/>
  <c r="J132" i="4"/>
  <c r="AF131" i="4"/>
  <c r="AG131" i="4" s="1"/>
  <c r="AA131" i="4" s="1"/>
  <c r="AE131" i="4"/>
  <c r="AD131" i="4"/>
  <c r="AC131" i="4"/>
  <c r="AB131" i="4"/>
  <c r="Z131" i="4" s="1"/>
  <c r="P131" i="4"/>
  <c r="Q131" i="4" s="1"/>
  <c r="K131" i="4" s="1"/>
  <c r="O131" i="4"/>
  <c r="N131" i="4"/>
  <c r="M131" i="4"/>
  <c r="L131" i="4"/>
  <c r="J131" i="4"/>
  <c r="AG130" i="4"/>
  <c r="AA130" i="4" s="1"/>
  <c r="AF130" i="4"/>
  <c r="AD130" i="4"/>
  <c r="AC130" i="4"/>
  <c r="AB130" i="4"/>
  <c r="P130" i="4"/>
  <c r="N130" i="4"/>
  <c r="M130" i="4"/>
  <c r="L130" i="4"/>
  <c r="AF129" i="4"/>
  <c r="AG129" i="4" s="1"/>
  <c r="AE129" i="4"/>
  <c r="AD129" i="4"/>
  <c r="AC129" i="4"/>
  <c r="AB129" i="4"/>
  <c r="Z129" i="4"/>
  <c r="P129" i="4"/>
  <c r="Q129" i="4" s="1"/>
  <c r="O129" i="4"/>
  <c r="N129" i="4"/>
  <c r="M129" i="4"/>
  <c r="L129" i="4"/>
  <c r="J129" i="4"/>
  <c r="AF128" i="4"/>
  <c r="AG128" i="4" s="1"/>
  <c r="AD128" i="4"/>
  <c r="AC128" i="4"/>
  <c r="AB128" i="4"/>
  <c r="AA128" i="4"/>
  <c r="P128" i="4"/>
  <c r="Q128" i="4" s="1"/>
  <c r="N128" i="4"/>
  <c r="M128" i="4"/>
  <c r="L128" i="4"/>
  <c r="AF127" i="4"/>
  <c r="AG127" i="4" s="1"/>
  <c r="AE127" i="4"/>
  <c r="AD127" i="4"/>
  <c r="AC127" i="4"/>
  <c r="AB127" i="4"/>
  <c r="Z127" i="4"/>
  <c r="P127" i="4"/>
  <c r="Q127" i="4" s="1"/>
  <c r="K127" i="4" s="1"/>
  <c r="O127" i="4"/>
  <c r="N127" i="4"/>
  <c r="M127" i="4"/>
  <c r="L127" i="4"/>
  <c r="J127" i="4" s="1"/>
  <c r="AF126" i="4"/>
  <c r="AG126" i="4" s="1"/>
  <c r="AA126" i="4" s="1"/>
  <c r="AE126" i="4"/>
  <c r="AD126" i="4"/>
  <c r="AC126" i="4"/>
  <c r="AB126" i="4"/>
  <c r="Z126" i="4"/>
  <c r="Q126" i="4"/>
  <c r="P126" i="4"/>
  <c r="N126" i="4"/>
  <c r="M126" i="4"/>
  <c r="L126" i="4"/>
  <c r="O126" i="4" s="1"/>
  <c r="K126" i="4"/>
  <c r="AF125" i="4"/>
  <c r="AD125" i="4"/>
  <c r="AC125" i="4"/>
  <c r="AB125" i="4"/>
  <c r="P125" i="4"/>
  <c r="Q125" i="4" s="1"/>
  <c r="O125" i="4"/>
  <c r="N125" i="4"/>
  <c r="M125" i="4"/>
  <c r="L125" i="4"/>
  <c r="J125" i="4"/>
  <c r="AF124" i="4"/>
  <c r="AG124" i="4" s="1"/>
  <c r="AA124" i="4" s="1"/>
  <c r="AE124" i="4"/>
  <c r="AD124" i="4"/>
  <c r="AC124" i="4"/>
  <c r="AB124" i="4"/>
  <c r="Z124" i="4"/>
  <c r="P124" i="4"/>
  <c r="Q124" i="4" s="1"/>
  <c r="K124" i="4" s="1"/>
  <c r="N124" i="4"/>
  <c r="M124" i="4"/>
  <c r="L124" i="4"/>
  <c r="AF123" i="4"/>
  <c r="AD123" i="4"/>
  <c r="AC123" i="4"/>
  <c r="AG123" i="4" s="1"/>
  <c r="AB123" i="4"/>
  <c r="AA123" i="4"/>
  <c r="P123" i="4"/>
  <c r="Q123" i="4" s="1"/>
  <c r="K123" i="4" s="1"/>
  <c r="O123" i="4"/>
  <c r="N123" i="4"/>
  <c r="M123" i="4"/>
  <c r="L123" i="4"/>
  <c r="J123" i="4"/>
  <c r="AF122" i="4"/>
  <c r="AE122" i="4"/>
  <c r="AD122" i="4"/>
  <c r="AC122" i="4"/>
  <c r="AG122" i="4" s="1"/>
  <c r="AA122" i="4" s="1"/>
  <c r="AB122" i="4"/>
  <c r="Z122" i="4" s="1"/>
  <c r="Q122" i="4"/>
  <c r="P122" i="4"/>
  <c r="N122" i="4"/>
  <c r="M122" i="4"/>
  <c r="L122" i="4"/>
  <c r="O122" i="4" s="1"/>
  <c r="AF121" i="4"/>
  <c r="AG121" i="4" s="1"/>
  <c r="AE121" i="4"/>
  <c r="AD121" i="4"/>
  <c r="AC121" i="4"/>
  <c r="AB121" i="4"/>
  <c r="AA121" i="4" s="1"/>
  <c r="Z121" i="4"/>
  <c r="P121" i="4"/>
  <c r="Q121" i="4" s="1"/>
  <c r="K121" i="4" s="1"/>
  <c r="O121" i="4"/>
  <c r="N121" i="4"/>
  <c r="M121" i="4"/>
  <c r="L121" i="4"/>
  <c r="J121" i="4" s="1"/>
  <c r="AF120" i="4"/>
  <c r="AG120" i="4" s="1"/>
  <c r="AD120" i="4"/>
  <c r="AC120" i="4"/>
  <c r="AB120" i="4"/>
  <c r="Z120" i="4"/>
  <c r="P120" i="4"/>
  <c r="N120" i="4"/>
  <c r="M120" i="4"/>
  <c r="Q120" i="4" s="1"/>
  <c r="L120" i="4"/>
  <c r="AF119" i="4"/>
  <c r="AE119" i="4"/>
  <c r="AD119" i="4"/>
  <c r="AC119" i="4"/>
  <c r="AB119" i="4"/>
  <c r="Z119" i="4" s="1"/>
  <c r="P119" i="4"/>
  <c r="Q119" i="4" s="1"/>
  <c r="K119" i="4" s="1"/>
  <c r="O119" i="4"/>
  <c r="N119" i="4"/>
  <c r="M119" i="4"/>
  <c r="L119" i="4"/>
  <c r="J119" i="4"/>
  <c r="AF118" i="4"/>
  <c r="AG118" i="4" s="1"/>
  <c r="AA118" i="4" s="1"/>
  <c r="AD118" i="4"/>
  <c r="AC118" i="4"/>
  <c r="AB118" i="4"/>
  <c r="P118" i="4"/>
  <c r="N118" i="4"/>
  <c r="M118" i="4"/>
  <c r="L118" i="4"/>
  <c r="AF117" i="4"/>
  <c r="AG117" i="4" s="1"/>
  <c r="AA117" i="4" s="1"/>
  <c r="AE117" i="4"/>
  <c r="AD117" i="4"/>
  <c r="AC117" i="4"/>
  <c r="AB117" i="4"/>
  <c r="Z117" i="4"/>
  <c r="P117" i="4"/>
  <c r="O117" i="4"/>
  <c r="N117" i="4"/>
  <c r="M117" i="4"/>
  <c r="Q117" i="4" s="1"/>
  <c r="L117" i="4"/>
  <c r="K117" i="4"/>
  <c r="J117" i="4"/>
  <c r="AF116" i="4"/>
  <c r="AD116" i="4"/>
  <c r="AC116" i="4"/>
  <c r="AG116" i="4" s="1"/>
  <c r="AB116" i="4"/>
  <c r="AA116" i="4" s="1"/>
  <c r="P116" i="4"/>
  <c r="O116" i="4"/>
  <c r="N116" i="4"/>
  <c r="M116" i="4"/>
  <c r="L116" i="4"/>
  <c r="J116" i="4"/>
  <c r="AG115" i="4"/>
  <c r="AF115" i="4"/>
  <c r="AE115" i="4"/>
  <c r="AD115" i="4"/>
  <c r="AC115" i="4"/>
  <c r="AB115" i="4"/>
  <c r="Z115" i="4"/>
  <c r="P115" i="4"/>
  <c r="N115" i="4"/>
  <c r="M115" i="4"/>
  <c r="Q115" i="4" s="1"/>
  <c r="L115" i="4"/>
  <c r="AG114" i="4"/>
  <c r="AF114" i="4"/>
  <c r="AD114" i="4"/>
  <c r="AC114" i="4"/>
  <c r="AB114" i="4"/>
  <c r="P114" i="4"/>
  <c r="O114" i="4"/>
  <c r="N114" i="4"/>
  <c r="M114" i="4"/>
  <c r="L114" i="4"/>
  <c r="J114" i="4"/>
  <c r="AF113" i="4"/>
  <c r="AG113" i="4" s="1"/>
  <c r="AD113" i="4"/>
  <c r="AC113" i="4"/>
  <c r="AB113" i="4"/>
  <c r="P113" i="4"/>
  <c r="N113" i="4"/>
  <c r="M113" i="4"/>
  <c r="Q113" i="4" s="1"/>
  <c r="K113" i="4" s="1"/>
  <c r="L113" i="4"/>
  <c r="AF112" i="4"/>
  <c r="AG112" i="4" s="1"/>
  <c r="AD112" i="4"/>
  <c r="AC112" i="4"/>
  <c r="AB112" i="4"/>
  <c r="AA112" i="4" s="1"/>
  <c r="Q112" i="4"/>
  <c r="K112" i="4" s="1"/>
  <c r="P112" i="4"/>
  <c r="O112" i="4"/>
  <c r="N112" i="4"/>
  <c r="M112" i="4"/>
  <c r="L112" i="4"/>
  <c r="J112" i="4" s="1"/>
  <c r="AF111" i="4"/>
  <c r="AD111" i="4"/>
  <c r="AC111" i="4"/>
  <c r="AG111" i="4" s="1"/>
  <c r="AB111" i="4"/>
  <c r="Z111" i="4"/>
  <c r="P111" i="4"/>
  <c r="N111" i="4"/>
  <c r="M111" i="4"/>
  <c r="Q111" i="4" s="1"/>
  <c r="K111" i="4" s="1"/>
  <c r="L111" i="4"/>
  <c r="AG110" i="4"/>
  <c r="AA110" i="4" s="1"/>
  <c r="AF110" i="4"/>
  <c r="AE110" i="4"/>
  <c r="AD110" i="4"/>
  <c r="AC110" i="4"/>
  <c r="AB110" i="4"/>
  <c r="Z110" i="4" s="1"/>
  <c r="P110" i="4"/>
  <c r="Q110" i="4" s="1"/>
  <c r="N110" i="4"/>
  <c r="M110" i="4"/>
  <c r="L110" i="4"/>
  <c r="AG109" i="4"/>
  <c r="AF109" i="4"/>
  <c r="AD109" i="4"/>
  <c r="AC109" i="4"/>
  <c r="AB109" i="4"/>
  <c r="AA109" i="4"/>
  <c r="P109" i="4"/>
  <c r="Q109" i="4" s="1"/>
  <c r="O109" i="4"/>
  <c r="N109" i="4"/>
  <c r="M109" i="4"/>
  <c r="L109" i="4"/>
  <c r="J109" i="4" s="1"/>
  <c r="AF108" i="4"/>
  <c r="AG108" i="4" s="1"/>
  <c r="AE108" i="4"/>
  <c r="AD108" i="4"/>
  <c r="AC108" i="4"/>
  <c r="AB108" i="4"/>
  <c r="AA108" i="4"/>
  <c r="Z108" i="4"/>
  <c r="Q108" i="4"/>
  <c r="P108" i="4"/>
  <c r="N108" i="4"/>
  <c r="M108" i="4"/>
  <c r="L108" i="4"/>
  <c r="O108" i="4" s="1"/>
  <c r="K108" i="4"/>
  <c r="J108" i="4"/>
  <c r="AG107" i="4"/>
  <c r="AF107" i="4"/>
  <c r="AE107" i="4"/>
  <c r="AD107" i="4"/>
  <c r="AC107" i="4"/>
  <c r="AB107" i="4"/>
  <c r="P107" i="4"/>
  <c r="Q107" i="4" s="1"/>
  <c r="N107" i="4"/>
  <c r="M107" i="4"/>
  <c r="L107" i="4"/>
  <c r="AG106" i="4"/>
  <c r="AA106" i="4" s="1"/>
  <c r="AF106" i="4"/>
  <c r="AE106" i="4"/>
  <c r="AD106" i="4"/>
  <c r="AC106" i="4"/>
  <c r="AB106" i="4"/>
  <c r="Z106" i="4"/>
  <c r="P106" i="4"/>
  <c r="N106" i="4"/>
  <c r="M106" i="4"/>
  <c r="Q106" i="4" s="1"/>
  <c r="L106" i="4"/>
  <c r="AF105" i="4"/>
  <c r="AD105" i="4"/>
  <c r="AC105" i="4"/>
  <c r="AG105" i="4" s="1"/>
  <c r="AB105" i="4"/>
  <c r="Q105" i="4"/>
  <c r="K105" i="4" s="1"/>
  <c r="P105" i="4"/>
  <c r="O105" i="4"/>
  <c r="N105" i="4"/>
  <c r="M105" i="4"/>
  <c r="L105" i="4"/>
  <c r="J105" i="4"/>
  <c r="AF104" i="4"/>
  <c r="AG104" i="4" s="1"/>
  <c r="AD104" i="4"/>
  <c r="AC104" i="4"/>
  <c r="AB104" i="4"/>
  <c r="Z104" i="4" s="1"/>
  <c r="P104" i="4"/>
  <c r="N104" i="4"/>
  <c r="M104" i="4"/>
  <c r="Q104" i="4" s="1"/>
  <c r="K104" i="4" s="1"/>
  <c r="L104" i="4"/>
  <c r="O104" i="4" s="1"/>
  <c r="J104" i="4"/>
  <c r="AF103" i="4"/>
  <c r="AE103" i="4"/>
  <c r="AD103" i="4"/>
  <c r="AC103" i="4"/>
  <c r="AB103" i="4"/>
  <c r="Z103" i="4"/>
  <c r="Q103" i="4"/>
  <c r="P103" i="4"/>
  <c r="N103" i="4"/>
  <c r="M103" i="4"/>
  <c r="L103" i="4"/>
  <c r="AG102" i="4"/>
  <c r="AA102" i="4" s="1"/>
  <c r="AF102" i="4"/>
  <c r="AD102" i="4"/>
  <c r="AC102" i="4"/>
  <c r="AB102" i="4"/>
  <c r="AE102" i="4" s="1"/>
  <c r="Z102" i="4"/>
  <c r="Q102" i="4"/>
  <c r="P102" i="4"/>
  <c r="N102" i="4"/>
  <c r="M102" i="4"/>
  <c r="L102" i="4"/>
  <c r="AF101" i="4"/>
  <c r="AG101" i="4" s="1"/>
  <c r="AE101" i="4"/>
  <c r="AD101" i="4"/>
  <c r="AC101" i="4"/>
  <c r="AB101" i="4"/>
  <c r="Z101" i="4" s="1"/>
  <c r="AA101" i="4"/>
  <c r="Q101" i="4"/>
  <c r="K101" i="4" s="1"/>
  <c r="P101" i="4"/>
  <c r="O101" i="4"/>
  <c r="N101" i="4"/>
  <c r="M101" i="4"/>
  <c r="L101" i="4"/>
  <c r="J101" i="4"/>
  <c r="AF100" i="4"/>
  <c r="AD100" i="4"/>
  <c r="AC100" i="4"/>
  <c r="AG100" i="4" s="1"/>
  <c r="AB100" i="4"/>
  <c r="P100" i="4"/>
  <c r="O100" i="4"/>
  <c r="N100" i="4"/>
  <c r="M100" i="4"/>
  <c r="L100" i="4"/>
  <c r="AG99" i="4"/>
  <c r="AA99" i="4" s="1"/>
  <c r="AF99" i="4"/>
  <c r="AE99" i="4"/>
  <c r="AD99" i="4"/>
  <c r="AC99" i="4"/>
  <c r="AB99" i="4"/>
  <c r="Z99" i="4"/>
  <c r="P99" i="4"/>
  <c r="Q99" i="4" s="1"/>
  <c r="N99" i="4"/>
  <c r="M99" i="4"/>
  <c r="L99" i="4"/>
  <c r="AF98" i="4"/>
  <c r="AD98" i="4"/>
  <c r="AC98" i="4"/>
  <c r="AG98" i="4" s="1"/>
  <c r="AB98" i="4"/>
  <c r="P98" i="4"/>
  <c r="Q98" i="4" s="1"/>
  <c r="O98" i="4"/>
  <c r="N98" i="4"/>
  <c r="M98" i="4"/>
  <c r="L98" i="4"/>
  <c r="K98" i="4" s="1"/>
  <c r="J98" i="4"/>
  <c r="AF97" i="4"/>
  <c r="AG97" i="4" s="1"/>
  <c r="AD97" i="4"/>
  <c r="AC97" i="4"/>
  <c r="AB97" i="4"/>
  <c r="AA97" i="4"/>
  <c r="Q97" i="4"/>
  <c r="P97" i="4"/>
  <c r="N97" i="4"/>
  <c r="M97" i="4"/>
  <c r="L97" i="4"/>
  <c r="K97" i="4"/>
  <c r="AF96" i="4"/>
  <c r="AE96" i="4"/>
  <c r="AD96" i="4"/>
  <c r="AC96" i="4"/>
  <c r="AG96" i="4" s="1"/>
  <c r="AB96" i="4"/>
  <c r="P96" i="4"/>
  <c r="Q96" i="4" s="1"/>
  <c r="K96" i="4" s="1"/>
  <c r="O96" i="4"/>
  <c r="N96" i="4"/>
  <c r="M96" i="4"/>
  <c r="L96" i="4"/>
  <c r="J96" i="4"/>
  <c r="AG95" i="4"/>
  <c r="AF95" i="4"/>
  <c r="AD95" i="4"/>
  <c r="AC95" i="4"/>
  <c r="AB95" i="4"/>
  <c r="AA95" i="4"/>
  <c r="P95" i="4"/>
  <c r="Q95" i="4" s="1"/>
  <c r="N95" i="4"/>
  <c r="M95" i="4"/>
  <c r="L95" i="4"/>
  <c r="AF94" i="4"/>
  <c r="AG94" i="4" s="1"/>
  <c r="AE94" i="4"/>
  <c r="AD94" i="4"/>
  <c r="AC94" i="4"/>
  <c r="AB94" i="4"/>
  <c r="Z94" i="4"/>
  <c r="P94" i="4"/>
  <c r="Q94" i="4" s="1"/>
  <c r="K94" i="4" s="1"/>
  <c r="O94" i="4"/>
  <c r="N94" i="4"/>
  <c r="M94" i="4"/>
  <c r="L94" i="4"/>
  <c r="J94" i="4" s="1"/>
  <c r="AF93" i="4"/>
  <c r="AG93" i="4" s="1"/>
  <c r="AA93" i="4" s="1"/>
  <c r="AE93" i="4"/>
  <c r="AD93" i="4"/>
  <c r="AC93" i="4"/>
  <c r="AB93" i="4"/>
  <c r="Z93" i="4"/>
  <c r="P93" i="4"/>
  <c r="N93" i="4"/>
  <c r="M93" i="4"/>
  <c r="Q93" i="4" s="1"/>
  <c r="L93" i="4"/>
  <c r="J93" i="4" s="1"/>
  <c r="K93" i="4"/>
  <c r="AG92" i="4"/>
  <c r="AA92" i="4" s="1"/>
  <c r="AF92" i="4"/>
  <c r="AE92" i="4"/>
  <c r="AD92" i="4"/>
  <c r="AC92" i="4"/>
  <c r="AB92" i="4"/>
  <c r="Z92" i="4"/>
  <c r="P92" i="4"/>
  <c r="O92" i="4"/>
  <c r="N92" i="4"/>
  <c r="M92" i="4"/>
  <c r="L92" i="4"/>
  <c r="J92" i="4" s="1"/>
  <c r="AF91" i="4"/>
  <c r="AD91" i="4"/>
  <c r="AC91" i="4"/>
  <c r="AG91" i="4" s="1"/>
  <c r="AB91" i="4"/>
  <c r="AA91" i="4"/>
  <c r="Q91" i="4"/>
  <c r="P91" i="4"/>
  <c r="O91" i="4"/>
  <c r="N91" i="4"/>
  <c r="M91" i="4"/>
  <c r="L91" i="4"/>
  <c r="K91" i="4"/>
  <c r="J91" i="4"/>
  <c r="AF90" i="4"/>
  <c r="AE90" i="4"/>
  <c r="AD90" i="4"/>
  <c r="AC90" i="4"/>
  <c r="AB90" i="4"/>
  <c r="Z90" i="4" s="1"/>
  <c r="P90" i="4"/>
  <c r="O90" i="4"/>
  <c r="N90" i="4"/>
  <c r="M90" i="4"/>
  <c r="Q90" i="4" s="1"/>
  <c r="L90" i="4"/>
  <c r="J90" i="4" s="1"/>
  <c r="K90" i="4"/>
  <c r="AF89" i="4"/>
  <c r="AG89" i="4" s="1"/>
  <c r="AA89" i="4" s="1"/>
  <c r="AE89" i="4"/>
  <c r="AD89" i="4"/>
  <c r="AC89" i="4"/>
  <c r="AB89" i="4"/>
  <c r="Z89" i="4"/>
  <c r="Q89" i="4"/>
  <c r="P89" i="4"/>
  <c r="N89" i="4"/>
  <c r="M89" i="4"/>
  <c r="L89" i="4"/>
  <c r="O89" i="4" s="1"/>
  <c r="K89" i="4"/>
  <c r="AF88" i="4"/>
  <c r="AD88" i="4"/>
  <c r="AC88" i="4"/>
  <c r="AG88" i="4" s="1"/>
  <c r="AB88" i="4"/>
  <c r="P88" i="4"/>
  <c r="Q88" i="4" s="1"/>
  <c r="O88" i="4"/>
  <c r="N88" i="4"/>
  <c r="M88" i="4"/>
  <c r="L88" i="4"/>
  <c r="K88" i="4"/>
  <c r="J88" i="4"/>
  <c r="AG87" i="4"/>
  <c r="AA87" i="4" s="1"/>
  <c r="AF87" i="4"/>
  <c r="AE87" i="4"/>
  <c r="AD87" i="4"/>
  <c r="AC87" i="4"/>
  <c r="AB87" i="4"/>
  <c r="Z87" i="4"/>
  <c r="P87" i="4"/>
  <c r="N87" i="4"/>
  <c r="M87" i="4"/>
  <c r="Q87" i="4" s="1"/>
  <c r="L87" i="4"/>
  <c r="AG86" i="4"/>
  <c r="AA86" i="4" s="1"/>
  <c r="AF86" i="4"/>
  <c r="AE86" i="4"/>
  <c r="AD86" i="4"/>
  <c r="AC86" i="4"/>
  <c r="AB86" i="4"/>
  <c r="Z86" i="4"/>
  <c r="P86" i="4"/>
  <c r="O86" i="4"/>
  <c r="N86" i="4"/>
  <c r="M86" i="4"/>
  <c r="Q86" i="4" s="1"/>
  <c r="L86" i="4"/>
  <c r="J86" i="4"/>
  <c r="AF85" i="4"/>
  <c r="AD85" i="4"/>
  <c r="AC85" i="4"/>
  <c r="AG85" i="4" s="1"/>
  <c r="AB85" i="4"/>
  <c r="Q85" i="4"/>
  <c r="K85" i="4" s="1"/>
  <c r="P85" i="4"/>
  <c r="O85" i="4"/>
  <c r="N85" i="4"/>
  <c r="M85" i="4"/>
  <c r="L85" i="4"/>
  <c r="J85" i="4"/>
  <c r="AF84" i="4"/>
  <c r="AG84" i="4" s="1"/>
  <c r="AA84" i="4" s="1"/>
  <c r="AE84" i="4"/>
  <c r="AD84" i="4"/>
  <c r="AC84" i="4"/>
  <c r="AB84" i="4"/>
  <c r="Z84" i="4"/>
  <c r="P84" i="4"/>
  <c r="N84" i="4"/>
  <c r="M84" i="4"/>
  <c r="Q84" i="4" s="1"/>
  <c r="L84" i="4"/>
  <c r="J84" i="4" s="1"/>
  <c r="K84" i="4"/>
  <c r="AF83" i="4"/>
  <c r="AG83" i="4" s="1"/>
  <c r="AA83" i="4" s="1"/>
  <c r="AE83" i="4"/>
  <c r="AD83" i="4"/>
  <c r="AC83" i="4"/>
  <c r="AB83" i="4"/>
  <c r="Z83" i="4"/>
  <c r="Q83" i="4"/>
  <c r="P83" i="4"/>
  <c r="N83" i="4"/>
  <c r="M83" i="4"/>
  <c r="L83" i="4"/>
  <c r="K83" i="4" s="1"/>
  <c r="J83" i="4"/>
  <c r="AF82" i="4"/>
  <c r="AD82" i="4"/>
  <c r="AC82" i="4"/>
  <c r="AG82" i="4" s="1"/>
  <c r="AB82" i="4"/>
  <c r="Z82" i="4" s="1"/>
  <c r="P82" i="4"/>
  <c r="O82" i="4"/>
  <c r="N82" i="4"/>
  <c r="M82" i="4"/>
  <c r="Q82" i="4" s="1"/>
  <c r="K82" i="4" s="1"/>
  <c r="L82" i="4"/>
  <c r="J82" i="4"/>
  <c r="AF81" i="4"/>
  <c r="AG81" i="4" s="1"/>
  <c r="AA81" i="4" s="1"/>
  <c r="AE81" i="4"/>
  <c r="AD81" i="4"/>
  <c r="AC81" i="4"/>
  <c r="AB81" i="4"/>
  <c r="Z81" i="4" s="1"/>
  <c r="P81" i="4"/>
  <c r="N81" i="4"/>
  <c r="M81" i="4"/>
  <c r="Q81" i="4" s="1"/>
  <c r="K81" i="4" s="1"/>
  <c r="L81" i="4"/>
  <c r="AG80" i="4"/>
  <c r="AA80" i="4" s="1"/>
  <c r="AF80" i="4"/>
  <c r="AE80" i="4"/>
  <c r="AD80" i="4"/>
  <c r="AC80" i="4"/>
  <c r="AB80" i="4"/>
  <c r="Z80" i="4"/>
  <c r="P80" i="4"/>
  <c r="Q80" i="4" s="1"/>
  <c r="N80" i="4"/>
  <c r="M80" i="4"/>
  <c r="L80" i="4"/>
  <c r="J80" i="4" s="1"/>
  <c r="AF79" i="4"/>
  <c r="AD79" i="4"/>
  <c r="AC79" i="4"/>
  <c r="AG79" i="4" s="1"/>
  <c r="AB79" i="4"/>
  <c r="AA79" i="4" s="1"/>
  <c r="P79" i="4"/>
  <c r="Q79" i="4" s="1"/>
  <c r="K79" i="4" s="1"/>
  <c r="O79" i="4"/>
  <c r="N79" i="4"/>
  <c r="M79" i="4"/>
  <c r="L79" i="4"/>
  <c r="J79" i="4"/>
  <c r="AF78" i="4"/>
  <c r="AD78" i="4"/>
  <c r="AC78" i="4"/>
  <c r="AB78" i="4"/>
  <c r="Z78" i="4" s="1"/>
  <c r="Q78" i="4"/>
  <c r="P78" i="4"/>
  <c r="N78" i="4"/>
  <c r="M78" i="4"/>
  <c r="L78" i="4"/>
  <c r="J78" i="4" s="1"/>
  <c r="AF77" i="4"/>
  <c r="AG77" i="4" s="1"/>
  <c r="AA77" i="4" s="1"/>
  <c r="AE77" i="4"/>
  <c r="AD77" i="4"/>
  <c r="AC77" i="4"/>
  <c r="AB77" i="4"/>
  <c r="Z77" i="4"/>
  <c r="P77" i="4"/>
  <c r="O77" i="4"/>
  <c r="N77" i="4"/>
  <c r="M77" i="4"/>
  <c r="Q77" i="4" s="1"/>
  <c r="L77" i="4"/>
  <c r="K77" i="4" s="1"/>
  <c r="AG76" i="4"/>
  <c r="AF76" i="4"/>
  <c r="AE76" i="4"/>
  <c r="AD76" i="4"/>
  <c r="AC76" i="4"/>
  <c r="AB76" i="4"/>
  <c r="Z76" i="4" s="1"/>
  <c r="AA76" i="4"/>
  <c r="P76" i="4"/>
  <c r="Q76" i="4" s="1"/>
  <c r="K76" i="4" s="1"/>
  <c r="O76" i="4"/>
  <c r="N76" i="4"/>
  <c r="M76" i="4"/>
  <c r="L76" i="4"/>
  <c r="J76" i="4"/>
  <c r="AF75" i="4"/>
  <c r="AD75" i="4"/>
  <c r="AC75" i="4"/>
  <c r="AG75" i="4" s="1"/>
  <c r="AA75" i="4" s="1"/>
  <c r="AB75" i="4"/>
  <c r="AE75" i="4" s="1"/>
  <c r="P75" i="4"/>
  <c r="O75" i="4"/>
  <c r="N75" i="4"/>
  <c r="M75" i="4"/>
  <c r="Q75" i="4" s="1"/>
  <c r="L75" i="4"/>
  <c r="J75" i="4" s="1"/>
  <c r="AF74" i="4"/>
  <c r="AG74" i="4" s="1"/>
  <c r="AA74" i="4" s="1"/>
  <c r="AE74" i="4"/>
  <c r="AD74" i="4"/>
  <c r="AC74" i="4"/>
  <c r="AB74" i="4"/>
  <c r="Z74" i="4"/>
  <c r="P74" i="4"/>
  <c r="N74" i="4"/>
  <c r="M74" i="4"/>
  <c r="L74" i="4"/>
  <c r="O74" i="4" s="1"/>
  <c r="AG73" i="4"/>
  <c r="AF73" i="4"/>
  <c r="AD73" i="4"/>
  <c r="AC73" i="4"/>
  <c r="AB73" i="4"/>
  <c r="P73" i="4"/>
  <c r="O73" i="4"/>
  <c r="N73" i="4"/>
  <c r="M73" i="4"/>
  <c r="L73" i="4"/>
  <c r="J73" i="4"/>
  <c r="AG72" i="4"/>
  <c r="AA72" i="4" s="1"/>
  <c r="AF72" i="4"/>
  <c r="AE72" i="4"/>
  <c r="AD72" i="4"/>
  <c r="AC72" i="4"/>
  <c r="AB72" i="4"/>
  <c r="Z72" i="4"/>
  <c r="P72" i="4"/>
  <c r="O72" i="4"/>
  <c r="N72" i="4"/>
  <c r="M72" i="4"/>
  <c r="Q72" i="4" s="1"/>
  <c r="K72" i="4" s="1"/>
  <c r="L72" i="4"/>
  <c r="J72" i="4" s="1"/>
  <c r="AF71" i="4"/>
  <c r="AE71" i="4"/>
  <c r="AD71" i="4"/>
  <c r="AC71" i="4"/>
  <c r="AG71" i="4" s="1"/>
  <c r="AB71" i="4"/>
  <c r="AA71" i="4"/>
  <c r="Z71" i="4"/>
  <c r="P71" i="4"/>
  <c r="Q71" i="4" s="1"/>
  <c r="O71" i="4"/>
  <c r="N71" i="4"/>
  <c r="M71" i="4"/>
  <c r="L71" i="4"/>
  <c r="K71" i="4"/>
  <c r="J71" i="4"/>
  <c r="AG70" i="4"/>
  <c r="AF70" i="4"/>
  <c r="AD70" i="4"/>
  <c r="AC70" i="4"/>
  <c r="AB70" i="4"/>
  <c r="AE70" i="4" s="1"/>
  <c r="P70" i="4"/>
  <c r="O70" i="4"/>
  <c r="N70" i="4"/>
  <c r="M70" i="4"/>
  <c r="Q70" i="4" s="1"/>
  <c r="K70" i="4" s="1"/>
  <c r="L70" i="4"/>
  <c r="J70" i="4"/>
  <c r="AG69" i="4"/>
  <c r="AF69" i="4"/>
  <c r="AE69" i="4"/>
  <c r="AD69" i="4"/>
  <c r="AC69" i="4"/>
  <c r="AB69" i="4"/>
  <c r="AA69" i="4" s="1"/>
  <c r="Z69" i="4"/>
  <c r="Q69" i="4"/>
  <c r="K69" i="4" s="1"/>
  <c r="P69" i="4"/>
  <c r="O69" i="4"/>
  <c r="N69" i="4"/>
  <c r="M69" i="4"/>
  <c r="L69" i="4"/>
  <c r="J69" i="4" s="1"/>
  <c r="AF68" i="4"/>
  <c r="AE68" i="4"/>
  <c r="AD68" i="4"/>
  <c r="AC68" i="4"/>
  <c r="AB68" i="4"/>
  <c r="Z68" i="4"/>
  <c r="Q68" i="4"/>
  <c r="P68" i="4"/>
  <c r="N68" i="4"/>
  <c r="M68" i="4"/>
  <c r="L68" i="4"/>
  <c r="AF67" i="4"/>
  <c r="AD67" i="4"/>
  <c r="AC67" i="4"/>
  <c r="AG67" i="4" s="1"/>
  <c r="AB67" i="4"/>
  <c r="Q67" i="4"/>
  <c r="K67" i="4" s="1"/>
  <c r="P67" i="4"/>
  <c r="O67" i="4"/>
  <c r="N67" i="4"/>
  <c r="M67" i="4"/>
  <c r="L67" i="4"/>
  <c r="J67" i="4"/>
  <c r="AF66" i="4"/>
  <c r="AG66" i="4" s="1"/>
  <c r="AA66" i="4" s="1"/>
  <c r="AE66" i="4"/>
  <c r="AD66" i="4"/>
  <c r="AC66" i="4"/>
  <c r="AB66" i="4"/>
  <c r="Z66" i="4"/>
  <c r="P66" i="4"/>
  <c r="O66" i="4"/>
  <c r="N66" i="4"/>
  <c r="M66" i="4"/>
  <c r="Q66" i="4" s="1"/>
  <c r="K66" i="4" s="1"/>
  <c r="L66" i="4"/>
  <c r="J66" i="4" s="1"/>
  <c r="AF65" i="4"/>
  <c r="AG65" i="4" s="1"/>
  <c r="AA65" i="4" s="1"/>
  <c r="AE65" i="4"/>
  <c r="AD65" i="4"/>
  <c r="AC65" i="4"/>
  <c r="AB65" i="4"/>
  <c r="Z65" i="4"/>
  <c r="P65" i="4"/>
  <c r="Q65" i="4" s="1"/>
  <c r="N65" i="4"/>
  <c r="M65" i="4"/>
  <c r="L65" i="4"/>
  <c r="J65" i="4" s="1"/>
  <c r="AF64" i="4"/>
  <c r="AD64" i="4"/>
  <c r="AC64" i="4"/>
  <c r="AG64" i="4" s="1"/>
  <c r="AB64" i="4"/>
  <c r="Z64" i="4" s="1"/>
  <c r="AA64" i="4"/>
  <c r="P64" i="4"/>
  <c r="O64" i="4"/>
  <c r="N64" i="4"/>
  <c r="M64" i="4"/>
  <c r="Q64" i="4" s="1"/>
  <c r="K64" i="4" s="1"/>
  <c r="L64" i="4"/>
  <c r="J64" i="4"/>
  <c r="AF63" i="4"/>
  <c r="AE63" i="4"/>
  <c r="AD63" i="4"/>
  <c r="AC63" i="4"/>
  <c r="AG63" i="4" s="1"/>
  <c r="AA63" i="4" s="1"/>
  <c r="AB63" i="4"/>
  <c r="Z63" i="4" s="1"/>
  <c r="P63" i="4"/>
  <c r="N63" i="4"/>
  <c r="M63" i="4"/>
  <c r="Q63" i="4" s="1"/>
  <c r="L63" i="4"/>
  <c r="AF62" i="4"/>
  <c r="AG62" i="4" s="1"/>
  <c r="AA62" i="4" s="1"/>
  <c r="AE62" i="4"/>
  <c r="AD62" i="4"/>
  <c r="AC62" i="4"/>
  <c r="AB62" i="4"/>
  <c r="Z62" i="4"/>
  <c r="P62" i="4"/>
  <c r="Q62" i="4" s="1"/>
  <c r="O62" i="4"/>
  <c r="N62" i="4"/>
  <c r="M62" i="4"/>
  <c r="L62" i="4"/>
  <c r="J62" i="4"/>
  <c r="AF61" i="4"/>
  <c r="AD61" i="4"/>
  <c r="AC61" i="4"/>
  <c r="AG61" i="4" s="1"/>
  <c r="AB61" i="4"/>
  <c r="AA61" i="4" s="1"/>
  <c r="P61" i="4"/>
  <c r="Q61" i="4" s="1"/>
  <c r="K61" i="4" s="1"/>
  <c r="O61" i="4"/>
  <c r="N61" i="4"/>
  <c r="M61" i="4"/>
  <c r="L61" i="4"/>
  <c r="J61" i="4"/>
  <c r="AF60" i="4"/>
  <c r="AG60" i="4" s="1"/>
  <c r="AD60" i="4"/>
  <c r="AC60" i="4"/>
  <c r="AB60" i="4"/>
  <c r="Z60" i="4" s="1"/>
  <c r="AA60" i="4"/>
  <c r="Q60" i="4"/>
  <c r="K60" i="4" s="1"/>
  <c r="P60" i="4"/>
  <c r="O60" i="4"/>
  <c r="N60" i="4"/>
  <c r="M60" i="4"/>
  <c r="L60" i="4"/>
  <c r="J60" i="4" s="1"/>
  <c r="AF59" i="4"/>
  <c r="AG59" i="4" s="1"/>
  <c r="AA59" i="4" s="1"/>
  <c r="AE59" i="4"/>
  <c r="AD59" i="4"/>
  <c r="AC59" i="4"/>
  <c r="AB59" i="4"/>
  <c r="Z59" i="4"/>
  <c r="P59" i="4"/>
  <c r="N59" i="4"/>
  <c r="M59" i="4"/>
  <c r="Q59" i="4" s="1"/>
  <c r="L59" i="4"/>
  <c r="O59" i="4" s="1"/>
  <c r="K59" i="4"/>
  <c r="J59" i="4"/>
  <c r="AF58" i="4"/>
  <c r="AE58" i="4"/>
  <c r="AD58" i="4"/>
  <c r="AC58" i="4"/>
  <c r="AG58" i="4" s="1"/>
  <c r="AA58" i="4" s="1"/>
  <c r="AB58" i="4"/>
  <c r="Z58" i="4"/>
  <c r="Q58" i="4"/>
  <c r="K58" i="4" s="1"/>
  <c r="P58" i="4"/>
  <c r="O58" i="4"/>
  <c r="N58" i="4"/>
  <c r="M58" i="4"/>
  <c r="L58" i="4"/>
  <c r="J58" i="4"/>
  <c r="AF57" i="4"/>
  <c r="AE57" i="4"/>
  <c r="AD57" i="4"/>
  <c r="AC57" i="4"/>
  <c r="AG57" i="4" s="1"/>
  <c r="AB57" i="4"/>
  <c r="AA57" i="4"/>
  <c r="Z57" i="4"/>
  <c r="P57" i="4"/>
  <c r="O57" i="4"/>
  <c r="N57" i="4"/>
  <c r="M57" i="4"/>
  <c r="Q57" i="4" s="1"/>
  <c r="L57" i="4"/>
  <c r="K57" i="4"/>
  <c r="J57" i="4"/>
  <c r="AG56" i="4"/>
  <c r="AA56" i="4" s="1"/>
  <c r="AF56" i="4"/>
  <c r="AE56" i="4"/>
  <c r="AD56" i="4"/>
  <c r="AC56" i="4"/>
  <c r="AB56" i="4"/>
  <c r="Z56" i="4"/>
  <c r="P56" i="4"/>
  <c r="N56" i="4"/>
  <c r="M56" i="4"/>
  <c r="Q56" i="4" s="1"/>
  <c r="L56" i="4"/>
  <c r="J56" i="4" s="1"/>
  <c r="K56" i="4"/>
  <c r="AF55" i="4"/>
  <c r="AE55" i="4"/>
  <c r="AD55" i="4"/>
  <c r="AC55" i="4"/>
  <c r="AG55" i="4" s="1"/>
  <c r="AB55" i="4"/>
  <c r="AA55" i="4"/>
  <c r="Z55" i="4"/>
  <c r="P55" i="4"/>
  <c r="Q55" i="4" s="1"/>
  <c r="K55" i="4" s="1"/>
  <c r="O55" i="4"/>
  <c r="N55" i="4"/>
  <c r="M55" i="4"/>
  <c r="L55" i="4"/>
  <c r="J55" i="4"/>
  <c r="AF54" i="4"/>
  <c r="AE54" i="4"/>
  <c r="AD54" i="4"/>
  <c r="AC54" i="4"/>
  <c r="AG54" i="4" s="1"/>
  <c r="AA54" i="4" s="1"/>
  <c r="AB54" i="4"/>
  <c r="Z54" i="4"/>
  <c r="P54" i="4"/>
  <c r="O54" i="4"/>
  <c r="N54" i="4"/>
  <c r="M54" i="4"/>
  <c r="Q54" i="4" s="1"/>
  <c r="L54" i="4"/>
  <c r="K54" i="4"/>
  <c r="J54" i="4"/>
  <c r="AF53" i="4"/>
  <c r="AG53" i="4" s="1"/>
  <c r="AA53" i="4" s="1"/>
  <c r="AE53" i="4"/>
  <c r="AD53" i="4"/>
  <c r="AC53" i="4"/>
  <c r="AB53" i="4"/>
  <c r="Z53" i="4"/>
  <c r="P53" i="4"/>
  <c r="N53" i="4"/>
  <c r="M53" i="4"/>
  <c r="Q53" i="4" s="1"/>
  <c r="L53" i="4"/>
  <c r="O53" i="4" s="1"/>
  <c r="K53" i="4"/>
  <c r="J53" i="4"/>
  <c r="AF52" i="4"/>
  <c r="AE52" i="4"/>
  <c r="AD52" i="4"/>
  <c r="AC52" i="4"/>
  <c r="AG52" i="4" s="1"/>
  <c r="AA52" i="4" s="1"/>
  <c r="AB52" i="4"/>
  <c r="Z52" i="4"/>
  <c r="Q52" i="4"/>
  <c r="P52" i="4"/>
  <c r="O52" i="4"/>
  <c r="N52" i="4"/>
  <c r="M52" i="4"/>
  <c r="L52" i="4"/>
  <c r="J52" i="4"/>
  <c r="AF51" i="4"/>
  <c r="AE51" i="4"/>
  <c r="AD51" i="4"/>
  <c r="AC51" i="4"/>
  <c r="AG51" i="4" s="1"/>
  <c r="AB51" i="4"/>
  <c r="AA51" i="4"/>
  <c r="Z51" i="4"/>
  <c r="P51" i="4"/>
  <c r="Q51" i="4" s="1"/>
  <c r="O51" i="4"/>
  <c r="N51" i="4"/>
  <c r="M51" i="4"/>
  <c r="L51" i="4"/>
  <c r="K51" i="4"/>
  <c r="J51" i="4"/>
  <c r="AG50" i="4"/>
  <c r="AF50" i="4"/>
  <c r="AD50" i="4"/>
  <c r="AC50" i="4"/>
  <c r="AB50" i="4"/>
  <c r="Z50" i="4"/>
  <c r="P50" i="4"/>
  <c r="N50" i="4"/>
  <c r="M50" i="4"/>
  <c r="Q50" i="4" s="1"/>
  <c r="L50" i="4"/>
  <c r="J50" i="4" s="1"/>
  <c r="K50" i="4"/>
  <c r="AF49" i="4"/>
  <c r="AG49" i="4" s="1"/>
  <c r="AE49" i="4"/>
  <c r="AD49" i="4"/>
  <c r="AC49" i="4"/>
  <c r="AB49" i="4"/>
  <c r="AA49" i="4"/>
  <c r="Z49" i="4"/>
  <c r="P49" i="4"/>
  <c r="Q49" i="4" s="1"/>
  <c r="O49" i="4"/>
  <c r="N49" i="4"/>
  <c r="M49" i="4"/>
  <c r="L49" i="4"/>
  <c r="J49" i="4"/>
  <c r="AF48" i="4"/>
  <c r="AE48" i="4"/>
  <c r="AD48" i="4"/>
  <c r="AC48" i="4"/>
  <c r="AG48" i="4" s="1"/>
  <c r="AA48" i="4" s="1"/>
  <c r="AB48" i="4"/>
  <c r="Z48" i="4"/>
  <c r="P48" i="4"/>
  <c r="Q48" i="4" s="1"/>
  <c r="K48" i="4" s="1"/>
  <c r="O48" i="4"/>
  <c r="N48" i="4"/>
  <c r="M48" i="4"/>
  <c r="L48" i="4"/>
  <c r="J48" i="4"/>
  <c r="AF47" i="4"/>
  <c r="AG47" i="4" s="1"/>
  <c r="AD47" i="4"/>
  <c r="AC47" i="4"/>
  <c r="AB47" i="4"/>
  <c r="Z47" i="4"/>
  <c r="P47" i="4"/>
  <c r="N47" i="4"/>
  <c r="M47" i="4"/>
  <c r="Q47" i="4" s="1"/>
  <c r="L47" i="4"/>
  <c r="O47" i="4" s="1"/>
  <c r="K47" i="4"/>
  <c r="J47" i="4"/>
  <c r="AF46" i="4"/>
  <c r="AG46" i="4" s="1"/>
  <c r="AE46" i="4"/>
  <c r="AD46" i="4"/>
  <c r="AC46" i="4"/>
  <c r="AB46" i="4"/>
  <c r="AA46" i="4"/>
  <c r="Z46" i="4"/>
  <c r="Q46" i="4"/>
  <c r="P46" i="4"/>
  <c r="O46" i="4"/>
  <c r="N46" i="4"/>
  <c r="M46" i="4"/>
  <c r="L46" i="4"/>
  <c r="J46" i="4"/>
  <c r="AF45" i="4"/>
  <c r="AE45" i="4"/>
  <c r="AD45" i="4"/>
  <c r="AC45" i="4"/>
  <c r="AG45" i="4" s="1"/>
  <c r="AB45" i="4"/>
  <c r="AA45" i="4"/>
  <c r="Z45" i="4"/>
  <c r="P45" i="4"/>
  <c r="Q45" i="4" s="1"/>
  <c r="O45" i="4"/>
  <c r="N45" i="4"/>
  <c r="M45" i="4"/>
  <c r="L45" i="4"/>
  <c r="K45" i="4"/>
  <c r="J45" i="4"/>
  <c r="AG44" i="4"/>
  <c r="AF44" i="4"/>
  <c r="AD44" i="4"/>
  <c r="AC44" i="4"/>
  <c r="AB44" i="4"/>
  <c r="Z44" i="4"/>
  <c r="P44" i="4"/>
  <c r="N44" i="4"/>
  <c r="M44" i="4"/>
  <c r="Q44" i="4" s="1"/>
  <c r="L44" i="4"/>
  <c r="J44" i="4" s="1"/>
  <c r="K44" i="4"/>
  <c r="AF43" i="4"/>
  <c r="AG43" i="4" s="1"/>
  <c r="AE43" i="4"/>
  <c r="AD43" i="4"/>
  <c r="AC43" i="4"/>
  <c r="AB43" i="4"/>
  <c r="AA43" i="4"/>
  <c r="Z43" i="4"/>
  <c r="P43" i="4"/>
  <c r="Q43" i="4" s="1"/>
  <c r="O43" i="4"/>
  <c r="N43" i="4"/>
  <c r="M43" i="4"/>
  <c r="L43" i="4"/>
  <c r="J43" i="4"/>
  <c r="AF42" i="4"/>
  <c r="AE42" i="4"/>
  <c r="AD42" i="4"/>
  <c r="AC42" i="4"/>
  <c r="AG42" i="4" s="1"/>
  <c r="AA42" i="4" s="1"/>
  <c r="AB42" i="4"/>
  <c r="Z42" i="4"/>
  <c r="P42" i="4"/>
  <c r="Q42" i="4" s="1"/>
  <c r="K42" i="4" s="1"/>
  <c r="O42" i="4"/>
  <c r="N42" i="4"/>
  <c r="M42" i="4"/>
  <c r="L42" i="4"/>
  <c r="J42" i="4"/>
  <c r="AF41" i="4"/>
  <c r="AG41" i="4" s="1"/>
  <c r="AD41" i="4"/>
  <c r="AC41" i="4"/>
  <c r="AB41" i="4"/>
  <c r="Z41" i="4"/>
  <c r="P41" i="4"/>
  <c r="N41" i="4"/>
  <c r="M41" i="4"/>
  <c r="Q41" i="4" s="1"/>
  <c r="L41" i="4"/>
  <c r="O41" i="4" s="1"/>
  <c r="K41" i="4"/>
  <c r="J41" i="4"/>
  <c r="AF40" i="4"/>
  <c r="AG40" i="4" s="1"/>
  <c r="AE40" i="4"/>
  <c r="AD40" i="4"/>
  <c r="AC40" i="4"/>
  <c r="AB40" i="4"/>
  <c r="AA40" i="4"/>
  <c r="Z40" i="4"/>
  <c r="Q40" i="4"/>
  <c r="P40" i="4"/>
  <c r="O40" i="4"/>
  <c r="N40" i="4"/>
  <c r="M40" i="4"/>
  <c r="L40" i="4"/>
  <c r="J40" i="4"/>
  <c r="AF39" i="4"/>
  <c r="AE39" i="4"/>
  <c r="AD39" i="4"/>
  <c r="AC39" i="4"/>
  <c r="AG39" i="4" s="1"/>
  <c r="AB39" i="4"/>
  <c r="AA39" i="4"/>
  <c r="Z39" i="4"/>
  <c r="P39" i="4"/>
  <c r="Q39" i="4" s="1"/>
  <c r="O39" i="4"/>
  <c r="N39" i="4"/>
  <c r="M39" i="4"/>
  <c r="L39" i="4"/>
  <c r="K39" i="4"/>
  <c r="J39" i="4"/>
  <c r="AG38" i="4"/>
  <c r="AF38" i="4"/>
  <c r="AD38" i="4"/>
  <c r="AC38" i="4"/>
  <c r="AB38" i="4"/>
  <c r="Z38" i="4"/>
  <c r="P38" i="4"/>
  <c r="N38" i="4"/>
  <c r="M38" i="4"/>
  <c r="Q38" i="4" s="1"/>
  <c r="L38" i="4"/>
  <c r="J38" i="4" s="1"/>
  <c r="K38" i="4"/>
  <c r="AF37" i="4"/>
  <c r="AG37" i="4" s="1"/>
  <c r="AE37" i="4"/>
  <c r="AD37" i="4"/>
  <c r="AC37" i="4"/>
  <c r="AB37" i="4"/>
  <c r="AA37" i="4"/>
  <c r="Z37" i="4"/>
  <c r="P37" i="4"/>
  <c r="Q37" i="4" s="1"/>
  <c r="O37" i="4"/>
  <c r="N37" i="4"/>
  <c r="M37" i="4"/>
  <c r="L37" i="4"/>
  <c r="J37" i="4"/>
  <c r="AF36" i="4"/>
  <c r="AE36" i="4"/>
  <c r="AD36" i="4"/>
  <c r="AC36" i="4"/>
  <c r="AG36" i="4" s="1"/>
  <c r="AA36" i="4" s="1"/>
  <c r="AB36" i="4"/>
  <c r="Z36" i="4"/>
  <c r="P36" i="4"/>
  <c r="Q36" i="4" s="1"/>
  <c r="K36" i="4" s="1"/>
  <c r="O36" i="4"/>
  <c r="N36" i="4"/>
  <c r="M36" i="4"/>
  <c r="L36" i="4"/>
  <c r="J36" i="4"/>
  <c r="AF35" i="4"/>
  <c r="AG35" i="4" s="1"/>
  <c r="AD35" i="4"/>
  <c r="AC35" i="4"/>
  <c r="AB35" i="4"/>
  <c r="Z35" i="4"/>
  <c r="P35" i="4"/>
  <c r="N35" i="4"/>
  <c r="M35" i="4"/>
  <c r="Q35" i="4" s="1"/>
  <c r="K35" i="4" s="1"/>
  <c r="L35" i="4"/>
  <c r="O35" i="4" s="1"/>
  <c r="AF34" i="4"/>
  <c r="AD34" i="4"/>
  <c r="AC34" i="4"/>
  <c r="AB34" i="4"/>
  <c r="AE34" i="4" s="1"/>
  <c r="Z34" i="4"/>
  <c r="Q34" i="4"/>
  <c r="P34" i="4"/>
  <c r="O34" i="4"/>
  <c r="N34" i="4"/>
  <c r="M34" i="4"/>
  <c r="L34" i="4"/>
  <c r="J34" i="4"/>
  <c r="AG33" i="4"/>
  <c r="AF33" i="4"/>
  <c r="AE33" i="4"/>
  <c r="AD33" i="4"/>
  <c r="AC33" i="4"/>
  <c r="AB33" i="4"/>
  <c r="AA33" i="4" s="1"/>
  <c r="Z33" i="4"/>
  <c r="P33" i="4"/>
  <c r="Q33" i="4" s="1"/>
  <c r="K33" i="4" s="1"/>
  <c r="N33" i="4"/>
  <c r="M33" i="4"/>
  <c r="L33" i="4"/>
  <c r="O33" i="4" s="1"/>
  <c r="J33" i="4"/>
  <c r="AF32" i="4"/>
  <c r="AG32" i="4" s="1"/>
  <c r="AD32" i="4"/>
  <c r="AC32" i="4"/>
  <c r="AB32" i="4"/>
  <c r="Z32" i="4"/>
  <c r="P32" i="4"/>
  <c r="O32" i="4"/>
  <c r="N32" i="4"/>
  <c r="M32" i="4"/>
  <c r="Q32" i="4" s="1"/>
  <c r="L32" i="4"/>
  <c r="J32" i="4"/>
  <c r="AF31" i="4"/>
  <c r="AG31" i="4" s="1"/>
  <c r="AA31" i="4" s="1"/>
  <c r="AD31" i="4"/>
  <c r="AC31" i="4"/>
  <c r="AB31" i="4"/>
  <c r="AE31" i="4" s="1"/>
  <c r="Z31" i="4"/>
  <c r="P31" i="4"/>
  <c r="Q31" i="4" s="1"/>
  <c r="N31" i="4"/>
  <c r="M31" i="4"/>
  <c r="L31" i="4"/>
  <c r="J31" i="4"/>
  <c r="AF30" i="4"/>
  <c r="AD30" i="4"/>
  <c r="AC30" i="4"/>
  <c r="AG30" i="4" s="1"/>
  <c r="AA30" i="4" s="1"/>
  <c r="AB30" i="4"/>
  <c r="Z30" i="4" s="1"/>
  <c r="P30" i="4"/>
  <c r="Q30" i="4" s="1"/>
  <c r="K30" i="4" s="1"/>
  <c r="N30" i="4"/>
  <c r="M30" i="4"/>
  <c r="L30" i="4"/>
  <c r="O30" i="4" s="1"/>
  <c r="J30" i="4"/>
  <c r="AF29" i="4"/>
  <c r="AG29" i="4" s="1"/>
  <c r="AE29" i="4"/>
  <c r="AD29" i="4"/>
  <c r="AC29" i="4"/>
  <c r="AB29" i="4"/>
  <c r="Z29" i="4"/>
  <c r="Q29" i="4"/>
  <c r="P29" i="4"/>
  <c r="N29" i="4"/>
  <c r="M29" i="4"/>
  <c r="L29" i="4"/>
  <c r="O29" i="4" s="1"/>
  <c r="K29" i="4"/>
  <c r="J29" i="4"/>
  <c r="AG28" i="4"/>
  <c r="AA28" i="4" s="1"/>
  <c r="AF28" i="4"/>
  <c r="AD28" i="4"/>
  <c r="AC28" i="4"/>
  <c r="AB28" i="4"/>
  <c r="AE28" i="4" s="1"/>
  <c r="Z28" i="4"/>
  <c r="P28" i="4"/>
  <c r="N28" i="4"/>
  <c r="M28" i="4"/>
  <c r="Q28" i="4" s="1"/>
  <c r="L28" i="4"/>
  <c r="AF27" i="4"/>
  <c r="AD27" i="4"/>
  <c r="AC27" i="4"/>
  <c r="AG27" i="4" s="1"/>
  <c r="AB27" i="4"/>
  <c r="AE27" i="4" s="1"/>
  <c r="Q27" i="4"/>
  <c r="K27" i="4" s="1"/>
  <c r="P27" i="4"/>
  <c r="N27" i="4"/>
  <c r="M27" i="4"/>
  <c r="L27" i="4"/>
  <c r="O27" i="4" s="1"/>
  <c r="AF26" i="4"/>
  <c r="AG26" i="4" s="1"/>
  <c r="AD26" i="4"/>
  <c r="AC26" i="4"/>
  <c r="AB26" i="4"/>
  <c r="AE26" i="4" s="1"/>
  <c r="Q26" i="4"/>
  <c r="K26" i="4" s="1"/>
  <c r="P26" i="4"/>
  <c r="N26" i="4"/>
  <c r="M26" i="4"/>
  <c r="L26" i="4"/>
  <c r="O26" i="4" s="1"/>
  <c r="J26" i="4"/>
  <c r="AF25" i="4"/>
  <c r="AG25" i="4" s="1"/>
  <c r="AD25" i="4"/>
  <c r="AC25" i="4"/>
  <c r="AB25" i="4"/>
  <c r="AE25" i="4" s="1"/>
  <c r="P25" i="4"/>
  <c r="O25" i="4"/>
  <c r="N25" i="4"/>
  <c r="M25" i="4"/>
  <c r="Q25" i="4" s="1"/>
  <c r="L25" i="4"/>
  <c r="J25" i="4"/>
  <c r="AG24" i="4"/>
  <c r="AF24" i="4"/>
  <c r="AE24" i="4"/>
  <c r="AD24" i="4"/>
  <c r="AC24" i="4"/>
  <c r="AB24" i="4"/>
  <c r="AA24" i="4" s="1"/>
  <c r="Z24" i="4"/>
  <c r="P24" i="4"/>
  <c r="Q24" i="4" s="1"/>
  <c r="N24" i="4"/>
  <c r="M24" i="4"/>
  <c r="L24" i="4"/>
  <c r="O24" i="4" s="1"/>
  <c r="J24" i="4"/>
  <c r="AF23" i="4"/>
  <c r="AG23" i="4" s="1"/>
  <c r="AD23" i="4"/>
  <c r="AC23" i="4"/>
  <c r="AB23" i="4"/>
  <c r="Z23" i="4"/>
  <c r="P23" i="4"/>
  <c r="Q23" i="4" s="1"/>
  <c r="K23" i="4" s="1"/>
  <c r="O23" i="4"/>
  <c r="N23" i="4"/>
  <c r="M23" i="4"/>
  <c r="L23" i="4"/>
  <c r="J23" i="4"/>
  <c r="AF22" i="4"/>
  <c r="AG22" i="4" s="1"/>
  <c r="AA22" i="4" s="1"/>
  <c r="AD22" i="4"/>
  <c r="AC22" i="4"/>
  <c r="AB22" i="4"/>
  <c r="AE22" i="4" s="1"/>
  <c r="Z22" i="4"/>
  <c r="P22" i="4"/>
  <c r="Q22" i="4" s="1"/>
  <c r="N22" i="4"/>
  <c r="M22" i="4"/>
  <c r="L22" i="4"/>
  <c r="J22" i="4"/>
  <c r="AF21" i="4"/>
  <c r="AG21" i="4" s="1"/>
  <c r="AA21" i="4" s="1"/>
  <c r="AD21" i="4"/>
  <c r="AC21" i="4"/>
  <c r="AB21" i="4"/>
  <c r="Z21" i="4" s="1"/>
  <c r="P21" i="4"/>
  <c r="Q21" i="4" s="1"/>
  <c r="K21" i="4" s="1"/>
  <c r="N21" i="4"/>
  <c r="M21" i="4"/>
  <c r="L21" i="4"/>
  <c r="O21" i="4" s="1"/>
  <c r="AF20" i="4"/>
  <c r="AG20" i="4" s="1"/>
  <c r="AE20" i="4"/>
  <c r="AD20" i="4"/>
  <c r="AC20" i="4"/>
  <c r="AB20" i="4"/>
  <c r="Z20" i="4"/>
  <c r="P20" i="4"/>
  <c r="Q20" i="4" s="1"/>
  <c r="K20" i="4" s="1"/>
  <c r="N20" i="4"/>
  <c r="M20" i="4"/>
  <c r="L20" i="4"/>
  <c r="O20" i="4" s="1"/>
  <c r="J20" i="4"/>
  <c r="AG19" i="4"/>
  <c r="AA19" i="4" s="1"/>
  <c r="AF19" i="4"/>
  <c r="AD19" i="4"/>
  <c r="AC19" i="4"/>
  <c r="AB19" i="4"/>
  <c r="AE19" i="4" s="1"/>
  <c r="Z19" i="4"/>
  <c r="P19" i="4"/>
  <c r="N19" i="4"/>
  <c r="M19" i="4"/>
  <c r="Q19" i="4" s="1"/>
  <c r="L19" i="4"/>
  <c r="O19" i="4" s="1"/>
  <c r="AF18" i="4"/>
  <c r="AG18" i="4" s="1"/>
  <c r="AD18" i="4"/>
  <c r="AC18" i="4"/>
  <c r="AB18" i="4"/>
  <c r="AE18" i="4" s="1"/>
  <c r="Z18" i="4"/>
  <c r="Q18" i="4"/>
  <c r="K18" i="4" s="1"/>
  <c r="P18" i="4"/>
  <c r="N18" i="4"/>
  <c r="M18" i="4"/>
  <c r="L18" i="4"/>
  <c r="O18" i="4" s="1"/>
  <c r="AF17" i="4"/>
  <c r="AG17" i="4" s="1"/>
  <c r="AD17" i="4"/>
  <c r="AC17" i="4"/>
  <c r="AB17" i="4"/>
  <c r="AE17" i="4" s="1"/>
  <c r="Q17" i="4"/>
  <c r="K17" i="4" s="1"/>
  <c r="P17" i="4"/>
  <c r="N17" i="4"/>
  <c r="M17" i="4"/>
  <c r="L17" i="4"/>
  <c r="O17" i="4" s="1"/>
  <c r="J17" i="4"/>
  <c r="AF16" i="4"/>
  <c r="AG16" i="4" s="1"/>
  <c r="AD16" i="4"/>
  <c r="AC16" i="4"/>
  <c r="AB16" i="4"/>
  <c r="AE16" i="4" s="1"/>
  <c r="P16" i="4"/>
  <c r="O16" i="4"/>
  <c r="N16" i="4"/>
  <c r="M16" i="4"/>
  <c r="Q16" i="4" s="1"/>
  <c r="L16" i="4"/>
  <c r="J16" i="4"/>
  <c r="AG15" i="4"/>
  <c r="AF15" i="4"/>
  <c r="AE15" i="4"/>
  <c r="AD15" i="4"/>
  <c r="AC15" i="4"/>
  <c r="AB15" i="4"/>
  <c r="AA15" i="4" s="1"/>
  <c r="P15" i="4"/>
  <c r="Q15" i="4" s="1"/>
  <c r="N15" i="4"/>
  <c r="M15" i="4"/>
  <c r="L15" i="4"/>
  <c r="O15" i="4" s="1"/>
  <c r="J15" i="4"/>
  <c r="AF14" i="4"/>
  <c r="AG14" i="4" s="1"/>
  <c r="AD14" i="4"/>
  <c r="AC14" i="4"/>
  <c r="AB14" i="4"/>
  <c r="Z14" i="4"/>
  <c r="P14" i="4"/>
  <c r="Q14" i="4" s="1"/>
  <c r="K14" i="4" s="1"/>
  <c r="O14" i="4"/>
  <c r="N14" i="4"/>
  <c r="M14" i="4"/>
  <c r="L14" i="4"/>
  <c r="J14" i="4"/>
  <c r="AF13" i="4"/>
  <c r="AG13" i="4" s="1"/>
  <c r="AA13" i="4" s="1"/>
  <c r="AD13" i="4"/>
  <c r="AC13" i="4"/>
  <c r="AB13" i="4"/>
  <c r="AE13" i="4" s="1"/>
  <c r="Z13" i="4"/>
  <c r="P13" i="4"/>
  <c r="Q13" i="4" s="1"/>
  <c r="K13" i="4" s="1"/>
  <c r="N13" i="4"/>
  <c r="M13" i="4"/>
  <c r="L13" i="4"/>
  <c r="O13" i="4" s="1"/>
  <c r="J13" i="4"/>
  <c r="AF12" i="4"/>
  <c r="AD12" i="4"/>
  <c r="AC12" i="4"/>
  <c r="AG12" i="4" s="1"/>
  <c r="AB12" i="4"/>
  <c r="AA12" i="4" s="1"/>
  <c r="P12" i="4"/>
  <c r="O12" i="4"/>
  <c r="N12" i="4"/>
  <c r="M12" i="4"/>
  <c r="Q12" i="4" s="1"/>
  <c r="K12" i="4" s="1"/>
  <c r="L12" i="4"/>
  <c r="J12" i="4"/>
  <c r="AF11" i="4"/>
  <c r="AG11" i="4" s="1"/>
  <c r="AA11" i="4" s="1"/>
  <c r="AD11" i="4"/>
  <c r="AC11" i="4"/>
  <c r="AB11" i="4"/>
  <c r="AE11" i="4" s="1"/>
  <c r="Z11" i="4"/>
  <c r="P11" i="4"/>
  <c r="N11" i="4"/>
  <c r="M11" i="4"/>
  <c r="Q11" i="4" s="1"/>
  <c r="L11" i="4"/>
  <c r="K11" i="4" s="1"/>
  <c r="AF10" i="4"/>
  <c r="AE10" i="4"/>
  <c r="AD10" i="4"/>
  <c r="AC10" i="4"/>
  <c r="AG10" i="4" s="1"/>
  <c r="AA10" i="4" s="1"/>
  <c r="AB10" i="4"/>
  <c r="Z10" i="4"/>
  <c r="P10" i="4"/>
  <c r="Q10" i="4" s="1"/>
  <c r="K10" i="4" s="1"/>
  <c r="N10" i="4"/>
  <c r="M10" i="4"/>
  <c r="L10" i="4"/>
  <c r="O10" i="4" s="1"/>
  <c r="J10" i="4"/>
  <c r="AF9" i="4"/>
  <c r="AD9" i="4"/>
  <c r="AC9" i="4"/>
  <c r="AG9" i="4" s="1"/>
  <c r="AB9" i="4"/>
  <c r="AA9" i="4" s="1"/>
  <c r="P9" i="4"/>
  <c r="O9" i="4"/>
  <c r="N9" i="4"/>
  <c r="M9" i="4"/>
  <c r="Q9" i="4" s="1"/>
  <c r="K9" i="4" s="1"/>
  <c r="L9" i="4"/>
  <c r="J9" i="4"/>
  <c r="AF8" i="4"/>
  <c r="AG8" i="4" s="1"/>
  <c r="AA8" i="4" s="1"/>
  <c r="AD8" i="4"/>
  <c r="AC8" i="4"/>
  <c r="AB8" i="4"/>
  <c r="AE8" i="4" s="1"/>
  <c r="Z8" i="4"/>
  <c r="P8" i="4"/>
  <c r="N8" i="4"/>
  <c r="M8" i="4"/>
  <c r="Q8" i="4" s="1"/>
  <c r="L8" i="4"/>
  <c r="K8" i="4" s="1"/>
  <c r="AF7" i="4"/>
  <c r="AE7" i="4"/>
  <c r="AD7" i="4"/>
  <c r="AC7" i="4"/>
  <c r="AG7" i="4" s="1"/>
  <c r="AA7" i="4" s="1"/>
  <c r="AB7" i="4"/>
  <c r="Z7" i="4"/>
  <c r="P7" i="4"/>
  <c r="Q7" i="4" s="1"/>
  <c r="K7" i="4" s="1"/>
  <c r="N7" i="4"/>
  <c r="M7" i="4"/>
  <c r="L7" i="4"/>
  <c r="O7" i="4" s="1"/>
  <c r="J7" i="4"/>
  <c r="AF6" i="4"/>
  <c r="AD6" i="4"/>
  <c r="AC6" i="4"/>
  <c r="AG6" i="4" s="1"/>
  <c r="AB6" i="4"/>
  <c r="AA6" i="4" s="1"/>
  <c r="P6" i="4"/>
  <c r="O6" i="4"/>
  <c r="N6" i="4"/>
  <c r="M6" i="4"/>
  <c r="Q6" i="4" s="1"/>
  <c r="K6" i="4" s="1"/>
  <c r="L6" i="4"/>
  <c r="J6" i="4"/>
  <c r="AF5" i="4"/>
  <c r="AG5" i="4" s="1"/>
  <c r="AA5" i="4" s="1"/>
  <c r="AD5" i="4"/>
  <c r="AC5" i="4"/>
  <c r="AB5" i="4"/>
  <c r="AE5" i="4" s="1"/>
  <c r="Z5" i="4"/>
  <c r="P5" i="4"/>
  <c r="N5" i="4"/>
  <c r="M5" i="4"/>
  <c r="Q5" i="4" s="1"/>
  <c r="L5" i="4"/>
  <c r="K5" i="4" s="1"/>
  <c r="AF4" i="4"/>
  <c r="AE4" i="4"/>
  <c r="AD4" i="4"/>
  <c r="AC4" i="4"/>
  <c r="AG4" i="4" s="1"/>
  <c r="AA4" i="4" s="1"/>
  <c r="AB4" i="4"/>
  <c r="Z4" i="4"/>
  <c r="P4" i="4"/>
  <c r="Q4" i="4" s="1"/>
  <c r="K4" i="4" s="1"/>
  <c r="N4" i="4"/>
  <c r="M4" i="4"/>
  <c r="L4" i="4"/>
  <c r="O4" i="4" s="1"/>
  <c r="J4" i="4"/>
  <c r="AF3" i="4"/>
  <c r="AD3" i="4"/>
  <c r="AC3" i="4"/>
  <c r="AG3" i="4" s="1"/>
  <c r="AB3" i="4"/>
  <c r="AA3" i="4" s="1"/>
  <c r="P3" i="4"/>
  <c r="O3" i="4"/>
  <c r="N3" i="4"/>
  <c r="M3" i="4"/>
  <c r="Q3" i="4" s="1"/>
  <c r="K3" i="4" s="1"/>
  <c r="L3" i="4"/>
  <c r="J3" i="4"/>
  <c r="B25" i="3"/>
  <c r="B20" i="3"/>
  <c r="F15" i="3"/>
  <c r="E15" i="3"/>
  <c r="C15" i="3"/>
  <c r="B15" i="3"/>
  <c r="F14" i="3"/>
  <c r="E14" i="3"/>
  <c r="C14" i="3"/>
  <c r="B14" i="3"/>
  <c r="F13" i="3"/>
  <c r="C13" i="3"/>
  <c r="E13" i="3" s="1"/>
  <c r="B13" i="3"/>
  <c r="F12" i="3"/>
  <c r="E12" i="3"/>
  <c r="C12" i="3"/>
  <c r="B12" i="3"/>
  <c r="F11" i="3"/>
  <c r="E11" i="3"/>
  <c r="C11" i="3"/>
  <c r="B11" i="3"/>
  <c r="F10" i="3"/>
  <c r="C10" i="3"/>
  <c r="E10" i="3" s="1"/>
  <c r="B10" i="3"/>
  <c r="F9" i="3"/>
  <c r="E9" i="3"/>
  <c r="C9" i="3"/>
  <c r="B9" i="3"/>
  <c r="F8" i="3"/>
  <c r="E8" i="3"/>
  <c r="C8" i="3"/>
  <c r="B8" i="3"/>
  <c r="F7" i="3"/>
  <c r="C7" i="3"/>
  <c r="E7" i="3" s="1"/>
  <c r="B7" i="3"/>
  <c r="F6" i="3"/>
  <c r="E6" i="3"/>
  <c r="C6" i="3"/>
  <c r="B6" i="3"/>
  <c r="F5" i="3"/>
  <c r="E5" i="3"/>
  <c r="C5" i="3"/>
  <c r="B5" i="3"/>
  <c r="F4" i="3"/>
  <c r="C4" i="3"/>
  <c r="E4" i="3" s="1"/>
  <c r="B4" i="3"/>
  <c r="F3" i="3"/>
  <c r="E3" i="3"/>
  <c r="C3" i="3"/>
  <c r="B3" i="3"/>
  <c r="J34" i="2"/>
  <c r="J33" i="2"/>
  <c r="J32" i="2"/>
  <c r="J31" i="2"/>
  <c r="D21" i="2"/>
  <c r="D20" i="2"/>
  <c r="D24" i="2" s="1"/>
  <c r="B39" i="2" s="1"/>
  <c r="D14" i="2"/>
  <c r="D13" i="2"/>
  <c r="B5" i="2"/>
  <c r="J4" i="2"/>
  <c r="J3" i="2"/>
  <c r="K32" i="4" l="1"/>
  <c r="E16" i="3"/>
  <c r="J35" i="2" s="1"/>
  <c r="J26" i="2" s="1"/>
  <c r="K15" i="4"/>
  <c r="Z17" i="4"/>
  <c r="K24" i="4"/>
  <c r="Z26" i="4"/>
  <c r="AA35" i="4"/>
  <c r="AA41" i="4"/>
  <c r="AA47" i="4"/>
  <c r="Z67" i="4"/>
  <c r="AA67" i="4"/>
  <c r="J87" i="4"/>
  <c r="K87" i="4"/>
  <c r="J89" i="4"/>
  <c r="Z91" i="4"/>
  <c r="AE91" i="4"/>
  <c r="AE97" i="4"/>
  <c r="Z97" i="4"/>
  <c r="J106" i="4"/>
  <c r="O106" i="4"/>
  <c r="K106" i="4"/>
  <c r="J128" i="4"/>
  <c r="O128" i="4"/>
  <c r="K128" i="4"/>
  <c r="Z134" i="4"/>
  <c r="Z135" i="4"/>
  <c r="O153" i="4"/>
  <c r="J153" i="4"/>
  <c r="AE162" i="4"/>
  <c r="Z162" i="4"/>
  <c r="AA162" i="4"/>
  <c r="K28" i="4"/>
  <c r="K107" i="4"/>
  <c r="O107" i="4"/>
  <c r="J107" i="4"/>
  <c r="O11" i="4"/>
  <c r="Z27" i="4"/>
  <c r="O28" i="4"/>
  <c r="AG34" i="4"/>
  <c r="AA34" i="4" s="1"/>
  <c r="O78" i="4"/>
  <c r="AE82" i="4"/>
  <c r="AG90" i="4"/>
  <c r="J103" i="4"/>
  <c r="K103" i="4"/>
  <c r="AE111" i="4"/>
  <c r="AA111" i="4"/>
  <c r="AE120" i="4"/>
  <c r="AA120" i="4"/>
  <c r="AE172" i="4"/>
  <c r="Z172" i="4"/>
  <c r="B37" i="2"/>
  <c r="E18" i="5"/>
  <c r="D18" i="5"/>
  <c r="F16" i="5"/>
  <c r="C18" i="5"/>
  <c r="E16" i="5"/>
  <c r="D16" i="5"/>
  <c r="F14" i="5"/>
  <c r="C16" i="5"/>
  <c r="E14" i="5"/>
  <c r="D14" i="5"/>
  <c r="F17" i="5"/>
  <c r="E17" i="5"/>
  <c r="D17" i="5"/>
  <c r="F15" i="5"/>
  <c r="C17" i="5"/>
  <c r="E15" i="5"/>
  <c r="D15" i="5"/>
  <c r="F18" i="5"/>
  <c r="C15" i="5"/>
  <c r="C14" i="5"/>
  <c r="K16" i="4"/>
  <c r="AA18" i="4"/>
  <c r="J21" i="4"/>
  <c r="AE21" i="4"/>
  <c r="K25" i="4"/>
  <c r="AA27" i="4"/>
  <c r="AE30" i="4"/>
  <c r="K34" i="4"/>
  <c r="J35" i="4"/>
  <c r="AE35" i="4"/>
  <c r="O38" i="4"/>
  <c r="K40" i="4"/>
  <c r="AE41" i="4"/>
  <c r="O44" i="4"/>
  <c r="K46" i="4"/>
  <c r="AE47" i="4"/>
  <c r="O50" i="4"/>
  <c r="K52" i="4"/>
  <c r="O56" i="4"/>
  <c r="AE67" i="4"/>
  <c r="J74" i="4"/>
  <c r="J81" i="4"/>
  <c r="O81" i="4"/>
  <c r="O87" i="4"/>
  <c r="K99" i="4"/>
  <c r="Z107" i="4"/>
  <c r="AA107" i="4"/>
  <c r="AE134" i="4"/>
  <c r="K65" i="4"/>
  <c r="K102" i="4"/>
  <c r="J102" i="4"/>
  <c r="J164" i="4"/>
  <c r="O164" i="4"/>
  <c r="K164" i="4"/>
  <c r="O5" i="4"/>
  <c r="Z61" i="4"/>
  <c r="AE61" i="4"/>
  <c r="O65" i="4"/>
  <c r="AA32" i="4"/>
  <c r="Z15" i="4"/>
  <c r="AA38" i="4"/>
  <c r="AA44" i="4"/>
  <c r="AA50" i="4"/>
  <c r="K68" i="4"/>
  <c r="J68" i="4"/>
  <c r="O68" i="4"/>
  <c r="AA115" i="4"/>
  <c r="AE160" i="4"/>
  <c r="Z160" i="4"/>
  <c r="AA176" i="4"/>
  <c r="Z176" i="4"/>
  <c r="Z85" i="4"/>
  <c r="AA85" i="4"/>
  <c r="O102" i="4"/>
  <c r="AA23" i="4"/>
  <c r="AG68" i="4"/>
  <c r="AA68" i="4" s="1"/>
  <c r="K163" i="4"/>
  <c r="J163" i="4"/>
  <c r="O163" i="4"/>
  <c r="J18" i="4"/>
  <c r="K22" i="4"/>
  <c r="J27" i="4"/>
  <c r="K31" i="4"/>
  <c r="AE85" i="4"/>
  <c r="J95" i="4"/>
  <c r="O95" i="4"/>
  <c r="K95" i="4"/>
  <c r="Q100" i="4"/>
  <c r="K100" i="4" s="1"/>
  <c r="J133" i="4"/>
  <c r="O133" i="4"/>
  <c r="O155" i="4"/>
  <c r="K155" i="4"/>
  <c r="J118" i="4"/>
  <c r="K118" i="4"/>
  <c r="O118" i="4"/>
  <c r="O140" i="4"/>
  <c r="K140" i="4"/>
  <c r="K190" i="4"/>
  <c r="J190" i="4"/>
  <c r="O190" i="4"/>
  <c r="J115" i="4"/>
  <c r="O115" i="4"/>
  <c r="K115" i="4"/>
  <c r="AE3" i="4"/>
  <c r="O8" i="4"/>
  <c r="AE12" i="4"/>
  <c r="Z70" i="4"/>
  <c r="AA70" i="4"/>
  <c r="AE60" i="4"/>
  <c r="AE23" i="4"/>
  <c r="AE32" i="4"/>
  <c r="Q74" i="4"/>
  <c r="K74" i="4" s="1"/>
  <c r="J77" i="4"/>
  <c r="Z79" i="4"/>
  <c r="AE79" i="4"/>
  <c r="O83" i="4"/>
  <c r="Z88" i="4"/>
  <c r="AA88" i="4"/>
  <c r="AE88" i="4"/>
  <c r="Z100" i="4"/>
  <c r="AE100" i="4"/>
  <c r="AA100" i="4"/>
  <c r="AE105" i="4"/>
  <c r="Z105" i="4"/>
  <c r="AA105" i="4"/>
  <c r="AG119" i="4"/>
  <c r="AA119" i="4" s="1"/>
  <c r="O167" i="4"/>
  <c r="J167" i="4"/>
  <c r="O191" i="4"/>
  <c r="K191" i="4"/>
  <c r="AE196" i="4"/>
  <c r="Z196" i="4"/>
  <c r="J63" i="4"/>
  <c r="O63" i="4"/>
  <c r="Z98" i="4"/>
  <c r="AE98" i="4"/>
  <c r="K80" i="4"/>
  <c r="O189" i="4"/>
  <c r="J189" i="4"/>
  <c r="AE9" i="4"/>
  <c r="O80" i="4"/>
  <c r="AE135" i="4"/>
  <c r="AA14" i="4"/>
  <c r="O103" i="4"/>
  <c r="AE109" i="4"/>
  <c r="Z109" i="4"/>
  <c r="AA171" i="4"/>
  <c r="Z171" i="4"/>
  <c r="AE171" i="4"/>
  <c r="AE14" i="4"/>
  <c r="Z3" i="4"/>
  <c r="J11" i="4"/>
  <c r="Z12" i="4"/>
  <c r="Z16" i="4"/>
  <c r="AA20" i="4"/>
  <c r="Z25" i="4"/>
  <c r="AA29" i="4"/>
  <c r="K37" i="4"/>
  <c r="AE38" i="4"/>
  <c r="K43" i="4"/>
  <c r="AE44" i="4"/>
  <c r="K49" i="4"/>
  <c r="AE50" i="4"/>
  <c r="K62" i="4"/>
  <c r="Q73" i="4"/>
  <c r="K73" i="4" s="1"/>
  <c r="AE78" i="4"/>
  <c r="AA90" i="4"/>
  <c r="Q92" i="4"/>
  <c r="K92" i="4" s="1"/>
  <c r="O93" i="4"/>
  <c r="AE163" i="4"/>
  <c r="AA163" i="4"/>
  <c r="Z163" i="4"/>
  <c r="AE176" i="4"/>
  <c r="K19" i="4"/>
  <c r="AA17" i="4"/>
  <c r="AA26" i="4"/>
  <c r="AG151" i="4"/>
  <c r="AE6" i="4"/>
  <c r="AA161" i="4"/>
  <c r="Z161" i="4"/>
  <c r="AE161" i="4"/>
  <c r="J5" i="4"/>
  <c r="Z6" i="4"/>
  <c r="J8" i="4"/>
  <c r="Z9" i="4"/>
  <c r="AA16" i="4"/>
  <c r="J19" i="4"/>
  <c r="O22" i="4"/>
  <c r="AA25" i="4"/>
  <c r="J28" i="4"/>
  <c r="O31" i="4"/>
  <c r="K63" i="4"/>
  <c r="AE64" i="4"/>
  <c r="Z73" i="4"/>
  <c r="AA73" i="4"/>
  <c r="AE73" i="4"/>
  <c r="Z75" i="4"/>
  <c r="K78" i="4"/>
  <c r="AG78" i="4"/>
  <c r="AA78" i="4" s="1"/>
  <c r="AA82" i="4"/>
  <c r="O84" i="4"/>
  <c r="K86" i="4"/>
  <c r="AA98" i="4"/>
  <c r="K110" i="4"/>
  <c r="AA113" i="4"/>
  <c r="K129" i="4"/>
  <c r="J130" i="4"/>
  <c r="O130" i="4"/>
  <c r="J140" i="4"/>
  <c r="K154" i="4"/>
  <c r="J154" i="4"/>
  <c r="O154" i="4"/>
  <c r="K166" i="4"/>
  <c r="J166" i="4"/>
  <c r="O166" i="4"/>
  <c r="AA94" i="4"/>
  <c r="Z95" i="4"/>
  <c r="AE95" i="4"/>
  <c r="AA96" i="4"/>
  <c r="Z96" i="4"/>
  <c r="O99" i="4"/>
  <c r="AG103" i="4"/>
  <c r="AE104" i="4"/>
  <c r="O110" i="4"/>
  <c r="J113" i="4"/>
  <c r="O113" i="4"/>
  <c r="K125" i="4"/>
  <c r="AE136" i="4"/>
  <c r="AA136" i="4"/>
  <c r="O144" i="4"/>
  <c r="K144" i="4"/>
  <c r="J144" i="4"/>
  <c r="O170" i="4"/>
  <c r="K170" i="4"/>
  <c r="AA173" i="4"/>
  <c r="Z173" i="4"/>
  <c r="AE173" i="4"/>
  <c r="O180" i="4"/>
  <c r="J180" i="4"/>
  <c r="AE198" i="4"/>
  <c r="Z198" i="4"/>
  <c r="K132" i="4"/>
  <c r="AG136" i="4"/>
  <c r="J138" i="4"/>
  <c r="Q144" i="4"/>
  <c r="Z145" i="4"/>
  <c r="AA146" i="4"/>
  <c r="Z146" i="4"/>
  <c r="AE146" i="4"/>
  <c r="Q180" i="4"/>
  <c r="K180" i="4" s="1"/>
  <c r="Z181" i="4"/>
  <c r="AA182" i="4"/>
  <c r="Z182" i="4"/>
  <c r="AE182" i="4"/>
  <c r="Z112" i="4"/>
  <c r="Q114" i="4"/>
  <c r="K114" i="4" s="1"/>
  <c r="K120" i="4"/>
  <c r="J120" i="4"/>
  <c r="AE123" i="4"/>
  <c r="Z123" i="4"/>
  <c r="Z125" i="4"/>
  <c r="J137" i="4"/>
  <c r="O137" i="4"/>
  <c r="J139" i="4"/>
  <c r="O139" i="4"/>
  <c r="K139" i="4"/>
  <c r="AE144" i="4"/>
  <c r="Z144" i="4"/>
  <c r="AA158" i="4"/>
  <c r="Z158" i="4"/>
  <c r="AE180" i="4"/>
  <c r="Z180" i="4"/>
  <c r="AA194" i="4"/>
  <c r="Z113" i="4"/>
  <c r="AE113" i="4"/>
  <c r="AA114" i="4"/>
  <c r="Z114" i="4"/>
  <c r="O152" i="4"/>
  <c r="K152" i="4"/>
  <c r="AA155" i="4"/>
  <c r="Z155" i="4"/>
  <c r="AE155" i="4"/>
  <c r="O162" i="4"/>
  <c r="K162" i="4"/>
  <c r="J162" i="4"/>
  <c r="Q165" i="4"/>
  <c r="K165" i="4" s="1"/>
  <c r="O188" i="4"/>
  <c r="K188" i="4"/>
  <c r="AA191" i="4"/>
  <c r="Z191" i="4"/>
  <c r="AE191" i="4"/>
  <c r="K75" i="4"/>
  <c r="J97" i="4"/>
  <c r="O97" i="4"/>
  <c r="J99" i="4"/>
  <c r="J110" i="4"/>
  <c r="Q116" i="4"/>
  <c r="K116" i="4" s="1"/>
  <c r="J122" i="4"/>
  <c r="AA127" i="4"/>
  <c r="Z128" i="4"/>
  <c r="AE128" i="4"/>
  <c r="Z130" i="4"/>
  <c r="AE130" i="4"/>
  <c r="Q132" i="4"/>
  <c r="J147" i="4"/>
  <c r="AE154" i="4"/>
  <c r="Z154" i="4"/>
  <c r="J183" i="4"/>
  <c r="AE190" i="4"/>
  <c r="Z190" i="4"/>
  <c r="O198" i="4"/>
  <c r="J198" i="4"/>
  <c r="AA103" i="4"/>
  <c r="AA104" i="4"/>
  <c r="Q118" i="4"/>
  <c r="O120" i="4"/>
  <c r="K122" i="4"/>
  <c r="AE125" i="4"/>
  <c r="AA129" i="4"/>
  <c r="Q133" i="4"/>
  <c r="K133" i="4" s="1"/>
  <c r="AA143" i="4"/>
  <c r="Z143" i="4"/>
  <c r="AE143" i="4"/>
  <c r="K147" i="4"/>
  <c r="K148" i="4"/>
  <c r="J148" i="4"/>
  <c r="AA153" i="4"/>
  <c r="Z153" i="4"/>
  <c r="AE158" i="4"/>
  <c r="K172" i="4"/>
  <c r="J172" i="4"/>
  <c r="O172" i="4"/>
  <c r="AA179" i="4"/>
  <c r="Z179" i="4"/>
  <c r="AE179" i="4"/>
  <c r="K183" i="4"/>
  <c r="K184" i="4"/>
  <c r="J184" i="4"/>
  <c r="AA189" i="4"/>
  <c r="Z189" i="4"/>
  <c r="AE112" i="4"/>
  <c r="AE114" i="4"/>
  <c r="Z116" i="4"/>
  <c r="AE116" i="4"/>
  <c r="Z139" i="4"/>
  <c r="K161" i="4"/>
  <c r="AA164" i="4"/>
  <c r="Z164" i="4"/>
  <c r="AE164" i="4"/>
  <c r="K197" i="4"/>
  <c r="H10" i="5"/>
  <c r="H13" i="2" s="1"/>
  <c r="J100" i="4"/>
  <c r="O111" i="4"/>
  <c r="J111" i="4"/>
  <c r="Z118" i="4"/>
  <c r="AE118" i="4"/>
  <c r="J124" i="4"/>
  <c r="O124" i="4"/>
  <c r="J126" i="4"/>
  <c r="AE142" i="4"/>
  <c r="K145" i="4"/>
  <c r="J145" i="4"/>
  <c r="J146" i="4"/>
  <c r="O146" i="4"/>
  <c r="AG169" i="4"/>
  <c r="AA169" i="4" s="1"/>
  <c r="O171" i="4"/>
  <c r="J171" i="4"/>
  <c r="Z175" i="4"/>
  <c r="AE178" i="4"/>
  <c r="K181" i="4"/>
  <c r="J181" i="4"/>
  <c r="J182" i="4"/>
  <c r="O182" i="4"/>
  <c r="Q198" i="4"/>
  <c r="K198" i="4" s="1"/>
  <c r="Q201" i="4"/>
  <c r="K201" i="4" s="1"/>
  <c r="AG125" i="4"/>
  <c r="AA125" i="4" s="1"/>
  <c r="AG134" i="4"/>
  <c r="AA134" i="4" s="1"/>
  <c r="AG139" i="4"/>
  <c r="AA139" i="4" s="1"/>
  <c r="K151" i="4"/>
  <c r="J151" i="4"/>
  <c r="AG154" i="4"/>
  <c r="AA154" i="4" s="1"/>
  <c r="K169" i="4"/>
  <c r="J169" i="4"/>
  <c r="AG172" i="4"/>
  <c r="AA172" i="4" s="1"/>
  <c r="K187" i="4"/>
  <c r="J187" i="4"/>
  <c r="AG190" i="4"/>
  <c r="AA190" i="4" s="1"/>
  <c r="F10" i="5"/>
  <c r="H20" i="5"/>
  <c r="H20" i="2" s="1"/>
  <c r="B38" i="2" s="1"/>
  <c r="AG142" i="4"/>
  <c r="AA142" i="4" s="1"/>
  <c r="K157" i="4"/>
  <c r="J157" i="4"/>
  <c r="AG160" i="4"/>
  <c r="AA160" i="4" s="1"/>
  <c r="K175" i="4"/>
  <c r="J175" i="4"/>
  <c r="AG178" i="4"/>
  <c r="AA178" i="4" s="1"/>
  <c r="K193" i="4"/>
  <c r="J193" i="4"/>
  <c r="AG196" i="4"/>
  <c r="AA196" i="4" s="1"/>
  <c r="AA149" i="4"/>
  <c r="Z149" i="4"/>
  <c r="Q153" i="4"/>
  <c r="K153" i="4" s="1"/>
  <c r="AA167" i="4"/>
  <c r="Z167" i="4"/>
  <c r="Q171" i="4"/>
  <c r="K171" i="4" s="1"/>
  <c r="AA185" i="4"/>
  <c r="Z185" i="4"/>
  <c r="Q189" i="4"/>
  <c r="K189" i="4" s="1"/>
  <c r="K109" i="4"/>
  <c r="Q130" i="4"/>
  <c r="K130" i="4" s="1"/>
  <c r="K142" i="4"/>
  <c r="J142" i="4"/>
  <c r="AG145" i="4"/>
  <c r="AA145" i="4" s="1"/>
  <c r="AA151" i="4"/>
  <c r="K160" i="4"/>
  <c r="J160" i="4"/>
  <c r="AG163" i="4"/>
  <c r="K178" i="4"/>
  <c r="J178" i="4"/>
  <c r="AG181" i="4"/>
  <c r="AA181" i="4" s="1"/>
  <c r="AA187" i="4"/>
  <c r="K196" i="4"/>
  <c r="AG199" i="4"/>
  <c r="AA199" i="4" s="1"/>
  <c r="AE137" i="4"/>
  <c r="AA152" i="4"/>
  <c r="Z152" i="4"/>
  <c r="Q156" i="4"/>
  <c r="K156" i="4" s="1"/>
  <c r="O157" i="4"/>
  <c r="AA170" i="4"/>
  <c r="Z170" i="4"/>
  <c r="Q174" i="4"/>
  <c r="K174" i="4" s="1"/>
  <c r="O175" i="4"/>
  <c r="AA188" i="4"/>
  <c r="Z188" i="4"/>
  <c r="Q192" i="4"/>
  <c r="K192" i="4" s="1"/>
  <c r="O193" i="4"/>
  <c r="Z194" i="4"/>
  <c r="J196" i="4"/>
  <c r="Z197" i="4"/>
  <c r="J199" i="4"/>
  <c r="Z200" i="4"/>
  <c r="J202" i="4"/>
  <c r="D20" i="5" l="1"/>
  <c r="E20" i="5"/>
  <c r="C20" i="5"/>
  <c r="F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200-000001000000}">
      <text>
        <r>
          <rPr>
            <sz val="9"/>
            <color rgb="FF000000"/>
            <rFont val="Tahoma"/>
            <family val="2"/>
            <charset val="1"/>
          </rPr>
          <t>Favor identificar o item de alteração do documento utilizado como base.</t>
        </r>
      </text>
    </comment>
  </commentList>
</comments>
</file>

<file path=xl/sharedStrings.xml><?xml version="1.0" encoding="utf-8"?>
<sst xmlns="http://schemas.openxmlformats.org/spreadsheetml/2006/main" count="695" uniqueCount="201">
  <si>
    <t>Chamado [Número] - [Sigla do Sistema]</t>
  </si>
  <si>
    <t>Planilha de Contagem de Ponto de Função</t>
  </si>
  <si>
    <t>Histórico de Alterações</t>
  </si>
  <si>
    <t>Versão</t>
  </si>
  <si>
    <t>Data</t>
  </si>
  <si>
    <t>Responsável</t>
  </si>
  <si>
    <t>Descrição</t>
  </si>
  <si>
    <t>Modelo 1.3</t>
  </si>
  <si>
    <t>Planilha de Contagem de Pontos de Função</t>
  </si>
  <si>
    <t>Percentual de Aceitação</t>
  </si>
  <si>
    <t>Quantidade de Itens NAP</t>
  </si>
  <si>
    <t>Quantidade de Itens AP</t>
  </si>
  <si>
    <t>Contagem Fábrica de Software</t>
  </si>
  <si>
    <t xml:space="preserve">   Contratada</t>
  </si>
  <si>
    <t>BASIS</t>
  </si>
  <si>
    <t xml:space="preserve">   ID Demanda</t>
  </si>
  <si>
    <t xml:space="preserve">   Nome do Sistema</t>
  </si>
  <si>
    <t xml:space="preserve">   Módulo</t>
  </si>
  <si>
    <t xml:space="preserve">   Nome do Contador</t>
  </si>
  <si>
    <t xml:space="preserve">   Tipo de Contagem</t>
  </si>
  <si>
    <t xml:space="preserve">   Total de PFB</t>
  </si>
  <si>
    <t>Total de PFL</t>
  </si>
  <si>
    <t xml:space="preserve">   Total de Retrabalho</t>
  </si>
  <si>
    <t>Contagem Fábrica de Métricas</t>
  </si>
  <si>
    <t xml:space="preserve">   Nome do CFPS</t>
  </si>
  <si>
    <t>Comparação das Contagens</t>
  </si>
  <si>
    <t xml:space="preserve">    % de Divergência</t>
  </si>
  <si>
    <t>Módulo/Demanda</t>
  </si>
  <si>
    <t>Total PF</t>
  </si>
  <si>
    <t>Total PF (Deflação)</t>
  </si>
  <si>
    <t>Revisor Técnico</t>
  </si>
  <si>
    <t>Philipe Dias de Alencar</t>
  </si>
  <si>
    <t>Revisor DATASUS</t>
  </si>
  <si>
    <t>Tipo de contagem</t>
  </si>
  <si>
    <t>Projeto Novo</t>
  </si>
  <si>
    <t>Manutenção Adaptativa</t>
  </si>
  <si>
    <t>Ação</t>
  </si>
  <si>
    <t>PF</t>
  </si>
  <si>
    <t>Manutenção Corretiva</t>
  </si>
  <si>
    <t>Inclusão</t>
  </si>
  <si>
    <t>Manutenção Evolutiva</t>
  </si>
  <si>
    <t>Alteração</t>
  </si>
  <si>
    <t>Manutenção Perfectiva</t>
  </si>
  <si>
    <t>x</t>
  </si>
  <si>
    <t>Exclusão</t>
  </si>
  <si>
    <t>Aplicação ( Baseline )</t>
  </si>
  <si>
    <t>Correção / Conversão</t>
  </si>
  <si>
    <t>Migração de dados</t>
  </si>
  <si>
    <t>Itens Não Mensuráveis</t>
  </si>
  <si>
    <t>Migração de tecnologia</t>
  </si>
  <si>
    <t>Informe o tipo de contagem.</t>
  </si>
  <si>
    <t>Propósito da Contagem</t>
  </si>
  <si>
    <t>Escopo da Contagem</t>
  </si>
  <si>
    <t>Fronteira da Contagem</t>
  </si>
  <si>
    <t>Plataforma (Tecnologia do Sistema)</t>
  </si>
  <si>
    <t>Acesso ao Sistema</t>
  </si>
  <si>
    <t xml:space="preserve">   Link do Sistema</t>
  </si>
  <si>
    <t xml:space="preserve">   Usuário</t>
  </si>
  <si>
    <t xml:space="preserve">   Senha</t>
  </si>
  <si>
    <t>Observações</t>
  </si>
  <si>
    <t>Descrição da Alteração</t>
  </si>
  <si>
    <t>Total Itens Não Mensuráveis(PF):</t>
  </si>
  <si>
    <t>Item Não Mensurável</t>
  </si>
  <si>
    <t xml:space="preserve">Qtde </t>
  </si>
  <si>
    <t>Item Guia APF</t>
  </si>
  <si>
    <t>Justificativa / Evidência</t>
  </si>
  <si>
    <t>Validação</t>
  </si>
  <si>
    <t>Total de APF</t>
  </si>
  <si>
    <t>Revisor técnico</t>
  </si>
  <si>
    <t>Cristiane Lustosa Guimarães França</t>
  </si>
  <si>
    <t>Gestora do Contrato</t>
  </si>
  <si>
    <t>Contagem da Fábrica de Software</t>
  </si>
  <si>
    <t>Contagem da Fábrica de Métricas</t>
  </si>
  <si>
    <t>Resposta
Fábrica de Software</t>
  </si>
  <si>
    <t>Resposta
Fábrica de Métricas</t>
  </si>
  <si>
    <t>PBI</t>
  </si>
  <si>
    <t>Nome Estória</t>
  </si>
  <si>
    <t>Tipo</t>
  </si>
  <si>
    <t>Deflator / INM</t>
  </si>
  <si>
    <t>DER</t>
  </si>
  <si>
    <t>Descrição DER</t>
  </si>
  <si>
    <t>R/A</t>
  </si>
  <si>
    <t>Descrição R/A</t>
  </si>
  <si>
    <t>QTD</t>
  </si>
  <si>
    <t>ctl</t>
  </si>
  <si>
    <t>CTL2</t>
  </si>
  <si>
    <t>C</t>
  </si>
  <si>
    <t>DF</t>
  </si>
  <si>
    <t>TP</t>
  </si>
  <si>
    <t>CP</t>
  </si>
  <si>
    <t>PFB</t>
  </si>
  <si>
    <t>PFL</t>
  </si>
  <si>
    <t>Documentação (Evidência de Contagem)</t>
  </si>
  <si>
    <t>Parecer Técnico</t>
  </si>
  <si>
    <t xml:space="preserve"> </t>
  </si>
  <si>
    <t>Quadro Resumo
Fábrica de Software</t>
  </si>
  <si>
    <t>Conversão</t>
  </si>
  <si>
    <t>Total PFB</t>
  </si>
  <si>
    <t>Total PFL</t>
  </si>
  <si>
    <t>ALI</t>
  </si>
  <si>
    <t>AIE</t>
  </si>
  <si>
    <t>EE</t>
  </si>
  <si>
    <t>CE</t>
  </si>
  <si>
    <t>SE</t>
  </si>
  <si>
    <t>INM</t>
  </si>
  <si>
    <t>Total</t>
  </si>
  <si>
    <t>Quadro Resumo
Fábrica de Métricas</t>
  </si>
  <si>
    <t>Lista de Itens Não Mensuráveis</t>
  </si>
  <si>
    <t>Código</t>
  </si>
  <si>
    <t>Valor</t>
  </si>
  <si>
    <t>Referência</t>
  </si>
  <si>
    <t>I</t>
  </si>
  <si>
    <t>Projeto de Melhoria - Funcionalidades Incluídas – serão remuneradas em 100% do valor do ponto de função, vezes a quantidade de PF da(s) fase(s) contratada(s);</t>
  </si>
  <si>
    <t>Roteiro de Métricas de Software do SISP - Item 4.2</t>
  </si>
  <si>
    <t>PC</t>
  </si>
  <si>
    <t>NA</t>
  </si>
  <si>
    <t>Item não mensurável. Indica que o contador viu a funcionalidade, mas ela não deve ser contada.</t>
  </si>
  <si>
    <t>Item não mensurável</t>
  </si>
  <si>
    <t>A1</t>
  </si>
  <si>
    <t>Projeto de Melhoria - Funcionalidades Alteradas - Funcionalidade de sistema desenvolvida ou mantida por meio de um projeto de melhoria pela empresa contratada.</t>
  </si>
  <si>
    <t>A2</t>
  </si>
  <si>
    <t>Projeto de Melhoria - Funcionalidades Alteradas -  Funcionalidade de sistema não desenvolvida ou mantida por meio de um projeto de melhoria pela empresa contratada e sem necessidade de redocumentação da funcionalidade.</t>
  </si>
  <si>
    <t>A3</t>
  </si>
  <si>
    <t>Projeto de Melhoria - Funcionalidades Alteradas -  Funcionalidade de sistema não desenvolvida ou mantida por meio de um projeto de melhoria pela empresa contratada e com necessidade de redocumentação da funcionalidade.</t>
  </si>
  <si>
    <t>E</t>
  </si>
  <si>
    <t>Projeto de Melhoria - Funcionalidades Excluídas - serão remuneradas em 30% do valor do ponto de função vezes a quantidade de PF da(s) fase(s).</t>
  </si>
  <si>
    <t>MC1</t>
  </si>
  <si>
    <t>Manutenção corretiva quando estiver fora da garantia e a correção for feita pela mesma empresa que desenvolveu a funcionalidade.</t>
  </si>
  <si>
    <t>Roteiro de Métricas de Software do SISP - Item 4.4</t>
  </si>
  <si>
    <t>MC2</t>
  </si>
  <si>
    <t>Manutenção corretiva quando estiver fora da garantia e a correção for feita por empresa diferente daquela que desenvolveu a funcionalidade.</t>
  </si>
  <si>
    <t>MP1</t>
  </si>
  <si>
    <t xml:space="preserve">Nesta categoria encontram-se as demandas de redesenvolvimento de sistemas em outra linguagem de programação. </t>
  </si>
  <si>
    <t>Roteiro de Métricas de Software do SISP - Item 4.5.1</t>
  </si>
  <si>
    <t>MP2</t>
  </si>
  <si>
    <t>Nesta categoria encontram-se as demandas de redesenvolvimento de sistemas para utilizar um outro sistema gerenciador de banco de dados, caso a demanda de redesenvolvimento seja de um sistema gerenciador de banco de dados relacional para outro relacional.</t>
  </si>
  <si>
    <t>Roteiro de Métricas de Software do SISP - Item 4.5.2</t>
  </si>
  <si>
    <t>AV1</t>
  </si>
  <si>
    <t>Nesta categoria encontram-se as demandas de atualização de versão de linguagem de programação de sistemas.</t>
  </si>
  <si>
    <t>Roteiro de Métricas de Software do SISP - Item 4.6.1</t>
  </si>
  <si>
    <t>AV2</t>
  </si>
  <si>
    <t>Nesta categoria encontram-se as demandas de atualização de aplicações Web para executar em novas versões de um mesmo browser e para suportar a execução em mais de um browser. É importante destacar que este tipo de procedimento usualmente é
realizado quando é necessário resolver algum problema de incompatibilidade.</t>
  </si>
  <si>
    <t>Roteiro de Métricas de Software do SISP - Item 4.6.2</t>
  </si>
  <si>
    <t>AV3</t>
  </si>
  <si>
    <t>Nesta categoria encontram-se as demandas de atualização de versão do sistema gerenciador de banco de dados.</t>
  </si>
  <si>
    <t>Roteiro de Métricas de Software do SISP - Item 4.6.3</t>
  </si>
  <si>
    <t>MI</t>
  </si>
  <si>
    <t>Manutenção em Interface</t>
  </si>
  <si>
    <t>Roteiro de Métricas de Software do SISP - Item 4.7</t>
  </si>
  <si>
    <t>MA1</t>
  </si>
  <si>
    <t>Manutenção adaptativa associadas a solicitações que envolvem aspectos não funcionais, sem alteração em requisitos funcionais. Funcionalidade de sistema desenvolvida ou mantida por meio de um projeto de melhoria pela empresa contratada.</t>
  </si>
  <si>
    <t>Roteiro de Métricas de Software do SISP - Item 4.8</t>
  </si>
  <si>
    <t>MA2</t>
  </si>
  <si>
    <t xml:space="preserve">Manutenção adaptativa associadas a solicitações que envolvem aspectos não funcionais, sem alteração em requisitos funcionais. Ffuncionalidade de sistema não desenvolvida ou mantida por meio de um projeto de melhoria pela empresa contratada. </t>
  </si>
  <si>
    <t>AE1</t>
  </si>
  <si>
    <t>Apuração Especial – Base de Dados – Sem consulta prévia</t>
  </si>
  <si>
    <t>Roteiro de Métricas de Software do SISP - Item 4.9.1</t>
  </si>
  <si>
    <t>AE2</t>
  </si>
  <si>
    <t xml:space="preserve"> Apuração Especial – Base de Dados – Sem atualização</t>
  </si>
  <si>
    <t>AE3</t>
  </si>
  <si>
    <t>Apuração Especial – Base de Dados – Com consulta prévia</t>
  </si>
  <si>
    <t>AE4</t>
  </si>
  <si>
    <t>Apuração Especial – Geração de Relatórios</t>
  </si>
  <si>
    <t>Roteiro de Métricas de Software do SISP - Item 4.9.2</t>
  </si>
  <si>
    <t>AE5</t>
  </si>
  <si>
    <t>Apuração Especial – Reexecução</t>
  </si>
  <si>
    <t>Roteiro de Métricas de Software do SISP - Item 4.9.3</t>
  </si>
  <si>
    <t>AD</t>
  </si>
  <si>
    <t>Atualização de Dados</t>
  </si>
  <si>
    <t>Roteiro de Métricas de Software do SISP - Item 4.10</t>
  </si>
  <si>
    <t>MP</t>
  </si>
  <si>
    <t>Manutenção em Páginas Estáticas de Intranet, Internet ou Portal</t>
  </si>
  <si>
    <t>Roteiro de Métricas de Software do SISP - Item 4.11</t>
  </si>
  <si>
    <t>MD</t>
  </si>
  <si>
    <t>Manutenção de Documentação de Sistemas Legados</t>
  </si>
  <si>
    <t>Roteiro de Métricas de Software do SISP - Item 4.12</t>
  </si>
  <si>
    <t>VE</t>
  </si>
  <si>
    <t>Verificação de Erros, caso não exista documentação de testes disponível das funcionalidades verificadas.</t>
  </si>
  <si>
    <t>Roteiro de Métricas de Software do SISP - Item 4.13</t>
  </si>
  <si>
    <t>Verificação de Erros, caso exista documentação de testes das funcionalidades verificadas.</t>
  </si>
  <si>
    <t>PFT</t>
  </si>
  <si>
    <t>Pontos de Função de Teste</t>
  </si>
  <si>
    <t>Roteiro de Métricas de Software do SISP - Item 4.14</t>
  </si>
  <si>
    <t>MIR1</t>
  </si>
  <si>
    <t>Componente Interno Reusável. Componentes que implementam regras de negócio, específicos de uma aplicação e estes são reusados por várias funcionalidades da aplicação.</t>
  </si>
  <si>
    <t>Roteiro de Métricas de Software do SISP - Item 4.15</t>
  </si>
  <si>
    <t>MIR2</t>
  </si>
  <si>
    <t>Componente Interno Reusável. Quando da alteração apenas de arquivos de configuração.</t>
  </si>
  <si>
    <t>RT1</t>
  </si>
  <si>
    <t>Retrabalho causado por alteração de requisitos</t>
  </si>
  <si>
    <t>Roteiro de Métricas de Software do SISP - Item 6.1.2</t>
  </si>
  <si>
    <t>RT2</t>
  </si>
  <si>
    <t>Retrabalho causado por alteração de interface</t>
  </si>
  <si>
    <t>Número Estória</t>
  </si>
  <si>
    <t>Quantidade PF</t>
  </si>
  <si>
    <t>4.1</t>
  </si>
  <si>
    <t>Projeto de Desenvolvimento</t>
  </si>
  <si>
    <t>SISP</t>
  </si>
  <si>
    <t>Nº</t>
  </si>
  <si>
    <t>Funcionalidade</t>
  </si>
  <si>
    <t>PF Ajust.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</si>
</sst>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m"/>
    <numFmt numFmtId="165" formatCode="d/m/yyyy"/>
    <numFmt numFmtId="166" formatCode="_-* #,##0.00_-;\-* #,##0.00_-;_-* \-??_-;_-@_-"/>
    <numFmt numFmtId="167" formatCode="0.0"/>
  </numFmts>
  <fonts count="53" x14ac:knownFonts="1"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b/>
      <sz val="16"/>
      <color rgb="FF0070C0"/>
      <name val="Cambria"/>
      <family val="1"/>
      <charset val="1"/>
    </font>
    <font>
      <b/>
      <sz val="16"/>
      <color rgb="FF376092"/>
      <name val="Cambria"/>
      <family val="1"/>
      <charset val="1"/>
    </font>
    <font>
      <b/>
      <sz val="14"/>
      <name val="Cambria"/>
      <family val="1"/>
      <charset val="1"/>
    </font>
    <font>
      <b/>
      <sz val="12"/>
      <color rgb="FF000000"/>
      <name val="Calibri"/>
      <family val="2"/>
      <charset val="1"/>
    </font>
    <font>
      <sz val="11"/>
      <color rgb="FF0070C0"/>
      <name val="Cambria"/>
      <family val="1"/>
      <charset val="1"/>
    </font>
    <font>
      <b/>
      <sz val="12"/>
      <color rgb="FF000000"/>
      <name val="Cambria"/>
      <family val="1"/>
      <charset val="1"/>
    </font>
    <font>
      <sz val="11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14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2"/>
      <color rgb="FF0033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Franklin Gothic Medium"/>
      <family val="2"/>
      <charset val="1"/>
    </font>
    <font>
      <b/>
      <sz val="10"/>
      <color rgb="FF000000"/>
      <name val="Arial"/>
      <family val="2"/>
      <charset val="1"/>
    </font>
    <font>
      <sz val="9"/>
      <color rgb="FFDCE6F2"/>
      <name val="Franklin Gothic Medium"/>
      <family val="2"/>
      <charset val="1"/>
    </font>
    <font>
      <sz val="11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rgb="FF0070C0"/>
      <name val="Arial"/>
      <family val="2"/>
      <charset val="1"/>
    </font>
    <font>
      <b/>
      <sz val="9"/>
      <color rgb="FF000000"/>
      <name val="Arial"/>
      <family val="2"/>
      <charset val="1"/>
    </font>
    <font>
      <u/>
      <sz val="11"/>
      <color rgb="FF0000FF"/>
      <name val="Calibri"/>
      <family val="2"/>
      <charset val="1"/>
    </font>
    <font>
      <sz val="8"/>
      <name val="Franklin Gothic Medium"/>
      <family val="2"/>
      <charset val="1"/>
    </font>
    <font>
      <sz val="8"/>
      <color rgb="FFFFFFFF"/>
      <name val="Franklin Gothic Medium"/>
      <family val="2"/>
      <charset val="1"/>
    </font>
    <font>
      <sz val="14"/>
      <name val="Arial"/>
      <family val="2"/>
      <charset val="1"/>
    </font>
    <font>
      <sz val="9"/>
      <name val="Arial"/>
      <family val="2"/>
      <charset val="1"/>
    </font>
    <font>
      <sz val="10"/>
      <color rgb="FFFFFFFF"/>
      <name val="Franklin Gothic Medium"/>
      <family val="2"/>
      <charset val="1"/>
    </font>
    <font>
      <sz val="10"/>
      <name val="Franklin Gothic Medium"/>
      <family val="2"/>
      <charset val="1"/>
    </font>
    <font>
      <b/>
      <sz val="10"/>
      <name val="Arial"/>
      <family val="2"/>
      <charset val="1"/>
    </font>
    <font>
      <sz val="8"/>
      <color rgb="FFFFFFFF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sz val="9"/>
      <color rgb="FF000000"/>
      <name val="Calibri"/>
      <family val="2"/>
      <charset val="1"/>
    </font>
    <font>
      <b/>
      <sz val="10"/>
      <color rgb="FFA6A6A6"/>
      <name val="Arial"/>
      <family val="2"/>
      <charset val="1"/>
    </font>
    <font>
      <sz val="10"/>
      <color rgb="FFA6A6A6"/>
      <name val="Arial"/>
      <family val="2"/>
      <charset val="1"/>
    </font>
    <font>
      <sz val="9"/>
      <color rgb="FFA6A6A6"/>
      <name val="Arial"/>
      <family val="2"/>
      <charset val="1"/>
    </font>
    <font>
      <u/>
      <sz val="10"/>
      <color rgb="FFA6A6A6"/>
      <name val="Arial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11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Calibri"/>
      <family val="1"/>
      <charset val="1"/>
    </font>
    <font>
      <sz val="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8"/>
      <name val="Arial"/>
      <family val="2"/>
      <charset val="1"/>
    </font>
    <font>
      <b/>
      <sz val="14"/>
      <name val="Calibri"/>
      <family val="2"/>
      <charset val="1"/>
    </font>
    <font>
      <sz val="18"/>
      <name val="Arial"/>
      <charset val="1"/>
    </font>
    <font>
      <sz val="12"/>
      <name val="Arial"/>
      <charset val="1"/>
    </font>
    <font>
      <sz val="11"/>
      <color rgb="FF000000"/>
      <name val="Calibri"/>
      <family val="2"/>
      <charset val="1"/>
    </font>
    <font>
      <u/>
      <sz val="11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CE6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6092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DCE6F2"/>
      </patternFill>
    </fill>
    <fill>
      <patternFill patternType="solid">
        <fgColor rgb="FF808080"/>
        <bgColor rgb="FFA6A6A6"/>
      </patternFill>
    </fill>
    <fill>
      <patternFill patternType="solid">
        <fgColor rgb="FFE6B9B8"/>
        <bgColor rgb="FFBFBFBF"/>
      </patternFill>
    </fill>
    <fill>
      <patternFill patternType="solid">
        <fgColor rgb="FF000000"/>
        <bgColor rgb="FF003300"/>
      </patternFill>
    </fill>
    <fill>
      <patternFill patternType="solid">
        <fgColor rgb="FFBFBFBF"/>
        <bgColor rgb="FFE6B9B8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166" fontId="51" fillId="0" borderId="0" applyBorder="0" applyProtection="0"/>
    <xf numFmtId="9" fontId="51" fillId="0" borderId="0" applyBorder="0" applyProtection="0"/>
    <xf numFmtId="0" fontId="23" fillId="0" borderId="0" applyBorder="0" applyProtection="0"/>
  </cellStyleXfs>
  <cellXfs count="181">
    <xf numFmtId="0" fontId="0" fillId="0" borderId="0" xfId="0"/>
    <xf numFmtId="0" fontId="1" fillId="0" borderId="0" xfId="0" applyFont="1"/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164" fontId="6" fillId="0" borderId="2" xfId="0" applyNumberFormat="1" applyFont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165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165" fontId="1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9" fillId="0" borderId="0" xfId="0" applyFont="1" applyAlignment="1">
      <alignment horizontal="right"/>
    </xf>
    <xf numFmtId="0" fontId="11" fillId="5" borderId="2" xfId="0" applyFont="1" applyFill="1" applyBorder="1" applyAlignment="1">
      <alignment horizontal="left" vertical="center"/>
    </xf>
    <xf numFmtId="9" fontId="11" fillId="5" borderId="2" xfId="2" applyFont="1" applyFill="1" applyBorder="1" applyAlignment="1" applyProtection="1">
      <alignment horizontal="left" vertical="center"/>
    </xf>
    <xf numFmtId="9" fontId="11" fillId="5" borderId="2" xfId="2" applyFont="1" applyFill="1" applyBorder="1" applyAlignment="1" applyProtection="1">
      <alignment horizontal="center" vertical="center"/>
    </xf>
    <xf numFmtId="0" fontId="14" fillId="3" borderId="2" xfId="0" applyFont="1" applyFill="1" applyBorder="1" applyAlignment="1">
      <alignment vertical="center" wrapText="1"/>
    </xf>
    <xf numFmtId="166" fontId="13" fillId="6" borderId="2" xfId="1" applyFont="1" applyFill="1" applyBorder="1" applyAlignment="1" applyProtection="1">
      <alignment horizontal="center"/>
    </xf>
    <xf numFmtId="0" fontId="14" fillId="4" borderId="3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left" vertical="center" wrapText="1"/>
    </xf>
    <xf numFmtId="10" fontId="13" fillId="6" borderId="2" xfId="2" applyNumberFormat="1" applyFont="1" applyFill="1" applyBorder="1" applyAlignment="1" applyProtection="1">
      <alignment horizontal="center"/>
    </xf>
    <xf numFmtId="0" fontId="15" fillId="0" borderId="2" xfId="0" applyFont="1" applyBorder="1"/>
    <xf numFmtId="0" fontId="16" fillId="3" borderId="2" xfId="0" applyFont="1" applyFill="1" applyBorder="1" applyAlignment="1">
      <alignment vertical="center" wrapText="1"/>
    </xf>
    <xf numFmtId="0" fontId="8" fillId="0" borderId="2" xfId="0" applyFont="1" applyBorder="1"/>
    <xf numFmtId="0" fontId="13" fillId="6" borderId="2" xfId="0" applyFont="1" applyFill="1" applyBorder="1" applyAlignment="1">
      <alignment horizontal="center"/>
    </xf>
    <xf numFmtId="165" fontId="15" fillId="0" borderId="2" xfId="0" applyNumberFormat="1" applyFont="1" applyBorder="1"/>
    <xf numFmtId="0" fontId="17" fillId="0" borderId="2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left" vertical="center" wrapText="1"/>
    </xf>
    <xf numFmtId="167" fontId="8" fillId="7" borderId="2" xfId="0" applyNumberFormat="1" applyFont="1" applyFill="1" applyBorder="1" applyAlignment="1">
      <alignment horizontal="center"/>
    </xf>
    <xf numFmtId="0" fontId="18" fillId="3" borderId="2" xfId="0" applyFont="1" applyFill="1" applyBorder="1" applyAlignment="1">
      <alignment horizontal="left" vertical="center"/>
    </xf>
    <xf numFmtId="0" fontId="19" fillId="0" borderId="0" xfId="0" applyFont="1"/>
    <xf numFmtId="0" fontId="20" fillId="0" borderId="2" xfId="0" applyFont="1" applyBorder="1" applyAlignment="1">
      <alignment horizontal="left"/>
    </xf>
    <xf numFmtId="0" fontId="21" fillId="0" borderId="6" xfId="0" applyFont="1" applyBorder="1" applyAlignment="1">
      <alignment vertical="top"/>
    </xf>
    <xf numFmtId="0" fontId="19" fillId="0" borderId="6" xfId="0" applyFont="1" applyBorder="1" applyAlignment="1">
      <alignment vertical="top"/>
    </xf>
    <xf numFmtId="0" fontId="24" fillId="4" borderId="0" xfId="0" applyFont="1" applyFill="1"/>
    <xf numFmtId="0" fontId="24" fillId="4" borderId="0" xfId="0" applyFont="1" applyFill="1" applyAlignment="1">
      <alignment wrapText="1"/>
    </xf>
    <xf numFmtId="2" fontId="24" fillId="4" borderId="0" xfId="0" applyNumberFormat="1" applyFont="1" applyFill="1" applyAlignment="1">
      <alignment horizontal="center"/>
    </xf>
    <xf numFmtId="1" fontId="24" fillId="4" borderId="0" xfId="0" applyNumberFormat="1" applyFont="1" applyFill="1" applyAlignment="1">
      <alignment horizontal="center"/>
    </xf>
    <xf numFmtId="0" fontId="24" fillId="4" borderId="0" xfId="0" applyFont="1" applyFill="1" applyAlignment="1">
      <alignment horizontal="left" wrapText="1"/>
    </xf>
    <xf numFmtId="0" fontId="25" fillId="4" borderId="0" xfId="0" applyFont="1" applyFill="1"/>
    <xf numFmtId="0" fontId="25" fillId="4" borderId="0" xfId="0" applyFont="1" applyFill="1" applyAlignment="1">
      <alignment horizontal="center"/>
    </xf>
    <xf numFmtId="0" fontId="25" fillId="4" borderId="0" xfId="0" applyFont="1" applyFill="1" applyAlignment="1">
      <alignment wrapText="1"/>
    </xf>
    <xf numFmtId="0" fontId="26" fillId="4" borderId="0" xfId="0" applyFont="1" applyFill="1" applyAlignment="1">
      <alignment vertical="center"/>
    </xf>
    <xf numFmtId="0" fontId="27" fillId="0" borderId="0" xfId="0" applyFont="1" applyAlignment="1">
      <alignment horizontal="left" vertical="center"/>
    </xf>
    <xf numFmtId="0" fontId="28" fillId="4" borderId="0" xfId="0" applyFont="1" applyFill="1" applyAlignment="1">
      <alignment vertical="center"/>
    </xf>
    <xf numFmtId="0" fontId="28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vertical="center" wrapText="1"/>
    </xf>
    <xf numFmtId="0" fontId="29" fillId="0" borderId="0" xfId="0" applyFont="1" applyAlignment="1">
      <alignment vertical="center"/>
    </xf>
    <xf numFmtId="0" fontId="17" fillId="7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 applyProtection="1">
      <alignment horizontal="center" vertical="center" wrapText="1"/>
      <protection locked="0"/>
    </xf>
    <xf numFmtId="0" fontId="30" fillId="7" borderId="2" xfId="0" applyFont="1" applyFill="1" applyBorder="1" applyAlignment="1">
      <alignment horizontal="center" wrapText="1"/>
    </xf>
    <xf numFmtId="1" fontId="30" fillId="7" borderId="2" xfId="0" applyNumberFormat="1" applyFont="1" applyFill="1" applyBorder="1" applyAlignment="1">
      <alignment horizontal="center" wrapText="1"/>
    </xf>
    <xf numFmtId="0" fontId="31" fillId="8" borderId="2" xfId="0" applyFont="1" applyFill="1" applyBorder="1"/>
    <xf numFmtId="0" fontId="30" fillId="7" borderId="2" xfId="0" applyFont="1" applyFill="1" applyBorder="1" applyAlignment="1">
      <alignment horizontal="center"/>
    </xf>
    <xf numFmtId="0" fontId="25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vertical="center" wrapText="1"/>
    </xf>
    <xf numFmtId="0" fontId="25" fillId="4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32" fillId="0" borderId="2" xfId="0" applyFont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wrapText="1"/>
      <protection hidden="1"/>
    </xf>
    <xf numFmtId="2" fontId="32" fillId="7" borderId="2" xfId="0" applyNumberFormat="1" applyFont="1" applyFill="1" applyBorder="1" applyAlignment="1" applyProtection="1">
      <alignment horizontal="center" wrapText="1"/>
      <protection hidden="1"/>
    </xf>
    <xf numFmtId="1" fontId="32" fillId="4" borderId="2" xfId="0" applyNumberFormat="1" applyFont="1" applyFill="1" applyBorder="1" applyAlignment="1" applyProtection="1">
      <alignment horizontal="center" wrapText="1"/>
      <protection locked="0"/>
    </xf>
    <xf numFmtId="0" fontId="32" fillId="7" borderId="2" xfId="0" applyFont="1" applyFill="1" applyBorder="1" applyAlignment="1" applyProtection="1">
      <alignment horizontal="center"/>
      <protection hidden="1"/>
    </xf>
    <xf numFmtId="0" fontId="33" fillId="0" borderId="2" xfId="0" applyFont="1" applyBorder="1" applyAlignment="1" applyProtection="1">
      <alignment horizontal="center" vertical="center"/>
      <protection locked="0"/>
    </xf>
    <xf numFmtId="0" fontId="33" fillId="0" borderId="2" xfId="0" applyFont="1" applyBorder="1" applyAlignment="1">
      <alignment horizontal="left" vertical="center"/>
    </xf>
    <xf numFmtId="0" fontId="34" fillId="2" borderId="2" xfId="0" applyFont="1" applyFill="1" applyBorder="1"/>
    <xf numFmtId="0" fontId="35" fillId="4" borderId="0" xfId="0" applyFont="1" applyFill="1" applyAlignment="1">
      <alignment horizontal="center" wrapText="1"/>
    </xf>
    <xf numFmtId="0" fontId="36" fillId="4" borderId="0" xfId="0" applyFont="1" applyFill="1" applyAlignment="1">
      <alignment horizontal="justify" wrapText="1"/>
    </xf>
    <xf numFmtId="0" fontId="37" fillId="4" borderId="0" xfId="0" applyFont="1" applyFill="1" applyAlignment="1">
      <alignment horizontal="center" wrapText="1"/>
    </xf>
    <xf numFmtId="0" fontId="25" fillId="4" borderId="0" xfId="0" applyFont="1" applyFill="1" applyAlignment="1">
      <alignment horizontal="left"/>
    </xf>
    <xf numFmtId="0" fontId="24" fillId="0" borderId="0" xfId="0" applyFont="1"/>
    <xf numFmtId="0" fontId="36" fillId="4" borderId="0" xfId="0" applyFont="1" applyFill="1" applyAlignment="1">
      <alignment wrapText="1"/>
    </xf>
    <xf numFmtId="0" fontId="38" fillId="4" borderId="0" xfId="0" applyFont="1" applyFill="1" applyAlignment="1">
      <alignment horizontal="justify" wrapText="1"/>
    </xf>
    <xf numFmtId="0" fontId="36" fillId="4" borderId="0" xfId="0" applyFont="1" applyFill="1" applyAlignment="1">
      <alignment horizontal="left" wrapText="1"/>
    </xf>
    <xf numFmtId="0" fontId="39" fillId="0" borderId="0" xfId="0" applyFont="1" applyAlignment="1">
      <alignment horizontal="right"/>
    </xf>
    <xf numFmtId="2" fontId="32" fillId="4" borderId="2" xfId="0" applyNumberFormat="1" applyFont="1" applyFill="1" applyBorder="1" applyAlignment="1">
      <alignment horizontal="center" wrapText="1"/>
    </xf>
    <xf numFmtId="0" fontId="24" fillId="4" borderId="1" xfId="0" applyFont="1" applyFill="1" applyBorder="1" applyAlignment="1">
      <alignment wrapText="1"/>
    </xf>
    <xf numFmtId="0" fontId="24" fillId="4" borderId="0" xfId="0" applyFont="1" applyFill="1" applyAlignment="1">
      <alignment horizontal="center" wrapText="1"/>
    </xf>
    <xf numFmtId="0" fontId="29" fillId="4" borderId="0" xfId="0" applyFont="1" applyFill="1" applyAlignment="1">
      <alignment horizontal="center" wrapText="1"/>
    </xf>
    <xf numFmtId="0" fontId="24" fillId="4" borderId="1" xfId="0" applyFont="1" applyFill="1" applyBorder="1" applyAlignment="1">
      <alignment horizontal="center" wrapText="1"/>
    </xf>
    <xf numFmtId="0" fontId="29" fillId="4" borderId="7" xfId="0" applyFont="1" applyFill="1" applyBorder="1" applyAlignment="1">
      <alignment horizontal="center" wrapText="1"/>
    </xf>
    <xf numFmtId="0" fontId="0" fillId="0" borderId="2" xfId="0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10" borderId="2" xfId="0" applyFill="1" applyBorder="1"/>
    <xf numFmtId="0" fontId="0" fillId="4" borderId="2" xfId="0" applyFill="1" applyBorder="1" applyAlignment="1">
      <alignment horizontal="center" vertical="center"/>
    </xf>
    <xf numFmtId="0" fontId="41" fillId="3" borderId="2" xfId="0" applyFont="1" applyFill="1" applyBorder="1" applyAlignment="1">
      <alignment vertical="center"/>
    </xf>
    <xf numFmtId="0" fontId="0" fillId="0" borderId="2" xfId="0" applyBorder="1"/>
    <xf numFmtId="0" fontId="42" fillId="1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0" borderId="2" xfId="0" applyFont="1" applyBorder="1" applyAlignment="1" applyProtection="1">
      <alignment horizontal="center" vertical="center"/>
      <protection locked="0"/>
    </xf>
    <xf numFmtId="0" fontId="34" fillId="0" borderId="2" xfId="0" applyFont="1" applyBorder="1" applyAlignment="1" applyProtection="1">
      <alignment horizontal="left" vertical="center"/>
      <protection locked="0"/>
    </xf>
    <xf numFmtId="0" fontId="34" fillId="0" borderId="2" xfId="0" applyFont="1" applyBorder="1" applyAlignment="1" applyProtection="1">
      <alignment horizontal="left" vertical="center" wrapText="1"/>
      <protection locked="0"/>
    </xf>
    <xf numFmtId="0" fontId="34" fillId="9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0" borderId="2" xfId="0" applyFont="1" applyBorder="1" applyAlignment="1" applyProtection="1">
      <alignment vertical="center" wrapText="1"/>
      <protection locked="0"/>
    </xf>
    <xf numFmtId="0" fontId="34" fillId="10" borderId="2" xfId="0" applyFont="1" applyFill="1" applyBorder="1"/>
    <xf numFmtId="0" fontId="43" fillId="4" borderId="2" xfId="0" applyFont="1" applyFill="1" applyBorder="1" applyAlignment="1" applyProtection="1">
      <alignment horizontal="center" vertical="center"/>
      <protection locked="0"/>
    </xf>
    <xf numFmtId="0" fontId="43" fillId="0" borderId="2" xfId="0" applyFont="1" applyBorder="1" applyAlignment="1" applyProtection="1">
      <alignment horizontal="center" vertical="center"/>
      <protection locked="0"/>
    </xf>
    <xf numFmtId="0" fontId="44" fillId="3" borderId="2" xfId="0" applyFont="1" applyFill="1" applyBorder="1" applyAlignment="1">
      <alignment horizontal="center" vertical="center"/>
    </xf>
    <xf numFmtId="0" fontId="34" fillId="0" borderId="2" xfId="0" applyFont="1" applyBorder="1" applyAlignment="1" applyProtection="1">
      <alignment wrapText="1"/>
      <protection locked="0"/>
    </xf>
    <xf numFmtId="0" fontId="34" fillId="0" borderId="2" xfId="0" applyFont="1" applyBorder="1" applyProtection="1"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34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34" fillId="4" borderId="2" xfId="0" applyFont="1" applyFill="1" applyBorder="1" applyAlignment="1" applyProtection="1">
      <alignment horizontal="center" vertical="center"/>
      <protection locked="0"/>
    </xf>
    <xf numFmtId="0" fontId="43" fillId="0" borderId="2" xfId="0" applyFont="1" applyBorder="1" applyAlignment="1" applyProtection="1">
      <alignment horizontal="left" vertical="center"/>
      <protection locked="0"/>
    </xf>
    <xf numFmtId="0" fontId="34" fillId="0" borderId="2" xfId="0" applyFont="1" applyBorder="1" applyAlignment="1" applyProtection="1">
      <alignment vertical="center"/>
      <protection locked="0"/>
    </xf>
    <xf numFmtId="0" fontId="0" fillId="11" borderId="0" xfId="0" applyFill="1"/>
    <xf numFmtId="0" fontId="0" fillId="11" borderId="2" xfId="0" applyFill="1" applyBorder="1" applyAlignment="1">
      <alignment horizontal="center" vertical="center"/>
    </xf>
    <xf numFmtId="0" fontId="34" fillId="11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0" fontId="41" fillId="3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39" fillId="3" borderId="2" xfId="0" applyFont="1" applyFill="1" applyBorder="1"/>
    <xf numFmtId="0" fontId="39" fillId="3" borderId="2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/>
    <xf numFmtId="0" fontId="0" fillId="3" borderId="2" xfId="0" applyFill="1" applyBorder="1" applyAlignment="1">
      <alignment horizontal="center"/>
    </xf>
    <xf numFmtId="0" fontId="46" fillId="0" borderId="0" xfId="0" applyFont="1" applyAlignment="1">
      <alignment horizontal="center"/>
    </xf>
    <xf numFmtId="0" fontId="39" fillId="3" borderId="2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8" fillId="3" borderId="2" xfId="0" applyFont="1" applyFill="1" applyBorder="1" applyAlignment="1">
      <alignment horizontal="center" vertical="center"/>
    </xf>
    <xf numFmtId="0" fontId="41" fillId="0" borderId="0" xfId="0" applyFont="1"/>
    <xf numFmtId="0" fontId="30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justify" vertical="center" wrapText="1"/>
    </xf>
    <xf numFmtId="2" fontId="27" fillId="4" borderId="2" xfId="0" applyNumberFormat="1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left" vertical="center" wrapText="1"/>
    </xf>
    <xf numFmtId="0" fontId="30" fillId="4" borderId="2" xfId="0" applyFont="1" applyFill="1" applyBorder="1" applyAlignment="1" applyProtection="1">
      <alignment horizontal="center" vertical="center" wrapText="1"/>
      <protection locked="0"/>
    </xf>
    <xf numFmtId="9" fontId="0" fillId="0" borderId="0" xfId="2" applyFont="1" applyBorder="1" applyAlignment="1" applyProtection="1"/>
    <xf numFmtId="0" fontId="49" fillId="0" borderId="8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/>
    </xf>
    <xf numFmtId="0" fontId="50" fillId="0" borderId="8" xfId="0" applyFont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 applyProtection="1">
      <alignment horizontal="left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1" fillId="0" borderId="3" xfId="0" applyFont="1" applyBorder="1" applyAlignment="1" applyProtection="1">
      <alignment horizontal="left" vertical="top"/>
      <protection locked="0"/>
    </xf>
    <xf numFmtId="0" fontId="13" fillId="7" borderId="2" xfId="0" applyFont="1" applyFill="1" applyBorder="1" applyAlignment="1">
      <alignment horizontal="center"/>
    </xf>
    <xf numFmtId="0" fontId="21" fillId="0" borderId="2" xfId="0" applyFont="1" applyBorder="1" applyAlignment="1" applyProtection="1">
      <alignment vertical="top" wrapText="1"/>
      <protection locked="0"/>
    </xf>
    <xf numFmtId="0" fontId="22" fillId="3" borderId="2" xfId="0" applyFont="1" applyFill="1" applyBorder="1" applyAlignment="1">
      <alignment horizontal="left" vertical="center" wrapText="1"/>
    </xf>
    <xf numFmtId="0" fontId="23" fillId="0" borderId="2" xfId="3" applyBorder="1" applyAlignment="1" applyProtection="1">
      <alignment horizontal="left" vertical="top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0" fontId="19" fillId="0" borderId="2" xfId="0" applyFont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textRotation="90" wrapText="1"/>
    </xf>
    <xf numFmtId="0" fontId="14" fillId="3" borderId="2" xfId="0" applyFont="1" applyFill="1" applyBorder="1" applyAlignment="1">
      <alignment vertical="center" wrapText="1"/>
    </xf>
    <xf numFmtId="0" fontId="15" fillId="0" borderId="2" xfId="0" applyFont="1" applyBorder="1" applyAlignment="1"/>
    <xf numFmtId="0" fontId="14" fillId="3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4" borderId="2" xfId="0" applyFont="1" applyFill="1" applyBorder="1" applyAlignment="1" applyProtection="1">
      <protection locked="0"/>
    </xf>
    <xf numFmtId="0" fontId="15" fillId="4" borderId="2" xfId="0" applyFont="1" applyFill="1" applyBorder="1" applyAlignment="1" applyProtection="1">
      <alignment horizontal="left"/>
      <protection locked="0"/>
    </xf>
    <xf numFmtId="0" fontId="15" fillId="0" borderId="2" xfId="0" applyFont="1" applyBorder="1" applyAlignment="1" applyProtection="1">
      <protection locked="0"/>
    </xf>
    <xf numFmtId="0" fontId="15" fillId="0" borderId="2" xfId="0" applyFont="1" applyBorder="1" applyAlignment="1" applyProtection="1">
      <alignment horizontal="left"/>
      <protection locked="0"/>
    </xf>
    <xf numFmtId="0" fontId="10" fillId="3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47" fillId="3" borderId="2" xfId="0" applyFont="1" applyFill="1" applyBorder="1" applyAlignment="1">
      <alignment horizontal="center"/>
    </xf>
    <xf numFmtId="0" fontId="52" fillId="0" borderId="2" xfId="0" applyFont="1" applyBorder="1" applyAlignment="1" applyProtection="1">
      <alignment horizontal="center"/>
      <protection locked="0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269"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FF"/>
        <name val="Cambria"/>
        <charset val="1"/>
      </font>
    </dxf>
    <dxf>
      <font>
        <color rgb="FFFF0000"/>
      </font>
    </dxf>
    <dxf>
      <font>
        <color rgb="FF000000"/>
      </font>
    </dxf>
    <dxf>
      <font>
        <color rgb="FF006600"/>
      </font>
    </dxf>
    <dxf>
      <font>
        <color rgb="FFFF0000"/>
      </font>
    </dxf>
    <dxf>
      <font>
        <color rgb="FF006600"/>
      </font>
    </dxf>
    <dxf>
      <font>
        <color rgb="FFFF0000"/>
      </font>
    </dxf>
    <dxf>
      <font>
        <color rgb="FF006600"/>
      </font>
    </dxf>
    <dxf>
      <font>
        <color rgb="FFFF0000"/>
      </font>
    </dxf>
    <dxf>
      <font>
        <color rgb="FF0066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2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9B8"/>
      <rgbColor rgb="FF0066FF"/>
      <rgbColor rgb="FF33CCCC"/>
      <rgbColor rgb="FF99CC00"/>
      <rgbColor rgb="FFFFCC00"/>
      <rgbColor rgb="FFFF9900"/>
      <rgbColor rgb="FFFF6600"/>
      <rgbColor rgb="FF376092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304800</xdr:colOff>
      <xdr:row>34</xdr:row>
      <xdr:rowOff>6350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450B65C3-DE0D-4221-82FB-5DC2F14584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7"/>
  <sheetViews>
    <sheetView view="pageBreakPreview" zoomScale="120" zoomScaleNormal="100" zoomScalePageLayoutView="120" workbookViewId="0">
      <selection activeCell="C5" sqref="C5"/>
    </sheetView>
  </sheetViews>
  <sheetFormatPr defaultRowHeight="14.5" x14ac:dyDescent="0.35"/>
  <cols>
    <col min="1" max="1" width="9.08984375" style="1" customWidth="1"/>
    <col min="2" max="2" width="11.7265625" style="1" customWidth="1"/>
    <col min="3" max="3" width="17.26953125" style="1" customWidth="1"/>
    <col min="4" max="1025" width="9.08984375" style="1" customWidth="1"/>
  </cols>
  <sheetData>
    <row r="1" spans="2:12" ht="20" x14ac:dyDescent="0.35"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2:12" ht="20" x14ac:dyDescent="0.4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</row>
    <row r="3" spans="2:12" ht="17.5" x14ac:dyDescent="0.35">
      <c r="B3" s="152" t="s">
        <v>2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2" ht="15.5" x14ac:dyDescent="0.35">
      <c r="B4" s="2" t="s">
        <v>3</v>
      </c>
      <c r="C4" s="2" t="s">
        <v>4</v>
      </c>
      <c r="D4" s="153" t="s">
        <v>5</v>
      </c>
      <c r="E4" s="153"/>
      <c r="F4" s="153"/>
      <c r="G4" s="153" t="s">
        <v>6</v>
      </c>
      <c r="H4" s="153"/>
      <c r="I4" s="153"/>
      <c r="J4" s="153"/>
      <c r="K4" s="153"/>
      <c r="L4" s="153"/>
    </row>
    <row r="5" spans="2:12" ht="14.25" customHeight="1" x14ac:dyDescent="0.35">
      <c r="B5" s="3"/>
      <c r="C5" s="4"/>
      <c r="D5" s="149"/>
      <c r="E5" s="149"/>
      <c r="F5" s="149"/>
      <c r="G5" s="149"/>
      <c r="H5" s="149"/>
      <c r="I5" s="149"/>
      <c r="J5" s="149"/>
      <c r="K5" s="149"/>
      <c r="L5" s="149"/>
    </row>
    <row r="6" spans="2:12" x14ac:dyDescent="0.35">
      <c r="B6" s="5"/>
      <c r="C6" s="6"/>
      <c r="D6" s="147"/>
      <c r="E6" s="147"/>
      <c r="F6" s="147"/>
      <c r="G6" s="148"/>
      <c r="H6" s="148"/>
      <c r="I6" s="148"/>
      <c r="J6" s="148"/>
      <c r="K6" s="148"/>
      <c r="L6" s="148"/>
    </row>
    <row r="7" spans="2:12" x14ac:dyDescent="0.35">
      <c r="B7" s="7"/>
      <c r="C7" s="8"/>
      <c r="D7" s="145"/>
      <c r="E7" s="145"/>
      <c r="F7" s="145"/>
      <c r="G7" s="146"/>
      <c r="H7" s="146"/>
      <c r="I7" s="146"/>
      <c r="J7" s="146"/>
      <c r="K7" s="146"/>
      <c r="L7" s="146"/>
    </row>
    <row r="8" spans="2:12" x14ac:dyDescent="0.35">
      <c r="B8" s="7"/>
      <c r="C8" s="6"/>
      <c r="D8" s="147"/>
      <c r="E8" s="147"/>
      <c r="F8" s="147"/>
      <c r="G8" s="148"/>
      <c r="H8" s="148"/>
      <c r="I8" s="148"/>
      <c r="J8" s="148"/>
      <c r="K8" s="148"/>
      <c r="L8" s="148"/>
    </row>
    <row r="9" spans="2:12" x14ac:dyDescent="0.35">
      <c r="B9" s="7"/>
      <c r="C9" s="6"/>
      <c r="D9" s="147"/>
      <c r="E9" s="147"/>
      <c r="F9" s="147"/>
      <c r="G9" s="148"/>
      <c r="H9" s="148"/>
      <c r="I9" s="148"/>
      <c r="J9" s="148"/>
      <c r="K9" s="148"/>
      <c r="L9" s="148"/>
    </row>
    <row r="10" spans="2:12" x14ac:dyDescent="0.35">
      <c r="B10" s="7"/>
      <c r="C10" s="8"/>
      <c r="D10" s="146"/>
      <c r="E10" s="146"/>
      <c r="F10" s="146"/>
      <c r="G10" s="146"/>
      <c r="H10" s="146"/>
      <c r="I10" s="146"/>
      <c r="J10" s="146"/>
      <c r="K10" s="146"/>
      <c r="L10" s="146"/>
    </row>
    <row r="11" spans="2:12" x14ac:dyDescent="0.35">
      <c r="B11" s="7"/>
      <c r="C11" s="7"/>
      <c r="D11" s="146"/>
      <c r="E11" s="146"/>
      <c r="F11" s="146"/>
      <c r="G11" s="146"/>
      <c r="H11" s="146"/>
      <c r="I11" s="146"/>
      <c r="J11" s="146"/>
      <c r="K11" s="146"/>
      <c r="L11" s="146"/>
    </row>
    <row r="12" spans="2:12" x14ac:dyDescent="0.35">
      <c r="B12" s="7"/>
      <c r="C12" s="7"/>
      <c r="D12" s="145"/>
      <c r="E12" s="145"/>
      <c r="F12" s="145"/>
      <c r="G12" s="146"/>
      <c r="H12" s="146"/>
      <c r="I12" s="146"/>
      <c r="J12" s="146"/>
      <c r="K12" s="146"/>
      <c r="L12" s="146"/>
    </row>
    <row r="13" spans="2:12" x14ac:dyDescent="0.35">
      <c r="B13" s="7"/>
      <c r="C13" s="7"/>
      <c r="D13" s="145"/>
      <c r="E13" s="145"/>
      <c r="F13" s="145"/>
      <c r="G13" s="146"/>
      <c r="H13" s="146"/>
      <c r="I13" s="146"/>
      <c r="J13" s="146"/>
      <c r="K13" s="146"/>
      <c r="L13" s="146"/>
    </row>
    <row r="14" spans="2:12" x14ac:dyDescent="0.35">
      <c r="B14" s="7"/>
      <c r="C14" s="7"/>
      <c r="D14" s="145"/>
      <c r="E14" s="145"/>
      <c r="F14" s="145"/>
      <c r="G14" s="146"/>
      <c r="H14" s="146"/>
      <c r="I14" s="146"/>
      <c r="J14" s="146"/>
      <c r="K14" s="146"/>
      <c r="L14" s="146"/>
    </row>
    <row r="15" spans="2:12" x14ac:dyDescent="0.35">
      <c r="B15" s="7"/>
      <c r="C15" s="7"/>
      <c r="D15" s="145"/>
      <c r="E15" s="145"/>
      <c r="F15" s="145"/>
      <c r="G15" s="146"/>
      <c r="H15" s="146"/>
      <c r="I15" s="146"/>
      <c r="J15" s="146"/>
      <c r="K15" s="146"/>
      <c r="L15" s="146"/>
    </row>
    <row r="16" spans="2:12" x14ac:dyDescent="0.35">
      <c r="B16" s="7"/>
      <c r="C16" s="7"/>
      <c r="D16" s="145"/>
      <c r="E16" s="145"/>
      <c r="F16" s="145"/>
      <c r="G16" s="146"/>
      <c r="H16" s="146"/>
      <c r="I16" s="146"/>
      <c r="J16" s="146"/>
      <c r="K16" s="146"/>
      <c r="L16" s="146"/>
    </row>
    <row r="17" spans="2:12" ht="15.5" x14ac:dyDescent="0.35">
      <c r="B17" s="144" t="s">
        <v>7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</row>
  </sheetData>
  <sheetProtection sheet="1" selectLockedCells="1"/>
  <protectedRanges>
    <protectedRange sqref="B1 B2 B5:L16" name="Revisao"/>
  </protectedRanges>
  <mergeCells count="30">
    <mergeCell ref="B1:L1"/>
    <mergeCell ref="B2:L2"/>
    <mergeCell ref="B3:L3"/>
    <mergeCell ref="D4:F4"/>
    <mergeCell ref="G4:L4"/>
    <mergeCell ref="D5:F5"/>
    <mergeCell ref="G5:L5"/>
    <mergeCell ref="D6:F6"/>
    <mergeCell ref="G6:L6"/>
    <mergeCell ref="D7:F7"/>
    <mergeCell ref="G7:L7"/>
    <mergeCell ref="D8:F8"/>
    <mergeCell ref="G8:L8"/>
    <mergeCell ref="D9:F9"/>
    <mergeCell ref="G9:L9"/>
    <mergeCell ref="D10:F10"/>
    <mergeCell ref="G10:L10"/>
    <mergeCell ref="D11:F11"/>
    <mergeCell ref="G11:L11"/>
    <mergeCell ref="D12:F12"/>
    <mergeCell ref="G12:L12"/>
    <mergeCell ref="D13:F13"/>
    <mergeCell ref="G13:L13"/>
    <mergeCell ref="B17:L17"/>
    <mergeCell ref="D14:F14"/>
    <mergeCell ref="G14:L14"/>
    <mergeCell ref="D15:F15"/>
    <mergeCell ref="G15:L15"/>
    <mergeCell ref="D16:F16"/>
    <mergeCell ref="G16:L16"/>
  </mergeCells>
  <pageMargins left="0.51180555555555496" right="0.51180555555555496" top="0.78749999999999998" bottom="0.78749999999999998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56"/>
  <sheetViews>
    <sheetView showGridLines="0" tabSelected="1" view="pageBreakPreview" topLeftCell="B1" zoomScale="120" zoomScaleNormal="100" zoomScalePageLayoutView="120" workbookViewId="0">
      <selection activeCell="D11" sqref="D11:J11"/>
    </sheetView>
  </sheetViews>
  <sheetFormatPr defaultRowHeight="14.5" x14ac:dyDescent="0.35"/>
  <cols>
    <col min="1" max="1" width="1.08984375" style="9" hidden="1" customWidth="1"/>
    <col min="2" max="2" width="6.26953125" style="9" customWidth="1"/>
    <col min="3" max="3" width="20.08984375" style="9" customWidth="1"/>
    <col min="4" max="4" width="9.81640625" style="9" customWidth="1"/>
    <col min="5" max="5" width="3.54296875" style="9" customWidth="1"/>
    <col min="6" max="6" width="6.453125" style="9" customWidth="1"/>
    <col min="7" max="7" width="15" style="9" customWidth="1"/>
    <col min="8" max="8" width="8.7265625" style="9" customWidth="1"/>
    <col min="9" max="9" width="24" style="9" customWidth="1"/>
    <col min="10" max="10" width="10.08984375" style="9" hidden="1" customWidth="1"/>
    <col min="11" max="1025" width="9.08984375" style="9" customWidth="1"/>
  </cols>
  <sheetData>
    <row r="1" spans="2:10" x14ac:dyDescent="0.35">
      <c r="J1" s="10"/>
    </row>
    <row r="2" spans="2:10" ht="18" x14ac:dyDescent="0.35">
      <c r="B2" s="173" t="s">
        <v>8</v>
      </c>
      <c r="C2" s="173"/>
      <c r="D2" s="173"/>
      <c r="E2" s="173"/>
      <c r="F2" s="173"/>
      <c r="G2" s="173"/>
      <c r="H2" s="173"/>
      <c r="I2" s="173"/>
      <c r="J2" s="173"/>
    </row>
    <row r="3" spans="2:10" ht="22.5" hidden="1" customHeight="1" x14ac:dyDescent="0.35">
      <c r="B3" s="11"/>
      <c r="C3" s="11"/>
      <c r="D3" s="12"/>
      <c r="E3" s="11"/>
      <c r="F3" s="11" t="s">
        <v>9</v>
      </c>
      <c r="G3" s="11"/>
      <c r="H3" s="13">
        <v>0.05</v>
      </c>
      <c r="I3" s="11" t="s">
        <v>10</v>
      </c>
      <c r="J3" s="11">
        <f>COUNTIFS(Funções!T3:T202,"NOK")</f>
        <v>0</v>
      </c>
    </row>
    <row r="4" spans="2:10" ht="22.5" hidden="1" customHeight="1" x14ac:dyDescent="0.35">
      <c r="B4" s="11"/>
      <c r="C4" s="11"/>
      <c r="D4" s="12"/>
      <c r="E4" s="11"/>
      <c r="F4" s="11"/>
      <c r="G4" s="11"/>
      <c r="H4" s="13">
        <v>-0.05</v>
      </c>
      <c r="I4" s="11" t="s">
        <v>11</v>
      </c>
      <c r="J4" s="11">
        <f>COUNTIFS(Funções!T3:T202,"OK")</f>
        <v>0</v>
      </c>
    </row>
    <row r="5" spans="2:10" ht="15.5" x14ac:dyDescent="0.35">
      <c r="B5" s="174" t="str">
        <f>IF(OR(ISBLANK(D13),D13=0),"Aguardando Aferição da Fábrica de Software",IF(OR(ISBLANK(D20),D20=0),"Aguardando Aferição da Fábrica de Métricas",IF(OR(AND(D24&gt;=0,D24&lt;=H3),AND(D24&lt;=0,D24&gt;=H4)),"Contagem Aprovada","Contagem em Divergência")))</f>
        <v>Aguardando Aferição da Fábrica de Software</v>
      </c>
      <c r="C5" s="174"/>
      <c r="D5" s="174"/>
      <c r="E5" s="174"/>
      <c r="F5" s="174"/>
      <c r="G5" s="174"/>
      <c r="H5" s="174"/>
      <c r="I5" s="174"/>
      <c r="J5" s="174"/>
    </row>
    <row r="6" spans="2:10" x14ac:dyDescent="0.35">
      <c r="B6" s="155" t="s">
        <v>12</v>
      </c>
      <c r="C6" s="155"/>
      <c r="D6" s="155"/>
      <c r="E6" s="155"/>
      <c r="F6" s="155"/>
      <c r="G6" s="155"/>
      <c r="H6" s="155"/>
      <c r="I6" s="155"/>
      <c r="J6" s="155"/>
    </row>
    <row r="7" spans="2:10" ht="15" customHeight="1" x14ac:dyDescent="0.35">
      <c r="B7" s="163" t="s">
        <v>13</v>
      </c>
      <c r="C7" s="163"/>
      <c r="D7" s="171" t="s">
        <v>14</v>
      </c>
      <c r="E7" s="171"/>
      <c r="F7" s="171"/>
      <c r="G7" s="171"/>
      <c r="H7" s="171"/>
      <c r="I7" s="171"/>
      <c r="J7" s="171"/>
    </row>
    <row r="8" spans="2:10" ht="15" customHeight="1" x14ac:dyDescent="0.35">
      <c r="B8" s="163" t="s">
        <v>15</v>
      </c>
      <c r="C8" s="163"/>
      <c r="D8" s="172"/>
      <c r="E8" s="172"/>
      <c r="F8" s="172"/>
      <c r="G8" s="172"/>
      <c r="H8" s="172"/>
      <c r="I8" s="172"/>
      <c r="J8" s="172"/>
    </row>
    <row r="9" spans="2:10" ht="15" customHeight="1" x14ac:dyDescent="0.35">
      <c r="B9" s="163" t="s">
        <v>16</v>
      </c>
      <c r="C9" s="163"/>
      <c r="D9" s="171"/>
      <c r="E9" s="171"/>
      <c r="F9" s="171"/>
      <c r="G9" s="171"/>
      <c r="H9" s="171"/>
      <c r="I9" s="171"/>
      <c r="J9" s="171"/>
    </row>
    <row r="10" spans="2:10" ht="15" customHeight="1" x14ac:dyDescent="0.35">
      <c r="B10" s="163" t="s">
        <v>17</v>
      </c>
      <c r="C10" s="163"/>
      <c r="D10" s="171"/>
      <c r="E10" s="171"/>
      <c r="F10" s="171"/>
      <c r="G10" s="171"/>
      <c r="H10" s="171"/>
      <c r="I10" s="171"/>
      <c r="J10" s="171"/>
    </row>
    <row r="11" spans="2:10" ht="15" customHeight="1" x14ac:dyDescent="0.35">
      <c r="B11" s="163" t="s">
        <v>18</v>
      </c>
      <c r="C11" s="163"/>
      <c r="D11" s="180"/>
      <c r="E11" s="180"/>
      <c r="F11" s="180"/>
      <c r="G11" s="180"/>
      <c r="H11" s="180"/>
      <c r="I11" s="180"/>
      <c r="J11" s="180"/>
    </row>
    <row r="12" spans="2:10" ht="15" customHeight="1" x14ac:dyDescent="0.35">
      <c r="B12" s="163" t="s">
        <v>19</v>
      </c>
      <c r="C12" s="163"/>
      <c r="D12" s="171"/>
      <c r="E12" s="171"/>
      <c r="F12" s="171"/>
      <c r="G12" s="171"/>
      <c r="H12" s="171"/>
      <c r="I12" s="171"/>
      <c r="J12" s="171"/>
    </row>
    <row r="13" spans="2:10" ht="15" customHeight="1" x14ac:dyDescent="0.35">
      <c r="B13" s="163" t="s">
        <v>20</v>
      </c>
      <c r="C13" s="163"/>
      <c r="D13" s="15">
        <f>QuadroResumo!G10</f>
        <v>0</v>
      </c>
      <c r="E13" s="16"/>
      <c r="F13" s="163" t="s">
        <v>21</v>
      </c>
      <c r="G13" s="163"/>
      <c r="H13" s="15">
        <f>QuadroResumo!H10</f>
        <v>0</v>
      </c>
      <c r="I13" s="17"/>
      <c r="J13" s="18"/>
    </row>
    <row r="14" spans="2:10" ht="15" customHeight="1" x14ac:dyDescent="0.35">
      <c r="B14" s="165" t="s">
        <v>22</v>
      </c>
      <c r="C14" s="165"/>
      <c r="D14" s="15">
        <f>SUMIF(Funções!D3:D202, "=RT1", Funções!Q3:Q202) + SUMIF(Funções!D3:D202, "=RT2", Funções!Q3:Q202)</f>
        <v>0</v>
      </c>
      <c r="E14" s="166"/>
      <c r="F14" s="166"/>
      <c r="G14" s="166"/>
      <c r="H14" s="166"/>
      <c r="I14" s="166"/>
      <c r="J14" s="19"/>
    </row>
    <row r="15" spans="2:10" x14ac:dyDescent="0.35">
      <c r="B15" s="167"/>
      <c r="C15" s="167"/>
      <c r="D15" s="167"/>
      <c r="E15" s="167"/>
      <c r="F15" s="167"/>
      <c r="G15" s="167"/>
      <c r="H15" s="167"/>
      <c r="I15" s="167"/>
      <c r="J15" s="167"/>
    </row>
    <row r="16" spans="2:10" x14ac:dyDescent="0.35">
      <c r="B16" s="155" t="s">
        <v>23</v>
      </c>
      <c r="C16" s="155"/>
      <c r="D16" s="155"/>
      <c r="E16" s="155"/>
      <c r="F16" s="155"/>
      <c r="G16" s="155"/>
      <c r="H16" s="155"/>
      <c r="I16" s="155"/>
      <c r="J16" s="155"/>
    </row>
    <row r="17" spans="2:10" ht="15" customHeight="1" x14ac:dyDescent="0.35">
      <c r="B17" s="163" t="s">
        <v>13</v>
      </c>
      <c r="C17" s="163"/>
      <c r="D17" s="169"/>
      <c r="E17" s="169"/>
      <c r="F17" s="169"/>
      <c r="G17" s="169"/>
      <c r="H17" s="169"/>
      <c r="I17" s="169"/>
      <c r="J17" s="169"/>
    </row>
    <row r="18" spans="2:10" ht="15" customHeight="1" x14ac:dyDescent="0.35">
      <c r="B18" s="163" t="s">
        <v>15</v>
      </c>
      <c r="C18" s="163"/>
      <c r="D18" s="169"/>
      <c r="E18" s="169"/>
      <c r="F18" s="169"/>
      <c r="G18" s="169"/>
      <c r="H18" s="169"/>
      <c r="I18" s="169"/>
      <c r="J18" s="169"/>
    </row>
    <row r="19" spans="2:10" ht="15" customHeight="1" x14ac:dyDescent="0.35">
      <c r="B19" s="163" t="s">
        <v>24</v>
      </c>
      <c r="C19" s="163"/>
      <c r="D19" s="170"/>
      <c r="E19" s="170"/>
      <c r="F19" s="170"/>
      <c r="G19" s="170"/>
      <c r="H19" s="170"/>
      <c r="I19" s="170"/>
      <c r="J19" s="170"/>
    </row>
    <row r="20" spans="2:10" ht="15" customHeight="1" x14ac:dyDescent="0.35">
      <c r="B20" s="163" t="s">
        <v>20</v>
      </c>
      <c r="C20" s="163"/>
      <c r="D20" s="15">
        <f>QuadroResumo!G20</f>
        <v>0</v>
      </c>
      <c r="E20" s="16"/>
      <c r="F20" s="163" t="s">
        <v>21</v>
      </c>
      <c r="G20" s="163"/>
      <c r="H20" s="15">
        <f>QuadroResumo!H20</f>
        <v>0</v>
      </c>
      <c r="I20" s="17"/>
      <c r="J20" s="18"/>
    </row>
    <row r="21" spans="2:10" ht="15" customHeight="1" x14ac:dyDescent="0.35">
      <c r="B21" s="165" t="s">
        <v>22</v>
      </c>
      <c r="C21" s="165"/>
      <c r="D21" s="15">
        <f>SUMIF(Funções!V3:V202, "=RT1", Funções!AG3:AG202) + SUMIF(Funções!V3:V202, "=RT2", Funções!AG3:AG202)</f>
        <v>0</v>
      </c>
      <c r="E21" s="166"/>
      <c r="F21" s="166"/>
      <c r="G21" s="166"/>
      <c r="H21" s="166"/>
      <c r="I21" s="166"/>
      <c r="J21" s="18"/>
    </row>
    <row r="22" spans="2:10" x14ac:dyDescent="0.35">
      <c r="B22" s="167"/>
      <c r="C22" s="167"/>
      <c r="D22" s="167"/>
      <c r="E22" s="167"/>
      <c r="F22" s="167"/>
      <c r="G22" s="167"/>
      <c r="H22" s="167"/>
      <c r="I22" s="167"/>
      <c r="J22" s="167"/>
    </row>
    <row r="23" spans="2:10" x14ac:dyDescent="0.35">
      <c r="B23" s="155" t="s">
        <v>25</v>
      </c>
      <c r="C23" s="155"/>
      <c r="D23" s="155"/>
      <c r="E23" s="155"/>
      <c r="F23" s="155"/>
      <c r="G23" s="155"/>
      <c r="H23" s="155"/>
      <c r="I23" s="155"/>
      <c r="J23" s="155"/>
    </row>
    <row r="24" spans="2:10" ht="15" customHeight="1" x14ac:dyDescent="0.35">
      <c r="B24" s="163" t="s">
        <v>26</v>
      </c>
      <c r="C24" s="163"/>
      <c r="D24" s="20">
        <f>IFERROR(ROUND((D20-D13)/D13,2),0)</f>
        <v>0</v>
      </c>
      <c r="E24" s="168"/>
      <c r="F24" s="168"/>
      <c r="G24" s="168"/>
      <c r="H24" s="168"/>
      <c r="I24" s="168"/>
      <c r="J24" s="168"/>
    </row>
    <row r="25" spans="2:10" ht="15" hidden="1" customHeight="1" x14ac:dyDescent="0.35">
      <c r="B25" s="14"/>
      <c r="C25" s="14"/>
      <c r="D25" s="21"/>
      <c r="E25" s="21"/>
      <c r="F25" s="21"/>
      <c r="G25" s="21"/>
      <c r="H25" s="21"/>
      <c r="I25" s="21"/>
      <c r="J25" s="21"/>
    </row>
    <row r="26" spans="2:10" ht="15" hidden="1" customHeight="1" x14ac:dyDescent="0.35">
      <c r="B26" s="163" t="s">
        <v>27</v>
      </c>
      <c r="C26" s="163"/>
      <c r="D26" s="164">
        <v>19809</v>
      </c>
      <c r="E26" s="164"/>
      <c r="F26" s="164"/>
      <c r="G26" s="22" t="s">
        <v>28</v>
      </c>
      <c r="H26" s="23"/>
      <c r="I26" s="22" t="s">
        <v>29</v>
      </c>
      <c r="J26" s="24">
        <f>IF(E33="x",(SUM(J31:J35)*0.75),SUM(J31:J35))</f>
        <v>0</v>
      </c>
    </row>
    <row r="27" spans="2:10" ht="14.25" hidden="1" customHeight="1" x14ac:dyDescent="0.35">
      <c r="B27" s="163" t="s">
        <v>30</v>
      </c>
      <c r="C27" s="163"/>
      <c r="D27" s="164" t="s">
        <v>31</v>
      </c>
      <c r="E27" s="164"/>
      <c r="F27" s="164"/>
      <c r="G27" s="164"/>
      <c r="H27" s="164"/>
      <c r="I27" s="22" t="s">
        <v>4</v>
      </c>
      <c r="J27" s="25">
        <v>41526</v>
      </c>
    </row>
    <row r="28" spans="2:10" ht="14.25" hidden="1" customHeight="1" x14ac:dyDescent="0.35">
      <c r="B28" s="163" t="s">
        <v>32</v>
      </c>
      <c r="C28" s="163"/>
      <c r="D28" s="164"/>
      <c r="E28" s="164"/>
      <c r="F28" s="164"/>
      <c r="G28" s="164"/>
      <c r="H28" s="164"/>
      <c r="I28" s="22" t="s">
        <v>4</v>
      </c>
      <c r="J28" s="25"/>
    </row>
    <row r="29" spans="2:10" ht="15" hidden="1" customHeight="1" x14ac:dyDescent="0.35">
      <c r="B29" s="162" t="s">
        <v>33</v>
      </c>
      <c r="C29" s="163" t="s">
        <v>34</v>
      </c>
      <c r="D29" s="163"/>
      <c r="E29" s="26"/>
      <c r="F29" s="27"/>
      <c r="G29" s="27"/>
      <c r="H29" s="27"/>
      <c r="I29" s="27"/>
      <c r="J29" s="27"/>
    </row>
    <row r="30" spans="2:10" ht="15" hidden="1" customHeight="1" x14ac:dyDescent="0.35">
      <c r="B30" s="162"/>
      <c r="C30" s="163" t="s">
        <v>35</v>
      </c>
      <c r="D30" s="163"/>
      <c r="E30" s="26"/>
      <c r="F30" s="27"/>
      <c r="G30" s="27"/>
      <c r="H30" s="27"/>
      <c r="I30" s="28" t="s">
        <v>36</v>
      </c>
      <c r="J30" s="28" t="s">
        <v>37</v>
      </c>
    </row>
    <row r="31" spans="2:10" ht="14.25" hidden="1" customHeight="1" x14ac:dyDescent="0.35">
      <c r="B31" s="162"/>
      <c r="C31" s="163" t="s">
        <v>38</v>
      </c>
      <c r="D31" s="163"/>
      <c r="E31" s="26"/>
      <c r="F31" s="27"/>
      <c r="G31" s="27"/>
      <c r="H31" s="27"/>
      <c r="I31" s="22" t="s">
        <v>39</v>
      </c>
      <c r="J31" s="29">
        <f>QuadroResumo!J4</f>
        <v>0</v>
      </c>
    </row>
    <row r="32" spans="2:10" ht="14.25" hidden="1" customHeight="1" x14ac:dyDescent="0.35">
      <c r="B32" s="162"/>
      <c r="C32" s="163" t="s">
        <v>40</v>
      </c>
      <c r="D32" s="163"/>
      <c r="E32" s="26"/>
      <c r="F32" s="27"/>
      <c r="G32" s="27"/>
      <c r="H32" s="27"/>
      <c r="I32" s="22" t="s">
        <v>41</v>
      </c>
      <c r="J32" s="29">
        <f>IF(E32="x",QuadroResumo!J5*0.6,QuadroResumo!J5)</f>
        <v>0</v>
      </c>
    </row>
    <row r="33" spans="2:10" ht="14.25" hidden="1" customHeight="1" x14ac:dyDescent="0.35">
      <c r="B33" s="162"/>
      <c r="C33" s="163" t="s">
        <v>42</v>
      </c>
      <c r="D33" s="163"/>
      <c r="E33" s="26" t="s">
        <v>43</v>
      </c>
      <c r="F33" s="27"/>
      <c r="G33" s="27"/>
      <c r="H33" s="27"/>
      <c r="I33" s="22" t="s">
        <v>44</v>
      </c>
      <c r="J33" s="29">
        <f>IF(E32="x",QuadroResumo!J6*0.4,QuadroResumo!J6)</f>
        <v>0</v>
      </c>
    </row>
    <row r="34" spans="2:10" ht="14.25" hidden="1" customHeight="1" x14ac:dyDescent="0.35">
      <c r="B34" s="162"/>
      <c r="C34" s="163" t="s">
        <v>45</v>
      </c>
      <c r="D34" s="163"/>
      <c r="E34" s="26"/>
      <c r="F34" s="27"/>
      <c r="G34" s="27"/>
      <c r="H34" s="27"/>
      <c r="I34" s="22" t="s">
        <v>46</v>
      </c>
      <c r="J34" s="29">
        <f>IF(E32="x",QuadroResumo!J7,(IF(E31="x",QuadroResumo!J7*0.75,0)))</f>
        <v>0</v>
      </c>
    </row>
    <row r="35" spans="2:10" ht="14.25" hidden="1" customHeight="1" x14ac:dyDescent="0.35">
      <c r="B35" s="162"/>
      <c r="C35" s="163" t="s">
        <v>47</v>
      </c>
      <c r="D35" s="163"/>
      <c r="E35" s="26"/>
      <c r="F35" s="27"/>
      <c r="G35" s="27"/>
      <c r="H35" s="27"/>
      <c r="I35" s="30" t="s">
        <v>48</v>
      </c>
      <c r="J35" s="31">
        <f>'Itens Não Mensuráveis'!E16</f>
        <v>0</v>
      </c>
    </row>
    <row r="36" spans="2:10" ht="14.25" hidden="1" customHeight="1" x14ac:dyDescent="0.35">
      <c r="B36" s="162"/>
      <c r="C36" s="163" t="s">
        <v>49</v>
      </c>
      <c r="D36" s="163"/>
      <c r="E36" s="26"/>
      <c r="F36" s="32" t="s">
        <v>50</v>
      </c>
      <c r="G36" s="27"/>
      <c r="H36" s="27"/>
      <c r="I36" s="27"/>
      <c r="J36" s="27"/>
    </row>
    <row r="37" spans="2:10" s="33" customFormat="1" ht="14" hidden="1" x14ac:dyDescent="0.3">
      <c r="B37" s="160" t="str">
        <f>CONCATENATE(B16," = ",D20," PF")</f>
        <v>Contagem Fábrica de Métricas = 0 PF</v>
      </c>
      <c r="C37" s="160"/>
      <c r="D37" s="160"/>
      <c r="E37" s="160"/>
      <c r="F37" s="160"/>
      <c r="G37" s="160"/>
      <c r="H37" s="160"/>
      <c r="I37" s="160"/>
      <c r="J37" s="160"/>
    </row>
    <row r="38" spans="2:10" s="33" customFormat="1" ht="14" hidden="1" x14ac:dyDescent="0.3">
      <c r="B38" s="160" t="str">
        <f>CONCATENATE(E20,":",H20," PF")</f>
        <v>:0 PF</v>
      </c>
      <c r="C38" s="160"/>
      <c r="D38" s="160"/>
      <c r="E38" s="160"/>
      <c r="F38" s="160"/>
      <c r="G38" s="160"/>
      <c r="H38" s="160"/>
      <c r="I38" s="160"/>
      <c r="J38" s="160"/>
    </row>
    <row r="39" spans="2:10" s="33" customFormat="1" ht="14" hidden="1" x14ac:dyDescent="0.3">
      <c r="B39" s="160" t="str">
        <f>CONCATENATE(B24,":",D24*100,"%")</f>
        <v xml:space="preserve">    % de Divergência:0%</v>
      </c>
      <c r="C39" s="160"/>
      <c r="D39" s="160"/>
      <c r="E39" s="160"/>
      <c r="F39" s="160"/>
      <c r="G39" s="160"/>
      <c r="H39" s="160"/>
      <c r="I39" s="160"/>
      <c r="J39" s="160"/>
    </row>
    <row r="40" spans="2:10" x14ac:dyDescent="0.35">
      <c r="B40" s="161"/>
      <c r="C40" s="161"/>
      <c r="D40" s="161"/>
      <c r="E40" s="161"/>
      <c r="F40" s="161"/>
      <c r="G40" s="161"/>
      <c r="H40" s="161"/>
      <c r="I40" s="161"/>
      <c r="J40" s="34"/>
    </row>
    <row r="41" spans="2:10" x14ac:dyDescent="0.35">
      <c r="B41" s="155" t="s">
        <v>51</v>
      </c>
      <c r="C41" s="155"/>
      <c r="D41" s="155"/>
      <c r="E41" s="155"/>
      <c r="F41" s="155"/>
      <c r="G41" s="155"/>
      <c r="H41" s="155"/>
      <c r="I41" s="155"/>
      <c r="J41" s="155"/>
    </row>
    <row r="42" spans="2:10" ht="63" customHeight="1" x14ac:dyDescent="0.35">
      <c r="B42" s="154"/>
      <c r="C42" s="154"/>
      <c r="D42" s="154"/>
      <c r="E42" s="154"/>
      <c r="F42" s="154"/>
      <c r="G42" s="154"/>
      <c r="H42" s="154"/>
      <c r="I42" s="154"/>
      <c r="J42" s="35"/>
    </row>
    <row r="43" spans="2:10" x14ac:dyDescent="0.35">
      <c r="B43" s="155" t="s">
        <v>52</v>
      </c>
      <c r="C43" s="155"/>
      <c r="D43" s="155"/>
      <c r="E43" s="155"/>
      <c r="F43" s="155"/>
      <c r="G43" s="155"/>
      <c r="H43" s="155"/>
      <c r="I43" s="155"/>
      <c r="J43" s="155"/>
    </row>
    <row r="44" spans="2:10" ht="56.25" customHeight="1" x14ac:dyDescent="0.35">
      <c r="B44" s="154"/>
      <c r="C44" s="154"/>
      <c r="D44" s="154"/>
      <c r="E44" s="154"/>
      <c r="F44" s="154"/>
      <c r="G44" s="154"/>
      <c r="H44" s="154"/>
      <c r="I44" s="154"/>
      <c r="J44" s="36"/>
    </row>
    <row r="45" spans="2:10" x14ac:dyDescent="0.35">
      <c r="B45" s="155" t="s">
        <v>53</v>
      </c>
      <c r="C45" s="155"/>
      <c r="D45" s="155"/>
      <c r="E45" s="155"/>
      <c r="F45" s="155"/>
      <c r="G45" s="155"/>
      <c r="H45" s="155"/>
      <c r="I45" s="155"/>
      <c r="J45" s="155"/>
    </row>
    <row r="46" spans="2:10" ht="66.75" customHeight="1" x14ac:dyDescent="0.35">
      <c r="B46" s="154"/>
      <c r="C46" s="154"/>
      <c r="D46" s="154"/>
      <c r="E46" s="154"/>
      <c r="F46" s="154"/>
      <c r="G46" s="154"/>
      <c r="H46" s="154"/>
      <c r="I46" s="154"/>
      <c r="J46" s="35"/>
    </row>
    <row r="47" spans="2:10" x14ac:dyDescent="0.35">
      <c r="B47" s="155" t="s">
        <v>54</v>
      </c>
      <c r="C47" s="155"/>
      <c r="D47" s="155"/>
      <c r="E47" s="155"/>
      <c r="F47" s="155"/>
      <c r="G47" s="155"/>
      <c r="H47" s="155"/>
      <c r="I47" s="155"/>
      <c r="J47" s="155"/>
    </row>
    <row r="48" spans="2:10" ht="60.75" customHeight="1" x14ac:dyDescent="0.35">
      <c r="B48" s="154"/>
      <c r="C48" s="154"/>
      <c r="D48" s="154"/>
      <c r="E48" s="154"/>
      <c r="F48" s="154"/>
      <c r="G48" s="154"/>
      <c r="H48" s="154"/>
      <c r="I48" s="154"/>
      <c r="J48" s="35"/>
    </row>
    <row r="49" spans="2:10" x14ac:dyDescent="0.35">
      <c r="B49" s="155" t="s">
        <v>55</v>
      </c>
      <c r="C49" s="155"/>
      <c r="D49" s="155"/>
      <c r="E49" s="155"/>
      <c r="F49" s="155"/>
      <c r="G49" s="155"/>
      <c r="H49" s="155"/>
      <c r="I49" s="155"/>
      <c r="J49" s="155"/>
    </row>
    <row r="50" spans="2:10" ht="15" customHeight="1" x14ac:dyDescent="0.35">
      <c r="B50" s="157" t="s">
        <v>56</v>
      </c>
      <c r="C50" s="157"/>
      <c r="D50" s="158"/>
      <c r="E50" s="158"/>
      <c r="F50" s="158"/>
      <c r="G50" s="158"/>
      <c r="H50" s="158"/>
      <c r="I50" s="158"/>
      <c r="J50" s="158"/>
    </row>
    <row r="51" spans="2:10" ht="15" customHeight="1" x14ac:dyDescent="0.35">
      <c r="B51" s="157" t="s">
        <v>57</v>
      </c>
      <c r="C51" s="157"/>
      <c r="D51" s="158"/>
      <c r="E51" s="158"/>
      <c r="F51" s="158"/>
      <c r="G51" s="158"/>
      <c r="H51" s="158"/>
      <c r="I51" s="158"/>
      <c r="J51" s="158"/>
    </row>
    <row r="52" spans="2:10" ht="14.25" customHeight="1" x14ac:dyDescent="0.35">
      <c r="B52" s="157" t="s">
        <v>58</v>
      </c>
      <c r="C52" s="157"/>
      <c r="D52" s="159"/>
      <c r="E52" s="159"/>
      <c r="F52" s="159"/>
      <c r="G52" s="159"/>
      <c r="H52" s="159"/>
      <c r="I52" s="159"/>
      <c r="J52" s="159"/>
    </row>
    <row r="53" spans="2:10" x14ac:dyDescent="0.35">
      <c r="B53" s="155" t="s">
        <v>59</v>
      </c>
      <c r="C53" s="155"/>
      <c r="D53" s="155"/>
      <c r="E53" s="155"/>
      <c r="F53" s="155"/>
      <c r="G53" s="155"/>
      <c r="H53" s="155"/>
      <c r="I53" s="155"/>
      <c r="J53" s="155"/>
    </row>
    <row r="54" spans="2:10" ht="87" customHeight="1" x14ac:dyDescent="0.35">
      <c r="B54" s="154"/>
      <c r="C54" s="154"/>
      <c r="D54" s="154"/>
      <c r="E54" s="154"/>
      <c r="F54" s="154"/>
      <c r="G54" s="154"/>
      <c r="H54" s="154"/>
      <c r="I54" s="154"/>
      <c r="J54" s="35"/>
    </row>
    <row r="55" spans="2:10" x14ac:dyDescent="0.35">
      <c r="B55" s="155" t="s">
        <v>60</v>
      </c>
      <c r="C55" s="155"/>
      <c r="D55" s="155"/>
      <c r="E55" s="155"/>
      <c r="F55" s="155"/>
      <c r="G55" s="155"/>
      <c r="H55" s="155"/>
      <c r="I55" s="155"/>
      <c r="J55" s="155"/>
    </row>
    <row r="56" spans="2:10" ht="80.25" customHeight="1" x14ac:dyDescent="0.35">
      <c r="B56" s="156"/>
      <c r="C56" s="156"/>
      <c r="D56" s="156"/>
      <c r="E56" s="156"/>
      <c r="F56" s="156"/>
      <c r="G56" s="156"/>
      <c r="H56" s="156"/>
      <c r="I56" s="156"/>
      <c r="J56" s="156"/>
    </row>
  </sheetData>
  <mergeCells count="73">
    <mergeCell ref="B2:J2"/>
    <mergeCell ref="B5:J5"/>
    <mergeCell ref="B6:J6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D11:J11"/>
    <mergeCell ref="B12:C12"/>
    <mergeCell ref="D12:J12"/>
    <mergeCell ref="B13:C13"/>
    <mergeCell ref="F13:G13"/>
    <mergeCell ref="B14:C14"/>
    <mergeCell ref="E14:I14"/>
    <mergeCell ref="B15:J15"/>
    <mergeCell ref="B16:J16"/>
    <mergeCell ref="B17:C17"/>
    <mergeCell ref="D17:J17"/>
    <mergeCell ref="B18:C18"/>
    <mergeCell ref="D18:J18"/>
    <mergeCell ref="B19:C19"/>
    <mergeCell ref="D19:J19"/>
    <mergeCell ref="B20:C20"/>
    <mergeCell ref="F20:G20"/>
    <mergeCell ref="B21:C21"/>
    <mergeCell ref="E21:I21"/>
    <mergeCell ref="B22:J22"/>
    <mergeCell ref="B23:J23"/>
    <mergeCell ref="B24:C24"/>
    <mergeCell ref="E24:J24"/>
    <mergeCell ref="B26:C26"/>
    <mergeCell ref="D26:F26"/>
    <mergeCell ref="B27:C27"/>
    <mergeCell ref="D27:H27"/>
    <mergeCell ref="B28:C28"/>
    <mergeCell ref="D28:H28"/>
    <mergeCell ref="B29:B36"/>
    <mergeCell ref="C29:D29"/>
    <mergeCell ref="C30:D30"/>
    <mergeCell ref="C31:D31"/>
    <mergeCell ref="C32:D32"/>
    <mergeCell ref="C33:D33"/>
    <mergeCell ref="C34:D34"/>
    <mergeCell ref="C35:D35"/>
    <mergeCell ref="C36:D36"/>
    <mergeCell ref="B37:J37"/>
    <mergeCell ref="B38:J38"/>
    <mergeCell ref="B39:J39"/>
    <mergeCell ref="B40:I40"/>
    <mergeCell ref="B41:J41"/>
    <mergeCell ref="B42:I42"/>
    <mergeCell ref="B43:J43"/>
    <mergeCell ref="B44:I44"/>
    <mergeCell ref="B45:J45"/>
    <mergeCell ref="B46:I46"/>
    <mergeCell ref="B47:J47"/>
    <mergeCell ref="B48:I48"/>
    <mergeCell ref="B49:J49"/>
    <mergeCell ref="B50:C50"/>
    <mergeCell ref="D50:J50"/>
    <mergeCell ref="B54:I54"/>
    <mergeCell ref="B55:J55"/>
    <mergeCell ref="B56:J56"/>
    <mergeCell ref="B51:C51"/>
    <mergeCell ref="D51:J51"/>
    <mergeCell ref="B52:C52"/>
    <mergeCell ref="D52:J52"/>
    <mergeCell ref="B53:J53"/>
  </mergeCells>
  <conditionalFormatting sqref="B5">
    <cfRule type="expression" dxfId="268" priority="2">
      <formula>$B$5="Contagem em Divergência"</formula>
    </cfRule>
    <cfRule type="expression" dxfId="267" priority="3">
      <formula>$B$5="Contagem Aprovada"</formula>
    </cfRule>
  </conditionalFormatting>
  <dataValidations count="1">
    <dataValidation type="list" allowBlank="1" showInputMessage="1" showErrorMessage="1" sqref="D12:J12" xr:uid="{00000000-0002-0000-0100-000000000000}">
      <formula1>"Contagem Estimada,Contagem Detalhada"</formula1>
      <formula2>0</formula2>
    </dataValidation>
  </dataValidations>
  <pageMargins left="0.51180555555555496" right="0.51180555555555496" top="1.0416666666666701" bottom="0.78749999999999998" header="0.51180555555555496" footer="0.51180555555555496"/>
  <pageSetup paperSize="9" scale="8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31"/>
  <sheetViews>
    <sheetView view="pageBreakPreview" zoomScale="120" zoomScaleNormal="100" zoomScalePageLayoutView="120" workbookViewId="0">
      <selection activeCell="A3" sqref="A3"/>
    </sheetView>
  </sheetViews>
  <sheetFormatPr defaultRowHeight="14.5" x14ac:dyDescent="0.35"/>
  <cols>
    <col min="1" max="1" width="16.81640625" style="37" customWidth="1"/>
    <col min="2" max="2" width="59" style="38" customWidth="1"/>
    <col min="3" max="3" width="5.26953125" style="39" customWidth="1"/>
    <col min="4" max="4" width="5.453125" style="40" customWidth="1"/>
    <col min="5" max="5" width="10.54296875" style="39" customWidth="1"/>
    <col min="6" max="6" width="9.81640625" style="41" customWidth="1"/>
    <col min="7" max="7" width="17.453125" style="41" customWidth="1"/>
    <col min="8" max="8" width="16.7265625" style="37" hidden="1" customWidth="1"/>
    <col min="9" max="9" width="10.08984375" style="42" customWidth="1"/>
    <col min="10" max="10" width="13.26953125" style="43" customWidth="1"/>
    <col min="11" max="11" width="135.54296875" style="44" customWidth="1"/>
    <col min="12" max="12" width="12.453125" style="44" customWidth="1"/>
    <col min="13" max="13" width="12.26953125" style="42" customWidth="1"/>
    <col min="14" max="14" width="9.08984375" style="42" customWidth="1"/>
    <col min="15" max="248" width="9.08984375" style="37" customWidth="1"/>
    <col min="249" max="250" width="7.7265625" style="37" customWidth="1"/>
    <col min="251" max="251" width="15.08984375" style="37" customWidth="1"/>
    <col min="252" max="1025" width="9.08984375" style="37" hidden="1" customWidth="1"/>
  </cols>
  <sheetData>
    <row r="1" spans="1:14" s="50" customFormat="1" ht="23.25" customHeight="1" x14ac:dyDescent="0.35">
      <c r="A1" s="175" t="s">
        <v>61</v>
      </c>
      <c r="B1" s="175"/>
      <c r="C1" s="175"/>
      <c r="D1" s="175"/>
      <c r="E1" s="175"/>
      <c r="F1" s="45"/>
      <c r="G1" s="45"/>
      <c r="H1" s="46"/>
      <c r="I1" s="47"/>
      <c r="J1" s="48"/>
      <c r="K1" s="49"/>
      <c r="L1" s="49"/>
      <c r="M1" s="47"/>
      <c r="N1" s="47"/>
    </row>
    <row r="2" spans="1:14" s="60" customFormat="1" ht="32.25" customHeight="1" x14ac:dyDescent="0.3">
      <c r="A2" s="51" t="s">
        <v>62</v>
      </c>
      <c r="B2" s="52" t="s">
        <v>6</v>
      </c>
      <c r="C2" s="53" t="s">
        <v>37</v>
      </c>
      <c r="D2" s="54" t="s">
        <v>63</v>
      </c>
      <c r="E2" s="53" t="s">
        <v>28</v>
      </c>
      <c r="F2" s="53" t="s">
        <v>64</v>
      </c>
      <c r="G2" s="53" t="s">
        <v>65</v>
      </c>
      <c r="H2" s="55"/>
      <c r="I2" s="56" t="s">
        <v>66</v>
      </c>
      <c r="J2" s="57"/>
      <c r="K2" s="58"/>
      <c r="L2" s="58"/>
      <c r="M2" s="59"/>
      <c r="N2" s="59"/>
    </row>
    <row r="3" spans="1:14" s="73" customFormat="1" ht="13" x14ac:dyDescent="0.3">
      <c r="A3" s="61"/>
      <c r="B3" s="62" t="str">
        <f>IF(A3="","",IF(Resumo!$D$7="CAST",VLOOKUP(A3,Lista!#REF!,2,0),VLOOKUP(A3,Lista!#REF!,2,0)))</f>
        <v/>
      </c>
      <c r="C3" s="63" t="str">
        <f>IF(A3="","",IF(Resumo!$D$7="CAST",VLOOKUP(A3,Lista!#REF!,3,0),VLOOKUP(A3,Lista!#REF!,3,0)))</f>
        <v/>
      </c>
      <c r="D3" s="64">
        <v>0</v>
      </c>
      <c r="E3" s="63" t="str">
        <f t="shared" ref="E3:E15" si="0">IF(C3="","",D3*C3)</f>
        <v/>
      </c>
      <c r="F3" s="65" t="str">
        <f>IF(OR(A3="",Resumo!$D$7="CTIS"),"",VLOOKUP(A3,Lista!#REF!,3,0))</f>
        <v/>
      </c>
      <c r="G3" s="66"/>
      <c r="H3" s="67"/>
      <c r="I3" s="68"/>
      <c r="J3" s="69"/>
      <c r="K3" s="70"/>
      <c r="L3" s="71"/>
      <c r="M3" s="72"/>
      <c r="N3" s="42"/>
    </row>
    <row r="4" spans="1:14" s="73" customFormat="1" ht="13" x14ac:dyDescent="0.3">
      <c r="A4" s="61"/>
      <c r="B4" s="62" t="str">
        <f>IF(A4="","",IF(Resumo!$D$7="CAST",VLOOKUP(A4,Lista!#REF!,2,0),VLOOKUP(A4,Lista!#REF!,2,0)))</f>
        <v/>
      </c>
      <c r="C4" s="63" t="str">
        <f>IF(A4="","",IF(Resumo!$D$7="CAST",VLOOKUP(A4,Lista!#REF!,3,0),VLOOKUP(A4,Lista!#REF!,3,0)))</f>
        <v/>
      </c>
      <c r="D4" s="64">
        <v>0</v>
      </c>
      <c r="E4" s="63" t="str">
        <f t="shared" si="0"/>
        <v/>
      </c>
      <c r="F4" s="65" t="str">
        <f>IF(OR(A4="",Resumo!$D$7="CTIS"),"",VLOOKUP(A4,Lista!#REF!,3,0))</f>
        <v/>
      </c>
      <c r="G4" s="66"/>
      <c r="H4" s="67"/>
      <c r="I4" s="68"/>
      <c r="J4" s="69"/>
      <c r="K4" s="74"/>
      <c r="L4" s="71"/>
      <c r="M4" s="72"/>
      <c r="N4" s="42"/>
    </row>
    <row r="5" spans="1:14" s="73" customFormat="1" ht="13" x14ac:dyDescent="0.3">
      <c r="A5" s="61"/>
      <c r="B5" s="62" t="str">
        <f>IF(A5="","",IF(Resumo!$D$7="CAST",VLOOKUP(A5,Lista!#REF!,2,0),VLOOKUP(A5,Lista!#REF!,2,0)))</f>
        <v/>
      </c>
      <c r="C5" s="63" t="str">
        <f>IF(A5="","",IF(Resumo!$D$7="CAST",VLOOKUP(A5,Lista!#REF!,3,0),VLOOKUP(A5,Lista!#REF!,3,0)))</f>
        <v/>
      </c>
      <c r="D5" s="64">
        <v>0</v>
      </c>
      <c r="E5" s="63" t="str">
        <f t="shared" si="0"/>
        <v/>
      </c>
      <c r="F5" s="65" t="str">
        <f>IF(OR(A5="",Resumo!$D$7="CTIS"),"",VLOOKUP(A5,Lista!#REF!,3,0))</f>
        <v/>
      </c>
      <c r="G5" s="66"/>
      <c r="H5" s="67"/>
      <c r="I5" s="68"/>
      <c r="J5" s="69"/>
      <c r="K5" s="70"/>
      <c r="L5" s="71"/>
      <c r="M5" s="72"/>
      <c r="N5" s="42"/>
    </row>
    <row r="6" spans="1:14" s="73" customFormat="1" ht="13" x14ac:dyDescent="0.3">
      <c r="A6" s="61"/>
      <c r="B6" s="62" t="str">
        <f>IF(A6="","",IF(Resumo!$D$7="CAST",VLOOKUP(A6,Lista!#REF!,2,0),VLOOKUP(A6,Lista!#REF!,2,0)))</f>
        <v/>
      </c>
      <c r="C6" s="63" t="str">
        <f>IF(A6="","",IF(Resumo!$D$7="CAST",VLOOKUP(A6,Lista!#REF!,3,0),VLOOKUP(A6,Lista!#REF!,3,0)))</f>
        <v/>
      </c>
      <c r="D6" s="64">
        <v>0</v>
      </c>
      <c r="E6" s="63" t="str">
        <f t="shared" si="0"/>
        <v/>
      </c>
      <c r="F6" s="65" t="str">
        <f>IF(OR(A6="",Resumo!$D$7="CTIS"),"",VLOOKUP(A6,Lista!#REF!,3,0))</f>
        <v/>
      </c>
      <c r="G6" s="66"/>
      <c r="H6" s="67"/>
      <c r="I6" s="68"/>
      <c r="J6" s="69"/>
      <c r="K6" s="70"/>
      <c r="L6" s="71"/>
      <c r="M6" s="72"/>
      <c r="N6" s="42"/>
    </row>
    <row r="7" spans="1:14" s="73" customFormat="1" ht="13" x14ac:dyDescent="0.3">
      <c r="A7" s="61"/>
      <c r="B7" s="62" t="str">
        <f>IF(A7="","",IF(Resumo!$D$7="CAST",VLOOKUP(A7,Lista!#REF!,2,0),VLOOKUP(A7,Lista!#REF!,2,0)))</f>
        <v/>
      </c>
      <c r="C7" s="63" t="str">
        <f>IF(A7="","",IF(Resumo!$D$7="CAST",VLOOKUP(A7,Lista!#REF!,3,0),VLOOKUP(A7,Lista!#REF!,3,0)))</f>
        <v/>
      </c>
      <c r="D7" s="64">
        <v>0</v>
      </c>
      <c r="E7" s="63" t="str">
        <f t="shared" si="0"/>
        <v/>
      </c>
      <c r="F7" s="65" t="str">
        <f>IF(OR(A7="",Resumo!$D$7="CTIS"),"",VLOOKUP(A7,Lista!#REF!,3,0))</f>
        <v/>
      </c>
      <c r="G7" s="66"/>
      <c r="H7" s="67"/>
      <c r="I7" s="68"/>
      <c r="J7" s="69"/>
      <c r="K7" s="75"/>
      <c r="L7" s="71"/>
      <c r="M7" s="42"/>
      <c r="N7" s="42"/>
    </row>
    <row r="8" spans="1:14" s="73" customFormat="1" ht="13" x14ac:dyDescent="0.3">
      <c r="A8" s="61"/>
      <c r="B8" s="62" t="str">
        <f>IF(A8="","",IF(Resumo!$D$7="CAST",VLOOKUP(A8,Lista!#REF!,2,0),VLOOKUP(A8,Lista!#REF!,2,0)))</f>
        <v/>
      </c>
      <c r="C8" s="63" t="str">
        <f>IF(A8="","",IF(Resumo!$D$7="CAST",VLOOKUP(A8,Lista!#REF!,3,0),VLOOKUP(A8,Lista!#REF!,3,0)))</f>
        <v/>
      </c>
      <c r="D8" s="64">
        <v>0</v>
      </c>
      <c r="E8" s="63" t="str">
        <f t="shared" si="0"/>
        <v/>
      </c>
      <c r="F8" s="65" t="str">
        <f>IF(OR(A8="",Resumo!$D$7="CTIS"),"",VLOOKUP(A8,Lista!#REF!,3,0))</f>
        <v/>
      </c>
      <c r="G8" s="66"/>
      <c r="H8" s="67"/>
      <c r="I8" s="68"/>
      <c r="J8" s="69"/>
      <c r="K8" s="75"/>
      <c r="L8" s="71"/>
      <c r="M8" s="42"/>
      <c r="N8" s="42"/>
    </row>
    <row r="9" spans="1:14" s="73" customFormat="1" ht="13" x14ac:dyDescent="0.3">
      <c r="A9" s="61"/>
      <c r="B9" s="62" t="str">
        <f>IF(A9="","",IF(Resumo!$D$7="CAST",VLOOKUP(A9,Lista!#REF!,2,0),VLOOKUP(A9,Lista!#REF!,2,0)))</f>
        <v/>
      </c>
      <c r="C9" s="63" t="str">
        <f>IF(A9="","",IF(Resumo!$D$7="CAST",VLOOKUP(A9,Lista!#REF!,3,0),VLOOKUP(A9,Lista!#REF!,3,0)))</f>
        <v/>
      </c>
      <c r="D9" s="64">
        <v>0</v>
      </c>
      <c r="E9" s="63" t="str">
        <f t="shared" si="0"/>
        <v/>
      </c>
      <c r="F9" s="65" t="str">
        <f>IF(OR(A9="",Resumo!$D$7="CTIS"),"",VLOOKUP(A9,Lista!#REF!,3,0))</f>
        <v/>
      </c>
      <c r="G9" s="66"/>
      <c r="H9" s="67"/>
      <c r="I9" s="68"/>
      <c r="J9" s="69"/>
      <c r="K9" s="70"/>
      <c r="L9" s="71"/>
      <c r="M9" s="42"/>
      <c r="N9" s="42"/>
    </row>
    <row r="10" spans="1:14" s="73" customFormat="1" ht="13" x14ac:dyDescent="0.3">
      <c r="A10" s="61"/>
      <c r="B10" s="62" t="str">
        <f>IF(A10="","",IF(Resumo!$D$7="CAST",VLOOKUP(A10,Lista!#REF!,2,0),VLOOKUP(A10,Lista!#REF!,2,0)))</f>
        <v/>
      </c>
      <c r="C10" s="63" t="str">
        <f>IF(A10="","",IF(Resumo!$D$7="CAST",VLOOKUP(A10,Lista!#REF!,3,0),VLOOKUP(A10,Lista!#REF!,3,0)))</f>
        <v/>
      </c>
      <c r="D10" s="64">
        <v>0</v>
      </c>
      <c r="E10" s="63" t="str">
        <f t="shared" si="0"/>
        <v/>
      </c>
      <c r="F10" s="65" t="str">
        <f>IF(OR(A10="",Resumo!$D$7="CTIS"),"",VLOOKUP(A10,Lista!#REF!,3,0))</f>
        <v/>
      </c>
      <c r="G10" s="66"/>
      <c r="H10" s="67"/>
      <c r="I10" s="68"/>
      <c r="J10" s="69"/>
      <c r="K10" s="70"/>
      <c r="L10" s="71"/>
      <c r="M10" s="72"/>
      <c r="N10" s="42"/>
    </row>
    <row r="11" spans="1:14" s="73" customFormat="1" ht="13" x14ac:dyDescent="0.3">
      <c r="A11" s="61"/>
      <c r="B11" s="62" t="str">
        <f>IF(A11="","",IF(Resumo!$D$7="CAST",VLOOKUP(A11,Lista!#REF!,2,0),VLOOKUP(A11,Lista!#REF!,2,0)))</f>
        <v/>
      </c>
      <c r="C11" s="63" t="str">
        <f>IF(A11="","",IF(Resumo!$D$7="CAST",VLOOKUP(A11,Lista!#REF!,3,0),VLOOKUP(A11,Lista!#REF!,3,0)))</f>
        <v/>
      </c>
      <c r="D11" s="64">
        <v>0</v>
      </c>
      <c r="E11" s="63" t="str">
        <f t="shared" si="0"/>
        <v/>
      </c>
      <c r="F11" s="65" t="str">
        <f>IF(OR(A11="",Resumo!$D$7="CTIS"),"",VLOOKUP(A11,Lista!#REF!,3,0))</f>
        <v/>
      </c>
      <c r="G11" s="66"/>
      <c r="H11" s="67"/>
      <c r="I11" s="68"/>
      <c r="J11" s="69"/>
      <c r="K11" s="70"/>
      <c r="L11" s="71"/>
      <c r="M11" s="72"/>
      <c r="N11" s="42"/>
    </row>
    <row r="12" spans="1:14" s="73" customFormat="1" ht="13" x14ac:dyDescent="0.3">
      <c r="A12" s="61"/>
      <c r="B12" s="62" t="str">
        <f>IF(A12="","",IF(Resumo!$D$7="CAST",VLOOKUP(A12,Lista!#REF!,2,0),VLOOKUP(A12,Lista!#REF!,2,0)))</f>
        <v/>
      </c>
      <c r="C12" s="63" t="str">
        <f>IF(A12="","",IF(Resumo!$D$7="CAST",VLOOKUP(A12,Lista!#REF!,3,0),VLOOKUP(A12,Lista!#REF!,3,0)))</f>
        <v/>
      </c>
      <c r="D12" s="64">
        <v>0</v>
      </c>
      <c r="E12" s="63" t="str">
        <f t="shared" si="0"/>
        <v/>
      </c>
      <c r="F12" s="65" t="str">
        <f>IF(OR(A12="",Resumo!$D$7="CTIS"),"",VLOOKUP(A12,Lista!#REF!,3,0))</f>
        <v/>
      </c>
      <c r="G12" s="66"/>
      <c r="H12" s="67"/>
      <c r="I12" s="68"/>
      <c r="J12" s="69"/>
      <c r="K12" s="75"/>
      <c r="L12" s="71"/>
      <c r="M12" s="42"/>
      <c r="N12" s="42"/>
    </row>
    <row r="13" spans="1:14" s="73" customFormat="1" ht="13" x14ac:dyDescent="0.3">
      <c r="A13" s="61"/>
      <c r="B13" s="62" t="str">
        <f>IF(A13="","",IF(Resumo!$D$7="CAST",VLOOKUP(A13,Lista!#REF!,2,0),VLOOKUP(A13,Lista!#REF!,2,0)))</f>
        <v/>
      </c>
      <c r="C13" s="63" t="str">
        <f>IF(A13="","",IF(Resumo!$D$7="CAST",VLOOKUP(A13,Lista!#REF!,3,0),VLOOKUP(A13,Lista!#REF!,3,0)))</f>
        <v/>
      </c>
      <c r="D13" s="64">
        <v>0</v>
      </c>
      <c r="E13" s="63" t="str">
        <f t="shared" si="0"/>
        <v/>
      </c>
      <c r="F13" s="65" t="str">
        <f>IF(OR(A13="",Resumo!$D$7="CTIS"),"",VLOOKUP(A13,Lista!#REF!,3,0))</f>
        <v/>
      </c>
      <c r="G13" s="66"/>
      <c r="H13" s="67"/>
      <c r="I13" s="68"/>
      <c r="J13" s="69"/>
      <c r="K13" s="75"/>
      <c r="L13" s="71"/>
      <c r="M13" s="42"/>
      <c r="N13" s="42"/>
    </row>
    <row r="14" spans="1:14" s="73" customFormat="1" ht="13" x14ac:dyDescent="0.3">
      <c r="A14" s="61"/>
      <c r="B14" s="62" t="str">
        <f>IF(A14="","",IF(Resumo!$D$7="CAST",VLOOKUP(A14,Lista!#REF!,2,0),VLOOKUP(A14,Lista!#REF!,2,0)))</f>
        <v/>
      </c>
      <c r="C14" s="63" t="str">
        <f>IF(A14="","",IF(Resumo!$D$7="CAST",VLOOKUP(A14,Lista!#REF!,3,0),VLOOKUP(A14,Lista!#REF!,3,0)))</f>
        <v/>
      </c>
      <c r="D14" s="64">
        <v>0</v>
      </c>
      <c r="E14" s="63" t="str">
        <f t="shared" si="0"/>
        <v/>
      </c>
      <c r="F14" s="65" t="str">
        <f>IF(OR(A14="",Resumo!$D$7="CTIS"),"",VLOOKUP(A14,Lista!#REF!,3,0))</f>
        <v/>
      </c>
      <c r="G14" s="66"/>
      <c r="H14" s="67"/>
      <c r="I14" s="68"/>
      <c r="J14" s="69"/>
      <c r="K14" s="70"/>
      <c r="L14" s="71"/>
      <c r="M14" s="42"/>
      <c r="N14" s="42"/>
    </row>
    <row r="15" spans="1:14" s="73" customFormat="1" ht="13" x14ac:dyDescent="0.3">
      <c r="A15" s="61"/>
      <c r="B15" s="62" t="str">
        <f>IF(A15="","",IF(Resumo!$D$7="CAST",VLOOKUP(A15,Lista!#REF!,2,0),VLOOKUP(A15,Lista!#REF!,2,0)))</f>
        <v/>
      </c>
      <c r="C15" s="63" t="str">
        <f>IF(A15="","",IF(Resumo!$D$7="CAST",VLOOKUP(A15,Lista!#REF!,3,0),VLOOKUP(A15,Lista!#REF!,3,0)))</f>
        <v/>
      </c>
      <c r="D15" s="64">
        <v>0</v>
      </c>
      <c r="E15" s="63" t="str">
        <f t="shared" si="0"/>
        <v/>
      </c>
      <c r="F15" s="65" t="str">
        <f>IF(OR(A15="",Resumo!$D$7="CTIS"),"",VLOOKUP(A15,Lista!#REF!,3,0))</f>
        <v/>
      </c>
      <c r="G15" s="66"/>
      <c r="H15" s="67"/>
      <c r="I15" s="68"/>
      <c r="J15" s="69"/>
      <c r="K15" s="76"/>
      <c r="L15" s="71"/>
      <c r="M15" s="42"/>
      <c r="N15" s="42"/>
    </row>
    <row r="16" spans="1:14" x14ac:dyDescent="0.35">
      <c r="D16" s="77" t="s">
        <v>67</v>
      </c>
      <c r="E16" s="78">
        <f>SUM(E3:E15)</f>
        <v>0</v>
      </c>
    </row>
    <row r="19" spans="2:2" x14ac:dyDescent="0.35">
      <c r="B19" s="79"/>
    </row>
    <row r="20" spans="2:2" x14ac:dyDescent="0.35">
      <c r="B20" s="80" t="str">
        <f>Resumo!D27</f>
        <v>Philipe Dias de Alencar</v>
      </c>
    </row>
    <row r="21" spans="2:2" x14ac:dyDescent="0.35">
      <c r="B21" s="81" t="s">
        <v>68</v>
      </c>
    </row>
    <row r="24" spans="2:2" x14ac:dyDescent="0.35">
      <c r="B24" s="79"/>
    </row>
    <row r="25" spans="2:2" x14ac:dyDescent="0.35">
      <c r="B25" s="80">
        <f>Resumo!D28</f>
        <v>0</v>
      </c>
    </row>
    <row r="26" spans="2:2" x14ac:dyDescent="0.35">
      <c r="B26" s="81" t="s">
        <v>32</v>
      </c>
    </row>
    <row r="29" spans="2:2" x14ac:dyDescent="0.35">
      <c r="B29" s="82"/>
    </row>
    <row r="30" spans="2:2" x14ac:dyDescent="0.35">
      <c r="B30" s="83" t="s">
        <v>69</v>
      </c>
    </row>
    <row r="31" spans="2:2" x14ac:dyDescent="0.35">
      <c r="B31" s="81" t="s">
        <v>70</v>
      </c>
    </row>
  </sheetData>
  <mergeCells count="1">
    <mergeCell ref="A1:E1"/>
  </mergeCells>
  <dataValidations count="2">
    <dataValidation type="list" allowBlank="1" showInputMessage="1" showErrorMessage="1" sqref="I3:I15" xr:uid="{00000000-0002-0000-0200-000000000000}">
      <formula1>"OK,NOK"</formula1>
      <formula2>0</formula2>
    </dataValidation>
    <dataValidation type="list" allowBlank="1" showInputMessage="1" showErrorMessage="1" sqref="A3:A15" xr:uid="{00000000-0002-0000-0200-000001000000}">
      <formula1>ListaCTIS</formula1>
      <formula2>0</formula2>
    </dataValidation>
  </dataValidations>
  <pageMargins left="0.51180555555555496" right="0.51180555555555496" top="0.92013888888888895" bottom="0.78749999999999998" header="0.51180555555555496" footer="0.51180555555555496"/>
  <pageSetup paperSize="9" firstPageNumber="0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03"/>
  <sheetViews>
    <sheetView showGridLines="0" view="pageBreakPreview" zoomScale="120" zoomScaleNormal="85" zoomScalePageLayoutView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4.5" x14ac:dyDescent="0.35"/>
  <cols>
    <col min="1" max="1" width="9.08984375" customWidth="1"/>
    <col min="2" max="2" width="30.7265625" style="84" customWidth="1"/>
    <col min="3" max="3" width="5.7265625" style="84" customWidth="1"/>
    <col min="4" max="4" width="8.7265625" style="84" customWidth="1"/>
    <col min="5" max="5" width="5.7265625" style="84" customWidth="1"/>
    <col min="6" max="6" width="12.7265625" style="84" customWidth="1"/>
    <col min="7" max="7" width="5.7265625" style="84" customWidth="1"/>
    <col min="8" max="8" width="12.26953125" style="84" customWidth="1"/>
    <col min="9" max="9" width="5.7265625" style="84" customWidth="1"/>
    <col min="10" max="10" width="8" style="85" hidden="1" customWidth="1"/>
    <col min="11" max="11" width="10.08984375" style="85" hidden="1" customWidth="1"/>
    <col min="12" max="12" width="7.26953125" style="85" hidden="1" customWidth="1"/>
    <col min="13" max="13" width="10.54296875" style="85" hidden="1" customWidth="1"/>
    <col min="14" max="14" width="9.7265625" style="85" hidden="1" customWidth="1"/>
    <col min="15" max="17" width="5.7265625" style="86" customWidth="1"/>
    <col min="18" max="18" width="30.7265625" style="87" customWidth="1"/>
    <col min="19" max="19" width="1.453125" style="88" customWidth="1"/>
    <col min="20" max="20" width="9" style="89" customWidth="1"/>
    <col min="21" max="21" width="5.7265625" style="84" customWidth="1"/>
    <col min="22" max="22" width="8.7265625" style="84" customWidth="1"/>
    <col min="23" max="24" width="4.26953125" style="84" customWidth="1"/>
    <col min="25" max="25" width="4.81640625" style="84" customWidth="1"/>
    <col min="26" max="26" width="8.26953125" style="85" hidden="1" customWidth="1"/>
    <col min="27" max="27" width="9.7265625" style="85" hidden="1" customWidth="1"/>
    <col min="28" max="28" width="4" style="85" hidden="1" customWidth="1"/>
    <col min="29" max="29" width="5.26953125" style="85" hidden="1" customWidth="1"/>
    <col min="30" max="30" width="4.453125" style="85" hidden="1" customWidth="1"/>
    <col min="31" max="33" width="5.7265625" style="90" customWidth="1"/>
    <col min="34" max="34" width="34" style="91" customWidth="1"/>
    <col min="35" max="35" width="1.453125" style="88" customWidth="1"/>
    <col min="36" max="37" width="34" style="91" customWidth="1"/>
    <col min="38" max="1025" width="9.08984375" customWidth="1"/>
  </cols>
  <sheetData>
    <row r="1" spans="1:37" ht="31.5" customHeight="1" x14ac:dyDescent="0.35">
      <c r="B1" s="176" t="s">
        <v>71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92"/>
      <c r="T1" s="177" t="s">
        <v>72</v>
      </c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92"/>
      <c r="AJ1" s="93" t="s">
        <v>73</v>
      </c>
      <c r="AK1" s="93" t="s">
        <v>74</v>
      </c>
    </row>
    <row r="2" spans="1:37" s="97" customFormat="1" ht="23" x14ac:dyDescent="0.35">
      <c r="A2" s="94" t="s">
        <v>75</v>
      </c>
      <c r="B2" s="94" t="s">
        <v>76</v>
      </c>
      <c r="C2" s="95" t="s">
        <v>77</v>
      </c>
      <c r="D2" s="94" t="s">
        <v>78</v>
      </c>
      <c r="E2" s="95" t="s">
        <v>79</v>
      </c>
      <c r="F2" s="95" t="s">
        <v>80</v>
      </c>
      <c r="G2" s="95" t="s">
        <v>81</v>
      </c>
      <c r="H2" s="95" t="s">
        <v>82</v>
      </c>
      <c r="I2" s="95" t="s">
        <v>83</v>
      </c>
      <c r="J2" s="95" t="s">
        <v>84</v>
      </c>
      <c r="K2" s="95" t="s">
        <v>85</v>
      </c>
      <c r="L2" s="95" t="s">
        <v>86</v>
      </c>
      <c r="M2" s="95" t="s">
        <v>87</v>
      </c>
      <c r="N2" s="95" t="s">
        <v>88</v>
      </c>
      <c r="O2" s="95" t="s">
        <v>89</v>
      </c>
      <c r="P2" s="95" t="s">
        <v>90</v>
      </c>
      <c r="Q2" s="95" t="s">
        <v>91</v>
      </c>
      <c r="R2" s="94" t="s">
        <v>92</v>
      </c>
      <c r="S2" s="96"/>
      <c r="T2" s="95" t="s">
        <v>66</v>
      </c>
      <c r="U2" s="95" t="s">
        <v>77</v>
      </c>
      <c r="V2" s="94" t="s">
        <v>78</v>
      </c>
      <c r="W2" s="95" t="s">
        <v>79</v>
      </c>
      <c r="X2" s="95" t="s">
        <v>81</v>
      </c>
      <c r="Y2" s="95" t="s">
        <v>83</v>
      </c>
      <c r="Z2" s="95" t="s">
        <v>84</v>
      </c>
      <c r="AA2" s="95" t="s">
        <v>85</v>
      </c>
      <c r="AB2" s="95" t="s">
        <v>86</v>
      </c>
      <c r="AC2" s="95" t="s">
        <v>87</v>
      </c>
      <c r="AD2" s="95" t="s">
        <v>88</v>
      </c>
      <c r="AE2" s="95" t="s">
        <v>89</v>
      </c>
      <c r="AF2" s="95" t="s">
        <v>90</v>
      </c>
      <c r="AG2" s="95" t="s">
        <v>91</v>
      </c>
      <c r="AH2" s="95" t="s">
        <v>93</v>
      </c>
      <c r="AI2" s="96"/>
      <c r="AJ2" s="94"/>
      <c r="AK2" s="94"/>
    </row>
    <row r="3" spans="1:37" ht="15" customHeight="1" x14ac:dyDescent="0.35">
      <c r="A3" s="98"/>
      <c r="B3" s="99"/>
      <c r="C3" s="98"/>
      <c r="D3" s="98"/>
      <c r="E3" s="98"/>
      <c r="F3" s="100"/>
      <c r="G3" s="98"/>
      <c r="H3" s="99"/>
      <c r="I3" s="98"/>
      <c r="J3" s="101" t="str">
        <f t="shared" ref="J3:J34" si="0">CONCATENATE(C3,L3)</f>
        <v/>
      </c>
      <c r="K3" s="101" t="str">
        <f t="shared" ref="K3:K34" si="1">CONCATENATE(C3,D3,L3,Q3)</f>
        <v>0</v>
      </c>
      <c r="L3" s="101" t="str">
        <f t="shared" ref="L3:L34" si="2">IF(OR(ISBLANK(E3),ISBLANK(G3)),IF(OR(C3="ALI",C3="AIE"),"L",IF(ISBLANK(C3),"","A")),IF(C3="EE",IF(G3&gt;=3,IF(E3&gt;=5,"H","A"),IF(G3&gt;=2,IF(E3&gt;=16,"H",IF(E3&lt;=4,"L","A")),IF(E3&lt;=15,"L","A"))),IF(OR(C3="SE",C3="CE"),IF(G3&gt;=4,IF(E3&gt;=6,"H","A"),IF(G3&gt;=2,IF(E3&gt;=20,"H",IF(E3&lt;=5,"L","A")),IF(E3&lt;=19,"L","A"))),IF(OR(C3="ALI",C3="AIE"),IF(G3&gt;=6,IF(E3&gt;=20,"H","A"),IF(G3&gt;=2,IF(E3&gt;=51,"H",IF(E3&lt;=19,"L","A")),IF(E3&lt;=50,"L","A")))))))</f>
        <v/>
      </c>
      <c r="M3" s="101">
        <f>IFERROR(VLOOKUP(D3,Lista!A$3:D$33,3,0),1)</f>
        <v>1</v>
      </c>
      <c r="N3" s="101">
        <f>IFERROR(VLOOKUP(D3,Lista!A$3:E$33,5,0),1)</f>
        <v>1</v>
      </c>
      <c r="O3" s="102" t="str">
        <f t="shared" ref="O3:O34" si="3">IF(C3="INM","",IF(L3="L","Baixa",IF(L3="A","Média",IF(L3="","","Alta"))))</f>
        <v/>
      </c>
      <c r="P3" s="102">
        <f t="shared" ref="P3:P34" si="4">IF(C3="INM",M3*I3,IF(C3="ALI",IF(L3="L",7,IF(L3="A",10,15)),IF(C3="AIE",IF(L3="L",5,IF(L3="A",7,10)),IF(C3="SE",IF(L3="L",4,IF(L3="A",5,7)),IF(OR(C3="EE",C3="CE"),IF(L3="L",3,IF(L3="A",4,6)),0)))))</f>
        <v>0</v>
      </c>
      <c r="Q3" s="102">
        <f t="shared" ref="Q3:Q34" si="5">IF(C3="INM",P3,P3*M3)</f>
        <v>0</v>
      </c>
      <c r="R3" s="103"/>
      <c r="S3" s="104" t="s">
        <v>94</v>
      </c>
      <c r="T3" s="105"/>
      <c r="U3" s="106"/>
      <c r="V3" s="106"/>
      <c r="W3" s="98"/>
      <c r="X3" s="98"/>
      <c r="Y3" s="98"/>
      <c r="Z3" s="101" t="str">
        <f t="shared" ref="Z3:Z34" si="6">CONCATENATE(U3,AB3)</f>
        <v/>
      </c>
      <c r="AA3" s="101" t="str">
        <f t="shared" ref="AA3:AA34" si="7">CONCATENATE(U3,V3,AB3,AG3)</f>
        <v>0</v>
      </c>
      <c r="AB3" s="101" t="str">
        <f t="shared" ref="AB3:AB34" si="8">IF(OR(ISBLANK(W3),ISBLANK(X3)),IF(OR(U3="ALI",U3="AIE"),"L",IF(ISBLANK(U3),"","A")),IF(U3="EE",IF(X3&gt;=3,IF(W3&gt;=5,"H","A"),IF(X3&gt;=2,IF(W3&gt;=16,"H",IF(W3&lt;=4,"L","A")),IF(W3&lt;=15,"L","A"))),IF(OR(U3="SE",U3="CE"),IF(X3&gt;=4,IF(W3&gt;=6,"H","A"),IF(X3&gt;=2,IF(W3&gt;=20,"H",IF(W3&lt;=5,"L","A")),IF(W3&lt;=19,"L","A"))),IF(OR(U3="ALI",U3="AIE"),IF(X3&gt;=6,IF(W3&gt;=20,"H","A"),IF(X3&gt;=2,IF(W3&gt;=51,"H",IF(W3&lt;=19,"L","A")),IF(W3&lt;=50,"L","A")))))))</f>
        <v/>
      </c>
      <c r="AC3" s="101">
        <f>IFERROR(VLOOKUP(V3,Lista!A$3:D$33,3,0),1)</f>
        <v>1</v>
      </c>
      <c r="AD3" s="101">
        <f>IFERROR(VLOOKUP(V3,Lista!A$3:E$33,5,0),1)</f>
        <v>1</v>
      </c>
      <c r="AE3" s="107" t="str">
        <f t="shared" ref="AE3:AE34" si="9">IF(U3="INM","",IF(AB3="L","Baixa",IF(AB3="A","Média",IF(AB3="","","Alta"))))</f>
        <v/>
      </c>
      <c r="AF3" s="107">
        <f t="shared" ref="AF3:AF34" si="10">IF(OR(ISBLANK(T3),T3="NOK"),0,IF(U3="INM",AC3*Y3,IF(U3="ALI",IF(AB3="L",7,IF(AB3="A",10,15)),IF(U3="AIE",IF(AB3="L",5,IF(AB3="A",7,10)),IF(U3="SE",IF(AB3="L",4,IF(AB3="A",5,7)),IF(OR(U3="EE",U3="CE"),IF(AB3="L",3,IF(AB3="A",4,6))))))))</f>
        <v>0</v>
      </c>
      <c r="AG3" s="107">
        <f t="shared" ref="AG3:AG34" si="11">IF(T3="NOK",0,IF(U3="INM",(1*AC3)*Y3,AF3*AC3))</f>
        <v>0</v>
      </c>
      <c r="AH3" s="108"/>
      <c r="AI3" s="104" t="s">
        <v>94</v>
      </c>
      <c r="AJ3" s="109"/>
      <c r="AK3" s="109"/>
    </row>
    <row r="4" spans="1:37" ht="15" customHeight="1" x14ac:dyDescent="0.35">
      <c r="A4" s="98"/>
      <c r="B4" s="99"/>
      <c r="C4" s="98"/>
      <c r="D4" s="98"/>
      <c r="E4" s="98"/>
      <c r="F4" s="110"/>
      <c r="G4" s="98"/>
      <c r="H4" s="111"/>
      <c r="I4" s="98"/>
      <c r="J4" s="101" t="str">
        <f t="shared" si="0"/>
        <v/>
      </c>
      <c r="K4" s="101" t="str">
        <f t="shared" si="1"/>
        <v>0</v>
      </c>
      <c r="L4" s="101" t="str">
        <f t="shared" si="2"/>
        <v/>
      </c>
      <c r="M4" s="101">
        <f>IFERROR(VLOOKUP(D4,Lista!A$3:D$33,3,0),1)</f>
        <v>1</v>
      </c>
      <c r="N4" s="101">
        <f>IFERROR(VLOOKUP(D4,Lista!A$3:E$33,5,0),1)</f>
        <v>1</v>
      </c>
      <c r="O4" s="102" t="str">
        <f t="shared" si="3"/>
        <v/>
      </c>
      <c r="P4" s="102">
        <f t="shared" si="4"/>
        <v>0</v>
      </c>
      <c r="Q4" s="102">
        <f t="shared" si="5"/>
        <v>0</v>
      </c>
      <c r="R4" s="103"/>
      <c r="S4" s="104" t="s">
        <v>94</v>
      </c>
      <c r="T4" s="105"/>
      <c r="U4" s="106"/>
      <c r="V4" s="106"/>
      <c r="W4" s="98"/>
      <c r="X4" s="98"/>
      <c r="Y4" s="98"/>
      <c r="Z4" s="101" t="str">
        <f t="shared" si="6"/>
        <v/>
      </c>
      <c r="AA4" s="101" t="str">
        <f t="shared" si="7"/>
        <v>0</v>
      </c>
      <c r="AB4" s="101" t="str">
        <f t="shared" si="8"/>
        <v/>
      </c>
      <c r="AC4" s="101">
        <f>IFERROR(VLOOKUP(V4,Lista!A$3:D$33,3,0),1)</f>
        <v>1</v>
      </c>
      <c r="AD4" s="101">
        <f>IFERROR(VLOOKUP(V4,Lista!A$3:E$33,5,0),1)</f>
        <v>1</v>
      </c>
      <c r="AE4" s="107" t="str">
        <f t="shared" si="9"/>
        <v/>
      </c>
      <c r="AF4" s="107">
        <f t="shared" si="10"/>
        <v>0</v>
      </c>
      <c r="AG4" s="107">
        <f t="shared" si="11"/>
        <v>0</v>
      </c>
      <c r="AH4" s="108"/>
      <c r="AI4" s="104" t="s">
        <v>94</v>
      </c>
      <c r="AJ4" s="109"/>
      <c r="AK4" s="109"/>
    </row>
    <row r="5" spans="1:37" ht="15" customHeight="1" x14ac:dyDescent="0.35">
      <c r="A5" s="98"/>
      <c r="B5" s="99"/>
      <c r="C5" s="98"/>
      <c r="D5" s="98"/>
      <c r="E5" s="98"/>
      <c r="F5" s="111"/>
      <c r="G5" s="98"/>
      <c r="H5" s="111"/>
      <c r="I5" s="98"/>
      <c r="J5" s="101" t="str">
        <f t="shared" si="0"/>
        <v/>
      </c>
      <c r="K5" s="101" t="str">
        <f t="shared" si="1"/>
        <v>0</v>
      </c>
      <c r="L5" s="101" t="str">
        <f t="shared" si="2"/>
        <v/>
      </c>
      <c r="M5" s="101">
        <f>IFERROR(VLOOKUP(D5,Lista!A$3:D$33,3,0),1)</f>
        <v>1</v>
      </c>
      <c r="N5" s="101">
        <f>IFERROR(VLOOKUP(D5,Lista!A$3:E$33,5,0),1)</f>
        <v>1</v>
      </c>
      <c r="O5" s="102" t="str">
        <f t="shared" si="3"/>
        <v/>
      </c>
      <c r="P5" s="102">
        <f t="shared" si="4"/>
        <v>0</v>
      </c>
      <c r="Q5" s="102">
        <f t="shared" si="5"/>
        <v>0</v>
      </c>
      <c r="R5" s="103"/>
      <c r="S5" s="104" t="s">
        <v>94</v>
      </c>
      <c r="T5" s="105"/>
      <c r="U5" s="106"/>
      <c r="V5" s="106"/>
      <c r="W5" s="98"/>
      <c r="X5" s="98"/>
      <c r="Y5" s="98"/>
      <c r="Z5" s="101" t="str">
        <f t="shared" si="6"/>
        <v/>
      </c>
      <c r="AA5" s="101" t="str">
        <f t="shared" si="7"/>
        <v>0</v>
      </c>
      <c r="AB5" s="101" t="str">
        <f t="shared" si="8"/>
        <v/>
      </c>
      <c r="AC5" s="101">
        <f>IFERROR(VLOOKUP(V5,Lista!A$3:D$33,3,0),1)</f>
        <v>1</v>
      </c>
      <c r="AD5" s="101">
        <f>IFERROR(VLOOKUP(V5,Lista!A$3:E$33,5,0),1)</f>
        <v>1</v>
      </c>
      <c r="AE5" s="107" t="str">
        <f t="shared" si="9"/>
        <v/>
      </c>
      <c r="AF5" s="107">
        <f t="shared" si="10"/>
        <v>0</v>
      </c>
      <c r="AG5" s="107">
        <f t="shared" si="11"/>
        <v>0</v>
      </c>
      <c r="AH5" s="108"/>
      <c r="AI5" s="104" t="s">
        <v>94</v>
      </c>
      <c r="AJ5" s="109"/>
      <c r="AK5" s="109"/>
    </row>
    <row r="6" spans="1:37" ht="15" customHeight="1" x14ac:dyDescent="0.35">
      <c r="A6" s="98"/>
      <c r="B6" s="99"/>
      <c r="C6" s="98"/>
      <c r="D6" s="98"/>
      <c r="E6" s="98"/>
      <c r="F6" s="110"/>
      <c r="G6" s="98"/>
      <c r="H6" s="111"/>
      <c r="I6" s="98"/>
      <c r="J6" s="101" t="str">
        <f t="shared" si="0"/>
        <v/>
      </c>
      <c r="K6" s="101" t="str">
        <f t="shared" si="1"/>
        <v>0</v>
      </c>
      <c r="L6" s="101" t="str">
        <f t="shared" si="2"/>
        <v/>
      </c>
      <c r="M6" s="101">
        <f>IFERROR(VLOOKUP(D6,Lista!A$3:D$33,3,0),1)</f>
        <v>1</v>
      </c>
      <c r="N6" s="101">
        <f>IFERROR(VLOOKUP(D6,Lista!A$3:E$33,5,0),1)</f>
        <v>1</v>
      </c>
      <c r="O6" s="102" t="str">
        <f t="shared" si="3"/>
        <v/>
      </c>
      <c r="P6" s="102">
        <f t="shared" si="4"/>
        <v>0</v>
      </c>
      <c r="Q6" s="102">
        <f t="shared" si="5"/>
        <v>0</v>
      </c>
      <c r="R6" s="103"/>
      <c r="S6" s="104" t="s">
        <v>94</v>
      </c>
      <c r="T6" s="105"/>
      <c r="U6" s="106"/>
      <c r="V6" s="106"/>
      <c r="W6" s="98"/>
      <c r="X6" s="98"/>
      <c r="Y6" s="98"/>
      <c r="Z6" s="101" t="str">
        <f t="shared" si="6"/>
        <v/>
      </c>
      <c r="AA6" s="101" t="str">
        <f t="shared" si="7"/>
        <v>0</v>
      </c>
      <c r="AB6" s="101" t="str">
        <f t="shared" si="8"/>
        <v/>
      </c>
      <c r="AC6" s="101">
        <f>IFERROR(VLOOKUP(V6,Lista!A$3:D$33,3,0),1)</f>
        <v>1</v>
      </c>
      <c r="AD6" s="101">
        <f>IFERROR(VLOOKUP(V6,Lista!A$3:E$33,5,0),1)</f>
        <v>1</v>
      </c>
      <c r="AE6" s="107" t="str">
        <f t="shared" si="9"/>
        <v/>
      </c>
      <c r="AF6" s="107">
        <f t="shared" si="10"/>
        <v>0</v>
      </c>
      <c r="AG6" s="107">
        <f t="shared" si="11"/>
        <v>0</v>
      </c>
      <c r="AH6" s="108"/>
      <c r="AI6" s="104" t="s">
        <v>94</v>
      </c>
      <c r="AJ6" s="109"/>
      <c r="AK6" s="108"/>
    </row>
    <row r="7" spans="1:37" ht="15" customHeight="1" x14ac:dyDescent="0.35">
      <c r="A7" s="98"/>
      <c r="B7" s="99"/>
      <c r="C7" s="98"/>
      <c r="D7" s="98"/>
      <c r="E7" s="98"/>
      <c r="F7" s="111"/>
      <c r="G7" s="98"/>
      <c r="H7" s="111"/>
      <c r="I7" s="98"/>
      <c r="J7" s="101" t="str">
        <f t="shared" si="0"/>
        <v/>
      </c>
      <c r="K7" s="101" t="str">
        <f t="shared" si="1"/>
        <v>0</v>
      </c>
      <c r="L7" s="101" t="str">
        <f t="shared" si="2"/>
        <v/>
      </c>
      <c r="M7" s="101">
        <f>IFERROR(VLOOKUP(D7,Lista!A$3:D$33,3,0),1)</f>
        <v>1</v>
      </c>
      <c r="N7" s="101">
        <f>IFERROR(VLOOKUP(D7,Lista!A$3:E$33,5,0),1)</f>
        <v>1</v>
      </c>
      <c r="O7" s="102" t="str">
        <f t="shared" si="3"/>
        <v/>
      </c>
      <c r="P7" s="102">
        <f t="shared" si="4"/>
        <v>0</v>
      </c>
      <c r="Q7" s="102">
        <f t="shared" si="5"/>
        <v>0</v>
      </c>
      <c r="R7" s="103"/>
      <c r="S7" s="104" t="s">
        <v>94</v>
      </c>
      <c r="T7" s="105"/>
      <c r="U7" s="98"/>
      <c r="V7" s="98"/>
      <c r="W7" s="98"/>
      <c r="X7" s="98"/>
      <c r="Y7" s="98"/>
      <c r="Z7" s="101" t="str">
        <f t="shared" si="6"/>
        <v/>
      </c>
      <c r="AA7" s="101" t="str">
        <f t="shared" si="7"/>
        <v>0</v>
      </c>
      <c r="AB7" s="101" t="str">
        <f t="shared" si="8"/>
        <v/>
      </c>
      <c r="AC7" s="101">
        <f>IFERROR(VLOOKUP(V7,Lista!A$3:D$33,3,0),1)</f>
        <v>1</v>
      </c>
      <c r="AD7" s="101">
        <f>IFERROR(VLOOKUP(V7,Lista!A$3:E$33,5,0),1)</f>
        <v>1</v>
      </c>
      <c r="AE7" s="107" t="str">
        <f t="shared" si="9"/>
        <v/>
      </c>
      <c r="AF7" s="107">
        <f t="shared" si="10"/>
        <v>0</v>
      </c>
      <c r="AG7" s="107">
        <f t="shared" si="11"/>
        <v>0</v>
      </c>
      <c r="AH7" s="108"/>
      <c r="AI7" s="104" t="s">
        <v>94</v>
      </c>
      <c r="AJ7" s="109"/>
      <c r="AK7" s="109"/>
    </row>
    <row r="8" spans="1:37" ht="15" customHeight="1" x14ac:dyDescent="0.35">
      <c r="A8" s="98"/>
      <c r="B8" s="99"/>
      <c r="C8" s="98"/>
      <c r="D8" s="98"/>
      <c r="E8" s="98"/>
      <c r="F8" s="111"/>
      <c r="G8" s="98"/>
      <c r="H8" s="111"/>
      <c r="I8" s="98"/>
      <c r="J8" s="101" t="str">
        <f t="shared" si="0"/>
        <v/>
      </c>
      <c r="K8" s="101" t="str">
        <f t="shared" si="1"/>
        <v>0</v>
      </c>
      <c r="L8" s="101" t="str">
        <f t="shared" si="2"/>
        <v/>
      </c>
      <c r="M8" s="101">
        <f>IFERROR(VLOOKUP(D8,Lista!A$3:D$33,3,0),1)</f>
        <v>1</v>
      </c>
      <c r="N8" s="101">
        <f>IFERROR(VLOOKUP(D8,Lista!A$3:E$33,5,0),1)</f>
        <v>1</v>
      </c>
      <c r="O8" s="102" t="str">
        <f t="shared" si="3"/>
        <v/>
      </c>
      <c r="P8" s="102">
        <f t="shared" si="4"/>
        <v>0</v>
      </c>
      <c r="Q8" s="102">
        <f t="shared" si="5"/>
        <v>0</v>
      </c>
      <c r="R8" s="103"/>
      <c r="S8" s="104" t="s">
        <v>94</v>
      </c>
      <c r="T8" s="105"/>
      <c r="U8" s="98"/>
      <c r="V8" s="98"/>
      <c r="W8" s="98"/>
      <c r="X8" s="98"/>
      <c r="Y8" s="98"/>
      <c r="Z8" s="101" t="str">
        <f t="shared" si="6"/>
        <v/>
      </c>
      <c r="AA8" s="101" t="str">
        <f t="shared" si="7"/>
        <v>0</v>
      </c>
      <c r="AB8" s="101" t="str">
        <f t="shared" si="8"/>
        <v/>
      </c>
      <c r="AC8" s="101">
        <f>IFERROR(VLOOKUP(V8,Lista!A$3:D$33,3,0),1)</f>
        <v>1</v>
      </c>
      <c r="AD8" s="101">
        <f>IFERROR(VLOOKUP(V8,Lista!A$3:E$33,5,0),1)</f>
        <v>1</v>
      </c>
      <c r="AE8" s="107" t="str">
        <f t="shared" si="9"/>
        <v/>
      </c>
      <c r="AF8" s="107">
        <f t="shared" si="10"/>
        <v>0</v>
      </c>
      <c r="AG8" s="107">
        <f t="shared" si="11"/>
        <v>0</v>
      </c>
      <c r="AH8" s="108"/>
      <c r="AI8" s="104" t="s">
        <v>94</v>
      </c>
      <c r="AJ8" s="108"/>
      <c r="AK8" s="109"/>
    </row>
    <row r="9" spans="1:37" ht="15" customHeight="1" x14ac:dyDescent="0.35">
      <c r="A9" s="98"/>
      <c r="B9" s="99"/>
      <c r="C9" s="98"/>
      <c r="D9" s="98"/>
      <c r="E9" s="98"/>
      <c r="F9" s="111"/>
      <c r="G9" s="98"/>
      <c r="H9" s="111"/>
      <c r="I9" s="98"/>
      <c r="J9" s="101" t="str">
        <f t="shared" si="0"/>
        <v/>
      </c>
      <c r="K9" s="101" t="str">
        <f t="shared" si="1"/>
        <v>0</v>
      </c>
      <c r="L9" s="101" t="str">
        <f t="shared" si="2"/>
        <v/>
      </c>
      <c r="M9" s="101">
        <f>IFERROR(VLOOKUP(D9,Lista!A$3:D$33,3,0),1)</f>
        <v>1</v>
      </c>
      <c r="N9" s="101">
        <f>IFERROR(VLOOKUP(D9,Lista!A$3:E$33,5,0),1)</f>
        <v>1</v>
      </c>
      <c r="O9" s="102" t="str">
        <f t="shared" si="3"/>
        <v/>
      </c>
      <c r="P9" s="102">
        <f t="shared" si="4"/>
        <v>0</v>
      </c>
      <c r="Q9" s="102">
        <f t="shared" si="5"/>
        <v>0</v>
      </c>
      <c r="R9" s="103"/>
      <c r="S9" s="104" t="s">
        <v>94</v>
      </c>
      <c r="T9" s="105"/>
      <c r="U9" s="106"/>
      <c r="V9" s="106"/>
      <c r="W9" s="98"/>
      <c r="X9" s="98"/>
      <c r="Y9" s="98"/>
      <c r="Z9" s="101" t="str">
        <f t="shared" si="6"/>
        <v/>
      </c>
      <c r="AA9" s="101" t="str">
        <f t="shared" si="7"/>
        <v>0</v>
      </c>
      <c r="AB9" s="101" t="str">
        <f t="shared" si="8"/>
        <v/>
      </c>
      <c r="AC9" s="101">
        <f>IFERROR(VLOOKUP(V9,Lista!A$3:D$33,3,0),1)</f>
        <v>1</v>
      </c>
      <c r="AD9" s="101">
        <f>IFERROR(VLOOKUP(V9,Lista!A$3:E$33,5,0),1)</f>
        <v>1</v>
      </c>
      <c r="AE9" s="107" t="str">
        <f t="shared" si="9"/>
        <v/>
      </c>
      <c r="AF9" s="107">
        <f t="shared" si="10"/>
        <v>0</v>
      </c>
      <c r="AG9" s="107">
        <f t="shared" si="11"/>
        <v>0</v>
      </c>
      <c r="AH9" s="108"/>
      <c r="AI9" s="104" t="s">
        <v>94</v>
      </c>
      <c r="AJ9" s="109"/>
      <c r="AK9" s="109"/>
    </row>
    <row r="10" spans="1:37" ht="15" customHeight="1" x14ac:dyDescent="0.35">
      <c r="A10" s="112"/>
      <c r="B10" s="99"/>
      <c r="C10" s="98"/>
      <c r="D10" s="98"/>
      <c r="E10" s="98"/>
      <c r="F10" s="111"/>
      <c r="G10" s="98"/>
      <c r="H10" s="111"/>
      <c r="I10" s="98"/>
      <c r="J10" s="101" t="str">
        <f t="shared" si="0"/>
        <v/>
      </c>
      <c r="K10" s="101" t="str">
        <f t="shared" si="1"/>
        <v>0</v>
      </c>
      <c r="L10" s="101" t="str">
        <f t="shared" si="2"/>
        <v/>
      </c>
      <c r="M10" s="101">
        <f>IFERROR(VLOOKUP(D10,Lista!A$3:D$33,3,0),1)</f>
        <v>1</v>
      </c>
      <c r="N10" s="101">
        <f>IFERROR(VLOOKUP(D10,Lista!A$3:E$33,5,0),1)</f>
        <v>1</v>
      </c>
      <c r="O10" s="102" t="str">
        <f t="shared" si="3"/>
        <v/>
      </c>
      <c r="P10" s="102">
        <f t="shared" si="4"/>
        <v>0</v>
      </c>
      <c r="Q10" s="102">
        <f t="shared" si="5"/>
        <v>0</v>
      </c>
      <c r="R10" s="103"/>
      <c r="S10" s="104" t="s">
        <v>94</v>
      </c>
      <c r="T10" s="105"/>
      <c r="U10" s="106"/>
      <c r="V10" s="106"/>
      <c r="W10" s="98"/>
      <c r="X10" s="98"/>
      <c r="Y10" s="98"/>
      <c r="Z10" s="101" t="str">
        <f t="shared" si="6"/>
        <v/>
      </c>
      <c r="AA10" s="101" t="str">
        <f t="shared" si="7"/>
        <v>0</v>
      </c>
      <c r="AB10" s="101" t="str">
        <f t="shared" si="8"/>
        <v/>
      </c>
      <c r="AC10" s="101">
        <f>IFERROR(VLOOKUP(V10,Lista!A$3:D$33,3,0),1)</f>
        <v>1</v>
      </c>
      <c r="AD10" s="101">
        <f>IFERROR(VLOOKUP(V10,Lista!A$3:E$33,5,0),1)</f>
        <v>1</v>
      </c>
      <c r="AE10" s="107" t="str">
        <f t="shared" si="9"/>
        <v/>
      </c>
      <c r="AF10" s="107">
        <f t="shared" si="10"/>
        <v>0</v>
      </c>
      <c r="AG10" s="107">
        <f t="shared" si="11"/>
        <v>0</v>
      </c>
      <c r="AH10" s="108"/>
      <c r="AI10" s="104" t="s">
        <v>94</v>
      </c>
      <c r="AJ10" s="109"/>
      <c r="AK10" s="109"/>
    </row>
    <row r="11" spans="1:37" ht="15" customHeight="1" x14ac:dyDescent="0.35">
      <c r="A11" s="112"/>
      <c r="B11" s="99"/>
      <c r="C11" s="98"/>
      <c r="D11" s="98"/>
      <c r="E11" s="98"/>
      <c r="F11" s="111"/>
      <c r="G11" s="98"/>
      <c r="H11" s="111"/>
      <c r="I11" s="98"/>
      <c r="J11" s="101" t="str">
        <f t="shared" si="0"/>
        <v/>
      </c>
      <c r="K11" s="101" t="str">
        <f t="shared" si="1"/>
        <v>0</v>
      </c>
      <c r="L11" s="101" t="str">
        <f t="shared" si="2"/>
        <v/>
      </c>
      <c r="M11" s="101">
        <f>IFERROR(VLOOKUP(D11,Lista!A$3:D$33,3,0),1)</f>
        <v>1</v>
      </c>
      <c r="N11" s="101">
        <f>IFERROR(VLOOKUP(D11,Lista!A$3:E$33,5,0),1)</f>
        <v>1</v>
      </c>
      <c r="O11" s="102" t="str">
        <f t="shared" si="3"/>
        <v/>
      </c>
      <c r="P11" s="102">
        <f t="shared" si="4"/>
        <v>0</v>
      </c>
      <c r="Q11" s="102">
        <f t="shared" si="5"/>
        <v>0</v>
      </c>
      <c r="R11" s="103"/>
      <c r="S11" s="104" t="s">
        <v>94</v>
      </c>
      <c r="T11" s="113"/>
      <c r="U11" s="98"/>
      <c r="V11" s="106"/>
      <c r="W11" s="98"/>
      <c r="X11" s="98"/>
      <c r="Y11" s="98"/>
      <c r="Z11" s="101" t="str">
        <f t="shared" si="6"/>
        <v/>
      </c>
      <c r="AA11" s="101" t="str">
        <f t="shared" si="7"/>
        <v>0</v>
      </c>
      <c r="AB11" s="101" t="str">
        <f t="shared" si="8"/>
        <v/>
      </c>
      <c r="AC11" s="101">
        <f>IFERROR(VLOOKUP(V11,Lista!A$3:D$33,3,0),1)</f>
        <v>1</v>
      </c>
      <c r="AD11" s="101">
        <f>IFERROR(VLOOKUP(V11,Lista!A$3:E$33,5,0),1)</f>
        <v>1</v>
      </c>
      <c r="AE11" s="107" t="str">
        <f t="shared" si="9"/>
        <v/>
      </c>
      <c r="AF11" s="107">
        <f t="shared" si="10"/>
        <v>0</v>
      </c>
      <c r="AG11" s="107">
        <f t="shared" si="11"/>
        <v>0</v>
      </c>
      <c r="AH11" s="108"/>
      <c r="AI11" s="104" t="s">
        <v>94</v>
      </c>
      <c r="AJ11" s="109"/>
      <c r="AK11" s="109"/>
    </row>
    <row r="12" spans="1:37" ht="15" customHeight="1" x14ac:dyDescent="0.35">
      <c r="A12" s="112"/>
      <c r="B12" s="99"/>
      <c r="C12" s="98"/>
      <c r="D12" s="98"/>
      <c r="E12" s="98"/>
      <c r="F12" s="111"/>
      <c r="G12" s="98"/>
      <c r="H12" s="111"/>
      <c r="I12" s="98"/>
      <c r="J12" s="101" t="str">
        <f t="shared" si="0"/>
        <v/>
      </c>
      <c r="K12" s="101" t="str">
        <f t="shared" si="1"/>
        <v>0</v>
      </c>
      <c r="L12" s="101" t="str">
        <f t="shared" si="2"/>
        <v/>
      </c>
      <c r="M12" s="101">
        <f>IFERROR(VLOOKUP(D12,Lista!A$3:D$33,3,0),1)</f>
        <v>1</v>
      </c>
      <c r="N12" s="101">
        <f>IFERROR(VLOOKUP(D12,Lista!A$3:E$33,5,0),1)</f>
        <v>1</v>
      </c>
      <c r="O12" s="102" t="str">
        <f t="shared" si="3"/>
        <v/>
      </c>
      <c r="P12" s="102">
        <f t="shared" si="4"/>
        <v>0</v>
      </c>
      <c r="Q12" s="102">
        <f t="shared" si="5"/>
        <v>0</v>
      </c>
      <c r="R12" s="103"/>
      <c r="S12" s="104" t="s">
        <v>94</v>
      </c>
      <c r="T12" s="105"/>
      <c r="U12" s="106"/>
      <c r="V12" s="106"/>
      <c r="W12" s="98"/>
      <c r="X12" s="98"/>
      <c r="Y12" s="98"/>
      <c r="Z12" s="101" t="str">
        <f t="shared" si="6"/>
        <v/>
      </c>
      <c r="AA12" s="101" t="str">
        <f t="shared" si="7"/>
        <v>0</v>
      </c>
      <c r="AB12" s="101" t="str">
        <f t="shared" si="8"/>
        <v/>
      </c>
      <c r="AC12" s="101">
        <f>IFERROR(VLOOKUP(V12,Lista!A$3:D$33,3,0),1)</f>
        <v>1</v>
      </c>
      <c r="AD12" s="101">
        <f>IFERROR(VLOOKUP(V12,Lista!A$3:E$33,5,0),1)</f>
        <v>1</v>
      </c>
      <c r="AE12" s="107" t="str">
        <f t="shared" si="9"/>
        <v/>
      </c>
      <c r="AF12" s="107">
        <f t="shared" si="10"/>
        <v>0</v>
      </c>
      <c r="AG12" s="107">
        <f t="shared" si="11"/>
        <v>0</v>
      </c>
      <c r="AH12" s="108"/>
      <c r="AI12" s="104" t="s">
        <v>94</v>
      </c>
      <c r="AJ12" s="109"/>
      <c r="AK12" s="109"/>
    </row>
    <row r="13" spans="1:37" ht="15" customHeight="1" x14ac:dyDescent="0.35">
      <c r="A13" s="112"/>
      <c r="B13" s="99"/>
      <c r="C13" s="98"/>
      <c r="D13" s="98"/>
      <c r="E13" s="98"/>
      <c r="F13" s="110"/>
      <c r="G13" s="98"/>
      <c r="H13" s="111"/>
      <c r="I13" s="98"/>
      <c r="J13" s="101" t="str">
        <f t="shared" si="0"/>
        <v/>
      </c>
      <c r="K13" s="101" t="str">
        <f t="shared" si="1"/>
        <v>0</v>
      </c>
      <c r="L13" s="101" t="str">
        <f t="shared" si="2"/>
        <v/>
      </c>
      <c r="M13" s="101">
        <f>IFERROR(VLOOKUP(D13,Lista!A$3:D$33,3,0),1)</f>
        <v>1</v>
      </c>
      <c r="N13" s="101">
        <f>IFERROR(VLOOKUP(D13,Lista!A$3:E$33,5,0),1)</f>
        <v>1</v>
      </c>
      <c r="O13" s="102" t="str">
        <f t="shared" si="3"/>
        <v/>
      </c>
      <c r="P13" s="102">
        <f t="shared" si="4"/>
        <v>0</v>
      </c>
      <c r="Q13" s="102">
        <f t="shared" si="5"/>
        <v>0</v>
      </c>
      <c r="R13" s="103"/>
      <c r="S13" s="104" t="s">
        <v>94</v>
      </c>
      <c r="T13" s="105"/>
      <c r="U13" s="106"/>
      <c r="V13" s="106"/>
      <c r="W13" s="98"/>
      <c r="X13" s="98"/>
      <c r="Y13" s="98"/>
      <c r="Z13" s="101" t="str">
        <f t="shared" si="6"/>
        <v/>
      </c>
      <c r="AA13" s="101" t="str">
        <f t="shared" si="7"/>
        <v>0</v>
      </c>
      <c r="AB13" s="101" t="str">
        <f t="shared" si="8"/>
        <v/>
      </c>
      <c r="AC13" s="101">
        <f>IFERROR(VLOOKUP(V13,Lista!A$3:D$33,3,0),1)</f>
        <v>1</v>
      </c>
      <c r="AD13" s="101">
        <f>IFERROR(VLOOKUP(V13,Lista!A$3:E$33,5,0),1)</f>
        <v>1</v>
      </c>
      <c r="AE13" s="107" t="str">
        <f t="shared" si="9"/>
        <v/>
      </c>
      <c r="AF13" s="107">
        <f t="shared" si="10"/>
        <v>0</v>
      </c>
      <c r="AG13" s="107">
        <f t="shared" si="11"/>
        <v>0</v>
      </c>
      <c r="AH13" s="108"/>
      <c r="AI13" s="104" t="s">
        <v>94</v>
      </c>
      <c r="AJ13" s="109"/>
      <c r="AK13" s="109"/>
    </row>
    <row r="14" spans="1:37" ht="15" customHeight="1" x14ac:dyDescent="0.35">
      <c r="A14" s="112"/>
      <c r="B14" s="99"/>
      <c r="C14" s="98"/>
      <c r="D14" s="98"/>
      <c r="E14" s="98"/>
      <c r="F14" s="111"/>
      <c r="G14" s="98"/>
      <c r="H14" s="111"/>
      <c r="I14" s="98"/>
      <c r="J14" s="101" t="str">
        <f t="shared" si="0"/>
        <v/>
      </c>
      <c r="K14" s="101" t="str">
        <f t="shared" si="1"/>
        <v>0</v>
      </c>
      <c r="L14" s="101" t="str">
        <f t="shared" si="2"/>
        <v/>
      </c>
      <c r="M14" s="101">
        <f>IFERROR(VLOOKUP(D14,Lista!A$3:D$33,3,0),1)</f>
        <v>1</v>
      </c>
      <c r="N14" s="101">
        <f>IFERROR(VLOOKUP(D14,Lista!A$3:E$33,5,0),1)</f>
        <v>1</v>
      </c>
      <c r="O14" s="102" t="str">
        <f t="shared" si="3"/>
        <v/>
      </c>
      <c r="P14" s="102">
        <f t="shared" si="4"/>
        <v>0</v>
      </c>
      <c r="Q14" s="102">
        <f t="shared" si="5"/>
        <v>0</v>
      </c>
      <c r="R14" s="103"/>
      <c r="S14" s="104" t="s">
        <v>94</v>
      </c>
      <c r="T14" s="105"/>
      <c r="U14" s="106"/>
      <c r="V14" s="106"/>
      <c r="W14" s="98"/>
      <c r="X14" s="98"/>
      <c r="Y14" s="98"/>
      <c r="Z14" s="101" t="str">
        <f t="shared" si="6"/>
        <v/>
      </c>
      <c r="AA14" s="101" t="str">
        <f t="shared" si="7"/>
        <v>0</v>
      </c>
      <c r="AB14" s="101" t="str">
        <f t="shared" si="8"/>
        <v/>
      </c>
      <c r="AC14" s="101">
        <f>IFERROR(VLOOKUP(V14,Lista!A$3:D$33,3,0),1)</f>
        <v>1</v>
      </c>
      <c r="AD14" s="101">
        <f>IFERROR(VLOOKUP(V14,Lista!A$3:E$33,5,0),1)</f>
        <v>1</v>
      </c>
      <c r="AE14" s="107" t="str">
        <f t="shared" si="9"/>
        <v/>
      </c>
      <c r="AF14" s="107">
        <f t="shared" si="10"/>
        <v>0</v>
      </c>
      <c r="AG14" s="107">
        <f t="shared" si="11"/>
        <v>0</v>
      </c>
      <c r="AH14" s="108"/>
      <c r="AI14" s="104" t="s">
        <v>94</v>
      </c>
      <c r="AJ14" s="109"/>
      <c r="AK14" s="109"/>
    </row>
    <row r="15" spans="1:37" ht="15" customHeight="1" x14ac:dyDescent="0.35">
      <c r="A15" s="112"/>
      <c r="B15" s="99"/>
      <c r="C15" s="98"/>
      <c r="D15" s="98"/>
      <c r="E15" s="98"/>
      <c r="F15" s="111"/>
      <c r="G15" s="98"/>
      <c r="H15" s="111"/>
      <c r="I15" s="98"/>
      <c r="J15" s="101" t="str">
        <f t="shared" si="0"/>
        <v/>
      </c>
      <c r="K15" s="101" t="str">
        <f t="shared" si="1"/>
        <v>0</v>
      </c>
      <c r="L15" s="101" t="str">
        <f t="shared" si="2"/>
        <v/>
      </c>
      <c r="M15" s="101">
        <f>IFERROR(VLOOKUP(D15,Lista!A$3:D$33,3,0),1)</f>
        <v>1</v>
      </c>
      <c r="N15" s="101">
        <f>IFERROR(VLOOKUP(D15,Lista!A$3:E$33,5,0),1)</f>
        <v>1</v>
      </c>
      <c r="O15" s="102" t="str">
        <f t="shared" si="3"/>
        <v/>
      </c>
      <c r="P15" s="102">
        <f t="shared" si="4"/>
        <v>0</v>
      </c>
      <c r="Q15" s="102">
        <f t="shared" si="5"/>
        <v>0</v>
      </c>
      <c r="R15" s="103"/>
      <c r="S15" s="104" t="s">
        <v>94</v>
      </c>
      <c r="T15" s="105"/>
      <c r="U15" s="106"/>
      <c r="V15" s="106"/>
      <c r="W15" s="98"/>
      <c r="X15" s="98"/>
      <c r="Y15" s="98"/>
      <c r="Z15" s="101" t="str">
        <f t="shared" si="6"/>
        <v/>
      </c>
      <c r="AA15" s="101" t="str">
        <f t="shared" si="7"/>
        <v>0</v>
      </c>
      <c r="AB15" s="101" t="str">
        <f t="shared" si="8"/>
        <v/>
      </c>
      <c r="AC15" s="101">
        <f>IFERROR(VLOOKUP(V15,Lista!A$3:D$33,3,0),1)</f>
        <v>1</v>
      </c>
      <c r="AD15" s="101">
        <f>IFERROR(VLOOKUP(V15,Lista!A$3:E$33,5,0),1)</f>
        <v>1</v>
      </c>
      <c r="AE15" s="107" t="str">
        <f t="shared" si="9"/>
        <v/>
      </c>
      <c r="AF15" s="107">
        <f t="shared" si="10"/>
        <v>0</v>
      </c>
      <c r="AG15" s="107">
        <f t="shared" si="11"/>
        <v>0</v>
      </c>
      <c r="AH15" s="108"/>
      <c r="AI15" s="104" t="s">
        <v>94</v>
      </c>
      <c r="AJ15" s="109"/>
      <c r="AK15" s="109"/>
    </row>
    <row r="16" spans="1:37" ht="15" customHeight="1" x14ac:dyDescent="0.35">
      <c r="A16" s="112"/>
      <c r="B16" s="99"/>
      <c r="C16" s="98"/>
      <c r="D16" s="98"/>
      <c r="E16" s="98"/>
      <c r="F16" s="111"/>
      <c r="G16" s="98"/>
      <c r="H16" s="111"/>
      <c r="I16" s="98"/>
      <c r="J16" s="101" t="str">
        <f t="shared" si="0"/>
        <v/>
      </c>
      <c r="K16" s="101" t="str">
        <f t="shared" si="1"/>
        <v>0</v>
      </c>
      <c r="L16" s="101" t="str">
        <f t="shared" si="2"/>
        <v/>
      </c>
      <c r="M16" s="101">
        <f>IFERROR(VLOOKUP(D16,Lista!A$3:D$33,3,0),1)</f>
        <v>1</v>
      </c>
      <c r="N16" s="101">
        <f>IFERROR(VLOOKUP(D16,Lista!A$3:E$33,5,0),1)</f>
        <v>1</v>
      </c>
      <c r="O16" s="102" t="str">
        <f t="shared" si="3"/>
        <v/>
      </c>
      <c r="P16" s="102">
        <f t="shared" si="4"/>
        <v>0</v>
      </c>
      <c r="Q16" s="102">
        <f t="shared" si="5"/>
        <v>0</v>
      </c>
      <c r="R16" s="103"/>
      <c r="S16" s="104" t="s">
        <v>94</v>
      </c>
      <c r="T16" s="105"/>
      <c r="U16" s="106"/>
      <c r="V16" s="106"/>
      <c r="W16" s="98"/>
      <c r="X16" s="98"/>
      <c r="Y16" s="98"/>
      <c r="Z16" s="101" t="str">
        <f t="shared" si="6"/>
        <v/>
      </c>
      <c r="AA16" s="101" t="str">
        <f t="shared" si="7"/>
        <v>0</v>
      </c>
      <c r="AB16" s="101" t="str">
        <f t="shared" si="8"/>
        <v/>
      </c>
      <c r="AC16" s="101">
        <f>IFERROR(VLOOKUP(V16,Lista!A$3:D$33,3,0),1)</f>
        <v>1</v>
      </c>
      <c r="AD16" s="101">
        <f>IFERROR(VLOOKUP(V16,Lista!A$3:E$33,5,0),1)</f>
        <v>1</v>
      </c>
      <c r="AE16" s="107" t="str">
        <f t="shared" si="9"/>
        <v/>
      </c>
      <c r="AF16" s="107">
        <f t="shared" si="10"/>
        <v>0</v>
      </c>
      <c r="AG16" s="107">
        <f t="shared" si="11"/>
        <v>0</v>
      </c>
      <c r="AH16" s="108"/>
      <c r="AI16" s="104" t="s">
        <v>94</v>
      </c>
      <c r="AJ16" s="109"/>
      <c r="AK16" s="109"/>
    </row>
    <row r="17" spans="1:37" ht="15" customHeight="1" x14ac:dyDescent="0.35">
      <c r="A17" s="112"/>
      <c r="B17" s="99"/>
      <c r="C17" s="98"/>
      <c r="D17" s="98"/>
      <c r="E17" s="98"/>
      <c r="F17" s="111"/>
      <c r="G17" s="98"/>
      <c r="H17" s="111"/>
      <c r="I17" s="98"/>
      <c r="J17" s="101" t="str">
        <f t="shared" si="0"/>
        <v/>
      </c>
      <c r="K17" s="101" t="str">
        <f t="shared" si="1"/>
        <v>0</v>
      </c>
      <c r="L17" s="101" t="str">
        <f t="shared" si="2"/>
        <v/>
      </c>
      <c r="M17" s="101">
        <f>IFERROR(VLOOKUP(D17,Lista!A$3:D$33,3,0),1)</f>
        <v>1</v>
      </c>
      <c r="N17" s="101">
        <f>IFERROR(VLOOKUP(D17,Lista!A$3:E$33,5,0),1)</f>
        <v>1</v>
      </c>
      <c r="O17" s="102" t="str">
        <f t="shared" si="3"/>
        <v/>
      </c>
      <c r="P17" s="102">
        <f t="shared" si="4"/>
        <v>0</v>
      </c>
      <c r="Q17" s="102">
        <f t="shared" si="5"/>
        <v>0</v>
      </c>
      <c r="R17" s="103"/>
      <c r="S17" s="104" t="s">
        <v>94</v>
      </c>
      <c r="T17" s="105"/>
      <c r="U17" s="98"/>
      <c r="V17" s="98"/>
      <c r="W17" s="98"/>
      <c r="X17" s="98"/>
      <c r="Y17" s="98"/>
      <c r="Z17" s="101" t="str">
        <f t="shared" si="6"/>
        <v/>
      </c>
      <c r="AA17" s="101" t="str">
        <f t="shared" si="7"/>
        <v>0</v>
      </c>
      <c r="AB17" s="101" t="str">
        <f t="shared" si="8"/>
        <v/>
      </c>
      <c r="AC17" s="101">
        <f>IFERROR(VLOOKUP(V17,Lista!A$3:D$33,3,0),1)</f>
        <v>1</v>
      </c>
      <c r="AD17" s="101">
        <f>IFERROR(VLOOKUP(V17,Lista!A$3:E$33,5,0),1)</f>
        <v>1</v>
      </c>
      <c r="AE17" s="107" t="str">
        <f t="shared" si="9"/>
        <v/>
      </c>
      <c r="AF17" s="107">
        <f t="shared" si="10"/>
        <v>0</v>
      </c>
      <c r="AG17" s="107">
        <f t="shared" si="11"/>
        <v>0</v>
      </c>
      <c r="AH17" s="108"/>
      <c r="AI17" s="104" t="s">
        <v>94</v>
      </c>
      <c r="AJ17" s="109"/>
      <c r="AK17" s="109"/>
    </row>
    <row r="18" spans="1:37" ht="15" customHeight="1" x14ac:dyDescent="0.35">
      <c r="A18" s="112"/>
      <c r="B18" s="99"/>
      <c r="C18" s="98"/>
      <c r="D18" s="98"/>
      <c r="E18" s="98"/>
      <c r="F18" s="111"/>
      <c r="G18" s="98"/>
      <c r="H18" s="111"/>
      <c r="I18" s="98"/>
      <c r="J18" s="101" t="str">
        <f t="shared" si="0"/>
        <v/>
      </c>
      <c r="K18" s="101" t="str">
        <f t="shared" si="1"/>
        <v>0</v>
      </c>
      <c r="L18" s="101" t="str">
        <f t="shared" si="2"/>
        <v/>
      </c>
      <c r="M18" s="101">
        <f>IFERROR(VLOOKUP(D18,Lista!A$3:D$33,3,0),1)</f>
        <v>1</v>
      </c>
      <c r="N18" s="101">
        <f>IFERROR(VLOOKUP(D18,Lista!A$3:E$33,5,0),1)</f>
        <v>1</v>
      </c>
      <c r="O18" s="102" t="str">
        <f t="shared" si="3"/>
        <v/>
      </c>
      <c r="P18" s="102">
        <f t="shared" si="4"/>
        <v>0</v>
      </c>
      <c r="Q18" s="102">
        <f t="shared" si="5"/>
        <v>0</v>
      </c>
      <c r="R18" s="103"/>
      <c r="S18" s="104" t="s">
        <v>94</v>
      </c>
      <c r="T18" s="105"/>
      <c r="U18" s="106"/>
      <c r="V18" s="98"/>
      <c r="W18" s="98"/>
      <c r="X18" s="98"/>
      <c r="Y18" s="98"/>
      <c r="Z18" s="101" t="str">
        <f t="shared" si="6"/>
        <v/>
      </c>
      <c r="AA18" s="101" t="str">
        <f t="shared" si="7"/>
        <v>0</v>
      </c>
      <c r="AB18" s="101" t="str">
        <f t="shared" si="8"/>
        <v/>
      </c>
      <c r="AC18" s="101">
        <f>IFERROR(VLOOKUP(V18,Lista!A$3:D$33,3,0),1)</f>
        <v>1</v>
      </c>
      <c r="AD18" s="101">
        <f>IFERROR(VLOOKUP(V18,Lista!A$3:E$33,5,0),1)</f>
        <v>1</v>
      </c>
      <c r="AE18" s="107" t="str">
        <f t="shared" si="9"/>
        <v/>
      </c>
      <c r="AF18" s="107">
        <f t="shared" si="10"/>
        <v>0</v>
      </c>
      <c r="AG18" s="107">
        <f t="shared" si="11"/>
        <v>0</v>
      </c>
      <c r="AH18" s="108"/>
      <c r="AI18" s="104" t="s">
        <v>94</v>
      </c>
      <c r="AJ18" s="109"/>
      <c r="AK18" s="109"/>
    </row>
    <row r="19" spans="1:37" ht="15" customHeight="1" x14ac:dyDescent="0.35">
      <c r="A19" s="112"/>
      <c r="B19" s="99"/>
      <c r="C19" s="98"/>
      <c r="D19" s="98"/>
      <c r="E19" s="98"/>
      <c r="F19" s="111"/>
      <c r="G19" s="98"/>
      <c r="H19" s="111"/>
      <c r="I19" s="98"/>
      <c r="J19" s="101" t="str">
        <f t="shared" si="0"/>
        <v/>
      </c>
      <c r="K19" s="101" t="str">
        <f t="shared" si="1"/>
        <v>0</v>
      </c>
      <c r="L19" s="101" t="str">
        <f t="shared" si="2"/>
        <v/>
      </c>
      <c r="M19" s="101">
        <f>IFERROR(VLOOKUP(D19,Lista!A$3:D$33,3,0),1)</f>
        <v>1</v>
      </c>
      <c r="N19" s="101">
        <f>IFERROR(VLOOKUP(D19,Lista!A$3:E$33,5,0),1)</f>
        <v>1</v>
      </c>
      <c r="O19" s="102" t="str">
        <f t="shared" si="3"/>
        <v/>
      </c>
      <c r="P19" s="102">
        <f t="shared" si="4"/>
        <v>0</v>
      </c>
      <c r="Q19" s="102">
        <f t="shared" si="5"/>
        <v>0</v>
      </c>
      <c r="R19" s="103"/>
      <c r="S19" s="104" t="s">
        <v>94</v>
      </c>
      <c r="T19" s="105"/>
      <c r="U19" s="106"/>
      <c r="V19" s="98"/>
      <c r="W19" s="98"/>
      <c r="X19" s="98"/>
      <c r="Y19" s="98"/>
      <c r="Z19" s="101" t="str">
        <f t="shared" si="6"/>
        <v/>
      </c>
      <c r="AA19" s="101" t="str">
        <f t="shared" si="7"/>
        <v>0</v>
      </c>
      <c r="AB19" s="101" t="str">
        <f t="shared" si="8"/>
        <v/>
      </c>
      <c r="AC19" s="101">
        <f>IFERROR(VLOOKUP(V19,Lista!A$3:D$33,3,0),1)</f>
        <v>1</v>
      </c>
      <c r="AD19" s="101">
        <f>IFERROR(VLOOKUP(V19,Lista!A$3:E$33,5,0),1)</f>
        <v>1</v>
      </c>
      <c r="AE19" s="107" t="str">
        <f t="shared" si="9"/>
        <v/>
      </c>
      <c r="AF19" s="107">
        <f t="shared" si="10"/>
        <v>0</v>
      </c>
      <c r="AG19" s="107">
        <f t="shared" si="11"/>
        <v>0</v>
      </c>
      <c r="AH19" s="108"/>
      <c r="AI19" s="104" t="s">
        <v>94</v>
      </c>
      <c r="AJ19" s="109"/>
      <c r="AK19" s="109"/>
    </row>
    <row r="20" spans="1:37" ht="15" customHeight="1" x14ac:dyDescent="0.35">
      <c r="A20" s="112"/>
      <c r="B20" s="99"/>
      <c r="C20" s="98"/>
      <c r="D20" s="98"/>
      <c r="E20" s="98"/>
      <c r="F20" s="111"/>
      <c r="G20" s="98"/>
      <c r="H20" s="111"/>
      <c r="I20" s="98"/>
      <c r="J20" s="101" t="str">
        <f t="shared" si="0"/>
        <v/>
      </c>
      <c r="K20" s="101" t="str">
        <f t="shared" si="1"/>
        <v>0</v>
      </c>
      <c r="L20" s="101" t="str">
        <f t="shared" si="2"/>
        <v/>
      </c>
      <c r="M20" s="101">
        <f>IFERROR(VLOOKUP(D20,Lista!A$3:D$33,3,0),1)</f>
        <v>1</v>
      </c>
      <c r="N20" s="101">
        <f>IFERROR(VLOOKUP(D20,Lista!A$3:E$33,5,0),1)</f>
        <v>1</v>
      </c>
      <c r="O20" s="102" t="str">
        <f t="shared" si="3"/>
        <v/>
      </c>
      <c r="P20" s="102">
        <f t="shared" si="4"/>
        <v>0</v>
      </c>
      <c r="Q20" s="102">
        <f t="shared" si="5"/>
        <v>0</v>
      </c>
      <c r="R20" s="103"/>
      <c r="S20" s="104" t="s">
        <v>94</v>
      </c>
      <c r="T20" s="105"/>
      <c r="U20" s="98"/>
      <c r="V20" s="106"/>
      <c r="W20" s="98"/>
      <c r="X20" s="98"/>
      <c r="Y20" s="98"/>
      <c r="Z20" s="101" t="str">
        <f t="shared" si="6"/>
        <v/>
      </c>
      <c r="AA20" s="101" t="str">
        <f t="shared" si="7"/>
        <v>0</v>
      </c>
      <c r="AB20" s="101" t="str">
        <f t="shared" si="8"/>
        <v/>
      </c>
      <c r="AC20" s="101">
        <f>IFERROR(VLOOKUP(V20,Lista!A$3:D$33,3,0),1)</f>
        <v>1</v>
      </c>
      <c r="AD20" s="101">
        <f>IFERROR(VLOOKUP(V20,Lista!A$3:E$33,5,0),1)</f>
        <v>1</v>
      </c>
      <c r="AE20" s="107" t="str">
        <f t="shared" si="9"/>
        <v/>
      </c>
      <c r="AF20" s="107">
        <f t="shared" si="10"/>
        <v>0</v>
      </c>
      <c r="AG20" s="107">
        <f t="shared" si="11"/>
        <v>0</v>
      </c>
      <c r="AH20" s="108"/>
      <c r="AI20" s="104" t="s">
        <v>94</v>
      </c>
      <c r="AJ20" s="109"/>
      <c r="AK20" s="109"/>
    </row>
    <row r="21" spans="1:37" ht="15" customHeight="1" x14ac:dyDescent="0.35">
      <c r="A21" s="112"/>
      <c r="B21" s="99"/>
      <c r="C21" s="98"/>
      <c r="D21" s="98"/>
      <c r="E21" s="98"/>
      <c r="F21" s="111"/>
      <c r="G21" s="98"/>
      <c r="H21" s="111"/>
      <c r="I21" s="98"/>
      <c r="J21" s="101" t="str">
        <f t="shared" si="0"/>
        <v/>
      </c>
      <c r="K21" s="101" t="str">
        <f t="shared" si="1"/>
        <v>0</v>
      </c>
      <c r="L21" s="101" t="str">
        <f t="shared" si="2"/>
        <v/>
      </c>
      <c r="M21" s="101">
        <f>IFERROR(VLOOKUP(D21,Lista!A$3:D$33,3,0),1)</f>
        <v>1</v>
      </c>
      <c r="N21" s="101">
        <f>IFERROR(VLOOKUP(D21,Lista!A$3:E$33,5,0),1)</f>
        <v>1</v>
      </c>
      <c r="O21" s="102" t="str">
        <f t="shared" si="3"/>
        <v/>
      </c>
      <c r="P21" s="102">
        <f t="shared" si="4"/>
        <v>0</v>
      </c>
      <c r="Q21" s="102">
        <f t="shared" si="5"/>
        <v>0</v>
      </c>
      <c r="R21" s="103"/>
      <c r="S21" s="104" t="s">
        <v>94</v>
      </c>
      <c r="T21" s="105"/>
      <c r="U21" s="98"/>
      <c r="V21" s="98"/>
      <c r="W21" s="98"/>
      <c r="X21" s="98"/>
      <c r="Y21" s="98"/>
      <c r="Z21" s="101" t="str">
        <f t="shared" si="6"/>
        <v/>
      </c>
      <c r="AA21" s="101" t="str">
        <f t="shared" si="7"/>
        <v>0</v>
      </c>
      <c r="AB21" s="101" t="str">
        <f t="shared" si="8"/>
        <v/>
      </c>
      <c r="AC21" s="101">
        <f>IFERROR(VLOOKUP(V21,Lista!A$3:D$33,3,0),1)</f>
        <v>1</v>
      </c>
      <c r="AD21" s="101">
        <f>IFERROR(VLOOKUP(V21,Lista!A$3:E$33,5,0),1)</f>
        <v>1</v>
      </c>
      <c r="AE21" s="107" t="str">
        <f t="shared" si="9"/>
        <v/>
      </c>
      <c r="AF21" s="107">
        <f t="shared" si="10"/>
        <v>0</v>
      </c>
      <c r="AG21" s="107">
        <f t="shared" si="11"/>
        <v>0</v>
      </c>
      <c r="AH21" s="108"/>
      <c r="AI21" s="104" t="s">
        <v>94</v>
      </c>
      <c r="AJ21" s="109"/>
      <c r="AK21" s="109"/>
    </row>
    <row r="22" spans="1:37" ht="15" customHeight="1" x14ac:dyDescent="0.35">
      <c r="A22" s="112"/>
      <c r="B22" s="99"/>
      <c r="C22" s="98"/>
      <c r="D22" s="98"/>
      <c r="E22" s="98"/>
      <c r="F22" s="111"/>
      <c r="G22" s="98"/>
      <c r="H22" s="111"/>
      <c r="I22" s="98"/>
      <c r="J22" s="101" t="str">
        <f t="shared" si="0"/>
        <v/>
      </c>
      <c r="K22" s="101" t="str">
        <f t="shared" si="1"/>
        <v>0</v>
      </c>
      <c r="L22" s="101" t="str">
        <f t="shared" si="2"/>
        <v/>
      </c>
      <c r="M22" s="101">
        <f>IFERROR(VLOOKUP(D22,Lista!A$3:D$33,3,0),1)</f>
        <v>1</v>
      </c>
      <c r="N22" s="101">
        <f>IFERROR(VLOOKUP(D22,Lista!A$3:E$33,5,0),1)</f>
        <v>1</v>
      </c>
      <c r="O22" s="102" t="str">
        <f t="shared" si="3"/>
        <v/>
      </c>
      <c r="P22" s="102">
        <f t="shared" si="4"/>
        <v>0</v>
      </c>
      <c r="Q22" s="102">
        <f t="shared" si="5"/>
        <v>0</v>
      </c>
      <c r="R22" s="103"/>
      <c r="S22" s="104" t="s">
        <v>94</v>
      </c>
      <c r="T22" s="105"/>
      <c r="U22" s="98"/>
      <c r="V22" s="98"/>
      <c r="W22" s="98"/>
      <c r="X22" s="98"/>
      <c r="Y22" s="98"/>
      <c r="Z22" s="101" t="str">
        <f t="shared" si="6"/>
        <v/>
      </c>
      <c r="AA22" s="101" t="str">
        <f t="shared" si="7"/>
        <v>0</v>
      </c>
      <c r="AB22" s="101" t="str">
        <f t="shared" si="8"/>
        <v/>
      </c>
      <c r="AC22" s="101">
        <f>IFERROR(VLOOKUP(V22,Lista!A$3:D$33,3,0),1)</f>
        <v>1</v>
      </c>
      <c r="AD22" s="101">
        <f>IFERROR(VLOOKUP(V22,Lista!A$3:E$33,5,0),1)</f>
        <v>1</v>
      </c>
      <c r="AE22" s="107" t="str">
        <f t="shared" si="9"/>
        <v/>
      </c>
      <c r="AF22" s="107">
        <f t="shared" si="10"/>
        <v>0</v>
      </c>
      <c r="AG22" s="107">
        <f t="shared" si="11"/>
        <v>0</v>
      </c>
      <c r="AH22" s="108"/>
      <c r="AI22" s="104" t="s">
        <v>94</v>
      </c>
      <c r="AJ22" s="109"/>
      <c r="AK22" s="109"/>
    </row>
    <row r="23" spans="1:37" ht="15" customHeight="1" x14ac:dyDescent="0.35">
      <c r="A23" s="112"/>
      <c r="B23" s="99"/>
      <c r="C23" s="98"/>
      <c r="D23" s="98"/>
      <c r="E23" s="98"/>
      <c r="F23" s="111"/>
      <c r="G23" s="98"/>
      <c r="H23" s="111"/>
      <c r="I23" s="98"/>
      <c r="J23" s="101" t="str">
        <f t="shared" si="0"/>
        <v/>
      </c>
      <c r="K23" s="101" t="str">
        <f t="shared" si="1"/>
        <v>0</v>
      </c>
      <c r="L23" s="101" t="str">
        <f t="shared" si="2"/>
        <v/>
      </c>
      <c r="M23" s="101">
        <f>IFERROR(VLOOKUP(D23,Lista!A$3:D$33,3,0),1)</f>
        <v>1</v>
      </c>
      <c r="N23" s="101">
        <f>IFERROR(VLOOKUP(D23,Lista!A$3:E$33,5,0),1)</f>
        <v>1</v>
      </c>
      <c r="O23" s="102" t="str">
        <f t="shared" si="3"/>
        <v/>
      </c>
      <c r="P23" s="102">
        <f t="shared" si="4"/>
        <v>0</v>
      </c>
      <c r="Q23" s="102">
        <f t="shared" si="5"/>
        <v>0</v>
      </c>
      <c r="R23" s="103"/>
      <c r="S23" s="104" t="s">
        <v>94</v>
      </c>
      <c r="T23" s="105"/>
      <c r="U23" s="106"/>
      <c r="V23" s="106"/>
      <c r="W23" s="98"/>
      <c r="X23" s="98"/>
      <c r="Y23" s="98"/>
      <c r="Z23" s="101" t="str">
        <f t="shared" si="6"/>
        <v/>
      </c>
      <c r="AA23" s="101" t="str">
        <f t="shared" si="7"/>
        <v>0</v>
      </c>
      <c r="AB23" s="101" t="str">
        <f t="shared" si="8"/>
        <v/>
      </c>
      <c r="AC23" s="101">
        <f>IFERROR(VLOOKUP(V23,Lista!A$3:D$33,3,0),1)</f>
        <v>1</v>
      </c>
      <c r="AD23" s="101">
        <f>IFERROR(VLOOKUP(V23,Lista!A$3:E$33,5,0),1)</f>
        <v>1</v>
      </c>
      <c r="AE23" s="107" t="str">
        <f t="shared" si="9"/>
        <v/>
      </c>
      <c r="AF23" s="107">
        <f t="shared" si="10"/>
        <v>0</v>
      </c>
      <c r="AG23" s="107">
        <f t="shared" si="11"/>
        <v>0</v>
      </c>
      <c r="AH23" s="108"/>
      <c r="AI23" s="104" t="s">
        <v>94</v>
      </c>
      <c r="AJ23" s="109"/>
      <c r="AK23" s="109"/>
    </row>
    <row r="24" spans="1:37" ht="15" customHeight="1" x14ac:dyDescent="0.35">
      <c r="A24" s="112"/>
      <c r="B24" s="99"/>
      <c r="C24" s="98"/>
      <c r="D24" s="98"/>
      <c r="E24" s="98"/>
      <c r="F24" s="111"/>
      <c r="G24" s="98"/>
      <c r="H24" s="111"/>
      <c r="I24" s="98"/>
      <c r="J24" s="101" t="str">
        <f t="shared" si="0"/>
        <v/>
      </c>
      <c r="K24" s="101" t="str">
        <f t="shared" si="1"/>
        <v>0</v>
      </c>
      <c r="L24" s="101" t="str">
        <f t="shared" si="2"/>
        <v/>
      </c>
      <c r="M24" s="101">
        <f>IFERROR(VLOOKUP(D24,Lista!A$3:D$33,3,0),1)</f>
        <v>1</v>
      </c>
      <c r="N24" s="101">
        <f>IFERROR(VLOOKUP(D24,Lista!A$3:E$33,5,0),1)</f>
        <v>1</v>
      </c>
      <c r="O24" s="102" t="str">
        <f t="shared" si="3"/>
        <v/>
      </c>
      <c r="P24" s="102">
        <f t="shared" si="4"/>
        <v>0</v>
      </c>
      <c r="Q24" s="102">
        <f t="shared" si="5"/>
        <v>0</v>
      </c>
      <c r="R24" s="103"/>
      <c r="S24" s="104" t="s">
        <v>94</v>
      </c>
      <c r="T24" s="105"/>
      <c r="U24" s="98"/>
      <c r="V24" s="98"/>
      <c r="W24" s="98"/>
      <c r="X24" s="98"/>
      <c r="Y24" s="98"/>
      <c r="Z24" s="101" t="str">
        <f t="shared" si="6"/>
        <v/>
      </c>
      <c r="AA24" s="101" t="str">
        <f t="shared" si="7"/>
        <v>0</v>
      </c>
      <c r="AB24" s="101" t="str">
        <f t="shared" si="8"/>
        <v/>
      </c>
      <c r="AC24" s="101">
        <f>IFERROR(VLOOKUP(V24,Lista!A$3:D$33,3,0),1)</f>
        <v>1</v>
      </c>
      <c r="AD24" s="101">
        <f>IFERROR(VLOOKUP(V24,Lista!A$3:E$33,5,0),1)</f>
        <v>1</v>
      </c>
      <c r="AE24" s="107" t="str">
        <f t="shared" si="9"/>
        <v/>
      </c>
      <c r="AF24" s="107">
        <f t="shared" si="10"/>
        <v>0</v>
      </c>
      <c r="AG24" s="107">
        <f t="shared" si="11"/>
        <v>0</v>
      </c>
      <c r="AH24" s="108"/>
      <c r="AI24" s="104" t="s">
        <v>94</v>
      </c>
      <c r="AJ24" s="109"/>
      <c r="AK24" s="109"/>
    </row>
    <row r="25" spans="1:37" ht="15" customHeight="1" x14ac:dyDescent="0.35">
      <c r="A25" s="112"/>
      <c r="B25" s="99"/>
      <c r="C25" s="98"/>
      <c r="D25" s="98"/>
      <c r="E25" s="98"/>
      <c r="F25" s="111"/>
      <c r="G25" s="98"/>
      <c r="H25" s="111"/>
      <c r="I25" s="98"/>
      <c r="J25" s="101" t="str">
        <f t="shared" si="0"/>
        <v/>
      </c>
      <c r="K25" s="101" t="str">
        <f t="shared" si="1"/>
        <v>0</v>
      </c>
      <c r="L25" s="101" t="str">
        <f t="shared" si="2"/>
        <v/>
      </c>
      <c r="M25" s="101">
        <f>IFERROR(VLOOKUP(D25,Lista!A$3:D$33,3,0),1)</f>
        <v>1</v>
      </c>
      <c r="N25" s="101">
        <f>IFERROR(VLOOKUP(D25,Lista!A$3:E$33,5,0),1)</f>
        <v>1</v>
      </c>
      <c r="O25" s="102" t="str">
        <f t="shared" si="3"/>
        <v/>
      </c>
      <c r="P25" s="102">
        <f t="shared" si="4"/>
        <v>0</v>
      </c>
      <c r="Q25" s="102">
        <f t="shared" si="5"/>
        <v>0</v>
      </c>
      <c r="R25" s="103"/>
      <c r="S25" s="104" t="s">
        <v>94</v>
      </c>
      <c r="T25" s="105"/>
      <c r="U25" s="98"/>
      <c r="V25" s="106"/>
      <c r="W25" s="98"/>
      <c r="X25" s="98"/>
      <c r="Y25" s="98"/>
      <c r="Z25" s="101" t="str">
        <f t="shared" si="6"/>
        <v/>
      </c>
      <c r="AA25" s="101" t="str">
        <f t="shared" si="7"/>
        <v>0</v>
      </c>
      <c r="AB25" s="101" t="str">
        <f t="shared" si="8"/>
        <v/>
      </c>
      <c r="AC25" s="101">
        <f>IFERROR(VLOOKUP(V25,Lista!A$3:D$33,3,0),1)</f>
        <v>1</v>
      </c>
      <c r="AD25" s="101">
        <f>IFERROR(VLOOKUP(V25,Lista!A$3:E$33,5,0),1)</f>
        <v>1</v>
      </c>
      <c r="AE25" s="107" t="str">
        <f t="shared" si="9"/>
        <v/>
      </c>
      <c r="AF25" s="107">
        <f t="shared" si="10"/>
        <v>0</v>
      </c>
      <c r="AG25" s="107">
        <f t="shared" si="11"/>
        <v>0</v>
      </c>
      <c r="AH25" s="108"/>
      <c r="AI25" s="104" t="s">
        <v>94</v>
      </c>
      <c r="AJ25" s="109"/>
      <c r="AK25" s="109"/>
    </row>
    <row r="26" spans="1:37" ht="15" customHeight="1" x14ac:dyDescent="0.35">
      <c r="A26" s="112"/>
      <c r="B26" s="114"/>
      <c r="C26" s="98"/>
      <c r="D26" s="98"/>
      <c r="E26" s="98"/>
      <c r="F26" s="111"/>
      <c r="G26" s="98"/>
      <c r="H26" s="111"/>
      <c r="I26" s="98"/>
      <c r="J26" s="101" t="str">
        <f t="shared" si="0"/>
        <v/>
      </c>
      <c r="K26" s="101" t="str">
        <f t="shared" si="1"/>
        <v>0</v>
      </c>
      <c r="L26" s="101" t="str">
        <f t="shared" si="2"/>
        <v/>
      </c>
      <c r="M26" s="101">
        <f>IFERROR(VLOOKUP(D26,Lista!A$3:D$33,3,0),1)</f>
        <v>1</v>
      </c>
      <c r="N26" s="101">
        <f>IFERROR(VLOOKUP(D26,Lista!A$3:E$33,5,0),1)</f>
        <v>1</v>
      </c>
      <c r="O26" s="102" t="str">
        <f t="shared" si="3"/>
        <v/>
      </c>
      <c r="P26" s="102">
        <f t="shared" si="4"/>
        <v>0</v>
      </c>
      <c r="Q26" s="102">
        <f t="shared" si="5"/>
        <v>0</v>
      </c>
      <c r="R26" s="103"/>
      <c r="S26" s="104" t="s">
        <v>94</v>
      </c>
      <c r="T26" s="105"/>
      <c r="U26" s="98"/>
      <c r="V26" s="98"/>
      <c r="W26" s="98"/>
      <c r="X26" s="98"/>
      <c r="Y26" s="98"/>
      <c r="Z26" s="101" t="str">
        <f t="shared" si="6"/>
        <v/>
      </c>
      <c r="AA26" s="101" t="str">
        <f t="shared" si="7"/>
        <v>0</v>
      </c>
      <c r="AB26" s="101" t="str">
        <f t="shared" si="8"/>
        <v/>
      </c>
      <c r="AC26" s="101">
        <f>IFERROR(VLOOKUP(V26,Lista!A$3:D$33,3,0),1)</f>
        <v>1</v>
      </c>
      <c r="AD26" s="101">
        <f>IFERROR(VLOOKUP(V26,Lista!A$3:E$33,5,0),1)</f>
        <v>1</v>
      </c>
      <c r="AE26" s="107" t="str">
        <f t="shared" si="9"/>
        <v/>
      </c>
      <c r="AF26" s="107">
        <f t="shared" si="10"/>
        <v>0</v>
      </c>
      <c r="AG26" s="107">
        <f t="shared" si="11"/>
        <v>0</v>
      </c>
      <c r="AH26" s="108"/>
      <c r="AI26" s="104" t="s">
        <v>94</v>
      </c>
      <c r="AJ26" s="109"/>
      <c r="AK26" s="109"/>
    </row>
    <row r="27" spans="1:37" ht="15" customHeight="1" x14ac:dyDescent="0.35">
      <c r="A27" s="112"/>
      <c r="B27" s="99"/>
      <c r="C27" s="98"/>
      <c r="D27" s="98"/>
      <c r="E27" s="98"/>
      <c r="F27" s="111"/>
      <c r="G27" s="98"/>
      <c r="H27" s="111"/>
      <c r="I27" s="98"/>
      <c r="J27" s="101" t="str">
        <f t="shared" si="0"/>
        <v/>
      </c>
      <c r="K27" s="101" t="str">
        <f t="shared" si="1"/>
        <v>0</v>
      </c>
      <c r="L27" s="101" t="str">
        <f t="shared" si="2"/>
        <v/>
      </c>
      <c r="M27" s="101">
        <f>IFERROR(VLOOKUP(D27,Lista!A$3:D$33,3,0),1)</f>
        <v>1</v>
      </c>
      <c r="N27" s="101">
        <f>IFERROR(VLOOKUP(D27,Lista!A$3:E$33,5,0),1)</f>
        <v>1</v>
      </c>
      <c r="O27" s="102" t="str">
        <f t="shared" si="3"/>
        <v/>
      </c>
      <c r="P27" s="102">
        <f t="shared" si="4"/>
        <v>0</v>
      </c>
      <c r="Q27" s="102">
        <f t="shared" si="5"/>
        <v>0</v>
      </c>
      <c r="R27" s="103"/>
      <c r="S27" s="104" t="s">
        <v>94</v>
      </c>
      <c r="T27" s="105"/>
      <c r="U27" s="98"/>
      <c r="V27" s="98"/>
      <c r="W27" s="98"/>
      <c r="X27" s="98"/>
      <c r="Y27" s="98"/>
      <c r="Z27" s="101" t="str">
        <f t="shared" si="6"/>
        <v/>
      </c>
      <c r="AA27" s="101" t="str">
        <f t="shared" si="7"/>
        <v>0</v>
      </c>
      <c r="AB27" s="101" t="str">
        <f t="shared" si="8"/>
        <v/>
      </c>
      <c r="AC27" s="101">
        <f>IFERROR(VLOOKUP(V27,Lista!A$3:D$33,3,0),1)</f>
        <v>1</v>
      </c>
      <c r="AD27" s="101">
        <f>IFERROR(VLOOKUP(V27,Lista!A$3:E$33,5,0),1)</f>
        <v>1</v>
      </c>
      <c r="AE27" s="107" t="str">
        <f t="shared" si="9"/>
        <v/>
      </c>
      <c r="AF27" s="107">
        <f t="shared" si="10"/>
        <v>0</v>
      </c>
      <c r="AG27" s="107">
        <f t="shared" si="11"/>
        <v>0</v>
      </c>
      <c r="AH27" s="108"/>
      <c r="AI27" s="104" t="s">
        <v>94</v>
      </c>
      <c r="AJ27" s="109"/>
      <c r="AK27" s="109"/>
    </row>
    <row r="28" spans="1:37" ht="15" customHeight="1" x14ac:dyDescent="0.35">
      <c r="A28" s="112"/>
      <c r="B28" s="99"/>
      <c r="C28" s="98"/>
      <c r="D28" s="98"/>
      <c r="E28" s="98"/>
      <c r="F28" s="111"/>
      <c r="G28" s="98"/>
      <c r="H28" s="111"/>
      <c r="I28" s="98"/>
      <c r="J28" s="101" t="str">
        <f t="shared" si="0"/>
        <v/>
      </c>
      <c r="K28" s="101" t="str">
        <f t="shared" si="1"/>
        <v>0</v>
      </c>
      <c r="L28" s="101" t="str">
        <f t="shared" si="2"/>
        <v/>
      </c>
      <c r="M28" s="101">
        <f>IFERROR(VLOOKUP(D28,Lista!A$3:D$33,3,0),1)</f>
        <v>1</v>
      </c>
      <c r="N28" s="101">
        <f>IFERROR(VLOOKUP(D28,Lista!A$3:E$33,5,0),1)</f>
        <v>1</v>
      </c>
      <c r="O28" s="102" t="str">
        <f t="shared" si="3"/>
        <v/>
      </c>
      <c r="P28" s="102">
        <f t="shared" si="4"/>
        <v>0</v>
      </c>
      <c r="Q28" s="102">
        <f t="shared" si="5"/>
        <v>0</v>
      </c>
      <c r="R28" s="103"/>
      <c r="S28" s="104" t="s">
        <v>94</v>
      </c>
      <c r="T28" s="105"/>
      <c r="U28" s="98"/>
      <c r="V28" s="106"/>
      <c r="W28" s="98"/>
      <c r="X28" s="98"/>
      <c r="Y28" s="98"/>
      <c r="Z28" s="101" t="str">
        <f t="shared" si="6"/>
        <v/>
      </c>
      <c r="AA28" s="101" t="str">
        <f t="shared" si="7"/>
        <v>0</v>
      </c>
      <c r="AB28" s="101" t="str">
        <f t="shared" si="8"/>
        <v/>
      </c>
      <c r="AC28" s="101">
        <f>IFERROR(VLOOKUP(V28,Lista!A$3:D$33,3,0),1)</f>
        <v>1</v>
      </c>
      <c r="AD28" s="101">
        <f>IFERROR(VLOOKUP(V28,Lista!A$3:E$33,5,0),1)</f>
        <v>1</v>
      </c>
      <c r="AE28" s="107" t="str">
        <f t="shared" si="9"/>
        <v/>
      </c>
      <c r="AF28" s="107">
        <f t="shared" si="10"/>
        <v>0</v>
      </c>
      <c r="AG28" s="107">
        <f t="shared" si="11"/>
        <v>0</v>
      </c>
      <c r="AH28" s="108"/>
      <c r="AI28" s="104" t="s">
        <v>94</v>
      </c>
      <c r="AJ28" s="109"/>
      <c r="AK28" s="109"/>
    </row>
    <row r="29" spans="1:37" ht="15" customHeight="1" x14ac:dyDescent="0.35">
      <c r="A29" s="112"/>
      <c r="B29" s="99"/>
      <c r="C29" s="98"/>
      <c r="D29" s="98"/>
      <c r="E29" s="98"/>
      <c r="F29" s="111"/>
      <c r="G29" s="98"/>
      <c r="H29" s="111"/>
      <c r="I29" s="98"/>
      <c r="J29" s="101" t="str">
        <f t="shared" si="0"/>
        <v/>
      </c>
      <c r="K29" s="101" t="str">
        <f t="shared" si="1"/>
        <v>0</v>
      </c>
      <c r="L29" s="101" t="str">
        <f t="shared" si="2"/>
        <v/>
      </c>
      <c r="M29" s="101">
        <f>IFERROR(VLOOKUP(D29,Lista!A$3:D$33,3,0),1)</f>
        <v>1</v>
      </c>
      <c r="N29" s="101">
        <f>IFERROR(VLOOKUP(D29,Lista!A$3:E$33,5,0),1)</f>
        <v>1</v>
      </c>
      <c r="O29" s="102" t="str">
        <f t="shared" si="3"/>
        <v/>
      </c>
      <c r="P29" s="102">
        <f t="shared" si="4"/>
        <v>0</v>
      </c>
      <c r="Q29" s="102">
        <f t="shared" si="5"/>
        <v>0</v>
      </c>
      <c r="R29" s="103"/>
      <c r="S29" s="104" t="s">
        <v>94</v>
      </c>
      <c r="T29" s="105"/>
      <c r="U29" s="98"/>
      <c r="V29" s="106"/>
      <c r="W29" s="98"/>
      <c r="X29" s="98"/>
      <c r="Y29" s="98"/>
      <c r="Z29" s="101" t="str">
        <f t="shared" si="6"/>
        <v/>
      </c>
      <c r="AA29" s="101" t="str">
        <f t="shared" si="7"/>
        <v>0</v>
      </c>
      <c r="AB29" s="101" t="str">
        <f t="shared" si="8"/>
        <v/>
      </c>
      <c r="AC29" s="101">
        <f>IFERROR(VLOOKUP(V29,Lista!A$3:D$33,3,0),1)</f>
        <v>1</v>
      </c>
      <c r="AD29" s="101">
        <f>IFERROR(VLOOKUP(V29,Lista!A$3:E$33,5,0),1)</f>
        <v>1</v>
      </c>
      <c r="AE29" s="107" t="str">
        <f t="shared" si="9"/>
        <v/>
      </c>
      <c r="AF29" s="107">
        <f t="shared" si="10"/>
        <v>0</v>
      </c>
      <c r="AG29" s="107">
        <f t="shared" si="11"/>
        <v>0</v>
      </c>
      <c r="AH29" s="108"/>
      <c r="AI29" s="104" t="s">
        <v>94</v>
      </c>
      <c r="AJ29" s="109"/>
      <c r="AK29" s="109"/>
    </row>
    <row r="30" spans="1:37" ht="15" customHeight="1" x14ac:dyDescent="0.35">
      <c r="A30" s="112"/>
      <c r="B30" s="99"/>
      <c r="C30" s="98"/>
      <c r="D30" s="98"/>
      <c r="E30" s="98"/>
      <c r="F30" s="111"/>
      <c r="G30" s="98"/>
      <c r="H30" s="110"/>
      <c r="I30" s="98"/>
      <c r="J30" s="101" t="str">
        <f t="shared" si="0"/>
        <v/>
      </c>
      <c r="K30" s="101" t="str">
        <f t="shared" si="1"/>
        <v>0</v>
      </c>
      <c r="L30" s="101" t="str">
        <f t="shared" si="2"/>
        <v/>
      </c>
      <c r="M30" s="101">
        <f>IFERROR(VLOOKUP(D30,Lista!A$3:D$33,3,0),1)</f>
        <v>1</v>
      </c>
      <c r="N30" s="101">
        <f>IFERROR(VLOOKUP(D30,Lista!A$3:E$33,5,0),1)</f>
        <v>1</v>
      </c>
      <c r="O30" s="102" t="str">
        <f t="shared" si="3"/>
        <v/>
      </c>
      <c r="P30" s="102">
        <f t="shared" si="4"/>
        <v>0</v>
      </c>
      <c r="Q30" s="102">
        <f t="shared" si="5"/>
        <v>0</v>
      </c>
      <c r="R30" s="103"/>
      <c r="S30" s="104" t="s">
        <v>94</v>
      </c>
      <c r="T30" s="105"/>
      <c r="U30" s="98"/>
      <c r="V30" s="98"/>
      <c r="W30" s="98"/>
      <c r="X30" s="98"/>
      <c r="Y30" s="98"/>
      <c r="Z30" s="101" t="str">
        <f t="shared" si="6"/>
        <v/>
      </c>
      <c r="AA30" s="101" t="str">
        <f t="shared" si="7"/>
        <v>0</v>
      </c>
      <c r="AB30" s="101" t="str">
        <f t="shared" si="8"/>
        <v/>
      </c>
      <c r="AC30" s="101">
        <f>IFERROR(VLOOKUP(V30,Lista!A$3:D$33,3,0),1)</f>
        <v>1</v>
      </c>
      <c r="AD30" s="101">
        <f>IFERROR(VLOOKUP(V30,Lista!A$3:E$33,5,0),1)</f>
        <v>1</v>
      </c>
      <c r="AE30" s="107" t="str">
        <f t="shared" si="9"/>
        <v/>
      </c>
      <c r="AF30" s="107">
        <f t="shared" si="10"/>
        <v>0</v>
      </c>
      <c r="AG30" s="107">
        <f t="shared" si="11"/>
        <v>0</v>
      </c>
      <c r="AH30" s="108"/>
      <c r="AI30" s="104" t="s">
        <v>94</v>
      </c>
      <c r="AJ30" s="109"/>
      <c r="AK30" s="109"/>
    </row>
    <row r="31" spans="1:37" ht="15" customHeight="1" x14ac:dyDescent="0.35">
      <c r="A31" s="112"/>
      <c r="B31" s="114"/>
      <c r="C31" s="98"/>
      <c r="D31" s="98"/>
      <c r="E31" s="98"/>
      <c r="F31" s="111"/>
      <c r="G31" s="98"/>
      <c r="H31" s="111"/>
      <c r="I31" s="98"/>
      <c r="J31" s="101" t="str">
        <f t="shared" si="0"/>
        <v/>
      </c>
      <c r="K31" s="101" t="str">
        <f t="shared" si="1"/>
        <v>0</v>
      </c>
      <c r="L31" s="101" t="str">
        <f t="shared" si="2"/>
        <v/>
      </c>
      <c r="M31" s="101">
        <f>IFERROR(VLOOKUP(D31,Lista!A$3:D$33,3,0),1)</f>
        <v>1</v>
      </c>
      <c r="N31" s="101">
        <f>IFERROR(VLOOKUP(D31,Lista!A$3:E$33,5,0),1)</f>
        <v>1</v>
      </c>
      <c r="O31" s="102" t="str">
        <f t="shared" si="3"/>
        <v/>
      </c>
      <c r="P31" s="102">
        <f t="shared" si="4"/>
        <v>0</v>
      </c>
      <c r="Q31" s="102">
        <f t="shared" si="5"/>
        <v>0</v>
      </c>
      <c r="R31" s="103"/>
      <c r="S31" s="104" t="s">
        <v>94</v>
      </c>
      <c r="T31" s="105"/>
      <c r="U31" s="98"/>
      <c r="V31" s="98"/>
      <c r="W31" s="98"/>
      <c r="X31" s="98"/>
      <c r="Y31" s="98"/>
      <c r="Z31" s="101" t="str">
        <f t="shared" si="6"/>
        <v/>
      </c>
      <c r="AA31" s="101" t="str">
        <f t="shared" si="7"/>
        <v>0</v>
      </c>
      <c r="AB31" s="101" t="str">
        <f t="shared" si="8"/>
        <v/>
      </c>
      <c r="AC31" s="101">
        <f>IFERROR(VLOOKUP(V31,Lista!A$3:D$33,3,0),1)</f>
        <v>1</v>
      </c>
      <c r="AD31" s="101">
        <f>IFERROR(VLOOKUP(V31,Lista!A$3:E$33,5,0),1)</f>
        <v>1</v>
      </c>
      <c r="AE31" s="107" t="str">
        <f t="shared" si="9"/>
        <v/>
      </c>
      <c r="AF31" s="107">
        <f t="shared" si="10"/>
        <v>0</v>
      </c>
      <c r="AG31" s="107">
        <f t="shared" si="11"/>
        <v>0</v>
      </c>
      <c r="AH31" s="108"/>
      <c r="AI31" s="104" t="s">
        <v>94</v>
      </c>
      <c r="AJ31" s="108"/>
      <c r="AK31" s="109"/>
    </row>
    <row r="32" spans="1:37" ht="15" customHeight="1" x14ac:dyDescent="0.35">
      <c r="A32" s="112"/>
      <c r="B32" s="99"/>
      <c r="C32" s="98"/>
      <c r="D32" s="98"/>
      <c r="E32" s="98"/>
      <c r="F32" s="111"/>
      <c r="G32" s="98"/>
      <c r="H32" s="111"/>
      <c r="I32" s="98"/>
      <c r="J32" s="101" t="str">
        <f t="shared" si="0"/>
        <v/>
      </c>
      <c r="K32" s="101" t="str">
        <f t="shared" si="1"/>
        <v>0</v>
      </c>
      <c r="L32" s="101" t="str">
        <f t="shared" si="2"/>
        <v/>
      </c>
      <c r="M32" s="101">
        <f>IFERROR(VLOOKUP(D32,Lista!A$3:D$33,3,0),1)</f>
        <v>1</v>
      </c>
      <c r="N32" s="101">
        <f>IFERROR(VLOOKUP(D32,Lista!A$3:E$33,5,0),1)</f>
        <v>1</v>
      </c>
      <c r="O32" s="102" t="str">
        <f t="shared" si="3"/>
        <v/>
      </c>
      <c r="P32" s="102">
        <f t="shared" si="4"/>
        <v>0</v>
      </c>
      <c r="Q32" s="102">
        <f t="shared" si="5"/>
        <v>0</v>
      </c>
      <c r="R32" s="103"/>
      <c r="S32" s="104" t="s">
        <v>94</v>
      </c>
      <c r="T32" s="105"/>
      <c r="U32" s="98"/>
      <c r="V32" s="98"/>
      <c r="W32" s="98"/>
      <c r="X32" s="98"/>
      <c r="Y32" s="98"/>
      <c r="Z32" s="101" t="str">
        <f t="shared" si="6"/>
        <v/>
      </c>
      <c r="AA32" s="101" t="str">
        <f t="shared" si="7"/>
        <v>0</v>
      </c>
      <c r="AB32" s="101" t="str">
        <f t="shared" si="8"/>
        <v/>
      </c>
      <c r="AC32" s="101">
        <f>IFERROR(VLOOKUP(V32,Lista!A$3:D$33,3,0),1)</f>
        <v>1</v>
      </c>
      <c r="AD32" s="101">
        <f>IFERROR(VLOOKUP(V32,Lista!A$3:E$33,5,0),1)</f>
        <v>1</v>
      </c>
      <c r="AE32" s="107" t="str">
        <f t="shared" si="9"/>
        <v/>
      </c>
      <c r="AF32" s="107">
        <f t="shared" si="10"/>
        <v>0</v>
      </c>
      <c r="AG32" s="107">
        <f t="shared" si="11"/>
        <v>0</v>
      </c>
      <c r="AH32" s="108"/>
      <c r="AI32" s="104" t="s">
        <v>94</v>
      </c>
      <c r="AJ32" s="109"/>
      <c r="AK32" s="109"/>
    </row>
    <row r="33" spans="1:37" ht="15" customHeight="1" x14ac:dyDescent="0.35">
      <c r="A33" s="112"/>
      <c r="B33" s="99"/>
      <c r="C33" s="98"/>
      <c r="D33" s="98"/>
      <c r="E33" s="98"/>
      <c r="F33" s="111"/>
      <c r="G33" s="98"/>
      <c r="H33" s="111"/>
      <c r="I33" s="98"/>
      <c r="J33" s="101" t="str">
        <f t="shared" si="0"/>
        <v/>
      </c>
      <c r="K33" s="101" t="str">
        <f t="shared" si="1"/>
        <v>0</v>
      </c>
      <c r="L33" s="101" t="str">
        <f t="shared" si="2"/>
        <v/>
      </c>
      <c r="M33" s="101">
        <f>IFERROR(VLOOKUP(D33,Lista!A$3:D$33,3,0),1)</f>
        <v>1</v>
      </c>
      <c r="N33" s="101">
        <f>IFERROR(VLOOKUP(D33,Lista!A$3:E$33,5,0),1)</f>
        <v>1</v>
      </c>
      <c r="O33" s="102" t="str">
        <f t="shared" si="3"/>
        <v/>
      </c>
      <c r="P33" s="102">
        <f t="shared" si="4"/>
        <v>0</v>
      </c>
      <c r="Q33" s="102">
        <f t="shared" si="5"/>
        <v>0</v>
      </c>
      <c r="R33" s="103"/>
      <c r="S33" s="104" t="s">
        <v>94</v>
      </c>
      <c r="T33" s="105"/>
      <c r="U33" s="98"/>
      <c r="V33" s="98"/>
      <c r="W33" s="98"/>
      <c r="X33" s="98"/>
      <c r="Y33" s="98"/>
      <c r="Z33" s="101" t="str">
        <f t="shared" si="6"/>
        <v/>
      </c>
      <c r="AA33" s="101" t="str">
        <f t="shared" si="7"/>
        <v>0</v>
      </c>
      <c r="AB33" s="101" t="str">
        <f t="shared" si="8"/>
        <v/>
      </c>
      <c r="AC33" s="101">
        <f>IFERROR(VLOOKUP(V33,Lista!A$3:D$33,3,0),1)</f>
        <v>1</v>
      </c>
      <c r="AD33" s="101">
        <f>IFERROR(VLOOKUP(V33,Lista!A$3:E$33,5,0),1)</f>
        <v>1</v>
      </c>
      <c r="AE33" s="107" t="str">
        <f t="shared" si="9"/>
        <v/>
      </c>
      <c r="AF33" s="107">
        <f t="shared" si="10"/>
        <v>0</v>
      </c>
      <c r="AG33" s="107">
        <f t="shared" si="11"/>
        <v>0</v>
      </c>
      <c r="AH33" s="108"/>
      <c r="AI33" s="104" t="s">
        <v>94</v>
      </c>
      <c r="AJ33" s="109"/>
      <c r="AK33" s="109"/>
    </row>
    <row r="34" spans="1:37" ht="15" customHeight="1" x14ac:dyDescent="0.35">
      <c r="A34" s="112"/>
      <c r="B34" s="99"/>
      <c r="C34" s="98"/>
      <c r="D34" s="98"/>
      <c r="E34" s="98"/>
      <c r="F34" s="111"/>
      <c r="G34" s="98"/>
      <c r="H34" s="111"/>
      <c r="I34" s="98"/>
      <c r="J34" s="101" t="str">
        <f t="shared" si="0"/>
        <v/>
      </c>
      <c r="K34" s="101" t="str">
        <f t="shared" si="1"/>
        <v>0</v>
      </c>
      <c r="L34" s="101" t="str">
        <f t="shared" si="2"/>
        <v/>
      </c>
      <c r="M34" s="101">
        <f>IFERROR(VLOOKUP(D34,Lista!A$3:D$33,3,0),1)</f>
        <v>1</v>
      </c>
      <c r="N34" s="101">
        <f>IFERROR(VLOOKUP(D34,Lista!A$3:E$33,5,0),1)</f>
        <v>1</v>
      </c>
      <c r="O34" s="102" t="str">
        <f t="shared" si="3"/>
        <v/>
      </c>
      <c r="P34" s="102">
        <f t="shared" si="4"/>
        <v>0</v>
      </c>
      <c r="Q34" s="102">
        <f t="shared" si="5"/>
        <v>0</v>
      </c>
      <c r="R34" s="103"/>
      <c r="S34" s="104" t="s">
        <v>94</v>
      </c>
      <c r="T34" s="105"/>
      <c r="U34" s="98"/>
      <c r="V34" s="98"/>
      <c r="W34" s="98"/>
      <c r="X34" s="98"/>
      <c r="Y34" s="98"/>
      <c r="Z34" s="101" t="str">
        <f t="shared" si="6"/>
        <v/>
      </c>
      <c r="AA34" s="101" t="str">
        <f t="shared" si="7"/>
        <v>0</v>
      </c>
      <c r="AB34" s="101" t="str">
        <f t="shared" si="8"/>
        <v/>
      </c>
      <c r="AC34" s="101">
        <f>IFERROR(VLOOKUP(V34,Lista!A$3:D$33,3,0),1)</f>
        <v>1</v>
      </c>
      <c r="AD34" s="101">
        <f>IFERROR(VLOOKUP(V34,Lista!A$3:E$33,5,0),1)</f>
        <v>1</v>
      </c>
      <c r="AE34" s="107" t="str">
        <f t="shared" si="9"/>
        <v/>
      </c>
      <c r="AF34" s="107">
        <f t="shared" si="10"/>
        <v>0</v>
      </c>
      <c r="AG34" s="107">
        <f t="shared" si="11"/>
        <v>0</v>
      </c>
      <c r="AH34" s="108"/>
      <c r="AI34" s="104" t="s">
        <v>94</v>
      </c>
      <c r="AJ34" s="108"/>
      <c r="AK34" s="109"/>
    </row>
    <row r="35" spans="1:37" ht="15" customHeight="1" x14ac:dyDescent="0.35">
      <c r="A35" s="112"/>
      <c r="B35" s="99"/>
      <c r="C35" s="98"/>
      <c r="D35" s="98"/>
      <c r="E35" s="98"/>
      <c r="F35" s="111"/>
      <c r="G35" s="98"/>
      <c r="H35" s="111"/>
      <c r="I35" s="98"/>
      <c r="J35" s="101" t="str">
        <f t="shared" ref="J35:J66" si="12">CONCATENATE(C35,L35)</f>
        <v/>
      </c>
      <c r="K35" s="101" t="str">
        <f t="shared" ref="K35:K66" si="13">CONCATENATE(C35,D35,L35,Q35)</f>
        <v>0</v>
      </c>
      <c r="L35" s="101" t="str">
        <f t="shared" ref="L35:L66" si="14">IF(OR(ISBLANK(E35),ISBLANK(G35)),IF(OR(C35="ALI",C35="AIE"),"L",IF(ISBLANK(C35),"","A")),IF(C35="EE",IF(G35&gt;=3,IF(E35&gt;=5,"H","A"),IF(G35&gt;=2,IF(E35&gt;=16,"H",IF(E35&lt;=4,"L","A")),IF(E35&lt;=15,"L","A"))),IF(OR(C35="SE",C35="CE"),IF(G35&gt;=4,IF(E35&gt;=6,"H","A"),IF(G35&gt;=2,IF(E35&gt;=20,"H",IF(E35&lt;=5,"L","A")),IF(E35&lt;=19,"L","A"))),IF(OR(C35="ALI",C35="AIE"),IF(G35&gt;=6,IF(E35&gt;=20,"H","A"),IF(G35&gt;=2,IF(E35&gt;=51,"H",IF(E35&lt;=19,"L","A")),IF(E35&lt;=50,"L","A")))))))</f>
        <v/>
      </c>
      <c r="M35" s="101">
        <f>IFERROR(VLOOKUP(D35,Lista!A$3:D$33,3,0),1)</f>
        <v>1</v>
      </c>
      <c r="N35" s="101">
        <f>IFERROR(VLOOKUP(D35,Lista!A$3:E$33,5,0),1)</f>
        <v>1</v>
      </c>
      <c r="O35" s="102" t="str">
        <f t="shared" ref="O35:O66" si="15">IF(C35="INM","",IF(L35="L","Baixa",IF(L35="A","Média",IF(L35="","","Alta"))))</f>
        <v/>
      </c>
      <c r="P35" s="102">
        <f t="shared" ref="P35:P66" si="16">IF(C35="INM",M35*I35,IF(C35="ALI",IF(L35="L",7,IF(L35="A",10,15)),IF(C35="AIE",IF(L35="L",5,IF(L35="A",7,10)),IF(C35="SE",IF(L35="L",4,IF(L35="A",5,7)),IF(OR(C35="EE",C35="CE"),IF(L35="L",3,IF(L35="A",4,6)),0)))))</f>
        <v>0</v>
      </c>
      <c r="Q35" s="102">
        <f t="shared" ref="Q35:Q66" si="17">IF(C35="INM",P35,P35*M35)</f>
        <v>0</v>
      </c>
      <c r="R35" s="103"/>
      <c r="S35" s="104" t="s">
        <v>94</v>
      </c>
      <c r="T35" s="105"/>
      <c r="U35" s="98"/>
      <c r="V35" s="98"/>
      <c r="W35" s="98"/>
      <c r="X35" s="98"/>
      <c r="Y35" s="98"/>
      <c r="Z35" s="101" t="str">
        <f t="shared" ref="Z35:Z66" si="18">CONCATENATE(U35,AB35)</f>
        <v/>
      </c>
      <c r="AA35" s="101" t="str">
        <f t="shared" ref="AA35:AA66" si="19">CONCATENATE(U35,V35,AB35,AG35)</f>
        <v>0</v>
      </c>
      <c r="AB35" s="101" t="str">
        <f t="shared" ref="AB35:AB66" si="20">IF(OR(ISBLANK(W35),ISBLANK(X35)),IF(OR(U35="ALI",U35="AIE"),"L",IF(ISBLANK(U35),"","A")),IF(U35="EE",IF(X35&gt;=3,IF(W35&gt;=5,"H","A"),IF(X35&gt;=2,IF(W35&gt;=16,"H",IF(W35&lt;=4,"L","A")),IF(W35&lt;=15,"L","A"))),IF(OR(U35="SE",U35="CE"),IF(X35&gt;=4,IF(W35&gt;=6,"H","A"),IF(X35&gt;=2,IF(W35&gt;=20,"H",IF(W35&lt;=5,"L","A")),IF(W35&lt;=19,"L","A"))),IF(OR(U35="ALI",U35="AIE"),IF(X35&gt;=6,IF(W35&gt;=20,"H","A"),IF(X35&gt;=2,IF(W35&gt;=51,"H",IF(W35&lt;=19,"L","A")),IF(W35&lt;=50,"L","A")))))))</f>
        <v/>
      </c>
      <c r="AC35" s="101">
        <f>IFERROR(VLOOKUP(V35,Lista!A$3:D$33,3,0),1)</f>
        <v>1</v>
      </c>
      <c r="AD35" s="101">
        <f>IFERROR(VLOOKUP(V35,Lista!A$3:E$33,5,0),1)</f>
        <v>1</v>
      </c>
      <c r="AE35" s="107" t="str">
        <f t="shared" ref="AE35:AE66" si="21">IF(U35="INM","",IF(AB35="L","Baixa",IF(AB35="A","Média",IF(AB35="","","Alta"))))</f>
        <v/>
      </c>
      <c r="AF35" s="107">
        <f t="shared" ref="AF35:AF66" si="22">IF(OR(ISBLANK(T35),T35="NOK"),0,IF(U35="INM",AC35*Y35,IF(U35="ALI",IF(AB35="L",7,IF(AB35="A",10,15)),IF(U35="AIE",IF(AB35="L",5,IF(AB35="A",7,10)),IF(U35="SE",IF(AB35="L",4,IF(AB35="A",5,7)),IF(OR(U35="EE",U35="CE"),IF(AB35="L",3,IF(AB35="A",4,6))))))))</f>
        <v>0</v>
      </c>
      <c r="AG35" s="107">
        <f t="shared" ref="AG35:AG66" si="23">IF(T35="NOK",0,IF(U35="INM",(1*AC35)*Y35,AF35*AC35))</f>
        <v>0</v>
      </c>
      <c r="AH35" s="108"/>
      <c r="AI35" s="104" t="s">
        <v>94</v>
      </c>
      <c r="AJ35" s="109"/>
      <c r="AK35" s="109"/>
    </row>
    <row r="36" spans="1:37" ht="15" customHeight="1" x14ac:dyDescent="0.35">
      <c r="A36" s="112"/>
      <c r="B36" s="99"/>
      <c r="C36" s="98"/>
      <c r="D36" s="98"/>
      <c r="E36" s="98"/>
      <c r="F36" s="111"/>
      <c r="G36" s="98"/>
      <c r="H36" s="111"/>
      <c r="I36" s="98"/>
      <c r="J36" s="101" t="str">
        <f t="shared" si="12"/>
        <v/>
      </c>
      <c r="K36" s="101" t="str">
        <f t="shared" si="13"/>
        <v>0</v>
      </c>
      <c r="L36" s="101" t="str">
        <f t="shared" si="14"/>
        <v/>
      </c>
      <c r="M36" s="101">
        <f>IFERROR(VLOOKUP(D36,Lista!A$3:D$33,3,0),1)</f>
        <v>1</v>
      </c>
      <c r="N36" s="101">
        <f>IFERROR(VLOOKUP(D36,Lista!A$3:E$33,5,0),1)</f>
        <v>1</v>
      </c>
      <c r="O36" s="102" t="str">
        <f t="shared" si="15"/>
        <v/>
      </c>
      <c r="P36" s="102">
        <f t="shared" si="16"/>
        <v>0</v>
      </c>
      <c r="Q36" s="102">
        <f t="shared" si="17"/>
        <v>0</v>
      </c>
      <c r="R36" s="103"/>
      <c r="S36" s="104" t="s">
        <v>94</v>
      </c>
      <c r="T36" s="105"/>
      <c r="U36" s="98"/>
      <c r="V36" s="98"/>
      <c r="W36" s="98"/>
      <c r="X36" s="98"/>
      <c r="Y36" s="98"/>
      <c r="Z36" s="101" t="str">
        <f t="shared" si="18"/>
        <v/>
      </c>
      <c r="AA36" s="101" t="str">
        <f t="shared" si="19"/>
        <v>0</v>
      </c>
      <c r="AB36" s="101" t="str">
        <f t="shared" si="20"/>
        <v/>
      </c>
      <c r="AC36" s="101">
        <f>IFERROR(VLOOKUP(V36,Lista!A$3:D$33,3,0),1)</f>
        <v>1</v>
      </c>
      <c r="AD36" s="101">
        <f>IFERROR(VLOOKUP(V36,Lista!A$3:E$33,5,0),1)</f>
        <v>1</v>
      </c>
      <c r="AE36" s="107" t="str">
        <f t="shared" si="21"/>
        <v/>
      </c>
      <c r="AF36" s="107">
        <f t="shared" si="22"/>
        <v>0</v>
      </c>
      <c r="AG36" s="107">
        <f t="shared" si="23"/>
        <v>0</v>
      </c>
      <c r="AH36" s="108"/>
      <c r="AI36" s="104" t="s">
        <v>94</v>
      </c>
      <c r="AJ36" s="109"/>
      <c r="AK36" s="109"/>
    </row>
    <row r="37" spans="1:37" ht="15" customHeight="1" x14ac:dyDescent="0.35">
      <c r="A37" s="112"/>
      <c r="B37" s="99"/>
      <c r="C37" s="98"/>
      <c r="D37" s="98"/>
      <c r="E37" s="98"/>
      <c r="F37" s="111"/>
      <c r="G37" s="98"/>
      <c r="H37" s="111"/>
      <c r="I37" s="98"/>
      <c r="J37" s="101" t="str">
        <f t="shared" si="12"/>
        <v/>
      </c>
      <c r="K37" s="101" t="str">
        <f t="shared" si="13"/>
        <v>0</v>
      </c>
      <c r="L37" s="101" t="str">
        <f t="shared" si="14"/>
        <v/>
      </c>
      <c r="M37" s="101">
        <f>IFERROR(VLOOKUP(D37,Lista!A$3:D$33,3,0),1)</f>
        <v>1</v>
      </c>
      <c r="N37" s="101">
        <f>IFERROR(VLOOKUP(D37,Lista!A$3:E$33,5,0),1)</f>
        <v>1</v>
      </c>
      <c r="O37" s="102" t="str">
        <f t="shared" si="15"/>
        <v/>
      </c>
      <c r="P37" s="102">
        <f t="shared" si="16"/>
        <v>0</v>
      </c>
      <c r="Q37" s="102">
        <f t="shared" si="17"/>
        <v>0</v>
      </c>
      <c r="R37" s="103"/>
      <c r="S37" s="104" t="s">
        <v>94</v>
      </c>
      <c r="T37" s="105"/>
      <c r="U37" s="98"/>
      <c r="V37" s="98"/>
      <c r="W37" s="98"/>
      <c r="X37" s="98"/>
      <c r="Y37" s="98"/>
      <c r="Z37" s="101" t="str">
        <f t="shared" si="18"/>
        <v/>
      </c>
      <c r="AA37" s="101" t="str">
        <f t="shared" si="19"/>
        <v>0</v>
      </c>
      <c r="AB37" s="101" t="str">
        <f t="shared" si="20"/>
        <v/>
      </c>
      <c r="AC37" s="101">
        <f>IFERROR(VLOOKUP(V37,Lista!A$3:D$33,3,0),1)</f>
        <v>1</v>
      </c>
      <c r="AD37" s="101">
        <f>IFERROR(VLOOKUP(V37,Lista!A$3:E$33,5,0),1)</f>
        <v>1</v>
      </c>
      <c r="AE37" s="107" t="str">
        <f t="shared" si="21"/>
        <v/>
      </c>
      <c r="AF37" s="107">
        <f t="shared" si="22"/>
        <v>0</v>
      </c>
      <c r="AG37" s="107">
        <f t="shared" si="23"/>
        <v>0</v>
      </c>
      <c r="AH37" s="108"/>
      <c r="AI37" s="104" t="s">
        <v>94</v>
      </c>
      <c r="AJ37" s="109"/>
      <c r="AK37" s="109"/>
    </row>
    <row r="38" spans="1:37" ht="15" customHeight="1" x14ac:dyDescent="0.35">
      <c r="A38" s="112"/>
      <c r="B38" s="99"/>
      <c r="C38" s="98"/>
      <c r="D38" s="98"/>
      <c r="E38" s="98"/>
      <c r="F38" s="111"/>
      <c r="G38" s="98"/>
      <c r="H38" s="111"/>
      <c r="I38" s="98"/>
      <c r="J38" s="101" t="str">
        <f t="shared" si="12"/>
        <v/>
      </c>
      <c r="K38" s="101" t="str">
        <f t="shared" si="13"/>
        <v>0</v>
      </c>
      <c r="L38" s="101" t="str">
        <f t="shared" si="14"/>
        <v/>
      </c>
      <c r="M38" s="101">
        <f>IFERROR(VLOOKUP(D38,Lista!A$3:D$33,3,0),1)</f>
        <v>1</v>
      </c>
      <c r="N38" s="101">
        <f>IFERROR(VLOOKUP(D38,Lista!A$3:E$33,5,0),1)</f>
        <v>1</v>
      </c>
      <c r="O38" s="102" t="str">
        <f t="shared" si="15"/>
        <v/>
      </c>
      <c r="P38" s="102">
        <f t="shared" si="16"/>
        <v>0</v>
      </c>
      <c r="Q38" s="102">
        <f t="shared" si="17"/>
        <v>0</v>
      </c>
      <c r="R38" s="103"/>
      <c r="S38" s="104" t="s">
        <v>94</v>
      </c>
      <c r="T38" s="105"/>
      <c r="U38" s="98"/>
      <c r="V38" s="98"/>
      <c r="W38" s="98"/>
      <c r="X38" s="98"/>
      <c r="Y38" s="98"/>
      <c r="Z38" s="101" t="str">
        <f t="shared" si="18"/>
        <v/>
      </c>
      <c r="AA38" s="101" t="str">
        <f t="shared" si="19"/>
        <v>0</v>
      </c>
      <c r="AB38" s="101" t="str">
        <f t="shared" si="20"/>
        <v/>
      </c>
      <c r="AC38" s="101">
        <f>IFERROR(VLOOKUP(V38,Lista!A$3:D$33,3,0),1)</f>
        <v>1</v>
      </c>
      <c r="AD38" s="101">
        <f>IFERROR(VLOOKUP(V38,Lista!A$3:E$33,5,0),1)</f>
        <v>1</v>
      </c>
      <c r="AE38" s="107" t="str">
        <f t="shared" si="21"/>
        <v/>
      </c>
      <c r="AF38" s="107">
        <f t="shared" si="22"/>
        <v>0</v>
      </c>
      <c r="AG38" s="107">
        <f t="shared" si="23"/>
        <v>0</v>
      </c>
      <c r="AH38" s="108"/>
      <c r="AI38" s="104" t="s">
        <v>94</v>
      </c>
      <c r="AJ38" s="109"/>
      <c r="AK38" s="109"/>
    </row>
    <row r="39" spans="1:37" ht="15" customHeight="1" x14ac:dyDescent="0.35">
      <c r="A39" s="112"/>
      <c r="B39" s="99"/>
      <c r="C39" s="98"/>
      <c r="D39" s="98"/>
      <c r="E39" s="98"/>
      <c r="F39" s="111"/>
      <c r="G39" s="98"/>
      <c r="H39" s="111"/>
      <c r="I39" s="98"/>
      <c r="J39" s="101" t="str">
        <f t="shared" si="12"/>
        <v/>
      </c>
      <c r="K39" s="101" t="str">
        <f t="shared" si="13"/>
        <v>0</v>
      </c>
      <c r="L39" s="101" t="str">
        <f t="shared" si="14"/>
        <v/>
      </c>
      <c r="M39" s="101">
        <f>IFERROR(VLOOKUP(D39,Lista!A$3:D$33,3,0),1)</f>
        <v>1</v>
      </c>
      <c r="N39" s="101">
        <f>IFERROR(VLOOKUP(D39,Lista!A$3:E$33,5,0),1)</f>
        <v>1</v>
      </c>
      <c r="O39" s="102" t="str">
        <f t="shared" si="15"/>
        <v/>
      </c>
      <c r="P39" s="102">
        <f t="shared" si="16"/>
        <v>0</v>
      </c>
      <c r="Q39" s="102">
        <f t="shared" si="17"/>
        <v>0</v>
      </c>
      <c r="R39" s="103"/>
      <c r="S39" s="104" t="s">
        <v>94</v>
      </c>
      <c r="T39" s="105"/>
      <c r="U39" s="98"/>
      <c r="V39" s="98"/>
      <c r="W39" s="98"/>
      <c r="X39" s="98"/>
      <c r="Y39" s="98"/>
      <c r="Z39" s="101" t="str">
        <f t="shared" si="18"/>
        <v/>
      </c>
      <c r="AA39" s="101" t="str">
        <f t="shared" si="19"/>
        <v>0</v>
      </c>
      <c r="AB39" s="101" t="str">
        <f t="shared" si="20"/>
        <v/>
      </c>
      <c r="AC39" s="101">
        <f>IFERROR(VLOOKUP(V39,Lista!A$3:D$33,3,0),1)</f>
        <v>1</v>
      </c>
      <c r="AD39" s="101">
        <f>IFERROR(VLOOKUP(V39,Lista!A$3:E$33,5,0),1)</f>
        <v>1</v>
      </c>
      <c r="AE39" s="107" t="str">
        <f t="shared" si="21"/>
        <v/>
      </c>
      <c r="AF39" s="107">
        <f t="shared" si="22"/>
        <v>0</v>
      </c>
      <c r="AG39" s="107">
        <f t="shared" si="23"/>
        <v>0</v>
      </c>
      <c r="AH39" s="108"/>
      <c r="AI39" s="104" t="s">
        <v>94</v>
      </c>
      <c r="AJ39" s="109"/>
      <c r="AK39" s="109"/>
    </row>
    <row r="40" spans="1:37" ht="15" customHeight="1" x14ac:dyDescent="0.35">
      <c r="A40" s="112"/>
      <c r="B40" s="99"/>
      <c r="C40" s="98"/>
      <c r="D40" s="98"/>
      <c r="E40" s="98"/>
      <c r="F40" s="111"/>
      <c r="G40" s="98"/>
      <c r="H40" s="111"/>
      <c r="I40" s="98"/>
      <c r="J40" s="101" t="str">
        <f t="shared" si="12"/>
        <v/>
      </c>
      <c r="K40" s="101" t="str">
        <f t="shared" si="13"/>
        <v>0</v>
      </c>
      <c r="L40" s="101" t="str">
        <f t="shared" si="14"/>
        <v/>
      </c>
      <c r="M40" s="101">
        <f>IFERROR(VLOOKUP(D40,Lista!A$3:D$33,3,0),1)</f>
        <v>1</v>
      </c>
      <c r="N40" s="101">
        <f>IFERROR(VLOOKUP(D40,Lista!A$3:E$33,5,0),1)</f>
        <v>1</v>
      </c>
      <c r="O40" s="102" t="str">
        <f t="shared" si="15"/>
        <v/>
      </c>
      <c r="P40" s="102">
        <f t="shared" si="16"/>
        <v>0</v>
      </c>
      <c r="Q40" s="102">
        <f t="shared" si="17"/>
        <v>0</v>
      </c>
      <c r="R40" s="103"/>
      <c r="S40" s="104" t="s">
        <v>94</v>
      </c>
      <c r="T40" s="105"/>
      <c r="U40" s="98"/>
      <c r="V40" s="98"/>
      <c r="W40" s="98"/>
      <c r="X40" s="98"/>
      <c r="Y40" s="98"/>
      <c r="Z40" s="101" t="str">
        <f t="shared" si="18"/>
        <v/>
      </c>
      <c r="AA40" s="101" t="str">
        <f t="shared" si="19"/>
        <v>0</v>
      </c>
      <c r="AB40" s="101" t="str">
        <f t="shared" si="20"/>
        <v/>
      </c>
      <c r="AC40" s="101">
        <f>IFERROR(VLOOKUP(V40,Lista!A$3:D$33,3,0),1)</f>
        <v>1</v>
      </c>
      <c r="AD40" s="101">
        <f>IFERROR(VLOOKUP(V40,Lista!A$3:E$33,5,0),1)</f>
        <v>1</v>
      </c>
      <c r="AE40" s="107" t="str">
        <f t="shared" si="21"/>
        <v/>
      </c>
      <c r="AF40" s="107">
        <f t="shared" si="22"/>
        <v>0</v>
      </c>
      <c r="AG40" s="107">
        <f t="shared" si="23"/>
        <v>0</v>
      </c>
      <c r="AH40" s="108"/>
      <c r="AI40" s="104" t="s">
        <v>94</v>
      </c>
      <c r="AJ40" s="109"/>
      <c r="AK40" s="109"/>
    </row>
    <row r="41" spans="1:37" ht="15" customHeight="1" x14ac:dyDescent="0.35">
      <c r="A41" s="112"/>
      <c r="B41" s="99"/>
      <c r="C41" s="98"/>
      <c r="D41" s="98"/>
      <c r="E41" s="98"/>
      <c r="F41" s="111"/>
      <c r="G41" s="98"/>
      <c r="H41" s="110"/>
      <c r="I41" s="98"/>
      <c r="J41" s="101" t="str">
        <f t="shared" si="12"/>
        <v/>
      </c>
      <c r="K41" s="101" t="str">
        <f t="shared" si="13"/>
        <v>0</v>
      </c>
      <c r="L41" s="101" t="str">
        <f t="shared" si="14"/>
        <v/>
      </c>
      <c r="M41" s="101">
        <f>IFERROR(VLOOKUP(D41,Lista!A$3:D$33,3,0),1)</f>
        <v>1</v>
      </c>
      <c r="N41" s="101">
        <f>IFERROR(VLOOKUP(D41,Lista!A$3:E$33,5,0),1)</f>
        <v>1</v>
      </c>
      <c r="O41" s="102" t="str">
        <f t="shared" si="15"/>
        <v/>
      </c>
      <c r="P41" s="102">
        <f t="shared" si="16"/>
        <v>0</v>
      </c>
      <c r="Q41" s="102">
        <f t="shared" si="17"/>
        <v>0</v>
      </c>
      <c r="R41" s="103"/>
      <c r="S41" s="104" t="s">
        <v>94</v>
      </c>
      <c r="T41" s="105"/>
      <c r="U41" s="98"/>
      <c r="V41" s="98"/>
      <c r="W41" s="98"/>
      <c r="X41" s="98"/>
      <c r="Y41" s="98"/>
      <c r="Z41" s="101" t="str">
        <f t="shared" si="18"/>
        <v/>
      </c>
      <c r="AA41" s="101" t="str">
        <f t="shared" si="19"/>
        <v>0</v>
      </c>
      <c r="AB41" s="101" t="str">
        <f t="shared" si="20"/>
        <v/>
      </c>
      <c r="AC41" s="101">
        <f>IFERROR(VLOOKUP(V41,Lista!A$3:D$33,3,0),1)</f>
        <v>1</v>
      </c>
      <c r="AD41" s="101">
        <f>IFERROR(VLOOKUP(V41,Lista!A$3:E$33,5,0),1)</f>
        <v>1</v>
      </c>
      <c r="AE41" s="107" t="str">
        <f t="shared" si="21"/>
        <v/>
      </c>
      <c r="AF41" s="107">
        <f t="shared" si="22"/>
        <v>0</v>
      </c>
      <c r="AG41" s="107">
        <f t="shared" si="23"/>
        <v>0</v>
      </c>
      <c r="AH41" s="108"/>
      <c r="AI41" s="104" t="s">
        <v>94</v>
      </c>
      <c r="AJ41" s="109"/>
      <c r="AK41" s="109"/>
    </row>
    <row r="42" spans="1:37" ht="15" customHeight="1" x14ac:dyDescent="0.35">
      <c r="A42" s="112"/>
      <c r="B42" s="99"/>
      <c r="C42" s="98"/>
      <c r="D42" s="98"/>
      <c r="E42" s="98"/>
      <c r="F42" s="111"/>
      <c r="G42" s="98"/>
      <c r="H42" s="111"/>
      <c r="I42" s="98"/>
      <c r="J42" s="101" t="str">
        <f t="shared" si="12"/>
        <v/>
      </c>
      <c r="K42" s="101" t="str">
        <f t="shared" si="13"/>
        <v>0</v>
      </c>
      <c r="L42" s="101" t="str">
        <f t="shared" si="14"/>
        <v/>
      </c>
      <c r="M42" s="101">
        <f>IFERROR(VLOOKUP(D42,Lista!A$3:D$33,3,0),1)</f>
        <v>1</v>
      </c>
      <c r="N42" s="101">
        <f>IFERROR(VLOOKUP(D42,Lista!A$3:E$33,5,0),1)</f>
        <v>1</v>
      </c>
      <c r="O42" s="102" t="str">
        <f t="shared" si="15"/>
        <v/>
      </c>
      <c r="P42" s="102">
        <f t="shared" si="16"/>
        <v>0</v>
      </c>
      <c r="Q42" s="102">
        <f t="shared" si="17"/>
        <v>0</v>
      </c>
      <c r="R42" s="103"/>
      <c r="S42" s="104" t="s">
        <v>94</v>
      </c>
      <c r="T42" s="105"/>
      <c r="U42" s="98"/>
      <c r="V42" s="98"/>
      <c r="W42" s="98"/>
      <c r="X42" s="98"/>
      <c r="Y42" s="98"/>
      <c r="Z42" s="101" t="str">
        <f t="shared" si="18"/>
        <v/>
      </c>
      <c r="AA42" s="101" t="str">
        <f t="shared" si="19"/>
        <v>0</v>
      </c>
      <c r="AB42" s="101" t="str">
        <f t="shared" si="20"/>
        <v/>
      </c>
      <c r="AC42" s="101">
        <f>IFERROR(VLOOKUP(V42,Lista!A$3:D$33,3,0),1)</f>
        <v>1</v>
      </c>
      <c r="AD42" s="101">
        <f>IFERROR(VLOOKUP(V42,Lista!A$3:E$33,5,0),1)</f>
        <v>1</v>
      </c>
      <c r="AE42" s="107" t="str">
        <f t="shared" si="21"/>
        <v/>
      </c>
      <c r="AF42" s="107">
        <f t="shared" si="22"/>
        <v>0</v>
      </c>
      <c r="AG42" s="107">
        <f t="shared" si="23"/>
        <v>0</v>
      </c>
      <c r="AH42" s="108"/>
      <c r="AI42" s="104" t="s">
        <v>94</v>
      </c>
      <c r="AJ42" s="109"/>
      <c r="AK42" s="109"/>
    </row>
    <row r="43" spans="1:37" ht="15" customHeight="1" x14ac:dyDescent="0.35">
      <c r="A43" s="112"/>
      <c r="B43" s="99"/>
      <c r="C43" s="98"/>
      <c r="D43" s="98"/>
      <c r="E43" s="98"/>
      <c r="F43" s="111"/>
      <c r="G43" s="98"/>
      <c r="H43" s="111"/>
      <c r="I43" s="98"/>
      <c r="J43" s="101" t="str">
        <f t="shared" si="12"/>
        <v/>
      </c>
      <c r="K43" s="101" t="str">
        <f t="shared" si="13"/>
        <v>0</v>
      </c>
      <c r="L43" s="101" t="str">
        <f t="shared" si="14"/>
        <v/>
      </c>
      <c r="M43" s="101">
        <f>IFERROR(VLOOKUP(D43,Lista!A$3:D$33,3,0),1)</f>
        <v>1</v>
      </c>
      <c r="N43" s="101">
        <f>IFERROR(VLOOKUP(D43,Lista!A$3:E$33,5,0),1)</f>
        <v>1</v>
      </c>
      <c r="O43" s="102" t="str">
        <f t="shared" si="15"/>
        <v/>
      </c>
      <c r="P43" s="102">
        <f t="shared" si="16"/>
        <v>0</v>
      </c>
      <c r="Q43" s="102">
        <f t="shared" si="17"/>
        <v>0</v>
      </c>
      <c r="R43" s="103"/>
      <c r="S43" s="104" t="s">
        <v>94</v>
      </c>
      <c r="T43" s="105"/>
      <c r="U43" s="98"/>
      <c r="V43" s="98"/>
      <c r="W43" s="98"/>
      <c r="X43" s="98"/>
      <c r="Y43" s="98"/>
      <c r="Z43" s="101" t="str">
        <f t="shared" si="18"/>
        <v/>
      </c>
      <c r="AA43" s="101" t="str">
        <f t="shared" si="19"/>
        <v>0</v>
      </c>
      <c r="AB43" s="101" t="str">
        <f t="shared" si="20"/>
        <v/>
      </c>
      <c r="AC43" s="101">
        <f>IFERROR(VLOOKUP(V43,Lista!A$3:D$33,3,0),1)</f>
        <v>1</v>
      </c>
      <c r="AD43" s="101">
        <f>IFERROR(VLOOKUP(V43,Lista!A$3:E$33,5,0),1)</f>
        <v>1</v>
      </c>
      <c r="AE43" s="107" t="str">
        <f t="shared" si="21"/>
        <v/>
      </c>
      <c r="AF43" s="107">
        <f t="shared" si="22"/>
        <v>0</v>
      </c>
      <c r="AG43" s="107">
        <f t="shared" si="23"/>
        <v>0</v>
      </c>
      <c r="AH43" s="108"/>
      <c r="AI43" s="104" t="s">
        <v>94</v>
      </c>
      <c r="AJ43" s="109"/>
      <c r="AK43" s="109"/>
    </row>
    <row r="44" spans="1:37" ht="15" customHeight="1" x14ac:dyDescent="0.35">
      <c r="A44" s="112"/>
      <c r="B44" s="99"/>
      <c r="C44" s="98"/>
      <c r="D44" s="98"/>
      <c r="E44" s="98"/>
      <c r="F44" s="111"/>
      <c r="G44" s="98"/>
      <c r="H44" s="111"/>
      <c r="I44" s="98"/>
      <c r="J44" s="101" t="str">
        <f t="shared" si="12"/>
        <v/>
      </c>
      <c r="K44" s="101" t="str">
        <f t="shared" si="13"/>
        <v>0</v>
      </c>
      <c r="L44" s="101" t="str">
        <f t="shared" si="14"/>
        <v/>
      </c>
      <c r="M44" s="101">
        <f>IFERROR(VLOOKUP(D44,Lista!A$3:D$33,3,0),1)</f>
        <v>1</v>
      </c>
      <c r="N44" s="101">
        <f>IFERROR(VLOOKUP(D44,Lista!A$3:E$33,5,0),1)</f>
        <v>1</v>
      </c>
      <c r="O44" s="102" t="str">
        <f t="shared" si="15"/>
        <v/>
      </c>
      <c r="P44" s="102">
        <f t="shared" si="16"/>
        <v>0</v>
      </c>
      <c r="Q44" s="102">
        <f t="shared" si="17"/>
        <v>0</v>
      </c>
      <c r="R44" s="103"/>
      <c r="S44" s="104" t="s">
        <v>94</v>
      </c>
      <c r="T44" s="105"/>
      <c r="U44" s="98"/>
      <c r="V44" s="98"/>
      <c r="W44" s="98"/>
      <c r="X44" s="98"/>
      <c r="Y44" s="98"/>
      <c r="Z44" s="101" t="str">
        <f t="shared" si="18"/>
        <v/>
      </c>
      <c r="AA44" s="101" t="str">
        <f t="shared" si="19"/>
        <v>0</v>
      </c>
      <c r="AB44" s="101" t="str">
        <f t="shared" si="20"/>
        <v/>
      </c>
      <c r="AC44" s="101">
        <f>IFERROR(VLOOKUP(V44,Lista!A$3:D$33,3,0),1)</f>
        <v>1</v>
      </c>
      <c r="AD44" s="101">
        <f>IFERROR(VLOOKUP(V44,Lista!A$3:E$33,5,0),1)</f>
        <v>1</v>
      </c>
      <c r="AE44" s="107" t="str">
        <f t="shared" si="21"/>
        <v/>
      </c>
      <c r="AF44" s="107">
        <f t="shared" si="22"/>
        <v>0</v>
      </c>
      <c r="AG44" s="107">
        <f t="shared" si="23"/>
        <v>0</v>
      </c>
      <c r="AH44" s="108"/>
      <c r="AI44" s="104" t="s">
        <v>94</v>
      </c>
      <c r="AJ44" s="109"/>
      <c r="AK44" s="109"/>
    </row>
    <row r="45" spans="1:37" ht="15" customHeight="1" x14ac:dyDescent="0.35">
      <c r="A45" s="112"/>
      <c r="B45" s="99"/>
      <c r="C45" s="98"/>
      <c r="D45" s="98"/>
      <c r="E45" s="98"/>
      <c r="F45" s="111"/>
      <c r="G45" s="98"/>
      <c r="H45" s="111"/>
      <c r="I45" s="98"/>
      <c r="J45" s="101" t="str">
        <f t="shared" si="12"/>
        <v/>
      </c>
      <c r="K45" s="101" t="str">
        <f t="shared" si="13"/>
        <v>0</v>
      </c>
      <c r="L45" s="101" t="str">
        <f t="shared" si="14"/>
        <v/>
      </c>
      <c r="M45" s="101">
        <f>IFERROR(VLOOKUP(D45,Lista!A$3:D$33,3,0),1)</f>
        <v>1</v>
      </c>
      <c r="N45" s="101">
        <f>IFERROR(VLOOKUP(D45,Lista!A$3:E$33,5,0),1)</f>
        <v>1</v>
      </c>
      <c r="O45" s="102" t="str">
        <f t="shared" si="15"/>
        <v/>
      </c>
      <c r="P45" s="102">
        <f t="shared" si="16"/>
        <v>0</v>
      </c>
      <c r="Q45" s="102">
        <f t="shared" si="17"/>
        <v>0</v>
      </c>
      <c r="R45" s="103"/>
      <c r="S45" s="104" t="s">
        <v>94</v>
      </c>
      <c r="T45" s="105"/>
      <c r="U45" s="98"/>
      <c r="V45" s="98"/>
      <c r="W45" s="98"/>
      <c r="X45" s="98"/>
      <c r="Y45" s="98"/>
      <c r="Z45" s="101" t="str">
        <f t="shared" si="18"/>
        <v/>
      </c>
      <c r="AA45" s="101" t="str">
        <f t="shared" si="19"/>
        <v>0</v>
      </c>
      <c r="AB45" s="101" t="str">
        <f t="shared" si="20"/>
        <v/>
      </c>
      <c r="AC45" s="101">
        <f>IFERROR(VLOOKUP(V45,Lista!A$3:D$33,3,0),1)</f>
        <v>1</v>
      </c>
      <c r="AD45" s="101">
        <f>IFERROR(VLOOKUP(V45,Lista!A$3:E$33,5,0),1)</f>
        <v>1</v>
      </c>
      <c r="AE45" s="107" t="str">
        <f t="shared" si="21"/>
        <v/>
      </c>
      <c r="AF45" s="107">
        <f t="shared" si="22"/>
        <v>0</v>
      </c>
      <c r="AG45" s="107">
        <f t="shared" si="23"/>
        <v>0</v>
      </c>
      <c r="AH45" s="108"/>
      <c r="AI45" s="104" t="s">
        <v>94</v>
      </c>
      <c r="AJ45" s="109"/>
      <c r="AK45" s="109"/>
    </row>
    <row r="46" spans="1:37" ht="15" customHeight="1" x14ac:dyDescent="0.35">
      <c r="A46" s="112"/>
      <c r="B46" s="99"/>
      <c r="C46" s="98"/>
      <c r="D46" s="98"/>
      <c r="E46" s="98"/>
      <c r="F46" s="111"/>
      <c r="G46" s="98"/>
      <c r="H46" s="111"/>
      <c r="I46" s="98"/>
      <c r="J46" s="101" t="str">
        <f t="shared" si="12"/>
        <v/>
      </c>
      <c r="K46" s="101" t="str">
        <f t="shared" si="13"/>
        <v>0</v>
      </c>
      <c r="L46" s="101" t="str">
        <f t="shared" si="14"/>
        <v/>
      </c>
      <c r="M46" s="101">
        <f>IFERROR(VLOOKUP(D46,Lista!A$3:D$33,3,0),1)</f>
        <v>1</v>
      </c>
      <c r="N46" s="101">
        <f>IFERROR(VLOOKUP(D46,Lista!A$3:E$33,5,0),1)</f>
        <v>1</v>
      </c>
      <c r="O46" s="102" t="str">
        <f t="shared" si="15"/>
        <v/>
      </c>
      <c r="P46" s="102">
        <f t="shared" si="16"/>
        <v>0</v>
      </c>
      <c r="Q46" s="102">
        <f t="shared" si="17"/>
        <v>0</v>
      </c>
      <c r="R46" s="103"/>
      <c r="S46" s="104" t="s">
        <v>94</v>
      </c>
      <c r="T46" s="105"/>
      <c r="U46" s="98"/>
      <c r="V46" s="98"/>
      <c r="W46" s="98"/>
      <c r="X46" s="98"/>
      <c r="Y46" s="98"/>
      <c r="Z46" s="101" t="str">
        <f t="shared" si="18"/>
        <v/>
      </c>
      <c r="AA46" s="101" t="str">
        <f t="shared" si="19"/>
        <v>0</v>
      </c>
      <c r="AB46" s="101" t="str">
        <f t="shared" si="20"/>
        <v/>
      </c>
      <c r="AC46" s="101">
        <f>IFERROR(VLOOKUP(V46,Lista!A$3:D$33,3,0),1)</f>
        <v>1</v>
      </c>
      <c r="AD46" s="101">
        <f>IFERROR(VLOOKUP(V46,Lista!A$3:E$33,5,0),1)</f>
        <v>1</v>
      </c>
      <c r="AE46" s="107" t="str">
        <f t="shared" si="21"/>
        <v/>
      </c>
      <c r="AF46" s="107">
        <f t="shared" si="22"/>
        <v>0</v>
      </c>
      <c r="AG46" s="107">
        <f t="shared" si="23"/>
        <v>0</v>
      </c>
      <c r="AH46" s="108"/>
      <c r="AI46" s="104" t="s">
        <v>94</v>
      </c>
      <c r="AJ46" s="109"/>
      <c r="AK46" s="109"/>
    </row>
    <row r="47" spans="1:37" ht="15" customHeight="1" x14ac:dyDescent="0.35">
      <c r="A47" s="112"/>
      <c r="B47" s="99"/>
      <c r="C47" s="98"/>
      <c r="D47" s="98"/>
      <c r="E47" s="98"/>
      <c r="F47" s="111"/>
      <c r="G47" s="98"/>
      <c r="H47" s="111"/>
      <c r="I47" s="98"/>
      <c r="J47" s="101" t="str">
        <f t="shared" si="12"/>
        <v/>
      </c>
      <c r="K47" s="101" t="str">
        <f t="shared" si="13"/>
        <v>0</v>
      </c>
      <c r="L47" s="101" t="str">
        <f t="shared" si="14"/>
        <v/>
      </c>
      <c r="M47" s="101">
        <f>IFERROR(VLOOKUP(D47,Lista!A$3:D$33,3,0),1)</f>
        <v>1</v>
      </c>
      <c r="N47" s="101">
        <f>IFERROR(VLOOKUP(D47,Lista!A$3:E$33,5,0),1)</f>
        <v>1</v>
      </c>
      <c r="O47" s="102" t="str">
        <f t="shared" si="15"/>
        <v/>
      </c>
      <c r="P47" s="102">
        <f t="shared" si="16"/>
        <v>0</v>
      </c>
      <c r="Q47" s="102">
        <f t="shared" si="17"/>
        <v>0</v>
      </c>
      <c r="R47" s="103"/>
      <c r="S47" s="104" t="s">
        <v>94</v>
      </c>
      <c r="T47" s="105"/>
      <c r="U47" s="98"/>
      <c r="V47" s="98"/>
      <c r="W47" s="98"/>
      <c r="X47" s="98"/>
      <c r="Y47" s="98"/>
      <c r="Z47" s="101" t="str">
        <f t="shared" si="18"/>
        <v/>
      </c>
      <c r="AA47" s="101" t="str">
        <f t="shared" si="19"/>
        <v>0</v>
      </c>
      <c r="AB47" s="101" t="str">
        <f t="shared" si="20"/>
        <v/>
      </c>
      <c r="AC47" s="101">
        <f>IFERROR(VLOOKUP(V47,Lista!A$3:D$33,3,0),1)</f>
        <v>1</v>
      </c>
      <c r="AD47" s="101">
        <f>IFERROR(VLOOKUP(V47,Lista!A$3:E$33,5,0),1)</f>
        <v>1</v>
      </c>
      <c r="AE47" s="107" t="str">
        <f t="shared" si="21"/>
        <v/>
      </c>
      <c r="AF47" s="107">
        <f t="shared" si="22"/>
        <v>0</v>
      </c>
      <c r="AG47" s="107">
        <f t="shared" si="23"/>
        <v>0</v>
      </c>
      <c r="AH47" s="108"/>
      <c r="AI47" s="104" t="s">
        <v>94</v>
      </c>
      <c r="AJ47" s="109"/>
      <c r="AK47" s="109"/>
    </row>
    <row r="48" spans="1:37" ht="15" customHeight="1" x14ac:dyDescent="0.35">
      <c r="A48" s="112"/>
      <c r="B48" s="99"/>
      <c r="C48" s="98"/>
      <c r="D48" s="98"/>
      <c r="E48" s="98"/>
      <c r="F48" s="111"/>
      <c r="G48" s="98"/>
      <c r="H48" s="111"/>
      <c r="I48" s="98"/>
      <c r="J48" s="101" t="str">
        <f t="shared" si="12"/>
        <v/>
      </c>
      <c r="K48" s="101" t="str">
        <f t="shared" si="13"/>
        <v>0</v>
      </c>
      <c r="L48" s="101" t="str">
        <f t="shared" si="14"/>
        <v/>
      </c>
      <c r="M48" s="101">
        <f>IFERROR(VLOOKUP(D48,Lista!A$3:D$33,3,0),1)</f>
        <v>1</v>
      </c>
      <c r="N48" s="101">
        <f>IFERROR(VLOOKUP(D48,Lista!A$3:E$33,5,0),1)</f>
        <v>1</v>
      </c>
      <c r="O48" s="102" t="str">
        <f t="shared" si="15"/>
        <v/>
      </c>
      <c r="P48" s="102">
        <f t="shared" si="16"/>
        <v>0</v>
      </c>
      <c r="Q48" s="102">
        <f t="shared" si="17"/>
        <v>0</v>
      </c>
      <c r="R48" s="103"/>
      <c r="S48" s="104" t="s">
        <v>94</v>
      </c>
      <c r="T48" s="105"/>
      <c r="U48" s="98"/>
      <c r="V48" s="98"/>
      <c r="W48" s="98"/>
      <c r="X48" s="98"/>
      <c r="Y48" s="98"/>
      <c r="Z48" s="101" t="str">
        <f t="shared" si="18"/>
        <v/>
      </c>
      <c r="AA48" s="101" t="str">
        <f t="shared" si="19"/>
        <v>0</v>
      </c>
      <c r="AB48" s="101" t="str">
        <f t="shared" si="20"/>
        <v/>
      </c>
      <c r="AC48" s="101">
        <f>IFERROR(VLOOKUP(V48,Lista!A$3:D$33,3,0),1)</f>
        <v>1</v>
      </c>
      <c r="AD48" s="101">
        <f>IFERROR(VLOOKUP(V48,Lista!A$3:E$33,5,0),1)</f>
        <v>1</v>
      </c>
      <c r="AE48" s="107" t="str">
        <f t="shared" si="21"/>
        <v/>
      </c>
      <c r="AF48" s="107">
        <f t="shared" si="22"/>
        <v>0</v>
      </c>
      <c r="AG48" s="107">
        <f t="shared" si="23"/>
        <v>0</v>
      </c>
      <c r="AH48" s="108"/>
      <c r="AI48" s="104" t="s">
        <v>94</v>
      </c>
      <c r="AJ48" s="109"/>
      <c r="AK48" s="109"/>
    </row>
    <row r="49" spans="1:37" ht="15" customHeight="1" x14ac:dyDescent="0.35">
      <c r="A49" s="112"/>
      <c r="B49" s="99"/>
      <c r="C49" s="98"/>
      <c r="D49" s="98"/>
      <c r="E49" s="98"/>
      <c r="F49" s="111"/>
      <c r="G49" s="98"/>
      <c r="H49" s="111"/>
      <c r="I49" s="98"/>
      <c r="J49" s="101" t="str">
        <f t="shared" si="12"/>
        <v/>
      </c>
      <c r="K49" s="101" t="str">
        <f t="shared" si="13"/>
        <v>0</v>
      </c>
      <c r="L49" s="101" t="str">
        <f t="shared" si="14"/>
        <v/>
      </c>
      <c r="M49" s="101">
        <f>IFERROR(VLOOKUP(D49,Lista!A$3:D$33,3,0),1)</f>
        <v>1</v>
      </c>
      <c r="N49" s="101">
        <f>IFERROR(VLOOKUP(D49,Lista!A$3:E$33,5,0),1)</f>
        <v>1</v>
      </c>
      <c r="O49" s="102" t="str">
        <f t="shared" si="15"/>
        <v/>
      </c>
      <c r="P49" s="102">
        <f t="shared" si="16"/>
        <v>0</v>
      </c>
      <c r="Q49" s="102">
        <f t="shared" si="17"/>
        <v>0</v>
      </c>
      <c r="R49" s="103"/>
      <c r="S49" s="104" t="s">
        <v>94</v>
      </c>
      <c r="T49" s="105"/>
      <c r="U49" s="98"/>
      <c r="V49" s="98"/>
      <c r="W49" s="98"/>
      <c r="X49" s="98"/>
      <c r="Y49" s="98"/>
      <c r="Z49" s="101" t="str">
        <f t="shared" si="18"/>
        <v/>
      </c>
      <c r="AA49" s="101" t="str">
        <f t="shared" si="19"/>
        <v>0</v>
      </c>
      <c r="AB49" s="101" t="str">
        <f t="shared" si="20"/>
        <v/>
      </c>
      <c r="AC49" s="101">
        <f>IFERROR(VLOOKUP(V49,Lista!A$3:D$33,3,0),1)</f>
        <v>1</v>
      </c>
      <c r="AD49" s="101">
        <f>IFERROR(VLOOKUP(V49,Lista!A$3:E$33,5,0),1)</f>
        <v>1</v>
      </c>
      <c r="AE49" s="107" t="str">
        <f t="shared" si="21"/>
        <v/>
      </c>
      <c r="AF49" s="107">
        <f t="shared" si="22"/>
        <v>0</v>
      </c>
      <c r="AG49" s="107">
        <f t="shared" si="23"/>
        <v>0</v>
      </c>
      <c r="AH49" s="108"/>
      <c r="AI49" s="104" t="s">
        <v>94</v>
      </c>
      <c r="AJ49" s="109"/>
      <c r="AK49" s="109"/>
    </row>
    <row r="50" spans="1:37" ht="15" customHeight="1" x14ac:dyDescent="0.35">
      <c r="A50" s="112"/>
      <c r="B50" s="99"/>
      <c r="C50" s="98"/>
      <c r="D50" s="98"/>
      <c r="E50" s="98"/>
      <c r="F50" s="111"/>
      <c r="G50" s="98"/>
      <c r="H50" s="111"/>
      <c r="I50" s="98"/>
      <c r="J50" s="101" t="str">
        <f t="shared" si="12"/>
        <v/>
      </c>
      <c r="K50" s="101" t="str">
        <f t="shared" si="13"/>
        <v>0</v>
      </c>
      <c r="L50" s="101" t="str">
        <f t="shared" si="14"/>
        <v/>
      </c>
      <c r="M50" s="101">
        <f>IFERROR(VLOOKUP(D50,Lista!A$3:D$33,3,0),1)</f>
        <v>1</v>
      </c>
      <c r="N50" s="101">
        <f>IFERROR(VLOOKUP(D50,Lista!A$3:E$33,5,0),1)</f>
        <v>1</v>
      </c>
      <c r="O50" s="102" t="str">
        <f t="shared" si="15"/>
        <v/>
      </c>
      <c r="P50" s="102">
        <f t="shared" si="16"/>
        <v>0</v>
      </c>
      <c r="Q50" s="102">
        <f t="shared" si="17"/>
        <v>0</v>
      </c>
      <c r="R50" s="103"/>
      <c r="S50" s="104" t="s">
        <v>94</v>
      </c>
      <c r="T50" s="105"/>
      <c r="U50" s="98"/>
      <c r="V50" s="98"/>
      <c r="W50" s="98"/>
      <c r="X50" s="98"/>
      <c r="Y50" s="98"/>
      <c r="Z50" s="101" t="str">
        <f t="shared" si="18"/>
        <v/>
      </c>
      <c r="AA50" s="101" t="str">
        <f t="shared" si="19"/>
        <v>0</v>
      </c>
      <c r="AB50" s="101" t="str">
        <f t="shared" si="20"/>
        <v/>
      </c>
      <c r="AC50" s="101">
        <f>IFERROR(VLOOKUP(V50,Lista!A$3:D$33,3,0),1)</f>
        <v>1</v>
      </c>
      <c r="AD50" s="101">
        <f>IFERROR(VLOOKUP(V50,Lista!A$3:E$33,5,0),1)</f>
        <v>1</v>
      </c>
      <c r="AE50" s="107" t="str">
        <f t="shared" si="21"/>
        <v/>
      </c>
      <c r="AF50" s="107">
        <f t="shared" si="22"/>
        <v>0</v>
      </c>
      <c r="AG50" s="107">
        <f t="shared" si="23"/>
        <v>0</v>
      </c>
      <c r="AH50" s="108"/>
      <c r="AI50" s="104" t="s">
        <v>94</v>
      </c>
      <c r="AJ50" s="109"/>
      <c r="AK50" s="109"/>
    </row>
    <row r="51" spans="1:37" ht="15" customHeight="1" x14ac:dyDescent="0.35">
      <c r="A51" s="112"/>
      <c r="B51" s="99"/>
      <c r="C51" s="98"/>
      <c r="D51" s="98"/>
      <c r="E51" s="98"/>
      <c r="F51" s="111"/>
      <c r="G51" s="98"/>
      <c r="H51" s="111"/>
      <c r="I51" s="98"/>
      <c r="J51" s="101" t="str">
        <f t="shared" si="12"/>
        <v/>
      </c>
      <c r="K51" s="101" t="str">
        <f t="shared" si="13"/>
        <v>0</v>
      </c>
      <c r="L51" s="101" t="str">
        <f t="shared" si="14"/>
        <v/>
      </c>
      <c r="M51" s="101">
        <f>IFERROR(VLOOKUP(D51,Lista!A$3:D$33,3,0),1)</f>
        <v>1</v>
      </c>
      <c r="N51" s="101">
        <f>IFERROR(VLOOKUP(D51,Lista!A$3:E$33,5,0),1)</f>
        <v>1</v>
      </c>
      <c r="O51" s="102" t="str">
        <f t="shared" si="15"/>
        <v/>
      </c>
      <c r="P51" s="102">
        <f t="shared" si="16"/>
        <v>0</v>
      </c>
      <c r="Q51" s="102">
        <f t="shared" si="17"/>
        <v>0</v>
      </c>
      <c r="R51" s="103"/>
      <c r="S51" s="104" t="s">
        <v>94</v>
      </c>
      <c r="T51" s="105"/>
      <c r="U51" s="98"/>
      <c r="V51" s="98"/>
      <c r="W51" s="98"/>
      <c r="X51" s="98"/>
      <c r="Y51" s="98"/>
      <c r="Z51" s="101" t="str">
        <f t="shared" si="18"/>
        <v/>
      </c>
      <c r="AA51" s="101" t="str">
        <f t="shared" si="19"/>
        <v>0</v>
      </c>
      <c r="AB51" s="101" t="str">
        <f t="shared" si="20"/>
        <v/>
      </c>
      <c r="AC51" s="101">
        <f>IFERROR(VLOOKUP(V51,Lista!A$3:D$33,3,0),1)</f>
        <v>1</v>
      </c>
      <c r="AD51" s="101">
        <f>IFERROR(VLOOKUP(V51,Lista!A$3:E$33,5,0),1)</f>
        <v>1</v>
      </c>
      <c r="AE51" s="107" t="str">
        <f t="shared" si="21"/>
        <v/>
      </c>
      <c r="AF51" s="107">
        <f t="shared" si="22"/>
        <v>0</v>
      </c>
      <c r="AG51" s="107">
        <f t="shared" si="23"/>
        <v>0</v>
      </c>
      <c r="AH51" s="108"/>
      <c r="AI51" s="104" t="s">
        <v>94</v>
      </c>
      <c r="AJ51" s="109"/>
      <c r="AK51" s="109"/>
    </row>
    <row r="52" spans="1:37" ht="15" customHeight="1" x14ac:dyDescent="0.35">
      <c r="A52" s="112"/>
      <c r="B52" s="99"/>
      <c r="C52" s="98"/>
      <c r="D52" s="98"/>
      <c r="E52" s="98"/>
      <c r="F52" s="111"/>
      <c r="G52" s="98"/>
      <c r="H52" s="111"/>
      <c r="I52" s="98"/>
      <c r="J52" s="101" t="str">
        <f t="shared" si="12"/>
        <v/>
      </c>
      <c r="K52" s="101" t="str">
        <f t="shared" si="13"/>
        <v>0</v>
      </c>
      <c r="L52" s="101" t="str">
        <f t="shared" si="14"/>
        <v/>
      </c>
      <c r="M52" s="101">
        <f>IFERROR(VLOOKUP(D52,Lista!A$3:D$33,3,0),1)</f>
        <v>1</v>
      </c>
      <c r="N52" s="101">
        <f>IFERROR(VLOOKUP(D52,Lista!A$3:E$33,5,0),1)</f>
        <v>1</v>
      </c>
      <c r="O52" s="102" t="str">
        <f t="shared" si="15"/>
        <v/>
      </c>
      <c r="P52" s="102">
        <f t="shared" si="16"/>
        <v>0</v>
      </c>
      <c r="Q52" s="102">
        <f t="shared" si="17"/>
        <v>0</v>
      </c>
      <c r="R52" s="103"/>
      <c r="S52" s="104" t="s">
        <v>94</v>
      </c>
      <c r="T52" s="105"/>
      <c r="U52" s="98"/>
      <c r="V52" s="98"/>
      <c r="W52" s="98"/>
      <c r="X52" s="98"/>
      <c r="Y52" s="98"/>
      <c r="Z52" s="101" t="str">
        <f t="shared" si="18"/>
        <v/>
      </c>
      <c r="AA52" s="101" t="str">
        <f t="shared" si="19"/>
        <v>0</v>
      </c>
      <c r="AB52" s="101" t="str">
        <f t="shared" si="20"/>
        <v/>
      </c>
      <c r="AC52" s="101">
        <f>IFERROR(VLOOKUP(V52,Lista!A$3:D$33,3,0),1)</f>
        <v>1</v>
      </c>
      <c r="AD52" s="101">
        <f>IFERROR(VLOOKUP(V52,Lista!A$3:E$33,5,0),1)</f>
        <v>1</v>
      </c>
      <c r="AE52" s="107" t="str">
        <f t="shared" si="21"/>
        <v/>
      </c>
      <c r="AF52" s="107">
        <f t="shared" si="22"/>
        <v>0</v>
      </c>
      <c r="AG52" s="107">
        <f t="shared" si="23"/>
        <v>0</v>
      </c>
      <c r="AH52" s="108"/>
      <c r="AI52" s="104" t="s">
        <v>94</v>
      </c>
      <c r="AJ52" s="109"/>
      <c r="AK52" s="109"/>
    </row>
    <row r="53" spans="1:37" ht="15" customHeight="1" x14ac:dyDescent="0.35">
      <c r="A53" s="112"/>
      <c r="B53" s="99"/>
      <c r="C53" s="98"/>
      <c r="D53" s="98"/>
      <c r="E53" s="98"/>
      <c r="F53" s="111"/>
      <c r="G53" s="98"/>
      <c r="H53" s="111"/>
      <c r="I53" s="98"/>
      <c r="J53" s="101" t="str">
        <f t="shared" si="12"/>
        <v/>
      </c>
      <c r="K53" s="101" t="str">
        <f t="shared" si="13"/>
        <v>0</v>
      </c>
      <c r="L53" s="101" t="str">
        <f t="shared" si="14"/>
        <v/>
      </c>
      <c r="M53" s="101">
        <f>IFERROR(VLOOKUP(D53,Lista!A$3:D$33,3,0),1)</f>
        <v>1</v>
      </c>
      <c r="N53" s="101">
        <f>IFERROR(VLOOKUP(D53,Lista!A$3:E$33,5,0),1)</f>
        <v>1</v>
      </c>
      <c r="O53" s="102" t="str">
        <f t="shared" si="15"/>
        <v/>
      </c>
      <c r="P53" s="102">
        <f t="shared" si="16"/>
        <v>0</v>
      </c>
      <c r="Q53" s="102">
        <f t="shared" si="17"/>
        <v>0</v>
      </c>
      <c r="R53" s="103"/>
      <c r="S53" s="104" t="s">
        <v>94</v>
      </c>
      <c r="T53" s="105"/>
      <c r="U53" s="98"/>
      <c r="V53" s="98"/>
      <c r="W53" s="98"/>
      <c r="X53" s="98"/>
      <c r="Y53" s="98"/>
      <c r="Z53" s="101" t="str">
        <f t="shared" si="18"/>
        <v/>
      </c>
      <c r="AA53" s="101" t="str">
        <f t="shared" si="19"/>
        <v>0</v>
      </c>
      <c r="AB53" s="101" t="str">
        <f t="shared" si="20"/>
        <v/>
      </c>
      <c r="AC53" s="101">
        <f>IFERROR(VLOOKUP(V53,Lista!A$3:D$33,3,0),1)</f>
        <v>1</v>
      </c>
      <c r="AD53" s="101">
        <f>IFERROR(VLOOKUP(V53,Lista!A$3:E$33,5,0),1)</f>
        <v>1</v>
      </c>
      <c r="AE53" s="107" t="str">
        <f t="shared" si="21"/>
        <v/>
      </c>
      <c r="AF53" s="107">
        <f t="shared" si="22"/>
        <v>0</v>
      </c>
      <c r="AG53" s="107">
        <f t="shared" si="23"/>
        <v>0</v>
      </c>
      <c r="AH53" s="108"/>
      <c r="AI53" s="104" t="s">
        <v>94</v>
      </c>
      <c r="AJ53" s="109"/>
      <c r="AK53" s="109"/>
    </row>
    <row r="54" spans="1:37" ht="15" customHeight="1" x14ac:dyDescent="0.35">
      <c r="A54" s="112"/>
      <c r="B54" s="99"/>
      <c r="C54" s="98"/>
      <c r="D54" s="98"/>
      <c r="E54" s="98"/>
      <c r="F54" s="111"/>
      <c r="G54" s="98"/>
      <c r="H54" s="111"/>
      <c r="I54" s="98"/>
      <c r="J54" s="101" t="str">
        <f t="shared" si="12"/>
        <v/>
      </c>
      <c r="K54" s="101" t="str">
        <f t="shared" si="13"/>
        <v>0</v>
      </c>
      <c r="L54" s="101" t="str">
        <f t="shared" si="14"/>
        <v/>
      </c>
      <c r="M54" s="101">
        <f>IFERROR(VLOOKUP(D54,Lista!A$3:D$33,3,0),1)</f>
        <v>1</v>
      </c>
      <c r="N54" s="101">
        <f>IFERROR(VLOOKUP(D54,Lista!A$3:E$33,5,0),1)</f>
        <v>1</v>
      </c>
      <c r="O54" s="102" t="str">
        <f t="shared" si="15"/>
        <v/>
      </c>
      <c r="P54" s="102">
        <f t="shared" si="16"/>
        <v>0</v>
      </c>
      <c r="Q54" s="102">
        <f t="shared" si="17"/>
        <v>0</v>
      </c>
      <c r="R54" s="103"/>
      <c r="S54" s="104" t="s">
        <v>94</v>
      </c>
      <c r="T54" s="105"/>
      <c r="U54" s="98"/>
      <c r="V54" s="98"/>
      <c r="W54" s="98"/>
      <c r="X54" s="98"/>
      <c r="Y54" s="98"/>
      <c r="Z54" s="101" t="str">
        <f t="shared" si="18"/>
        <v/>
      </c>
      <c r="AA54" s="101" t="str">
        <f t="shared" si="19"/>
        <v>0</v>
      </c>
      <c r="AB54" s="101" t="str">
        <f t="shared" si="20"/>
        <v/>
      </c>
      <c r="AC54" s="101">
        <f>IFERROR(VLOOKUP(V54,Lista!A$3:D$33,3,0),1)</f>
        <v>1</v>
      </c>
      <c r="AD54" s="101">
        <f>IFERROR(VLOOKUP(V54,Lista!A$3:E$33,5,0),1)</f>
        <v>1</v>
      </c>
      <c r="AE54" s="107" t="str">
        <f t="shared" si="21"/>
        <v/>
      </c>
      <c r="AF54" s="107">
        <f t="shared" si="22"/>
        <v>0</v>
      </c>
      <c r="AG54" s="107">
        <f t="shared" si="23"/>
        <v>0</v>
      </c>
      <c r="AH54" s="108"/>
      <c r="AI54" s="104" t="s">
        <v>94</v>
      </c>
      <c r="AJ54" s="109"/>
      <c r="AK54" s="109"/>
    </row>
    <row r="55" spans="1:37" ht="15" customHeight="1" x14ac:dyDescent="0.35">
      <c r="A55" s="112"/>
      <c r="B55" s="99"/>
      <c r="C55" s="98"/>
      <c r="D55" s="98"/>
      <c r="E55" s="98"/>
      <c r="F55" s="111"/>
      <c r="G55" s="98"/>
      <c r="H55" s="111"/>
      <c r="I55" s="98"/>
      <c r="J55" s="101" t="str">
        <f t="shared" si="12"/>
        <v/>
      </c>
      <c r="K55" s="101" t="str">
        <f t="shared" si="13"/>
        <v>0</v>
      </c>
      <c r="L55" s="101" t="str">
        <f t="shared" si="14"/>
        <v/>
      </c>
      <c r="M55" s="101">
        <f>IFERROR(VLOOKUP(D55,Lista!A$3:D$33,3,0),1)</f>
        <v>1</v>
      </c>
      <c r="N55" s="101">
        <f>IFERROR(VLOOKUP(D55,Lista!A$3:E$33,5,0),1)</f>
        <v>1</v>
      </c>
      <c r="O55" s="102" t="str">
        <f t="shared" si="15"/>
        <v/>
      </c>
      <c r="P55" s="102">
        <f t="shared" si="16"/>
        <v>0</v>
      </c>
      <c r="Q55" s="102">
        <f t="shared" si="17"/>
        <v>0</v>
      </c>
      <c r="R55" s="103"/>
      <c r="S55" s="104" t="s">
        <v>94</v>
      </c>
      <c r="T55" s="105"/>
      <c r="U55" s="98"/>
      <c r="V55" s="98"/>
      <c r="W55" s="98"/>
      <c r="X55" s="98"/>
      <c r="Y55" s="98"/>
      <c r="Z55" s="101" t="str">
        <f t="shared" si="18"/>
        <v/>
      </c>
      <c r="AA55" s="101" t="str">
        <f t="shared" si="19"/>
        <v>0</v>
      </c>
      <c r="AB55" s="101" t="str">
        <f t="shared" si="20"/>
        <v/>
      </c>
      <c r="AC55" s="101">
        <f>IFERROR(VLOOKUP(V55,Lista!A$3:D$33,3,0),1)</f>
        <v>1</v>
      </c>
      <c r="AD55" s="101">
        <f>IFERROR(VLOOKUP(V55,Lista!A$3:E$33,5,0),1)</f>
        <v>1</v>
      </c>
      <c r="AE55" s="107" t="str">
        <f t="shared" si="21"/>
        <v/>
      </c>
      <c r="AF55" s="107">
        <f t="shared" si="22"/>
        <v>0</v>
      </c>
      <c r="AG55" s="107">
        <f t="shared" si="23"/>
        <v>0</v>
      </c>
      <c r="AH55" s="108"/>
      <c r="AI55" s="104" t="s">
        <v>94</v>
      </c>
      <c r="AJ55" s="109"/>
      <c r="AK55" s="109"/>
    </row>
    <row r="56" spans="1:37" ht="15" customHeight="1" x14ac:dyDescent="0.35">
      <c r="A56" s="112"/>
      <c r="B56" s="99"/>
      <c r="C56" s="98"/>
      <c r="D56" s="98"/>
      <c r="E56" s="98"/>
      <c r="F56" s="111"/>
      <c r="G56" s="98"/>
      <c r="H56" s="111"/>
      <c r="I56" s="98"/>
      <c r="J56" s="101" t="str">
        <f t="shared" si="12"/>
        <v/>
      </c>
      <c r="K56" s="101" t="str">
        <f t="shared" si="13"/>
        <v>0</v>
      </c>
      <c r="L56" s="101" t="str">
        <f t="shared" si="14"/>
        <v/>
      </c>
      <c r="M56" s="101">
        <f>IFERROR(VLOOKUP(D56,Lista!A$3:D$33,3,0),1)</f>
        <v>1</v>
      </c>
      <c r="N56" s="101">
        <f>IFERROR(VLOOKUP(D56,Lista!A$3:E$33,5,0),1)</f>
        <v>1</v>
      </c>
      <c r="O56" s="102" t="str">
        <f t="shared" si="15"/>
        <v/>
      </c>
      <c r="P56" s="102">
        <f t="shared" si="16"/>
        <v>0</v>
      </c>
      <c r="Q56" s="102">
        <f t="shared" si="17"/>
        <v>0</v>
      </c>
      <c r="R56" s="103"/>
      <c r="S56" s="104" t="s">
        <v>94</v>
      </c>
      <c r="T56" s="105"/>
      <c r="U56" s="98"/>
      <c r="V56" s="98"/>
      <c r="W56" s="98"/>
      <c r="X56" s="98"/>
      <c r="Y56" s="98"/>
      <c r="Z56" s="101" t="str">
        <f t="shared" si="18"/>
        <v/>
      </c>
      <c r="AA56" s="101" t="str">
        <f t="shared" si="19"/>
        <v>0</v>
      </c>
      <c r="AB56" s="101" t="str">
        <f t="shared" si="20"/>
        <v/>
      </c>
      <c r="AC56" s="101">
        <f>IFERROR(VLOOKUP(V56,Lista!A$3:D$33,3,0),1)</f>
        <v>1</v>
      </c>
      <c r="AD56" s="101">
        <f>IFERROR(VLOOKUP(V56,Lista!A$3:E$33,5,0),1)</f>
        <v>1</v>
      </c>
      <c r="AE56" s="107" t="str">
        <f t="shared" si="21"/>
        <v/>
      </c>
      <c r="AF56" s="107">
        <f t="shared" si="22"/>
        <v>0</v>
      </c>
      <c r="AG56" s="107">
        <f t="shared" si="23"/>
        <v>0</v>
      </c>
      <c r="AH56" s="108"/>
      <c r="AI56" s="104" t="s">
        <v>94</v>
      </c>
      <c r="AJ56" s="109"/>
      <c r="AK56" s="109"/>
    </row>
    <row r="57" spans="1:37" ht="15" customHeight="1" x14ac:dyDescent="0.35">
      <c r="A57" s="112"/>
      <c r="B57" s="99"/>
      <c r="C57" s="98"/>
      <c r="D57" s="98"/>
      <c r="E57" s="98"/>
      <c r="F57" s="111"/>
      <c r="G57" s="98"/>
      <c r="H57" s="111"/>
      <c r="I57" s="98"/>
      <c r="J57" s="101" t="str">
        <f t="shared" si="12"/>
        <v/>
      </c>
      <c r="K57" s="101" t="str">
        <f t="shared" si="13"/>
        <v>0</v>
      </c>
      <c r="L57" s="101" t="str">
        <f t="shared" si="14"/>
        <v/>
      </c>
      <c r="M57" s="101">
        <f>IFERROR(VLOOKUP(D57,Lista!A$3:D$33,3,0),1)</f>
        <v>1</v>
      </c>
      <c r="N57" s="101">
        <f>IFERROR(VLOOKUP(D57,Lista!A$3:E$33,5,0),1)</f>
        <v>1</v>
      </c>
      <c r="O57" s="102" t="str">
        <f t="shared" si="15"/>
        <v/>
      </c>
      <c r="P57" s="102">
        <f t="shared" si="16"/>
        <v>0</v>
      </c>
      <c r="Q57" s="102">
        <f t="shared" si="17"/>
        <v>0</v>
      </c>
      <c r="R57" s="103"/>
      <c r="S57" s="104" t="s">
        <v>94</v>
      </c>
      <c r="T57" s="105"/>
      <c r="U57" s="98"/>
      <c r="V57" s="98"/>
      <c r="W57" s="98"/>
      <c r="X57" s="98"/>
      <c r="Y57" s="98"/>
      <c r="Z57" s="101" t="str">
        <f t="shared" si="18"/>
        <v/>
      </c>
      <c r="AA57" s="101" t="str">
        <f t="shared" si="19"/>
        <v>0</v>
      </c>
      <c r="AB57" s="101" t="str">
        <f t="shared" si="20"/>
        <v/>
      </c>
      <c r="AC57" s="101">
        <f>IFERROR(VLOOKUP(V57,Lista!A$3:D$33,3,0),1)</f>
        <v>1</v>
      </c>
      <c r="AD57" s="101">
        <f>IFERROR(VLOOKUP(V57,Lista!A$3:E$33,5,0),1)</f>
        <v>1</v>
      </c>
      <c r="AE57" s="107" t="str">
        <f t="shared" si="21"/>
        <v/>
      </c>
      <c r="AF57" s="107">
        <f t="shared" si="22"/>
        <v>0</v>
      </c>
      <c r="AG57" s="107">
        <f t="shared" si="23"/>
        <v>0</v>
      </c>
      <c r="AH57" s="108"/>
      <c r="AI57" s="104" t="s">
        <v>94</v>
      </c>
      <c r="AJ57" s="109"/>
      <c r="AK57" s="109"/>
    </row>
    <row r="58" spans="1:37" ht="15" customHeight="1" x14ac:dyDescent="0.35">
      <c r="A58" s="112"/>
      <c r="B58" s="99"/>
      <c r="C58" s="98"/>
      <c r="D58" s="98"/>
      <c r="E58" s="98"/>
      <c r="F58" s="111"/>
      <c r="G58" s="98"/>
      <c r="H58" s="111"/>
      <c r="I58" s="98"/>
      <c r="J58" s="101" t="str">
        <f t="shared" si="12"/>
        <v/>
      </c>
      <c r="K58" s="101" t="str">
        <f t="shared" si="13"/>
        <v>0</v>
      </c>
      <c r="L58" s="101" t="str">
        <f t="shared" si="14"/>
        <v/>
      </c>
      <c r="M58" s="101">
        <f>IFERROR(VLOOKUP(D58,Lista!A$3:D$33,3,0),1)</f>
        <v>1</v>
      </c>
      <c r="N58" s="101">
        <f>IFERROR(VLOOKUP(D58,Lista!A$3:E$33,5,0),1)</f>
        <v>1</v>
      </c>
      <c r="O58" s="102" t="str">
        <f t="shared" si="15"/>
        <v/>
      </c>
      <c r="P58" s="102">
        <f t="shared" si="16"/>
        <v>0</v>
      </c>
      <c r="Q58" s="102">
        <f t="shared" si="17"/>
        <v>0</v>
      </c>
      <c r="R58" s="103"/>
      <c r="S58" s="104" t="s">
        <v>94</v>
      </c>
      <c r="T58" s="105"/>
      <c r="U58" s="98"/>
      <c r="V58" s="98"/>
      <c r="W58" s="98"/>
      <c r="X58" s="98"/>
      <c r="Y58" s="98"/>
      <c r="Z58" s="101" t="str">
        <f t="shared" si="18"/>
        <v/>
      </c>
      <c r="AA58" s="101" t="str">
        <f t="shared" si="19"/>
        <v>0</v>
      </c>
      <c r="AB58" s="101" t="str">
        <f t="shared" si="20"/>
        <v/>
      </c>
      <c r="AC58" s="101">
        <f>IFERROR(VLOOKUP(V58,Lista!A$3:D$33,3,0),1)</f>
        <v>1</v>
      </c>
      <c r="AD58" s="101">
        <f>IFERROR(VLOOKUP(V58,Lista!A$3:E$33,5,0),1)</f>
        <v>1</v>
      </c>
      <c r="AE58" s="107" t="str">
        <f t="shared" si="21"/>
        <v/>
      </c>
      <c r="AF58" s="107">
        <f t="shared" si="22"/>
        <v>0</v>
      </c>
      <c r="AG58" s="107">
        <f t="shared" si="23"/>
        <v>0</v>
      </c>
      <c r="AH58" s="108"/>
      <c r="AI58" s="104" t="s">
        <v>94</v>
      </c>
      <c r="AJ58" s="109"/>
      <c r="AK58" s="109"/>
    </row>
    <row r="59" spans="1:37" ht="15" customHeight="1" x14ac:dyDescent="0.35">
      <c r="A59" s="112"/>
      <c r="B59" s="99"/>
      <c r="C59" s="98"/>
      <c r="D59" s="98"/>
      <c r="E59" s="98"/>
      <c r="F59" s="111"/>
      <c r="G59" s="98"/>
      <c r="H59" s="111"/>
      <c r="I59" s="98"/>
      <c r="J59" s="101" t="str">
        <f t="shared" si="12"/>
        <v/>
      </c>
      <c r="K59" s="101" t="str">
        <f t="shared" si="13"/>
        <v>0</v>
      </c>
      <c r="L59" s="101" t="str">
        <f t="shared" si="14"/>
        <v/>
      </c>
      <c r="M59" s="101">
        <f>IFERROR(VLOOKUP(D59,Lista!A$3:D$33,3,0),1)</f>
        <v>1</v>
      </c>
      <c r="N59" s="101">
        <f>IFERROR(VLOOKUP(D59,Lista!A$3:E$33,5,0),1)</f>
        <v>1</v>
      </c>
      <c r="O59" s="102" t="str">
        <f t="shared" si="15"/>
        <v/>
      </c>
      <c r="P59" s="102">
        <f t="shared" si="16"/>
        <v>0</v>
      </c>
      <c r="Q59" s="102">
        <f t="shared" si="17"/>
        <v>0</v>
      </c>
      <c r="R59" s="103"/>
      <c r="S59" s="104" t="s">
        <v>94</v>
      </c>
      <c r="T59" s="105"/>
      <c r="U59" s="98"/>
      <c r="V59" s="98"/>
      <c r="W59" s="98"/>
      <c r="X59" s="98"/>
      <c r="Y59" s="98"/>
      <c r="Z59" s="101" t="str">
        <f t="shared" si="18"/>
        <v/>
      </c>
      <c r="AA59" s="101" t="str">
        <f t="shared" si="19"/>
        <v>0</v>
      </c>
      <c r="AB59" s="101" t="str">
        <f t="shared" si="20"/>
        <v/>
      </c>
      <c r="AC59" s="101">
        <f>IFERROR(VLOOKUP(V59,Lista!A$3:D$33,3,0),1)</f>
        <v>1</v>
      </c>
      <c r="AD59" s="101">
        <f>IFERROR(VLOOKUP(V59,Lista!A$3:E$33,5,0),1)</f>
        <v>1</v>
      </c>
      <c r="AE59" s="107" t="str">
        <f t="shared" si="21"/>
        <v/>
      </c>
      <c r="AF59" s="107">
        <f t="shared" si="22"/>
        <v>0</v>
      </c>
      <c r="AG59" s="107">
        <f t="shared" si="23"/>
        <v>0</v>
      </c>
      <c r="AH59" s="108"/>
      <c r="AI59" s="104" t="s">
        <v>94</v>
      </c>
      <c r="AJ59" s="109"/>
      <c r="AK59" s="109"/>
    </row>
    <row r="60" spans="1:37" ht="15" customHeight="1" x14ac:dyDescent="0.35">
      <c r="A60" s="112"/>
      <c r="B60" s="99"/>
      <c r="C60" s="98"/>
      <c r="D60" s="98"/>
      <c r="E60" s="98"/>
      <c r="F60" s="111"/>
      <c r="G60" s="98"/>
      <c r="H60" s="111"/>
      <c r="I60" s="98"/>
      <c r="J60" s="101" t="str">
        <f t="shared" si="12"/>
        <v/>
      </c>
      <c r="K60" s="101" t="str">
        <f t="shared" si="13"/>
        <v>0</v>
      </c>
      <c r="L60" s="101" t="str">
        <f t="shared" si="14"/>
        <v/>
      </c>
      <c r="M60" s="101">
        <f>IFERROR(VLOOKUP(D60,Lista!A$3:D$33,3,0),1)</f>
        <v>1</v>
      </c>
      <c r="N60" s="101">
        <f>IFERROR(VLOOKUP(D60,Lista!A$3:E$33,5,0),1)</f>
        <v>1</v>
      </c>
      <c r="O60" s="102" t="str">
        <f t="shared" si="15"/>
        <v/>
      </c>
      <c r="P60" s="102">
        <f t="shared" si="16"/>
        <v>0</v>
      </c>
      <c r="Q60" s="102">
        <f t="shared" si="17"/>
        <v>0</v>
      </c>
      <c r="R60" s="103"/>
      <c r="S60" s="104" t="s">
        <v>94</v>
      </c>
      <c r="T60" s="105"/>
      <c r="U60" s="98"/>
      <c r="V60" s="98"/>
      <c r="W60" s="98"/>
      <c r="X60" s="98"/>
      <c r="Y60" s="98"/>
      <c r="Z60" s="101" t="str">
        <f t="shared" si="18"/>
        <v/>
      </c>
      <c r="AA60" s="101" t="str">
        <f t="shared" si="19"/>
        <v>0</v>
      </c>
      <c r="AB60" s="101" t="str">
        <f t="shared" si="20"/>
        <v/>
      </c>
      <c r="AC60" s="101">
        <f>IFERROR(VLOOKUP(V60,Lista!A$3:D$33,3,0),1)</f>
        <v>1</v>
      </c>
      <c r="AD60" s="101">
        <f>IFERROR(VLOOKUP(V60,Lista!A$3:E$33,5,0),1)</f>
        <v>1</v>
      </c>
      <c r="AE60" s="107" t="str">
        <f t="shared" si="21"/>
        <v/>
      </c>
      <c r="AF60" s="107">
        <f t="shared" si="22"/>
        <v>0</v>
      </c>
      <c r="AG60" s="107">
        <f t="shared" si="23"/>
        <v>0</v>
      </c>
      <c r="AH60" s="108"/>
      <c r="AI60" s="104" t="s">
        <v>94</v>
      </c>
      <c r="AJ60" s="109"/>
      <c r="AK60" s="109"/>
    </row>
    <row r="61" spans="1:37" ht="15" customHeight="1" x14ac:dyDescent="0.35">
      <c r="A61" s="112"/>
      <c r="B61" s="99"/>
      <c r="C61" s="98"/>
      <c r="D61" s="98"/>
      <c r="E61" s="98"/>
      <c r="F61" s="111"/>
      <c r="G61" s="98"/>
      <c r="H61" s="111"/>
      <c r="I61" s="98"/>
      <c r="J61" s="101" t="str">
        <f t="shared" si="12"/>
        <v/>
      </c>
      <c r="K61" s="101" t="str">
        <f t="shared" si="13"/>
        <v>0</v>
      </c>
      <c r="L61" s="101" t="str">
        <f t="shared" si="14"/>
        <v/>
      </c>
      <c r="M61" s="101">
        <f>IFERROR(VLOOKUP(D61,Lista!A$3:D$33,3,0),1)</f>
        <v>1</v>
      </c>
      <c r="N61" s="101">
        <f>IFERROR(VLOOKUP(D61,Lista!A$3:E$33,5,0),1)</f>
        <v>1</v>
      </c>
      <c r="O61" s="102" t="str">
        <f t="shared" si="15"/>
        <v/>
      </c>
      <c r="P61" s="102">
        <f t="shared" si="16"/>
        <v>0</v>
      </c>
      <c r="Q61" s="102">
        <f t="shared" si="17"/>
        <v>0</v>
      </c>
      <c r="R61" s="103"/>
      <c r="S61" s="104" t="s">
        <v>94</v>
      </c>
      <c r="T61" s="105"/>
      <c r="U61" s="98"/>
      <c r="V61" s="98"/>
      <c r="W61" s="98"/>
      <c r="X61" s="98"/>
      <c r="Y61" s="98"/>
      <c r="Z61" s="101" t="str">
        <f t="shared" si="18"/>
        <v/>
      </c>
      <c r="AA61" s="101" t="str">
        <f t="shared" si="19"/>
        <v>0</v>
      </c>
      <c r="AB61" s="101" t="str">
        <f t="shared" si="20"/>
        <v/>
      </c>
      <c r="AC61" s="101">
        <f>IFERROR(VLOOKUP(V61,Lista!A$3:D$33,3,0),1)</f>
        <v>1</v>
      </c>
      <c r="AD61" s="101">
        <f>IFERROR(VLOOKUP(V61,Lista!A$3:E$33,5,0),1)</f>
        <v>1</v>
      </c>
      <c r="AE61" s="107" t="str">
        <f t="shared" si="21"/>
        <v/>
      </c>
      <c r="AF61" s="107">
        <f t="shared" si="22"/>
        <v>0</v>
      </c>
      <c r="AG61" s="107">
        <f t="shared" si="23"/>
        <v>0</v>
      </c>
      <c r="AH61" s="108"/>
      <c r="AI61" s="104" t="s">
        <v>94</v>
      </c>
      <c r="AJ61" s="109"/>
      <c r="AK61" s="109"/>
    </row>
    <row r="62" spans="1:37" ht="15" customHeight="1" x14ac:dyDescent="0.35">
      <c r="A62" s="112"/>
      <c r="B62" s="99"/>
      <c r="C62" s="98"/>
      <c r="D62" s="98"/>
      <c r="E62" s="98"/>
      <c r="F62" s="111"/>
      <c r="G62" s="98"/>
      <c r="H62" s="111"/>
      <c r="I62" s="98"/>
      <c r="J62" s="101" t="str">
        <f t="shared" si="12"/>
        <v/>
      </c>
      <c r="K62" s="101" t="str">
        <f t="shared" si="13"/>
        <v>0</v>
      </c>
      <c r="L62" s="101" t="str">
        <f t="shared" si="14"/>
        <v/>
      </c>
      <c r="M62" s="101">
        <f>IFERROR(VLOOKUP(D62,Lista!A$3:D$33,3,0),1)</f>
        <v>1</v>
      </c>
      <c r="N62" s="101">
        <f>IFERROR(VLOOKUP(D62,Lista!A$3:E$33,5,0),1)</f>
        <v>1</v>
      </c>
      <c r="O62" s="102" t="str">
        <f t="shared" si="15"/>
        <v/>
      </c>
      <c r="P62" s="102">
        <f t="shared" si="16"/>
        <v>0</v>
      </c>
      <c r="Q62" s="102">
        <f t="shared" si="17"/>
        <v>0</v>
      </c>
      <c r="R62" s="103"/>
      <c r="S62" s="104" t="s">
        <v>94</v>
      </c>
      <c r="T62" s="105"/>
      <c r="U62" s="98"/>
      <c r="V62" s="98"/>
      <c r="W62" s="98"/>
      <c r="X62" s="98"/>
      <c r="Y62" s="98"/>
      <c r="Z62" s="101" t="str">
        <f t="shared" si="18"/>
        <v/>
      </c>
      <c r="AA62" s="101" t="str">
        <f t="shared" si="19"/>
        <v>0</v>
      </c>
      <c r="AB62" s="101" t="str">
        <f t="shared" si="20"/>
        <v/>
      </c>
      <c r="AC62" s="101">
        <f>IFERROR(VLOOKUP(V62,Lista!A$3:D$33,3,0),1)</f>
        <v>1</v>
      </c>
      <c r="AD62" s="101">
        <f>IFERROR(VLOOKUP(V62,Lista!A$3:E$33,5,0),1)</f>
        <v>1</v>
      </c>
      <c r="AE62" s="107" t="str">
        <f t="shared" si="21"/>
        <v/>
      </c>
      <c r="AF62" s="107">
        <f t="shared" si="22"/>
        <v>0</v>
      </c>
      <c r="AG62" s="107">
        <f t="shared" si="23"/>
        <v>0</v>
      </c>
      <c r="AH62" s="108"/>
      <c r="AI62" s="104" t="s">
        <v>94</v>
      </c>
      <c r="AJ62" s="109"/>
      <c r="AK62" s="109"/>
    </row>
    <row r="63" spans="1:37" ht="15" customHeight="1" x14ac:dyDescent="0.35">
      <c r="A63" s="112"/>
      <c r="B63" s="99"/>
      <c r="C63" s="98"/>
      <c r="D63" s="98"/>
      <c r="E63" s="98"/>
      <c r="F63" s="111"/>
      <c r="G63" s="98"/>
      <c r="H63" s="111"/>
      <c r="I63" s="98"/>
      <c r="J63" s="101" t="str">
        <f t="shared" si="12"/>
        <v/>
      </c>
      <c r="K63" s="101" t="str">
        <f t="shared" si="13"/>
        <v>0</v>
      </c>
      <c r="L63" s="101" t="str">
        <f t="shared" si="14"/>
        <v/>
      </c>
      <c r="M63" s="101">
        <f>IFERROR(VLOOKUP(D63,Lista!A$3:D$33,3,0),1)</f>
        <v>1</v>
      </c>
      <c r="N63" s="101">
        <f>IFERROR(VLOOKUP(D63,Lista!A$3:E$33,5,0),1)</f>
        <v>1</v>
      </c>
      <c r="O63" s="102" t="str">
        <f t="shared" si="15"/>
        <v/>
      </c>
      <c r="P63" s="102">
        <f t="shared" si="16"/>
        <v>0</v>
      </c>
      <c r="Q63" s="102">
        <f t="shared" si="17"/>
        <v>0</v>
      </c>
      <c r="R63" s="103"/>
      <c r="S63" s="104" t="s">
        <v>94</v>
      </c>
      <c r="T63" s="105"/>
      <c r="U63" s="98"/>
      <c r="V63" s="98"/>
      <c r="W63" s="98"/>
      <c r="X63" s="98"/>
      <c r="Y63" s="98"/>
      <c r="Z63" s="101" t="str">
        <f t="shared" si="18"/>
        <v/>
      </c>
      <c r="AA63" s="101" t="str">
        <f t="shared" si="19"/>
        <v>0</v>
      </c>
      <c r="AB63" s="101" t="str">
        <f t="shared" si="20"/>
        <v/>
      </c>
      <c r="AC63" s="101">
        <f>IFERROR(VLOOKUP(V63,Lista!A$3:D$33,3,0),1)</f>
        <v>1</v>
      </c>
      <c r="AD63" s="101">
        <f>IFERROR(VLOOKUP(V63,Lista!A$3:E$33,5,0),1)</f>
        <v>1</v>
      </c>
      <c r="AE63" s="107" t="str">
        <f t="shared" si="21"/>
        <v/>
      </c>
      <c r="AF63" s="107">
        <f t="shared" si="22"/>
        <v>0</v>
      </c>
      <c r="AG63" s="107">
        <f t="shared" si="23"/>
        <v>0</v>
      </c>
      <c r="AH63" s="108"/>
      <c r="AI63" s="104" t="s">
        <v>94</v>
      </c>
      <c r="AJ63" s="109"/>
      <c r="AK63" s="109"/>
    </row>
    <row r="64" spans="1:37" ht="15" customHeight="1" x14ac:dyDescent="0.35">
      <c r="A64" s="112"/>
      <c r="B64" s="99"/>
      <c r="C64" s="98"/>
      <c r="D64" s="98"/>
      <c r="E64" s="98"/>
      <c r="F64" s="111"/>
      <c r="G64" s="98"/>
      <c r="H64" s="111"/>
      <c r="I64" s="98"/>
      <c r="J64" s="101" t="str">
        <f t="shared" si="12"/>
        <v/>
      </c>
      <c r="K64" s="101" t="str">
        <f t="shared" si="13"/>
        <v>0</v>
      </c>
      <c r="L64" s="101" t="str">
        <f t="shared" si="14"/>
        <v/>
      </c>
      <c r="M64" s="101">
        <f>IFERROR(VLOOKUP(D64,Lista!A$3:D$33,3,0),1)</f>
        <v>1</v>
      </c>
      <c r="N64" s="101">
        <f>IFERROR(VLOOKUP(D64,Lista!A$3:E$33,5,0),1)</f>
        <v>1</v>
      </c>
      <c r="O64" s="102" t="str">
        <f t="shared" si="15"/>
        <v/>
      </c>
      <c r="P64" s="102">
        <f t="shared" si="16"/>
        <v>0</v>
      </c>
      <c r="Q64" s="102">
        <f t="shared" si="17"/>
        <v>0</v>
      </c>
      <c r="R64" s="103"/>
      <c r="S64" s="104" t="s">
        <v>94</v>
      </c>
      <c r="T64" s="105"/>
      <c r="U64" s="98"/>
      <c r="V64" s="98"/>
      <c r="W64" s="98"/>
      <c r="X64" s="98"/>
      <c r="Y64" s="98"/>
      <c r="Z64" s="101" t="str">
        <f t="shared" si="18"/>
        <v/>
      </c>
      <c r="AA64" s="101" t="str">
        <f t="shared" si="19"/>
        <v>0</v>
      </c>
      <c r="AB64" s="101" t="str">
        <f t="shared" si="20"/>
        <v/>
      </c>
      <c r="AC64" s="101">
        <f>IFERROR(VLOOKUP(V64,Lista!A$3:D$33,3,0),1)</f>
        <v>1</v>
      </c>
      <c r="AD64" s="101">
        <f>IFERROR(VLOOKUP(V64,Lista!A$3:E$33,5,0),1)</f>
        <v>1</v>
      </c>
      <c r="AE64" s="107" t="str">
        <f t="shared" si="21"/>
        <v/>
      </c>
      <c r="AF64" s="107">
        <f t="shared" si="22"/>
        <v>0</v>
      </c>
      <c r="AG64" s="107">
        <f t="shared" si="23"/>
        <v>0</v>
      </c>
      <c r="AH64" s="108"/>
      <c r="AI64" s="104" t="s">
        <v>94</v>
      </c>
      <c r="AJ64" s="109"/>
      <c r="AK64" s="109"/>
    </row>
    <row r="65" spans="1:37" ht="15" customHeight="1" x14ac:dyDescent="0.35">
      <c r="A65" s="112"/>
      <c r="B65" s="99"/>
      <c r="C65" s="98"/>
      <c r="D65" s="98"/>
      <c r="E65" s="98"/>
      <c r="F65" s="111"/>
      <c r="G65" s="98"/>
      <c r="H65" s="111"/>
      <c r="I65" s="98"/>
      <c r="J65" s="101" t="str">
        <f t="shared" si="12"/>
        <v/>
      </c>
      <c r="K65" s="101" t="str">
        <f t="shared" si="13"/>
        <v>0</v>
      </c>
      <c r="L65" s="101" t="str">
        <f t="shared" si="14"/>
        <v/>
      </c>
      <c r="M65" s="101">
        <f>IFERROR(VLOOKUP(D65,Lista!A$3:D$33,3,0),1)</f>
        <v>1</v>
      </c>
      <c r="N65" s="101">
        <f>IFERROR(VLOOKUP(D65,Lista!A$3:E$33,5,0),1)</f>
        <v>1</v>
      </c>
      <c r="O65" s="102" t="str">
        <f t="shared" si="15"/>
        <v/>
      </c>
      <c r="P65" s="102">
        <f t="shared" si="16"/>
        <v>0</v>
      </c>
      <c r="Q65" s="102">
        <f t="shared" si="17"/>
        <v>0</v>
      </c>
      <c r="R65" s="103"/>
      <c r="S65" s="104" t="s">
        <v>94</v>
      </c>
      <c r="T65" s="105"/>
      <c r="U65" s="98"/>
      <c r="V65" s="98"/>
      <c r="W65" s="98"/>
      <c r="X65" s="98"/>
      <c r="Y65" s="98"/>
      <c r="Z65" s="101" t="str">
        <f t="shared" si="18"/>
        <v/>
      </c>
      <c r="AA65" s="101" t="str">
        <f t="shared" si="19"/>
        <v>0</v>
      </c>
      <c r="AB65" s="101" t="str">
        <f t="shared" si="20"/>
        <v/>
      </c>
      <c r="AC65" s="101">
        <f>IFERROR(VLOOKUP(V65,Lista!A$3:D$33,3,0),1)</f>
        <v>1</v>
      </c>
      <c r="AD65" s="101">
        <f>IFERROR(VLOOKUP(V65,Lista!A$3:E$33,5,0),1)</f>
        <v>1</v>
      </c>
      <c r="AE65" s="107" t="str">
        <f t="shared" si="21"/>
        <v/>
      </c>
      <c r="AF65" s="107">
        <f t="shared" si="22"/>
        <v>0</v>
      </c>
      <c r="AG65" s="107">
        <f t="shared" si="23"/>
        <v>0</v>
      </c>
      <c r="AH65" s="108"/>
      <c r="AI65" s="104" t="s">
        <v>94</v>
      </c>
      <c r="AJ65" s="109"/>
      <c r="AK65" s="109"/>
    </row>
    <row r="66" spans="1:37" ht="15" customHeight="1" x14ac:dyDescent="0.35">
      <c r="A66" s="112"/>
      <c r="B66" s="99"/>
      <c r="C66" s="98"/>
      <c r="D66" s="98"/>
      <c r="E66" s="98"/>
      <c r="F66" s="111"/>
      <c r="G66" s="98"/>
      <c r="H66" s="111"/>
      <c r="I66" s="98"/>
      <c r="J66" s="101" t="str">
        <f t="shared" si="12"/>
        <v/>
      </c>
      <c r="K66" s="101" t="str">
        <f t="shared" si="13"/>
        <v>0</v>
      </c>
      <c r="L66" s="101" t="str">
        <f t="shared" si="14"/>
        <v/>
      </c>
      <c r="M66" s="101">
        <f>IFERROR(VLOOKUP(D66,Lista!A$3:D$33,3,0),1)</f>
        <v>1</v>
      </c>
      <c r="N66" s="101">
        <f>IFERROR(VLOOKUP(D66,Lista!A$3:E$33,5,0),1)</f>
        <v>1</v>
      </c>
      <c r="O66" s="102" t="str">
        <f t="shared" si="15"/>
        <v/>
      </c>
      <c r="P66" s="102">
        <f t="shared" si="16"/>
        <v>0</v>
      </c>
      <c r="Q66" s="102">
        <f t="shared" si="17"/>
        <v>0</v>
      </c>
      <c r="R66" s="103"/>
      <c r="S66" s="104" t="s">
        <v>94</v>
      </c>
      <c r="T66" s="105"/>
      <c r="U66" s="98"/>
      <c r="V66" s="98"/>
      <c r="W66" s="98"/>
      <c r="X66" s="98"/>
      <c r="Y66" s="98"/>
      <c r="Z66" s="101" t="str">
        <f t="shared" si="18"/>
        <v/>
      </c>
      <c r="AA66" s="101" t="str">
        <f t="shared" si="19"/>
        <v>0</v>
      </c>
      <c r="AB66" s="101" t="str">
        <f t="shared" si="20"/>
        <v/>
      </c>
      <c r="AC66" s="101">
        <f>IFERROR(VLOOKUP(V66,Lista!A$3:D$33,3,0),1)</f>
        <v>1</v>
      </c>
      <c r="AD66" s="101">
        <f>IFERROR(VLOOKUP(V66,Lista!A$3:E$33,5,0),1)</f>
        <v>1</v>
      </c>
      <c r="AE66" s="107" t="str">
        <f t="shared" si="21"/>
        <v/>
      </c>
      <c r="AF66" s="107">
        <f t="shared" si="22"/>
        <v>0</v>
      </c>
      <c r="AG66" s="107">
        <f t="shared" si="23"/>
        <v>0</v>
      </c>
      <c r="AH66" s="108"/>
      <c r="AI66" s="104" t="s">
        <v>94</v>
      </c>
      <c r="AJ66" s="109"/>
      <c r="AK66" s="109"/>
    </row>
    <row r="67" spans="1:37" ht="15" customHeight="1" x14ac:dyDescent="0.35">
      <c r="A67" s="112"/>
      <c r="B67" s="99"/>
      <c r="C67" s="98"/>
      <c r="D67" s="98"/>
      <c r="E67" s="98"/>
      <c r="F67" s="111"/>
      <c r="G67" s="98"/>
      <c r="H67" s="111"/>
      <c r="I67" s="98"/>
      <c r="J67" s="101" t="str">
        <f t="shared" ref="J67:J98" si="24">CONCATENATE(C67,L67)</f>
        <v/>
      </c>
      <c r="K67" s="101" t="str">
        <f t="shared" ref="K67:K98" si="25">CONCATENATE(C67,D67,L67,Q67)</f>
        <v>0</v>
      </c>
      <c r="L67" s="101" t="str">
        <f t="shared" ref="L67:L98" si="26">IF(OR(ISBLANK(E67),ISBLANK(G67)),IF(OR(C67="ALI",C67="AIE"),"L",IF(ISBLANK(C67),"","A")),IF(C67="EE",IF(G67&gt;=3,IF(E67&gt;=5,"H","A"),IF(G67&gt;=2,IF(E67&gt;=16,"H",IF(E67&lt;=4,"L","A")),IF(E67&lt;=15,"L","A"))),IF(OR(C67="SE",C67="CE"),IF(G67&gt;=4,IF(E67&gt;=6,"H","A"),IF(G67&gt;=2,IF(E67&gt;=20,"H",IF(E67&lt;=5,"L","A")),IF(E67&lt;=19,"L","A"))),IF(OR(C67="ALI",C67="AIE"),IF(G67&gt;=6,IF(E67&gt;=20,"H","A"),IF(G67&gt;=2,IF(E67&gt;=51,"H",IF(E67&lt;=19,"L","A")),IF(E67&lt;=50,"L","A")))))))</f>
        <v/>
      </c>
      <c r="M67" s="101">
        <f>IFERROR(VLOOKUP(D67,Lista!A$3:D$33,3,0),1)</f>
        <v>1</v>
      </c>
      <c r="N67" s="101">
        <f>IFERROR(VLOOKUP(D67,Lista!A$3:E$33,5,0),1)</f>
        <v>1</v>
      </c>
      <c r="O67" s="102" t="str">
        <f t="shared" ref="O67:O98" si="27">IF(C67="INM","",IF(L67="L","Baixa",IF(L67="A","Média",IF(L67="","","Alta"))))</f>
        <v/>
      </c>
      <c r="P67" s="102">
        <f t="shared" ref="P67:P98" si="28">IF(C67="INM",M67*I67,IF(C67="ALI",IF(L67="L",7,IF(L67="A",10,15)),IF(C67="AIE",IF(L67="L",5,IF(L67="A",7,10)),IF(C67="SE",IF(L67="L",4,IF(L67="A",5,7)),IF(OR(C67="EE",C67="CE"),IF(L67="L",3,IF(L67="A",4,6)),0)))))</f>
        <v>0</v>
      </c>
      <c r="Q67" s="102">
        <f t="shared" ref="Q67:Q98" si="29">IF(C67="INM",P67,P67*M67)</f>
        <v>0</v>
      </c>
      <c r="R67" s="103"/>
      <c r="S67" s="104" t="s">
        <v>94</v>
      </c>
      <c r="T67" s="105"/>
      <c r="U67" s="98"/>
      <c r="V67" s="98"/>
      <c r="W67" s="98"/>
      <c r="X67" s="98"/>
      <c r="Y67" s="98"/>
      <c r="Z67" s="101" t="str">
        <f t="shared" ref="Z67:Z98" si="30">CONCATENATE(U67,AB67)</f>
        <v/>
      </c>
      <c r="AA67" s="101" t="str">
        <f t="shared" ref="AA67:AA98" si="31">CONCATENATE(U67,V67,AB67,AG67)</f>
        <v>0</v>
      </c>
      <c r="AB67" s="101" t="str">
        <f t="shared" ref="AB67:AB98" si="32">IF(OR(ISBLANK(W67),ISBLANK(X67)),IF(OR(U67="ALI",U67="AIE"),"L",IF(ISBLANK(U67),"","A")),IF(U67="EE",IF(X67&gt;=3,IF(W67&gt;=5,"H","A"),IF(X67&gt;=2,IF(W67&gt;=16,"H",IF(W67&lt;=4,"L","A")),IF(W67&lt;=15,"L","A"))),IF(OR(U67="SE",U67="CE"),IF(X67&gt;=4,IF(W67&gt;=6,"H","A"),IF(X67&gt;=2,IF(W67&gt;=20,"H",IF(W67&lt;=5,"L","A")),IF(W67&lt;=19,"L","A"))),IF(OR(U67="ALI",U67="AIE"),IF(X67&gt;=6,IF(W67&gt;=20,"H","A"),IF(X67&gt;=2,IF(W67&gt;=51,"H",IF(W67&lt;=19,"L","A")),IF(W67&lt;=50,"L","A")))))))</f>
        <v/>
      </c>
      <c r="AC67" s="101">
        <f>IFERROR(VLOOKUP(V67,Lista!A$3:D$33,3,0),1)</f>
        <v>1</v>
      </c>
      <c r="AD67" s="101">
        <f>IFERROR(VLOOKUP(V67,Lista!A$3:E$33,5,0),1)</f>
        <v>1</v>
      </c>
      <c r="AE67" s="107" t="str">
        <f t="shared" ref="AE67:AE98" si="33">IF(U67="INM","",IF(AB67="L","Baixa",IF(AB67="A","Média",IF(AB67="","","Alta"))))</f>
        <v/>
      </c>
      <c r="AF67" s="107">
        <f t="shared" ref="AF67:AF98" si="34">IF(OR(ISBLANK(T67),T67="NOK"),0,IF(U67="INM",AC67*Y67,IF(U67="ALI",IF(AB67="L",7,IF(AB67="A",10,15)),IF(U67="AIE",IF(AB67="L",5,IF(AB67="A",7,10)),IF(U67="SE",IF(AB67="L",4,IF(AB67="A",5,7)),IF(OR(U67="EE",U67="CE"),IF(AB67="L",3,IF(AB67="A",4,6))))))))</f>
        <v>0</v>
      </c>
      <c r="AG67" s="107">
        <f t="shared" ref="AG67:AG98" si="35">IF(T67="NOK",0,IF(U67="INM",(1*AC67)*Y67,AF67*AC67))</f>
        <v>0</v>
      </c>
      <c r="AH67" s="108"/>
      <c r="AI67" s="104" t="s">
        <v>94</v>
      </c>
      <c r="AJ67" s="109"/>
      <c r="AK67" s="109"/>
    </row>
    <row r="68" spans="1:37" ht="15" customHeight="1" x14ac:dyDescent="0.35">
      <c r="A68" s="112"/>
      <c r="B68" s="99"/>
      <c r="C68" s="98"/>
      <c r="D68" s="98"/>
      <c r="E68" s="98"/>
      <c r="F68" s="111"/>
      <c r="G68" s="98"/>
      <c r="H68" s="111"/>
      <c r="I68" s="98"/>
      <c r="J68" s="101" t="str">
        <f t="shared" si="24"/>
        <v/>
      </c>
      <c r="K68" s="101" t="str">
        <f t="shared" si="25"/>
        <v>0</v>
      </c>
      <c r="L68" s="101" t="str">
        <f t="shared" si="26"/>
        <v/>
      </c>
      <c r="M68" s="101">
        <f>IFERROR(VLOOKUP(D68,Lista!A$3:D$33,3,0),1)</f>
        <v>1</v>
      </c>
      <c r="N68" s="101">
        <f>IFERROR(VLOOKUP(D68,Lista!A$3:E$33,5,0),1)</f>
        <v>1</v>
      </c>
      <c r="O68" s="102" t="str">
        <f t="shared" si="27"/>
        <v/>
      </c>
      <c r="P68" s="102">
        <f t="shared" si="28"/>
        <v>0</v>
      </c>
      <c r="Q68" s="102">
        <f t="shared" si="29"/>
        <v>0</v>
      </c>
      <c r="R68" s="103"/>
      <c r="S68" s="104" t="s">
        <v>94</v>
      </c>
      <c r="T68" s="105"/>
      <c r="U68" s="98"/>
      <c r="V68" s="98"/>
      <c r="W68" s="98"/>
      <c r="X68" s="98"/>
      <c r="Y68" s="98"/>
      <c r="Z68" s="101" t="str">
        <f t="shared" si="30"/>
        <v/>
      </c>
      <c r="AA68" s="101" t="str">
        <f t="shared" si="31"/>
        <v>0</v>
      </c>
      <c r="AB68" s="101" t="str">
        <f t="shared" si="32"/>
        <v/>
      </c>
      <c r="AC68" s="101">
        <f>IFERROR(VLOOKUP(V68,Lista!A$3:D$33,3,0),1)</f>
        <v>1</v>
      </c>
      <c r="AD68" s="101">
        <f>IFERROR(VLOOKUP(V68,Lista!A$3:E$33,5,0),1)</f>
        <v>1</v>
      </c>
      <c r="AE68" s="107" t="str">
        <f t="shared" si="33"/>
        <v/>
      </c>
      <c r="AF68" s="107">
        <f t="shared" si="34"/>
        <v>0</v>
      </c>
      <c r="AG68" s="107">
        <f t="shared" si="35"/>
        <v>0</v>
      </c>
      <c r="AH68" s="108"/>
      <c r="AI68" s="104" t="s">
        <v>94</v>
      </c>
      <c r="AJ68" s="109"/>
      <c r="AK68" s="109"/>
    </row>
    <row r="69" spans="1:37" ht="15" customHeight="1" x14ac:dyDescent="0.35">
      <c r="A69" s="112"/>
      <c r="B69" s="99"/>
      <c r="C69" s="98"/>
      <c r="D69" s="98"/>
      <c r="E69" s="98"/>
      <c r="F69" s="111"/>
      <c r="G69" s="98"/>
      <c r="H69" s="111"/>
      <c r="I69" s="98"/>
      <c r="J69" s="101" t="str">
        <f t="shared" si="24"/>
        <v/>
      </c>
      <c r="K69" s="101" t="str">
        <f t="shared" si="25"/>
        <v>0</v>
      </c>
      <c r="L69" s="101" t="str">
        <f t="shared" si="26"/>
        <v/>
      </c>
      <c r="M69" s="101">
        <f>IFERROR(VLOOKUP(D69,Lista!A$3:D$33,3,0),1)</f>
        <v>1</v>
      </c>
      <c r="N69" s="101">
        <f>IFERROR(VLOOKUP(D69,Lista!A$3:E$33,5,0),1)</f>
        <v>1</v>
      </c>
      <c r="O69" s="102" t="str">
        <f t="shared" si="27"/>
        <v/>
      </c>
      <c r="P69" s="102">
        <f t="shared" si="28"/>
        <v>0</v>
      </c>
      <c r="Q69" s="102">
        <f t="shared" si="29"/>
        <v>0</v>
      </c>
      <c r="R69" s="103"/>
      <c r="S69" s="104" t="s">
        <v>94</v>
      </c>
      <c r="T69" s="105"/>
      <c r="U69" s="98"/>
      <c r="V69" s="98"/>
      <c r="W69" s="98"/>
      <c r="X69" s="98"/>
      <c r="Y69" s="98"/>
      <c r="Z69" s="101" t="str">
        <f t="shared" si="30"/>
        <v/>
      </c>
      <c r="AA69" s="101" t="str">
        <f t="shared" si="31"/>
        <v>0</v>
      </c>
      <c r="AB69" s="101" t="str">
        <f t="shared" si="32"/>
        <v/>
      </c>
      <c r="AC69" s="101">
        <f>IFERROR(VLOOKUP(V69,Lista!A$3:D$33,3,0),1)</f>
        <v>1</v>
      </c>
      <c r="AD69" s="101">
        <f>IFERROR(VLOOKUP(V69,Lista!A$3:E$33,5,0),1)</f>
        <v>1</v>
      </c>
      <c r="AE69" s="107" t="str">
        <f t="shared" si="33"/>
        <v/>
      </c>
      <c r="AF69" s="107">
        <f t="shared" si="34"/>
        <v>0</v>
      </c>
      <c r="AG69" s="107">
        <f t="shared" si="35"/>
        <v>0</v>
      </c>
      <c r="AH69" s="108"/>
      <c r="AI69" s="104" t="s">
        <v>94</v>
      </c>
      <c r="AJ69" s="109"/>
      <c r="AK69" s="109"/>
    </row>
    <row r="70" spans="1:37" ht="15" customHeight="1" x14ac:dyDescent="0.35">
      <c r="A70" s="112"/>
      <c r="B70" s="99"/>
      <c r="C70" s="98"/>
      <c r="D70" s="98"/>
      <c r="E70" s="98"/>
      <c r="F70" s="111"/>
      <c r="G70" s="98"/>
      <c r="H70" s="111"/>
      <c r="I70" s="98"/>
      <c r="J70" s="101" t="str">
        <f t="shared" si="24"/>
        <v/>
      </c>
      <c r="K70" s="101" t="str">
        <f t="shared" si="25"/>
        <v>0</v>
      </c>
      <c r="L70" s="101" t="str">
        <f t="shared" si="26"/>
        <v/>
      </c>
      <c r="M70" s="101">
        <f>IFERROR(VLOOKUP(D70,Lista!A$3:D$33,3,0),1)</f>
        <v>1</v>
      </c>
      <c r="N70" s="101">
        <f>IFERROR(VLOOKUP(D70,Lista!A$3:E$33,5,0),1)</f>
        <v>1</v>
      </c>
      <c r="O70" s="102" t="str">
        <f t="shared" si="27"/>
        <v/>
      </c>
      <c r="P70" s="102">
        <f t="shared" si="28"/>
        <v>0</v>
      </c>
      <c r="Q70" s="102">
        <f t="shared" si="29"/>
        <v>0</v>
      </c>
      <c r="R70" s="103"/>
      <c r="S70" s="104" t="s">
        <v>94</v>
      </c>
      <c r="T70" s="105"/>
      <c r="U70" s="98"/>
      <c r="V70" s="98"/>
      <c r="W70" s="98"/>
      <c r="X70" s="98"/>
      <c r="Y70" s="98"/>
      <c r="Z70" s="101" t="str">
        <f t="shared" si="30"/>
        <v/>
      </c>
      <c r="AA70" s="101" t="str">
        <f t="shared" si="31"/>
        <v>0</v>
      </c>
      <c r="AB70" s="101" t="str">
        <f t="shared" si="32"/>
        <v/>
      </c>
      <c r="AC70" s="101">
        <f>IFERROR(VLOOKUP(V70,Lista!A$3:D$33,3,0),1)</f>
        <v>1</v>
      </c>
      <c r="AD70" s="101">
        <f>IFERROR(VLOOKUP(V70,Lista!A$3:E$33,5,0),1)</f>
        <v>1</v>
      </c>
      <c r="AE70" s="107" t="str">
        <f t="shared" si="33"/>
        <v/>
      </c>
      <c r="AF70" s="107">
        <f t="shared" si="34"/>
        <v>0</v>
      </c>
      <c r="AG70" s="107">
        <f t="shared" si="35"/>
        <v>0</v>
      </c>
      <c r="AH70" s="108"/>
      <c r="AI70" s="104" t="s">
        <v>94</v>
      </c>
      <c r="AJ70" s="109"/>
      <c r="AK70" s="109"/>
    </row>
    <row r="71" spans="1:37" ht="15" customHeight="1" x14ac:dyDescent="0.35">
      <c r="A71" s="112"/>
      <c r="B71" s="99"/>
      <c r="C71" s="98"/>
      <c r="D71" s="98"/>
      <c r="E71" s="98"/>
      <c r="F71" s="111"/>
      <c r="G71" s="98"/>
      <c r="H71" s="111"/>
      <c r="I71" s="98"/>
      <c r="J71" s="101" t="str">
        <f t="shared" si="24"/>
        <v/>
      </c>
      <c r="K71" s="101" t="str">
        <f t="shared" si="25"/>
        <v>0</v>
      </c>
      <c r="L71" s="101" t="str">
        <f t="shared" si="26"/>
        <v/>
      </c>
      <c r="M71" s="101">
        <f>IFERROR(VLOOKUP(D71,Lista!A$3:D$33,3,0),1)</f>
        <v>1</v>
      </c>
      <c r="N71" s="101">
        <f>IFERROR(VLOOKUP(D71,Lista!A$3:E$33,5,0),1)</f>
        <v>1</v>
      </c>
      <c r="O71" s="102" t="str">
        <f t="shared" si="27"/>
        <v/>
      </c>
      <c r="P71" s="102">
        <f t="shared" si="28"/>
        <v>0</v>
      </c>
      <c r="Q71" s="102">
        <f t="shared" si="29"/>
        <v>0</v>
      </c>
      <c r="R71" s="103"/>
      <c r="S71" s="104" t="s">
        <v>94</v>
      </c>
      <c r="T71" s="105"/>
      <c r="U71" s="98"/>
      <c r="V71" s="98"/>
      <c r="W71" s="98"/>
      <c r="X71" s="98"/>
      <c r="Y71" s="98"/>
      <c r="Z71" s="101" t="str">
        <f t="shared" si="30"/>
        <v/>
      </c>
      <c r="AA71" s="101" t="str">
        <f t="shared" si="31"/>
        <v>0</v>
      </c>
      <c r="AB71" s="101" t="str">
        <f t="shared" si="32"/>
        <v/>
      </c>
      <c r="AC71" s="101">
        <f>IFERROR(VLOOKUP(V71,Lista!A$3:D$33,3,0),1)</f>
        <v>1</v>
      </c>
      <c r="AD71" s="101">
        <f>IFERROR(VLOOKUP(V71,Lista!A$3:E$33,5,0),1)</f>
        <v>1</v>
      </c>
      <c r="AE71" s="107" t="str">
        <f t="shared" si="33"/>
        <v/>
      </c>
      <c r="AF71" s="107">
        <f t="shared" si="34"/>
        <v>0</v>
      </c>
      <c r="AG71" s="107">
        <f t="shared" si="35"/>
        <v>0</v>
      </c>
      <c r="AH71" s="108"/>
      <c r="AI71" s="104" t="s">
        <v>94</v>
      </c>
      <c r="AJ71" s="109"/>
      <c r="AK71" s="109"/>
    </row>
    <row r="72" spans="1:37" ht="15" customHeight="1" x14ac:dyDescent="0.35">
      <c r="A72" s="112"/>
      <c r="B72" s="99"/>
      <c r="C72" s="98"/>
      <c r="D72" s="98"/>
      <c r="E72" s="98"/>
      <c r="F72" s="111"/>
      <c r="G72" s="98"/>
      <c r="H72" s="111"/>
      <c r="I72" s="98"/>
      <c r="J72" s="101" t="str">
        <f t="shared" si="24"/>
        <v/>
      </c>
      <c r="K72" s="101" t="str">
        <f t="shared" si="25"/>
        <v>0</v>
      </c>
      <c r="L72" s="101" t="str">
        <f t="shared" si="26"/>
        <v/>
      </c>
      <c r="M72" s="101">
        <f>IFERROR(VLOOKUP(D72,Lista!A$3:D$33,3,0),1)</f>
        <v>1</v>
      </c>
      <c r="N72" s="101">
        <f>IFERROR(VLOOKUP(D72,Lista!A$3:E$33,5,0),1)</f>
        <v>1</v>
      </c>
      <c r="O72" s="102" t="str">
        <f t="shared" si="27"/>
        <v/>
      </c>
      <c r="P72" s="102">
        <f t="shared" si="28"/>
        <v>0</v>
      </c>
      <c r="Q72" s="102">
        <f t="shared" si="29"/>
        <v>0</v>
      </c>
      <c r="R72" s="103"/>
      <c r="S72" s="104" t="s">
        <v>94</v>
      </c>
      <c r="T72" s="105"/>
      <c r="U72" s="98"/>
      <c r="V72" s="98"/>
      <c r="W72" s="98"/>
      <c r="X72" s="98"/>
      <c r="Y72" s="98"/>
      <c r="Z72" s="101" t="str">
        <f t="shared" si="30"/>
        <v/>
      </c>
      <c r="AA72" s="101" t="str">
        <f t="shared" si="31"/>
        <v>0</v>
      </c>
      <c r="AB72" s="101" t="str">
        <f t="shared" si="32"/>
        <v/>
      </c>
      <c r="AC72" s="101">
        <f>IFERROR(VLOOKUP(V72,Lista!A$3:D$33,3,0),1)</f>
        <v>1</v>
      </c>
      <c r="AD72" s="101">
        <f>IFERROR(VLOOKUP(V72,Lista!A$3:E$33,5,0),1)</f>
        <v>1</v>
      </c>
      <c r="AE72" s="107" t="str">
        <f t="shared" si="33"/>
        <v/>
      </c>
      <c r="AF72" s="107">
        <f t="shared" si="34"/>
        <v>0</v>
      </c>
      <c r="AG72" s="107">
        <f t="shared" si="35"/>
        <v>0</v>
      </c>
      <c r="AH72" s="108"/>
      <c r="AI72" s="104" t="s">
        <v>94</v>
      </c>
      <c r="AJ72" s="109"/>
      <c r="AK72" s="109"/>
    </row>
    <row r="73" spans="1:37" ht="15" customHeight="1" x14ac:dyDescent="0.35">
      <c r="A73" s="112"/>
      <c r="B73" s="99"/>
      <c r="C73" s="98"/>
      <c r="D73" s="98"/>
      <c r="E73" s="98"/>
      <c r="F73" s="111"/>
      <c r="G73" s="98"/>
      <c r="H73" s="111"/>
      <c r="I73" s="98"/>
      <c r="J73" s="101" t="str">
        <f t="shared" si="24"/>
        <v/>
      </c>
      <c r="K73" s="101" t="str">
        <f t="shared" si="25"/>
        <v>0</v>
      </c>
      <c r="L73" s="101" t="str">
        <f t="shared" si="26"/>
        <v/>
      </c>
      <c r="M73" s="101">
        <f>IFERROR(VLOOKUP(D73,Lista!A$3:D$33,3,0),1)</f>
        <v>1</v>
      </c>
      <c r="N73" s="101">
        <f>IFERROR(VLOOKUP(D73,Lista!A$3:E$33,5,0),1)</f>
        <v>1</v>
      </c>
      <c r="O73" s="102" t="str">
        <f t="shared" si="27"/>
        <v/>
      </c>
      <c r="P73" s="102">
        <f t="shared" si="28"/>
        <v>0</v>
      </c>
      <c r="Q73" s="102">
        <f t="shared" si="29"/>
        <v>0</v>
      </c>
      <c r="R73" s="103"/>
      <c r="S73" s="104" t="s">
        <v>94</v>
      </c>
      <c r="T73" s="105"/>
      <c r="U73" s="98"/>
      <c r="V73" s="98"/>
      <c r="W73" s="98"/>
      <c r="X73" s="98"/>
      <c r="Y73" s="98"/>
      <c r="Z73" s="101" t="str">
        <f t="shared" si="30"/>
        <v/>
      </c>
      <c r="AA73" s="101" t="str">
        <f t="shared" si="31"/>
        <v>0</v>
      </c>
      <c r="AB73" s="101" t="str">
        <f t="shared" si="32"/>
        <v/>
      </c>
      <c r="AC73" s="101">
        <f>IFERROR(VLOOKUP(V73,Lista!A$3:D$33,3,0),1)</f>
        <v>1</v>
      </c>
      <c r="AD73" s="101">
        <f>IFERROR(VLOOKUP(V73,Lista!A$3:E$33,5,0),1)</f>
        <v>1</v>
      </c>
      <c r="AE73" s="107" t="str">
        <f t="shared" si="33"/>
        <v/>
      </c>
      <c r="AF73" s="107">
        <f t="shared" si="34"/>
        <v>0</v>
      </c>
      <c r="AG73" s="107">
        <f t="shared" si="35"/>
        <v>0</v>
      </c>
      <c r="AH73" s="108"/>
      <c r="AI73" s="104" t="s">
        <v>94</v>
      </c>
      <c r="AJ73" s="109"/>
      <c r="AK73" s="109"/>
    </row>
    <row r="74" spans="1:37" ht="15" customHeight="1" x14ac:dyDescent="0.35">
      <c r="A74" s="112"/>
      <c r="B74" s="99"/>
      <c r="C74" s="98"/>
      <c r="D74" s="98"/>
      <c r="E74" s="98"/>
      <c r="F74" s="111"/>
      <c r="G74" s="98"/>
      <c r="H74" s="111"/>
      <c r="I74" s="98"/>
      <c r="J74" s="101" t="str">
        <f t="shared" si="24"/>
        <v/>
      </c>
      <c r="K74" s="101" t="str">
        <f t="shared" si="25"/>
        <v>0</v>
      </c>
      <c r="L74" s="101" t="str">
        <f t="shared" si="26"/>
        <v/>
      </c>
      <c r="M74" s="101">
        <f>IFERROR(VLOOKUP(D74,Lista!A$3:D$33,3,0),1)</f>
        <v>1</v>
      </c>
      <c r="N74" s="101">
        <f>IFERROR(VLOOKUP(D74,Lista!A$3:E$33,5,0),1)</f>
        <v>1</v>
      </c>
      <c r="O74" s="102" t="str">
        <f t="shared" si="27"/>
        <v/>
      </c>
      <c r="P74" s="102">
        <f t="shared" si="28"/>
        <v>0</v>
      </c>
      <c r="Q74" s="102">
        <f t="shared" si="29"/>
        <v>0</v>
      </c>
      <c r="R74" s="103"/>
      <c r="S74" s="104" t="s">
        <v>94</v>
      </c>
      <c r="T74" s="105"/>
      <c r="U74" s="98"/>
      <c r="V74" s="98"/>
      <c r="W74" s="98"/>
      <c r="X74" s="98"/>
      <c r="Y74" s="98"/>
      <c r="Z74" s="101" t="str">
        <f t="shared" si="30"/>
        <v/>
      </c>
      <c r="AA74" s="101" t="str">
        <f t="shared" si="31"/>
        <v>0</v>
      </c>
      <c r="AB74" s="101" t="str">
        <f t="shared" si="32"/>
        <v/>
      </c>
      <c r="AC74" s="101">
        <f>IFERROR(VLOOKUP(V74,Lista!A$3:D$33,3,0),1)</f>
        <v>1</v>
      </c>
      <c r="AD74" s="101">
        <f>IFERROR(VLOOKUP(V74,Lista!A$3:E$33,5,0),1)</f>
        <v>1</v>
      </c>
      <c r="AE74" s="107" t="str">
        <f t="shared" si="33"/>
        <v/>
      </c>
      <c r="AF74" s="107">
        <f t="shared" si="34"/>
        <v>0</v>
      </c>
      <c r="AG74" s="107">
        <f t="shared" si="35"/>
        <v>0</v>
      </c>
      <c r="AH74" s="108"/>
      <c r="AI74" s="104" t="s">
        <v>94</v>
      </c>
      <c r="AJ74" s="109"/>
      <c r="AK74" s="109"/>
    </row>
    <row r="75" spans="1:37" ht="15" customHeight="1" x14ac:dyDescent="0.35">
      <c r="A75" s="112"/>
      <c r="B75" s="99"/>
      <c r="C75" s="98"/>
      <c r="D75" s="98"/>
      <c r="E75" s="98"/>
      <c r="F75" s="111"/>
      <c r="G75" s="98"/>
      <c r="H75" s="111"/>
      <c r="I75" s="98"/>
      <c r="J75" s="101" t="str">
        <f t="shared" si="24"/>
        <v/>
      </c>
      <c r="K75" s="101" t="str">
        <f t="shared" si="25"/>
        <v>0</v>
      </c>
      <c r="L75" s="101" t="str">
        <f t="shared" si="26"/>
        <v/>
      </c>
      <c r="M75" s="101">
        <f>IFERROR(VLOOKUP(D75,Lista!A$3:D$33,3,0),1)</f>
        <v>1</v>
      </c>
      <c r="N75" s="101">
        <f>IFERROR(VLOOKUP(D75,Lista!A$3:E$33,5,0),1)</f>
        <v>1</v>
      </c>
      <c r="O75" s="102" t="str">
        <f t="shared" si="27"/>
        <v/>
      </c>
      <c r="P75" s="102">
        <f t="shared" si="28"/>
        <v>0</v>
      </c>
      <c r="Q75" s="102">
        <f t="shared" si="29"/>
        <v>0</v>
      </c>
      <c r="R75" s="103"/>
      <c r="S75" s="104" t="s">
        <v>94</v>
      </c>
      <c r="T75" s="105"/>
      <c r="U75" s="98"/>
      <c r="V75" s="98"/>
      <c r="W75" s="98"/>
      <c r="X75" s="98"/>
      <c r="Y75" s="98"/>
      <c r="Z75" s="101" t="str">
        <f t="shared" si="30"/>
        <v/>
      </c>
      <c r="AA75" s="101" t="str">
        <f t="shared" si="31"/>
        <v>0</v>
      </c>
      <c r="AB75" s="101" t="str">
        <f t="shared" si="32"/>
        <v/>
      </c>
      <c r="AC75" s="101">
        <f>IFERROR(VLOOKUP(V75,Lista!A$3:D$33,3,0),1)</f>
        <v>1</v>
      </c>
      <c r="AD75" s="101">
        <f>IFERROR(VLOOKUP(V75,Lista!A$3:E$33,5,0),1)</f>
        <v>1</v>
      </c>
      <c r="AE75" s="107" t="str">
        <f t="shared" si="33"/>
        <v/>
      </c>
      <c r="AF75" s="107">
        <f t="shared" si="34"/>
        <v>0</v>
      </c>
      <c r="AG75" s="107">
        <f t="shared" si="35"/>
        <v>0</v>
      </c>
      <c r="AH75" s="108"/>
      <c r="AI75" s="104" t="s">
        <v>94</v>
      </c>
      <c r="AJ75" s="109"/>
      <c r="AK75" s="109"/>
    </row>
    <row r="76" spans="1:37" ht="15" customHeight="1" x14ac:dyDescent="0.35">
      <c r="A76" s="112"/>
      <c r="B76" s="99"/>
      <c r="C76" s="98"/>
      <c r="D76" s="98"/>
      <c r="E76" s="98"/>
      <c r="F76" s="111"/>
      <c r="G76" s="98"/>
      <c r="H76" s="111"/>
      <c r="I76" s="98"/>
      <c r="J76" s="101" t="str">
        <f t="shared" si="24"/>
        <v/>
      </c>
      <c r="K76" s="101" t="str">
        <f t="shared" si="25"/>
        <v>0</v>
      </c>
      <c r="L76" s="101" t="str">
        <f t="shared" si="26"/>
        <v/>
      </c>
      <c r="M76" s="101">
        <f>IFERROR(VLOOKUP(D76,Lista!A$3:D$33,3,0),1)</f>
        <v>1</v>
      </c>
      <c r="N76" s="101">
        <f>IFERROR(VLOOKUP(D76,Lista!A$3:E$33,5,0),1)</f>
        <v>1</v>
      </c>
      <c r="O76" s="102" t="str">
        <f t="shared" si="27"/>
        <v/>
      </c>
      <c r="P76" s="102">
        <f t="shared" si="28"/>
        <v>0</v>
      </c>
      <c r="Q76" s="102">
        <f t="shared" si="29"/>
        <v>0</v>
      </c>
      <c r="R76" s="103"/>
      <c r="S76" s="104" t="s">
        <v>94</v>
      </c>
      <c r="T76" s="105"/>
      <c r="U76" s="98"/>
      <c r="V76" s="98"/>
      <c r="W76" s="98"/>
      <c r="X76" s="98"/>
      <c r="Y76" s="98"/>
      <c r="Z76" s="101" t="str">
        <f t="shared" si="30"/>
        <v/>
      </c>
      <c r="AA76" s="101" t="str">
        <f t="shared" si="31"/>
        <v>0</v>
      </c>
      <c r="AB76" s="101" t="str">
        <f t="shared" si="32"/>
        <v/>
      </c>
      <c r="AC76" s="101">
        <f>IFERROR(VLOOKUP(V76,Lista!A$3:D$33,3,0),1)</f>
        <v>1</v>
      </c>
      <c r="AD76" s="101">
        <f>IFERROR(VLOOKUP(V76,Lista!A$3:E$33,5,0),1)</f>
        <v>1</v>
      </c>
      <c r="AE76" s="107" t="str">
        <f t="shared" si="33"/>
        <v/>
      </c>
      <c r="AF76" s="107">
        <f t="shared" si="34"/>
        <v>0</v>
      </c>
      <c r="AG76" s="107">
        <f t="shared" si="35"/>
        <v>0</v>
      </c>
      <c r="AH76" s="108"/>
      <c r="AI76" s="104" t="s">
        <v>94</v>
      </c>
      <c r="AJ76" s="109"/>
      <c r="AK76" s="109"/>
    </row>
    <row r="77" spans="1:37" ht="15" customHeight="1" x14ac:dyDescent="0.35">
      <c r="A77" s="112"/>
      <c r="B77" s="99"/>
      <c r="C77" s="98"/>
      <c r="D77" s="98"/>
      <c r="E77" s="98"/>
      <c r="F77" s="111"/>
      <c r="G77" s="98"/>
      <c r="H77" s="111"/>
      <c r="I77" s="98"/>
      <c r="J77" s="101" t="str">
        <f t="shared" si="24"/>
        <v/>
      </c>
      <c r="K77" s="101" t="str">
        <f t="shared" si="25"/>
        <v>0</v>
      </c>
      <c r="L77" s="101" t="str">
        <f t="shared" si="26"/>
        <v/>
      </c>
      <c r="M77" s="101">
        <f>IFERROR(VLOOKUP(D77,Lista!A$3:D$33,3,0),1)</f>
        <v>1</v>
      </c>
      <c r="N77" s="101">
        <f>IFERROR(VLOOKUP(D77,Lista!A$3:E$33,5,0),1)</f>
        <v>1</v>
      </c>
      <c r="O77" s="102" t="str">
        <f t="shared" si="27"/>
        <v/>
      </c>
      <c r="P77" s="102">
        <f t="shared" si="28"/>
        <v>0</v>
      </c>
      <c r="Q77" s="102">
        <f t="shared" si="29"/>
        <v>0</v>
      </c>
      <c r="R77" s="103"/>
      <c r="S77" s="104" t="s">
        <v>94</v>
      </c>
      <c r="T77" s="105"/>
      <c r="U77" s="98"/>
      <c r="V77" s="98"/>
      <c r="W77" s="98"/>
      <c r="X77" s="98"/>
      <c r="Y77" s="98"/>
      <c r="Z77" s="101" t="str">
        <f t="shared" si="30"/>
        <v/>
      </c>
      <c r="AA77" s="101" t="str">
        <f t="shared" si="31"/>
        <v>0</v>
      </c>
      <c r="AB77" s="101" t="str">
        <f t="shared" si="32"/>
        <v/>
      </c>
      <c r="AC77" s="101">
        <f>IFERROR(VLOOKUP(V77,Lista!A$3:D$33,3,0),1)</f>
        <v>1</v>
      </c>
      <c r="AD77" s="101">
        <f>IFERROR(VLOOKUP(V77,Lista!A$3:E$33,5,0),1)</f>
        <v>1</v>
      </c>
      <c r="AE77" s="107" t="str">
        <f t="shared" si="33"/>
        <v/>
      </c>
      <c r="AF77" s="107">
        <f t="shared" si="34"/>
        <v>0</v>
      </c>
      <c r="AG77" s="107">
        <f t="shared" si="35"/>
        <v>0</v>
      </c>
      <c r="AH77" s="108"/>
      <c r="AI77" s="104" t="s">
        <v>94</v>
      </c>
      <c r="AJ77" s="109"/>
      <c r="AK77" s="109"/>
    </row>
    <row r="78" spans="1:37" ht="15" customHeight="1" x14ac:dyDescent="0.35">
      <c r="A78" s="112"/>
      <c r="B78" s="99"/>
      <c r="C78" s="98"/>
      <c r="D78" s="98"/>
      <c r="E78" s="98"/>
      <c r="F78" s="111"/>
      <c r="G78" s="98"/>
      <c r="H78" s="111"/>
      <c r="I78" s="98"/>
      <c r="J78" s="101" t="str">
        <f t="shared" si="24"/>
        <v/>
      </c>
      <c r="K78" s="101" t="str">
        <f t="shared" si="25"/>
        <v>0</v>
      </c>
      <c r="L78" s="101" t="str">
        <f t="shared" si="26"/>
        <v/>
      </c>
      <c r="M78" s="101">
        <f>IFERROR(VLOOKUP(D78,Lista!A$3:D$33,3,0),1)</f>
        <v>1</v>
      </c>
      <c r="N78" s="101">
        <f>IFERROR(VLOOKUP(D78,Lista!A$3:E$33,5,0),1)</f>
        <v>1</v>
      </c>
      <c r="O78" s="102" t="str">
        <f t="shared" si="27"/>
        <v/>
      </c>
      <c r="P78" s="102">
        <f t="shared" si="28"/>
        <v>0</v>
      </c>
      <c r="Q78" s="102">
        <f t="shared" si="29"/>
        <v>0</v>
      </c>
      <c r="R78" s="103"/>
      <c r="S78" s="104" t="s">
        <v>94</v>
      </c>
      <c r="T78" s="105"/>
      <c r="U78" s="98"/>
      <c r="V78" s="98"/>
      <c r="W78" s="98"/>
      <c r="X78" s="98"/>
      <c r="Y78" s="98"/>
      <c r="Z78" s="101" t="str">
        <f t="shared" si="30"/>
        <v/>
      </c>
      <c r="AA78" s="101" t="str">
        <f t="shared" si="31"/>
        <v>0</v>
      </c>
      <c r="AB78" s="101" t="str">
        <f t="shared" si="32"/>
        <v/>
      </c>
      <c r="AC78" s="101">
        <f>IFERROR(VLOOKUP(V78,Lista!A$3:D$33,3,0),1)</f>
        <v>1</v>
      </c>
      <c r="AD78" s="101">
        <f>IFERROR(VLOOKUP(V78,Lista!A$3:E$33,5,0),1)</f>
        <v>1</v>
      </c>
      <c r="AE78" s="107" t="str">
        <f t="shared" si="33"/>
        <v/>
      </c>
      <c r="AF78" s="107">
        <f t="shared" si="34"/>
        <v>0</v>
      </c>
      <c r="AG78" s="107">
        <f t="shared" si="35"/>
        <v>0</v>
      </c>
      <c r="AH78" s="108"/>
      <c r="AI78" s="104" t="s">
        <v>94</v>
      </c>
      <c r="AJ78" s="109"/>
      <c r="AK78" s="109"/>
    </row>
    <row r="79" spans="1:37" ht="15" customHeight="1" x14ac:dyDescent="0.35">
      <c r="A79" s="112"/>
      <c r="B79" s="99"/>
      <c r="C79" s="98"/>
      <c r="D79" s="98"/>
      <c r="E79" s="98"/>
      <c r="F79" s="111"/>
      <c r="G79" s="98"/>
      <c r="H79" s="111"/>
      <c r="I79" s="98"/>
      <c r="J79" s="101" t="str">
        <f t="shared" si="24"/>
        <v/>
      </c>
      <c r="K79" s="101" t="str">
        <f t="shared" si="25"/>
        <v>0</v>
      </c>
      <c r="L79" s="101" t="str">
        <f t="shared" si="26"/>
        <v/>
      </c>
      <c r="M79" s="101">
        <f>IFERROR(VLOOKUP(D79,Lista!A$3:D$33,3,0),1)</f>
        <v>1</v>
      </c>
      <c r="N79" s="101">
        <f>IFERROR(VLOOKUP(D79,Lista!A$3:E$33,5,0),1)</f>
        <v>1</v>
      </c>
      <c r="O79" s="102" t="str">
        <f t="shared" si="27"/>
        <v/>
      </c>
      <c r="P79" s="102">
        <f t="shared" si="28"/>
        <v>0</v>
      </c>
      <c r="Q79" s="102">
        <f t="shared" si="29"/>
        <v>0</v>
      </c>
      <c r="R79" s="103"/>
      <c r="S79" s="104" t="s">
        <v>94</v>
      </c>
      <c r="T79" s="105"/>
      <c r="U79" s="98"/>
      <c r="V79" s="98"/>
      <c r="W79" s="98"/>
      <c r="X79" s="98"/>
      <c r="Y79" s="98"/>
      <c r="Z79" s="101" t="str">
        <f t="shared" si="30"/>
        <v/>
      </c>
      <c r="AA79" s="101" t="str">
        <f t="shared" si="31"/>
        <v>0</v>
      </c>
      <c r="AB79" s="101" t="str">
        <f t="shared" si="32"/>
        <v/>
      </c>
      <c r="AC79" s="101">
        <f>IFERROR(VLOOKUP(V79,Lista!A$3:D$33,3,0),1)</f>
        <v>1</v>
      </c>
      <c r="AD79" s="101">
        <f>IFERROR(VLOOKUP(V79,Lista!A$3:E$33,5,0),1)</f>
        <v>1</v>
      </c>
      <c r="AE79" s="107" t="str">
        <f t="shared" si="33"/>
        <v/>
      </c>
      <c r="AF79" s="107">
        <f t="shared" si="34"/>
        <v>0</v>
      </c>
      <c r="AG79" s="107">
        <f t="shared" si="35"/>
        <v>0</v>
      </c>
      <c r="AH79" s="108"/>
      <c r="AI79" s="104" t="s">
        <v>94</v>
      </c>
      <c r="AJ79" s="109"/>
      <c r="AK79" s="109"/>
    </row>
    <row r="80" spans="1:37" ht="15" customHeight="1" x14ac:dyDescent="0.35">
      <c r="A80" s="112"/>
      <c r="B80" s="99"/>
      <c r="C80" s="98"/>
      <c r="D80" s="98"/>
      <c r="E80" s="98"/>
      <c r="F80" s="111"/>
      <c r="G80" s="98"/>
      <c r="H80" s="111"/>
      <c r="I80" s="98"/>
      <c r="J80" s="101" t="str">
        <f t="shared" si="24"/>
        <v/>
      </c>
      <c r="K80" s="101" t="str">
        <f t="shared" si="25"/>
        <v>0</v>
      </c>
      <c r="L80" s="101" t="str">
        <f t="shared" si="26"/>
        <v/>
      </c>
      <c r="M80" s="101">
        <f>IFERROR(VLOOKUP(D80,Lista!A$3:D$33,3,0),1)</f>
        <v>1</v>
      </c>
      <c r="N80" s="101">
        <f>IFERROR(VLOOKUP(D80,Lista!A$3:E$33,5,0),1)</f>
        <v>1</v>
      </c>
      <c r="O80" s="102" t="str">
        <f t="shared" si="27"/>
        <v/>
      </c>
      <c r="P80" s="102">
        <f t="shared" si="28"/>
        <v>0</v>
      </c>
      <c r="Q80" s="102">
        <f t="shared" si="29"/>
        <v>0</v>
      </c>
      <c r="R80" s="103"/>
      <c r="S80" s="104" t="s">
        <v>94</v>
      </c>
      <c r="T80" s="105"/>
      <c r="U80" s="98"/>
      <c r="V80" s="98"/>
      <c r="W80" s="98"/>
      <c r="X80" s="98"/>
      <c r="Y80" s="98"/>
      <c r="Z80" s="101" t="str">
        <f t="shared" si="30"/>
        <v/>
      </c>
      <c r="AA80" s="101" t="str">
        <f t="shared" si="31"/>
        <v>0</v>
      </c>
      <c r="AB80" s="101" t="str">
        <f t="shared" si="32"/>
        <v/>
      </c>
      <c r="AC80" s="101">
        <f>IFERROR(VLOOKUP(V80,Lista!A$3:D$33,3,0),1)</f>
        <v>1</v>
      </c>
      <c r="AD80" s="101">
        <f>IFERROR(VLOOKUP(V80,Lista!A$3:E$33,5,0),1)</f>
        <v>1</v>
      </c>
      <c r="AE80" s="107" t="str">
        <f t="shared" si="33"/>
        <v/>
      </c>
      <c r="AF80" s="107">
        <f t="shared" si="34"/>
        <v>0</v>
      </c>
      <c r="AG80" s="107">
        <f t="shared" si="35"/>
        <v>0</v>
      </c>
      <c r="AH80" s="108"/>
      <c r="AI80" s="104" t="s">
        <v>94</v>
      </c>
      <c r="AJ80" s="109"/>
      <c r="AK80" s="109"/>
    </row>
    <row r="81" spans="1:37" ht="15" customHeight="1" x14ac:dyDescent="0.35">
      <c r="A81" s="112"/>
      <c r="B81" s="99"/>
      <c r="C81" s="98"/>
      <c r="D81" s="98"/>
      <c r="E81" s="98"/>
      <c r="F81" s="111"/>
      <c r="G81" s="98"/>
      <c r="H81" s="111"/>
      <c r="I81" s="98"/>
      <c r="J81" s="101" t="str">
        <f t="shared" si="24"/>
        <v/>
      </c>
      <c r="K81" s="101" t="str">
        <f t="shared" si="25"/>
        <v>0</v>
      </c>
      <c r="L81" s="101" t="str">
        <f t="shared" si="26"/>
        <v/>
      </c>
      <c r="M81" s="101">
        <f>IFERROR(VLOOKUP(D81,Lista!A$3:D$33,3,0),1)</f>
        <v>1</v>
      </c>
      <c r="N81" s="101">
        <f>IFERROR(VLOOKUP(D81,Lista!A$3:E$33,5,0),1)</f>
        <v>1</v>
      </c>
      <c r="O81" s="102" t="str">
        <f t="shared" si="27"/>
        <v/>
      </c>
      <c r="P81" s="102">
        <f t="shared" si="28"/>
        <v>0</v>
      </c>
      <c r="Q81" s="102">
        <f t="shared" si="29"/>
        <v>0</v>
      </c>
      <c r="R81" s="103"/>
      <c r="S81" s="104" t="s">
        <v>94</v>
      </c>
      <c r="T81" s="105"/>
      <c r="U81" s="98"/>
      <c r="V81" s="98"/>
      <c r="W81" s="98"/>
      <c r="X81" s="98"/>
      <c r="Y81" s="98"/>
      <c r="Z81" s="101" t="str">
        <f t="shared" si="30"/>
        <v/>
      </c>
      <c r="AA81" s="101" t="str">
        <f t="shared" si="31"/>
        <v>0</v>
      </c>
      <c r="AB81" s="101" t="str">
        <f t="shared" si="32"/>
        <v/>
      </c>
      <c r="AC81" s="101">
        <f>IFERROR(VLOOKUP(V81,Lista!A$3:D$33,3,0),1)</f>
        <v>1</v>
      </c>
      <c r="AD81" s="101">
        <f>IFERROR(VLOOKUP(V81,Lista!A$3:E$33,5,0),1)</f>
        <v>1</v>
      </c>
      <c r="AE81" s="107" t="str">
        <f t="shared" si="33"/>
        <v/>
      </c>
      <c r="AF81" s="107">
        <f t="shared" si="34"/>
        <v>0</v>
      </c>
      <c r="AG81" s="107">
        <f t="shared" si="35"/>
        <v>0</v>
      </c>
      <c r="AH81" s="108"/>
      <c r="AI81" s="104" t="s">
        <v>94</v>
      </c>
      <c r="AJ81" s="109"/>
      <c r="AK81" s="109"/>
    </row>
    <row r="82" spans="1:37" ht="15" customHeight="1" x14ac:dyDescent="0.35">
      <c r="A82" s="112"/>
      <c r="B82" s="99"/>
      <c r="C82" s="98"/>
      <c r="D82" s="98"/>
      <c r="E82" s="98"/>
      <c r="F82" s="111"/>
      <c r="G82" s="98"/>
      <c r="H82" s="111"/>
      <c r="I82" s="98"/>
      <c r="J82" s="101" t="str">
        <f t="shared" si="24"/>
        <v/>
      </c>
      <c r="K82" s="101" t="str">
        <f t="shared" si="25"/>
        <v>0</v>
      </c>
      <c r="L82" s="101" t="str">
        <f t="shared" si="26"/>
        <v/>
      </c>
      <c r="M82" s="101">
        <f>IFERROR(VLOOKUP(D82,Lista!A$3:D$33,3,0),1)</f>
        <v>1</v>
      </c>
      <c r="N82" s="101">
        <f>IFERROR(VLOOKUP(D82,Lista!A$3:E$33,5,0),1)</f>
        <v>1</v>
      </c>
      <c r="O82" s="102" t="str">
        <f t="shared" si="27"/>
        <v/>
      </c>
      <c r="P82" s="102">
        <f t="shared" si="28"/>
        <v>0</v>
      </c>
      <c r="Q82" s="102">
        <f t="shared" si="29"/>
        <v>0</v>
      </c>
      <c r="R82" s="103"/>
      <c r="S82" s="104" t="s">
        <v>94</v>
      </c>
      <c r="T82" s="105"/>
      <c r="U82" s="98"/>
      <c r="V82" s="98"/>
      <c r="W82" s="98"/>
      <c r="X82" s="98"/>
      <c r="Y82" s="98"/>
      <c r="Z82" s="101" t="str">
        <f t="shared" si="30"/>
        <v/>
      </c>
      <c r="AA82" s="101" t="str">
        <f t="shared" si="31"/>
        <v>0</v>
      </c>
      <c r="AB82" s="101" t="str">
        <f t="shared" si="32"/>
        <v/>
      </c>
      <c r="AC82" s="101">
        <f>IFERROR(VLOOKUP(V82,Lista!A$3:D$33,3,0),1)</f>
        <v>1</v>
      </c>
      <c r="AD82" s="101">
        <f>IFERROR(VLOOKUP(V82,Lista!A$3:E$33,5,0),1)</f>
        <v>1</v>
      </c>
      <c r="AE82" s="107" t="str">
        <f t="shared" si="33"/>
        <v/>
      </c>
      <c r="AF82" s="107">
        <f t="shared" si="34"/>
        <v>0</v>
      </c>
      <c r="AG82" s="107">
        <f t="shared" si="35"/>
        <v>0</v>
      </c>
      <c r="AH82" s="108"/>
      <c r="AI82" s="104" t="s">
        <v>94</v>
      </c>
      <c r="AJ82" s="109"/>
      <c r="AK82" s="109"/>
    </row>
    <row r="83" spans="1:37" ht="15" customHeight="1" x14ac:dyDescent="0.35">
      <c r="A83" s="112"/>
      <c r="B83" s="99"/>
      <c r="C83" s="98"/>
      <c r="D83" s="98"/>
      <c r="E83" s="98"/>
      <c r="F83" s="111"/>
      <c r="G83" s="98"/>
      <c r="H83" s="111"/>
      <c r="I83" s="98"/>
      <c r="J83" s="101" t="str">
        <f t="shared" si="24"/>
        <v/>
      </c>
      <c r="K83" s="101" t="str">
        <f t="shared" si="25"/>
        <v>0</v>
      </c>
      <c r="L83" s="101" t="str">
        <f t="shared" si="26"/>
        <v/>
      </c>
      <c r="M83" s="101">
        <f>IFERROR(VLOOKUP(D83,Lista!A$3:D$33,3,0),1)</f>
        <v>1</v>
      </c>
      <c r="N83" s="101">
        <f>IFERROR(VLOOKUP(D83,Lista!A$3:E$33,5,0),1)</f>
        <v>1</v>
      </c>
      <c r="O83" s="102" t="str">
        <f t="shared" si="27"/>
        <v/>
      </c>
      <c r="P83" s="102">
        <f t="shared" si="28"/>
        <v>0</v>
      </c>
      <c r="Q83" s="102">
        <f t="shared" si="29"/>
        <v>0</v>
      </c>
      <c r="R83" s="103"/>
      <c r="S83" s="104" t="s">
        <v>94</v>
      </c>
      <c r="T83" s="105"/>
      <c r="U83" s="98"/>
      <c r="V83" s="98"/>
      <c r="W83" s="98"/>
      <c r="X83" s="98"/>
      <c r="Y83" s="98"/>
      <c r="Z83" s="101" t="str">
        <f t="shared" si="30"/>
        <v/>
      </c>
      <c r="AA83" s="101" t="str">
        <f t="shared" si="31"/>
        <v>0</v>
      </c>
      <c r="AB83" s="101" t="str">
        <f t="shared" si="32"/>
        <v/>
      </c>
      <c r="AC83" s="101">
        <f>IFERROR(VLOOKUP(V83,Lista!A$3:D$33,3,0),1)</f>
        <v>1</v>
      </c>
      <c r="AD83" s="101">
        <f>IFERROR(VLOOKUP(V83,Lista!A$3:E$33,5,0),1)</f>
        <v>1</v>
      </c>
      <c r="AE83" s="107" t="str">
        <f t="shared" si="33"/>
        <v/>
      </c>
      <c r="AF83" s="107">
        <f t="shared" si="34"/>
        <v>0</v>
      </c>
      <c r="AG83" s="107">
        <f t="shared" si="35"/>
        <v>0</v>
      </c>
      <c r="AH83" s="108"/>
      <c r="AI83" s="104" t="s">
        <v>94</v>
      </c>
      <c r="AJ83" s="109"/>
      <c r="AK83" s="109"/>
    </row>
    <row r="84" spans="1:37" ht="15" customHeight="1" x14ac:dyDescent="0.35">
      <c r="A84" s="112"/>
      <c r="B84" s="99"/>
      <c r="C84" s="98"/>
      <c r="D84" s="98"/>
      <c r="E84" s="98"/>
      <c r="F84" s="111"/>
      <c r="G84" s="98"/>
      <c r="H84" s="111"/>
      <c r="I84" s="98"/>
      <c r="J84" s="101" t="str">
        <f t="shared" si="24"/>
        <v/>
      </c>
      <c r="K84" s="101" t="str">
        <f t="shared" si="25"/>
        <v>0</v>
      </c>
      <c r="L84" s="101" t="str">
        <f t="shared" si="26"/>
        <v/>
      </c>
      <c r="M84" s="101">
        <f>IFERROR(VLOOKUP(D84,Lista!A$3:D$33,3,0),1)</f>
        <v>1</v>
      </c>
      <c r="N84" s="101">
        <f>IFERROR(VLOOKUP(D84,Lista!A$3:E$33,5,0),1)</f>
        <v>1</v>
      </c>
      <c r="O84" s="102" t="str">
        <f t="shared" si="27"/>
        <v/>
      </c>
      <c r="P84" s="102">
        <f t="shared" si="28"/>
        <v>0</v>
      </c>
      <c r="Q84" s="102">
        <f t="shared" si="29"/>
        <v>0</v>
      </c>
      <c r="R84" s="103"/>
      <c r="S84" s="104" t="s">
        <v>94</v>
      </c>
      <c r="T84" s="105"/>
      <c r="U84" s="98"/>
      <c r="V84" s="98"/>
      <c r="W84" s="98"/>
      <c r="X84" s="98"/>
      <c r="Y84" s="98"/>
      <c r="Z84" s="101" t="str">
        <f t="shared" si="30"/>
        <v/>
      </c>
      <c r="AA84" s="101" t="str">
        <f t="shared" si="31"/>
        <v>0</v>
      </c>
      <c r="AB84" s="101" t="str">
        <f t="shared" si="32"/>
        <v/>
      </c>
      <c r="AC84" s="101">
        <f>IFERROR(VLOOKUP(V84,Lista!A$3:D$33,3,0),1)</f>
        <v>1</v>
      </c>
      <c r="AD84" s="101">
        <f>IFERROR(VLOOKUP(V84,Lista!A$3:E$33,5,0),1)</f>
        <v>1</v>
      </c>
      <c r="AE84" s="107" t="str">
        <f t="shared" si="33"/>
        <v/>
      </c>
      <c r="AF84" s="107">
        <f t="shared" si="34"/>
        <v>0</v>
      </c>
      <c r="AG84" s="107">
        <f t="shared" si="35"/>
        <v>0</v>
      </c>
      <c r="AH84" s="108"/>
      <c r="AI84" s="104" t="s">
        <v>94</v>
      </c>
      <c r="AJ84" s="109"/>
      <c r="AK84" s="109"/>
    </row>
    <row r="85" spans="1:37" ht="15" customHeight="1" x14ac:dyDescent="0.35">
      <c r="A85" s="112"/>
      <c r="B85" s="99"/>
      <c r="C85" s="98"/>
      <c r="D85" s="98"/>
      <c r="E85" s="98"/>
      <c r="F85" s="111"/>
      <c r="G85" s="98"/>
      <c r="H85" s="111"/>
      <c r="I85" s="98"/>
      <c r="J85" s="101" t="str">
        <f t="shared" si="24"/>
        <v/>
      </c>
      <c r="K85" s="101" t="str">
        <f t="shared" si="25"/>
        <v>0</v>
      </c>
      <c r="L85" s="101" t="str">
        <f t="shared" si="26"/>
        <v/>
      </c>
      <c r="M85" s="101">
        <f>IFERROR(VLOOKUP(D85,Lista!A$3:D$33,3,0),1)</f>
        <v>1</v>
      </c>
      <c r="N85" s="101">
        <f>IFERROR(VLOOKUP(D85,Lista!A$3:E$33,5,0),1)</f>
        <v>1</v>
      </c>
      <c r="O85" s="102" t="str">
        <f t="shared" si="27"/>
        <v/>
      </c>
      <c r="P85" s="102">
        <f t="shared" si="28"/>
        <v>0</v>
      </c>
      <c r="Q85" s="102">
        <f t="shared" si="29"/>
        <v>0</v>
      </c>
      <c r="R85" s="103"/>
      <c r="S85" s="104" t="s">
        <v>94</v>
      </c>
      <c r="T85" s="105"/>
      <c r="U85" s="98"/>
      <c r="V85" s="98"/>
      <c r="W85" s="98"/>
      <c r="X85" s="98"/>
      <c r="Y85" s="98"/>
      <c r="Z85" s="101" t="str">
        <f t="shared" si="30"/>
        <v/>
      </c>
      <c r="AA85" s="101" t="str">
        <f t="shared" si="31"/>
        <v>0</v>
      </c>
      <c r="AB85" s="101" t="str">
        <f t="shared" si="32"/>
        <v/>
      </c>
      <c r="AC85" s="101">
        <f>IFERROR(VLOOKUP(V85,Lista!A$3:D$33,3,0),1)</f>
        <v>1</v>
      </c>
      <c r="AD85" s="101">
        <f>IFERROR(VLOOKUP(V85,Lista!A$3:E$33,5,0),1)</f>
        <v>1</v>
      </c>
      <c r="AE85" s="107" t="str">
        <f t="shared" si="33"/>
        <v/>
      </c>
      <c r="AF85" s="107">
        <f t="shared" si="34"/>
        <v>0</v>
      </c>
      <c r="AG85" s="107">
        <f t="shared" si="35"/>
        <v>0</v>
      </c>
      <c r="AH85" s="108"/>
      <c r="AI85" s="104" t="s">
        <v>94</v>
      </c>
      <c r="AJ85" s="109"/>
      <c r="AK85" s="109"/>
    </row>
    <row r="86" spans="1:37" ht="15" customHeight="1" x14ac:dyDescent="0.35">
      <c r="A86" s="112"/>
      <c r="B86" s="99"/>
      <c r="C86" s="98"/>
      <c r="D86" s="98"/>
      <c r="E86" s="98"/>
      <c r="F86" s="111"/>
      <c r="G86" s="98"/>
      <c r="H86" s="111"/>
      <c r="I86" s="98"/>
      <c r="J86" s="101" t="str">
        <f t="shared" si="24"/>
        <v/>
      </c>
      <c r="K86" s="101" t="str">
        <f t="shared" si="25"/>
        <v>0</v>
      </c>
      <c r="L86" s="101" t="str">
        <f t="shared" si="26"/>
        <v/>
      </c>
      <c r="M86" s="101">
        <f>IFERROR(VLOOKUP(D86,Lista!A$3:D$33,3,0),1)</f>
        <v>1</v>
      </c>
      <c r="N86" s="101">
        <f>IFERROR(VLOOKUP(D86,Lista!A$3:E$33,5,0),1)</f>
        <v>1</v>
      </c>
      <c r="O86" s="102" t="str">
        <f t="shared" si="27"/>
        <v/>
      </c>
      <c r="P86" s="102">
        <f t="shared" si="28"/>
        <v>0</v>
      </c>
      <c r="Q86" s="102">
        <f t="shared" si="29"/>
        <v>0</v>
      </c>
      <c r="R86" s="103"/>
      <c r="S86" s="104" t="s">
        <v>94</v>
      </c>
      <c r="T86" s="105"/>
      <c r="U86" s="98"/>
      <c r="V86" s="98"/>
      <c r="W86" s="98"/>
      <c r="X86" s="98"/>
      <c r="Y86" s="98"/>
      <c r="Z86" s="101" t="str">
        <f t="shared" si="30"/>
        <v/>
      </c>
      <c r="AA86" s="101" t="str">
        <f t="shared" si="31"/>
        <v>0</v>
      </c>
      <c r="AB86" s="101" t="str">
        <f t="shared" si="32"/>
        <v/>
      </c>
      <c r="AC86" s="101">
        <f>IFERROR(VLOOKUP(V86,Lista!A$3:D$33,3,0),1)</f>
        <v>1</v>
      </c>
      <c r="AD86" s="101">
        <f>IFERROR(VLOOKUP(V86,Lista!A$3:E$33,5,0),1)</f>
        <v>1</v>
      </c>
      <c r="AE86" s="107" t="str">
        <f t="shared" si="33"/>
        <v/>
      </c>
      <c r="AF86" s="107">
        <f t="shared" si="34"/>
        <v>0</v>
      </c>
      <c r="AG86" s="107">
        <f t="shared" si="35"/>
        <v>0</v>
      </c>
      <c r="AH86" s="108"/>
      <c r="AI86" s="104" t="s">
        <v>94</v>
      </c>
      <c r="AJ86" s="109"/>
      <c r="AK86" s="109"/>
    </row>
    <row r="87" spans="1:37" ht="15" customHeight="1" x14ac:dyDescent="0.35">
      <c r="A87" s="112"/>
      <c r="B87" s="99"/>
      <c r="C87" s="98"/>
      <c r="D87" s="98"/>
      <c r="E87" s="98"/>
      <c r="F87" s="111"/>
      <c r="G87" s="98"/>
      <c r="H87" s="111"/>
      <c r="I87" s="98"/>
      <c r="J87" s="101" t="str">
        <f t="shared" si="24"/>
        <v/>
      </c>
      <c r="K87" s="101" t="str">
        <f t="shared" si="25"/>
        <v>0</v>
      </c>
      <c r="L87" s="101" t="str">
        <f t="shared" si="26"/>
        <v/>
      </c>
      <c r="M87" s="101">
        <f>IFERROR(VLOOKUP(D87,Lista!A$3:D$33,3,0),1)</f>
        <v>1</v>
      </c>
      <c r="N87" s="101">
        <f>IFERROR(VLOOKUP(D87,Lista!A$3:E$33,5,0),1)</f>
        <v>1</v>
      </c>
      <c r="O87" s="102" t="str">
        <f t="shared" si="27"/>
        <v/>
      </c>
      <c r="P87" s="102">
        <f t="shared" si="28"/>
        <v>0</v>
      </c>
      <c r="Q87" s="102">
        <f t="shared" si="29"/>
        <v>0</v>
      </c>
      <c r="R87" s="103"/>
      <c r="S87" s="104" t="s">
        <v>94</v>
      </c>
      <c r="T87" s="105"/>
      <c r="U87" s="98"/>
      <c r="V87" s="98"/>
      <c r="W87" s="98"/>
      <c r="X87" s="98"/>
      <c r="Y87" s="98"/>
      <c r="Z87" s="101" t="str">
        <f t="shared" si="30"/>
        <v/>
      </c>
      <c r="AA87" s="101" t="str">
        <f t="shared" si="31"/>
        <v>0</v>
      </c>
      <c r="AB87" s="101" t="str">
        <f t="shared" si="32"/>
        <v/>
      </c>
      <c r="AC87" s="101">
        <f>IFERROR(VLOOKUP(V87,Lista!A$3:D$33,3,0),1)</f>
        <v>1</v>
      </c>
      <c r="AD87" s="101">
        <f>IFERROR(VLOOKUP(V87,Lista!A$3:E$33,5,0),1)</f>
        <v>1</v>
      </c>
      <c r="AE87" s="107" t="str">
        <f t="shared" si="33"/>
        <v/>
      </c>
      <c r="AF87" s="107">
        <f t="shared" si="34"/>
        <v>0</v>
      </c>
      <c r="AG87" s="107">
        <f t="shared" si="35"/>
        <v>0</v>
      </c>
      <c r="AH87" s="108"/>
      <c r="AI87" s="104" t="s">
        <v>94</v>
      </c>
      <c r="AJ87" s="109"/>
      <c r="AK87" s="109"/>
    </row>
    <row r="88" spans="1:37" ht="15" customHeight="1" x14ac:dyDescent="0.35">
      <c r="A88" s="112"/>
      <c r="B88" s="99"/>
      <c r="C88" s="98"/>
      <c r="D88" s="98"/>
      <c r="E88" s="98"/>
      <c r="F88" s="111"/>
      <c r="G88" s="98"/>
      <c r="H88" s="111"/>
      <c r="I88" s="98"/>
      <c r="J88" s="101" t="str">
        <f t="shared" si="24"/>
        <v/>
      </c>
      <c r="K88" s="101" t="str">
        <f t="shared" si="25"/>
        <v>0</v>
      </c>
      <c r="L88" s="101" t="str">
        <f t="shared" si="26"/>
        <v/>
      </c>
      <c r="M88" s="101">
        <f>IFERROR(VLOOKUP(D88,Lista!A$3:D$33,3,0),1)</f>
        <v>1</v>
      </c>
      <c r="N88" s="101">
        <f>IFERROR(VLOOKUP(D88,Lista!A$3:E$33,5,0),1)</f>
        <v>1</v>
      </c>
      <c r="O88" s="102" t="str">
        <f t="shared" si="27"/>
        <v/>
      </c>
      <c r="P88" s="102">
        <f t="shared" si="28"/>
        <v>0</v>
      </c>
      <c r="Q88" s="102">
        <f t="shared" si="29"/>
        <v>0</v>
      </c>
      <c r="R88" s="103"/>
      <c r="S88" s="104" t="s">
        <v>94</v>
      </c>
      <c r="T88" s="105"/>
      <c r="U88" s="98"/>
      <c r="V88" s="98"/>
      <c r="W88" s="98"/>
      <c r="X88" s="98"/>
      <c r="Y88" s="98"/>
      <c r="Z88" s="101" t="str">
        <f t="shared" si="30"/>
        <v/>
      </c>
      <c r="AA88" s="101" t="str">
        <f t="shared" si="31"/>
        <v>0</v>
      </c>
      <c r="AB88" s="101" t="str">
        <f t="shared" si="32"/>
        <v/>
      </c>
      <c r="AC88" s="101">
        <f>IFERROR(VLOOKUP(V88,Lista!A$3:D$33,3,0),1)</f>
        <v>1</v>
      </c>
      <c r="AD88" s="101">
        <f>IFERROR(VLOOKUP(V88,Lista!A$3:E$33,5,0),1)</f>
        <v>1</v>
      </c>
      <c r="AE88" s="107" t="str">
        <f t="shared" si="33"/>
        <v/>
      </c>
      <c r="AF88" s="107">
        <f t="shared" si="34"/>
        <v>0</v>
      </c>
      <c r="AG88" s="107">
        <f t="shared" si="35"/>
        <v>0</v>
      </c>
      <c r="AH88" s="108"/>
      <c r="AI88" s="104" t="s">
        <v>94</v>
      </c>
      <c r="AJ88" s="109"/>
      <c r="AK88" s="109"/>
    </row>
    <row r="89" spans="1:37" ht="15" customHeight="1" x14ac:dyDescent="0.35">
      <c r="A89" s="112"/>
      <c r="B89" s="99"/>
      <c r="C89" s="98"/>
      <c r="D89" s="98"/>
      <c r="E89" s="98"/>
      <c r="F89" s="111"/>
      <c r="G89" s="98"/>
      <c r="H89" s="100"/>
      <c r="I89" s="98"/>
      <c r="J89" s="101" t="str">
        <f t="shared" si="24"/>
        <v/>
      </c>
      <c r="K89" s="101" t="str">
        <f t="shared" si="25"/>
        <v>0</v>
      </c>
      <c r="L89" s="101" t="str">
        <f t="shared" si="26"/>
        <v/>
      </c>
      <c r="M89" s="101">
        <f>IFERROR(VLOOKUP(D89,Lista!A$3:D$33,3,0),1)</f>
        <v>1</v>
      </c>
      <c r="N89" s="101">
        <f>IFERROR(VLOOKUP(D89,Lista!A$3:E$33,5,0),1)</f>
        <v>1</v>
      </c>
      <c r="O89" s="102" t="str">
        <f t="shared" si="27"/>
        <v/>
      </c>
      <c r="P89" s="102">
        <f t="shared" si="28"/>
        <v>0</v>
      </c>
      <c r="Q89" s="102">
        <f t="shared" si="29"/>
        <v>0</v>
      </c>
      <c r="R89" s="103"/>
      <c r="S89" s="104" t="s">
        <v>94</v>
      </c>
      <c r="T89" s="105"/>
      <c r="U89" s="98"/>
      <c r="V89" s="98"/>
      <c r="W89" s="98"/>
      <c r="X89" s="98"/>
      <c r="Y89" s="98"/>
      <c r="Z89" s="101" t="str">
        <f t="shared" si="30"/>
        <v/>
      </c>
      <c r="AA89" s="101" t="str">
        <f t="shared" si="31"/>
        <v>0</v>
      </c>
      <c r="AB89" s="101" t="str">
        <f t="shared" si="32"/>
        <v/>
      </c>
      <c r="AC89" s="101">
        <f>IFERROR(VLOOKUP(V89,Lista!A$3:D$33,3,0),1)</f>
        <v>1</v>
      </c>
      <c r="AD89" s="101">
        <f>IFERROR(VLOOKUP(V89,Lista!A$3:E$33,5,0),1)</f>
        <v>1</v>
      </c>
      <c r="AE89" s="107" t="str">
        <f t="shared" si="33"/>
        <v/>
      </c>
      <c r="AF89" s="107">
        <f t="shared" si="34"/>
        <v>0</v>
      </c>
      <c r="AG89" s="107">
        <f t="shared" si="35"/>
        <v>0</v>
      </c>
      <c r="AH89" s="108"/>
      <c r="AI89" s="104" t="s">
        <v>94</v>
      </c>
      <c r="AJ89" s="109"/>
      <c r="AK89" s="109"/>
    </row>
    <row r="90" spans="1:37" ht="15" customHeight="1" x14ac:dyDescent="0.35">
      <c r="A90" s="112"/>
      <c r="B90" s="99"/>
      <c r="C90" s="98"/>
      <c r="D90" s="98"/>
      <c r="E90" s="98"/>
      <c r="F90" s="111"/>
      <c r="G90" s="98"/>
      <c r="H90" s="100"/>
      <c r="I90" s="98"/>
      <c r="J90" s="101" t="str">
        <f t="shared" si="24"/>
        <v/>
      </c>
      <c r="K90" s="101" t="str">
        <f t="shared" si="25"/>
        <v>0</v>
      </c>
      <c r="L90" s="101" t="str">
        <f t="shared" si="26"/>
        <v/>
      </c>
      <c r="M90" s="101">
        <f>IFERROR(VLOOKUP(D90,Lista!A$3:D$33,3,0),1)</f>
        <v>1</v>
      </c>
      <c r="N90" s="101">
        <f>IFERROR(VLOOKUP(D90,Lista!A$3:E$33,5,0),1)</f>
        <v>1</v>
      </c>
      <c r="O90" s="102" t="str">
        <f t="shared" si="27"/>
        <v/>
      </c>
      <c r="P90" s="102">
        <f t="shared" si="28"/>
        <v>0</v>
      </c>
      <c r="Q90" s="102">
        <f t="shared" si="29"/>
        <v>0</v>
      </c>
      <c r="R90" s="103"/>
      <c r="S90" s="104" t="s">
        <v>94</v>
      </c>
      <c r="T90" s="105"/>
      <c r="U90" s="98"/>
      <c r="V90" s="98"/>
      <c r="W90" s="98"/>
      <c r="X90" s="98"/>
      <c r="Y90" s="98"/>
      <c r="Z90" s="101" t="str">
        <f t="shared" si="30"/>
        <v/>
      </c>
      <c r="AA90" s="101" t="str">
        <f t="shared" si="31"/>
        <v>0</v>
      </c>
      <c r="AB90" s="101" t="str">
        <f t="shared" si="32"/>
        <v/>
      </c>
      <c r="AC90" s="101">
        <f>IFERROR(VLOOKUP(V90,Lista!A$3:D$33,3,0),1)</f>
        <v>1</v>
      </c>
      <c r="AD90" s="101">
        <f>IFERROR(VLOOKUP(V90,Lista!A$3:E$33,5,0),1)</f>
        <v>1</v>
      </c>
      <c r="AE90" s="107" t="str">
        <f t="shared" si="33"/>
        <v/>
      </c>
      <c r="AF90" s="107">
        <f t="shared" si="34"/>
        <v>0</v>
      </c>
      <c r="AG90" s="107">
        <f t="shared" si="35"/>
        <v>0</v>
      </c>
      <c r="AH90" s="108"/>
      <c r="AI90" s="104" t="s">
        <v>94</v>
      </c>
      <c r="AJ90" s="109"/>
      <c r="AK90" s="109"/>
    </row>
    <row r="91" spans="1:37" ht="15" customHeight="1" x14ac:dyDescent="0.35">
      <c r="A91" s="112"/>
      <c r="B91" s="115"/>
      <c r="C91" s="98"/>
      <c r="D91" s="98"/>
      <c r="E91" s="98"/>
      <c r="F91" s="111"/>
      <c r="G91" s="98"/>
      <c r="H91" s="111"/>
      <c r="I91" s="98"/>
      <c r="J91" s="101" t="str">
        <f t="shared" si="24"/>
        <v/>
      </c>
      <c r="K91" s="101" t="str">
        <f t="shared" si="25"/>
        <v>0</v>
      </c>
      <c r="L91" s="101" t="str">
        <f t="shared" si="26"/>
        <v/>
      </c>
      <c r="M91" s="101">
        <f>IFERROR(VLOOKUP(D91,Lista!A$3:D$33,3,0),1)</f>
        <v>1</v>
      </c>
      <c r="N91" s="101">
        <f>IFERROR(VLOOKUP(D91,Lista!A$3:E$33,5,0),1)</f>
        <v>1</v>
      </c>
      <c r="O91" s="102" t="str">
        <f t="shared" si="27"/>
        <v/>
      </c>
      <c r="P91" s="102">
        <f t="shared" si="28"/>
        <v>0</v>
      </c>
      <c r="Q91" s="102">
        <f t="shared" si="29"/>
        <v>0</v>
      </c>
      <c r="R91" s="103"/>
      <c r="S91" s="104" t="s">
        <v>94</v>
      </c>
      <c r="T91" s="105"/>
      <c r="U91" s="98"/>
      <c r="V91" s="98"/>
      <c r="W91" s="98"/>
      <c r="X91" s="98"/>
      <c r="Y91" s="98"/>
      <c r="Z91" s="101" t="str">
        <f t="shared" si="30"/>
        <v/>
      </c>
      <c r="AA91" s="101" t="str">
        <f t="shared" si="31"/>
        <v>0</v>
      </c>
      <c r="AB91" s="101" t="str">
        <f t="shared" si="32"/>
        <v/>
      </c>
      <c r="AC91" s="101">
        <f>IFERROR(VLOOKUP(V91,Lista!A$3:D$33,3,0),1)</f>
        <v>1</v>
      </c>
      <c r="AD91" s="101">
        <f>IFERROR(VLOOKUP(V91,Lista!A$3:E$33,5,0),1)</f>
        <v>1</v>
      </c>
      <c r="AE91" s="107" t="str">
        <f t="shared" si="33"/>
        <v/>
      </c>
      <c r="AF91" s="107">
        <f t="shared" si="34"/>
        <v>0</v>
      </c>
      <c r="AG91" s="107">
        <f t="shared" si="35"/>
        <v>0</v>
      </c>
      <c r="AH91" s="108"/>
      <c r="AI91" s="104" t="s">
        <v>94</v>
      </c>
      <c r="AJ91" s="109"/>
      <c r="AK91" s="109"/>
    </row>
    <row r="92" spans="1:37" ht="15" customHeight="1" x14ac:dyDescent="0.35">
      <c r="A92" s="112"/>
      <c r="B92" s="99"/>
      <c r="C92" s="98"/>
      <c r="D92" s="98"/>
      <c r="E92" s="98"/>
      <c r="F92" s="111"/>
      <c r="G92" s="98"/>
      <c r="H92" s="111"/>
      <c r="I92" s="98"/>
      <c r="J92" s="101" t="str">
        <f t="shared" si="24"/>
        <v/>
      </c>
      <c r="K92" s="101" t="str">
        <f t="shared" si="25"/>
        <v>0</v>
      </c>
      <c r="L92" s="101" t="str">
        <f t="shared" si="26"/>
        <v/>
      </c>
      <c r="M92" s="101">
        <f>IFERROR(VLOOKUP(D92,Lista!A$3:D$33,3,0),1)</f>
        <v>1</v>
      </c>
      <c r="N92" s="101">
        <f>IFERROR(VLOOKUP(D92,Lista!A$3:E$33,5,0),1)</f>
        <v>1</v>
      </c>
      <c r="O92" s="102" t="str">
        <f t="shared" si="27"/>
        <v/>
      </c>
      <c r="P92" s="102">
        <f t="shared" si="28"/>
        <v>0</v>
      </c>
      <c r="Q92" s="102">
        <f t="shared" si="29"/>
        <v>0</v>
      </c>
      <c r="R92" s="103"/>
      <c r="S92" s="104" t="s">
        <v>94</v>
      </c>
      <c r="T92" s="113"/>
      <c r="U92" s="98"/>
      <c r="V92" s="98"/>
      <c r="W92" s="98"/>
      <c r="X92" s="98"/>
      <c r="Y92" s="98"/>
      <c r="Z92" s="101" t="str">
        <f t="shared" si="30"/>
        <v/>
      </c>
      <c r="AA92" s="101" t="str">
        <f t="shared" si="31"/>
        <v>0</v>
      </c>
      <c r="AB92" s="101" t="str">
        <f t="shared" si="32"/>
        <v/>
      </c>
      <c r="AC92" s="101">
        <f>IFERROR(VLOOKUP(V92,Lista!A$3:D$33,3,0),1)</f>
        <v>1</v>
      </c>
      <c r="AD92" s="101">
        <f>IFERROR(VLOOKUP(V92,Lista!A$3:E$33,5,0),1)</f>
        <v>1</v>
      </c>
      <c r="AE92" s="107" t="str">
        <f t="shared" si="33"/>
        <v/>
      </c>
      <c r="AF92" s="107">
        <f t="shared" si="34"/>
        <v>0</v>
      </c>
      <c r="AG92" s="107">
        <f t="shared" si="35"/>
        <v>0</v>
      </c>
      <c r="AH92" s="108"/>
      <c r="AI92" s="104" t="s">
        <v>94</v>
      </c>
      <c r="AJ92" s="109"/>
      <c r="AK92" s="109"/>
    </row>
    <row r="93" spans="1:37" ht="15" customHeight="1" x14ac:dyDescent="0.35">
      <c r="A93" s="112"/>
      <c r="B93" s="99"/>
      <c r="C93" s="98"/>
      <c r="D93" s="98"/>
      <c r="E93" s="98"/>
      <c r="F93" s="111"/>
      <c r="G93" s="98"/>
      <c r="H93" s="111"/>
      <c r="I93" s="98"/>
      <c r="J93" s="101" t="str">
        <f t="shared" si="24"/>
        <v/>
      </c>
      <c r="K93" s="101" t="str">
        <f t="shared" si="25"/>
        <v>0</v>
      </c>
      <c r="L93" s="101" t="str">
        <f t="shared" si="26"/>
        <v/>
      </c>
      <c r="M93" s="101">
        <f>IFERROR(VLOOKUP(D93,Lista!A$3:D$33,3,0),1)</f>
        <v>1</v>
      </c>
      <c r="N93" s="101">
        <f>IFERROR(VLOOKUP(D93,Lista!A$3:E$33,5,0),1)</f>
        <v>1</v>
      </c>
      <c r="O93" s="102" t="str">
        <f t="shared" si="27"/>
        <v/>
      </c>
      <c r="P93" s="102">
        <f t="shared" si="28"/>
        <v>0</v>
      </c>
      <c r="Q93" s="102">
        <f t="shared" si="29"/>
        <v>0</v>
      </c>
      <c r="R93" s="103"/>
      <c r="S93" s="104" t="s">
        <v>94</v>
      </c>
      <c r="T93" s="105"/>
      <c r="U93" s="98"/>
      <c r="V93" s="98"/>
      <c r="W93" s="98"/>
      <c r="X93" s="98"/>
      <c r="Y93" s="98"/>
      <c r="Z93" s="101" t="str">
        <f t="shared" si="30"/>
        <v/>
      </c>
      <c r="AA93" s="101" t="str">
        <f t="shared" si="31"/>
        <v>0</v>
      </c>
      <c r="AB93" s="101" t="str">
        <f t="shared" si="32"/>
        <v/>
      </c>
      <c r="AC93" s="101">
        <f>IFERROR(VLOOKUP(V93,Lista!A$3:D$33,3,0),1)</f>
        <v>1</v>
      </c>
      <c r="AD93" s="101">
        <f>IFERROR(VLOOKUP(V93,Lista!A$3:E$33,5,0),1)</f>
        <v>1</v>
      </c>
      <c r="AE93" s="107" t="str">
        <f t="shared" si="33"/>
        <v/>
      </c>
      <c r="AF93" s="107">
        <f t="shared" si="34"/>
        <v>0</v>
      </c>
      <c r="AG93" s="107">
        <f t="shared" si="35"/>
        <v>0</v>
      </c>
      <c r="AH93" s="108"/>
      <c r="AI93" s="104" t="s">
        <v>94</v>
      </c>
      <c r="AJ93" s="109"/>
      <c r="AK93" s="109"/>
    </row>
    <row r="94" spans="1:37" ht="15" customHeight="1" x14ac:dyDescent="0.35">
      <c r="A94" s="112"/>
      <c r="B94" s="99"/>
      <c r="C94" s="98"/>
      <c r="D94" s="98"/>
      <c r="E94" s="98"/>
      <c r="F94" s="111"/>
      <c r="G94" s="98"/>
      <c r="H94" s="111"/>
      <c r="I94" s="98"/>
      <c r="J94" s="101" t="str">
        <f t="shared" si="24"/>
        <v/>
      </c>
      <c r="K94" s="101" t="str">
        <f t="shared" si="25"/>
        <v>0</v>
      </c>
      <c r="L94" s="101" t="str">
        <f t="shared" si="26"/>
        <v/>
      </c>
      <c r="M94" s="101">
        <f>IFERROR(VLOOKUP(D94,Lista!A$3:D$33,3,0),1)</f>
        <v>1</v>
      </c>
      <c r="N94" s="101">
        <f>IFERROR(VLOOKUP(D94,Lista!A$3:E$33,5,0),1)</f>
        <v>1</v>
      </c>
      <c r="O94" s="102" t="str">
        <f t="shared" si="27"/>
        <v/>
      </c>
      <c r="P94" s="102">
        <f t="shared" si="28"/>
        <v>0</v>
      </c>
      <c r="Q94" s="102">
        <f t="shared" si="29"/>
        <v>0</v>
      </c>
      <c r="R94" s="103"/>
      <c r="S94" s="104" t="s">
        <v>94</v>
      </c>
      <c r="T94" s="105"/>
      <c r="U94" s="98"/>
      <c r="V94" s="98"/>
      <c r="W94" s="98"/>
      <c r="X94" s="98"/>
      <c r="Y94" s="98"/>
      <c r="Z94" s="101" t="str">
        <f t="shared" si="30"/>
        <v/>
      </c>
      <c r="AA94" s="101" t="str">
        <f t="shared" si="31"/>
        <v>0</v>
      </c>
      <c r="AB94" s="101" t="str">
        <f t="shared" si="32"/>
        <v/>
      </c>
      <c r="AC94" s="101">
        <f>IFERROR(VLOOKUP(V94,Lista!A$3:D$33,3,0),1)</f>
        <v>1</v>
      </c>
      <c r="AD94" s="101">
        <f>IFERROR(VLOOKUP(V94,Lista!A$3:E$33,5,0),1)</f>
        <v>1</v>
      </c>
      <c r="AE94" s="107" t="str">
        <f t="shared" si="33"/>
        <v/>
      </c>
      <c r="AF94" s="107">
        <f t="shared" si="34"/>
        <v>0</v>
      </c>
      <c r="AG94" s="107">
        <f t="shared" si="35"/>
        <v>0</v>
      </c>
      <c r="AH94" s="108"/>
      <c r="AI94" s="104" t="s">
        <v>94</v>
      </c>
      <c r="AJ94" s="109"/>
      <c r="AK94" s="109"/>
    </row>
    <row r="95" spans="1:37" ht="15" customHeight="1" x14ac:dyDescent="0.35">
      <c r="A95" s="112"/>
      <c r="B95" s="99"/>
      <c r="C95" s="98"/>
      <c r="D95" s="98"/>
      <c r="E95" s="98"/>
      <c r="F95" s="111"/>
      <c r="G95" s="98"/>
      <c r="H95" s="111"/>
      <c r="I95" s="98"/>
      <c r="J95" s="101" t="str">
        <f t="shared" si="24"/>
        <v/>
      </c>
      <c r="K95" s="101" t="str">
        <f t="shared" si="25"/>
        <v>0</v>
      </c>
      <c r="L95" s="101" t="str">
        <f t="shared" si="26"/>
        <v/>
      </c>
      <c r="M95" s="101">
        <f>IFERROR(VLOOKUP(D95,Lista!A$3:D$33,3,0),1)</f>
        <v>1</v>
      </c>
      <c r="N95" s="101">
        <f>IFERROR(VLOOKUP(D95,Lista!A$3:E$33,5,0),1)</f>
        <v>1</v>
      </c>
      <c r="O95" s="102" t="str">
        <f t="shared" si="27"/>
        <v/>
      </c>
      <c r="P95" s="102">
        <f t="shared" si="28"/>
        <v>0</v>
      </c>
      <c r="Q95" s="102">
        <f t="shared" si="29"/>
        <v>0</v>
      </c>
      <c r="R95" s="103"/>
      <c r="S95" s="104" t="s">
        <v>94</v>
      </c>
      <c r="T95" s="105"/>
      <c r="U95" s="98"/>
      <c r="V95" s="98"/>
      <c r="W95" s="98"/>
      <c r="X95" s="98"/>
      <c r="Y95" s="98"/>
      <c r="Z95" s="101" t="str">
        <f t="shared" si="30"/>
        <v/>
      </c>
      <c r="AA95" s="101" t="str">
        <f t="shared" si="31"/>
        <v>0</v>
      </c>
      <c r="AB95" s="101" t="str">
        <f t="shared" si="32"/>
        <v/>
      </c>
      <c r="AC95" s="101">
        <f>IFERROR(VLOOKUP(V95,Lista!A$3:D$33,3,0),1)</f>
        <v>1</v>
      </c>
      <c r="AD95" s="101">
        <f>IFERROR(VLOOKUP(V95,Lista!A$3:E$33,5,0),1)</f>
        <v>1</v>
      </c>
      <c r="AE95" s="107" t="str">
        <f t="shared" si="33"/>
        <v/>
      </c>
      <c r="AF95" s="107">
        <f t="shared" si="34"/>
        <v>0</v>
      </c>
      <c r="AG95" s="107">
        <f t="shared" si="35"/>
        <v>0</v>
      </c>
      <c r="AH95" s="108"/>
      <c r="AI95" s="104" t="s">
        <v>94</v>
      </c>
      <c r="AJ95" s="109"/>
      <c r="AK95" s="109"/>
    </row>
    <row r="96" spans="1:37" ht="15" customHeight="1" x14ac:dyDescent="0.35">
      <c r="A96" s="112"/>
      <c r="B96" s="99"/>
      <c r="C96" s="98"/>
      <c r="D96" s="98"/>
      <c r="E96" s="98"/>
      <c r="F96" s="111"/>
      <c r="G96" s="98"/>
      <c r="H96" s="111"/>
      <c r="I96" s="98"/>
      <c r="J96" s="101" t="str">
        <f t="shared" si="24"/>
        <v/>
      </c>
      <c r="K96" s="101" t="str">
        <f t="shared" si="25"/>
        <v>0</v>
      </c>
      <c r="L96" s="101" t="str">
        <f t="shared" si="26"/>
        <v/>
      </c>
      <c r="M96" s="101">
        <f>IFERROR(VLOOKUP(D96,Lista!A$3:D$33,3,0),1)</f>
        <v>1</v>
      </c>
      <c r="N96" s="101">
        <f>IFERROR(VLOOKUP(D96,Lista!A$3:E$33,5,0),1)</f>
        <v>1</v>
      </c>
      <c r="O96" s="102" t="str">
        <f t="shared" si="27"/>
        <v/>
      </c>
      <c r="P96" s="102">
        <f t="shared" si="28"/>
        <v>0</v>
      </c>
      <c r="Q96" s="102">
        <f t="shared" si="29"/>
        <v>0</v>
      </c>
      <c r="R96" s="103"/>
      <c r="S96" s="104" t="s">
        <v>94</v>
      </c>
      <c r="T96" s="105"/>
      <c r="U96" s="98"/>
      <c r="V96" s="98"/>
      <c r="W96" s="98"/>
      <c r="X96" s="98"/>
      <c r="Y96" s="98"/>
      <c r="Z96" s="101" t="str">
        <f t="shared" si="30"/>
        <v/>
      </c>
      <c r="AA96" s="101" t="str">
        <f t="shared" si="31"/>
        <v>0</v>
      </c>
      <c r="AB96" s="101" t="str">
        <f t="shared" si="32"/>
        <v/>
      </c>
      <c r="AC96" s="101">
        <f>IFERROR(VLOOKUP(V96,Lista!A$3:D$33,3,0),1)</f>
        <v>1</v>
      </c>
      <c r="AD96" s="101">
        <f>IFERROR(VLOOKUP(V96,Lista!A$3:E$33,5,0),1)</f>
        <v>1</v>
      </c>
      <c r="AE96" s="107" t="str">
        <f t="shared" si="33"/>
        <v/>
      </c>
      <c r="AF96" s="107">
        <f t="shared" si="34"/>
        <v>0</v>
      </c>
      <c r="AG96" s="107">
        <f t="shared" si="35"/>
        <v>0</v>
      </c>
      <c r="AH96" s="108"/>
      <c r="AI96" s="104" t="s">
        <v>94</v>
      </c>
      <c r="AJ96" s="109"/>
      <c r="AK96" s="109"/>
    </row>
    <row r="97" spans="1:37" ht="15" customHeight="1" x14ac:dyDescent="0.35">
      <c r="A97" s="112"/>
      <c r="B97" s="99"/>
      <c r="C97" s="98"/>
      <c r="D97" s="98"/>
      <c r="E97" s="98"/>
      <c r="F97" s="111"/>
      <c r="G97" s="98"/>
      <c r="H97" s="111"/>
      <c r="I97" s="98"/>
      <c r="J97" s="101" t="str">
        <f t="shared" si="24"/>
        <v/>
      </c>
      <c r="K97" s="101" t="str">
        <f t="shared" si="25"/>
        <v>0</v>
      </c>
      <c r="L97" s="101" t="str">
        <f t="shared" si="26"/>
        <v/>
      </c>
      <c r="M97" s="101">
        <f>IFERROR(VLOOKUP(D97,Lista!A$3:D$33,3,0),1)</f>
        <v>1</v>
      </c>
      <c r="N97" s="101">
        <f>IFERROR(VLOOKUP(D97,Lista!A$3:E$33,5,0),1)</f>
        <v>1</v>
      </c>
      <c r="O97" s="102" t="str">
        <f t="shared" si="27"/>
        <v/>
      </c>
      <c r="P97" s="102">
        <f t="shared" si="28"/>
        <v>0</v>
      </c>
      <c r="Q97" s="102">
        <f t="shared" si="29"/>
        <v>0</v>
      </c>
      <c r="R97" s="103"/>
      <c r="S97" s="104" t="s">
        <v>94</v>
      </c>
      <c r="T97" s="105"/>
      <c r="U97" s="98"/>
      <c r="V97" s="98"/>
      <c r="W97" s="98"/>
      <c r="X97" s="98"/>
      <c r="Y97" s="98"/>
      <c r="Z97" s="101" t="str">
        <f t="shared" si="30"/>
        <v/>
      </c>
      <c r="AA97" s="101" t="str">
        <f t="shared" si="31"/>
        <v>0</v>
      </c>
      <c r="AB97" s="101" t="str">
        <f t="shared" si="32"/>
        <v/>
      </c>
      <c r="AC97" s="101">
        <f>IFERROR(VLOOKUP(V97,Lista!A$3:D$33,3,0),1)</f>
        <v>1</v>
      </c>
      <c r="AD97" s="101">
        <f>IFERROR(VLOOKUP(V97,Lista!A$3:E$33,5,0),1)</f>
        <v>1</v>
      </c>
      <c r="AE97" s="107" t="str">
        <f t="shared" si="33"/>
        <v/>
      </c>
      <c r="AF97" s="107">
        <f t="shared" si="34"/>
        <v>0</v>
      </c>
      <c r="AG97" s="107">
        <f t="shared" si="35"/>
        <v>0</v>
      </c>
      <c r="AH97" s="108"/>
      <c r="AI97" s="104" t="s">
        <v>94</v>
      </c>
      <c r="AJ97" s="109"/>
      <c r="AK97" s="109"/>
    </row>
    <row r="98" spans="1:37" ht="15" customHeight="1" x14ac:dyDescent="0.35">
      <c r="A98" s="112"/>
      <c r="B98" s="99"/>
      <c r="C98" s="98"/>
      <c r="D98" s="98"/>
      <c r="E98" s="98"/>
      <c r="F98" s="111"/>
      <c r="G98" s="98"/>
      <c r="H98" s="111"/>
      <c r="I98" s="98"/>
      <c r="J98" s="101" t="str">
        <f t="shared" si="24"/>
        <v/>
      </c>
      <c r="K98" s="101" t="str">
        <f t="shared" si="25"/>
        <v>0</v>
      </c>
      <c r="L98" s="101" t="str">
        <f t="shared" si="26"/>
        <v/>
      </c>
      <c r="M98" s="101">
        <f>IFERROR(VLOOKUP(D98,Lista!A$3:D$33,3,0),1)</f>
        <v>1</v>
      </c>
      <c r="N98" s="101">
        <f>IFERROR(VLOOKUP(D98,Lista!A$3:E$33,5,0),1)</f>
        <v>1</v>
      </c>
      <c r="O98" s="102" t="str">
        <f t="shared" si="27"/>
        <v/>
      </c>
      <c r="P98" s="102">
        <f t="shared" si="28"/>
        <v>0</v>
      </c>
      <c r="Q98" s="102">
        <f t="shared" si="29"/>
        <v>0</v>
      </c>
      <c r="R98" s="103"/>
      <c r="S98" s="104" t="s">
        <v>94</v>
      </c>
      <c r="T98" s="105"/>
      <c r="U98" s="98"/>
      <c r="V98" s="98"/>
      <c r="W98" s="98"/>
      <c r="X98" s="98"/>
      <c r="Y98" s="98"/>
      <c r="Z98" s="101" t="str">
        <f t="shared" si="30"/>
        <v/>
      </c>
      <c r="AA98" s="101" t="str">
        <f t="shared" si="31"/>
        <v>0</v>
      </c>
      <c r="AB98" s="101" t="str">
        <f t="shared" si="32"/>
        <v/>
      </c>
      <c r="AC98" s="101">
        <f>IFERROR(VLOOKUP(V98,Lista!A$3:D$33,3,0),1)</f>
        <v>1</v>
      </c>
      <c r="AD98" s="101">
        <f>IFERROR(VLOOKUP(V98,Lista!A$3:E$33,5,0),1)</f>
        <v>1</v>
      </c>
      <c r="AE98" s="107" t="str">
        <f t="shared" si="33"/>
        <v/>
      </c>
      <c r="AF98" s="107">
        <f t="shared" si="34"/>
        <v>0</v>
      </c>
      <c r="AG98" s="107">
        <f t="shared" si="35"/>
        <v>0</v>
      </c>
      <c r="AH98" s="108"/>
      <c r="AI98" s="104" t="s">
        <v>94</v>
      </c>
      <c r="AJ98" s="109"/>
      <c r="AK98" s="109"/>
    </row>
    <row r="99" spans="1:37" ht="15" customHeight="1" x14ac:dyDescent="0.35">
      <c r="A99" s="112"/>
      <c r="B99" s="99"/>
      <c r="C99" s="98"/>
      <c r="D99" s="98"/>
      <c r="E99" s="98"/>
      <c r="F99" s="111"/>
      <c r="G99" s="98"/>
      <c r="H99" s="111"/>
      <c r="I99" s="98"/>
      <c r="J99" s="101" t="str">
        <f t="shared" ref="J99:J130" si="36">CONCATENATE(C99,L99)</f>
        <v/>
      </c>
      <c r="K99" s="101" t="str">
        <f t="shared" ref="K99:K130" si="37">CONCATENATE(C99,D99,L99,Q99)</f>
        <v>0</v>
      </c>
      <c r="L99" s="101" t="str">
        <f t="shared" ref="L99:L130" si="38">IF(OR(ISBLANK(E99),ISBLANK(G99)),IF(OR(C99="ALI",C99="AIE"),"L",IF(ISBLANK(C99),"","A")),IF(C99="EE",IF(G99&gt;=3,IF(E99&gt;=5,"H","A"),IF(G99&gt;=2,IF(E99&gt;=16,"H",IF(E99&lt;=4,"L","A")),IF(E99&lt;=15,"L","A"))),IF(OR(C99="SE",C99="CE"),IF(G99&gt;=4,IF(E99&gt;=6,"H","A"),IF(G99&gt;=2,IF(E99&gt;=20,"H",IF(E99&lt;=5,"L","A")),IF(E99&lt;=19,"L","A"))),IF(OR(C99="ALI",C99="AIE"),IF(G99&gt;=6,IF(E99&gt;=20,"H","A"),IF(G99&gt;=2,IF(E99&gt;=51,"H",IF(E99&lt;=19,"L","A")),IF(E99&lt;=50,"L","A")))))))</f>
        <v/>
      </c>
      <c r="M99" s="101">
        <f>IFERROR(VLOOKUP(D99,Lista!A$3:D$33,3,0),1)</f>
        <v>1</v>
      </c>
      <c r="N99" s="101">
        <f>IFERROR(VLOOKUP(D99,Lista!A$3:E$33,5,0),1)</f>
        <v>1</v>
      </c>
      <c r="O99" s="102" t="str">
        <f t="shared" ref="O99:O130" si="39">IF(C99="INM","",IF(L99="L","Baixa",IF(L99="A","Média",IF(L99="","","Alta"))))</f>
        <v/>
      </c>
      <c r="P99" s="102">
        <f t="shared" ref="P99:P130" si="40">IF(C99="INM",M99*I99,IF(C99="ALI",IF(L99="L",7,IF(L99="A",10,15)),IF(C99="AIE",IF(L99="L",5,IF(L99="A",7,10)),IF(C99="SE",IF(L99="L",4,IF(L99="A",5,7)),IF(OR(C99="EE",C99="CE"),IF(L99="L",3,IF(L99="A",4,6)),0)))))</f>
        <v>0</v>
      </c>
      <c r="Q99" s="102">
        <f t="shared" ref="Q99:Q130" si="41">IF(C99="INM",P99,P99*M99)</f>
        <v>0</v>
      </c>
      <c r="R99" s="103"/>
      <c r="S99" s="104" t="s">
        <v>94</v>
      </c>
      <c r="T99" s="105"/>
      <c r="U99" s="98"/>
      <c r="V99" s="98"/>
      <c r="W99" s="98"/>
      <c r="X99" s="98"/>
      <c r="Y99" s="98"/>
      <c r="Z99" s="101" t="str">
        <f t="shared" ref="Z99:Z130" si="42">CONCATENATE(U99,AB99)</f>
        <v/>
      </c>
      <c r="AA99" s="101" t="str">
        <f t="shared" ref="AA99:AA130" si="43">CONCATENATE(U99,V99,AB99,AG99)</f>
        <v>0</v>
      </c>
      <c r="AB99" s="101" t="str">
        <f t="shared" ref="AB99:AB130" si="44">IF(OR(ISBLANK(W99),ISBLANK(X99)),IF(OR(U99="ALI",U99="AIE"),"L",IF(ISBLANK(U99),"","A")),IF(U99="EE",IF(X99&gt;=3,IF(W99&gt;=5,"H","A"),IF(X99&gt;=2,IF(W99&gt;=16,"H",IF(W99&lt;=4,"L","A")),IF(W99&lt;=15,"L","A"))),IF(OR(U99="SE",U99="CE"),IF(X99&gt;=4,IF(W99&gt;=6,"H","A"),IF(X99&gt;=2,IF(W99&gt;=20,"H",IF(W99&lt;=5,"L","A")),IF(W99&lt;=19,"L","A"))),IF(OR(U99="ALI",U99="AIE"),IF(X99&gt;=6,IF(W99&gt;=20,"H","A"),IF(X99&gt;=2,IF(W99&gt;=51,"H",IF(W99&lt;=19,"L","A")),IF(W99&lt;=50,"L","A")))))))</f>
        <v/>
      </c>
      <c r="AC99" s="101">
        <f>IFERROR(VLOOKUP(V99,Lista!A$3:D$33,3,0),1)</f>
        <v>1</v>
      </c>
      <c r="AD99" s="101">
        <f>IFERROR(VLOOKUP(V99,Lista!A$3:E$33,5,0),1)</f>
        <v>1</v>
      </c>
      <c r="AE99" s="107" t="str">
        <f t="shared" ref="AE99:AE130" si="45">IF(U99="INM","",IF(AB99="L","Baixa",IF(AB99="A","Média",IF(AB99="","","Alta"))))</f>
        <v/>
      </c>
      <c r="AF99" s="107">
        <f t="shared" ref="AF99:AF130" si="46">IF(OR(ISBLANK(T99),T99="NOK"),0,IF(U99="INM",AC99*Y99,IF(U99="ALI",IF(AB99="L",7,IF(AB99="A",10,15)),IF(U99="AIE",IF(AB99="L",5,IF(AB99="A",7,10)),IF(U99="SE",IF(AB99="L",4,IF(AB99="A",5,7)),IF(OR(U99="EE",U99="CE"),IF(AB99="L",3,IF(AB99="A",4,6))))))))</f>
        <v>0</v>
      </c>
      <c r="AG99" s="107">
        <f t="shared" ref="AG99:AG130" si="47">IF(T99="NOK",0,IF(U99="INM",(1*AC99)*Y99,AF99*AC99))</f>
        <v>0</v>
      </c>
      <c r="AH99" s="103"/>
      <c r="AI99" s="104" t="s">
        <v>94</v>
      </c>
      <c r="AJ99" s="109"/>
      <c r="AK99" s="109"/>
    </row>
    <row r="100" spans="1:37" ht="15" customHeight="1" x14ac:dyDescent="0.35">
      <c r="A100" s="112"/>
      <c r="B100" s="99"/>
      <c r="C100" s="98"/>
      <c r="D100" s="98"/>
      <c r="E100" s="98"/>
      <c r="F100" s="111"/>
      <c r="G100" s="98"/>
      <c r="H100" s="111"/>
      <c r="I100" s="98"/>
      <c r="J100" s="101" t="str">
        <f t="shared" si="36"/>
        <v/>
      </c>
      <c r="K100" s="101" t="str">
        <f t="shared" si="37"/>
        <v>0</v>
      </c>
      <c r="L100" s="101" t="str">
        <f t="shared" si="38"/>
        <v/>
      </c>
      <c r="M100" s="101">
        <f>IFERROR(VLOOKUP(D100,Lista!A$3:D$33,3,0),1)</f>
        <v>1</v>
      </c>
      <c r="N100" s="101">
        <f>IFERROR(VLOOKUP(D100,Lista!A$3:E$33,5,0),1)</f>
        <v>1</v>
      </c>
      <c r="O100" s="102" t="str">
        <f t="shared" si="39"/>
        <v/>
      </c>
      <c r="P100" s="102">
        <f t="shared" si="40"/>
        <v>0</v>
      </c>
      <c r="Q100" s="102">
        <f t="shared" si="41"/>
        <v>0</v>
      </c>
      <c r="R100" s="103"/>
      <c r="S100" s="104" t="s">
        <v>94</v>
      </c>
      <c r="T100" s="105"/>
      <c r="U100" s="98"/>
      <c r="V100" s="98"/>
      <c r="W100" s="98"/>
      <c r="X100" s="98"/>
      <c r="Y100" s="98"/>
      <c r="Z100" s="101" t="str">
        <f t="shared" si="42"/>
        <v/>
      </c>
      <c r="AA100" s="101" t="str">
        <f t="shared" si="43"/>
        <v>0</v>
      </c>
      <c r="AB100" s="101" t="str">
        <f t="shared" si="44"/>
        <v/>
      </c>
      <c r="AC100" s="101">
        <f>IFERROR(VLOOKUP(V100,Lista!A$3:D$33,3,0),1)</f>
        <v>1</v>
      </c>
      <c r="AD100" s="101">
        <f>IFERROR(VLOOKUP(V100,Lista!A$3:E$33,5,0),1)</f>
        <v>1</v>
      </c>
      <c r="AE100" s="107" t="str">
        <f t="shared" si="45"/>
        <v/>
      </c>
      <c r="AF100" s="107">
        <f t="shared" si="46"/>
        <v>0</v>
      </c>
      <c r="AG100" s="107">
        <f t="shared" si="47"/>
        <v>0</v>
      </c>
      <c r="AH100" s="103"/>
      <c r="AI100" s="104" t="s">
        <v>94</v>
      </c>
      <c r="AJ100" s="109"/>
      <c r="AK100" s="109"/>
    </row>
    <row r="101" spans="1:37" ht="15" customHeight="1" x14ac:dyDescent="0.35">
      <c r="A101" s="112"/>
      <c r="B101" s="99"/>
      <c r="C101" s="98"/>
      <c r="D101" s="98"/>
      <c r="E101" s="98"/>
      <c r="F101" s="111"/>
      <c r="G101" s="98"/>
      <c r="H101" s="111"/>
      <c r="I101" s="98"/>
      <c r="J101" s="101" t="str">
        <f t="shared" si="36"/>
        <v/>
      </c>
      <c r="K101" s="101" t="str">
        <f t="shared" si="37"/>
        <v>0</v>
      </c>
      <c r="L101" s="101" t="str">
        <f t="shared" si="38"/>
        <v/>
      </c>
      <c r="M101" s="101">
        <f>IFERROR(VLOOKUP(D101,Lista!A$3:D$33,3,0),1)</f>
        <v>1</v>
      </c>
      <c r="N101" s="101">
        <f>IFERROR(VLOOKUP(D101,Lista!A$3:E$33,5,0),1)</f>
        <v>1</v>
      </c>
      <c r="O101" s="102" t="str">
        <f t="shared" si="39"/>
        <v/>
      </c>
      <c r="P101" s="102">
        <f t="shared" si="40"/>
        <v>0</v>
      </c>
      <c r="Q101" s="102">
        <f t="shared" si="41"/>
        <v>0</v>
      </c>
      <c r="R101" s="103"/>
      <c r="S101" s="104" t="s">
        <v>94</v>
      </c>
      <c r="T101" s="105"/>
      <c r="U101" s="98"/>
      <c r="V101" s="98"/>
      <c r="W101" s="98"/>
      <c r="X101" s="98"/>
      <c r="Y101" s="98"/>
      <c r="Z101" s="101" t="str">
        <f t="shared" si="42"/>
        <v/>
      </c>
      <c r="AA101" s="101" t="str">
        <f t="shared" si="43"/>
        <v>0</v>
      </c>
      <c r="AB101" s="101" t="str">
        <f t="shared" si="44"/>
        <v/>
      </c>
      <c r="AC101" s="101">
        <f>IFERROR(VLOOKUP(V101,Lista!A$3:D$33,3,0),1)</f>
        <v>1</v>
      </c>
      <c r="AD101" s="101">
        <f>IFERROR(VLOOKUP(V101,Lista!A$3:E$33,5,0),1)</f>
        <v>1</v>
      </c>
      <c r="AE101" s="107" t="str">
        <f t="shared" si="45"/>
        <v/>
      </c>
      <c r="AF101" s="107">
        <f t="shared" si="46"/>
        <v>0</v>
      </c>
      <c r="AG101" s="107">
        <f t="shared" si="47"/>
        <v>0</v>
      </c>
      <c r="AH101" s="103"/>
      <c r="AI101" s="104" t="s">
        <v>94</v>
      </c>
      <c r="AJ101" s="109"/>
      <c r="AK101" s="109"/>
    </row>
    <row r="102" spans="1:37" ht="15" customHeight="1" x14ac:dyDescent="0.35">
      <c r="A102" s="112"/>
      <c r="B102" s="99"/>
      <c r="C102" s="98"/>
      <c r="D102" s="98"/>
      <c r="E102" s="98"/>
      <c r="F102" s="111"/>
      <c r="G102" s="98"/>
      <c r="H102" s="111"/>
      <c r="I102" s="98"/>
      <c r="J102" s="101" t="str">
        <f t="shared" si="36"/>
        <v/>
      </c>
      <c r="K102" s="101" t="str">
        <f t="shared" si="37"/>
        <v>0</v>
      </c>
      <c r="L102" s="101" t="str">
        <f t="shared" si="38"/>
        <v/>
      </c>
      <c r="M102" s="101">
        <f>IFERROR(VLOOKUP(D102,Lista!A$3:D$33,3,0),1)</f>
        <v>1</v>
      </c>
      <c r="N102" s="101">
        <f>IFERROR(VLOOKUP(D102,Lista!A$3:E$33,5,0),1)</f>
        <v>1</v>
      </c>
      <c r="O102" s="102" t="str">
        <f t="shared" si="39"/>
        <v/>
      </c>
      <c r="P102" s="102">
        <f t="shared" si="40"/>
        <v>0</v>
      </c>
      <c r="Q102" s="102">
        <f t="shared" si="41"/>
        <v>0</v>
      </c>
      <c r="R102" s="103"/>
      <c r="S102" s="104" t="s">
        <v>94</v>
      </c>
      <c r="T102" s="113"/>
      <c r="U102" s="98"/>
      <c r="V102" s="98"/>
      <c r="W102" s="98"/>
      <c r="X102" s="98"/>
      <c r="Y102" s="98"/>
      <c r="Z102" s="101" t="str">
        <f t="shared" si="42"/>
        <v/>
      </c>
      <c r="AA102" s="101" t="str">
        <f t="shared" si="43"/>
        <v>0</v>
      </c>
      <c r="AB102" s="101" t="str">
        <f t="shared" si="44"/>
        <v/>
      </c>
      <c r="AC102" s="101">
        <f>IFERROR(VLOOKUP(V102,Lista!A$3:D$33,3,0),1)</f>
        <v>1</v>
      </c>
      <c r="AD102" s="101">
        <f>IFERROR(VLOOKUP(V102,Lista!A$3:E$33,5,0),1)</f>
        <v>1</v>
      </c>
      <c r="AE102" s="107" t="str">
        <f t="shared" si="45"/>
        <v/>
      </c>
      <c r="AF102" s="107">
        <f t="shared" si="46"/>
        <v>0</v>
      </c>
      <c r="AG102" s="107">
        <f t="shared" si="47"/>
        <v>0</v>
      </c>
      <c r="AH102" s="109"/>
      <c r="AI102" s="104" t="s">
        <v>94</v>
      </c>
      <c r="AJ102" s="109"/>
      <c r="AK102" s="109"/>
    </row>
    <row r="103" spans="1:37" ht="15" customHeight="1" x14ac:dyDescent="0.35">
      <c r="A103" s="112"/>
      <c r="B103" s="99"/>
      <c r="C103" s="98"/>
      <c r="D103" s="98"/>
      <c r="E103" s="98"/>
      <c r="F103" s="111"/>
      <c r="G103" s="98"/>
      <c r="H103" s="100"/>
      <c r="I103" s="98"/>
      <c r="J103" s="101" t="str">
        <f t="shared" si="36"/>
        <v/>
      </c>
      <c r="K103" s="101" t="str">
        <f t="shared" si="37"/>
        <v>0</v>
      </c>
      <c r="L103" s="101" t="str">
        <f t="shared" si="38"/>
        <v/>
      </c>
      <c r="M103" s="101">
        <f>IFERROR(VLOOKUP(D103,Lista!A$3:D$33,3,0),1)</f>
        <v>1</v>
      </c>
      <c r="N103" s="101">
        <f>IFERROR(VLOOKUP(D103,Lista!A$3:E$33,5,0),1)</f>
        <v>1</v>
      </c>
      <c r="O103" s="102" t="str">
        <f t="shared" si="39"/>
        <v/>
      </c>
      <c r="P103" s="102">
        <f t="shared" si="40"/>
        <v>0</v>
      </c>
      <c r="Q103" s="102">
        <f t="shared" si="41"/>
        <v>0</v>
      </c>
      <c r="R103" s="103"/>
      <c r="S103" s="104" t="s">
        <v>94</v>
      </c>
      <c r="T103" s="113"/>
      <c r="U103" s="98"/>
      <c r="V103" s="106"/>
      <c r="W103" s="98"/>
      <c r="X103" s="98"/>
      <c r="Y103" s="98"/>
      <c r="Z103" s="101" t="str">
        <f t="shared" si="42"/>
        <v/>
      </c>
      <c r="AA103" s="101" t="str">
        <f t="shared" si="43"/>
        <v>0</v>
      </c>
      <c r="AB103" s="101" t="str">
        <f t="shared" si="44"/>
        <v/>
      </c>
      <c r="AC103" s="101">
        <f>IFERROR(VLOOKUP(V103,Lista!A$3:D$33,3,0),1)</f>
        <v>1</v>
      </c>
      <c r="AD103" s="101">
        <f>IFERROR(VLOOKUP(V103,Lista!A$3:E$33,5,0),1)</f>
        <v>1</v>
      </c>
      <c r="AE103" s="107" t="str">
        <f t="shared" si="45"/>
        <v/>
      </c>
      <c r="AF103" s="107">
        <f t="shared" si="46"/>
        <v>0</v>
      </c>
      <c r="AG103" s="107">
        <f t="shared" si="47"/>
        <v>0</v>
      </c>
      <c r="AH103" s="108"/>
      <c r="AI103" s="104" t="s">
        <v>94</v>
      </c>
      <c r="AJ103" s="109"/>
      <c r="AK103" s="109"/>
    </row>
    <row r="104" spans="1:37" ht="15" customHeight="1" x14ac:dyDescent="0.35">
      <c r="A104" s="112"/>
      <c r="B104" s="99"/>
      <c r="C104" s="98"/>
      <c r="D104" s="98"/>
      <c r="E104" s="98"/>
      <c r="F104" s="111"/>
      <c r="G104" s="98"/>
      <c r="H104" s="100"/>
      <c r="I104" s="98"/>
      <c r="J104" s="101" t="str">
        <f t="shared" si="36"/>
        <v/>
      </c>
      <c r="K104" s="101" t="str">
        <f t="shared" si="37"/>
        <v>0</v>
      </c>
      <c r="L104" s="101" t="str">
        <f t="shared" si="38"/>
        <v/>
      </c>
      <c r="M104" s="101">
        <f>IFERROR(VLOOKUP(D104,Lista!A$3:D$33,3,0),1)</f>
        <v>1</v>
      </c>
      <c r="N104" s="101">
        <f>IFERROR(VLOOKUP(D104,Lista!A$3:E$33,5,0),1)</f>
        <v>1</v>
      </c>
      <c r="O104" s="102" t="str">
        <f t="shared" si="39"/>
        <v/>
      </c>
      <c r="P104" s="102">
        <f t="shared" si="40"/>
        <v>0</v>
      </c>
      <c r="Q104" s="102">
        <f t="shared" si="41"/>
        <v>0</v>
      </c>
      <c r="R104" s="103"/>
      <c r="S104" s="104" t="s">
        <v>94</v>
      </c>
      <c r="T104" s="113"/>
      <c r="U104" s="98"/>
      <c r="V104" s="106"/>
      <c r="W104" s="98"/>
      <c r="X104" s="98"/>
      <c r="Y104" s="98"/>
      <c r="Z104" s="101" t="str">
        <f t="shared" si="42"/>
        <v/>
      </c>
      <c r="AA104" s="101" t="str">
        <f t="shared" si="43"/>
        <v>0</v>
      </c>
      <c r="AB104" s="101" t="str">
        <f t="shared" si="44"/>
        <v/>
      </c>
      <c r="AC104" s="101">
        <f>IFERROR(VLOOKUP(V104,Lista!A$3:D$33,3,0),1)</f>
        <v>1</v>
      </c>
      <c r="AD104" s="101">
        <f>IFERROR(VLOOKUP(V104,Lista!A$3:E$33,5,0),1)</f>
        <v>1</v>
      </c>
      <c r="AE104" s="107" t="str">
        <f t="shared" si="45"/>
        <v/>
      </c>
      <c r="AF104" s="107">
        <f t="shared" si="46"/>
        <v>0</v>
      </c>
      <c r="AG104" s="107">
        <f t="shared" si="47"/>
        <v>0</v>
      </c>
      <c r="AH104" s="109"/>
      <c r="AI104" s="104" t="s">
        <v>94</v>
      </c>
      <c r="AJ104" s="109"/>
      <c r="AK104" s="109"/>
    </row>
    <row r="105" spans="1:37" ht="15" customHeight="1" x14ac:dyDescent="0.35">
      <c r="A105" s="112"/>
      <c r="B105" s="115"/>
      <c r="C105" s="98"/>
      <c r="D105" s="98"/>
      <c r="E105" s="98"/>
      <c r="F105" s="111"/>
      <c r="G105" s="98"/>
      <c r="H105" s="111"/>
      <c r="I105" s="98"/>
      <c r="J105" s="101" t="str">
        <f t="shared" si="36"/>
        <v/>
      </c>
      <c r="K105" s="101" t="str">
        <f t="shared" si="37"/>
        <v>0</v>
      </c>
      <c r="L105" s="101" t="str">
        <f t="shared" si="38"/>
        <v/>
      </c>
      <c r="M105" s="101">
        <f>IFERROR(VLOOKUP(D105,Lista!A$3:D$33,3,0),1)</f>
        <v>1</v>
      </c>
      <c r="N105" s="101">
        <f>IFERROR(VLOOKUP(D105,Lista!A$3:E$33,5,0),1)</f>
        <v>1</v>
      </c>
      <c r="O105" s="102" t="str">
        <f t="shared" si="39"/>
        <v/>
      </c>
      <c r="P105" s="102">
        <f t="shared" si="40"/>
        <v>0</v>
      </c>
      <c r="Q105" s="102">
        <f t="shared" si="41"/>
        <v>0</v>
      </c>
      <c r="R105" s="103"/>
      <c r="S105" s="104" t="s">
        <v>94</v>
      </c>
      <c r="T105" s="113"/>
      <c r="U105" s="98"/>
      <c r="V105" s="98"/>
      <c r="W105" s="98"/>
      <c r="X105" s="98"/>
      <c r="Y105" s="98"/>
      <c r="Z105" s="101" t="str">
        <f t="shared" si="42"/>
        <v/>
      </c>
      <c r="AA105" s="101" t="str">
        <f t="shared" si="43"/>
        <v>0</v>
      </c>
      <c r="AB105" s="101" t="str">
        <f t="shared" si="44"/>
        <v/>
      </c>
      <c r="AC105" s="101">
        <f>IFERROR(VLOOKUP(V105,Lista!A$3:D$33,3,0),1)</f>
        <v>1</v>
      </c>
      <c r="AD105" s="101">
        <f>IFERROR(VLOOKUP(V105,Lista!A$3:E$33,5,0),1)</f>
        <v>1</v>
      </c>
      <c r="AE105" s="107" t="str">
        <f t="shared" si="45"/>
        <v/>
      </c>
      <c r="AF105" s="107">
        <f t="shared" si="46"/>
        <v>0</v>
      </c>
      <c r="AG105" s="107">
        <f t="shared" si="47"/>
        <v>0</v>
      </c>
      <c r="AH105" s="109"/>
      <c r="AI105" s="104" t="s">
        <v>94</v>
      </c>
      <c r="AJ105" s="109"/>
      <c r="AK105" s="109"/>
    </row>
    <row r="106" spans="1:37" ht="15" customHeight="1" x14ac:dyDescent="0.35">
      <c r="A106" s="112"/>
      <c r="B106" s="99"/>
      <c r="C106" s="98"/>
      <c r="D106" s="98"/>
      <c r="E106" s="98"/>
      <c r="F106" s="111"/>
      <c r="G106" s="98"/>
      <c r="H106" s="111"/>
      <c r="I106" s="98"/>
      <c r="J106" s="101" t="str">
        <f t="shared" si="36"/>
        <v/>
      </c>
      <c r="K106" s="101" t="str">
        <f t="shared" si="37"/>
        <v>0</v>
      </c>
      <c r="L106" s="101" t="str">
        <f t="shared" si="38"/>
        <v/>
      </c>
      <c r="M106" s="101">
        <f>IFERROR(VLOOKUP(D106,Lista!A$3:D$33,3,0),1)</f>
        <v>1</v>
      </c>
      <c r="N106" s="101">
        <f>IFERROR(VLOOKUP(D106,Lista!A$3:E$33,5,0),1)</f>
        <v>1</v>
      </c>
      <c r="O106" s="102" t="str">
        <f t="shared" si="39"/>
        <v/>
      </c>
      <c r="P106" s="102">
        <f t="shared" si="40"/>
        <v>0</v>
      </c>
      <c r="Q106" s="102">
        <f t="shared" si="41"/>
        <v>0</v>
      </c>
      <c r="R106" s="103"/>
      <c r="S106" s="104" t="s">
        <v>94</v>
      </c>
      <c r="T106" s="113"/>
      <c r="U106" s="98"/>
      <c r="V106" s="98"/>
      <c r="W106" s="98"/>
      <c r="X106" s="98"/>
      <c r="Y106" s="98"/>
      <c r="Z106" s="101" t="str">
        <f t="shared" si="42"/>
        <v/>
      </c>
      <c r="AA106" s="101" t="str">
        <f t="shared" si="43"/>
        <v>0</v>
      </c>
      <c r="AB106" s="101" t="str">
        <f t="shared" si="44"/>
        <v/>
      </c>
      <c r="AC106" s="101">
        <f>IFERROR(VLOOKUP(V106,Lista!A$3:D$33,3,0),1)</f>
        <v>1</v>
      </c>
      <c r="AD106" s="101">
        <f>IFERROR(VLOOKUP(V106,Lista!A$3:E$33,5,0),1)</f>
        <v>1</v>
      </c>
      <c r="AE106" s="107" t="str">
        <f t="shared" si="45"/>
        <v/>
      </c>
      <c r="AF106" s="107">
        <f t="shared" si="46"/>
        <v>0</v>
      </c>
      <c r="AG106" s="107">
        <f t="shared" si="47"/>
        <v>0</v>
      </c>
      <c r="AH106" s="109"/>
      <c r="AI106" s="104" t="s">
        <v>94</v>
      </c>
      <c r="AJ106" s="109"/>
      <c r="AK106" s="109"/>
    </row>
    <row r="107" spans="1:37" ht="15" customHeight="1" x14ac:dyDescent="0.35">
      <c r="A107" s="112"/>
      <c r="B107" s="99"/>
      <c r="C107" s="98"/>
      <c r="D107" s="98"/>
      <c r="E107" s="98"/>
      <c r="F107" s="111"/>
      <c r="G107" s="98"/>
      <c r="H107" s="111"/>
      <c r="I107" s="98"/>
      <c r="J107" s="101" t="str">
        <f t="shared" si="36"/>
        <v/>
      </c>
      <c r="K107" s="101" t="str">
        <f t="shared" si="37"/>
        <v>0</v>
      </c>
      <c r="L107" s="101" t="str">
        <f t="shared" si="38"/>
        <v/>
      </c>
      <c r="M107" s="101">
        <f>IFERROR(VLOOKUP(D107,Lista!A$3:D$33,3,0),1)</f>
        <v>1</v>
      </c>
      <c r="N107" s="101">
        <f>IFERROR(VLOOKUP(D107,Lista!A$3:E$33,5,0),1)</f>
        <v>1</v>
      </c>
      <c r="O107" s="102" t="str">
        <f t="shared" si="39"/>
        <v/>
      </c>
      <c r="P107" s="102">
        <f t="shared" si="40"/>
        <v>0</v>
      </c>
      <c r="Q107" s="102">
        <f t="shared" si="41"/>
        <v>0</v>
      </c>
      <c r="R107" s="103"/>
      <c r="S107" s="104" t="s">
        <v>94</v>
      </c>
      <c r="T107" s="113"/>
      <c r="U107" s="98"/>
      <c r="V107" s="98"/>
      <c r="W107" s="98"/>
      <c r="X107" s="98"/>
      <c r="Y107" s="98"/>
      <c r="Z107" s="101" t="str">
        <f t="shared" si="42"/>
        <v/>
      </c>
      <c r="AA107" s="101" t="str">
        <f t="shared" si="43"/>
        <v>0</v>
      </c>
      <c r="AB107" s="101" t="str">
        <f t="shared" si="44"/>
        <v/>
      </c>
      <c r="AC107" s="101">
        <f>IFERROR(VLOOKUP(V107,Lista!A$3:D$33,3,0),1)</f>
        <v>1</v>
      </c>
      <c r="AD107" s="101">
        <f>IFERROR(VLOOKUP(V107,Lista!A$3:E$33,5,0),1)</f>
        <v>1</v>
      </c>
      <c r="AE107" s="107" t="str">
        <f t="shared" si="45"/>
        <v/>
      </c>
      <c r="AF107" s="107">
        <f t="shared" si="46"/>
        <v>0</v>
      </c>
      <c r="AG107" s="107">
        <f t="shared" si="47"/>
        <v>0</v>
      </c>
      <c r="AH107" s="109"/>
      <c r="AI107" s="104" t="s">
        <v>94</v>
      </c>
      <c r="AJ107" s="109"/>
      <c r="AK107" s="109"/>
    </row>
    <row r="108" spans="1:37" ht="15" customHeight="1" x14ac:dyDescent="0.35">
      <c r="A108" s="112"/>
      <c r="B108" s="99"/>
      <c r="C108" s="98"/>
      <c r="D108" s="98"/>
      <c r="E108" s="98"/>
      <c r="F108" s="111"/>
      <c r="G108" s="98"/>
      <c r="H108" s="111"/>
      <c r="I108" s="98"/>
      <c r="J108" s="101" t="str">
        <f t="shared" si="36"/>
        <v/>
      </c>
      <c r="K108" s="101" t="str">
        <f t="shared" si="37"/>
        <v>0</v>
      </c>
      <c r="L108" s="101" t="str">
        <f t="shared" si="38"/>
        <v/>
      </c>
      <c r="M108" s="101">
        <f>IFERROR(VLOOKUP(D108,Lista!A$3:D$33,3,0),1)</f>
        <v>1</v>
      </c>
      <c r="N108" s="101">
        <f>IFERROR(VLOOKUP(D108,Lista!A$3:E$33,5,0),1)</f>
        <v>1</v>
      </c>
      <c r="O108" s="102" t="str">
        <f t="shared" si="39"/>
        <v/>
      </c>
      <c r="P108" s="102">
        <f t="shared" si="40"/>
        <v>0</v>
      </c>
      <c r="Q108" s="102">
        <f t="shared" si="41"/>
        <v>0</v>
      </c>
      <c r="R108" s="103"/>
      <c r="S108" s="104" t="s">
        <v>94</v>
      </c>
      <c r="T108" s="113"/>
      <c r="U108" s="98"/>
      <c r="V108" s="98"/>
      <c r="W108" s="98"/>
      <c r="X108" s="98"/>
      <c r="Y108" s="98"/>
      <c r="Z108" s="101" t="str">
        <f t="shared" si="42"/>
        <v/>
      </c>
      <c r="AA108" s="101" t="str">
        <f t="shared" si="43"/>
        <v>0</v>
      </c>
      <c r="AB108" s="101" t="str">
        <f t="shared" si="44"/>
        <v/>
      </c>
      <c r="AC108" s="101">
        <f>IFERROR(VLOOKUP(V108,Lista!A$3:D$33,3,0),1)</f>
        <v>1</v>
      </c>
      <c r="AD108" s="101">
        <f>IFERROR(VLOOKUP(V108,Lista!A$3:E$33,5,0),1)</f>
        <v>1</v>
      </c>
      <c r="AE108" s="107" t="str">
        <f t="shared" si="45"/>
        <v/>
      </c>
      <c r="AF108" s="107">
        <f t="shared" si="46"/>
        <v>0</v>
      </c>
      <c r="AG108" s="107">
        <f t="shared" si="47"/>
        <v>0</v>
      </c>
      <c r="AH108" s="109"/>
      <c r="AI108" s="104" t="s">
        <v>94</v>
      </c>
      <c r="AJ108" s="109"/>
      <c r="AK108" s="109"/>
    </row>
    <row r="109" spans="1:37" ht="15" customHeight="1" x14ac:dyDescent="0.35">
      <c r="A109" s="112"/>
      <c r="B109" s="99"/>
      <c r="C109" s="98"/>
      <c r="D109" s="98"/>
      <c r="E109" s="98"/>
      <c r="F109" s="111"/>
      <c r="G109" s="98"/>
      <c r="H109" s="111"/>
      <c r="I109" s="98"/>
      <c r="J109" s="101" t="str">
        <f t="shared" si="36"/>
        <v/>
      </c>
      <c r="K109" s="101" t="str">
        <f t="shared" si="37"/>
        <v>0</v>
      </c>
      <c r="L109" s="101" t="str">
        <f t="shared" si="38"/>
        <v/>
      </c>
      <c r="M109" s="101">
        <f>IFERROR(VLOOKUP(D109,Lista!A$3:D$33,3,0),1)</f>
        <v>1</v>
      </c>
      <c r="N109" s="101">
        <f>IFERROR(VLOOKUP(D109,Lista!A$3:E$33,5,0),1)</f>
        <v>1</v>
      </c>
      <c r="O109" s="102" t="str">
        <f t="shared" si="39"/>
        <v/>
      </c>
      <c r="P109" s="102">
        <f t="shared" si="40"/>
        <v>0</v>
      </c>
      <c r="Q109" s="102">
        <f t="shared" si="41"/>
        <v>0</v>
      </c>
      <c r="R109" s="103"/>
      <c r="S109" s="104" t="s">
        <v>94</v>
      </c>
      <c r="T109" s="113"/>
      <c r="U109" s="98"/>
      <c r="V109" s="98"/>
      <c r="W109" s="98"/>
      <c r="X109" s="98"/>
      <c r="Y109" s="98"/>
      <c r="Z109" s="101" t="str">
        <f t="shared" si="42"/>
        <v/>
      </c>
      <c r="AA109" s="101" t="str">
        <f t="shared" si="43"/>
        <v>0</v>
      </c>
      <c r="AB109" s="101" t="str">
        <f t="shared" si="44"/>
        <v/>
      </c>
      <c r="AC109" s="101">
        <f>IFERROR(VLOOKUP(V109,Lista!A$3:D$33,3,0),1)</f>
        <v>1</v>
      </c>
      <c r="AD109" s="101">
        <f>IFERROR(VLOOKUP(V109,Lista!A$3:E$33,5,0),1)</f>
        <v>1</v>
      </c>
      <c r="AE109" s="107" t="str">
        <f t="shared" si="45"/>
        <v/>
      </c>
      <c r="AF109" s="107">
        <f t="shared" si="46"/>
        <v>0</v>
      </c>
      <c r="AG109" s="107">
        <f t="shared" si="47"/>
        <v>0</v>
      </c>
      <c r="AH109" s="109"/>
      <c r="AI109" s="104" t="s">
        <v>94</v>
      </c>
      <c r="AJ109" s="109"/>
      <c r="AK109" s="109"/>
    </row>
    <row r="110" spans="1:37" ht="15" customHeight="1" x14ac:dyDescent="0.35">
      <c r="A110" s="112"/>
      <c r="B110" s="99"/>
      <c r="C110" s="98"/>
      <c r="D110" s="98"/>
      <c r="E110" s="98"/>
      <c r="F110" s="111"/>
      <c r="G110" s="98"/>
      <c r="H110" s="111"/>
      <c r="I110" s="98"/>
      <c r="J110" s="101" t="str">
        <f t="shared" si="36"/>
        <v/>
      </c>
      <c r="K110" s="101" t="str">
        <f t="shared" si="37"/>
        <v>0</v>
      </c>
      <c r="L110" s="101" t="str">
        <f t="shared" si="38"/>
        <v/>
      </c>
      <c r="M110" s="101">
        <f>IFERROR(VLOOKUP(D110,Lista!A$3:D$33,3,0),1)</f>
        <v>1</v>
      </c>
      <c r="N110" s="101">
        <f>IFERROR(VLOOKUP(D110,Lista!A$3:E$33,5,0),1)</f>
        <v>1</v>
      </c>
      <c r="O110" s="102" t="str">
        <f t="shared" si="39"/>
        <v/>
      </c>
      <c r="P110" s="102">
        <f t="shared" si="40"/>
        <v>0</v>
      </c>
      <c r="Q110" s="102">
        <f t="shared" si="41"/>
        <v>0</v>
      </c>
      <c r="R110" s="103"/>
      <c r="S110" s="104" t="s">
        <v>94</v>
      </c>
      <c r="T110" s="113"/>
      <c r="U110" s="98"/>
      <c r="V110" s="98"/>
      <c r="W110" s="98"/>
      <c r="X110" s="98"/>
      <c r="Y110" s="98"/>
      <c r="Z110" s="101" t="str">
        <f t="shared" si="42"/>
        <v/>
      </c>
      <c r="AA110" s="101" t="str">
        <f t="shared" si="43"/>
        <v>0</v>
      </c>
      <c r="AB110" s="101" t="str">
        <f t="shared" si="44"/>
        <v/>
      </c>
      <c r="AC110" s="101">
        <f>IFERROR(VLOOKUP(V110,Lista!A$3:D$33,3,0),1)</f>
        <v>1</v>
      </c>
      <c r="AD110" s="101">
        <f>IFERROR(VLOOKUP(V110,Lista!A$3:E$33,5,0),1)</f>
        <v>1</v>
      </c>
      <c r="AE110" s="107" t="str">
        <f t="shared" si="45"/>
        <v/>
      </c>
      <c r="AF110" s="107">
        <f t="shared" si="46"/>
        <v>0</v>
      </c>
      <c r="AG110" s="107">
        <f t="shared" si="47"/>
        <v>0</v>
      </c>
      <c r="AH110" s="109"/>
      <c r="AI110" s="104" t="s">
        <v>94</v>
      </c>
      <c r="AJ110" s="109"/>
      <c r="AK110" s="109"/>
    </row>
    <row r="111" spans="1:37" ht="15" customHeight="1" x14ac:dyDescent="0.35">
      <c r="A111" s="112"/>
      <c r="B111" s="99"/>
      <c r="C111" s="98"/>
      <c r="D111" s="98"/>
      <c r="E111" s="98"/>
      <c r="F111" s="111"/>
      <c r="G111" s="98"/>
      <c r="H111" s="111"/>
      <c r="I111" s="98"/>
      <c r="J111" s="101" t="str">
        <f t="shared" si="36"/>
        <v/>
      </c>
      <c r="K111" s="101" t="str">
        <f t="shared" si="37"/>
        <v>0</v>
      </c>
      <c r="L111" s="101" t="str">
        <f t="shared" si="38"/>
        <v/>
      </c>
      <c r="M111" s="101">
        <f>IFERROR(VLOOKUP(D111,Lista!A$3:D$33,3,0),1)</f>
        <v>1</v>
      </c>
      <c r="N111" s="101">
        <f>IFERROR(VLOOKUP(D111,Lista!A$3:E$33,5,0),1)</f>
        <v>1</v>
      </c>
      <c r="O111" s="102" t="str">
        <f t="shared" si="39"/>
        <v/>
      </c>
      <c r="P111" s="102">
        <f t="shared" si="40"/>
        <v>0</v>
      </c>
      <c r="Q111" s="102">
        <f t="shared" si="41"/>
        <v>0</v>
      </c>
      <c r="R111" s="103"/>
      <c r="S111" s="104" t="s">
        <v>94</v>
      </c>
      <c r="T111" s="113"/>
      <c r="U111" s="98"/>
      <c r="V111" s="98"/>
      <c r="W111" s="98"/>
      <c r="X111" s="98"/>
      <c r="Y111" s="98"/>
      <c r="Z111" s="101" t="str">
        <f t="shared" si="42"/>
        <v/>
      </c>
      <c r="AA111" s="101" t="str">
        <f t="shared" si="43"/>
        <v>0</v>
      </c>
      <c r="AB111" s="101" t="str">
        <f t="shared" si="44"/>
        <v/>
      </c>
      <c r="AC111" s="101">
        <f>IFERROR(VLOOKUP(V111,Lista!A$3:D$33,3,0),1)</f>
        <v>1</v>
      </c>
      <c r="AD111" s="101">
        <f>IFERROR(VLOOKUP(V111,Lista!A$3:E$33,5,0),1)</f>
        <v>1</v>
      </c>
      <c r="AE111" s="107" t="str">
        <f t="shared" si="45"/>
        <v/>
      </c>
      <c r="AF111" s="107">
        <f t="shared" si="46"/>
        <v>0</v>
      </c>
      <c r="AG111" s="107">
        <f t="shared" si="47"/>
        <v>0</v>
      </c>
      <c r="AH111" s="109"/>
      <c r="AI111" s="104" t="s">
        <v>94</v>
      </c>
      <c r="AJ111" s="109"/>
      <c r="AK111" s="109"/>
    </row>
    <row r="112" spans="1:37" ht="15" customHeight="1" x14ac:dyDescent="0.35">
      <c r="A112" s="112"/>
      <c r="B112" s="99"/>
      <c r="C112" s="98"/>
      <c r="D112" s="98"/>
      <c r="E112" s="98"/>
      <c r="F112" s="111"/>
      <c r="G112" s="98"/>
      <c r="H112" s="111"/>
      <c r="I112" s="98"/>
      <c r="J112" s="101" t="str">
        <f t="shared" si="36"/>
        <v/>
      </c>
      <c r="K112" s="101" t="str">
        <f t="shared" si="37"/>
        <v>0</v>
      </c>
      <c r="L112" s="101" t="str">
        <f t="shared" si="38"/>
        <v/>
      </c>
      <c r="M112" s="101">
        <f>IFERROR(VLOOKUP(D112,Lista!A$3:D$33,3,0),1)</f>
        <v>1</v>
      </c>
      <c r="N112" s="101">
        <f>IFERROR(VLOOKUP(D112,Lista!A$3:E$33,5,0),1)</f>
        <v>1</v>
      </c>
      <c r="O112" s="102" t="str">
        <f t="shared" si="39"/>
        <v/>
      </c>
      <c r="P112" s="102">
        <f t="shared" si="40"/>
        <v>0</v>
      </c>
      <c r="Q112" s="102">
        <f t="shared" si="41"/>
        <v>0</v>
      </c>
      <c r="R112" s="103"/>
      <c r="S112" s="104" t="s">
        <v>94</v>
      </c>
      <c r="T112" s="113"/>
      <c r="U112" s="98"/>
      <c r="V112" s="98"/>
      <c r="W112" s="98"/>
      <c r="X112" s="98"/>
      <c r="Y112" s="98"/>
      <c r="Z112" s="101" t="str">
        <f t="shared" si="42"/>
        <v/>
      </c>
      <c r="AA112" s="101" t="str">
        <f t="shared" si="43"/>
        <v>0</v>
      </c>
      <c r="AB112" s="101" t="str">
        <f t="shared" si="44"/>
        <v/>
      </c>
      <c r="AC112" s="101">
        <f>IFERROR(VLOOKUP(V112,Lista!A$3:D$33,3,0),1)</f>
        <v>1</v>
      </c>
      <c r="AD112" s="101">
        <f>IFERROR(VLOOKUP(V112,Lista!A$3:E$33,5,0),1)</f>
        <v>1</v>
      </c>
      <c r="AE112" s="107" t="str">
        <f t="shared" si="45"/>
        <v/>
      </c>
      <c r="AF112" s="107">
        <f t="shared" si="46"/>
        <v>0</v>
      </c>
      <c r="AG112" s="107">
        <f t="shared" si="47"/>
        <v>0</v>
      </c>
      <c r="AH112" s="109"/>
      <c r="AI112" s="104" t="s">
        <v>94</v>
      </c>
      <c r="AJ112" s="109"/>
      <c r="AK112" s="109"/>
    </row>
    <row r="113" spans="1:37" ht="15" customHeight="1" x14ac:dyDescent="0.35">
      <c r="A113" s="112"/>
      <c r="B113" s="99"/>
      <c r="C113" s="98"/>
      <c r="D113" s="98"/>
      <c r="E113" s="98"/>
      <c r="F113" s="111"/>
      <c r="G113" s="98"/>
      <c r="H113" s="111"/>
      <c r="I113" s="98"/>
      <c r="J113" s="101" t="str">
        <f t="shared" si="36"/>
        <v/>
      </c>
      <c r="K113" s="101" t="str">
        <f t="shared" si="37"/>
        <v>0</v>
      </c>
      <c r="L113" s="101" t="str">
        <f t="shared" si="38"/>
        <v/>
      </c>
      <c r="M113" s="101">
        <f>IFERROR(VLOOKUP(D113,Lista!A$3:D$33,3,0),1)</f>
        <v>1</v>
      </c>
      <c r="N113" s="101">
        <f>IFERROR(VLOOKUP(D113,Lista!A$3:E$33,5,0),1)</f>
        <v>1</v>
      </c>
      <c r="O113" s="102" t="str">
        <f t="shared" si="39"/>
        <v/>
      </c>
      <c r="P113" s="102">
        <f t="shared" si="40"/>
        <v>0</v>
      </c>
      <c r="Q113" s="102">
        <f t="shared" si="41"/>
        <v>0</v>
      </c>
      <c r="R113" s="103"/>
      <c r="S113" s="104" t="s">
        <v>94</v>
      </c>
      <c r="T113" s="113"/>
      <c r="U113" s="98"/>
      <c r="V113" s="98"/>
      <c r="W113" s="98"/>
      <c r="X113" s="98"/>
      <c r="Y113" s="98"/>
      <c r="Z113" s="101" t="str">
        <f t="shared" si="42"/>
        <v/>
      </c>
      <c r="AA113" s="101" t="str">
        <f t="shared" si="43"/>
        <v>0</v>
      </c>
      <c r="AB113" s="101" t="str">
        <f t="shared" si="44"/>
        <v/>
      </c>
      <c r="AC113" s="101">
        <f>IFERROR(VLOOKUP(V113,Lista!A$3:D$33,3,0),1)</f>
        <v>1</v>
      </c>
      <c r="AD113" s="101">
        <f>IFERROR(VLOOKUP(V113,Lista!A$3:E$33,5,0),1)</f>
        <v>1</v>
      </c>
      <c r="AE113" s="107" t="str">
        <f t="shared" si="45"/>
        <v/>
      </c>
      <c r="AF113" s="107">
        <f t="shared" si="46"/>
        <v>0</v>
      </c>
      <c r="AG113" s="107">
        <f t="shared" si="47"/>
        <v>0</v>
      </c>
      <c r="AH113" s="109"/>
      <c r="AI113" s="104" t="s">
        <v>94</v>
      </c>
      <c r="AJ113" s="109"/>
      <c r="AK113" s="109"/>
    </row>
    <row r="114" spans="1:37" ht="15" customHeight="1" x14ac:dyDescent="0.35">
      <c r="A114" s="112"/>
      <c r="B114" s="99"/>
      <c r="C114" s="98"/>
      <c r="D114" s="98"/>
      <c r="E114" s="98"/>
      <c r="F114" s="111"/>
      <c r="G114" s="98"/>
      <c r="H114" s="111"/>
      <c r="I114" s="98"/>
      <c r="J114" s="101" t="str">
        <f t="shared" si="36"/>
        <v/>
      </c>
      <c r="K114" s="101" t="str">
        <f t="shared" si="37"/>
        <v>0</v>
      </c>
      <c r="L114" s="101" t="str">
        <f t="shared" si="38"/>
        <v/>
      </c>
      <c r="M114" s="101">
        <f>IFERROR(VLOOKUP(D114,Lista!A$3:D$33,3,0),1)</f>
        <v>1</v>
      </c>
      <c r="N114" s="101">
        <f>IFERROR(VLOOKUP(D114,Lista!A$3:E$33,5,0),1)</f>
        <v>1</v>
      </c>
      <c r="O114" s="102" t="str">
        <f t="shared" si="39"/>
        <v/>
      </c>
      <c r="P114" s="102">
        <f t="shared" si="40"/>
        <v>0</v>
      </c>
      <c r="Q114" s="102">
        <f t="shared" si="41"/>
        <v>0</v>
      </c>
      <c r="R114" s="103"/>
      <c r="S114" s="104" t="s">
        <v>94</v>
      </c>
      <c r="T114" s="113"/>
      <c r="U114" s="98"/>
      <c r="V114" s="98"/>
      <c r="W114" s="98"/>
      <c r="X114" s="98"/>
      <c r="Y114" s="98"/>
      <c r="Z114" s="101" t="str">
        <f t="shared" si="42"/>
        <v/>
      </c>
      <c r="AA114" s="101" t="str">
        <f t="shared" si="43"/>
        <v>0</v>
      </c>
      <c r="AB114" s="101" t="str">
        <f t="shared" si="44"/>
        <v/>
      </c>
      <c r="AC114" s="101">
        <f>IFERROR(VLOOKUP(V114,Lista!A$3:D$33,3,0),1)</f>
        <v>1</v>
      </c>
      <c r="AD114" s="101">
        <f>IFERROR(VLOOKUP(V114,Lista!A$3:E$33,5,0),1)</f>
        <v>1</v>
      </c>
      <c r="AE114" s="107" t="str">
        <f t="shared" si="45"/>
        <v/>
      </c>
      <c r="AF114" s="107">
        <f t="shared" si="46"/>
        <v>0</v>
      </c>
      <c r="AG114" s="107">
        <f t="shared" si="47"/>
        <v>0</v>
      </c>
      <c r="AH114" s="109"/>
      <c r="AI114" s="104" t="s">
        <v>94</v>
      </c>
      <c r="AJ114" s="109"/>
      <c r="AK114" s="109"/>
    </row>
    <row r="115" spans="1:37" ht="15" customHeight="1" x14ac:dyDescent="0.35">
      <c r="A115" s="112"/>
      <c r="B115" s="99"/>
      <c r="C115" s="98"/>
      <c r="D115" s="98"/>
      <c r="E115" s="98"/>
      <c r="F115" s="111"/>
      <c r="G115" s="98"/>
      <c r="H115" s="111"/>
      <c r="I115" s="98"/>
      <c r="J115" s="101" t="str">
        <f t="shared" si="36"/>
        <v/>
      </c>
      <c r="K115" s="101" t="str">
        <f t="shared" si="37"/>
        <v>0</v>
      </c>
      <c r="L115" s="101" t="str">
        <f t="shared" si="38"/>
        <v/>
      </c>
      <c r="M115" s="101">
        <f>IFERROR(VLOOKUP(D115,Lista!A$3:D$33,3,0),1)</f>
        <v>1</v>
      </c>
      <c r="N115" s="101">
        <f>IFERROR(VLOOKUP(D115,Lista!A$3:E$33,5,0),1)</f>
        <v>1</v>
      </c>
      <c r="O115" s="102" t="str">
        <f t="shared" si="39"/>
        <v/>
      </c>
      <c r="P115" s="102">
        <f t="shared" si="40"/>
        <v>0</v>
      </c>
      <c r="Q115" s="102">
        <f t="shared" si="41"/>
        <v>0</v>
      </c>
      <c r="R115" s="103"/>
      <c r="S115" s="104" t="s">
        <v>94</v>
      </c>
      <c r="T115" s="113"/>
      <c r="U115" s="98"/>
      <c r="V115" s="98"/>
      <c r="W115" s="98"/>
      <c r="X115" s="98"/>
      <c r="Y115" s="98"/>
      <c r="Z115" s="101" t="str">
        <f t="shared" si="42"/>
        <v/>
      </c>
      <c r="AA115" s="101" t="str">
        <f t="shared" si="43"/>
        <v>0</v>
      </c>
      <c r="AB115" s="101" t="str">
        <f t="shared" si="44"/>
        <v/>
      </c>
      <c r="AC115" s="101">
        <f>IFERROR(VLOOKUP(V115,Lista!A$3:D$33,3,0),1)</f>
        <v>1</v>
      </c>
      <c r="AD115" s="101">
        <f>IFERROR(VLOOKUP(V115,Lista!A$3:E$33,5,0),1)</f>
        <v>1</v>
      </c>
      <c r="AE115" s="107" t="str">
        <f t="shared" si="45"/>
        <v/>
      </c>
      <c r="AF115" s="107">
        <f t="shared" si="46"/>
        <v>0</v>
      </c>
      <c r="AG115" s="107">
        <f t="shared" si="47"/>
        <v>0</v>
      </c>
      <c r="AH115" s="109"/>
      <c r="AI115" s="104" t="s">
        <v>94</v>
      </c>
      <c r="AJ115" s="109"/>
      <c r="AK115" s="109"/>
    </row>
    <row r="116" spans="1:37" ht="15" customHeight="1" x14ac:dyDescent="0.35">
      <c r="A116" s="112"/>
      <c r="B116" s="99"/>
      <c r="C116" s="98"/>
      <c r="D116" s="98"/>
      <c r="E116" s="98"/>
      <c r="F116" s="111"/>
      <c r="G116" s="98"/>
      <c r="H116" s="111"/>
      <c r="I116" s="98"/>
      <c r="J116" s="101" t="str">
        <f t="shared" si="36"/>
        <v/>
      </c>
      <c r="K116" s="101" t="str">
        <f t="shared" si="37"/>
        <v>0</v>
      </c>
      <c r="L116" s="101" t="str">
        <f t="shared" si="38"/>
        <v/>
      </c>
      <c r="M116" s="101">
        <f>IFERROR(VLOOKUP(D116,Lista!A$3:D$33,3,0),1)</f>
        <v>1</v>
      </c>
      <c r="N116" s="101">
        <f>IFERROR(VLOOKUP(D116,Lista!A$3:E$33,5,0),1)</f>
        <v>1</v>
      </c>
      <c r="O116" s="102" t="str">
        <f t="shared" si="39"/>
        <v/>
      </c>
      <c r="P116" s="102">
        <f t="shared" si="40"/>
        <v>0</v>
      </c>
      <c r="Q116" s="102">
        <f t="shared" si="41"/>
        <v>0</v>
      </c>
      <c r="R116" s="103"/>
      <c r="S116" s="104" t="s">
        <v>94</v>
      </c>
      <c r="T116" s="113"/>
      <c r="U116" s="98"/>
      <c r="V116" s="98"/>
      <c r="W116" s="98"/>
      <c r="X116" s="98"/>
      <c r="Y116" s="98"/>
      <c r="Z116" s="101" t="str">
        <f t="shared" si="42"/>
        <v/>
      </c>
      <c r="AA116" s="101" t="str">
        <f t="shared" si="43"/>
        <v>0</v>
      </c>
      <c r="AB116" s="101" t="str">
        <f t="shared" si="44"/>
        <v/>
      </c>
      <c r="AC116" s="101">
        <f>IFERROR(VLOOKUP(V116,Lista!A$3:D$33,3,0),1)</f>
        <v>1</v>
      </c>
      <c r="AD116" s="101">
        <f>IFERROR(VLOOKUP(V116,Lista!A$3:E$33,5,0),1)</f>
        <v>1</v>
      </c>
      <c r="AE116" s="107" t="str">
        <f t="shared" si="45"/>
        <v/>
      </c>
      <c r="AF116" s="107">
        <f t="shared" si="46"/>
        <v>0</v>
      </c>
      <c r="AG116" s="107">
        <f t="shared" si="47"/>
        <v>0</v>
      </c>
      <c r="AH116" s="109"/>
      <c r="AI116" s="104" t="s">
        <v>94</v>
      </c>
      <c r="AJ116" s="109"/>
      <c r="AK116" s="109"/>
    </row>
    <row r="117" spans="1:37" ht="15" customHeight="1" x14ac:dyDescent="0.35">
      <c r="A117" s="112"/>
      <c r="B117" s="99"/>
      <c r="C117" s="98"/>
      <c r="D117" s="98"/>
      <c r="E117" s="98"/>
      <c r="F117" s="111"/>
      <c r="G117" s="98"/>
      <c r="H117" s="111"/>
      <c r="I117" s="98"/>
      <c r="J117" s="101" t="str">
        <f t="shared" si="36"/>
        <v/>
      </c>
      <c r="K117" s="101" t="str">
        <f t="shared" si="37"/>
        <v>0</v>
      </c>
      <c r="L117" s="101" t="str">
        <f t="shared" si="38"/>
        <v/>
      </c>
      <c r="M117" s="101">
        <f>IFERROR(VLOOKUP(D117,Lista!A$3:D$33,3,0),1)</f>
        <v>1</v>
      </c>
      <c r="N117" s="101">
        <f>IFERROR(VLOOKUP(D117,Lista!A$3:E$33,5,0),1)</f>
        <v>1</v>
      </c>
      <c r="O117" s="102" t="str">
        <f t="shared" si="39"/>
        <v/>
      </c>
      <c r="P117" s="102">
        <f t="shared" si="40"/>
        <v>0</v>
      </c>
      <c r="Q117" s="102">
        <f t="shared" si="41"/>
        <v>0</v>
      </c>
      <c r="R117" s="103"/>
      <c r="S117" s="104" t="s">
        <v>94</v>
      </c>
      <c r="T117" s="113"/>
      <c r="U117" s="98"/>
      <c r="V117" s="98"/>
      <c r="W117" s="98"/>
      <c r="X117" s="98"/>
      <c r="Y117" s="98"/>
      <c r="Z117" s="101" t="str">
        <f t="shared" si="42"/>
        <v/>
      </c>
      <c r="AA117" s="101" t="str">
        <f t="shared" si="43"/>
        <v>0</v>
      </c>
      <c r="AB117" s="101" t="str">
        <f t="shared" si="44"/>
        <v/>
      </c>
      <c r="AC117" s="101">
        <f>IFERROR(VLOOKUP(V117,Lista!A$3:D$33,3,0),1)</f>
        <v>1</v>
      </c>
      <c r="AD117" s="101">
        <f>IFERROR(VLOOKUP(V117,Lista!A$3:E$33,5,0),1)</f>
        <v>1</v>
      </c>
      <c r="AE117" s="107" t="str">
        <f t="shared" si="45"/>
        <v/>
      </c>
      <c r="AF117" s="107">
        <f t="shared" si="46"/>
        <v>0</v>
      </c>
      <c r="AG117" s="107">
        <f t="shared" si="47"/>
        <v>0</v>
      </c>
      <c r="AH117" s="109"/>
      <c r="AI117" s="104" t="s">
        <v>94</v>
      </c>
      <c r="AJ117" s="109"/>
      <c r="AK117" s="109"/>
    </row>
    <row r="118" spans="1:37" ht="15" customHeight="1" x14ac:dyDescent="0.35">
      <c r="A118" s="112"/>
      <c r="B118" s="99"/>
      <c r="C118" s="98"/>
      <c r="D118" s="98"/>
      <c r="E118" s="98"/>
      <c r="F118" s="111"/>
      <c r="G118" s="98"/>
      <c r="H118" s="111"/>
      <c r="I118" s="98"/>
      <c r="J118" s="101" t="str">
        <f t="shared" si="36"/>
        <v/>
      </c>
      <c r="K118" s="101" t="str">
        <f t="shared" si="37"/>
        <v>0</v>
      </c>
      <c r="L118" s="101" t="str">
        <f t="shared" si="38"/>
        <v/>
      </c>
      <c r="M118" s="101">
        <f>IFERROR(VLOOKUP(D118,Lista!A$3:D$33,3,0),1)</f>
        <v>1</v>
      </c>
      <c r="N118" s="101">
        <f>IFERROR(VLOOKUP(D118,Lista!A$3:E$33,5,0),1)</f>
        <v>1</v>
      </c>
      <c r="O118" s="102" t="str">
        <f t="shared" si="39"/>
        <v/>
      </c>
      <c r="P118" s="102">
        <f t="shared" si="40"/>
        <v>0</v>
      </c>
      <c r="Q118" s="102">
        <f t="shared" si="41"/>
        <v>0</v>
      </c>
      <c r="R118" s="103"/>
      <c r="S118" s="104" t="s">
        <v>94</v>
      </c>
      <c r="T118" s="113"/>
      <c r="U118" s="98"/>
      <c r="V118" s="98"/>
      <c r="W118" s="98"/>
      <c r="X118" s="98"/>
      <c r="Y118" s="98"/>
      <c r="Z118" s="101" t="str">
        <f t="shared" si="42"/>
        <v/>
      </c>
      <c r="AA118" s="101" t="str">
        <f t="shared" si="43"/>
        <v>0</v>
      </c>
      <c r="AB118" s="101" t="str">
        <f t="shared" si="44"/>
        <v/>
      </c>
      <c r="AC118" s="101">
        <f>IFERROR(VLOOKUP(V118,Lista!A$3:D$33,3,0),1)</f>
        <v>1</v>
      </c>
      <c r="AD118" s="101">
        <f>IFERROR(VLOOKUP(V118,Lista!A$3:E$33,5,0),1)</f>
        <v>1</v>
      </c>
      <c r="AE118" s="107" t="str">
        <f t="shared" si="45"/>
        <v/>
      </c>
      <c r="AF118" s="107">
        <f t="shared" si="46"/>
        <v>0</v>
      </c>
      <c r="AG118" s="107">
        <f t="shared" si="47"/>
        <v>0</v>
      </c>
      <c r="AH118" s="109"/>
      <c r="AI118" s="104" t="s">
        <v>94</v>
      </c>
      <c r="AJ118" s="109"/>
      <c r="AK118" s="109"/>
    </row>
    <row r="119" spans="1:37" ht="15" customHeight="1" x14ac:dyDescent="0.35">
      <c r="A119" s="112"/>
      <c r="B119" s="99"/>
      <c r="C119" s="98"/>
      <c r="D119" s="98"/>
      <c r="E119" s="98"/>
      <c r="F119" s="111"/>
      <c r="G119" s="98"/>
      <c r="H119" s="111"/>
      <c r="I119" s="98"/>
      <c r="J119" s="101" t="str">
        <f t="shared" si="36"/>
        <v/>
      </c>
      <c r="K119" s="101" t="str">
        <f t="shared" si="37"/>
        <v>0</v>
      </c>
      <c r="L119" s="101" t="str">
        <f t="shared" si="38"/>
        <v/>
      </c>
      <c r="M119" s="101">
        <f>IFERROR(VLOOKUP(D119,Lista!A$3:D$33,3,0),1)</f>
        <v>1</v>
      </c>
      <c r="N119" s="101">
        <f>IFERROR(VLOOKUP(D119,Lista!A$3:E$33,5,0),1)</f>
        <v>1</v>
      </c>
      <c r="O119" s="102" t="str">
        <f t="shared" si="39"/>
        <v/>
      </c>
      <c r="P119" s="102">
        <f t="shared" si="40"/>
        <v>0</v>
      </c>
      <c r="Q119" s="102">
        <f t="shared" si="41"/>
        <v>0</v>
      </c>
      <c r="R119" s="103"/>
      <c r="S119" s="104" t="s">
        <v>94</v>
      </c>
      <c r="T119" s="113"/>
      <c r="U119" s="98"/>
      <c r="V119" s="98"/>
      <c r="W119" s="98"/>
      <c r="X119" s="98"/>
      <c r="Y119" s="98"/>
      <c r="Z119" s="101" t="str">
        <f t="shared" si="42"/>
        <v/>
      </c>
      <c r="AA119" s="101" t="str">
        <f t="shared" si="43"/>
        <v>0</v>
      </c>
      <c r="AB119" s="101" t="str">
        <f t="shared" si="44"/>
        <v/>
      </c>
      <c r="AC119" s="101">
        <f>IFERROR(VLOOKUP(V119,Lista!A$3:D$33,3,0),1)</f>
        <v>1</v>
      </c>
      <c r="AD119" s="101">
        <f>IFERROR(VLOOKUP(V119,Lista!A$3:E$33,5,0),1)</f>
        <v>1</v>
      </c>
      <c r="AE119" s="107" t="str">
        <f t="shared" si="45"/>
        <v/>
      </c>
      <c r="AF119" s="107">
        <f t="shared" si="46"/>
        <v>0</v>
      </c>
      <c r="AG119" s="107">
        <f t="shared" si="47"/>
        <v>0</v>
      </c>
      <c r="AH119" s="109"/>
      <c r="AI119" s="104" t="s">
        <v>94</v>
      </c>
      <c r="AJ119" s="109"/>
      <c r="AK119" s="109"/>
    </row>
    <row r="120" spans="1:37" ht="15" customHeight="1" x14ac:dyDescent="0.35">
      <c r="A120" s="112"/>
      <c r="B120" s="99"/>
      <c r="C120" s="98"/>
      <c r="D120" s="98"/>
      <c r="E120" s="98"/>
      <c r="F120" s="111"/>
      <c r="G120" s="98"/>
      <c r="H120" s="111"/>
      <c r="I120" s="98"/>
      <c r="J120" s="101" t="str">
        <f t="shared" si="36"/>
        <v/>
      </c>
      <c r="K120" s="101" t="str">
        <f t="shared" si="37"/>
        <v>0</v>
      </c>
      <c r="L120" s="101" t="str">
        <f t="shared" si="38"/>
        <v/>
      </c>
      <c r="M120" s="101">
        <f>IFERROR(VLOOKUP(D120,Lista!A$3:D$33,3,0),1)</f>
        <v>1</v>
      </c>
      <c r="N120" s="101">
        <f>IFERROR(VLOOKUP(D120,Lista!A$3:E$33,5,0),1)</f>
        <v>1</v>
      </c>
      <c r="O120" s="102" t="str">
        <f t="shared" si="39"/>
        <v/>
      </c>
      <c r="P120" s="102">
        <f t="shared" si="40"/>
        <v>0</v>
      </c>
      <c r="Q120" s="102">
        <f t="shared" si="41"/>
        <v>0</v>
      </c>
      <c r="R120" s="103"/>
      <c r="S120" s="104" t="s">
        <v>94</v>
      </c>
      <c r="T120" s="113"/>
      <c r="U120" s="98"/>
      <c r="V120" s="98"/>
      <c r="W120" s="98"/>
      <c r="X120" s="98"/>
      <c r="Y120" s="98"/>
      <c r="Z120" s="101" t="str">
        <f t="shared" si="42"/>
        <v/>
      </c>
      <c r="AA120" s="101" t="str">
        <f t="shared" si="43"/>
        <v>0</v>
      </c>
      <c r="AB120" s="101" t="str">
        <f t="shared" si="44"/>
        <v/>
      </c>
      <c r="AC120" s="101">
        <f>IFERROR(VLOOKUP(V120,Lista!A$3:D$33,3,0),1)</f>
        <v>1</v>
      </c>
      <c r="AD120" s="101">
        <f>IFERROR(VLOOKUP(V120,Lista!A$3:E$33,5,0),1)</f>
        <v>1</v>
      </c>
      <c r="AE120" s="107" t="str">
        <f t="shared" si="45"/>
        <v/>
      </c>
      <c r="AF120" s="107">
        <f t="shared" si="46"/>
        <v>0</v>
      </c>
      <c r="AG120" s="107">
        <f t="shared" si="47"/>
        <v>0</v>
      </c>
      <c r="AH120" s="109"/>
      <c r="AI120" s="104" t="s">
        <v>94</v>
      </c>
      <c r="AJ120" s="109"/>
      <c r="AK120" s="109"/>
    </row>
    <row r="121" spans="1:37" ht="15" customHeight="1" x14ac:dyDescent="0.35">
      <c r="A121" s="112"/>
      <c r="B121" s="99"/>
      <c r="C121" s="98"/>
      <c r="D121" s="98"/>
      <c r="E121" s="98"/>
      <c r="F121" s="111"/>
      <c r="G121" s="98"/>
      <c r="H121" s="111"/>
      <c r="I121" s="98"/>
      <c r="J121" s="101" t="str">
        <f t="shared" si="36"/>
        <v/>
      </c>
      <c r="K121" s="101" t="str">
        <f t="shared" si="37"/>
        <v>0</v>
      </c>
      <c r="L121" s="101" t="str">
        <f t="shared" si="38"/>
        <v/>
      </c>
      <c r="M121" s="101">
        <f>IFERROR(VLOOKUP(D121,Lista!A$3:D$33,3,0),1)</f>
        <v>1</v>
      </c>
      <c r="N121" s="101">
        <f>IFERROR(VLOOKUP(D121,Lista!A$3:E$33,5,0),1)</f>
        <v>1</v>
      </c>
      <c r="O121" s="102" t="str">
        <f t="shared" si="39"/>
        <v/>
      </c>
      <c r="P121" s="102">
        <f t="shared" si="40"/>
        <v>0</v>
      </c>
      <c r="Q121" s="102">
        <f t="shared" si="41"/>
        <v>0</v>
      </c>
      <c r="R121" s="103"/>
      <c r="S121" s="104" t="s">
        <v>94</v>
      </c>
      <c r="T121" s="113"/>
      <c r="U121" s="98"/>
      <c r="V121" s="98"/>
      <c r="W121" s="98"/>
      <c r="X121" s="98"/>
      <c r="Y121" s="98"/>
      <c r="Z121" s="101" t="str">
        <f t="shared" si="42"/>
        <v/>
      </c>
      <c r="AA121" s="101" t="str">
        <f t="shared" si="43"/>
        <v>0</v>
      </c>
      <c r="AB121" s="101" t="str">
        <f t="shared" si="44"/>
        <v/>
      </c>
      <c r="AC121" s="101">
        <f>IFERROR(VLOOKUP(V121,Lista!A$3:D$33,3,0),1)</f>
        <v>1</v>
      </c>
      <c r="AD121" s="101">
        <f>IFERROR(VLOOKUP(V121,Lista!A$3:E$33,5,0),1)</f>
        <v>1</v>
      </c>
      <c r="AE121" s="107" t="str">
        <f t="shared" si="45"/>
        <v/>
      </c>
      <c r="AF121" s="107">
        <f t="shared" si="46"/>
        <v>0</v>
      </c>
      <c r="AG121" s="107">
        <f t="shared" si="47"/>
        <v>0</v>
      </c>
      <c r="AH121" s="109"/>
      <c r="AI121" s="104" t="s">
        <v>94</v>
      </c>
      <c r="AJ121" s="109"/>
      <c r="AK121" s="109"/>
    </row>
    <row r="122" spans="1:37" ht="15" customHeight="1" x14ac:dyDescent="0.35">
      <c r="A122" s="112"/>
      <c r="B122" s="99"/>
      <c r="C122" s="98"/>
      <c r="D122" s="98"/>
      <c r="E122" s="98"/>
      <c r="F122" s="111"/>
      <c r="G122" s="98"/>
      <c r="H122" s="111"/>
      <c r="I122" s="98"/>
      <c r="J122" s="101" t="str">
        <f t="shared" si="36"/>
        <v/>
      </c>
      <c r="K122" s="101" t="str">
        <f t="shared" si="37"/>
        <v>0</v>
      </c>
      <c r="L122" s="101" t="str">
        <f t="shared" si="38"/>
        <v/>
      </c>
      <c r="M122" s="101">
        <f>IFERROR(VLOOKUP(D122,Lista!A$3:D$33,3,0),1)</f>
        <v>1</v>
      </c>
      <c r="N122" s="101">
        <f>IFERROR(VLOOKUP(D122,Lista!A$3:E$33,5,0),1)</f>
        <v>1</v>
      </c>
      <c r="O122" s="102" t="str">
        <f t="shared" si="39"/>
        <v/>
      </c>
      <c r="P122" s="102">
        <f t="shared" si="40"/>
        <v>0</v>
      </c>
      <c r="Q122" s="102">
        <f t="shared" si="41"/>
        <v>0</v>
      </c>
      <c r="R122" s="103"/>
      <c r="S122" s="104" t="s">
        <v>94</v>
      </c>
      <c r="T122" s="113"/>
      <c r="U122" s="98"/>
      <c r="V122" s="98"/>
      <c r="W122" s="98"/>
      <c r="X122" s="98"/>
      <c r="Y122" s="98"/>
      <c r="Z122" s="101" t="str">
        <f t="shared" si="42"/>
        <v/>
      </c>
      <c r="AA122" s="101" t="str">
        <f t="shared" si="43"/>
        <v>0</v>
      </c>
      <c r="AB122" s="101" t="str">
        <f t="shared" si="44"/>
        <v/>
      </c>
      <c r="AC122" s="101">
        <f>IFERROR(VLOOKUP(V122,Lista!A$3:D$33,3,0),1)</f>
        <v>1</v>
      </c>
      <c r="AD122" s="101">
        <f>IFERROR(VLOOKUP(V122,Lista!A$3:E$33,5,0),1)</f>
        <v>1</v>
      </c>
      <c r="AE122" s="107" t="str">
        <f t="shared" si="45"/>
        <v/>
      </c>
      <c r="AF122" s="107">
        <f t="shared" si="46"/>
        <v>0</v>
      </c>
      <c r="AG122" s="107">
        <f t="shared" si="47"/>
        <v>0</v>
      </c>
      <c r="AH122" s="109"/>
      <c r="AI122" s="104" t="s">
        <v>94</v>
      </c>
      <c r="AJ122" s="109"/>
      <c r="AK122" s="109"/>
    </row>
    <row r="123" spans="1:37" ht="15" customHeight="1" x14ac:dyDescent="0.35">
      <c r="A123" s="112"/>
      <c r="B123" s="99"/>
      <c r="C123" s="98"/>
      <c r="D123" s="98"/>
      <c r="E123" s="98"/>
      <c r="F123" s="111"/>
      <c r="G123" s="98"/>
      <c r="H123" s="111"/>
      <c r="I123" s="98"/>
      <c r="J123" s="101" t="str">
        <f t="shared" si="36"/>
        <v/>
      </c>
      <c r="K123" s="101" t="str">
        <f t="shared" si="37"/>
        <v>0</v>
      </c>
      <c r="L123" s="101" t="str">
        <f t="shared" si="38"/>
        <v/>
      </c>
      <c r="M123" s="101">
        <f>IFERROR(VLOOKUP(D123,Lista!A$3:D$33,3,0),1)</f>
        <v>1</v>
      </c>
      <c r="N123" s="101">
        <f>IFERROR(VLOOKUP(D123,Lista!A$3:E$33,5,0),1)</f>
        <v>1</v>
      </c>
      <c r="O123" s="102" t="str">
        <f t="shared" si="39"/>
        <v/>
      </c>
      <c r="P123" s="102">
        <f t="shared" si="40"/>
        <v>0</v>
      </c>
      <c r="Q123" s="102">
        <f t="shared" si="41"/>
        <v>0</v>
      </c>
      <c r="R123" s="103"/>
      <c r="S123" s="104" t="s">
        <v>94</v>
      </c>
      <c r="T123" s="113"/>
      <c r="U123" s="98"/>
      <c r="V123" s="98"/>
      <c r="W123" s="98"/>
      <c r="X123" s="98"/>
      <c r="Y123" s="98"/>
      <c r="Z123" s="101" t="str">
        <f t="shared" si="42"/>
        <v/>
      </c>
      <c r="AA123" s="101" t="str">
        <f t="shared" si="43"/>
        <v>0</v>
      </c>
      <c r="AB123" s="101" t="str">
        <f t="shared" si="44"/>
        <v/>
      </c>
      <c r="AC123" s="101">
        <f>IFERROR(VLOOKUP(V123,Lista!A$3:D$33,3,0),1)</f>
        <v>1</v>
      </c>
      <c r="AD123" s="101">
        <f>IFERROR(VLOOKUP(V123,Lista!A$3:E$33,5,0),1)</f>
        <v>1</v>
      </c>
      <c r="AE123" s="107" t="str">
        <f t="shared" si="45"/>
        <v/>
      </c>
      <c r="AF123" s="107">
        <f t="shared" si="46"/>
        <v>0</v>
      </c>
      <c r="AG123" s="107">
        <f t="shared" si="47"/>
        <v>0</v>
      </c>
      <c r="AH123" s="109"/>
      <c r="AI123" s="104" t="s">
        <v>94</v>
      </c>
      <c r="AJ123" s="109"/>
      <c r="AK123" s="109"/>
    </row>
    <row r="124" spans="1:37" ht="15" customHeight="1" x14ac:dyDescent="0.35">
      <c r="A124" s="112"/>
      <c r="B124" s="99"/>
      <c r="C124" s="98"/>
      <c r="D124" s="98"/>
      <c r="E124" s="98"/>
      <c r="F124" s="111"/>
      <c r="G124" s="98"/>
      <c r="H124" s="111"/>
      <c r="I124" s="98"/>
      <c r="J124" s="101" t="str">
        <f t="shared" si="36"/>
        <v/>
      </c>
      <c r="K124" s="101" t="str">
        <f t="shared" si="37"/>
        <v>0</v>
      </c>
      <c r="L124" s="101" t="str">
        <f t="shared" si="38"/>
        <v/>
      </c>
      <c r="M124" s="101">
        <f>IFERROR(VLOOKUP(D124,Lista!A$3:D$33,3,0),1)</f>
        <v>1</v>
      </c>
      <c r="N124" s="101">
        <f>IFERROR(VLOOKUP(D124,Lista!A$3:E$33,5,0),1)</f>
        <v>1</v>
      </c>
      <c r="O124" s="102" t="str">
        <f t="shared" si="39"/>
        <v/>
      </c>
      <c r="P124" s="102">
        <f t="shared" si="40"/>
        <v>0</v>
      </c>
      <c r="Q124" s="102">
        <f t="shared" si="41"/>
        <v>0</v>
      </c>
      <c r="R124" s="103"/>
      <c r="S124" s="104" t="s">
        <v>94</v>
      </c>
      <c r="T124" s="113"/>
      <c r="U124" s="98"/>
      <c r="V124" s="98"/>
      <c r="W124" s="98"/>
      <c r="X124" s="98"/>
      <c r="Y124" s="98"/>
      <c r="Z124" s="101" t="str">
        <f t="shared" si="42"/>
        <v/>
      </c>
      <c r="AA124" s="101" t="str">
        <f t="shared" si="43"/>
        <v>0</v>
      </c>
      <c r="AB124" s="101" t="str">
        <f t="shared" si="44"/>
        <v/>
      </c>
      <c r="AC124" s="101">
        <f>IFERROR(VLOOKUP(V124,Lista!A$3:D$33,3,0),1)</f>
        <v>1</v>
      </c>
      <c r="AD124" s="101">
        <f>IFERROR(VLOOKUP(V124,Lista!A$3:E$33,5,0),1)</f>
        <v>1</v>
      </c>
      <c r="AE124" s="107" t="str">
        <f t="shared" si="45"/>
        <v/>
      </c>
      <c r="AF124" s="107">
        <f t="shared" si="46"/>
        <v>0</v>
      </c>
      <c r="AG124" s="107">
        <f t="shared" si="47"/>
        <v>0</v>
      </c>
      <c r="AH124" s="109"/>
      <c r="AI124" s="104" t="s">
        <v>94</v>
      </c>
      <c r="AJ124" s="109"/>
      <c r="AK124" s="109"/>
    </row>
    <row r="125" spans="1:37" ht="15" customHeight="1" x14ac:dyDescent="0.35">
      <c r="A125" s="112"/>
      <c r="B125" s="99"/>
      <c r="C125" s="98"/>
      <c r="D125" s="98"/>
      <c r="E125" s="98"/>
      <c r="F125" s="111"/>
      <c r="G125" s="98"/>
      <c r="H125" s="111"/>
      <c r="I125" s="98"/>
      <c r="J125" s="101" t="str">
        <f t="shared" si="36"/>
        <v/>
      </c>
      <c r="K125" s="101" t="str">
        <f t="shared" si="37"/>
        <v>0</v>
      </c>
      <c r="L125" s="101" t="str">
        <f t="shared" si="38"/>
        <v/>
      </c>
      <c r="M125" s="101">
        <f>IFERROR(VLOOKUP(D125,Lista!A$3:D$33,3,0),1)</f>
        <v>1</v>
      </c>
      <c r="N125" s="101">
        <f>IFERROR(VLOOKUP(D125,Lista!A$3:E$33,5,0),1)</f>
        <v>1</v>
      </c>
      <c r="O125" s="102" t="str">
        <f t="shared" si="39"/>
        <v/>
      </c>
      <c r="P125" s="102">
        <f t="shared" si="40"/>
        <v>0</v>
      </c>
      <c r="Q125" s="102">
        <f t="shared" si="41"/>
        <v>0</v>
      </c>
      <c r="R125" s="103"/>
      <c r="S125" s="104" t="s">
        <v>94</v>
      </c>
      <c r="T125" s="113"/>
      <c r="U125" s="98"/>
      <c r="V125" s="98"/>
      <c r="W125" s="98"/>
      <c r="X125" s="98"/>
      <c r="Y125" s="98"/>
      <c r="Z125" s="101" t="str">
        <f t="shared" si="42"/>
        <v/>
      </c>
      <c r="AA125" s="101" t="str">
        <f t="shared" si="43"/>
        <v>0</v>
      </c>
      <c r="AB125" s="101" t="str">
        <f t="shared" si="44"/>
        <v/>
      </c>
      <c r="AC125" s="101">
        <f>IFERROR(VLOOKUP(V125,Lista!A$3:D$33,3,0),1)</f>
        <v>1</v>
      </c>
      <c r="AD125" s="101">
        <f>IFERROR(VLOOKUP(V125,Lista!A$3:E$33,5,0),1)</f>
        <v>1</v>
      </c>
      <c r="AE125" s="107" t="str">
        <f t="shared" si="45"/>
        <v/>
      </c>
      <c r="AF125" s="107">
        <f t="shared" si="46"/>
        <v>0</v>
      </c>
      <c r="AG125" s="107">
        <f t="shared" si="47"/>
        <v>0</v>
      </c>
      <c r="AH125" s="109"/>
      <c r="AI125" s="104" t="s">
        <v>94</v>
      </c>
      <c r="AJ125" s="109"/>
      <c r="AK125" s="109"/>
    </row>
    <row r="126" spans="1:37" ht="15" customHeight="1" x14ac:dyDescent="0.35">
      <c r="A126" s="112"/>
      <c r="B126" s="99"/>
      <c r="C126" s="98"/>
      <c r="D126" s="98"/>
      <c r="E126" s="98"/>
      <c r="F126" s="111"/>
      <c r="G126" s="98"/>
      <c r="H126" s="111"/>
      <c r="I126" s="98"/>
      <c r="J126" s="101" t="str">
        <f t="shared" si="36"/>
        <v/>
      </c>
      <c r="K126" s="101" t="str">
        <f t="shared" si="37"/>
        <v>0</v>
      </c>
      <c r="L126" s="101" t="str">
        <f t="shared" si="38"/>
        <v/>
      </c>
      <c r="M126" s="101">
        <f>IFERROR(VLOOKUP(D126,Lista!A$3:D$33,3,0),1)</f>
        <v>1</v>
      </c>
      <c r="N126" s="101">
        <f>IFERROR(VLOOKUP(D126,Lista!A$3:E$33,5,0),1)</f>
        <v>1</v>
      </c>
      <c r="O126" s="102" t="str">
        <f t="shared" si="39"/>
        <v/>
      </c>
      <c r="P126" s="102">
        <f t="shared" si="40"/>
        <v>0</v>
      </c>
      <c r="Q126" s="102">
        <f t="shared" si="41"/>
        <v>0</v>
      </c>
      <c r="R126" s="103"/>
      <c r="S126" s="104" t="s">
        <v>94</v>
      </c>
      <c r="T126" s="113"/>
      <c r="U126" s="98"/>
      <c r="V126" s="98"/>
      <c r="W126" s="98"/>
      <c r="X126" s="98"/>
      <c r="Y126" s="98"/>
      <c r="Z126" s="101" t="str">
        <f t="shared" si="42"/>
        <v/>
      </c>
      <c r="AA126" s="101" t="str">
        <f t="shared" si="43"/>
        <v>0</v>
      </c>
      <c r="AB126" s="101" t="str">
        <f t="shared" si="44"/>
        <v/>
      </c>
      <c r="AC126" s="101">
        <f>IFERROR(VLOOKUP(V126,Lista!A$3:D$33,3,0),1)</f>
        <v>1</v>
      </c>
      <c r="AD126" s="101">
        <f>IFERROR(VLOOKUP(V126,Lista!A$3:E$33,5,0),1)</f>
        <v>1</v>
      </c>
      <c r="AE126" s="107" t="str">
        <f t="shared" si="45"/>
        <v/>
      </c>
      <c r="AF126" s="107">
        <f t="shared" si="46"/>
        <v>0</v>
      </c>
      <c r="AG126" s="107">
        <f t="shared" si="47"/>
        <v>0</v>
      </c>
      <c r="AH126" s="109"/>
      <c r="AI126" s="104" t="s">
        <v>94</v>
      </c>
      <c r="AJ126" s="109"/>
      <c r="AK126" s="109"/>
    </row>
    <row r="127" spans="1:37" ht="15" customHeight="1" x14ac:dyDescent="0.35">
      <c r="A127" s="112"/>
      <c r="B127" s="99"/>
      <c r="C127" s="98"/>
      <c r="D127" s="98"/>
      <c r="E127" s="98"/>
      <c r="F127" s="111"/>
      <c r="G127" s="98"/>
      <c r="H127" s="111"/>
      <c r="I127" s="98"/>
      <c r="J127" s="101" t="str">
        <f t="shared" si="36"/>
        <v/>
      </c>
      <c r="K127" s="101" t="str">
        <f t="shared" si="37"/>
        <v>0</v>
      </c>
      <c r="L127" s="101" t="str">
        <f t="shared" si="38"/>
        <v/>
      </c>
      <c r="M127" s="101">
        <f>IFERROR(VLOOKUP(D127,Lista!A$3:D$33,3,0),1)</f>
        <v>1</v>
      </c>
      <c r="N127" s="101">
        <f>IFERROR(VLOOKUP(D127,Lista!A$3:E$33,5,0),1)</f>
        <v>1</v>
      </c>
      <c r="O127" s="102" t="str">
        <f t="shared" si="39"/>
        <v/>
      </c>
      <c r="P127" s="102">
        <f t="shared" si="40"/>
        <v>0</v>
      </c>
      <c r="Q127" s="102">
        <f t="shared" si="41"/>
        <v>0</v>
      </c>
      <c r="R127" s="103"/>
      <c r="S127" s="104" t="s">
        <v>94</v>
      </c>
      <c r="T127" s="113"/>
      <c r="U127" s="98"/>
      <c r="V127" s="98"/>
      <c r="W127" s="98"/>
      <c r="X127" s="98"/>
      <c r="Y127" s="98"/>
      <c r="Z127" s="101" t="str">
        <f t="shared" si="42"/>
        <v/>
      </c>
      <c r="AA127" s="101" t="str">
        <f t="shared" si="43"/>
        <v>0</v>
      </c>
      <c r="AB127" s="101" t="str">
        <f t="shared" si="44"/>
        <v/>
      </c>
      <c r="AC127" s="101">
        <f>IFERROR(VLOOKUP(V127,Lista!A$3:D$33,3,0),1)</f>
        <v>1</v>
      </c>
      <c r="AD127" s="101">
        <f>IFERROR(VLOOKUP(V127,Lista!A$3:E$33,5,0),1)</f>
        <v>1</v>
      </c>
      <c r="AE127" s="107" t="str">
        <f t="shared" si="45"/>
        <v/>
      </c>
      <c r="AF127" s="107">
        <f t="shared" si="46"/>
        <v>0</v>
      </c>
      <c r="AG127" s="107">
        <f t="shared" si="47"/>
        <v>0</v>
      </c>
      <c r="AH127" s="109"/>
      <c r="AI127" s="104" t="s">
        <v>94</v>
      </c>
      <c r="AJ127" s="109"/>
      <c r="AK127" s="109"/>
    </row>
    <row r="128" spans="1:37" ht="15" customHeight="1" x14ac:dyDescent="0.35">
      <c r="A128" s="112"/>
      <c r="B128" s="99"/>
      <c r="C128" s="98"/>
      <c r="D128" s="98"/>
      <c r="E128" s="98"/>
      <c r="F128" s="111"/>
      <c r="G128" s="98"/>
      <c r="H128" s="111"/>
      <c r="I128" s="98"/>
      <c r="J128" s="101" t="str">
        <f t="shared" si="36"/>
        <v/>
      </c>
      <c r="K128" s="101" t="str">
        <f t="shared" si="37"/>
        <v>0</v>
      </c>
      <c r="L128" s="101" t="str">
        <f t="shared" si="38"/>
        <v/>
      </c>
      <c r="M128" s="101">
        <f>IFERROR(VLOOKUP(D128,Lista!A$3:D$33,3,0),1)</f>
        <v>1</v>
      </c>
      <c r="N128" s="101">
        <f>IFERROR(VLOOKUP(D128,Lista!A$3:E$33,5,0),1)</f>
        <v>1</v>
      </c>
      <c r="O128" s="102" t="str">
        <f t="shared" si="39"/>
        <v/>
      </c>
      <c r="P128" s="102">
        <f t="shared" si="40"/>
        <v>0</v>
      </c>
      <c r="Q128" s="102">
        <f t="shared" si="41"/>
        <v>0</v>
      </c>
      <c r="R128" s="103"/>
      <c r="S128" s="104" t="s">
        <v>94</v>
      </c>
      <c r="T128" s="113"/>
      <c r="U128" s="98"/>
      <c r="V128" s="98"/>
      <c r="W128" s="98"/>
      <c r="X128" s="98"/>
      <c r="Y128" s="98"/>
      <c r="Z128" s="101" t="str">
        <f t="shared" si="42"/>
        <v/>
      </c>
      <c r="AA128" s="101" t="str">
        <f t="shared" si="43"/>
        <v>0</v>
      </c>
      <c r="AB128" s="101" t="str">
        <f t="shared" si="44"/>
        <v/>
      </c>
      <c r="AC128" s="101">
        <f>IFERROR(VLOOKUP(V128,Lista!A$3:D$33,3,0),1)</f>
        <v>1</v>
      </c>
      <c r="AD128" s="101">
        <f>IFERROR(VLOOKUP(V128,Lista!A$3:E$33,5,0),1)</f>
        <v>1</v>
      </c>
      <c r="AE128" s="107" t="str">
        <f t="shared" si="45"/>
        <v/>
      </c>
      <c r="AF128" s="107">
        <f t="shared" si="46"/>
        <v>0</v>
      </c>
      <c r="AG128" s="107">
        <f t="shared" si="47"/>
        <v>0</v>
      </c>
      <c r="AH128" s="109"/>
      <c r="AI128" s="104" t="s">
        <v>94</v>
      </c>
      <c r="AJ128" s="109"/>
      <c r="AK128" s="109"/>
    </row>
    <row r="129" spans="1:37" ht="15" customHeight="1" x14ac:dyDescent="0.35">
      <c r="A129" s="112"/>
      <c r="B129" s="99"/>
      <c r="C129" s="98"/>
      <c r="D129" s="98"/>
      <c r="E129" s="98"/>
      <c r="F129" s="111"/>
      <c r="G129" s="98"/>
      <c r="H129" s="111"/>
      <c r="I129" s="98"/>
      <c r="J129" s="101" t="str">
        <f t="shared" si="36"/>
        <v/>
      </c>
      <c r="K129" s="101" t="str">
        <f t="shared" si="37"/>
        <v>0</v>
      </c>
      <c r="L129" s="101" t="str">
        <f t="shared" si="38"/>
        <v/>
      </c>
      <c r="M129" s="101">
        <f>IFERROR(VLOOKUP(D129,Lista!A$3:D$33,3,0),1)</f>
        <v>1</v>
      </c>
      <c r="N129" s="101">
        <f>IFERROR(VLOOKUP(D129,Lista!A$3:E$33,5,0),1)</f>
        <v>1</v>
      </c>
      <c r="O129" s="102" t="str">
        <f t="shared" si="39"/>
        <v/>
      </c>
      <c r="P129" s="102">
        <f t="shared" si="40"/>
        <v>0</v>
      </c>
      <c r="Q129" s="102">
        <f t="shared" si="41"/>
        <v>0</v>
      </c>
      <c r="R129" s="103"/>
      <c r="S129" s="104" t="s">
        <v>94</v>
      </c>
      <c r="T129" s="113"/>
      <c r="U129" s="98"/>
      <c r="V129" s="98"/>
      <c r="W129" s="98"/>
      <c r="X129" s="98"/>
      <c r="Y129" s="98"/>
      <c r="Z129" s="101" t="str">
        <f t="shared" si="42"/>
        <v/>
      </c>
      <c r="AA129" s="101" t="str">
        <f t="shared" si="43"/>
        <v>0</v>
      </c>
      <c r="AB129" s="101" t="str">
        <f t="shared" si="44"/>
        <v/>
      </c>
      <c r="AC129" s="101">
        <f>IFERROR(VLOOKUP(V129,Lista!A$3:D$33,3,0),1)</f>
        <v>1</v>
      </c>
      <c r="AD129" s="101">
        <f>IFERROR(VLOOKUP(V129,Lista!A$3:E$33,5,0),1)</f>
        <v>1</v>
      </c>
      <c r="AE129" s="107" t="str">
        <f t="shared" si="45"/>
        <v/>
      </c>
      <c r="AF129" s="107">
        <f t="shared" si="46"/>
        <v>0</v>
      </c>
      <c r="AG129" s="107">
        <f t="shared" si="47"/>
        <v>0</v>
      </c>
      <c r="AH129" s="109"/>
      <c r="AI129" s="104" t="s">
        <v>94</v>
      </c>
      <c r="AJ129" s="109"/>
      <c r="AK129" s="109"/>
    </row>
    <row r="130" spans="1:37" ht="15" customHeight="1" x14ac:dyDescent="0.35">
      <c r="A130" s="112"/>
      <c r="B130" s="99"/>
      <c r="C130" s="98"/>
      <c r="D130" s="98"/>
      <c r="E130" s="98"/>
      <c r="F130" s="111"/>
      <c r="G130" s="98"/>
      <c r="H130" s="111"/>
      <c r="I130" s="98"/>
      <c r="J130" s="101" t="str">
        <f t="shared" si="36"/>
        <v/>
      </c>
      <c r="K130" s="101" t="str">
        <f t="shared" si="37"/>
        <v>0</v>
      </c>
      <c r="L130" s="101" t="str">
        <f t="shared" si="38"/>
        <v/>
      </c>
      <c r="M130" s="101">
        <f>IFERROR(VLOOKUP(D130,Lista!A$3:D$33,3,0),1)</f>
        <v>1</v>
      </c>
      <c r="N130" s="101">
        <f>IFERROR(VLOOKUP(D130,Lista!A$3:E$33,5,0),1)</f>
        <v>1</v>
      </c>
      <c r="O130" s="102" t="str">
        <f t="shared" si="39"/>
        <v/>
      </c>
      <c r="P130" s="102">
        <f t="shared" si="40"/>
        <v>0</v>
      </c>
      <c r="Q130" s="102">
        <f t="shared" si="41"/>
        <v>0</v>
      </c>
      <c r="R130" s="103"/>
      <c r="S130" s="104" t="s">
        <v>94</v>
      </c>
      <c r="T130" s="113"/>
      <c r="U130" s="98"/>
      <c r="V130" s="98"/>
      <c r="W130" s="98"/>
      <c r="X130" s="98"/>
      <c r="Y130" s="98"/>
      <c r="Z130" s="101" t="str">
        <f t="shared" si="42"/>
        <v/>
      </c>
      <c r="AA130" s="101" t="str">
        <f t="shared" si="43"/>
        <v>0</v>
      </c>
      <c r="AB130" s="101" t="str">
        <f t="shared" si="44"/>
        <v/>
      </c>
      <c r="AC130" s="101">
        <f>IFERROR(VLOOKUP(V130,Lista!A$3:D$33,3,0),1)</f>
        <v>1</v>
      </c>
      <c r="AD130" s="101">
        <f>IFERROR(VLOOKUP(V130,Lista!A$3:E$33,5,0),1)</f>
        <v>1</v>
      </c>
      <c r="AE130" s="107" t="str">
        <f t="shared" si="45"/>
        <v/>
      </c>
      <c r="AF130" s="107">
        <f t="shared" si="46"/>
        <v>0</v>
      </c>
      <c r="AG130" s="107">
        <f t="shared" si="47"/>
        <v>0</v>
      </c>
      <c r="AH130" s="109"/>
      <c r="AI130" s="104" t="s">
        <v>94</v>
      </c>
      <c r="AJ130" s="109"/>
      <c r="AK130" s="109"/>
    </row>
    <row r="131" spans="1:37" ht="15" customHeight="1" x14ac:dyDescent="0.35">
      <c r="A131" s="112"/>
      <c r="B131" s="99"/>
      <c r="C131" s="98"/>
      <c r="D131" s="98"/>
      <c r="E131" s="98"/>
      <c r="F131" s="111"/>
      <c r="G131" s="98"/>
      <c r="H131" s="111"/>
      <c r="I131" s="98"/>
      <c r="J131" s="101" t="str">
        <f t="shared" ref="J131:J162" si="48">CONCATENATE(C131,L131)</f>
        <v/>
      </c>
      <c r="K131" s="101" t="str">
        <f t="shared" ref="K131:K162" si="49">CONCATENATE(C131,D131,L131,Q131)</f>
        <v>0</v>
      </c>
      <c r="L131" s="101" t="str">
        <f t="shared" ref="L131:L162" si="50">IF(OR(ISBLANK(E131),ISBLANK(G131)),IF(OR(C131="ALI",C131="AIE"),"L",IF(ISBLANK(C131),"","A")),IF(C131="EE",IF(G131&gt;=3,IF(E131&gt;=5,"H","A"),IF(G131&gt;=2,IF(E131&gt;=16,"H",IF(E131&lt;=4,"L","A")),IF(E131&lt;=15,"L","A"))),IF(OR(C131="SE",C131="CE"),IF(G131&gt;=4,IF(E131&gt;=6,"H","A"),IF(G131&gt;=2,IF(E131&gt;=20,"H",IF(E131&lt;=5,"L","A")),IF(E131&lt;=19,"L","A"))),IF(OR(C131="ALI",C131="AIE"),IF(G131&gt;=6,IF(E131&gt;=20,"H","A"),IF(G131&gt;=2,IF(E131&gt;=51,"H",IF(E131&lt;=19,"L","A")),IF(E131&lt;=50,"L","A")))))))</f>
        <v/>
      </c>
      <c r="M131" s="101">
        <f>IFERROR(VLOOKUP(D131,Lista!A$3:D$33,3,0),1)</f>
        <v>1</v>
      </c>
      <c r="N131" s="101">
        <f>IFERROR(VLOOKUP(D131,Lista!A$3:E$33,5,0),1)</f>
        <v>1</v>
      </c>
      <c r="O131" s="102" t="str">
        <f t="shared" ref="O131:O162" si="51">IF(C131="INM","",IF(L131="L","Baixa",IF(L131="A","Média",IF(L131="","","Alta"))))</f>
        <v/>
      </c>
      <c r="P131" s="102">
        <f t="shared" ref="P131:P162" si="52">IF(C131="INM",M131*I131,IF(C131="ALI",IF(L131="L",7,IF(L131="A",10,15)),IF(C131="AIE",IF(L131="L",5,IF(L131="A",7,10)),IF(C131="SE",IF(L131="L",4,IF(L131="A",5,7)),IF(OR(C131="EE",C131="CE"),IF(L131="L",3,IF(L131="A",4,6)),0)))))</f>
        <v>0</v>
      </c>
      <c r="Q131" s="102">
        <f t="shared" ref="Q131:Q162" si="53">IF(C131="INM",P131,P131*M131)</f>
        <v>0</v>
      </c>
      <c r="R131" s="103"/>
      <c r="S131" s="104" t="s">
        <v>94</v>
      </c>
      <c r="T131" s="113"/>
      <c r="U131" s="98"/>
      <c r="V131" s="98"/>
      <c r="W131" s="98"/>
      <c r="X131" s="98"/>
      <c r="Y131" s="98"/>
      <c r="Z131" s="101" t="str">
        <f t="shared" ref="Z131:Z162" si="54">CONCATENATE(U131,AB131)</f>
        <v/>
      </c>
      <c r="AA131" s="101" t="str">
        <f t="shared" ref="AA131:AA162" si="55">CONCATENATE(U131,V131,AB131,AG131)</f>
        <v>0</v>
      </c>
      <c r="AB131" s="101" t="str">
        <f t="shared" ref="AB131:AB162" si="56">IF(OR(ISBLANK(W131),ISBLANK(X131)),IF(OR(U131="ALI",U131="AIE"),"L",IF(ISBLANK(U131),"","A")),IF(U131="EE",IF(X131&gt;=3,IF(W131&gt;=5,"H","A"),IF(X131&gt;=2,IF(W131&gt;=16,"H",IF(W131&lt;=4,"L","A")),IF(W131&lt;=15,"L","A"))),IF(OR(U131="SE",U131="CE"),IF(X131&gt;=4,IF(W131&gt;=6,"H","A"),IF(X131&gt;=2,IF(W131&gt;=20,"H",IF(W131&lt;=5,"L","A")),IF(W131&lt;=19,"L","A"))),IF(OR(U131="ALI",U131="AIE"),IF(X131&gt;=6,IF(W131&gt;=20,"H","A"),IF(X131&gt;=2,IF(W131&gt;=51,"H",IF(W131&lt;=19,"L","A")),IF(W131&lt;=50,"L","A")))))))</f>
        <v/>
      </c>
      <c r="AC131" s="101">
        <f>IFERROR(VLOOKUP(V131,Lista!A$3:D$33,3,0),1)</f>
        <v>1</v>
      </c>
      <c r="AD131" s="101">
        <f>IFERROR(VLOOKUP(V131,Lista!A$3:E$33,5,0),1)</f>
        <v>1</v>
      </c>
      <c r="AE131" s="107" t="str">
        <f t="shared" ref="AE131:AE162" si="57">IF(U131="INM","",IF(AB131="L","Baixa",IF(AB131="A","Média",IF(AB131="","","Alta"))))</f>
        <v/>
      </c>
      <c r="AF131" s="107">
        <f t="shared" ref="AF131:AF162" si="58">IF(OR(ISBLANK(T131),T131="NOK"),0,IF(U131="INM",AC131*Y131,IF(U131="ALI",IF(AB131="L",7,IF(AB131="A",10,15)),IF(U131="AIE",IF(AB131="L",5,IF(AB131="A",7,10)),IF(U131="SE",IF(AB131="L",4,IF(AB131="A",5,7)),IF(OR(U131="EE",U131="CE"),IF(AB131="L",3,IF(AB131="A",4,6))))))))</f>
        <v>0</v>
      </c>
      <c r="AG131" s="107">
        <f t="shared" ref="AG131:AG162" si="59">IF(T131="NOK",0,IF(U131="INM",(1*AC131)*Y131,AF131*AC131))</f>
        <v>0</v>
      </c>
      <c r="AH131" s="109"/>
      <c r="AI131" s="104" t="s">
        <v>94</v>
      </c>
      <c r="AJ131" s="109"/>
      <c r="AK131" s="109"/>
    </row>
    <row r="132" spans="1:37" ht="15" customHeight="1" x14ac:dyDescent="0.35">
      <c r="A132" s="112"/>
      <c r="B132" s="99"/>
      <c r="C132" s="98"/>
      <c r="D132" s="98"/>
      <c r="E132" s="98"/>
      <c r="F132" s="111"/>
      <c r="G132" s="98"/>
      <c r="H132" s="111"/>
      <c r="I132" s="98"/>
      <c r="J132" s="101" t="str">
        <f t="shared" si="48"/>
        <v/>
      </c>
      <c r="K132" s="101" t="str">
        <f t="shared" si="49"/>
        <v>0</v>
      </c>
      <c r="L132" s="101" t="str">
        <f t="shared" si="50"/>
        <v/>
      </c>
      <c r="M132" s="101">
        <f>IFERROR(VLOOKUP(D132,Lista!A$3:D$33,3,0),1)</f>
        <v>1</v>
      </c>
      <c r="N132" s="101">
        <f>IFERROR(VLOOKUP(D132,Lista!A$3:E$33,5,0),1)</f>
        <v>1</v>
      </c>
      <c r="O132" s="102" t="str">
        <f t="shared" si="51"/>
        <v/>
      </c>
      <c r="P132" s="102">
        <f t="shared" si="52"/>
        <v>0</v>
      </c>
      <c r="Q132" s="102">
        <f t="shared" si="53"/>
        <v>0</v>
      </c>
      <c r="R132" s="103"/>
      <c r="S132" s="104" t="s">
        <v>94</v>
      </c>
      <c r="T132" s="113"/>
      <c r="U132" s="98"/>
      <c r="V132" s="98"/>
      <c r="W132" s="98"/>
      <c r="X132" s="98"/>
      <c r="Y132" s="98"/>
      <c r="Z132" s="101" t="str">
        <f t="shared" si="54"/>
        <v/>
      </c>
      <c r="AA132" s="101" t="str">
        <f t="shared" si="55"/>
        <v>0</v>
      </c>
      <c r="AB132" s="101" t="str">
        <f t="shared" si="56"/>
        <v/>
      </c>
      <c r="AC132" s="101">
        <f>IFERROR(VLOOKUP(V132,Lista!A$3:D$33,3,0),1)</f>
        <v>1</v>
      </c>
      <c r="AD132" s="101">
        <f>IFERROR(VLOOKUP(V132,Lista!A$3:E$33,5,0),1)</f>
        <v>1</v>
      </c>
      <c r="AE132" s="107" t="str">
        <f t="shared" si="57"/>
        <v/>
      </c>
      <c r="AF132" s="107">
        <f t="shared" si="58"/>
        <v>0</v>
      </c>
      <c r="AG132" s="107">
        <f t="shared" si="59"/>
        <v>0</v>
      </c>
      <c r="AH132" s="109"/>
      <c r="AI132" s="104" t="s">
        <v>94</v>
      </c>
      <c r="AJ132" s="109"/>
      <c r="AK132" s="109"/>
    </row>
    <row r="133" spans="1:37" ht="15" customHeight="1" x14ac:dyDescent="0.35">
      <c r="A133" s="112"/>
      <c r="B133" s="99"/>
      <c r="C133" s="98"/>
      <c r="D133" s="98"/>
      <c r="E133" s="98"/>
      <c r="F133" s="111"/>
      <c r="G133" s="98"/>
      <c r="H133" s="111"/>
      <c r="I133" s="98"/>
      <c r="J133" s="101" t="str">
        <f t="shared" si="48"/>
        <v/>
      </c>
      <c r="K133" s="101" t="str">
        <f t="shared" si="49"/>
        <v>0</v>
      </c>
      <c r="L133" s="101" t="str">
        <f t="shared" si="50"/>
        <v/>
      </c>
      <c r="M133" s="101">
        <f>IFERROR(VLOOKUP(D133,Lista!A$3:D$33,3,0),1)</f>
        <v>1</v>
      </c>
      <c r="N133" s="101">
        <f>IFERROR(VLOOKUP(D133,Lista!A$3:E$33,5,0),1)</f>
        <v>1</v>
      </c>
      <c r="O133" s="102" t="str">
        <f t="shared" si="51"/>
        <v/>
      </c>
      <c r="P133" s="102">
        <f t="shared" si="52"/>
        <v>0</v>
      </c>
      <c r="Q133" s="102">
        <f t="shared" si="53"/>
        <v>0</v>
      </c>
      <c r="R133" s="103"/>
      <c r="S133" s="104" t="s">
        <v>94</v>
      </c>
      <c r="T133" s="113"/>
      <c r="U133" s="98"/>
      <c r="V133" s="98"/>
      <c r="W133" s="98"/>
      <c r="X133" s="98"/>
      <c r="Y133" s="98"/>
      <c r="Z133" s="101" t="str">
        <f t="shared" si="54"/>
        <v/>
      </c>
      <c r="AA133" s="101" t="str">
        <f t="shared" si="55"/>
        <v>0</v>
      </c>
      <c r="AB133" s="101" t="str">
        <f t="shared" si="56"/>
        <v/>
      </c>
      <c r="AC133" s="101">
        <f>IFERROR(VLOOKUP(V133,Lista!A$3:D$33,3,0),1)</f>
        <v>1</v>
      </c>
      <c r="AD133" s="101">
        <f>IFERROR(VLOOKUP(V133,Lista!A$3:E$33,5,0),1)</f>
        <v>1</v>
      </c>
      <c r="AE133" s="107" t="str">
        <f t="shared" si="57"/>
        <v/>
      </c>
      <c r="AF133" s="107">
        <f t="shared" si="58"/>
        <v>0</v>
      </c>
      <c r="AG133" s="107">
        <f t="shared" si="59"/>
        <v>0</v>
      </c>
      <c r="AH133" s="109"/>
      <c r="AI133" s="104" t="s">
        <v>94</v>
      </c>
      <c r="AJ133" s="109"/>
      <c r="AK133" s="109"/>
    </row>
    <row r="134" spans="1:37" ht="15" customHeight="1" x14ac:dyDescent="0.35">
      <c r="A134" s="112"/>
      <c r="B134" s="99"/>
      <c r="C134" s="98"/>
      <c r="D134" s="98"/>
      <c r="E134" s="98"/>
      <c r="F134" s="111"/>
      <c r="G134" s="98"/>
      <c r="H134" s="111"/>
      <c r="I134" s="98"/>
      <c r="J134" s="101" t="str">
        <f t="shared" si="48"/>
        <v/>
      </c>
      <c r="K134" s="101" t="str">
        <f t="shared" si="49"/>
        <v>0</v>
      </c>
      <c r="L134" s="101" t="str">
        <f t="shared" si="50"/>
        <v/>
      </c>
      <c r="M134" s="101">
        <f>IFERROR(VLOOKUP(D134,Lista!A$3:D$33,3,0),1)</f>
        <v>1</v>
      </c>
      <c r="N134" s="101">
        <f>IFERROR(VLOOKUP(D134,Lista!A$3:E$33,5,0),1)</f>
        <v>1</v>
      </c>
      <c r="O134" s="102" t="str">
        <f t="shared" si="51"/>
        <v/>
      </c>
      <c r="P134" s="102">
        <f t="shared" si="52"/>
        <v>0</v>
      </c>
      <c r="Q134" s="102">
        <f t="shared" si="53"/>
        <v>0</v>
      </c>
      <c r="R134" s="103"/>
      <c r="S134" s="104" t="s">
        <v>94</v>
      </c>
      <c r="T134" s="113"/>
      <c r="U134" s="98"/>
      <c r="V134" s="98"/>
      <c r="W134" s="98"/>
      <c r="X134" s="98"/>
      <c r="Y134" s="98"/>
      <c r="Z134" s="101" t="str">
        <f t="shared" si="54"/>
        <v/>
      </c>
      <c r="AA134" s="101" t="str">
        <f t="shared" si="55"/>
        <v>0</v>
      </c>
      <c r="AB134" s="101" t="str">
        <f t="shared" si="56"/>
        <v/>
      </c>
      <c r="AC134" s="101">
        <f>IFERROR(VLOOKUP(V134,Lista!A$3:D$33,3,0),1)</f>
        <v>1</v>
      </c>
      <c r="AD134" s="101">
        <f>IFERROR(VLOOKUP(V134,Lista!A$3:E$33,5,0),1)</f>
        <v>1</v>
      </c>
      <c r="AE134" s="107" t="str">
        <f t="shared" si="57"/>
        <v/>
      </c>
      <c r="AF134" s="107">
        <f t="shared" si="58"/>
        <v>0</v>
      </c>
      <c r="AG134" s="107">
        <f t="shared" si="59"/>
        <v>0</v>
      </c>
      <c r="AH134" s="109"/>
      <c r="AI134" s="104" t="s">
        <v>94</v>
      </c>
      <c r="AJ134" s="109"/>
      <c r="AK134" s="109"/>
    </row>
    <row r="135" spans="1:37" ht="15" customHeight="1" x14ac:dyDescent="0.35">
      <c r="A135" s="112"/>
      <c r="B135" s="99"/>
      <c r="C135" s="98"/>
      <c r="D135" s="98"/>
      <c r="E135" s="98"/>
      <c r="F135" s="111"/>
      <c r="G135" s="98"/>
      <c r="H135" s="111"/>
      <c r="I135" s="98"/>
      <c r="J135" s="101" t="str">
        <f t="shared" si="48"/>
        <v/>
      </c>
      <c r="K135" s="101" t="str">
        <f t="shared" si="49"/>
        <v>0</v>
      </c>
      <c r="L135" s="101" t="str">
        <f t="shared" si="50"/>
        <v/>
      </c>
      <c r="M135" s="101">
        <f>IFERROR(VLOOKUP(D135,Lista!A$3:D$33,3,0),1)</f>
        <v>1</v>
      </c>
      <c r="N135" s="101">
        <f>IFERROR(VLOOKUP(D135,Lista!A$3:E$33,5,0),1)</f>
        <v>1</v>
      </c>
      <c r="O135" s="102" t="str">
        <f t="shared" si="51"/>
        <v/>
      </c>
      <c r="P135" s="102">
        <f t="shared" si="52"/>
        <v>0</v>
      </c>
      <c r="Q135" s="102">
        <f t="shared" si="53"/>
        <v>0</v>
      </c>
      <c r="R135" s="103"/>
      <c r="S135" s="104" t="s">
        <v>94</v>
      </c>
      <c r="T135" s="113"/>
      <c r="U135" s="98"/>
      <c r="V135" s="98"/>
      <c r="W135" s="98"/>
      <c r="X135" s="98"/>
      <c r="Y135" s="98"/>
      <c r="Z135" s="101" t="str">
        <f t="shared" si="54"/>
        <v/>
      </c>
      <c r="AA135" s="101" t="str">
        <f t="shared" si="55"/>
        <v>0</v>
      </c>
      <c r="AB135" s="101" t="str">
        <f t="shared" si="56"/>
        <v/>
      </c>
      <c r="AC135" s="101">
        <f>IFERROR(VLOOKUP(V135,Lista!A$3:D$33,3,0),1)</f>
        <v>1</v>
      </c>
      <c r="AD135" s="101">
        <f>IFERROR(VLOOKUP(V135,Lista!A$3:E$33,5,0),1)</f>
        <v>1</v>
      </c>
      <c r="AE135" s="107" t="str">
        <f t="shared" si="57"/>
        <v/>
      </c>
      <c r="AF135" s="107">
        <f t="shared" si="58"/>
        <v>0</v>
      </c>
      <c r="AG135" s="107">
        <f t="shared" si="59"/>
        <v>0</v>
      </c>
      <c r="AH135" s="109"/>
      <c r="AI135" s="104" t="s">
        <v>94</v>
      </c>
      <c r="AJ135" s="109"/>
      <c r="AK135" s="109"/>
    </row>
    <row r="136" spans="1:37" ht="15" customHeight="1" x14ac:dyDescent="0.35">
      <c r="A136" s="112"/>
      <c r="B136" s="99"/>
      <c r="C136" s="98"/>
      <c r="D136" s="98"/>
      <c r="E136" s="98"/>
      <c r="F136" s="111"/>
      <c r="G136" s="98"/>
      <c r="H136" s="111"/>
      <c r="I136" s="98"/>
      <c r="J136" s="101" t="str">
        <f t="shared" si="48"/>
        <v/>
      </c>
      <c r="K136" s="101" t="str">
        <f t="shared" si="49"/>
        <v>0</v>
      </c>
      <c r="L136" s="101" t="str">
        <f t="shared" si="50"/>
        <v/>
      </c>
      <c r="M136" s="101">
        <f>IFERROR(VLOOKUP(D136,Lista!A$3:D$33,3,0),1)</f>
        <v>1</v>
      </c>
      <c r="N136" s="101">
        <f>IFERROR(VLOOKUP(D136,Lista!A$3:E$33,5,0),1)</f>
        <v>1</v>
      </c>
      <c r="O136" s="102" t="str">
        <f t="shared" si="51"/>
        <v/>
      </c>
      <c r="P136" s="102">
        <f t="shared" si="52"/>
        <v>0</v>
      </c>
      <c r="Q136" s="102">
        <f t="shared" si="53"/>
        <v>0</v>
      </c>
      <c r="R136" s="103"/>
      <c r="S136" s="104" t="s">
        <v>94</v>
      </c>
      <c r="T136" s="113"/>
      <c r="U136" s="98"/>
      <c r="V136" s="98"/>
      <c r="W136" s="98"/>
      <c r="X136" s="98"/>
      <c r="Y136" s="98"/>
      <c r="Z136" s="101" t="str">
        <f t="shared" si="54"/>
        <v/>
      </c>
      <c r="AA136" s="101" t="str">
        <f t="shared" si="55"/>
        <v>0</v>
      </c>
      <c r="AB136" s="101" t="str">
        <f t="shared" si="56"/>
        <v/>
      </c>
      <c r="AC136" s="101">
        <f>IFERROR(VLOOKUP(V136,Lista!A$3:D$33,3,0),1)</f>
        <v>1</v>
      </c>
      <c r="AD136" s="101">
        <f>IFERROR(VLOOKUP(V136,Lista!A$3:E$33,5,0),1)</f>
        <v>1</v>
      </c>
      <c r="AE136" s="107" t="str">
        <f t="shared" si="57"/>
        <v/>
      </c>
      <c r="AF136" s="107">
        <f t="shared" si="58"/>
        <v>0</v>
      </c>
      <c r="AG136" s="107">
        <f t="shared" si="59"/>
        <v>0</v>
      </c>
      <c r="AH136" s="109"/>
      <c r="AI136" s="104" t="s">
        <v>94</v>
      </c>
      <c r="AJ136" s="109"/>
      <c r="AK136" s="109"/>
    </row>
    <row r="137" spans="1:37" ht="15" customHeight="1" x14ac:dyDescent="0.35">
      <c r="A137" s="112"/>
      <c r="B137" s="99"/>
      <c r="C137" s="98"/>
      <c r="D137" s="98"/>
      <c r="E137" s="98"/>
      <c r="F137" s="111"/>
      <c r="G137" s="98"/>
      <c r="H137" s="111"/>
      <c r="I137" s="98"/>
      <c r="J137" s="101" t="str">
        <f t="shared" si="48"/>
        <v/>
      </c>
      <c r="K137" s="101" t="str">
        <f t="shared" si="49"/>
        <v>0</v>
      </c>
      <c r="L137" s="101" t="str">
        <f t="shared" si="50"/>
        <v/>
      </c>
      <c r="M137" s="101">
        <f>IFERROR(VLOOKUP(D137,Lista!A$3:D$33,3,0),1)</f>
        <v>1</v>
      </c>
      <c r="N137" s="101">
        <f>IFERROR(VLOOKUP(D137,Lista!A$3:E$33,5,0),1)</f>
        <v>1</v>
      </c>
      <c r="O137" s="102" t="str">
        <f t="shared" si="51"/>
        <v/>
      </c>
      <c r="P137" s="102">
        <f t="shared" si="52"/>
        <v>0</v>
      </c>
      <c r="Q137" s="102">
        <f t="shared" si="53"/>
        <v>0</v>
      </c>
      <c r="R137" s="103"/>
      <c r="S137" s="104" t="s">
        <v>94</v>
      </c>
      <c r="T137" s="113"/>
      <c r="U137" s="98"/>
      <c r="V137" s="98"/>
      <c r="W137" s="98"/>
      <c r="X137" s="98"/>
      <c r="Y137" s="98"/>
      <c r="Z137" s="101" t="str">
        <f t="shared" si="54"/>
        <v/>
      </c>
      <c r="AA137" s="101" t="str">
        <f t="shared" si="55"/>
        <v>0</v>
      </c>
      <c r="AB137" s="101" t="str">
        <f t="shared" si="56"/>
        <v/>
      </c>
      <c r="AC137" s="101">
        <f>IFERROR(VLOOKUP(V137,Lista!A$3:D$33,3,0),1)</f>
        <v>1</v>
      </c>
      <c r="AD137" s="101">
        <f>IFERROR(VLOOKUP(V137,Lista!A$3:E$33,5,0),1)</f>
        <v>1</v>
      </c>
      <c r="AE137" s="107" t="str">
        <f t="shared" si="57"/>
        <v/>
      </c>
      <c r="AF137" s="107">
        <f t="shared" si="58"/>
        <v>0</v>
      </c>
      <c r="AG137" s="107">
        <f t="shared" si="59"/>
        <v>0</v>
      </c>
      <c r="AH137" s="109"/>
      <c r="AI137" s="104" t="s">
        <v>94</v>
      </c>
      <c r="AJ137" s="109"/>
      <c r="AK137" s="109"/>
    </row>
    <row r="138" spans="1:37" ht="15" customHeight="1" x14ac:dyDescent="0.35">
      <c r="A138" s="112"/>
      <c r="B138" s="99"/>
      <c r="C138" s="98"/>
      <c r="D138" s="98"/>
      <c r="E138" s="98"/>
      <c r="F138" s="111"/>
      <c r="G138" s="98"/>
      <c r="H138" s="111"/>
      <c r="I138" s="98"/>
      <c r="J138" s="101" t="str">
        <f t="shared" si="48"/>
        <v/>
      </c>
      <c r="K138" s="101" t="str">
        <f t="shared" si="49"/>
        <v>0</v>
      </c>
      <c r="L138" s="101" t="str">
        <f t="shared" si="50"/>
        <v/>
      </c>
      <c r="M138" s="101">
        <f>IFERROR(VLOOKUP(D138,Lista!A$3:D$33,3,0),1)</f>
        <v>1</v>
      </c>
      <c r="N138" s="101">
        <f>IFERROR(VLOOKUP(D138,Lista!A$3:E$33,5,0),1)</f>
        <v>1</v>
      </c>
      <c r="O138" s="102" t="str">
        <f t="shared" si="51"/>
        <v/>
      </c>
      <c r="P138" s="102">
        <f t="shared" si="52"/>
        <v>0</v>
      </c>
      <c r="Q138" s="102">
        <f t="shared" si="53"/>
        <v>0</v>
      </c>
      <c r="R138" s="103"/>
      <c r="S138" s="104" t="s">
        <v>94</v>
      </c>
      <c r="T138" s="113"/>
      <c r="U138" s="98"/>
      <c r="V138" s="98"/>
      <c r="W138" s="98"/>
      <c r="X138" s="98"/>
      <c r="Y138" s="98"/>
      <c r="Z138" s="101" t="str">
        <f t="shared" si="54"/>
        <v/>
      </c>
      <c r="AA138" s="101" t="str">
        <f t="shared" si="55"/>
        <v>0</v>
      </c>
      <c r="AB138" s="101" t="str">
        <f t="shared" si="56"/>
        <v/>
      </c>
      <c r="AC138" s="101">
        <f>IFERROR(VLOOKUP(V138,Lista!A$3:D$33,3,0),1)</f>
        <v>1</v>
      </c>
      <c r="AD138" s="101">
        <f>IFERROR(VLOOKUP(V138,Lista!A$3:E$33,5,0),1)</f>
        <v>1</v>
      </c>
      <c r="AE138" s="107" t="str">
        <f t="shared" si="57"/>
        <v/>
      </c>
      <c r="AF138" s="107">
        <f t="shared" si="58"/>
        <v>0</v>
      </c>
      <c r="AG138" s="107">
        <f t="shared" si="59"/>
        <v>0</v>
      </c>
      <c r="AH138" s="109"/>
      <c r="AI138" s="104" t="s">
        <v>94</v>
      </c>
      <c r="AJ138" s="109"/>
      <c r="AK138" s="109"/>
    </row>
    <row r="139" spans="1:37" ht="15" customHeight="1" x14ac:dyDescent="0.35">
      <c r="A139" s="112"/>
      <c r="B139" s="99"/>
      <c r="C139" s="98"/>
      <c r="D139" s="98"/>
      <c r="E139" s="98"/>
      <c r="F139" s="111"/>
      <c r="G139" s="98"/>
      <c r="H139" s="111"/>
      <c r="I139" s="98"/>
      <c r="J139" s="101" t="str">
        <f t="shared" si="48"/>
        <v/>
      </c>
      <c r="K139" s="101" t="str">
        <f t="shared" si="49"/>
        <v>0</v>
      </c>
      <c r="L139" s="101" t="str">
        <f t="shared" si="50"/>
        <v/>
      </c>
      <c r="M139" s="101">
        <f>IFERROR(VLOOKUP(D139,Lista!A$3:D$33,3,0),1)</f>
        <v>1</v>
      </c>
      <c r="N139" s="101">
        <f>IFERROR(VLOOKUP(D139,Lista!A$3:E$33,5,0),1)</f>
        <v>1</v>
      </c>
      <c r="O139" s="102" t="str">
        <f t="shared" si="51"/>
        <v/>
      </c>
      <c r="P139" s="102">
        <f t="shared" si="52"/>
        <v>0</v>
      </c>
      <c r="Q139" s="102">
        <f t="shared" si="53"/>
        <v>0</v>
      </c>
      <c r="R139" s="103"/>
      <c r="S139" s="104" t="s">
        <v>94</v>
      </c>
      <c r="T139" s="113"/>
      <c r="U139" s="98"/>
      <c r="V139" s="98"/>
      <c r="W139" s="98"/>
      <c r="X139" s="98"/>
      <c r="Y139" s="98"/>
      <c r="Z139" s="101" t="str">
        <f t="shared" si="54"/>
        <v/>
      </c>
      <c r="AA139" s="101" t="str">
        <f t="shared" si="55"/>
        <v>0</v>
      </c>
      <c r="AB139" s="101" t="str">
        <f t="shared" si="56"/>
        <v/>
      </c>
      <c r="AC139" s="101">
        <f>IFERROR(VLOOKUP(V139,Lista!A$3:D$33,3,0),1)</f>
        <v>1</v>
      </c>
      <c r="AD139" s="101">
        <f>IFERROR(VLOOKUP(V139,Lista!A$3:E$33,5,0),1)</f>
        <v>1</v>
      </c>
      <c r="AE139" s="107" t="str">
        <f t="shared" si="57"/>
        <v/>
      </c>
      <c r="AF139" s="107">
        <f t="shared" si="58"/>
        <v>0</v>
      </c>
      <c r="AG139" s="107">
        <f t="shared" si="59"/>
        <v>0</v>
      </c>
      <c r="AH139" s="109"/>
      <c r="AI139" s="104" t="s">
        <v>94</v>
      </c>
      <c r="AJ139" s="109"/>
      <c r="AK139" s="109"/>
    </row>
    <row r="140" spans="1:37" ht="15" customHeight="1" x14ac:dyDescent="0.35">
      <c r="A140" s="112"/>
      <c r="B140" s="99"/>
      <c r="C140" s="98"/>
      <c r="D140" s="98"/>
      <c r="E140" s="98"/>
      <c r="F140" s="111"/>
      <c r="G140" s="98"/>
      <c r="H140" s="111"/>
      <c r="I140" s="98"/>
      <c r="J140" s="101" t="str">
        <f t="shared" si="48"/>
        <v/>
      </c>
      <c r="K140" s="101" t="str">
        <f t="shared" si="49"/>
        <v>0</v>
      </c>
      <c r="L140" s="101" t="str">
        <f t="shared" si="50"/>
        <v/>
      </c>
      <c r="M140" s="101">
        <f>IFERROR(VLOOKUP(D140,Lista!A$3:D$33,3,0),1)</f>
        <v>1</v>
      </c>
      <c r="N140" s="101">
        <f>IFERROR(VLOOKUP(D140,Lista!A$3:E$33,5,0),1)</f>
        <v>1</v>
      </c>
      <c r="O140" s="102" t="str">
        <f t="shared" si="51"/>
        <v/>
      </c>
      <c r="P140" s="102">
        <f t="shared" si="52"/>
        <v>0</v>
      </c>
      <c r="Q140" s="102">
        <f t="shared" si="53"/>
        <v>0</v>
      </c>
      <c r="R140" s="103"/>
      <c r="S140" s="104" t="s">
        <v>94</v>
      </c>
      <c r="T140" s="113"/>
      <c r="U140" s="98"/>
      <c r="V140" s="98"/>
      <c r="W140" s="98"/>
      <c r="X140" s="98"/>
      <c r="Y140" s="98"/>
      <c r="Z140" s="101" t="str">
        <f t="shared" si="54"/>
        <v/>
      </c>
      <c r="AA140" s="101" t="str">
        <f t="shared" si="55"/>
        <v>0</v>
      </c>
      <c r="AB140" s="101" t="str">
        <f t="shared" si="56"/>
        <v/>
      </c>
      <c r="AC140" s="101">
        <f>IFERROR(VLOOKUP(V140,Lista!A$3:D$33,3,0),1)</f>
        <v>1</v>
      </c>
      <c r="AD140" s="101">
        <f>IFERROR(VLOOKUP(V140,Lista!A$3:E$33,5,0),1)</f>
        <v>1</v>
      </c>
      <c r="AE140" s="107" t="str">
        <f t="shared" si="57"/>
        <v/>
      </c>
      <c r="AF140" s="107">
        <f t="shared" si="58"/>
        <v>0</v>
      </c>
      <c r="AG140" s="107">
        <f t="shared" si="59"/>
        <v>0</v>
      </c>
      <c r="AH140" s="109"/>
      <c r="AI140" s="104" t="s">
        <v>94</v>
      </c>
      <c r="AJ140" s="109"/>
      <c r="AK140" s="109"/>
    </row>
    <row r="141" spans="1:37" ht="15" customHeight="1" x14ac:dyDescent="0.35">
      <c r="A141" s="112"/>
      <c r="B141" s="99"/>
      <c r="C141" s="98"/>
      <c r="D141" s="98"/>
      <c r="E141" s="98"/>
      <c r="F141" s="111"/>
      <c r="G141" s="98"/>
      <c r="H141" s="111"/>
      <c r="I141" s="98"/>
      <c r="J141" s="101" t="str">
        <f t="shared" si="48"/>
        <v/>
      </c>
      <c r="K141" s="101" t="str">
        <f t="shared" si="49"/>
        <v>0</v>
      </c>
      <c r="L141" s="101" t="str">
        <f t="shared" si="50"/>
        <v/>
      </c>
      <c r="M141" s="101">
        <f>IFERROR(VLOOKUP(D141,Lista!A$3:D$33,3,0),1)</f>
        <v>1</v>
      </c>
      <c r="N141" s="101">
        <f>IFERROR(VLOOKUP(D141,Lista!A$3:E$33,5,0),1)</f>
        <v>1</v>
      </c>
      <c r="O141" s="102" t="str">
        <f t="shared" si="51"/>
        <v/>
      </c>
      <c r="P141" s="102">
        <f t="shared" si="52"/>
        <v>0</v>
      </c>
      <c r="Q141" s="102">
        <f t="shared" si="53"/>
        <v>0</v>
      </c>
      <c r="R141" s="103"/>
      <c r="S141" s="104" t="s">
        <v>94</v>
      </c>
      <c r="T141" s="113"/>
      <c r="U141" s="98"/>
      <c r="V141" s="98"/>
      <c r="W141" s="98"/>
      <c r="X141" s="98"/>
      <c r="Y141" s="98"/>
      <c r="Z141" s="101" t="str">
        <f t="shared" si="54"/>
        <v/>
      </c>
      <c r="AA141" s="101" t="str">
        <f t="shared" si="55"/>
        <v>0</v>
      </c>
      <c r="AB141" s="101" t="str">
        <f t="shared" si="56"/>
        <v/>
      </c>
      <c r="AC141" s="101">
        <f>IFERROR(VLOOKUP(V141,Lista!A$3:D$33,3,0),1)</f>
        <v>1</v>
      </c>
      <c r="AD141" s="101">
        <f>IFERROR(VLOOKUP(V141,Lista!A$3:E$33,5,0),1)</f>
        <v>1</v>
      </c>
      <c r="AE141" s="107" t="str">
        <f t="shared" si="57"/>
        <v/>
      </c>
      <c r="AF141" s="107">
        <f t="shared" si="58"/>
        <v>0</v>
      </c>
      <c r="AG141" s="107">
        <f t="shared" si="59"/>
        <v>0</v>
      </c>
      <c r="AH141" s="109"/>
      <c r="AI141" s="104" t="s">
        <v>94</v>
      </c>
      <c r="AJ141" s="109"/>
      <c r="AK141" s="109"/>
    </row>
    <row r="142" spans="1:37" ht="15" customHeight="1" x14ac:dyDescent="0.35">
      <c r="A142" s="112"/>
      <c r="B142" s="99"/>
      <c r="C142" s="98"/>
      <c r="D142" s="98"/>
      <c r="E142" s="98"/>
      <c r="F142" s="111"/>
      <c r="G142" s="98"/>
      <c r="H142" s="111"/>
      <c r="I142" s="98"/>
      <c r="J142" s="101" t="str">
        <f t="shared" si="48"/>
        <v/>
      </c>
      <c r="K142" s="101" t="str">
        <f t="shared" si="49"/>
        <v>0</v>
      </c>
      <c r="L142" s="101" t="str">
        <f t="shared" si="50"/>
        <v/>
      </c>
      <c r="M142" s="101">
        <f>IFERROR(VLOOKUP(D142,Lista!A$3:D$33,3,0),1)</f>
        <v>1</v>
      </c>
      <c r="N142" s="101">
        <f>IFERROR(VLOOKUP(D142,Lista!A$3:E$33,5,0),1)</f>
        <v>1</v>
      </c>
      <c r="O142" s="102" t="str">
        <f t="shared" si="51"/>
        <v/>
      </c>
      <c r="P142" s="102">
        <f t="shared" si="52"/>
        <v>0</v>
      </c>
      <c r="Q142" s="102">
        <f t="shared" si="53"/>
        <v>0</v>
      </c>
      <c r="R142" s="103"/>
      <c r="S142" s="104" t="s">
        <v>94</v>
      </c>
      <c r="T142" s="113"/>
      <c r="U142" s="98"/>
      <c r="V142" s="98"/>
      <c r="W142" s="98"/>
      <c r="X142" s="98"/>
      <c r="Y142" s="98"/>
      <c r="Z142" s="101" t="str">
        <f t="shared" si="54"/>
        <v/>
      </c>
      <c r="AA142" s="101" t="str">
        <f t="shared" si="55"/>
        <v>0</v>
      </c>
      <c r="AB142" s="101" t="str">
        <f t="shared" si="56"/>
        <v/>
      </c>
      <c r="AC142" s="101">
        <f>IFERROR(VLOOKUP(V142,Lista!A$3:D$33,3,0),1)</f>
        <v>1</v>
      </c>
      <c r="AD142" s="101">
        <f>IFERROR(VLOOKUP(V142,Lista!A$3:E$33,5,0),1)</f>
        <v>1</v>
      </c>
      <c r="AE142" s="107" t="str">
        <f t="shared" si="57"/>
        <v/>
      </c>
      <c r="AF142" s="107">
        <f t="shared" si="58"/>
        <v>0</v>
      </c>
      <c r="AG142" s="107">
        <f t="shared" si="59"/>
        <v>0</v>
      </c>
      <c r="AH142" s="109"/>
      <c r="AI142" s="104" t="s">
        <v>94</v>
      </c>
      <c r="AJ142" s="109"/>
      <c r="AK142" s="109"/>
    </row>
    <row r="143" spans="1:37" ht="15" customHeight="1" x14ac:dyDescent="0.35">
      <c r="A143" s="112"/>
      <c r="B143" s="99"/>
      <c r="C143" s="98"/>
      <c r="D143" s="98"/>
      <c r="E143" s="98"/>
      <c r="F143" s="111"/>
      <c r="G143" s="98"/>
      <c r="H143" s="111"/>
      <c r="I143" s="98"/>
      <c r="J143" s="101" t="str">
        <f t="shared" si="48"/>
        <v/>
      </c>
      <c r="K143" s="101" t="str">
        <f t="shared" si="49"/>
        <v>0</v>
      </c>
      <c r="L143" s="101" t="str">
        <f t="shared" si="50"/>
        <v/>
      </c>
      <c r="M143" s="101">
        <f>IFERROR(VLOOKUP(D143,Lista!A$3:D$33,3,0),1)</f>
        <v>1</v>
      </c>
      <c r="N143" s="101">
        <f>IFERROR(VLOOKUP(D143,Lista!A$3:E$33,5,0),1)</f>
        <v>1</v>
      </c>
      <c r="O143" s="102" t="str">
        <f t="shared" si="51"/>
        <v/>
      </c>
      <c r="P143" s="102">
        <f t="shared" si="52"/>
        <v>0</v>
      </c>
      <c r="Q143" s="102">
        <f t="shared" si="53"/>
        <v>0</v>
      </c>
      <c r="R143" s="103"/>
      <c r="S143" s="104" t="s">
        <v>94</v>
      </c>
      <c r="T143" s="113"/>
      <c r="U143" s="98"/>
      <c r="V143" s="98"/>
      <c r="W143" s="98"/>
      <c r="X143" s="98"/>
      <c r="Y143" s="98"/>
      <c r="Z143" s="101" t="str">
        <f t="shared" si="54"/>
        <v/>
      </c>
      <c r="AA143" s="101" t="str">
        <f t="shared" si="55"/>
        <v>0</v>
      </c>
      <c r="AB143" s="101" t="str">
        <f t="shared" si="56"/>
        <v/>
      </c>
      <c r="AC143" s="101">
        <f>IFERROR(VLOOKUP(V143,Lista!A$3:D$33,3,0),1)</f>
        <v>1</v>
      </c>
      <c r="AD143" s="101">
        <f>IFERROR(VLOOKUP(V143,Lista!A$3:E$33,5,0),1)</f>
        <v>1</v>
      </c>
      <c r="AE143" s="107" t="str">
        <f t="shared" si="57"/>
        <v/>
      </c>
      <c r="AF143" s="107">
        <f t="shared" si="58"/>
        <v>0</v>
      </c>
      <c r="AG143" s="107">
        <f t="shared" si="59"/>
        <v>0</v>
      </c>
      <c r="AH143" s="109"/>
      <c r="AI143" s="104" t="s">
        <v>94</v>
      </c>
      <c r="AJ143" s="109"/>
      <c r="AK143" s="109"/>
    </row>
    <row r="144" spans="1:37" ht="15" customHeight="1" x14ac:dyDescent="0.35">
      <c r="A144" s="112"/>
      <c r="B144" s="99"/>
      <c r="C144" s="98"/>
      <c r="D144" s="98"/>
      <c r="E144" s="98"/>
      <c r="F144" s="111"/>
      <c r="G144" s="98"/>
      <c r="H144" s="111"/>
      <c r="I144" s="98"/>
      <c r="J144" s="101" t="str">
        <f t="shared" si="48"/>
        <v/>
      </c>
      <c r="K144" s="101" t="str">
        <f t="shared" si="49"/>
        <v>0</v>
      </c>
      <c r="L144" s="101" t="str">
        <f t="shared" si="50"/>
        <v/>
      </c>
      <c r="M144" s="101">
        <f>IFERROR(VLOOKUP(D144,Lista!A$3:D$33,3,0),1)</f>
        <v>1</v>
      </c>
      <c r="N144" s="101">
        <f>IFERROR(VLOOKUP(D144,Lista!A$3:E$33,5,0),1)</f>
        <v>1</v>
      </c>
      <c r="O144" s="102" t="str">
        <f t="shared" si="51"/>
        <v/>
      </c>
      <c r="P144" s="102">
        <f t="shared" si="52"/>
        <v>0</v>
      </c>
      <c r="Q144" s="102">
        <f t="shared" si="53"/>
        <v>0</v>
      </c>
      <c r="R144" s="103"/>
      <c r="S144" s="104" t="s">
        <v>94</v>
      </c>
      <c r="T144" s="113"/>
      <c r="U144" s="98"/>
      <c r="V144" s="98"/>
      <c r="W144" s="98"/>
      <c r="X144" s="98"/>
      <c r="Y144" s="98"/>
      <c r="Z144" s="101" t="str">
        <f t="shared" si="54"/>
        <v/>
      </c>
      <c r="AA144" s="101" t="str">
        <f t="shared" si="55"/>
        <v>0</v>
      </c>
      <c r="AB144" s="101" t="str">
        <f t="shared" si="56"/>
        <v/>
      </c>
      <c r="AC144" s="101">
        <f>IFERROR(VLOOKUP(V144,Lista!A$3:D$33,3,0),1)</f>
        <v>1</v>
      </c>
      <c r="AD144" s="101">
        <f>IFERROR(VLOOKUP(V144,Lista!A$3:E$33,5,0),1)</f>
        <v>1</v>
      </c>
      <c r="AE144" s="107" t="str">
        <f t="shared" si="57"/>
        <v/>
      </c>
      <c r="AF144" s="107">
        <f t="shared" si="58"/>
        <v>0</v>
      </c>
      <c r="AG144" s="107">
        <f t="shared" si="59"/>
        <v>0</v>
      </c>
      <c r="AH144" s="109"/>
      <c r="AI144" s="104" t="s">
        <v>94</v>
      </c>
      <c r="AJ144" s="109"/>
      <c r="AK144" s="109"/>
    </row>
    <row r="145" spans="1:37" ht="15" customHeight="1" x14ac:dyDescent="0.35">
      <c r="A145" s="112"/>
      <c r="B145" s="99"/>
      <c r="C145" s="98"/>
      <c r="D145" s="98"/>
      <c r="E145" s="98"/>
      <c r="F145" s="111"/>
      <c r="G145" s="98"/>
      <c r="H145" s="111"/>
      <c r="I145" s="98"/>
      <c r="J145" s="101" t="str">
        <f t="shared" si="48"/>
        <v/>
      </c>
      <c r="K145" s="101" t="str">
        <f t="shared" si="49"/>
        <v>0</v>
      </c>
      <c r="L145" s="101" t="str">
        <f t="shared" si="50"/>
        <v/>
      </c>
      <c r="M145" s="101">
        <f>IFERROR(VLOOKUP(D145,Lista!A$3:D$33,3,0),1)</f>
        <v>1</v>
      </c>
      <c r="N145" s="101">
        <f>IFERROR(VLOOKUP(D145,Lista!A$3:E$33,5,0),1)</f>
        <v>1</v>
      </c>
      <c r="O145" s="102" t="str">
        <f t="shared" si="51"/>
        <v/>
      </c>
      <c r="P145" s="102">
        <f t="shared" si="52"/>
        <v>0</v>
      </c>
      <c r="Q145" s="102">
        <f t="shared" si="53"/>
        <v>0</v>
      </c>
      <c r="R145" s="103"/>
      <c r="S145" s="104" t="s">
        <v>94</v>
      </c>
      <c r="T145" s="113"/>
      <c r="U145" s="98"/>
      <c r="V145" s="98"/>
      <c r="W145" s="98"/>
      <c r="X145" s="98"/>
      <c r="Y145" s="98"/>
      <c r="Z145" s="101" t="str">
        <f t="shared" si="54"/>
        <v/>
      </c>
      <c r="AA145" s="101" t="str">
        <f t="shared" si="55"/>
        <v>0</v>
      </c>
      <c r="AB145" s="101" t="str">
        <f t="shared" si="56"/>
        <v/>
      </c>
      <c r="AC145" s="101">
        <f>IFERROR(VLOOKUP(V145,Lista!A$3:D$33,3,0),1)</f>
        <v>1</v>
      </c>
      <c r="AD145" s="101">
        <f>IFERROR(VLOOKUP(V145,Lista!A$3:E$33,5,0),1)</f>
        <v>1</v>
      </c>
      <c r="AE145" s="107" t="str">
        <f t="shared" si="57"/>
        <v/>
      </c>
      <c r="AF145" s="107">
        <f t="shared" si="58"/>
        <v>0</v>
      </c>
      <c r="AG145" s="107">
        <f t="shared" si="59"/>
        <v>0</v>
      </c>
      <c r="AH145" s="109"/>
      <c r="AI145" s="104" t="s">
        <v>94</v>
      </c>
      <c r="AJ145" s="109"/>
      <c r="AK145" s="109"/>
    </row>
    <row r="146" spans="1:37" ht="15" customHeight="1" x14ac:dyDescent="0.35">
      <c r="A146" s="112"/>
      <c r="B146" s="99"/>
      <c r="C146" s="98"/>
      <c r="D146" s="98"/>
      <c r="E146" s="98"/>
      <c r="F146" s="111"/>
      <c r="G146" s="98"/>
      <c r="H146" s="111"/>
      <c r="I146" s="98"/>
      <c r="J146" s="101" t="str">
        <f t="shared" si="48"/>
        <v/>
      </c>
      <c r="K146" s="101" t="str">
        <f t="shared" si="49"/>
        <v>0</v>
      </c>
      <c r="L146" s="101" t="str">
        <f t="shared" si="50"/>
        <v/>
      </c>
      <c r="M146" s="101">
        <f>IFERROR(VLOOKUP(D146,Lista!A$3:D$33,3,0),1)</f>
        <v>1</v>
      </c>
      <c r="N146" s="101">
        <f>IFERROR(VLOOKUP(D146,Lista!A$3:E$33,5,0),1)</f>
        <v>1</v>
      </c>
      <c r="O146" s="102" t="str">
        <f t="shared" si="51"/>
        <v/>
      </c>
      <c r="P146" s="102">
        <f t="shared" si="52"/>
        <v>0</v>
      </c>
      <c r="Q146" s="102">
        <f t="shared" si="53"/>
        <v>0</v>
      </c>
      <c r="R146" s="103"/>
      <c r="S146" s="104" t="s">
        <v>94</v>
      </c>
      <c r="T146" s="113"/>
      <c r="U146" s="98"/>
      <c r="V146" s="98"/>
      <c r="W146" s="98"/>
      <c r="X146" s="98"/>
      <c r="Y146" s="98"/>
      <c r="Z146" s="101" t="str">
        <f t="shared" si="54"/>
        <v/>
      </c>
      <c r="AA146" s="101" t="str">
        <f t="shared" si="55"/>
        <v>0</v>
      </c>
      <c r="AB146" s="101" t="str">
        <f t="shared" si="56"/>
        <v/>
      </c>
      <c r="AC146" s="101">
        <f>IFERROR(VLOOKUP(V146,Lista!A$3:D$33,3,0),1)</f>
        <v>1</v>
      </c>
      <c r="AD146" s="101">
        <f>IFERROR(VLOOKUP(V146,Lista!A$3:E$33,5,0),1)</f>
        <v>1</v>
      </c>
      <c r="AE146" s="107" t="str">
        <f t="shared" si="57"/>
        <v/>
      </c>
      <c r="AF146" s="107">
        <f t="shared" si="58"/>
        <v>0</v>
      </c>
      <c r="AG146" s="107">
        <f t="shared" si="59"/>
        <v>0</v>
      </c>
      <c r="AH146" s="109"/>
      <c r="AI146" s="104" t="s">
        <v>94</v>
      </c>
      <c r="AJ146" s="109"/>
      <c r="AK146" s="109"/>
    </row>
    <row r="147" spans="1:37" ht="15" customHeight="1" x14ac:dyDescent="0.35">
      <c r="A147" s="112"/>
      <c r="B147" s="99"/>
      <c r="C147" s="98"/>
      <c r="D147" s="98"/>
      <c r="E147" s="98"/>
      <c r="F147" s="111"/>
      <c r="G147" s="98"/>
      <c r="H147" s="111"/>
      <c r="I147" s="98"/>
      <c r="J147" s="101" t="str">
        <f t="shared" si="48"/>
        <v/>
      </c>
      <c r="K147" s="101" t="str">
        <f t="shared" si="49"/>
        <v>0</v>
      </c>
      <c r="L147" s="101" t="str">
        <f t="shared" si="50"/>
        <v/>
      </c>
      <c r="M147" s="101">
        <f>IFERROR(VLOOKUP(D147,Lista!A$3:D$33,3,0),1)</f>
        <v>1</v>
      </c>
      <c r="N147" s="101">
        <f>IFERROR(VLOOKUP(D147,Lista!A$3:E$33,5,0),1)</f>
        <v>1</v>
      </c>
      <c r="O147" s="102" t="str">
        <f t="shared" si="51"/>
        <v/>
      </c>
      <c r="P147" s="102">
        <f t="shared" si="52"/>
        <v>0</v>
      </c>
      <c r="Q147" s="102">
        <f t="shared" si="53"/>
        <v>0</v>
      </c>
      <c r="R147" s="103"/>
      <c r="S147" s="104" t="s">
        <v>94</v>
      </c>
      <c r="T147" s="113"/>
      <c r="U147" s="98"/>
      <c r="V147" s="98"/>
      <c r="W147" s="98"/>
      <c r="X147" s="98"/>
      <c r="Y147" s="98"/>
      <c r="Z147" s="101" t="str">
        <f t="shared" si="54"/>
        <v/>
      </c>
      <c r="AA147" s="101" t="str">
        <f t="shared" si="55"/>
        <v>0</v>
      </c>
      <c r="AB147" s="101" t="str">
        <f t="shared" si="56"/>
        <v/>
      </c>
      <c r="AC147" s="101">
        <f>IFERROR(VLOOKUP(V147,Lista!A$3:D$33,3,0),1)</f>
        <v>1</v>
      </c>
      <c r="AD147" s="101">
        <f>IFERROR(VLOOKUP(V147,Lista!A$3:E$33,5,0),1)</f>
        <v>1</v>
      </c>
      <c r="AE147" s="107" t="str">
        <f t="shared" si="57"/>
        <v/>
      </c>
      <c r="AF147" s="107">
        <f t="shared" si="58"/>
        <v>0</v>
      </c>
      <c r="AG147" s="107">
        <f t="shared" si="59"/>
        <v>0</v>
      </c>
      <c r="AH147" s="109"/>
      <c r="AI147" s="104" t="s">
        <v>94</v>
      </c>
      <c r="AJ147" s="109"/>
      <c r="AK147" s="109"/>
    </row>
    <row r="148" spans="1:37" ht="15" customHeight="1" x14ac:dyDescent="0.35">
      <c r="A148" s="112"/>
      <c r="B148" s="99"/>
      <c r="C148" s="98"/>
      <c r="D148" s="98"/>
      <c r="E148" s="98"/>
      <c r="F148" s="111"/>
      <c r="G148" s="98"/>
      <c r="H148" s="111"/>
      <c r="I148" s="98"/>
      <c r="J148" s="101" t="str">
        <f t="shared" si="48"/>
        <v/>
      </c>
      <c r="K148" s="101" t="str">
        <f t="shared" si="49"/>
        <v>0</v>
      </c>
      <c r="L148" s="101" t="str">
        <f t="shared" si="50"/>
        <v/>
      </c>
      <c r="M148" s="101">
        <f>IFERROR(VLOOKUP(D148,Lista!A$3:D$33,3,0),1)</f>
        <v>1</v>
      </c>
      <c r="N148" s="101">
        <f>IFERROR(VLOOKUP(D148,Lista!A$3:E$33,5,0),1)</f>
        <v>1</v>
      </c>
      <c r="O148" s="102" t="str">
        <f t="shared" si="51"/>
        <v/>
      </c>
      <c r="P148" s="102">
        <f t="shared" si="52"/>
        <v>0</v>
      </c>
      <c r="Q148" s="102">
        <f t="shared" si="53"/>
        <v>0</v>
      </c>
      <c r="R148" s="103"/>
      <c r="S148" s="104" t="s">
        <v>94</v>
      </c>
      <c r="T148" s="113"/>
      <c r="U148" s="98"/>
      <c r="V148" s="98"/>
      <c r="W148" s="98"/>
      <c r="X148" s="98"/>
      <c r="Y148" s="98"/>
      <c r="Z148" s="101" t="str">
        <f t="shared" si="54"/>
        <v/>
      </c>
      <c r="AA148" s="101" t="str">
        <f t="shared" si="55"/>
        <v>0</v>
      </c>
      <c r="AB148" s="101" t="str">
        <f t="shared" si="56"/>
        <v/>
      </c>
      <c r="AC148" s="101">
        <f>IFERROR(VLOOKUP(V148,Lista!A$3:D$33,3,0),1)</f>
        <v>1</v>
      </c>
      <c r="AD148" s="101">
        <f>IFERROR(VLOOKUP(V148,Lista!A$3:E$33,5,0),1)</f>
        <v>1</v>
      </c>
      <c r="AE148" s="107" t="str">
        <f t="shared" si="57"/>
        <v/>
      </c>
      <c r="AF148" s="107">
        <f t="shared" si="58"/>
        <v>0</v>
      </c>
      <c r="AG148" s="107">
        <f t="shared" si="59"/>
        <v>0</v>
      </c>
      <c r="AH148" s="109"/>
      <c r="AI148" s="104" t="s">
        <v>94</v>
      </c>
      <c r="AJ148" s="109"/>
      <c r="AK148" s="109"/>
    </row>
    <row r="149" spans="1:37" ht="15" customHeight="1" x14ac:dyDescent="0.35">
      <c r="A149" s="112"/>
      <c r="B149" s="99"/>
      <c r="C149" s="98"/>
      <c r="D149" s="98"/>
      <c r="E149" s="98"/>
      <c r="F149" s="111"/>
      <c r="G149" s="98"/>
      <c r="H149" s="111"/>
      <c r="I149" s="98"/>
      <c r="J149" s="101" t="str">
        <f t="shared" si="48"/>
        <v/>
      </c>
      <c r="K149" s="101" t="str">
        <f t="shared" si="49"/>
        <v>0</v>
      </c>
      <c r="L149" s="101" t="str">
        <f t="shared" si="50"/>
        <v/>
      </c>
      <c r="M149" s="101">
        <f>IFERROR(VLOOKUP(D149,Lista!A$3:D$33,3,0),1)</f>
        <v>1</v>
      </c>
      <c r="N149" s="101">
        <f>IFERROR(VLOOKUP(D149,Lista!A$3:E$33,5,0),1)</f>
        <v>1</v>
      </c>
      <c r="O149" s="102" t="str">
        <f t="shared" si="51"/>
        <v/>
      </c>
      <c r="P149" s="102">
        <f t="shared" si="52"/>
        <v>0</v>
      </c>
      <c r="Q149" s="102">
        <f t="shared" si="53"/>
        <v>0</v>
      </c>
      <c r="R149" s="103"/>
      <c r="S149" s="104" t="s">
        <v>94</v>
      </c>
      <c r="T149" s="113"/>
      <c r="U149" s="98"/>
      <c r="V149" s="98"/>
      <c r="W149" s="98"/>
      <c r="X149" s="98"/>
      <c r="Y149" s="98"/>
      <c r="Z149" s="101" t="str">
        <f t="shared" si="54"/>
        <v/>
      </c>
      <c r="AA149" s="101" t="str">
        <f t="shared" si="55"/>
        <v>0</v>
      </c>
      <c r="AB149" s="101" t="str">
        <f t="shared" si="56"/>
        <v/>
      </c>
      <c r="AC149" s="101">
        <f>IFERROR(VLOOKUP(V149,Lista!A$3:D$33,3,0),1)</f>
        <v>1</v>
      </c>
      <c r="AD149" s="101">
        <f>IFERROR(VLOOKUP(V149,Lista!A$3:E$33,5,0),1)</f>
        <v>1</v>
      </c>
      <c r="AE149" s="107" t="str">
        <f t="shared" si="57"/>
        <v/>
      </c>
      <c r="AF149" s="107">
        <f t="shared" si="58"/>
        <v>0</v>
      </c>
      <c r="AG149" s="107">
        <f t="shared" si="59"/>
        <v>0</v>
      </c>
      <c r="AH149" s="109"/>
      <c r="AI149" s="104" t="s">
        <v>94</v>
      </c>
      <c r="AJ149" s="109"/>
      <c r="AK149" s="109"/>
    </row>
    <row r="150" spans="1:37" ht="15" customHeight="1" x14ac:dyDescent="0.35">
      <c r="A150" s="112"/>
      <c r="B150" s="99"/>
      <c r="C150" s="98"/>
      <c r="D150" s="98"/>
      <c r="E150" s="98"/>
      <c r="F150" s="111"/>
      <c r="G150" s="98"/>
      <c r="H150" s="111"/>
      <c r="I150" s="98"/>
      <c r="J150" s="101" t="str">
        <f t="shared" si="48"/>
        <v/>
      </c>
      <c r="K150" s="101" t="str">
        <f t="shared" si="49"/>
        <v>0</v>
      </c>
      <c r="L150" s="101" t="str">
        <f t="shared" si="50"/>
        <v/>
      </c>
      <c r="M150" s="101">
        <f>IFERROR(VLOOKUP(D150,Lista!A$3:D$33,3,0),1)</f>
        <v>1</v>
      </c>
      <c r="N150" s="101">
        <f>IFERROR(VLOOKUP(D150,Lista!A$3:E$33,5,0),1)</f>
        <v>1</v>
      </c>
      <c r="O150" s="102" t="str">
        <f t="shared" si="51"/>
        <v/>
      </c>
      <c r="P150" s="102">
        <f t="shared" si="52"/>
        <v>0</v>
      </c>
      <c r="Q150" s="102">
        <f t="shared" si="53"/>
        <v>0</v>
      </c>
      <c r="R150" s="103"/>
      <c r="S150" s="104" t="s">
        <v>94</v>
      </c>
      <c r="T150" s="113"/>
      <c r="U150" s="98"/>
      <c r="V150" s="98"/>
      <c r="W150" s="98"/>
      <c r="X150" s="98"/>
      <c r="Y150" s="98"/>
      <c r="Z150" s="101" t="str">
        <f t="shared" si="54"/>
        <v/>
      </c>
      <c r="AA150" s="101" t="str">
        <f t="shared" si="55"/>
        <v>0</v>
      </c>
      <c r="AB150" s="101" t="str">
        <f t="shared" si="56"/>
        <v/>
      </c>
      <c r="AC150" s="101">
        <f>IFERROR(VLOOKUP(V150,Lista!A$3:D$33,3,0),1)</f>
        <v>1</v>
      </c>
      <c r="AD150" s="101">
        <f>IFERROR(VLOOKUP(V150,Lista!A$3:E$33,5,0),1)</f>
        <v>1</v>
      </c>
      <c r="AE150" s="107" t="str">
        <f t="shared" si="57"/>
        <v/>
      </c>
      <c r="AF150" s="107">
        <f t="shared" si="58"/>
        <v>0</v>
      </c>
      <c r="AG150" s="107">
        <f t="shared" si="59"/>
        <v>0</v>
      </c>
      <c r="AH150" s="109"/>
      <c r="AI150" s="104" t="s">
        <v>94</v>
      </c>
      <c r="AJ150" s="109"/>
      <c r="AK150" s="109"/>
    </row>
    <row r="151" spans="1:37" ht="15" customHeight="1" x14ac:dyDescent="0.35">
      <c r="A151" s="112"/>
      <c r="B151" s="99"/>
      <c r="C151" s="98"/>
      <c r="D151" s="98"/>
      <c r="E151" s="98"/>
      <c r="F151" s="111"/>
      <c r="G151" s="98"/>
      <c r="H151" s="111"/>
      <c r="I151" s="98"/>
      <c r="J151" s="101" t="str">
        <f t="shared" si="48"/>
        <v/>
      </c>
      <c r="K151" s="101" t="str">
        <f t="shared" si="49"/>
        <v>0</v>
      </c>
      <c r="L151" s="101" t="str">
        <f t="shared" si="50"/>
        <v/>
      </c>
      <c r="M151" s="101">
        <f>IFERROR(VLOOKUP(D151,Lista!A$3:D$33,3,0),1)</f>
        <v>1</v>
      </c>
      <c r="N151" s="101">
        <f>IFERROR(VLOOKUP(D151,Lista!A$3:E$33,5,0),1)</f>
        <v>1</v>
      </c>
      <c r="O151" s="102" t="str">
        <f t="shared" si="51"/>
        <v/>
      </c>
      <c r="P151" s="102">
        <f t="shared" si="52"/>
        <v>0</v>
      </c>
      <c r="Q151" s="102">
        <f t="shared" si="53"/>
        <v>0</v>
      </c>
      <c r="R151" s="103"/>
      <c r="S151" s="104" t="s">
        <v>94</v>
      </c>
      <c r="T151" s="113"/>
      <c r="U151" s="98"/>
      <c r="V151" s="98"/>
      <c r="W151" s="98"/>
      <c r="X151" s="98"/>
      <c r="Y151" s="98"/>
      <c r="Z151" s="101" t="str">
        <f t="shared" si="54"/>
        <v/>
      </c>
      <c r="AA151" s="101" t="str">
        <f t="shared" si="55"/>
        <v>0</v>
      </c>
      <c r="AB151" s="101" t="str">
        <f t="shared" si="56"/>
        <v/>
      </c>
      <c r="AC151" s="101">
        <f>IFERROR(VLOOKUP(V151,Lista!A$3:D$33,3,0),1)</f>
        <v>1</v>
      </c>
      <c r="AD151" s="101">
        <f>IFERROR(VLOOKUP(V151,Lista!A$3:E$33,5,0),1)</f>
        <v>1</v>
      </c>
      <c r="AE151" s="107" t="str">
        <f t="shared" si="57"/>
        <v/>
      </c>
      <c r="AF151" s="107">
        <f t="shared" si="58"/>
        <v>0</v>
      </c>
      <c r="AG151" s="107">
        <f t="shared" si="59"/>
        <v>0</v>
      </c>
      <c r="AH151" s="109"/>
      <c r="AI151" s="104" t="s">
        <v>94</v>
      </c>
      <c r="AJ151" s="109"/>
      <c r="AK151" s="109"/>
    </row>
    <row r="152" spans="1:37" ht="15" customHeight="1" x14ac:dyDescent="0.35">
      <c r="A152" s="112"/>
      <c r="B152" s="99"/>
      <c r="C152" s="98"/>
      <c r="D152" s="98"/>
      <c r="E152" s="98"/>
      <c r="F152" s="111"/>
      <c r="G152" s="98"/>
      <c r="H152" s="111"/>
      <c r="I152" s="98"/>
      <c r="J152" s="101" t="str">
        <f t="shared" si="48"/>
        <v/>
      </c>
      <c r="K152" s="101" t="str">
        <f t="shared" si="49"/>
        <v>0</v>
      </c>
      <c r="L152" s="101" t="str">
        <f t="shared" si="50"/>
        <v/>
      </c>
      <c r="M152" s="101">
        <f>IFERROR(VLOOKUP(D152,Lista!A$3:D$33,3,0),1)</f>
        <v>1</v>
      </c>
      <c r="N152" s="101">
        <f>IFERROR(VLOOKUP(D152,Lista!A$3:E$33,5,0),1)</f>
        <v>1</v>
      </c>
      <c r="O152" s="102" t="str">
        <f t="shared" si="51"/>
        <v/>
      </c>
      <c r="P152" s="102">
        <f t="shared" si="52"/>
        <v>0</v>
      </c>
      <c r="Q152" s="102">
        <f t="shared" si="53"/>
        <v>0</v>
      </c>
      <c r="R152" s="103"/>
      <c r="S152" s="104" t="s">
        <v>94</v>
      </c>
      <c r="T152" s="113"/>
      <c r="U152" s="98"/>
      <c r="V152" s="98"/>
      <c r="W152" s="98"/>
      <c r="X152" s="98"/>
      <c r="Y152" s="98"/>
      <c r="Z152" s="101" t="str">
        <f t="shared" si="54"/>
        <v/>
      </c>
      <c r="AA152" s="101" t="str">
        <f t="shared" si="55"/>
        <v>0</v>
      </c>
      <c r="AB152" s="101" t="str">
        <f t="shared" si="56"/>
        <v/>
      </c>
      <c r="AC152" s="101">
        <f>IFERROR(VLOOKUP(V152,Lista!A$3:D$33,3,0),1)</f>
        <v>1</v>
      </c>
      <c r="AD152" s="101">
        <f>IFERROR(VLOOKUP(V152,Lista!A$3:E$33,5,0),1)</f>
        <v>1</v>
      </c>
      <c r="AE152" s="107" t="str">
        <f t="shared" si="57"/>
        <v/>
      </c>
      <c r="AF152" s="107">
        <f t="shared" si="58"/>
        <v>0</v>
      </c>
      <c r="AG152" s="107">
        <f t="shared" si="59"/>
        <v>0</v>
      </c>
      <c r="AH152" s="109"/>
      <c r="AI152" s="104" t="s">
        <v>94</v>
      </c>
      <c r="AJ152" s="109"/>
      <c r="AK152" s="109"/>
    </row>
    <row r="153" spans="1:37" ht="15" customHeight="1" x14ac:dyDescent="0.35">
      <c r="A153" s="112"/>
      <c r="B153" s="99"/>
      <c r="C153" s="98"/>
      <c r="D153" s="98"/>
      <c r="E153" s="98"/>
      <c r="F153" s="111"/>
      <c r="G153" s="98"/>
      <c r="H153" s="111"/>
      <c r="I153" s="98"/>
      <c r="J153" s="101" t="str">
        <f t="shared" si="48"/>
        <v/>
      </c>
      <c r="K153" s="101" t="str">
        <f t="shared" si="49"/>
        <v>0</v>
      </c>
      <c r="L153" s="101" t="str">
        <f t="shared" si="50"/>
        <v/>
      </c>
      <c r="M153" s="101">
        <f>IFERROR(VLOOKUP(D153,Lista!A$3:D$33,3,0),1)</f>
        <v>1</v>
      </c>
      <c r="N153" s="101">
        <f>IFERROR(VLOOKUP(D153,Lista!A$3:E$33,5,0),1)</f>
        <v>1</v>
      </c>
      <c r="O153" s="102" t="str">
        <f t="shared" si="51"/>
        <v/>
      </c>
      <c r="P153" s="102">
        <f t="shared" si="52"/>
        <v>0</v>
      </c>
      <c r="Q153" s="102">
        <f t="shared" si="53"/>
        <v>0</v>
      </c>
      <c r="R153" s="103"/>
      <c r="S153" s="104" t="s">
        <v>94</v>
      </c>
      <c r="T153" s="113"/>
      <c r="U153" s="98"/>
      <c r="V153" s="98"/>
      <c r="W153" s="98"/>
      <c r="X153" s="98"/>
      <c r="Y153" s="98"/>
      <c r="Z153" s="101" t="str">
        <f t="shared" si="54"/>
        <v/>
      </c>
      <c r="AA153" s="101" t="str">
        <f t="shared" si="55"/>
        <v>0</v>
      </c>
      <c r="AB153" s="101" t="str">
        <f t="shared" si="56"/>
        <v/>
      </c>
      <c r="AC153" s="101">
        <f>IFERROR(VLOOKUP(V153,Lista!A$3:D$33,3,0),1)</f>
        <v>1</v>
      </c>
      <c r="AD153" s="101">
        <f>IFERROR(VLOOKUP(V153,Lista!A$3:E$33,5,0),1)</f>
        <v>1</v>
      </c>
      <c r="AE153" s="107" t="str">
        <f t="shared" si="57"/>
        <v/>
      </c>
      <c r="AF153" s="107">
        <f t="shared" si="58"/>
        <v>0</v>
      </c>
      <c r="AG153" s="107">
        <f t="shared" si="59"/>
        <v>0</v>
      </c>
      <c r="AH153" s="109"/>
      <c r="AI153" s="104" t="s">
        <v>94</v>
      </c>
      <c r="AJ153" s="109"/>
      <c r="AK153" s="109"/>
    </row>
    <row r="154" spans="1:37" ht="15" customHeight="1" x14ac:dyDescent="0.35">
      <c r="A154" s="112"/>
      <c r="B154" s="99"/>
      <c r="C154" s="98"/>
      <c r="D154" s="98"/>
      <c r="E154" s="98"/>
      <c r="F154" s="111"/>
      <c r="G154" s="98"/>
      <c r="H154" s="111"/>
      <c r="I154" s="98"/>
      <c r="J154" s="101" t="str">
        <f t="shared" si="48"/>
        <v/>
      </c>
      <c r="K154" s="101" t="str">
        <f t="shared" si="49"/>
        <v>0</v>
      </c>
      <c r="L154" s="101" t="str">
        <f t="shared" si="50"/>
        <v/>
      </c>
      <c r="M154" s="101">
        <f>IFERROR(VLOOKUP(D154,Lista!A$3:D$33,3,0),1)</f>
        <v>1</v>
      </c>
      <c r="N154" s="101">
        <f>IFERROR(VLOOKUP(D154,Lista!A$3:E$33,5,0),1)</f>
        <v>1</v>
      </c>
      <c r="O154" s="102" t="str">
        <f t="shared" si="51"/>
        <v/>
      </c>
      <c r="P154" s="102">
        <f t="shared" si="52"/>
        <v>0</v>
      </c>
      <c r="Q154" s="102">
        <f t="shared" si="53"/>
        <v>0</v>
      </c>
      <c r="R154" s="103"/>
      <c r="S154" s="104" t="s">
        <v>94</v>
      </c>
      <c r="T154" s="113"/>
      <c r="U154" s="98"/>
      <c r="V154" s="98"/>
      <c r="W154" s="98"/>
      <c r="X154" s="98"/>
      <c r="Y154" s="98"/>
      <c r="Z154" s="101" t="str">
        <f t="shared" si="54"/>
        <v/>
      </c>
      <c r="AA154" s="101" t="str">
        <f t="shared" si="55"/>
        <v>0</v>
      </c>
      <c r="AB154" s="101" t="str">
        <f t="shared" si="56"/>
        <v/>
      </c>
      <c r="AC154" s="101">
        <f>IFERROR(VLOOKUP(V154,Lista!A$3:D$33,3,0),1)</f>
        <v>1</v>
      </c>
      <c r="AD154" s="101">
        <f>IFERROR(VLOOKUP(V154,Lista!A$3:E$33,5,0),1)</f>
        <v>1</v>
      </c>
      <c r="AE154" s="107" t="str">
        <f t="shared" si="57"/>
        <v/>
      </c>
      <c r="AF154" s="107">
        <f t="shared" si="58"/>
        <v>0</v>
      </c>
      <c r="AG154" s="107">
        <f t="shared" si="59"/>
        <v>0</v>
      </c>
      <c r="AH154" s="109"/>
      <c r="AI154" s="104" t="s">
        <v>94</v>
      </c>
      <c r="AJ154" s="109"/>
      <c r="AK154" s="109"/>
    </row>
    <row r="155" spans="1:37" ht="15" customHeight="1" x14ac:dyDescent="0.35">
      <c r="A155" s="112"/>
      <c r="B155" s="99"/>
      <c r="C155" s="98"/>
      <c r="D155" s="98"/>
      <c r="E155" s="98"/>
      <c r="F155" s="111"/>
      <c r="G155" s="98"/>
      <c r="H155" s="111"/>
      <c r="I155" s="98"/>
      <c r="J155" s="101" t="str">
        <f t="shared" si="48"/>
        <v/>
      </c>
      <c r="K155" s="101" t="str">
        <f t="shared" si="49"/>
        <v>0</v>
      </c>
      <c r="L155" s="101" t="str">
        <f t="shared" si="50"/>
        <v/>
      </c>
      <c r="M155" s="101">
        <f>IFERROR(VLOOKUP(D155,Lista!A$3:D$33,3,0),1)</f>
        <v>1</v>
      </c>
      <c r="N155" s="101">
        <f>IFERROR(VLOOKUP(D155,Lista!A$3:E$33,5,0),1)</f>
        <v>1</v>
      </c>
      <c r="O155" s="102" t="str">
        <f t="shared" si="51"/>
        <v/>
      </c>
      <c r="P155" s="102">
        <f t="shared" si="52"/>
        <v>0</v>
      </c>
      <c r="Q155" s="102">
        <f t="shared" si="53"/>
        <v>0</v>
      </c>
      <c r="R155" s="103"/>
      <c r="S155" s="104" t="s">
        <v>94</v>
      </c>
      <c r="T155" s="113"/>
      <c r="U155" s="98"/>
      <c r="V155" s="98"/>
      <c r="W155" s="98"/>
      <c r="X155" s="98"/>
      <c r="Y155" s="98"/>
      <c r="Z155" s="101" t="str">
        <f t="shared" si="54"/>
        <v/>
      </c>
      <c r="AA155" s="101" t="str">
        <f t="shared" si="55"/>
        <v>0</v>
      </c>
      <c r="AB155" s="101" t="str">
        <f t="shared" si="56"/>
        <v/>
      </c>
      <c r="AC155" s="101">
        <f>IFERROR(VLOOKUP(V155,Lista!A$3:D$33,3,0),1)</f>
        <v>1</v>
      </c>
      <c r="AD155" s="101">
        <f>IFERROR(VLOOKUP(V155,Lista!A$3:E$33,5,0),1)</f>
        <v>1</v>
      </c>
      <c r="AE155" s="107" t="str">
        <f t="shared" si="57"/>
        <v/>
      </c>
      <c r="AF155" s="107">
        <f t="shared" si="58"/>
        <v>0</v>
      </c>
      <c r="AG155" s="107">
        <f t="shared" si="59"/>
        <v>0</v>
      </c>
      <c r="AH155" s="109"/>
      <c r="AI155" s="104" t="s">
        <v>94</v>
      </c>
      <c r="AJ155" s="109"/>
      <c r="AK155" s="109"/>
    </row>
    <row r="156" spans="1:37" ht="15" customHeight="1" x14ac:dyDescent="0.35">
      <c r="A156" s="112"/>
      <c r="B156" s="99"/>
      <c r="C156" s="98"/>
      <c r="D156" s="98"/>
      <c r="E156" s="98"/>
      <c r="F156" s="111"/>
      <c r="G156" s="98"/>
      <c r="H156" s="111"/>
      <c r="I156" s="98"/>
      <c r="J156" s="101" t="str">
        <f t="shared" si="48"/>
        <v/>
      </c>
      <c r="K156" s="101" t="str">
        <f t="shared" si="49"/>
        <v>0</v>
      </c>
      <c r="L156" s="101" t="str">
        <f t="shared" si="50"/>
        <v/>
      </c>
      <c r="M156" s="101">
        <f>IFERROR(VLOOKUP(D156,Lista!A$3:D$33,3,0),1)</f>
        <v>1</v>
      </c>
      <c r="N156" s="101">
        <f>IFERROR(VLOOKUP(D156,Lista!A$3:E$33,5,0),1)</f>
        <v>1</v>
      </c>
      <c r="O156" s="102" t="str">
        <f t="shared" si="51"/>
        <v/>
      </c>
      <c r="P156" s="102">
        <f t="shared" si="52"/>
        <v>0</v>
      </c>
      <c r="Q156" s="102">
        <f t="shared" si="53"/>
        <v>0</v>
      </c>
      <c r="R156" s="103"/>
      <c r="S156" s="104" t="s">
        <v>94</v>
      </c>
      <c r="T156" s="113"/>
      <c r="U156" s="98"/>
      <c r="V156" s="98"/>
      <c r="W156" s="98"/>
      <c r="X156" s="98"/>
      <c r="Y156" s="98"/>
      <c r="Z156" s="101" t="str">
        <f t="shared" si="54"/>
        <v/>
      </c>
      <c r="AA156" s="101" t="str">
        <f t="shared" si="55"/>
        <v>0</v>
      </c>
      <c r="AB156" s="101" t="str">
        <f t="shared" si="56"/>
        <v/>
      </c>
      <c r="AC156" s="101">
        <f>IFERROR(VLOOKUP(V156,Lista!A$3:D$33,3,0),1)</f>
        <v>1</v>
      </c>
      <c r="AD156" s="101">
        <f>IFERROR(VLOOKUP(V156,Lista!A$3:E$33,5,0),1)</f>
        <v>1</v>
      </c>
      <c r="AE156" s="107" t="str">
        <f t="shared" si="57"/>
        <v/>
      </c>
      <c r="AF156" s="107">
        <f t="shared" si="58"/>
        <v>0</v>
      </c>
      <c r="AG156" s="107">
        <f t="shared" si="59"/>
        <v>0</v>
      </c>
      <c r="AH156" s="109"/>
      <c r="AI156" s="104" t="s">
        <v>94</v>
      </c>
      <c r="AJ156" s="109"/>
      <c r="AK156" s="109"/>
    </row>
    <row r="157" spans="1:37" ht="15" customHeight="1" x14ac:dyDescent="0.35">
      <c r="A157" s="112"/>
      <c r="B157" s="99"/>
      <c r="C157" s="98"/>
      <c r="D157" s="98"/>
      <c r="E157" s="98"/>
      <c r="F157" s="111"/>
      <c r="G157" s="98"/>
      <c r="H157" s="111"/>
      <c r="I157" s="98"/>
      <c r="J157" s="101" t="str">
        <f t="shared" si="48"/>
        <v/>
      </c>
      <c r="K157" s="101" t="str">
        <f t="shared" si="49"/>
        <v>0</v>
      </c>
      <c r="L157" s="101" t="str">
        <f t="shared" si="50"/>
        <v/>
      </c>
      <c r="M157" s="101">
        <f>IFERROR(VLOOKUP(D157,Lista!A$3:D$33,3,0),1)</f>
        <v>1</v>
      </c>
      <c r="N157" s="101">
        <f>IFERROR(VLOOKUP(D157,Lista!A$3:E$33,5,0),1)</f>
        <v>1</v>
      </c>
      <c r="O157" s="102" t="str">
        <f t="shared" si="51"/>
        <v/>
      </c>
      <c r="P157" s="102">
        <f t="shared" si="52"/>
        <v>0</v>
      </c>
      <c r="Q157" s="102">
        <f t="shared" si="53"/>
        <v>0</v>
      </c>
      <c r="R157" s="103"/>
      <c r="S157" s="104" t="s">
        <v>94</v>
      </c>
      <c r="T157" s="113"/>
      <c r="U157" s="98"/>
      <c r="V157" s="98"/>
      <c r="W157" s="98"/>
      <c r="X157" s="98"/>
      <c r="Y157" s="98"/>
      <c r="Z157" s="101" t="str">
        <f t="shared" si="54"/>
        <v/>
      </c>
      <c r="AA157" s="101" t="str">
        <f t="shared" si="55"/>
        <v>0</v>
      </c>
      <c r="AB157" s="101" t="str">
        <f t="shared" si="56"/>
        <v/>
      </c>
      <c r="AC157" s="101">
        <f>IFERROR(VLOOKUP(V157,Lista!A$3:D$33,3,0),1)</f>
        <v>1</v>
      </c>
      <c r="AD157" s="101">
        <f>IFERROR(VLOOKUP(V157,Lista!A$3:E$33,5,0),1)</f>
        <v>1</v>
      </c>
      <c r="AE157" s="107" t="str">
        <f t="shared" si="57"/>
        <v/>
      </c>
      <c r="AF157" s="107">
        <f t="shared" si="58"/>
        <v>0</v>
      </c>
      <c r="AG157" s="107">
        <f t="shared" si="59"/>
        <v>0</v>
      </c>
      <c r="AH157" s="109"/>
      <c r="AI157" s="104" t="s">
        <v>94</v>
      </c>
      <c r="AJ157" s="109"/>
      <c r="AK157" s="109"/>
    </row>
    <row r="158" spans="1:37" ht="15" customHeight="1" x14ac:dyDescent="0.35">
      <c r="A158" s="112"/>
      <c r="B158" s="99"/>
      <c r="C158" s="98"/>
      <c r="D158" s="98"/>
      <c r="E158" s="98"/>
      <c r="F158" s="111"/>
      <c r="G158" s="98"/>
      <c r="H158" s="111"/>
      <c r="I158" s="98"/>
      <c r="J158" s="101" t="str">
        <f t="shared" si="48"/>
        <v/>
      </c>
      <c r="K158" s="101" t="str">
        <f t="shared" si="49"/>
        <v>0</v>
      </c>
      <c r="L158" s="101" t="str">
        <f t="shared" si="50"/>
        <v/>
      </c>
      <c r="M158" s="101">
        <f>IFERROR(VLOOKUP(D158,Lista!A$3:D$33,3,0),1)</f>
        <v>1</v>
      </c>
      <c r="N158" s="101">
        <f>IFERROR(VLOOKUP(D158,Lista!A$3:E$33,5,0),1)</f>
        <v>1</v>
      </c>
      <c r="O158" s="102" t="str">
        <f t="shared" si="51"/>
        <v/>
      </c>
      <c r="P158" s="102">
        <f t="shared" si="52"/>
        <v>0</v>
      </c>
      <c r="Q158" s="102">
        <f t="shared" si="53"/>
        <v>0</v>
      </c>
      <c r="R158" s="103"/>
      <c r="S158" s="104" t="s">
        <v>94</v>
      </c>
      <c r="T158" s="113"/>
      <c r="U158" s="98"/>
      <c r="V158" s="98"/>
      <c r="W158" s="98"/>
      <c r="X158" s="98"/>
      <c r="Y158" s="98"/>
      <c r="Z158" s="101" t="str">
        <f t="shared" si="54"/>
        <v/>
      </c>
      <c r="AA158" s="101" t="str">
        <f t="shared" si="55"/>
        <v>0</v>
      </c>
      <c r="AB158" s="101" t="str">
        <f t="shared" si="56"/>
        <v/>
      </c>
      <c r="AC158" s="101">
        <f>IFERROR(VLOOKUP(V158,Lista!A$3:D$33,3,0),1)</f>
        <v>1</v>
      </c>
      <c r="AD158" s="101">
        <f>IFERROR(VLOOKUP(V158,Lista!A$3:E$33,5,0),1)</f>
        <v>1</v>
      </c>
      <c r="AE158" s="107" t="str">
        <f t="shared" si="57"/>
        <v/>
      </c>
      <c r="AF158" s="107">
        <f t="shared" si="58"/>
        <v>0</v>
      </c>
      <c r="AG158" s="107">
        <f t="shared" si="59"/>
        <v>0</v>
      </c>
      <c r="AH158" s="109"/>
      <c r="AI158" s="104" t="s">
        <v>94</v>
      </c>
      <c r="AJ158" s="109"/>
      <c r="AK158" s="109"/>
    </row>
    <row r="159" spans="1:37" ht="15" customHeight="1" x14ac:dyDescent="0.35">
      <c r="A159" s="112"/>
      <c r="B159" s="99"/>
      <c r="C159" s="98"/>
      <c r="D159" s="98"/>
      <c r="E159" s="98"/>
      <c r="F159" s="111"/>
      <c r="G159" s="98"/>
      <c r="H159" s="111"/>
      <c r="I159" s="98"/>
      <c r="J159" s="101" t="str">
        <f t="shared" si="48"/>
        <v/>
      </c>
      <c r="K159" s="101" t="str">
        <f t="shared" si="49"/>
        <v>0</v>
      </c>
      <c r="L159" s="101" t="str">
        <f t="shared" si="50"/>
        <v/>
      </c>
      <c r="M159" s="101">
        <f>IFERROR(VLOOKUP(D159,Lista!A$3:D$33,3,0),1)</f>
        <v>1</v>
      </c>
      <c r="N159" s="101">
        <f>IFERROR(VLOOKUP(D159,Lista!A$3:E$33,5,0),1)</f>
        <v>1</v>
      </c>
      <c r="O159" s="102" t="str">
        <f t="shared" si="51"/>
        <v/>
      </c>
      <c r="P159" s="102">
        <f t="shared" si="52"/>
        <v>0</v>
      </c>
      <c r="Q159" s="102">
        <f t="shared" si="53"/>
        <v>0</v>
      </c>
      <c r="R159" s="103"/>
      <c r="S159" s="104" t="s">
        <v>94</v>
      </c>
      <c r="T159" s="113"/>
      <c r="U159" s="98"/>
      <c r="V159" s="98"/>
      <c r="W159" s="98"/>
      <c r="X159" s="98"/>
      <c r="Y159" s="98"/>
      <c r="Z159" s="101" t="str">
        <f t="shared" si="54"/>
        <v/>
      </c>
      <c r="AA159" s="101" t="str">
        <f t="shared" si="55"/>
        <v>0</v>
      </c>
      <c r="AB159" s="101" t="str">
        <f t="shared" si="56"/>
        <v/>
      </c>
      <c r="AC159" s="101">
        <f>IFERROR(VLOOKUP(V159,Lista!A$3:D$33,3,0),1)</f>
        <v>1</v>
      </c>
      <c r="AD159" s="101">
        <f>IFERROR(VLOOKUP(V159,Lista!A$3:E$33,5,0),1)</f>
        <v>1</v>
      </c>
      <c r="AE159" s="107" t="str">
        <f t="shared" si="57"/>
        <v/>
      </c>
      <c r="AF159" s="107">
        <f t="shared" si="58"/>
        <v>0</v>
      </c>
      <c r="AG159" s="107">
        <f t="shared" si="59"/>
        <v>0</v>
      </c>
      <c r="AH159" s="109"/>
      <c r="AI159" s="104" t="s">
        <v>94</v>
      </c>
      <c r="AJ159" s="109"/>
      <c r="AK159" s="109"/>
    </row>
    <row r="160" spans="1:37" ht="15" customHeight="1" x14ac:dyDescent="0.35">
      <c r="A160" s="112"/>
      <c r="B160" s="99"/>
      <c r="C160" s="98"/>
      <c r="D160" s="98"/>
      <c r="E160" s="98"/>
      <c r="F160" s="111"/>
      <c r="G160" s="98"/>
      <c r="H160" s="111"/>
      <c r="I160" s="98"/>
      <c r="J160" s="101" t="str">
        <f t="shared" si="48"/>
        <v/>
      </c>
      <c r="K160" s="101" t="str">
        <f t="shared" si="49"/>
        <v>0</v>
      </c>
      <c r="L160" s="101" t="str">
        <f t="shared" si="50"/>
        <v/>
      </c>
      <c r="M160" s="101">
        <f>IFERROR(VLOOKUP(D160,Lista!A$3:D$33,3,0),1)</f>
        <v>1</v>
      </c>
      <c r="N160" s="101">
        <f>IFERROR(VLOOKUP(D160,Lista!A$3:E$33,5,0),1)</f>
        <v>1</v>
      </c>
      <c r="O160" s="102" t="str">
        <f t="shared" si="51"/>
        <v/>
      </c>
      <c r="P160" s="102">
        <f t="shared" si="52"/>
        <v>0</v>
      </c>
      <c r="Q160" s="102">
        <f t="shared" si="53"/>
        <v>0</v>
      </c>
      <c r="R160" s="103"/>
      <c r="S160" s="104" t="s">
        <v>94</v>
      </c>
      <c r="T160" s="113"/>
      <c r="U160" s="98"/>
      <c r="V160" s="98"/>
      <c r="W160" s="98"/>
      <c r="X160" s="98"/>
      <c r="Y160" s="98"/>
      <c r="Z160" s="101" t="str">
        <f t="shared" si="54"/>
        <v/>
      </c>
      <c r="AA160" s="101" t="str">
        <f t="shared" si="55"/>
        <v>0</v>
      </c>
      <c r="AB160" s="101" t="str">
        <f t="shared" si="56"/>
        <v/>
      </c>
      <c r="AC160" s="101">
        <f>IFERROR(VLOOKUP(V160,Lista!A$3:D$33,3,0),1)</f>
        <v>1</v>
      </c>
      <c r="AD160" s="101">
        <f>IFERROR(VLOOKUP(V160,Lista!A$3:E$33,5,0),1)</f>
        <v>1</v>
      </c>
      <c r="AE160" s="107" t="str">
        <f t="shared" si="57"/>
        <v/>
      </c>
      <c r="AF160" s="107">
        <f t="shared" si="58"/>
        <v>0</v>
      </c>
      <c r="AG160" s="107">
        <f t="shared" si="59"/>
        <v>0</v>
      </c>
      <c r="AH160" s="109"/>
      <c r="AI160" s="104" t="s">
        <v>94</v>
      </c>
      <c r="AJ160" s="109"/>
      <c r="AK160" s="109"/>
    </row>
    <row r="161" spans="1:37" ht="15" customHeight="1" x14ac:dyDescent="0.35">
      <c r="A161" s="112"/>
      <c r="B161" s="99"/>
      <c r="C161" s="98"/>
      <c r="D161" s="98"/>
      <c r="E161" s="98"/>
      <c r="F161" s="111"/>
      <c r="G161" s="98"/>
      <c r="H161" s="111"/>
      <c r="I161" s="98"/>
      <c r="J161" s="101" t="str">
        <f t="shared" si="48"/>
        <v/>
      </c>
      <c r="K161" s="101" t="str">
        <f t="shared" si="49"/>
        <v>0</v>
      </c>
      <c r="L161" s="101" t="str">
        <f t="shared" si="50"/>
        <v/>
      </c>
      <c r="M161" s="101">
        <f>IFERROR(VLOOKUP(D161,Lista!A$3:D$33,3,0),1)</f>
        <v>1</v>
      </c>
      <c r="N161" s="101">
        <f>IFERROR(VLOOKUP(D161,Lista!A$3:E$33,5,0),1)</f>
        <v>1</v>
      </c>
      <c r="O161" s="102" t="str">
        <f t="shared" si="51"/>
        <v/>
      </c>
      <c r="P161" s="102">
        <f t="shared" si="52"/>
        <v>0</v>
      </c>
      <c r="Q161" s="102">
        <f t="shared" si="53"/>
        <v>0</v>
      </c>
      <c r="R161" s="103"/>
      <c r="S161" s="104" t="s">
        <v>94</v>
      </c>
      <c r="T161" s="113"/>
      <c r="U161" s="98"/>
      <c r="V161" s="98"/>
      <c r="W161" s="98"/>
      <c r="X161" s="98"/>
      <c r="Y161" s="98"/>
      <c r="Z161" s="101" t="str">
        <f t="shared" si="54"/>
        <v/>
      </c>
      <c r="AA161" s="101" t="str">
        <f t="shared" si="55"/>
        <v>0</v>
      </c>
      <c r="AB161" s="101" t="str">
        <f t="shared" si="56"/>
        <v/>
      </c>
      <c r="AC161" s="101">
        <f>IFERROR(VLOOKUP(V161,Lista!A$3:D$33,3,0),1)</f>
        <v>1</v>
      </c>
      <c r="AD161" s="101">
        <f>IFERROR(VLOOKUP(V161,Lista!A$3:E$33,5,0),1)</f>
        <v>1</v>
      </c>
      <c r="AE161" s="107" t="str">
        <f t="shared" si="57"/>
        <v/>
      </c>
      <c r="AF161" s="107">
        <f t="shared" si="58"/>
        <v>0</v>
      </c>
      <c r="AG161" s="107">
        <f t="shared" si="59"/>
        <v>0</v>
      </c>
      <c r="AH161" s="109"/>
      <c r="AI161" s="104" t="s">
        <v>94</v>
      </c>
      <c r="AJ161" s="109"/>
      <c r="AK161" s="109"/>
    </row>
    <row r="162" spans="1:37" ht="15" customHeight="1" x14ac:dyDescent="0.35">
      <c r="A162" s="112"/>
      <c r="B162" s="99"/>
      <c r="C162" s="98"/>
      <c r="D162" s="98"/>
      <c r="E162" s="98"/>
      <c r="F162" s="111"/>
      <c r="G162" s="98"/>
      <c r="H162" s="111"/>
      <c r="I162" s="98"/>
      <c r="J162" s="101" t="str">
        <f t="shared" si="48"/>
        <v/>
      </c>
      <c r="K162" s="101" t="str">
        <f t="shared" si="49"/>
        <v>0</v>
      </c>
      <c r="L162" s="101" t="str">
        <f t="shared" si="50"/>
        <v/>
      </c>
      <c r="M162" s="101">
        <f>IFERROR(VLOOKUP(D162,Lista!A$3:D$33,3,0),1)</f>
        <v>1</v>
      </c>
      <c r="N162" s="101">
        <f>IFERROR(VLOOKUP(D162,Lista!A$3:E$33,5,0),1)</f>
        <v>1</v>
      </c>
      <c r="O162" s="102" t="str">
        <f t="shared" si="51"/>
        <v/>
      </c>
      <c r="P162" s="102">
        <f t="shared" si="52"/>
        <v>0</v>
      </c>
      <c r="Q162" s="102">
        <f t="shared" si="53"/>
        <v>0</v>
      </c>
      <c r="R162" s="103"/>
      <c r="S162" s="104" t="s">
        <v>94</v>
      </c>
      <c r="T162" s="113"/>
      <c r="U162" s="98"/>
      <c r="V162" s="98"/>
      <c r="W162" s="98"/>
      <c r="X162" s="98"/>
      <c r="Y162" s="98"/>
      <c r="Z162" s="101" t="str">
        <f t="shared" si="54"/>
        <v/>
      </c>
      <c r="AA162" s="101" t="str">
        <f t="shared" si="55"/>
        <v>0</v>
      </c>
      <c r="AB162" s="101" t="str">
        <f t="shared" si="56"/>
        <v/>
      </c>
      <c r="AC162" s="101">
        <f>IFERROR(VLOOKUP(V162,Lista!A$3:D$33,3,0),1)</f>
        <v>1</v>
      </c>
      <c r="AD162" s="101">
        <f>IFERROR(VLOOKUP(V162,Lista!A$3:E$33,5,0),1)</f>
        <v>1</v>
      </c>
      <c r="AE162" s="107" t="str">
        <f t="shared" si="57"/>
        <v/>
      </c>
      <c r="AF162" s="107">
        <f t="shared" si="58"/>
        <v>0</v>
      </c>
      <c r="AG162" s="107">
        <f t="shared" si="59"/>
        <v>0</v>
      </c>
      <c r="AH162" s="109"/>
      <c r="AI162" s="104" t="s">
        <v>94</v>
      </c>
      <c r="AJ162" s="109"/>
      <c r="AK162" s="109"/>
    </row>
    <row r="163" spans="1:37" ht="15" customHeight="1" x14ac:dyDescent="0.35">
      <c r="A163" s="112"/>
      <c r="B163" s="99"/>
      <c r="C163" s="98"/>
      <c r="D163" s="98"/>
      <c r="E163" s="98"/>
      <c r="F163" s="111"/>
      <c r="G163" s="98"/>
      <c r="H163" s="111"/>
      <c r="I163" s="98"/>
      <c r="J163" s="101" t="str">
        <f t="shared" ref="J163:J194" si="60">CONCATENATE(C163,L163)</f>
        <v/>
      </c>
      <c r="K163" s="101" t="str">
        <f t="shared" ref="K163:K194" si="61">CONCATENATE(C163,D163,L163,Q163)</f>
        <v>0</v>
      </c>
      <c r="L163" s="101" t="str">
        <f t="shared" ref="L163:L194" si="62">IF(OR(ISBLANK(E163),ISBLANK(G163)),IF(OR(C163="ALI",C163="AIE"),"L",IF(ISBLANK(C163),"","A")),IF(C163="EE",IF(G163&gt;=3,IF(E163&gt;=5,"H","A"),IF(G163&gt;=2,IF(E163&gt;=16,"H",IF(E163&lt;=4,"L","A")),IF(E163&lt;=15,"L","A"))),IF(OR(C163="SE",C163="CE"),IF(G163&gt;=4,IF(E163&gt;=6,"H","A"),IF(G163&gt;=2,IF(E163&gt;=20,"H",IF(E163&lt;=5,"L","A")),IF(E163&lt;=19,"L","A"))),IF(OR(C163="ALI",C163="AIE"),IF(G163&gt;=6,IF(E163&gt;=20,"H","A"),IF(G163&gt;=2,IF(E163&gt;=51,"H",IF(E163&lt;=19,"L","A")),IF(E163&lt;=50,"L","A")))))))</f>
        <v/>
      </c>
      <c r="M163" s="101">
        <f>IFERROR(VLOOKUP(D163,Lista!A$3:D$33,3,0),1)</f>
        <v>1</v>
      </c>
      <c r="N163" s="101">
        <f>IFERROR(VLOOKUP(D163,Lista!A$3:E$33,5,0),1)</f>
        <v>1</v>
      </c>
      <c r="O163" s="102" t="str">
        <f t="shared" ref="O163:O194" si="63">IF(C163="INM","",IF(L163="L","Baixa",IF(L163="A","Média",IF(L163="","","Alta"))))</f>
        <v/>
      </c>
      <c r="P163" s="102">
        <f t="shared" ref="P163:P194" si="64">IF(C163="INM",M163*I163,IF(C163="ALI",IF(L163="L",7,IF(L163="A",10,15)),IF(C163="AIE",IF(L163="L",5,IF(L163="A",7,10)),IF(C163="SE",IF(L163="L",4,IF(L163="A",5,7)),IF(OR(C163="EE",C163="CE"),IF(L163="L",3,IF(L163="A",4,6)),0)))))</f>
        <v>0</v>
      </c>
      <c r="Q163" s="102">
        <f t="shared" ref="Q163:Q194" si="65">IF(C163="INM",P163,P163*M163)</f>
        <v>0</v>
      </c>
      <c r="R163" s="103"/>
      <c r="S163" s="104" t="s">
        <v>94</v>
      </c>
      <c r="T163" s="113"/>
      <c r="U163" s="98"/>
      <c r="V163" s="98"/>
      <c r="W163" s="98"/>
      <c r="X163" s="98"/>
      <c r="Y163" s="98"/>
      <c r="Z163" s="101" t="str">
        <f t="shared" ref="Z163:Z194" si="66">CONCATENATE(U163,AB163)</f>
        <v/>
      </c>
      <c r="AA163" s="101" t="str">
        <f t="shared" ref="AA163:AA194" si="67">CONCATENATE(U163,V163,AB163,AG163)</f>
        <v>0</v>
      </c>
      <c r="AB163" s="101" t="str">
        <f t="shared" ref="AB163:AB194" si="68">IF(OR(ISBLANK(W163),ISBLANK(X163)),IF(OR(U163="ALI",U163="AIE"),"L",IF(ISBLANK(U163),"","A")),IF(U163="EE",IF(X163&gt;=3,IF(W163&gt;=5,"H","A"),IF(X163&gt;=2,IF(W163&gt;=16,"H",IF(W163&lt;=4,"L","A")),IF(W163&lt;=15,"L","A"))),IF(OR(U163="SE",U163="CE"),IF(X163&gt;=4,IF(W163&gt;=6,"H","A"),IF(X163&gt;=2,IF(W163&gt;=20,"H",IF(W163&lt;=5,"L","A")),IF(W163&lt;=19,"L","A"))),IF(OR(U163="ALI",U163="AIE"),IF(X163&gt;=6,IF(W163&gt;=20,"H","A"),IF(X163&gt;=2,IF(W163&gt;=51,"H",IF(W163&lt;=19,"L","A")),IF(W163&lt;=50,"L","A")))))))</f>
        <v/>
      </c>
      <c r="AC163" s="101">
        <f>IFERROR(VLOOKUP(V163,Lista!A$3:D$33,3,0),1)</f>
        <v>1</v>
      </c>
      <c r="AD163" s="101">
        <f>IFERROR(VLOOKUP(V163,Lista!A$3:E$33,5,0),1)</f>
        <v>1</v>
      </c>
      <c r="AE163" s="107" t="str">
        <f t="shared" ref="AE163:AE194" si="69">IF(U163="INM","",IF(AB163="L","Baixa",IF(AB163="A","Média",IF(AB163="","","Alta"))))</f>
        <v/>
      </c>
      <c r="AF163" s="107">
        <f t="shared" ref="AF163:AF194" si="70">IF(OR(ISBLANK(T163),T163="NOK"),0,IF(U163="INM",AC163*Y163,IF(U163="ALI",IF(AB163="L",7,IF(AB163="A",10,15)),IF(U163="AIE",IF(AB163="L",5,IF(AB163="A",7,10)),IF(U163="SE",IF(AB163="L",4,IF(AB163="A",5,7)),IF(OR(U163="EE",U163="CE"),IF(AB163="L",3,IF(AB163="A",4,6))))))))</f>
        <v>0</v>
      </c>
      <c r="AG163" s="107">
        <f t="shared" ref="AG163:AG194" si="71">IF(T163="NOK",0,IF(U163="INM",(1*AC163)*Y163,AF163*AC163))</f>
        <v>0</v>
      </c>
      <c r="AH163" s="109"/>
      <c r="AI163" s="104" t="s">
        <v>94</v>
      </c>
      <c r="AJ163" s="109"/>
      <c r="AK163" s="109"/>
    </row>
    <row r="164" spans="1:37" ht="15" customHeight="1" x14ac:dyDescent="0.35">
      <c r="A164" s="112"/>
      <c r="B164" s="99"/>
      <c r="C164" s="98"/>
      <c r="D164" s="98"/>
      <c r="E164" s="98"/>
      <c r="F164" s="111"/>
      <c r="G164" s="98"/>
      <c r="H164" s="111"/>
      <c r="I164" s="98"/>
      <c r="J164" s="101" t="str">
        <f t="shared" si="60"/>
        <v/>
      </c>
      <c r="K164" s="101" t="str">
        <f t="shared" si="61"/>
        <v>0</v>
      </c>
      <c r="L164" s="101" t="str">
        <f t="shared" si="62"/>
        <v/>
      </c>
      <c r="M164" s="101">
        <f>IFERROR(VLOOKUP(D164,Lista!A$3:D$33,3,0),1)</f>
        <v>1</v>
      </c>
      <c r="N164" s="101">
        <f>IFERROR(VLOOKUP(D164,Lista!A$3:E$33,5,0),1)</f>
        <v>1</v>
      </c>
      <c r="O164" s="102" t="str">
        <f t="shared" si="63"/>
        <v/>
      </c>
      <c r="P164" s="102">
        <f t="shared" si="64"/>
        <v>0</v>
      </c>
      <c r="Q164" s="102">
        <f t="shared" si="65"/>
        <v>0</v>
      </c>
      <c r="R164" s="103"/>
      <c r="S164" s="104" t="s">
        <v>94</v>
      </c>
      <c r="T164" s="113"/>
      <c r="U164" s="98"/>
      <c r="V164" s="98"/>
      <c r="W164" s="98"/>
      <c r="X164" s="98"/>
      <c r="Y164" s="98"/>
      <c r="Z164" s="101" t="str">
        <f t="shared" si="66"/>
        <v/>
      </c>
      <c r="AA164" s="101" t="str">
        <f t="shared" si="67"/>
        <v>0</v>
      </c>
      <c r="AB164" s="101" t="str">
        <f t="shared" si="68"/>
        <v/>
      </c>
      <c r="AC164" s="101">
        <f>IFERROR(VLOOKUP(V164,Lista!A$3:D$33,3,0),1)</f>
        <v>1</v>
      </c>
      <c r="AD164" s="101">
        <f>IFERROR(VLOOKUP(V164,Lista!A$3:E$33,5,0),1)</f>
        <v>1</v>
      </c>
      <c r="AE164" s="107" t="str">
        <f t="shared" si="69"/>
        <v/>
      </c>
      <c r="AF164" s="107">
        <f t="shared" si="70"/>
        <v>0</v>
      </c>
      <c r="AG164" s="107">
        <f t="shared" si="71"/>
        <v>0</v>
      </c>
      <c r="AH164" s="109"/>
      <c r="AI164" s="104" t="s">
        <v>94</v>
      </c>
      <c r="AJ164" s="109"/>
      <c r="AK164" s="109"/>
    </row>
    <row r="165" spans="1:37" ht="15" customHeight="1" x14ac:dyDescent="0.35">
      <c r="A165" s="112"/>
      <c r="B165" s="99"/>
      <c r="C165" s="98"/>
      <c r="D165" s="98"/>
      <c r="E165" s="98"/>
      <c r="F165" s="111"/>
      <c r="G165" s="98"/>
      <c r="H165" s="111"/>
      <c r="I165" s="98"/>
      <c r="J165" s="101" t="str">
        <f t="shared" si="60"/>
        <v/>
      </c>
      <c r="K165" s="101" t="str">
        <f t="shared" si="61"/>
        <v>0</v>
      </c>
      <c r="L165" s="101" t="str">
        <f t="shared" si="62"/>
        <v/>
      </c>
      <c r="M165" s="101">
        <f>IFERROR(VLOOKUP(D165,Lista!A$3:D$33,3,0),1)</f>
        <v>1</v>
      </c>
      <c r="N165" s="101">
        <f>IFERROR(VLOOKUP(D165,Lista!A$3:E$33,5,0),1)</f>
        <v>1</v>
      </c>
      <c r="O165" s="102" t="str">
        <f t="shared" si="63"/>
        <v/>
      </c>
      <c r="P165" s="102">
        <f t="shared" si="64"/>
        <v>0</v>
      </c>
      <c r="Q165" s="102">
        <f t="shared" si="65"/>
        <v>0</v>
      </c>
      <c r="R165" s="103"/>
      <c r="S165" s="104" t="s">
        <v>94</v>
      </c>
      <c r="T165" s="113"/>
      <c r="U165" s="98"/>
      <c r="V165" s="98"/>
      <c r="W165" s="98"/>
      <c r="X165" s="98"/>
      <c r="Y165" s="98"/>
      <c r="Z165" s="101" t="str">
        <f t="shared" si="66"/>
        <v/>
      </c>
      <c r="AA165" s="101" t="str">
        <f t="shared" si="67"/>
        <v>0</v>
      </c>
      <c r="AB165" s="101" t="str">
        <f t="shared" si="68"/>
        <v/>
      </c>
      <c r="AC165" s="101">
        <f>IFERROR(VLOOKUP(V165,Lista!A$3:D$33,3,0),1)</f>
        <v>1</v>
      </c>
      <c r="AD165" s="101">
        <f>IFERROR(VLOOKUP(V165,Lista!A$3:E$33,5,0),1)</f>
        <v>1</v>
      </c>
      <c r="AE165" s="107" t="str">
        <f t="shared" si="69"/>
        <v/>
      </c>
      <c r="AF165" s="107">
        <f t="shared" si="70"/>
        <v>0</v>
      </c>
      <c r="AG165" s="107">
        <f t="shared" si="71"/>
        <v>0</v>
      </c>
      <c r="AH165" s="109"/>
      <c r="AI165" s="104" t="s">
        <v>94</v>
      </c>
      <c r="AJ165" s="109"/>
      <c r="AK165" s="109"/>
    </row>
    <row r="166" spans="1:37" ht="15" customHeight="1" x14ac:dyDescent="0.35">
      <c r="A166" s="112"/>
      <c r="B166" s="99"/>
      <c r="C166" s="98"/>
      <c r="D166" s="98"/>
      <c r="E166" s="98"/>
      <c r="F166" s="111"/>
      <c r="G166" s="98"/>
      <c r="H166" s="111"/>
      <c r="I166" s="98"/>
      <c r="J166" s="101" t="str">
        <f t="shared" si="60"/>
        <v/>
      </c>
      <c r="K166" s="101" t="str">
        <f t="shared" si="61"/>
        <v>0</v>
      </c>
      <c r="L166" s="101" t="str">
        <f t="shared" si="62"/>
        <v/>
      </c>
      <c r="M166" s="101">
        <f>IFERROR(VLOOKUP(D166,Lista!A$3:D$33,3,0),1)</f>
        <v>1</v>
      </c>
      <c r="N166" s="101">
        <f>IFERROR(VLOOKUP(D166,Lista!A$3:E$33,5,0),1)</f>
        <v>1</v>
      </c>
      <c r="O166" s="102" t="str">
        <f t="shared" si="63"/>
        <v/>
      </c>
      <c r="P166" s="102">
        <f t="shared" si="64"/>
        <v>0</v>
      </c>
      <c r="Q166" s="102">
        <f t="shared" si="65"/>
        <v>0</v>
      </c>
      <c r="R166" s="103"/>
      <c r="S166" s="104" t="s">
        <v>94</v>
      </c>
      <c r="T166" s="113"/>
      <c r="U166" s="98"/>
      <c r="V166" s="98"/>
      <c r="W166" s="98"/>
      <c r="X166" s="98"/>
      <c r="Y166" s="98"/>
      <c r="Z166" s="101" t="str">
        <f t="shared" si="66"/>
        <v/>
      </c>
      <c r="AA166" s="101" t="str">
        <f t="shared" si="67"/>
        <v>0</v>
      </c>
      <c r="AB166" s="101" t="str">
        <f t="shared" si="68"/>
        <v/>
      </c>
      <c r="AC166" s="101">
        <f>IFERROR(VLOOKUP(V166,Lista!A$3:D$33,3,0),1)</f>
        <v>1</v>
      </c>
      <c r="AD166" s="101">
        <f>IFERROR(VLOOKUP(V166,Lista!A$3:E$33,5,0),1)</f>
        <v>1</v>
      </c>
      <c r="AE166" s="107" t="str">
        <f t="shared" si="69"/>
        <v/>
      </c>
      <c r="AF166" s="107">
        <f t="shared" si="70"/>
        <v>0</v>
      </c>
      <c r="AG166" s="107">
        <f t="shared" si="71"/>
        <v>0</v>
      </c>
      <c r="AH166" s="109"/>
      <c r="AI166" s="104" t="s">
        <v>94</v>
      </c>
      <c r="AJ166" s="109"/>
      <c r="AK166" s="109"/>
    </row>
    <row r="167" spans="1:37" ht="15" customHeight="1" x14ac:dyDescent="0.35">
      <c r="A167" s="112"/>
      <c r="B167" s="99"/>
      <c r="C167" s="98"/>
      <c r="D167" s="98"/>
      <c r="E167" s="98"/>
      <c r="F167" s="111"/>
      <c r="G167" s="98"/>
      <c r="H167" s="111"/>
      <c r="I167" s="98"/>
      <c r="J167" s="101" t="str">
        <f t="shared" si="60"/>
        <v/>
      </c>
      <c r="K167" s="101" t="str">
        <f t="shared" si="61"/>
        <v>0</v>
      </c>
      <c r="L167" s="101" t="str">
        <f t="shared" si="62"/>
        <v/>
      </c>
      <c r="M167" s="101">
        <f>IFERROR(VLOOKUP(D167,Lista!A$3:D$33,3,0),1)</f>
        <v>1</v>
      </c>
      <c r="N167" s="101">
        <f>IFERROR(VLOOKUP(D167,Lista!A$3:E$33,5,0),1)</f>
        <v>1</v>
      </c>
      <c r="O167" s="102" t="str">
        <f t="shared" si="63"/>
        <v/>
      </c>
      <c r="P167" s="102">
        <f t="shared" si="64"/>
        <v>0</v>
      </c>
      <c r="Q167" s="102">
        <f t="shared" si="65"/>
        <v>0</v>
      </c>
      <c r="R167" s="103"/>
      <c r="S167" s="104" t="s">
        <v>94</v>
      </c>
      <c r="T167" s="113"/>
      <c r="U167" s="98"/>
      <c r="V167" s="98"/>
      <c r="W167" s="98"/>
      <c r="X167" s="98"/>
      <c r="Y167" s="98"/>
      <c r="Z167" s="101" t="str">
        <f t="shared" si="66"/>
        <v/>
      </c>
      <c r="AA167" s="101" t="str">
        <f t="shared" si="67"/>
        <v>0</v>
      </c>
      <c r="AB167" s="101" t="str">
        <f t="shared" si="68"/>
        <v/>
      </c>
      <c r="AC167" s="101">
        <f>IFERROR(VLOOKUP(V167,Lista!A$3:D$33,3,0),1)</f>
        <v>1</v>
      </c>
      <c r="AD167" s="101">
        <f>IFERROR(VLOOKUP(V167,Lista!A$3:E$33,5,0),1)</f>
        <v>1</v>
      </c>
      <c r="AE167" s="107" t="str">
        <f t="shared" si="69"/>
        <v/>
      </c>
      <c r="AF167" s="107">
        <f t="shared" si="70"/>
        <v>0</v>
      </c>
      <c r="AG167" s="107">
        <f t="shared" si="71"/>
        <v>0</v>
      </c>
      <c r="AH167" s="109"/>
      <c r="AI167" s="104" t="s">
        <v>94</v>
      </c>
      <c r="AJ167" s="109"/>
      <c r="AK167" s="109"/>
    </row>
    <row r="168" spans="1:37" ht="15" customHeight="1" x14ac:dyDescent="0.35">
      <c r="A168" s="112"/>
      <c r="B168" s="99"/>
      <c r="C168" s="98"/>
      <c r="D168" s="98"/>
      <c r="E168" s="98"/>
      <c r="F168" s="111"/>
      <c r="G168" s="98"/>
      <c r="H168" s="111"/>
      <c r="I168" s="98"/>
      <c r="J168" s="101" t="str">
        <f t="shared" si="60"/>
        <v/>
      </c>
      <c r="K168" s="101" t="str">
        <f t="shared" si="61"/>
        <v>0</v>
      </c>
      <c r="L168" s="101" t="str">
        <f t="shared" si="62"/>
        <v/>
      </c>
      <c r="M168" s="101">
        <f>IFERROR(VLOOKUP(D168,Lista!A$3:D$33,3,0),1)</f>
        <v>1</v>
      </c>
      <c r="N168" s="101">
        <f>IFERROR(VLOOKUP(D168,Lista!A$3:E$33,5,0),1)</f>
        <v>1</v>
      </c>
      <c r="O168" s="102" t="str">
        <f t="shared" si="63"/>
        <v/>
      </c>
      <c r="P168" s="102">
        <f t="shared" si="64"/>
        <v>0</v>
      </c>
      <c r="Q168" s="102">
        <f t="shared" si="65"/>
        <v>0</v>
      </c>
      <c r="R168" s="103"/>
      <c r="S168" s="104" t="s">
        <v>94</v>
      </c>
      <c r="T168" s="113"/>
      <c r="U168" s="98"/>
      <c r="V168" s="98"/>
      <c r="W168" s="98"/>
      <c r="X168" s="98"/>
      <c r="Y168" s="98"/>
      <c r="Z168" s="101" t="str">
        <f t="shared" si="66"/>
        <v/>
      </c>
      <c r="AA168" s="101" t="str">
        <f t="shared" si="67"/>
        <v>0</v>
      </c>
      <c r="AB168" s="101" t="str">
        <f t="shared" si="68"/>
        <v/>
      </c>
      <c r="AC168" s="101">
        <f>IFERROR(VLOOKUP(V168,Lista!A$3:D$33,3,0),1)</f>
        <v>1</v>
      </c>
      <c r="AD168" s="101">
        <f>IFERROR(VLOOKUP(V168,Lista!A$3:E$33,5,0),1)</f>
        <v>1</v>
      </c>
      <c r="AE168" s="107" t="str">
        <f t="shared" si="69"/>
        <v/>
      </c>
      <c r="AF168" s="107">
        <f t="shared" si="70"/>
        <v>0</v>
      </c>
      <c r="AG168" s="107">
        <f t="shared" si="71"/>
        <v>0</v>
      </c>
      <c r="AH168" s="109"/>
      <c r="AI168" s="104" t="s">
        <v>94</v>
      </c>
      <c r="AJ168" s="109"/>
      <c r="AK168" s="109"/>
    </row>
    <row r="169" spans="1:37" ht="15" customHeight="1" x14ac:dyDescent="0.35">
      <c r="A169" s="112"/>
      <c r="B169" s="99"/>
      <c r="C169" s="98"/>
      <c r="D169" s="98"/>
      <c r="E169" s="98"/>
      <c r="F169" s="111"/>
      <c r="G169" s="98"/>
      <c r="H169" s="111"/>
      <c r="I169" s="98"/>
      <c r="J169" s="101" t="str">
        <f t="shared" si="60"/>
        <v/>
      </c>
      <c r="K169" s="101" t="str">
        <f t="shared" si="61"/>
        <v>0</v>
      </c>
      <c r="L169" s="101" t="str">
        <f t="shared" si="62"/>
        <v/>
      </c>
      <c r="M169" s="101">
        <f>IFERROR(VLOOKUP(D169,Lista!A$3:D$33,3,0),1)</f>
        <v>1</v>
      </c>
      <c r="N169" s="101">
        <f>IFERROR(VLOOKUP(D169,Lista!A$3:E$33,5,0),1)</f>
        <v>1</v>
      </c>
      <c r="O169" s="102" t="str">
        <f t="shared" si="63"/>
        <v/>
      </c>
      <c r="P169" s="102">
        <f t="shared" si="64"/>
        <v>0</v>
      </c>
      <c r="Q169" s="102">
        <f t="shared" si="65"/>
        <v>0</v>
      </c>
      <c r="R169" s="103"/>
      <c r="S169" s="104" t="s">
        <v>94</v>
      </c>
      <c r="T169" s="113"/>
      <c r="U169" s="98"/>
      <c r="V169" s="98"/>
      <c r="W169" s="98"/>
      <c r="X169" s="98"/>
      <c r="Y169" s="98"/>
      <c r="Z169" s="101" t="str">
        <f t="shared" si="66"/>
        <v/>
      </c>
      <c r="AA169" s="101" t="str">
        <f t="shared" si="67"/>
        <v>0</v>
      </c>
      <c r="AB169" s="101" t="str">
        <f t="shared" si="68"/>
        <v/>
      </c>
      <c r="AC169" s="101">
        <f>IFERROR(VLOOKUP(V169,Lista!A$3:D$33,3,0),1)</f>
        <v>1</v>
      </c>
      <c r="AD169" s="101">
        <f>IFERROR(VLOOKUP(V169,Lista!A$3:E$33,5,0),1)</f>
        <v>1</v>
      </c>
      <c r="AE169" s="107" t="str">
        <f t="shared" si="69"/>
        <v/>
      </c>
      <c r="AF169" s="107">
        <f t="shared" si="70"/>
        <v>0</v>
      </c>
      <c r="AG169" s="107">
        <f t="shared" si="71"/>
        <v>0</v>
      </c>
      <c r="AH169" s="109"/>
      <c r="AI169" s="104" t="s">
        <v>94</v>
      </c>
      <c r="AJ169" s="109"/>
      <c r="AK169" s="109"/>
    </row>
    <row r="170" spans="1:37" ht="15" customHeight="1" x14ac:dyDescent="0.35">
      <c r="A170" s="112"/>
      <c r="B170" s="99"/>
      <c r="C170" s="98"/>
      <c r="D170" s="98"/>
      <c r="E170" s="98"/>
      <c r="F170" s="111"/>
      <c r="G170" s="98"/>
      <c r="H170" s="111"/>
      <c r="I170" s="98"/>
      <c r="J170" s="101" t="str">
        <f t="shared" si="60"/>
        <v/>
      </c>
      <c r="K170" s="101" t="str">
        <f t="shared" si="61"/>
        <v>0</v>
      </c>
      <c r="L170" s="101" t="str">
        <f t="shared" si="62"/>
        <v/>
      </c>
      <c r="M170" s="101">
        <f>IFERROR(VLOOKUP(D170,Lista!A$3:D$33,3,0),1)</f>
        <v>1</v>
      </c>
      <c r="N170" s="101">
        <f>IFERROR(VLOOKUP(D170,Lista!A$3:E$33,5,0),1)</f>
        <v>1</v>
      </c>
      <c r="O170" s="102" t="str">
        <f t="shared" si="63"/>
        <v/>
      </c>
      <c r="P170" s="102">
        <f t="shared" si="64"/>
        <v>0</v>
      </c>
      <c r="Q170" s="102">
        <f t="shared" si="65"/>
        <v>0</v>
      </c>
      <c r="R170" s="103"/>
      <c r="S170" s="104" t="s">
        <v>94</v>
      </c>
      <c r="T170" s="113"/>
      <c r="U170" s="98"/>
      <c r="V170" s="98"/>
      <c r="W170" s="98"/>
      <c r="X170" s="98"/>
      <c r="Y170" s="98"/>
      <c r="Z170" s="101" t="str">
        <f t="shared" si="66"/>
        <v/>
      </c>
      <c r="AA170" s="101" t="str">
        <f t="shared" si="67"/>
        <v>0</v>
      </c>
      <c r="AB170" s="101" t="str">
        <f t="shared" si="68"/>
        <v/>
      </c>
      <c r="AC170" s="101">
        <f>IFERROR(VLOOKUP(V170,Lista!A$3:D$33,3,0),1)</f>
        <v>1</v>
      </c>
      <c r="AD170" s="101">
        <f>IFERROR(VLOOKUP(V170,Lista!A$3:E$33,5,0),1)</f>
        <v>1</v>
      </c>
      <c r="AE170" s="107" t="str">
        <f t="shared" si="69"/>
        <v/>
      </c>
      <c r="AF170" s="107">
        <f t="shared" si="70"/>
        <v>0</v>
      </c>
      <c r="AG170" s="107">
        <f t="shared" si="71"/>
        <v>0</v>
      </c>
      <c r="AH170" s="109"/>
      <c r="AI170" s="104" t="s">
        <v>94</v>
      </c>
      <c r="AJ170" s="109"/>
      <c r="AK170" s="109"/>
    </row>
    <row r="171" spans="1:37" ht="15" customHeight="1" x14ac:dyDescent="0.35">
      <c r="A171" s="112"/>
      <c r="B171" s="99"/>
      <c r="C171" s="98"/>
      <c r="D171" s="98"/>
      <c r="E171" s="98"/>
      <c r="F171" s="111"/>
      <c r="G171" s="98"/>
      <c r="H171" s="111"/>
      <c r="I171" s="98"/>
      <c r="J171" s="101" t="str">
        <f t="shared" si="60"/>
        <v/>
      </c>
      <c r="K171" s="101" t="str">
        <f t="shared" si="61"/>
        <v>0</v>
      </c>
      <c r="L171" s="101" t="str">
        <f t="shared" si="62"/>
        <v/>
      </c>
      <c r="M171" s="101">
        <f>IFERROR(VLOOKUP(D171,Lista!A$3:D$33,3,0),1)</f>
        <v>1</v>
      </c>
      <c r="N171" s="101">
        <f>IFERROR(VLOOKUP(D171,Lista!A$3:E$33,5,0),1)</f>
        <v>1</v>
      </c>
      <c r="O171" s="102" t="str">
        <f t="shared" si="63"/>
        <v/>
      </c>
      <c r="P171" s="102">
        <f t="shared" si="64"/>
        <v>0</v>
      </c>
      <c r="Q171" s="102">
        <f t="shared" si="65"/>
        <v>0</v>
      </c>
      <c r="R171" s="103"/>
      <c r="S171" s="104" t="s">
        <v>94</v>
      </c>
      <c r="T171" s="113"/>
      <c r="U171" s="98"/>
      <c r="V171" s="98"/>
      <c r="W171" s="98"/>
      <c r="X171" s="98"/>
      <c r="Y171" s="98"/>
      <c r="Z171" s="101" t="str">
        <f t="shared" si="66"/>
        <v/>
      </c>
      <c r="AA171" s="101" t="str">
        <f t="shared" si="67"/>
        <v>0</v>
      </c>
      <c r="AB171" s="101" t="str">
        <f t="shared" si="68"/>
        <v/>
      </c>
      <c r="AC171" s="101">
        <f>IFERROR(VLOOKUP(V171,Lista!A$3:D$33,3,0),1)</f>
        <v>1</v>
      </c>
      <c r="AD171" s="101">
        <f>IFERROR(VLOOKUP(V171,Lista!A$3:E$33,5,0),1)</f>
        <v>1</v>
      </c>
      <c r="AE171" s="107" t="str">
        <f t="shared" si="69"/>
        <v/>
      </c>
      <c r="AF171" s="107">
        <f t="shared" si="70"/>
        <v>0</v>
      </c>
      <c r="AG171" s="107">
        <f t="shared" si="71"/>
        <v>0</v>
      </c>
      <c r="AH171" s="109"/>
      <c r="AI171" s="104" t="s">
        <v>94</v>
      </c>
      <c r="AJ171" s="109"/>
      <c r="AK171" s="109"/>
    </row>
    <row r="172" spans="1:37" ht="15" customHeight="1" x14ac:dyDescent="0.35">
      <c r="A172" s="112"/>
      <c r="B172" s="99"/>
      <c r="C172" s="98"/>
      <c r="D172" s="98"/>
      <c r="E172" s="98"/>
      <c r="F172" s="111"/>
      <c r="G172" s="98"/>
      <c r="H172" s="111"/>
      <c r="I172" s="98"/>
      <c r="J172" s="101" t="str">
        <f t="shared" si="60"/>
        <v/>
      </c>
      <c r="K172" s="101" t="str">
        <f t="shared" si="61"/>
        <v>0</v>
      </c>
      <c r="L172" s="101" t="str">
        <f t="shared" si="62"/>
        <v/>
      </c>
      <c r="M172" s="101">
        <f>IFERROR(VLOOKUP(D172,Lista!A$3:D$33,3,0),1)</f>
        <v>1</v>
      </c>
      <c r="N172" s="101">
        <f>IFERROR(VLOOKUP(D172,Lista!A$3:E$33,5,0),1)</f>
        <v>1</v>
      </c>
      <c r="O172" s="102" t="str">
        <f t="shared" si="63"/>
        <v/>
      </c>
      <c r="P172" s="102">
        <f t="shared" si="64"/>
        <v>0</v>
      </c>
      <c r="Q172" s="102">
        <f t="shared" si="65"/>
        <v>0</v>
      </c>
      <c r="R172" s="103"/>
      <c r="S172" s="104" t="s">
        <v>94</v>
      </c>
      <c r="T172" s="113"/>
      <c r="U172" s="98"/>
      <c r="V172" s="98"/>
      <c r="W172" s="98"/>
      <c r="X172" s="98"/>
      <c r="Y172" s="98"/>
      <c r="Z172" s="101" t="str">
        <f t="shared" si="66"/>
        <v/>
      </c>
      <c r="AA172" s="101" t="str">
        <f t="shared" si="67"/>
        <v>0</v>
      </c>
      <c r="AB172" s="101" t="str">
        <f t="shared" si="68"/>
        <v/>
      </c>
      <c r="AC172" s="101">
        <f>IFERROR(VLOOKUP(V172,Lista!A$3:D$33,3,0),1)</f>
        <v>1</v>
      </c>
      <c r="AD172" s="101">
        <f>IFERROR(VLOOKUP(V172,Lista!A$3:E$33,5,0),1)</f>
        <v>1</v>
      </c>
      <c r="AE172" s="107" t="str">
        <f t="shared" si="69"/>
        <v/>
      </c>
      <c r="AF172" s="107">
        <f t="shared" si="70"/>
        <v>0</v>
      </c>
      <c r="AG172" s="107">
        <f t="shared" si="71"/>
        <v>0</v>
      </c>
      <c r="AH172" s="109"/>
      <c r="AI172" s="104" t="s">
        <v>94</v>
      </c>
      <c r="AJ172" s="109"/>
      <c r="AK172" s="109"/>
    </row>
    <row r="173" spans="1:37" ht="15" customHeight="1" x14ac:dyDescent="0.35">
      <c r="A173" s="112"/>
      <c r="B173" s="99"/>
      <c r="C173" s="98"/>
      <c r="D173" s="98"/>
      <c r="E173" s="98"/>
      <c r="F173" s="111"/>
      <c r="G173" s="98"/>
      <c r="H173" s="111"/>
      <c r="I173" s="98"/>
      <c r="J173" s="101" t="str">
        <f t="shared" si="60"/>
        <v/>
      </c>
      <c r="K173" s="101" t="str">
        <f t="shared" si="61"/>
        <v>0</v>
      </c>
      <c r="L173" s="101" t="str">
        <f t="shared" si="62"/>
        <v/>
      </c>
      <c r="M173" s="101">
        <f>IFERROR(VLOOKUP(D173,Lista!A$3:D$33,3,0),1)</f>
        <v>1</v>
      </c>
      <c r="N173" s="101">
        <f>IFERROR(VLOOKUP(D173,Lista!A$3:E$33,5,0),1)</f>
        <v>1</v>
      </c>
      <c r="O173" s="102" t="str">
        <f t="shared" si="63"/>
        <v/>
      </c>
      <c r="P173" s="102">
        <f t="shared" si="64"/>
        <v>0</v>
      </c>
      <c r="Q173" s="102">
        <f t="shared" si="65"/>
        <v>0</v>
      </c>
      <c r="R173" s="103"/>
      <c r="S173" s="104" t="s">
        <v>94</v>
      </c>
      <c r="T173" s="113"/>
      <c r="U173" s="98"/>
      <c r="V173" s="98"/>
      <c r="W173" s="98"/>
      <c r="X173" s="98"/>
      <c r="Y173" s="98"/>
      <c r="Z173" s="101" t="str">
        <f t="shared" si="66"/>
        <v/>
      </c>
      <c r="AA173" s="101" t="str">
        <f t="shared" si="67"/>
        <v>0</v>
      </c>
      <c r="AB173" s="101" t="str">
        <f t="shared" si="68"/>
        <v/>
      </c>
      <c r="AC173" s="101">
        <f>IFERROR(VLOOKUP(V173,Lista!A$3:D$33,3,0),1)</f>
        <v>1</v>
      </c>
      <c r="AD173" s="101">
        <f>IFERROR(VLOOKUP(V173,Lista!A$3:E$33,5,0),1)</f>
        <v>1</v>
      </c>
      <c r="AE173" s="107" t="str">
        <f t="shared" si="69"/>
        <v/>
      </c>
      <c r="AF173" s="107">
        <f t="shared" si="70"/>
        <v>0</v>
      </c>
      <c r="AG173" s="107">
        <f t="shared" si="71"/>
        <v>0</v>
      </c>
      <c r="AH173" s="109"/>
      <c r="AI173" s="104" t="s">
        <v>94</v>
      </c>
      <c r="AJ173" s="109"/>
      <c r="AK173" s="109"/>
    </row>
    <row r="174" spans="1:37" ht="15" customHeight="1" x14ac:dyDescent="0.35">
      <c r="A174" s="112"/>
      <c r="B174" s="99"/>
      <c r="C174" s="98"/>
      <c r="D174" s="98"/>
      <c r="E174" s="98"/>
      <c r="F174" s="111"/>
      <c r="G174" s="98"/>
      <c r="H174" s="111"/>
      <c r="I174" s="98"/>
      <c r="J174" s="101" t="str">
        <f t="shared" si="60"/>
        <v/>
      </c>
      <c r="K174" s="101" t="str">
        <f t="shared" si="61"/>
        <v>0</v>
      </c>
      <c r="L174" s="101" t="str">
        <f t="shared" si="62"/>
        <v/>
      </c>
      <c r="M174" s="101">
        <f>IFERROR(VLOOKUP(D174,Lista!A$3:D$33,3,0),1)</f>
        <v>1</v>
      </c>
      <c r="N174" s="101">
        <f>IFERROR(VLOOKUP(D174,Lista!A$3:E$33,5,0),1)</f>
        <v>1</v>
      </c>
      <c r="O174" s="102" t="str">
        <f t="shared" si="63"/>
        <v/>
      </c>
      <c r="P174" s="102">
        <f t="shared" si="64"/>
        <v>0</v>
      </c>
      <c r="Q174" s="102">
        <f t="shared" si="65"/>
        <v>0</v>
      </c>
      <c r="R174" s="103"/>
      <c r="S174" s="104" t="s">
        <v>94</v>
      </c>
      <c r="T174" s="113"/>
      <c r="U174" s="98"/>
      <c r="V174" s="98"/>
      <c r="W174" s="98"/>
      <c r="X174" s="98"/>
      <c r="Y174" s="98"/>
      <c r="Z174" s="101" t="str">
        <f t="shared" si="66"/>
        <v/>
      </c>
      <c r="AA174" s="101" t="str">
        <f t="shared" si="67"/>
        <v>0</v>
      </c>
      <c r="AB174" s="101" t="str">
        <f t="shared" si="68"/>
        <v/>
      </c>
      <c r="AC174" s="101">
        <f>IFERROR(VLOOKUP(V174,Lista!A$3:D$33,3,0),1)</f>
        <v>1</v>
      </c>
      <c r="AD174" s="101">
        <f>IFERROR(VLOOKUP(V174,Lista!A$3:E$33,5,0),1)</f>
        <v>1</v>
      </c>
      <c r="AE174" s="107" t="str">
        <f t="shared" si="69"/>
        <v/>
      </c>
      <c r="AF174" s="107">
        <f t="shared" si="70"/>
        <v>0</v>
      </c>
      <c r="AG174" s="107">
        <f t="shared" si="71"/>
        <v>0</v>
      </c>
      <c r="AH174" s="109"/>
      <c r="AI174" s="104" t="s">
        <v>94</v>
      </c>
      <c r="AJ174" s="109"/>
      <c r="AK174" s="109"/>
    </row>
    <row r="175" spans="1:37" ht="15" customHeight="1" x14ac:dyDescent="0.35">
      <c r="A175" s="112"/>
      <c r="B175" s="99"/>
      <c r="C175" s="98"/>
      <c r="D175" s="98"/>
      <c r="E175" s="98"/>
      <c r="F175" s="111"/>
      <c r="G175" s="98"/>
      <c r="H175" s="111"/>
      <c r="I175" s="98"/>
      <c r="J175" s="101" t="str">
        <f t="shared" si="60"/>
        <v/>
      </c>
      <c r="K175" s="101" t="str">
        <f t="shared" si="61"/>
        <v>0</v>
      </c>
      <c r="L175" s="101" t="str">
        <f t="shared" si="62"/>
        <v/>
      </c>
      <c r="M175" s="101">
        <f>IFERROR(VLOOKUP(D175,Lista!A$3:D$33,3,0),1)</f>
        <v>1</v>
      </c>
      <c r="N175" s="101">
        <f>IFERROR(VLOOKUP(D175,Lista!A$3:E$33,5,0),1)</f>
        <v>1</v>
      </c>
      <c r="O175" s="102" t="str">
        <f t="shared" si="63"/>
        <v/>
      </c>
      <c r="P175" s="102">
        <f t="shared" si="64"/>
        <v>0</v>
      </c>
      <c r="Q175" s="102">
        <f t="shared" si="65"/>
        <v>0</v>
      </c>
      <c r="R175" s="103"/>
      <c r="S175" s="104" t="s">
        <v>94</v>
      </c>
      <c r="T175" s="113"/>
      <c r="U175" s="98"/>
      <c r="V175" s="98"/>
      <c r="W175" s="98"/>
      <c r="X175" s="98"/>
      <c r="Y175" s="98"/>
      <c r="Z175" s="101" t="str">
        <f t="shared" si="66"/>
        <v/>
      </c>
      <c r="AA175" s="101" t="str">
        <f t="shared" si="67"/>
        <v>0</v>
      </c>
      <c r="AB175" s="101" t="str">
        <f t="shared" si="68"/>
        <v/>
      </c>
      <c r="AC175" s="101">
        <f>IFERROR(VLOOKUP(V175,Lista!A$3:D$33,3,0),1)</f>
        <v>1</v>
      </c>
      <c r="AD175" s="101">
        <f>IFERROR(VLOOKUP(V175,Lista!A$3:E$33,5,0),1)</f>
        <v>1</v>
      </c>
      <c r="AE175" s="107" t="str">
        <f t="shared" si="69"/>
        <v/>
      </c>
      <c r="AF175" s="107">
        <f t="shared" si="70"/>
        <v>0</v>
      </c>
      <c r="AG175" s="107">
        <f t="shared" si="71"/>
        <v>0</v>
      </c>
      <c r="AH175" s="109"/>
      <c r="AI175" s="104" t="s">
        <v>94</v>
      </c>
      <c r="AJ175" s="109"/>
      <c r="AK175" s="109"/>
    </row>
    <row r="176" spans="1:37" ht="15" customHeight="1" x14ac:dyDescent="0.35">
      <c r="A176" s="112"/>
      <c r="B176" s="99"/>
      <c r="C176" s="98"/>
      <c r="D176" s="98"/>
      <c r="E176" s="98"/>
      <c r="F176" s="111"/>
      <c r="G176" s="98"/>
      <c r="H176" s="111"/>
      <c r="I176" s="98"/>
      <c r="J176" s="101" t="str">
        <f t="shared" si="60"/>
        <v/>
      </c>
      <c r="K176" s="101" t="str">
        <f t="shared" si="61"/>
        <v>0</v>
      </c>
      <c r="L176" s="101" t="str">
        <f t="shared" si="62"/>
        <v/>
      </c>
      <c r="M176" s="101">
        <f>IFERROR(VLOOKUP(D176,Lista!A$3:D$33,3,0),1)</f>
        <v>1</v>
      </c>
      <c r="N176" s="101">
        <f>IFERROR(VLOOKUP(D176,Lista!A$3:E$33,5,0),1)</f>
        <v>1</v>
      </c>
      <c r="O176" s="102" t="str">
        <f t="shared" si="63"/>
        <v/>
      </c>
      <c r="P176" s="102">
        <f t="shared" si="64"/>
        <v>0</v>
      </c>
      <c r="Q176" s="102">
        <f t="shared" si="65"/>
        <v>0</v>
      </c>
      <c r="R176" s="103"/>
      <c r="S176" s="104" t="s">
        <v>94</v>
      </c>
      <c r="T176" s="113"/>
      <c r="U176" s="98"/>
      <c r="V176" s="98"/>
      <c r="W176" s="98"/>
      <c r="X176" s="98"/>
      <c r="Y176" s="98"/>
      <c r="Z176" s="101" t="str">
        <f t="shared" si="66"/>
        <v/>
      </c>
      <c r="AA176" s="101" t="str">
        <f t="shared" si="67"/>
        <v>0</v>
      </c>
      <c r="AB176" s="101" t="str">
        <f t="shared" si="68"/>
        <v/>
      </c>
      <c r="AC176" s="101">
        <f>IFERROR(VLOOKUP(V176,Lista!A$3:D$33,3,0),1)</f>
        <v>1</v>
      </c>
      <c r="AD176" s="101">
        <f>IFERROR(VLOOKUP(V176,Lista!A$3:E$33,5,0),1)</f>
        <v>1</v>
      </c>
      <c r="AE176" s="107" t="str">
        <f t="shared" si="69"/>
        <v/>
      </c>
      <c r="AF176" s="107">
        <f t="shared" si="70"/>
        <v>0</v>
      </c>
      <c r="AG176" s="107">
        <f t="shared" si="71"/>
        <v>0</v>
      </c>
      <c r="AH176" s="109"/>
      <c r="AI176" s="104" t="s">
        <v>94</v>
      </c>
      <c r="AJ176" s="109"/>
      <c r="AK176" s="109"/>
    </row>
    <row r="177" spans="1:37" ht="15" customHeight="1" x14ac:dyDescent="0.35">
      <c r="A177" s="112"/>
      <c r="B177" s="99"/>
      <c r="C177" s="98"/>
      <c r="D177" s="98"/>
      <c r="E177" s="98"/>
      <c r="F177" s="111"/>
      <c r="G177" s="98"/>
      <c r="H177" s="111"/>
      <c r="I177" s="98"/>
      <c r="J177" s="101" t="str">
        <f t="shared" si="60"/>
        <v/>
      </c>
      <c r="K177" s="101" t="str">
        <f t="shared" si="61"/>
        <v>0</v>
      </c>
      <c r="L177" s="101" t="str">
        <f t="shared" si="62"/>
        <v/>
      </c>
      <c r="M177" s="101">
        <f>IFERROR(VLOOKUP(D177,Lista!A$3:D$33,3,0),1)</f>
        <v>1</v>
      </c>
      <c r="N177" s="101">
        <f>IFERROR(VLOOKUP(D177,Lista!A$3:E$33,5,0),1)</f>
        <v>1</v>
      </c>
      <c r="O177" s="102" t="str">
        <f t="shared" si="63"/>
        <v/>
      </c>
      <c r="P177" s="102">
        <f t="shared" si="64"/>
        <v>0</v>
      </c>
      <c r="Q177" s="102">
        <f t="shared" si="65"/>
        <v>0</v>
      </c>
      <c r="R177" s="103"/>
      <c r="S177" s="104" t="s">
        <v>94</v>
      </c>
      <c r="T177" s="113"/>
      <c r="U177" s="98"/>
      <c r="V177" s="98"/>
      <c r="W177" s="98"/>
      <c r="X177" s="98"/>
      <c r="Y177" s="98"/>
      <c r="Z177" s="101" t="str">
        <f t="shared" si="66"/>
        <v/>
      </c>
      <c r="AA177" s="101" t="str">
        <f t="shared" si="67"/>
        <v>0</v>
      </c>
      <c r="AB177" s="101" t="str">
        <f t="shared" si="68"/>
        <v/>
      </c>
      <c r="AC177" s="101">
        <f>IFERROR(VLOOKUP(V177,Lista!A$3:D$33,3,0),1)</f>
        <v>1</v>
      </c>
      <c r="AD177" s="101">
        <f>IFERROR(VLOOKUP(V177,Lista!A$3:E$33,5,0),1)</f>
        <v>1</v>
      </c>
      <c r="AE177" s="107" t="str">
        <f t="shared" si="69"/>
        <v/>
      </c>
      <c r="AF177" s="107">
        <f t="shared" si="70"/>
        <v>0</v>
      </c>
      <c r="AG177" s="107">
        <f t="shared" si="71"/>
        <v>0</v>
      </c>
      <c r="AH177" s="109"/>
      <c r="AI177" s="104" t="s">
        <v>94</v>
      </c>
      <c r="AJ177" s="109"/>
      <c r="AK177" s="109"/>
    </row>
    <row r="178" spans="1:37" ht="15" customHeight="1" x14ac:dyDescent="0.35">
      <c r="A178" s="112"/>
      <c r="B178" s="99"/>
      <c r="C178" s="98"/>
      <c r="D178" s="98"/>
      <c r="E178" s="98"/>
      <c r="F178" s="111"/>
      <c r="G178" s="98"/>
      <c r="H178" s="111"/>
      <c r="I178" s="98"/>
      <c r="J178" s="101" t="str">
        <f t="shared" si="60"/>
        <v/>
      </c>
      <c r="K178" s="101" t="str">
        <f t="shared" si="61"/>
        <v>0</v>
      </c>
      <c r="L178" s="101" t="str">
        <f t="shared" si="62"/>
        <v/>
      </c>
      <c r="M178" s="101">
        <f>IFERROR(VLOOKUP(D178,Lista!A$3:D$33,3,0),1)</f>
        <v>1</v>
      </c>
      <c r="N178" s="101">
        <f>IFERROR(VLOOKUP(D178,Lista!A$3:E$33,5,0),1)</f>
        <v>1</v>
      </c>
      <c r="O178" s="102" t="str">
        <f t="shared" si="63"/>
        <v/>
      </c>
      <c r="P178" s="102">
        <f t="shared" si="64"/>
        <v>0</v>
      </c>
      <c r="Q178" s="102">
        <f t="shared" si="65"/>
        <v>0</v>
      </c>
      <c r="R178" s="103"/>
      <c r="S178" s="104" t="s">
        <v>94</v>
      </c>
      <c r="T178" s="113"/>
      <c r="U178" s="98"/>
      <c r="V178" s="98"/>
      <c r="W178" s="98"/>
      <c r="X178" s="98"/>
      <c r="Y178" s="98"/>
      <c r="Z178" s="101" t="str">
        <f t="shared" si="66"/>
        <v/>
      </c>
      <c r="AA178" s="101" t="str">
        <f t="shared" si="67"/>
        <v>0</v>
      </c>
      <c r="AB178" s="101" t="str">
        <f t="shared" si="68"/>
        <v/>
      </c>
      <c r="AC178" s="101">
        <f>IFERROR(VLOOKUP(V178,Lista!A$3:D$33,3,0),1)</f>
        <v>1</v>
      </c>
      <c r="AD178" s="101">
        <f>IFERROR(VLOOKUP(V178,Lista!A$3:E$33,5,0),1)</f>
        <v>1</v>
      </c>
      <c r="AE178" s="107" t="str">
        <f t="shared" si="69"/>
        <v/>
      </c>
      <c r="AF178" s="107">
        <f t="shared" si="70"/>
        <v>0</v>
      </c>
      <c r="AG178" s="107">
        <f t="shared" si="71"/>
        <v>0</v>
      </c>
      <c r="AH178" s="109"/>
      <c r="AI178" s="104" t="s">
        <v>94</v>
      </c>
      <c r="AJ178" s="109"/>
      <c r="AK178" s="109"/>
    </row>
    <row r="179" spans="1:37" ht="15" customHeight="1" x14ac:dyDescent="0.35">
      <c r="A179" s="112"/>
      <c r="B179" s="99"/>
      <c r="C179" s="98"/>
      <c r="D179" s="98"/>
      <c r="E179" s="98"/>
      <c r="F179" s="111"/>
      <c r="G179" s="98"/>
      <c r="H179" s="111"/>
      <c r="I179" s="98"/>
      <c r="J179" s="101" t="str">
        <f t="shared" si="60"/>
        <v/>
      </c>
      <c r="K179" s="101" t="str">
        <f t="shared" si="61"/>
        <v>0</v>
      </c>
      <c r="L179" s="101" t="str">
        <f t="shared" si="62"/>
        <v/>
      </c>
      <c r="M179" s="101">
        <f>IFERROR(VLOOKUP(D179,Lista!A$3:D$33,3,0),1)</f>
        <v>1</v>
      </c>
      <c r="N179" s="101">
        <f>IFERROR(VLOOKUP(D179,Lista!A$3:E$33,5,0),1)</f>
        <v>1</v>
      </c>
      <c r="O179" s="102" t="str">
        <f t="shared" si="63"/>
        <v/>
      </c>
      <c r="P179" s="102">
        <f t="shared" si="64"/>
        <v>0</v>
      </c>
      <c r="Q179" s="102">
        <f t="shared" si="65"/>
        <v>0</v>
      </c>
      <c r="R179" s="103"/>
      <c r="S179" s="104" t="s">
        <v>94</v>
      </c>
      <c r="T179" s="113"/>
      <c r="U179" s="98"/>
      <c r="V179" s="98"/>
      <c r="W179" s="98"/>
      <c r="X179" s="98"/>
      <c r="Y179" s="98"/>
      <c r="Z179" s="101" t="str">
        <f t="shared" si="66"/>
        <v/>
      </c>
      <c r="AA179" s="101" t="str">
        <f t="shared" si="67"/>
        <v>0</v>
      </c>
      <c r="AB179" s="101" t="str">
        <f t="shared" si="68"/>
        <v/>
      </c>
      <c r="AC179" s="101">
        <f>IFERROR(VLOOKUP(V179,Lista!A$3:D$33,3,0),1)</f>
        <v>1</v>
      </c>
      <c r="AD179" s="101">
        <f>IFERROR(VLOOKUP(V179,Lista!A$3:E$33,5,0),1)</f>
        <v>1</v>
      </c>
      <c r="AE179" s="107" t="str">
        <f t="shared" si="69"/>
        <v/>
      </c>
      <c r="AF179" s="107">
        <f t="shared" si="70"/>
        <v>0</v>
      </c>
      <c r="AG179" s="107">
        <f t="shared" si="71"/>
        <v>0</v>
      </c>
      <c r="AH179" s="109"/>
      <c r="AI179" s="104" t="s">
        <v>94</v>
      </c>
      <c r="AJ179" s="109"/>
      <c r="AK179" s="109"/>
    </row>
    <row r="180" spans="1:37" ht="15" customHeight="1" x14ac:dyDescent="0.35">
      <c r="A180" s="112"/>
      <c r="B180" s="99"/>
      <c r="C180" s="98"/>
      <c r="D180" s="98"/>
      <c r="E180" s="98"/>
      <c r="F180" s="111"/>
      <c r="G180" s="98"/>
      <c r="H180" s="111"/>
      <c r="I180" s="98"/>
      <c r="J180" s="101" t="str">
        <f t="shared" si="60"/>
        <v/>
      </c>
      <c r="K180" s="101" t="str">
        <f t="shared" si="61"/>
        <v>0</v>
      </c>
      <c r="L180" s="101" t="str">
        <f t="shared" si="62"/>
        <v/>
      </c>
      <c r="M180" s="101">
        <f>IFERROR(VLOOKUP(D180,Lista!A$3:D$33,3,0),1)</f>
        <v>1</v>
      </c>
      <c r="N180" s="101">
        <f>IFERROR(VLOOKUP(D180,Lista!A$3:E$33,5,0),1)</f>
        <v>1</v>
      </c>
      <c r="O180" s="102" t="str">
        <f t="shared" si="63"/>
        <v/>
      </c>
      <c r="P180" s="102">
        <f t="shared" si="64"/>
        <v>0</v>
      </c>
      <c r="Q180" s="102">
        <f t="shared" si="65"/>
        <v>0</v>
      </c>
      <c r="R180" s="103"/>
      <c r="S180" s="104" t="s">
        <v>94</v>
      </c>
      <c r="T180" s="113"/>
      <c r="U180" s="98"/>
      <c r="V180" s="98"/>
      <c r="W180" s="98"/>
      <c r="X180" s="98"/>
      <c r="Y180" s="98"/>
      <c r="Z180" s="101" t="str">
        <f t="shared" si="66"/>
        <v/>
      </c>
      <c r="AA180" s="101" t="str">
        <f t="shared" si="67"/>
        <v>0</v>
      </c>
      <c r="AB180" s="101" t="str">
        <f t="shared" si="68"/>
        <v/>
      </c>
      <c r="AC180" s="101">
        <f>IFERROR(VLOOKUP(V180,Lista!A$3:D$33,3,0),1)</f>
        <v>1</v>
      </c>
      <c r="AD180" s="101">
        <f>IFERROR(VLOOKUP(V180,Lista!A$3:E$33,5,0),1)</f>
        <v>1</v>
      </c>
      <c r="AE180" s="107" t="str">
        <f t="shared" si="69"/>
        <v/>
      </c>
      <c r="AF180" s="107">
        <f t="shared" si="70"/>
        <v>0</v>
      </c>
      <c r="AG180" s="107">
        <f t="shared" si="71"/>
        <v>0</v>
      </c>
      <c r="AH180" s="109"/>
      <c r="AI180" s="104" t="s">
        <v>94</v>
      </c>
      <c r="AJ180" s="109"/>
      <c r="AK180" s="109"/>
    </row>
    <row r="181" spans="1:37" ht="15" customHeight="1" x14ac:dyDescent="0.35">
      <c r="A181" s="112"/>
      <c r="B181" s="99"/>
      <c r="C181" s="98"/>
      <c r="D181" s="98"/>
      <c r="E181" s="98"/>
      <c r="F181" s="111"/>
      <c r="G181" s="98"/>
      <c r="H181" s="111"/>
      <c r="I181" s="98"/>
      <c r="J181" s="101" t="str">
        <f t="shared" si="60"/>
        <v/>
      </c>
      <c r="K181" s="101" t="str">
        <f t="shared" si="61"/>
        <v>0</v>
      </c>
      <c r="L181" s="101" t="str">
        <f t="shared" si="62"/>
        <v/>
      </c>
      <c r="M181" s="101">
        <f>IFERROR(VLOOKUP(D181,Lista!A$3:D$33,3,0),1)</f>
        <v>1</v>
      </c>
      <c r="N181" s="101">
        <f>IFERROR(VLOOKUP(D181,Lista!A$3:E$33,5,0),1)</f>
        <v>1</v>
      </c>
      <c r="O181" s="102" t="str">
        <f t="shared" si="63"/>
        <v/>
      </c>
      <c r="P181" s="102">
        <f t="shared" si="64"/>
        <v>0</v>
      </c>
      <c r="Q181" s="102">
        <f t="shared" si="65"/>
        <v>0</v>
      </c>
      <c r="R181" s="103"/>
      <c r="S181" s="104" t="s">
        <v>94</v>
      </c>
      <c r="T181" s="113"/>
      <c r="U181" s="98"/>
      <c r="V181" s="98"/>
      <c r="W181" s="98"/>
      <c r="X181" s="98"/>
      <c r="Y181" s="98"/>
      <c r="Z181" s="101" t="str">
        <f t="shared" si="66"/>
        <v/>
      </c>
      <c r="AA181" s="101" t="str">
        <f t="shared" si="67"/>
        <v>0</v>
      </c>
      <c r="AB181" s="101" t="str">
        <f t="shared" si="68"/>
        <v/>
      </c>
      <c r="AC181" s="101">
        <f>IFERROR(VLOOKUP(V181,Lista!A$3:D$33,3,0),1)</f>
        <v>1</v>
      </c>
      <c r="AD181" s="101">
        <f>IFERROR(VLOOKUP(V181,Lista!A$3:E$33,5,0),1)</f>
        <v>1</v>
      </c>
      <c r="AE181" s="107" t="str">
        <f t="shared" si="69"/>
        <v/>
      </c>
      <c r="AF181" s="107">
        <f t="shared" si="70"/>
        <v>0</v>
      </c>
      <c r="AG181" s="107">
        <f t="shared" si="71"/>
        <v>0</v>
      </c>
      <c r="AH181" s="109"/>
      <c r="AI181" s="104" t="s">
        <v>94</v>
      </c>
      <c r="AJ181" s="109"/>
      <c r="AK181" s="109"/>
    </row>
    <row r="182" spans="1:37" ht="15" customHeight="1" x14ac:dyDescent="0.35">
      <c r="A182" s="112"/>
      <c r="B182" s="99"/>
      <c r="C182" s="98"/>
      <c r="D182" s="98"/>
      <c r="E182" s="98"/>
      <c r="F182" s="111"/>
      <c r="G182" s="98"/>
      <c r="H182" s="111"/>
      <c r="I182" s="98"/>
      <c r="J182" s="101" t="str">
        <f t="shared" si="60"/>
        <v/>
      </c>
      <c r="K182" s="101" t="str">
        <f t="shared" si="61"/>
        <v>0</v>
      </c>
      <c r="L182" s="101" t="str">
        <f t="shared" si="62"/>
        <v/>
      </c>
      <c r="M182" s="101">
        <f>IFERROR(VLOOKUP(D182,Lista!A$3:D$33,3,0),1)</f>
        <v>1</v>
      </c>
      <c r="N182" s="101">
        <f>IFERROR(VLOOKUP(D182,Lista!A$3:E$33,5,0),1)</f>
        <v>1</v>
      </c>
      <c r="O182" s="102" t="str">
        <f t="shared" si="63"/>
        <v/>
      </c>
      <c r="P182" s="102">
        <f t="shared" si="64"/>
        <v>0</v>
      </c>
      <c r="Q182" s="102">
        <f t="shared" si="65"/>
        <v>0</v>
      </c>
      <c r="R182" s="103"/>
      <c r="S182" s="104" t="s">
        <v>94</v>
      </c>
      <c r="T182" s="113"/>
      <c r="U182" s="98"/>
      <c r="V182" s="98"/>
      <c r="W182" s="98"/>
      <c r="X182" s="98"/>
      <c r="Y182" s="98"/>
      <c r="Z182" s="101" t="str">
        <f t="shared" si="66"/>
        <v/>
      </c>
      <c r="AA182" s="101" t="str">
        <f t="shared" si="67"/>
        <v>0</v>
      </c>
      <c r="AB182" s="101" t="str">
        <f t="shared" si="68"/>
        <v/>
      </c>
      <c r="AC182" s="101">
        <f>IFERROR(VLOOKUP(V182,Lista!A$3:D$33,3,0),1)</f>
        <v>1</v>
      </c>
      <c r="AD182" s="101">
        <f>IFERROR(VLOOKUP(V182,Lista!A$3:E$33,5,0),1)</f>
        <v>1</v>
      </c>
      <c r="AE182" s="107" t="str">
        <f t="shared" si="69"/>
        <v/>
      </c>
      <c r="AF182" s="107">
        <f t="shared" si="70"/>
        <v>0</v>
      </c>
      <c r="AG182" s="107">
        <f t="shared" si="71"/>
        <v>0</v>
      </c>
      <c r="AH182" s="109"/>
      <c r="AI182" s="104" t="s">
        <v>94</v>
      </c>
      <c r="AJ182" s="109"/>
      <c r="AK182" s="109"/>
    </row>
    <row r="183" spans="1:37" ht="15" customHeight="1" x14ac:dyDescent="0.35">
      <c r="A183" s="112"/>
      <c r="B183" s="99"/>
      <c r="C183" s="98"/>
      <c r="D183" s="98"/>
      <c r="E183" s="98"/>
      <c r="F183" s="111"/>
      <c r="G183" s="98"/>
      <c r="H183" s="111"/>
      <c r="I183" s="98"/>
      <c r="J183" s="101" t="str">
        <f t="shared" si="60"/>
        <v/>
      </c>
      <c r="K183" s="101" t="str">
        <f t="shared" si="61"/>
        <v>0</v>
      </c>
      <c r="L183" s="101" t="str">
        <f t="shared" si="62"/>
        <v/>
      </c>
      <c r="M183" s="101">
        <f>IFERROR(VLOOKUP(D183,Lista!A$3:D$33,3,0),1)</f>
        <v>1</v>
      </c>
      <c r="N183" s="101">
        <f>IFERROR(VLOOKUP(D183,Lista!A$3:E$33,5,0),1)</f>
        <v>1</v>
      </c>
      <c r="O183" s="102" t="str">
        <f t="shared" si="63"/>
        <v/>
      </c>
      <c r="P183" s="102">
        <f t="shared" si="64"/>
        <v>0</v>
      </c>
      <c r="Q183" s="102">
        <f t="shared" si="65"/>
        <v>0</v>
      </c>
      <c r="R183" s="103"/>
      <c r="S183" s="104" t="s">
        <v>94</v>
      </c>
      <c r="T183" s="113"/>
      <c r="U183" s="98"/>
      <c r="V183" s="98"/>
      <c r="W183" s="98"/>
      <c r="X183" s="98"/>
      <c r="Y183" s="98"/>
      <c r="Z183" s="101" t="str">
        <f t="shared" si="66"/>
        <v/>
      </c>
      <c r="AA183" s="101" t="str">
        <f t="shared" si="67"/>
        <v>0</v>
      </c>
      <c r="AB183" s="101" t="str">
        <f t="shared" si="68"/>
        <v/>
      </c>
      <c r="AC183" s="101">
        <f>IFERROR(VLOOKUP(V183,Lista!A$3:D$33,3,0),1)</f>
        <v>1</v>
      </c>
      <c r="AD183" s="101">
        <f>IFERROR(VLOOKUP(V183,Lista!A$3:E$33,5,0),1)</f>
        <v>1</v>
      </c>
      <c r="AE183" s="107" t="str">
        <f t="shared" si="69"/>
        <v/>
      </c>
      <c r="AF183" s="107">
        <f t="shared" si="70"/>
        <v>0</v>
      </c>
      <c r="AG183" s="107">
        <f t="shared" si="71"/>
        <v>0</v>
      </c>
      <c r="AH183" s="109"/>
      <c r="AI183" s="104" t="s">
        <v>94</v>
      </c>
      <c r="AJ183" s="109"/>
      <c r="AK183" s="109"/>
    </row>
    <row r="184" spans="1:37" ht="15" customHeight="1" x14ac:dyDescent="0.35">
      <c r="A184" s="112"/>
      <c r="B184" s="99"/>
      <c r="C184" s="98"/>
      <c r="D184" s="98"/>
      <c r="E184" s="98"/>
      <c r="F184" s="111"/>
      <c r="G184" s="98"/>
      <c r="H184" s="111"/>
      <c r="I184" s="98"/>
      <c r="J184" s="101" t="str">
        <f t="shared" si="60"/>
        <v/>
      </c>
      <c r="K184" s="101" t="str">
        <f t="shared" si="61"/>
        <v>0</v>
      </c>
      <c r="L184" s="101" t="str">
        <f t="shared" si="62"/>
        <v/>
      </c>
      <c r="M184" s="101">
        <f>IFERROR(VLOOKUP(D184,Lista!A$3:D$33,3,0),1)</f>
        <v>1</v>
      </c>
      <c r="N184" s="101">
        <f>IFERROR(VLOOKUP(D184,Lista!A$3:E$33,5,0),1)</f>
        <v>1</v>
      </c>
      <c r="O184" s="102" t="str">
        <f t="shared" si="63"/>
        <v/>
      </c>
      <c r="P184" s="102">
        <f t="shared" si="64"/>
        <v>0</v>
      </c>
      <c r="Q184" s="102">
        <f t="shared" si="65"/>
        <v>0</v>
      </c>
      <c r="R184" s="103"/>
      <c r="S184" s="104" t="s">
        <v>94</v>
      </c>
      <c r="T184" s="113"/>
      <c r="U184" s="98"/>
      <c r="V184" s="98"/>
      <c r="W184" s="98"/>
      <c r="X184" s="98"/>
      <c r="Y184" s="98"/>
      <c r="Z184" s="101" t="str">
        <f t="shared" si="66"/>
        <v/>
      </c>
      <c r="AA184" s="101" t="str">
        <f t="shared" si="67"/>
        <v>0</v>
      </c>
      <c r="AB184" s="101" t="str">
        <f t="shared" si="68"/>
        <v/>
      </c>
      <c r="AC184" s="101">
        <f>IFERROR(VLOOKUP(V184,Lista!A$3:D$33,3,0),1)</f>
        <v>1</v>
      </c>
      <c r="AD184" s="101">
        <f>IFERROR(VLOOKUP(V184,Lista!A$3:E$33,5,0),1)</f>
        <v>1</v>
      </c>
      <c r="AE184" s="107" t="str">
        <f t="shared" si="69"/>
        <v/>
      </c>
      <c r="AF184" s="107">
        <f t="shared" si="70"/>
        <v>0</v>
      </c>
      <c r="AG184" s="107">
        <f t="shared" si="71"/>
        <v>0</v>
      </c>
      <c r="AH184" s="109"/>
      <c r="AI184" s="104" t="s">
        <v>94</v>
      </c>
      <c r="AJ184" s="109"/>
      <c r="AK184" s="109"/>
    </row>
    <row r="185" spans="1:37" ht="15" customHeight="1" x14ac:dyDescent="0.35">
      <c r="A185" s="112"/>
      <c r="B185" s="99"/>
      <c r="C185" s="98"/>
      <c r="D185" s="98"/>
      <c r="E185" s="98"/>
      <c r="F185" s="111"/>
      <c r="G185" s="98"/>
      <c r="H185" s="111"/>
      <c r="I185" s="98"/>
      <c r="J185" s="101" t="str">
        <f t="shared" si="60"/>
        <v/>
      </c>
      <c r="K185" s="101" t="str">
        <f t="shared" si="61"/>
        <v>0</v>
      </c>
      <c r="L185" s="101" t="str">
        <f t="shared" si="62"/>
        <v/>
      </c>
      <c r="M185" s="101">
        <f>IFERROR(VLOOKUP(D185,Lista!A$3:D$33,3,0),1)</f>
        <v>1</v>
      </c>
      <c r="N185" s="101">
        <f>IFERROR(VLOOKUP(D185,Lista!A$3:E$33,5,0),1)</f>
        <v>1</v>
      </c>
      <c r="O185" s="102" t="str">
        <f t="shared" si="63"/>
        <v/>
      </c>
      <c r="P185" s="102">
        <f t="shared" si="64"/>
        <v>0</v>
      </c>
      <c r="Q185" s="102">
        <f t="shared" si="65"/>
        <v>0</v>
      </c>
      <c r="R185" s="103"/>
      <c r="S185" s="104" t="s">
        <v>94</v>
      </c>
      <c r="T185" s="113"/>
      <c r="U185" s="98"/>
      <c r="V185" s="98"/>
      <c r="W185" s="98"/>
      <c r="X185" s="98"/>
      <c r="Y185" s="98"/>
      <c r="Z185" s="101" t="str">
        <f t="shared" si="66"/>
        <v/>
      </c>
      <c r="AA185" s="101" t="str">
        <f t="shared" si="67"/>
        <v>0</v>
      </c>
      <c r="AB185" s="101" t="str">
        <f t="shared" si="68"/>
        <v/>
      </c>
      <c r="AC185" s="101">
        <f>IFERROR(VLOOKUP(V185,Lista!A$3:D$33,3,0),1)</f>
        <v>1</v>
      </c>
      <c r="AD185" s="101">
        <f>IFERROR(VLOOKUP(V185,Lista!A$3:E$33,5,0),1)</f>
        <v>1</v>
      </c>
      <c r="AE185" s="107" t="str">
        <f t="shared" si="69"/>
        <v/>
      </c>
      <c r="AF185" s="107">
        <f t="shared" si="70"/>
        <v>0</v>
      </c>
      <c r="AG185" s="107">
        <f t="shared" si="71"/>
        <v>0</v>
      </c>
      <c r="AH185" s="109"/>
      <c r="AI185" s="104" t="s">
        <v>94</v>
      </c>
      <c r="AJ185" s="109"/>
      <c r="AK185" s="109"/>
    </row>
    <row r="186" spans="1:37" ht="15" customHeight="1" x14ac:dyDescent="0.35">
      <c r="A186" s="112"/>
      <c r="B186" s="99"/>
      <c r="C186" s="98"/>
      <c r="D186" s="98"/>
      <c r="E186" s="98"/>
      <c r="F186" s="111"/>
      <c r="G186" s="98"/>
      <c r="H186" s="111"/>
      <c r="I186" s="98"/>
      <c r="J186" s="101" t="str">
        <f t="shared" si="60"/>
        <v/>
      </c>
      <c r="K186" s="101" t="str">
        <f t="shared" si="61"/>
        <v>0</v>
      </c>
      <c r="L186" s="101" t="str">
        <f t="shared" si="62"/>
        <v/>
      </c>
      <c r="M186" s="101">
        <f>IFERROR(VLOOKUP(D186,Lista!A$3:D$33,3,0),1)</f>
        <v>1</v>
      </c>
      <c r="N186" s="101">
        <f>IFERROR(VLOOKUP(D186,Lista!A$3:E$33,5,0),1)</f>
        <v>1</v>
      </c>
      <c r="O186" s="102" t="str">
        <f t="shared" si="63"/>
        <v/>
      </c>
      <c r="P186" s="102">
        <f t="shared" si="64"/>
        <v>0</v>
      </c>
      <c r="Q186" s="102">
        <f t="shared" si="65"/>
        <v>0</v>
      </c>
      <c r="R186" s="103"/>
      <c r="S186" s="104" t="s">
        <v>94</v>
      </c>
      <c r="T186" s="113"/>
      <c r="U186" s="98"/>
      <c r="V186" s="98"/>
      <c r="W186" s="98"/>
      <c r="X186" s="98"/>
      <c r="Y186" s="98"/>
      <c r="Z186" s="101" t="str">
        <f t="shared" si="66"/>
        <v/>
      </c>
      <c r="AA186" s="101" t="str">
        <f t="shared" si="67"/>
        <v>0</v>
      </c>
      <c r="AB186" s="101" t="str">
        <f t="shared" si="68"/>
        <v/>
      </c>
      <c r="AC186" s="101">
        <f>IFERROR(VLOOKUP(V186,Lista!A$3:D$33,3,0),1)</f>
        <v>1</v>
      </c>
      <c r="AD186" s="101">
        <f>IFERROR(VLOOKUP(V186,Lista!A$3:E$33,5,0),1)</f>
        <v>1</v>
      </c>
      <c r="AE186" s="107" t="str">
        <f t="shared" si="69"/>
        <v/>
      </c>
      <c r="AF186" s="107">
        <f t="shared" si="70"/>
        <v>0</v>
      </c>
      <c r="AG186" s="107">
        <f t="shared" si="71"/>
        <v>0</v>
      </c>
      <c r="AH186" s="109"/>
      <c r="AI186" s="104" t="s">
        <v>94</v>
      </c>
      <c r="AJ186" s="109"/>
      <c r="AK186" s="109"/>
    </row>
    <row r="187" spans="1:37" ht="15" customHeight="1" x14ac:dyDescent="0.35">
      <c r="A187" s="112"/>
      <c r="B187" s="99"/>
      <c r="C187" s="98"/>
      <c r="D187" s="98"/>
      <c r="E187" s="98"/>
      <c r="F187" s="111"/>
      <c r="G187" s="98"/>
      <c r="H187" s="111"/>
      <c r="I187" s="98"/>
      <c r="J187" s="101" t="str">
        <f t="shared" si="60"/>
        <v/>
      </c>
      <c r="K187" s="101" t="str">
        <f t="shared" si="61"/>
        <v>0</v>
      </c>
      <c r="L187" s="101" t="str">
        <f t="shared" si="62"/>
        <v/>
      </c>
      <c r="M187" s="101">
        <f>IFERROR(VLOOKUP(D187,Lista!A$3:D$33,3,0),1)</f>
        <v>1</v>
      </c>
      <c r="N187" s="101">
        <f>IFERROR(VLOOKUP(D187,Lista!A$3:E$33,5,0),1)</f>
        <v>1</v>
      </c>
      <c r="O187" s="102" t="str">
        <f t="shared" si="63"/>
        <v/>
      </c>
      <c r="P187" s="102">
        <f t="shared" si="64"/>
        <v>0</v>
      </c>
      <c r="Q187" s="102">
        <f t="shared" si="65"/>
        <v>0</v>
      </c>
      <c r="R187" s="103"/>
      <c r="S187" s="104" t="s">
        <v>94</v>
      </c>
      <c r="T187" s="113"/>
      <c r="U187" s="98"/>
      <c r="V187" s="98"/>
      <c r="W187" s="98"/>
      <c r="X187" s="98"/>
      <c r="Y187" s="98"/>
      <c r="Z187" s="101" t="str">
        <f t="shared" si="66"/>
        <v/>
      </c>
      <c r="AA187" s="101" t="str">
        <f t="shared" si="67"/>
        <v>0</v>
      </c>
      <c r="AB187" s="101" t="str">
        <f t="shared" si="68"/>
        <v/>
      </c>
      <c r="AC187" s="101">
        <f>IFERROR(VLOOKUP(V187,Lista!A$3:D$33,3,0),1)</f>
        <v>1</v>
      </c>
      <c r="AD187" s="101">
        <f>IFERROR(VLOOKUP(V187,Lista!A$3:E$33,5,0),1)</f>
        <v>1</v>
      </c>
      <c r="AE187" s="107" t="str">
        <f t="shared" si="69"/>
        <v/>
      </c>
      <c r="AF187" s="107">
        <f t="shared" si="70"/>
        <v>0</v>
      </c>
      <c r="AG187" s="107">
        <f t="shared" si="71"/>
        <v>0</v>
      </c>
      <c r="AH187" s="109"/>
      <c r="AI187" s="104" t="s">
        <v>94</v>
      </c>
      <c r="AJ187" s="109"/>
      <c r="AK187" s="109"/>
    </row>
    <row r="188" spans="1:37" ht="15" customHeight="1" x14ac:dyDescent="0.35">
      <c r="A188" s="112"/>
      <c r="B188" s="99"/>
      <c r="C188" s="98"/>
      <c r="D188" s="98"/>
      <c r="E188" s="98"/>
      <c r="F188" s="111"/>
      <c r="G188" s="98"/>
      <c r="H188" s="111"/>
      <c r="I188" s="98"/>
      <c r="J188" s="101" t="str">
        <f t="shared" si="60"/>
        <v/>
      </c>
      <c r="K188" s="101" t="str">
        <f t="shared" si="61"/>
        <v>0</v>
      </c>
      <c r="L188" s="101" t="str">
        <f t="shared" si="62"/>
        <v/>
      </c>
      <c r="M188" s="101">
        <f>IFERROR(VLOOKUP(D188,Lista!A$3:D$33,3,0),1)</f>
        <v>1</v>
      </c>
      <c r="N188" s="101">
        <f>IFERROR(VLOOKUP(D188,Lista!A$3:E$33,5,0),1)</f>
        <v>1</v>
      </c>
      <c r="O188" s="102" t="str">
        <f t="shared" si="63"/>
        <v/>
      </c>
      <c r="P188" s="102">
        <f t="shared" si="64"/>
        <v>0</v>
      </c>
      <c r="Q188" s="102">
        <f t="shared" si="65"/>
        <v>0</v>
      </c>
      <c r="R188" s="103"/>
      <c r="S188" s="104" t="s">
        <v>94</v>
      </c>
      <c r="T188" s="113"/>
      <c r="U188" s="98"/>
      <c r="V188" s="98"/>
      <c r="W188" s="98"/>
      <c r="X188" s="98"/>
      <c r="Y188" s="98"/>
      <c r="Z188" s="101" t="str">
        <f t="shared" si="66"/>
        <v/>
      </c>
      <c r="AA188" s="101" t="str">
        <f t="shared" si="67"/>
        <v>0</v>
      </c>
      <c r="AB188" s="101" t="str">
        <f t="shared" si="68"/>
        <v/>
      </c>
      <c r="AC188" s="101">
        <f>IFERROR(VLOOKUP(V188,Lista!A$3:D$33,3,0),1)</f>
        <v>1</v>
      </c>
      <c r="AD188" s="101">
        <f>IFERROR(VLOOKUP(V188,Lista!A$3:E$33,5,0),1)</f>
        <v>1</v>
      </c>
      <c r="AE188" s="107" t="str">
        <f t="shared" si="69"/>
        <v/>
      </c>
      <c r="AF188" s="107">
        <f t="shared" si="70"/>
        <v>0</v>
      </c>
      <c r="AG188" s="107">
        <f t="shared" si="71"/>
        <v>0</v>
      </c>
      <c r="AH188" s="109"/>
      <c r="AI188" s="104" t="s">
        <v>94</v>
      </c>
      <c r="AJ188" s="109"/>
      <c r="AK188" s="109"/>
    </row>
    <row r="189" spans="1:37" ht="15" customHeight="1" x14ac:dyDescent="0.35">
      <c r="A189" s="112"/>
      <c r="B189" s="99"/>
      <c r="C189" s="98"/>
      <c r="D189" s="98"/>
      <c r="E189" s="98"/>
      <c r="F189" s="111"/>
      <c r="G189" s="98"/>
      <c r="H189" s="111"/>
      <c r="I189" s="98"/>
      <c r="J189" s="101" t="str">
        <f t="shared" si="60"/>
        <v/>
      </c>
      <c r="K189" s="101" t="str">
        <f t="shared" si="61"/>
        <v>0</v>
      </c>
      <c r="L189" s="101" t="str">
        <f t="shared" si="62"/>
        <v/>
      </c>
      <c r="M189" s="101">
        <f>IFERROR(VLOOKUP(D189,Lista!A$3:D$33,3,0),1)</f>
        <v>1</v>
      </c>
      <c r="N189" s="101">
        <f>IFERROR(VLOOKUP(D189,Lista!A$3:E$33,5,0),1)</f>
        <v>1</v>
      </c>
      <c r="O189" s="102" t="str">
        <f t="shared" si="63"/>
        <v/>
      </c>
      <c r="P189" s="102">
        <f t="shared" si="64"/>
        <v>0</v>
      </c>
      <c r="Q189" s="102">
        <f t="shared" si="65"/>
        <v>0</v>
      </c>
      <c r="R189" s="103"/>
      <c r="S189" s="104" t="s">
        <v>94</v>
      </c>
      <c r="T189" s="113"/>
      <c r="U189" s="98"/>
      <c r="V189" s="98"/>
      <c r="W189" s="98"/>
      <c r="X189" s="98"/>
      <c r="Y189" s="98"/>
      <c r="Z189" s="101" t="str">
        <f t="shared" si="66"/>
        <v/>
      </c>
      <c r="AA189" s="101" t="str">
        <f t="shared" si="67"/>
        <v>0</v>
      </c>
      <c r="AB189" s="101" t="str">
        <f t="shared" si="68"/>
        <v/>
      </c>
      <c r="AC189" s="101">
        <f>IFERROR(VLOOKUP(V189,Lista!A$3:D$33,3,0),1)</f>
        <v>1</v>
      </c>
      <c r="AD189" s="101">
        <f>IFERROR(VLOOKUP(V189,Lista!A$3:E$33,5,0),1)</f>
        <v>1</v>
      </c>
      <c r="AE189" s="107" t="str">
        <f t="shared" si="69"/>
        <v/>
      </c>
      <c r="AF189" s="107">
        <f t="shared" si="70"/>
        <v>0</v>
      </c>
      <c r="AG189" s="107">
        <f t="shared" si="71"/>
        <v>0</v>
      </c>
      <c r="AH189" s="109"/>
      <c r="AI189" s="104" t="s">
        <v>94</v>
      </c>
      <c r="AJ189" s="109"/>
      <c r="AK189" s="109"/>
    </row>
    <row r="190" spans="1:37" ht="15" customHeight="1" x14ac:dyDescent="0.35">
      <c r="A190" s="112"/>
      <c r="B190" s="99"/>
      <c r="C190" s="98"/>
      <c r="D190" s="98"/>
      <c r="E190" s="98"/>
      <c r="F190" s="111"/>
      <c r="G190" s="98"/>
      <c r="H190" s="111"/>
      <c r="I190" s="98"/>
      <c r="J190" s="101" t="str">
        <f t="shared" si="60"/>
        <v/>
      </c>
      <c r="K190" s="101" t="str">
        <f t="shared" si="61"/>
        <v>0</v>
      </c>
      <c r="L190" s="101" t="str">
        <f t="shared" si="62"/>
        <v/>
      </c>
      <c r="M190" s="101">
        <f>IFERROR(VLOOKUP(D190,Lista!A$3:D$33,3,0),1)</f>
        <v>1</v>
      </c>
      <c r="N190" s="101">
        <f>IFERROR(VLOOKUP(D190,Lista!A$3:E$33,5,0),1)</f>
        <v>1</v>
      </c>
      <c r="O190" s="102" t="str">
        <f t="shared" si="63"/>
        <v/>
      </c>
      <c r="P190" s="102">
        <f t="shared" si="64"/>
        <v>0</v>
      </c>
      <c r="Q190" s="102">
        <f t="shared" si="65"/>
        <v>0</v>
      </c>
      <c r="R190" s="103"/>
      <c r="S190" s="104" t="s">
        <v>94</v>
      </c>
      <c r="T190" s="113"/>
      <c r="U190" s="98"/>
      <c r="V190" s="98"/>
      <c r="W190" s="98"/>
      <c r="X190" s="98"/>
      <c r="Y190" s="98"/>
      <c r="Z190" s="101" t="str">
        <f t="shared" si="66"/>
        <v/>
      </c>
      <c r="AA190" s="101" t="str">
        <f t="shared" si="67"/>
        <v>0</v>
      </c>
      <c r="AB190" s="101" t="str">
        <f t="shared" si="68"/>
        <v/>
      </c>
      <c r="AC190" s="101">
        <f>IFERROR(VLOOKUP(V190,Lista!A$3:D$33,3,0),1)</f>
        <v>1</v>
      </c>
      <c r="AD190" s="101">
        <f>IFERROR(VLOOKUP(V190,Lista!A$3:E$33,5,0),1)</f>
        <v>1</v>
      </c>
      <c r="AE190" s="107" t="str">
        <f t="shared" si="69"/>
        <v/>
      </c>
      <c r="AF190" s="107">
        <f t="shared" si="70"/>
        <v>0</v>
      </c>
      <c r="AG190" s="107">
        <f t="shared" si="71"/>
        <v>0</v>
      </c>
      <c r="AH190" s="109"/>
      <c r="AI190" s="104" t="s">
        <v>94</v>
      </c>
      <c r="AJ190" s="109"/>
      <c r="AK190" s="109"/>
    </row>
    <row r="191" spans="1:37" ht="15" customHeight="1" x14ac:dyDescent="0.35">
      <c r="A191" s="112"/>
      <c r="B191" s="99"/>
      <c r="C191" s="98"/>
      <c r="D191" s="98"/>
      <c r="E191" s="98"/>
      <c r="F191" s="111"/>
      <c r="G191" s="98"/>
      <c r="H191" s="111"/>
      <c r="I191" s="98"/>
      <c r="J191" s="101" t="str">
        <f t="shared" si="60"/>
        <v/>
      </c>
      <c r="K191" s="101" t="str">
        <f t="shared" si="61"/>
        <v>0</v>
      </c>
      <c r="L191" s="101" t="str">
        <f t="shared" si="62"/>
        <v/>
      </c>
      <c r="M191" s="101">
        <f>IFERROR(VLOOKUP(D191,Lista!A$3:D$33,3,0),1)</f>
        <v>1</v>
      </c>
      <c r="N191" s="101">
        <f>IFERROR(VLOOKUP(D191,Lista!A$3:E$33,5,0),1)</f>
        <v>1</v>
      </c>
      <c r="O191" s="102" t="str">
        <f t="shared" si="63"/>
        <v/>
      </c>
      <c r="P191" s="102">
        <f t="shared" si="64"/>
        <v>0</v>
      </c>
      <c r="Q191" s="102">
        <f t="shared" si="65"/>
        <v>0</v>
      </c>
      <c r="R191" s="103"/>
      <c r="S191" s="104" t="s">
        <v>94</v>
      </c>
      <c r="T191" s="113"/>
      <c r="U191" s="98"/>
      <c r="V191" s="98"/>
      <c r="W191" s="98"/>
      <c r="X191" s="98"/>
      <c r="Y191" s="98"/>
      <c r="Z191" s="101" t="str">
        <f t="shared" si="66"/>
        <v/>
      </c>
      <c r="AA191" s="101" t="str">
        <f t="shared" si="67"/>
        <v>0</v>
      </c>
      <c r="AB191" s="101" t="str">
        <f t="shared" si="68"/>
        <v/>
      </c>
      <c r="AC191" s="101">
        <f>IFERROR(VLOOKUP(V191,Lista!A$3:D$33,3,0),1)</f>
        <v>1</v>
      </c>
      <c r="AD191" s="101">
        <f>IFERROR(VLOOKUP(V191,Lista!A$3:E$33,5,0),1)</f>
        <v>1</v>
      </c>
      <c r="AE191" s="107" t="str">
        <f t="shared" si="69"/>
        <v/>
      </c>
      <c r="AF191" s="107">
        <f t="shared" si="70"/>
        <v>0</v>
      </c>
      <c r="AG191" s="107">
        <f t="shared" si="71"/>
        <v>0</v>
      </c>
      <c r="AH191" s="109"/>
      <c r="AI191" s="104" t="s">
        <v>94</v>
      </c>
      <c r="AJ191" s="109"/>
      <c r="AK191" s="109"/>
    </row>
    <row r="192" spans="1:37" ht="15" customHeight="1" x14ac:dyDescent="0.35">
      <c r="A192" s="112"/>
      <c r="B192" s="99"/>
      <c r="C192" s="98"/>
      <c r="D192" s="98"/>
      <c r="E192" s="98"/>
      <c r="F192" s="111"/>
      <c r="G192" s="98"/>
      <c r="H192" s="111"/>
      <c r="I192" s="98"/>
      <c r="J192" s="101" t="str">
        <f t="shared" si="60"/>
        <v/>
      </c>
      <c r="K192" s="101" t="str">
        <f t="shared" si="61"/>
        <v>0</v>
      </c>
      <c r="L192" s="101" t="str">
        <f t="shared" si="62"/>
        <v/>
      </c>
      <c r="M192" s="101">
        <f>IFERROR(VLOOKUP(D192,Lista!A$3:D$33,3,0),1)</f>
        <v>1</v>
      </c>
      <c r="N192" s="101">
        <f>IFERROR(VLOOKUP(D192,Lista!A$3:E$33,5,0),1)</f>
        <v>1</v>
      </c>
      <c r="O192" s="102" t="str">
        <f t="shared" si="63"/>
        <v/>
      </c>
      <c r="P192" s="102">
        <f t="shared" si="64"/>
        <v>0</v>
      </c>
      <c r="Q192" s="102">
        <f t="shared" si="65"/>
        <v>0</v>
      </c>
      <c r="R192" s="103"/>
      <c r="S192" s="104" t="s">
        <v>94</v>
      </c>
      <c r="T192" s="113"/>
      <c r="U192" s="98"/>
      <c r="V192" s="98"/>
      <c r="W192" s="98"/>
      <c r="X192" s="98"/>
      <c r="Y192" s="98"/>
      <c r="Z192" s="101" t="str">
        <f t="shared" si="66"/>
        <v/>
      </c>
      <c r="AA192" s="101" t="str">
        <f t="shared" si="67"/>
        <v>0</v>
      </c>
      <c r="AB192" s="101" t="str">
        <f t="shared" si="68"/>
        <v/>
      </c>
      <c r="AC192" s="101">
        <f>IFERROR(VLOOKUP(V192,Lista!A$3:D$33,3,0),1)</f>
        <v>1</v>
      </c>
      <c r="AD192" s="101">
        <f>IFERROR(VLOOKUP(V192,Lista!A$3:E$33,5,0),1)</f>
        <v>1</v>
      </c>
      <c r="AE192" s="107" t="str">
        <f t="shared" si="69"/>
        <v/>
      </c>
      <c r="AF192" s="107">
        <f t="shared" si="70"/>
        <v>0</v>
      </c>
      <c r="AG192" s="107">
        <f t="shared" si="71"/>
        <v>0</v>
      </c>
      <c r="AH192" s="109"/>
      <c r="AI192" s="104" t="s">
        <v>94</v>
      </c>
      <c r="AJ192" s="109"/>
      <c r="AK192" s="109"/>
    </row>
    <row r="193" spans="1:37" ht="15" customHeight="1" x14ac:dyDescent="0.35">
      <c r="A193" s="112"/>
      <c r="B193" s="99"/>
      <c r="C193" s="98"/>
      <c r="D193" s="98"/>
      <c r="E193" s="98"/>
      <c r="F193" s="111"/>
      <c r="G193" s="98"/>
      <c r="H193" s="111"/>
      <c r="I193" s="98"/>
      <c r="J193" s="101" t="str">
        <f t="shared" si="60"/>
        <v/>
      </c>
      <c r="K193" s="101" t="str">
        <f t="shared" si="61"/>
        <v>0</v>
      </c>
      <c r="L193" s="101" t="str">
        <f t="shared" si="62"/>
        <v/>
      </c>
      <c r="M193" s="101">
        <f>IFERROR(VLOOKUP(D193,Lista!A$3:D$33,3,0),1)</f>
        <v>1</v>
      </c>
      <c r="N193" s="101">
        <f>IFERROR(VLOOKUP(D193,Lista!A$3:E$33,5,0),1)</f>
        <v>1</v>
      </c>
      <c r="O193" s="102" t="str">
        <f t="shared" si="63"/>
        <v/>
      </c>
      <c r="P193" s="102">
        <f t="shared" si="64"/>
        <v>0</v>
      </c>
      <c r="Q193" s="102">
        <f t="shared" si="65"/>
        <v>0</v>
      </c>
      <c r="R193" s="103"/>
      <c r="S193" s="104" t="s">
        <v>94</v>
      </c>
      <c r="T193" s="113"/>
      <c r="U193" s="98"/>
      <c r="V193" s="98"/>
      <c r="W193" s="98"/>
      <c r="X193" s="98"/>
      <c r="Y193" s="98"/>
      <c r="Z193" s="101" t="str">
        <f t="shared" si="66"/>
        <v/>
      </c>
      <c r="AA193" s="101" t="str">
        <f t="shared" si="67"/>
        <v>0</v>
      </c>
      <c r="AB193" s="101" t="str">
        <f t="shared" si="68"/>
        <v/>
      </c>
      <c r="AC193" s="101">
        <f>IFERROR(VLOOKUP(V193,Lista!A$3:D$33,3,0),1)</f>
        <v>1</v>
      </c>
      <c r="AD193" s="101">
        <f>IFERROR(VLOOKUP(V193,Lista!A$3:E$33,5,0),1)</f>
        <v>1</v>
      </c>
      <c r="AE193" s="107" t="str">
        <f t="shared" si="69"/>
        <v/>
      </c>
      <c r="AF193" s="107">
        <f t="shared" si="70"/>
        <v>0</v>
      </c>
      <c r="AG193" s="107">
        <f t="shared" si="71"/>
        <v>0</v>
      </c>
      <c r="AH193" s="109"/>
      <c r="AI193" s="104" t="s">
        <v>94</v>
      </c>
      <c r="AJ193" s="109"/>
      <c r="AK193" s="109"/>
    </row>
    <row r="194" spans="1:37" ht="15" customHeight="1" x14ac:dyDescent="0.35">
      <c r="A194" s="112"/>
      <c r="B194" s="99"/>
      <c r="C194" s="98"/>
      <c r="D194" s="98"/>
      <c r="E194" s="98"/>
      <c r="F194" s="111"/>
      <c r="G194" s="98"/>
      <c r="H194" s="111"/>
      <c r="I194" s="98"/>
      <c r="J194" s="101" t="str">
        <f t="shared" si="60"/>
        <v/>
      </c>
      <c r="K194" s="101" t="str">
        <f t="shared" si="61"/>
        <v>0</v>
      </c>
      <c r="L194" s="101" t="str">
        <f t="shared" si="62"/>
        <v/>
      </c>
      <c r="M194" s="101">
        <f>IFERROR(VLOOKUP(D194,Lista!A$3:D$33,3,0),1)</f>
        <v>1</v>
      </c>
      <c r="N194" s="101">
        <f>IFERROR(VLOOKUP(D194,Lista!A$3:E$33,5,0),1)</f>
        <v>1</v>
      </c>
      <c r="O194" s="102" t="str">
        <f t="shared" si="63"/>
        <v/>
      </c>
      <c r="P194" s="102">
        <f t="shared" si="64"/>
        <v>0</v>
      </c>
      <c r="Q194" s="102">
        <f t="shared" si="65"/>
        <v>0</v>
      </c>
      <c r="R194" s="103"/>
      <c r="S194" s="104" t="s">
        <v>94</v>
      </c>
      <c r="T194" s="113"/>
      <c r="U194" s="98"/>
      <c r="V194" s="98"/>
      <c r="W194" s="98"/>
      <c r="X194" s="98"/>
      <c r="Y194" s="98"/>
      <c r="Z194" s="101" t="str">
        <f t="shared" si="66"/>
        <v/>
      </c>
      <c r="AA194" s="101" t="str">
        <f t="shared" si="67"/>
        <v>0</v>
      </c>
      <c r="AB194" s="101" t="str">
        <f t="shared" si="68"/>
        <v/>
      </c>
      <c r="AC194" s="101">
        <f>IFERROR(VLOOKUP(V194,Lista!A$3:D$33,3,0),1)</f>
        <v>1</v>
      </c>
      <c r="AD194" s="101">
        <f>IFERROR(VLOOKUP(V194,Lista!A$3:E$33,5,0),1)</f>
        <v>1</v>
      </c>
      <c r="AE194" s="107" t="str">
        <f t="shared" si="69"/>
        <v/>
      </c>
      <c r="AF194" s="107">
        <f t="shared" si="70"/>
        <v>0</v>
      </c>
      <c r="AG194" s="107">
        <f t="shared" si="71"/>
        <v>0</v>
      </c>
      <c r="AH194" s="109"/>
      <c r="AI194" s="104" t="s">
        <v>94</v>
      </c>
      <c r="AJ194" s="109"/>
      <c r="AK194" s="109"/>
    </row>
    <row r="195" spans="1:37" ht="15" customHeight="1" x14ac:dyDescent="0.35">
      <c r="A195" s="112"/>
      <c r="B195" s="99"/>
      <c r="C195" s="98"/>
      <c r="D195" s="98"/>
      <c r="E195" s="98"/>
      <c r="F195" s="111"/>
      <c r="G195" s="98"/>
      <c r="H195" s="111"/>
      <c r="I195" s="98"/>
      <c r="J195" s="101" t="str">
        <f t="shared" ref="J195:J202" si="72">CONCATENATE(C195,L195)</f>
        <v/>
      </c>
      <c r="K195" s="101" t="str">
        <f t="shared" ref="K195:K202" si="73">CONCATENATE(C195,D195,L195,Q195)</f>
        <v>0</v>
      </c>
      <c r="L195" s="101" t="str">
        <f t="shared" ref="L195:L202" si="74">IF(OR(ISBLANK(E195),ISBLANK(G195)),IF(OR(C195="ALI",C195="AIE"),"L",IF(ISBLANK(C195),"","A")),IF(C195="EE",IF(G195&gt;=3,IF(E195&gt;=5,"H","A"),IF(G195&gt;=2,IF(E195&gt;=16,"H",IF(E195&lt;=4,"L","A")),IF(E195&lt;=15,"L","A"))),IF(OR(C195="SE",C195="CE"),IF(G195&gt;=4,IF(E195&gt;=6,"H","A"),IF(G195&gt;=2,IF(E195&gt;=20,"H",IF(E195&lt;=5,"L","A")),IF(E195&lt;=19,"L","A"))),IF(OR(C195="ALI",C195="AIE"),IF(G195&gt;=6,IF(E195&gt;=20,"H","A"),IF(G195&gt;=2,IF(E195&gt;=51,"H",IF(E195&lt;=19,"L","A")),IF(E195&lt;=50,"L","A")))))))</f>
        <v/>
      </c>
      <c r="M195" s="101">
        <f>IFERROR(VLOOKUP(D195,Lista!A$3:D$33,3,0),1)</f>
        <v>1</v>
      </c>
      <c r="N195" s="101">
        <f>IFERROR(VLOOKUP(D195,Lista!A$3:E$33,5,0),1)</f>
        <v>1</v>
      </c>
      <c r="O195" s="102" t="str">
        <f t="shared" ref="O195:O202" si="75">IF(C195="INM","",IF(L195="L","Baixa",IF(L195="A","Média",IF(L195="","","Alta"))))</f>
        <v/>
      </c>
      <c r="P195" s="102">
        <f t="shared" ref="P195:P202" si="76">IF(C195="INM",M195*I195,IF(C195="ALI",IF(L195="L",7,IF(L195="A",10,15)),IF(C195="AIE",IF(L195="L",5,IF(L195="A",7,10)),IF(C195="SE",IF(L195="L",4,IF(L195="A",5,7)),IF(OR(C195="EE",C195="CE"),IF(L195="L",3,IF(L195="A",4,6)),0)))))</f>
        <v>0</v>
      </c>
      <c r="Q195" s="102">
        <f t="shared" ref="Q195:Q202" si="77">IF(C195="INM",P195,P195*M195)</f>
        <v>0</v>
      </c>
      <c r="R195" s="103"/>
      <c r="S195" s="104" t="s">
        <v>94</v>
      </c>
      <c r="T195" s="113"/>
      <c r="U195" s="98"/>
      <c r="V195" s="98"/>
      <c r="W195" s="98"/>
      <c r="X195" s="98"/>
      <c r="Y195" s="98"/>
      <c r="Z195" s="101" t="str">
        <f t="shared" ref="Z195:Z202" si="78">CONCATENATE(U195,AB195)</f>
        <v/>
      </c>
      <c r="AA195" s="101" t="str">
        <f t="shared" ref="AA195:AA202" si="79">CONCATENATE(U195,V195,AB195,AG195)</f>
        <v>0</v>
      </c>
      <c r="AB195" s="101" t="str">
        <f t="shared" ref="AB195:AB202" si="80">IF(OR(ISBLANK(W195),ISBLANK(X195)),IF(OR(U195="ALI",U195="AIE"),"L",IF(ISBLANK(U195),"","A")),IF(U195="EE",IF(X195&gt;=3,IF(W195&gt;=5,"H","A"),IF(X195&gt;=2,IF(W195&gt;=16,"H",IF(W195&lt;=4,"L","A")),IF(W195&lt;=15,"L","A"))),IF(OR(U195="SE",U195="CE"),IF(X195&gt;=4,IF(W195&gt;=6,"H","A"),IF(X195&gt;=2,IF(W195&gt;=20,"H",IF(W195&lt;=5,"L","A")),IF(W195&lt;=19,"L","A"))),IF(OR(U195="ALI",U195="AIE"),IF(X195&gt;=6,IF(W195&gt;=20,"H","A"),IF(X195&gt;=2,IF(W195&gt;=51,"H",IF(W195&lt;=19,"L","A")),IF(W195&lt;=50,"L","A")))))))</f>
        <v/>
      </c>
      <c r="AC195" s="101">
        <f>IFERROR(VLOOKUP(V195,Lista!A$3:D$33,3,0),1)</f>
        <v>1</v>
      </c>
      <c r="AD195" s="101">
        <f>IFERROR(VLOOKUP(V195,Lista!A$3:E$33,5,0),1)</f>
        <v>1</v>
      </c>
      <c r="AE195" s="107" t="str">
        <f t="shared" ref="AE195:AE202" si="81">IF(U195="INM","",IF(AB195="L","Baixa",IF(AB195="A","Média",IF(AB195="","","Alta"))))</f>
        <v/>
      </c>
      <c r="AF195" s="107">
        <f t="shared" ref="AF195:AF202" si="82">IF(OR(ISBLANK(T195),T195="NOK"),0,IF(U195="INM",AC195*Y195,IF(U195="ALI",IF(AB195="L",7,IF(AB195="A",10,15)),IF(U195="AIE",IF(AB195="L",5,IF(AB195="A",7,10)),IF(U195="SE",IF(AB195="L",4,IF(AB195="A",5,7)),IF(OR(U195="EE",U195="CE"),IF(AB195="L",3,IF(AB195="A",4,6))))))))</f>
        <v>0</v>
      </c>
      <c r="AG195" s="107">
        <f t="shared" ref="AG195:AG202" si="83">IF(T195="NOK",0,IF(U195="INM",(1*AC195)*Y195,AF195*AC195))</f>
        <v>0</v>
      </c>
      <c r="AH195" s="109"/>
      <c r="AI195" s="104" t="s">
        <v>94</v>
      </c>
      <c r="AJ195" s="109"/>
      <c r="AK195" s="109"/>
    </row>
    <row r="196" spans="1:37" ht="15" customHeight="1" x14ac:dyDescent="0.35">
      <c r="A196" s="112"/>
      <c r="B196" s="99"/>
      <c r="C196" s="98"/>
      <c r="D196" s="98"/>
      <c r="E196" s="98"/>
      <c r="F196" s="111"/>
      <c r="G196" s="98"/>
      <c r="H196" s="111"/>
      <c r="I196" s="98"/>
      <c r="J196" s="101" t="str">
        <f t="shared" si="72"/>
        <v/>
      </c>
      <c r="K196" s="101" t="str">
        <f t="shared" si="73"/>
        <v>0</v>
      </c>
      <c r="L196" s="101" t="str">
        <f t="shared" si="74"/>
        <v/>
      </c>
      <c r="M196" s="101">
        <f>IFERROR(VLOOKUP(D196,Lista!A$3:D$33,3,0),1)</f>
        <v>1</v>
      </c>
      <c r="N196" s="101">
        <f>IFERROR(VLOOKUP(D196,Lista!A$3:E$33,5,0),1)</f>
        <v>1</v>
      </c>
      <c r="O196" s="102" t="str">
        <f t="shared" si="75"/>
        <v/>
      </c>
      <c r="P196" s="102">
        <f t="shared" si="76"/>
        <v>0</v>
      </c>
      <c r="Q196" s="102">
        <f t="shared" si="77"/>
        <v>0</v>
      </c>
      <c r="R196" s="103"/>
      <c r="S196" s="104" t="s">
        <v>94</v>
      </c>
      <c r="T196" s="113"/>
      <c r="U196" s="98"/>
      <c r="V196" s="98"/>
      <c r="W196" s="98"/>
      <c r="X196" s="98"/>
      <c r="Y196" s="98"/>
      <c r="Z196" s="101" t="str">
        <f t="shared" si="78"/>
        <v/>
      </c>
      <c r="AA196" s="101" t="str">
        <f t="shared" si="79"/>
        <v>0</v>
      </c>
      <c r="AB196" s="101" t="str">
        <f t="shared" si="80"/>
        <v/>
      </c>
      <c r="AC196" s="101">
        <f>IFERROR(VLOOKUP(V196,Lista!A$3:D$33,3,0),1)</f>
        <v>1</v>
      </c>
      <c r="AD196" s="101">
        <f>IFERROR(VLOOKUP(V196,Lista!A$3:E$33,5,0),1)</f>
        <v>1</v>
      </c>
      <c r="AE196" s="107" t="str">
        <f t="shared" si="81"/>
        <v/>
      </c>
      <c r="AF196" s="107">
        <f t="shared" si="82"/>
        <v>0</v>
      </c>
      <c r="AG196" s="107">
        <f t="shared" si="83"/>
        <v>0</v>
      </c>
      <c r="AH196" s="109"/>
      <c r="AI196" s="104" t="s">
        <v>94</v>
      </c>
      <c r="AJ196" s="109"/>
      <c r="AK196" s="109"/>
    </row>
    <row r="197" spans="1:37" ht="15" customHeight="1" x14ac:dyDescent="0.35">
      <c r="A197" s="112"/>
      <c r="B197" s="99"/>
      <c r="C197" s="98"/>
      <c r="D197" s="98"/>
      <c r="E197" s="98"/>
      <c r="F197" s="111"/>
      <c r="G197" s="98"/>
      <c r="H197" s="111"/>
      <c r="I197" s="98"/>
      <c r="J197" s="101" t="str">
        <f t="shared" si="72"/>
        <v/>
      </c>
      <c r="K197" s="101" t="str">
        <f t="shared" si="73"/>
        <v>0</v>
      </c>
      <c r="L197" s="101" t="str">
        <f t="shared" si="74"/>
        <v/>
      </c>
      <c r="M197" s="101">
        <f>IFERROR(VLOOKUP(D197,Lista!A$3:D$33,3,0),1)</f>
        <v>1</v>
      </c>
      <c r="N197" s="101">
        <f>IFERROR(VLOOKUP(D197,Lista!A$3:E$33,5,0),1)</f>
        <v>1</v>
      </c>
      <c r="O197" s="102" t="str">
        <f t="shared" si="75"/>
        <v/>
      </c>
      <c r="P197" s="102">
        <f t="shared" si="76"/>
        <v>0</v>
      </c>
      <c r="Q197" s="102">
        <f t="shared" si="77"/>
        <v>0</v>
      </c>
      <c r="R197" s="103"/>
      <c r="S197" s="104" t="s">
        <v>94</v>
      </c>
      <c r="T197" s="113"/>
      <c r="U197" s="98"/>
      <c r="V197" s="98"/>
      <c r="W197" s="98"/>
      <c r="X197" s="98"/>
      <c r="Y197" s="98"/>
      <c r="Z197" s="101" t="str">
        <f t="shared" si="78"/>
        <v/>
      </c>
      <c r="AA197" s="101" t="str">
        <f t="shared" si="79"/>
        <v>0</v>
      </c>
      <c r="AB197" s="101" t="str">
        <f t="shared" si="80"/>
        <v/>
      </c>
      <c r="AC197" s="101">
        <f>IFERROR(VLOOKUP(V197,Lista!A$3:D$33,3,0),1)</f>
        <v>1</v>
      </c>
      <c r="AD197" s="101">
        <f>IFERROR(VLOOKUP(V197,Lista!A$3:E$33,5,0),1)</f>
        <v>1</v>
      </c>
      <c r="AE197" s="107" t="str">
        <f t="shared" si="81"/>
        <v/>
      </c>
      <c r="AF197" s="107">
        <f t="shared" si="82"/>
        <v>0</v>
      </c>
      <c r="AG197" s="107">
        <f t="shared" si="83"/>
        <v>0</v>
      </c>
      <c r="AH197" s="109"/>
      <c r="AI197" s="104" t="s">
        <v>94</v>
      </c>
      <c r="AJ197" s="109"/>
      <c r="AK197" s="109"/>
    </row>
    <row r="198" spans="1:37" ht="15" customHeight="1" x14ac:dyDescent="0.35">
      <c r="A198" s="112"/>
      <c r="B198" s="99"/>
      <c r="C198" s="98"/>
      <c r="D198" s="98"/>
      <c r="E198" s="98"/>
      <c r="F198" s="111"/>
      <c r="G198" s="98"/>
      <c r="H198" s="111"/>
      <c r="I198" s="98"/>
      <c r="J198" s="101" t="str">
        <f t="shared" si="72"/>
        <v/>
      </c>
      <c r="K198" s="101" t="str">
        <f t="shared" si="73"/>
        <v>0</v>
      </c>
      <c r="L198" s="101" t="str">
        <f t="shared" si="74"/>
        <v/>
      </c>
      <c r="M198" s="101">
        <f>IFERROR(VLOOKUP(D198,Lista!A$3:D$33,3,0),1)</f>
        <v>1</v>
      </c>
      <c r="N198" s="101">
        <f>IFERROR(VLOOKUP(D198,Lista!A$3:E$33,5,0),1)</f>
        <v>1</v>
      </c>
      <c r="O198" s="102" t="str">
        <f t="shared" si="75"/>
        <v/>
      </c>
      <c r="P198" s="102">
        <f t="shared" si="76"/>
        <v>0</v>
      </c>
      <c r="Q198" s="102">
        <f t="shared" si="77"/>
        <v>0</v>
      </c>
      <c r="R198" s="103"/>
      <c r="S198" s="104" t="s">
        <v>94</v>
      </c>
      <c r="T198" s="113"/>
      <c r="U198" s="98"/>
      <c r="V198" s="98"/>
      <c r="W198" s="98"/>
      <c r="X198" s="98"/>
      <c r="Y198" s="98"/>
      <c r="Z198" s="101" t="str">
        <f t="shared" si="78"/>
        <v/>
      </c>
      <c r="AA198" s="101" t="str">
        <f t="shared" si="79"/>
        <v>0</v>
      </c>
      <c r="AB198" s="101" t="str">
        <f t="shared" si="80"/>
        <v/>
      </c>
      <c r="AC198" s="101">
        <f>IFERROR(VLOOKUP(V198,Lista!A$3:D$33,3,0),1)</f>
        <v>1</v>
      </c>
      <c r="AD198" s="101">
        <f>IFERROR(VLOOKUP(V198,Lista!A$3:E$33,5,0),1)</f>
        <v>1</v>
      </c>
      <c r="AE198" s="107" t="str">
        <f t="shared" si="81"/>
        <v/>
      </c>
      <c r="AF198" s="107">
        <f t="shared" si="82"/>
        <v>0</v>
      </c>
      <c r="AG198" s="107">
        <f t="shared" si="83"/>
        <v>0</v>
      </c>
      <c r="AH198" s="109"/>
      <c r="AI198" s="104" t="s">
        <v>94</v>
      </c>
      <c r="AJ198" s="109"/>
      <c r="AK198" s="109"/>
    </row>
    <row r="199" spans="1:37" ht="15" customHeight="1" x14ac:dyDescent="0.35">
      <c r="A199" s="112"/>
      <c r="B199" s="99"/>
      <c r="C199" s="98"/>
      <c r="D199" s="98"/>
      <c r="E199" s="98"/>
      <c r="F199" s="111"/>
      <c r="G199" s="98"/>
      <c r="H199" s="111"/>
      <c r="I199" s="98"/>
      <c r="J199" s="101" t="str">
        <f t="shared" si="72"/>
        <v/>
      </c>
      <c r="K199" s="101" t="str">
        <f t="shared" si="73"/>
        <v>0</v>
      </c>
      <c r="L199" s="101" t="str">
        <f t="shared" si="74"/>
        <v/>
      </c>
      <c r="M199" s="101">
        <f>IFERROR(VLOOKUP(D199,Lista!A$3:D$33,3,0),1)</f>
        <v>1</v>
      </c>
      <c r="N199" s="101">
        <f>IFERROR(VLOOKUP(D199,Lista!A$3:E$33,5,0),1)</f>
        <v>1</v>
      </c>
      <c r="O199" s="102" t="str">
        <f t="shared" si="75"/>
        <v/>
      </c>
      <c r="P199" s="102">
        <f t="shared" si="76"/>
        <v>0</v>
      </c>
      <c r="Q199" s="102">
        <f t="shared" si="77"/>
        <v>0</v>
      </c>
      <c r="R199" s="103"/>
      <c r="S199" s="104" t="s">
        <v>94</v>
      </c>
      <c r="T199" s="113"/>
      <c r="U199" s="98"/>
      <c r="V199" s="98"/>
      <c r="W199" s="98"/>
      <c r="X199" s="98"/>
      <c r="Y199" s="98"/>
      <c r="Z199" s="101" t="str">
        <f t="shared" si="78"/>
        <v/>
      </c>
      <c r="AA199" s="101" t="str">
        <f t="shared" si="79"/>
        <v>0</v>
      </c>
      <c r="AB199" s="101" t="str">
        <f t="shared" si="80"/>
        <v/>
      </c>
      <c r="AC199" s="101">
        <f>IFERROR(VLOOKUP(V199,Lista!A$3:D$33,3,0),1)</f>
        <v>1</v>
      </c>
      <c r="AD199" s="101">
        <f>IFERROR(VLOOKUP(V199,Lista!A$3:E$33,5,0),1)</f>
        <v>1</v>
      </c>
      <c r="AE199" s="107" t="str">
        <f t="shared" si="81"/>
        <v/>
      </c>
      <c r="AF199" s="107">
        <f t="shared" si="82"/>
        <v>0</v>
      </c>
      <c r="AG199" s="107">
        <f t="shared" si="83"/>
        <v>0</v>
      </c>
      <c r="AH199" s="109"/>
      <c r="AI199" s="104" t="s">
        <v>94</v>
      </c>
      <c r="AJ199" s="109"/>
      <c r="AK199" s="109"/>
    </row>
    <row r="200" spans="1:37" ht="15" customHeight="1" x14ac:dyDescent="0.35">
      <c r="A200" s="112"/>
      <c r="B200" s="99"/>
      <c r="C200" s="98"/>
      <c r="D200" s="98"/>
      <c r="E200" s="98"/>
      <c r="F200" s="111"/>
      <c r="G200" s="98"/>
      <c r="H200" s="111"/>
      <c r="I200" s="98"/>
      <c r="J200" s="101" t="str">
        <f t="shared" si="72"/>
        <v/>
      </c>
      <c r="K200" s="101" t="str">
        <f t="shared" si="73"/>
        <v>0</v>
      </c>
      <c r="L200" s="101" t="str">
        <f t="shared" si="74"/>
        <v/>
      </c>
      <c r="M200" s="101">
        <f>IFERROR(VLOOKUP(D200,Lista!A$3:D$33,3,0),1)</f>
        <v>1</v>
      </c>
      <c r="N200" s="101">
        <f>IFERROR(VLOOKUP(D200,Lista!A$3:E$33,5,0),1)</f>
        <v>1</v>
      </c>
      <c r="O200" s="102" t="str">
        <f t="shared" si="75"/>
        <v/>
      </c>
      <c r="P200" s="102">
        <f t="shared" si="76"/>
        <v>0</v>
      </c>
      <c r="Q200" s="102">
        <f t="shared" si="77"/>
        <v>0</v>
      </c>
      <c r="R200" s="103"/>
      <c r="S200" s="104" t="s">
        <v>94</v>
      </c>
      <c r="T200" s="113"/>
      <c r="U200" s="98"/>
      <c r="V200" s="98"/>
      <c r="W200" s="98"/>
      <c r="X200" s="98"/>
      <c r="Y200" s="98"/>
      <c r="Z200" s="101" t="str">
        <f t="shared" si="78"/>
        <v/>
      </c>
      <c r="AA200" s="101" t="str">
        <f t="shared" si="79"/>
        <v>0</v>
      </c>
      <c r="AB200" s="101" t="str">
        <f t="shared" si="80"/>
        <v/>
      </c>
      <c r="AC200" s="101">
        <f>IFERROR(VLOOKUP(V200,Lista!A$3:D$33,3,0),1)</f>
        <v>1</v>
      </c>
      <c r="AD200" s="101">
        <f>IFERROR(VLOOKUP(V200,Lista!A$3:E$33,5,0),1)</f>
        <v>1</v>
      </c>
      <c r="AE200" s="107" t="str">
        <f t="shared" si="81"/>
        <v/>
      </c>
      <c r="AF200" s="107">
        <f t="shared" si="82"/>
        <v>0</v>
      </c>
      <c r="AG200" s="107">
        <f t="shared" si="83"/>
        <v>0</v>
      </c>
      <c r="AH200" s="109"/>
      <c r="AI200" s="104" t="s">
        <v>94</v>
      </c>
      <c r="AJ200" s="109"/>
      <c r="AK200" s="109"/>
    </row>
    <row r="201" spans="1:37" ht="15" customHeight="1" x14ac:dyDescent="0.35">
      <c r="A201" s="112"/>
      <c r="B201" s="99"/>
      <c r="C201" s="98"/>
      <c r="D201" s="98"/>
      <c r="E201" s="98"/>
      <c r="F201" s="111"/>
      <c r="G201" s="98"/>
      <c r="H201" s="111"/>
      <c r="I201" s="98"/>
      <c r="J201" s="101" t="str">
        <f t="shared" si="72"/>
        <v/>
      </c>
      <c r="K201" s="101" t="str">
        <f t="shared" si="73"/>
        <v>0</v>
      </c>
      <c r="L201" s="101" t="str">
        <f t="shared" si="74"/>
        <v/>
      </c>
      <c r="M201" s="101">
        <f>IFERROR(VLOOKUP(D201,Lista!A$3:D$33,3,0),1)</f>
        <v>1</v>
      </c>
      <c r="N201" s="101">
        <f>IFERROR(VLOOKUP(D201,Lista!A$3:E$33,5,0),1)</f>
        <v>1</v>
      </c>
      <c r="O201" s="102" t="str">
        <f t="shared" si="75"/>
        <v/>
      </c>
      <c r="P201" s="102">
        <f t="shared" si="76"/>
        <v>0</v>
      </c>
      <c r="Q201" s="102">
        <f t="shared" si="77"/>
        <v>0</v>
      </c>
      <c r="R201" s="103"/>
      <c r="S201" s="104" t="s">
        <v>94</v>
      </c>
      <c r="T201" s="113"/>
      <c r="U201" s="98"/>
      <c r="V201" s="98"/>
      <c r="W201" s="98"/>
      <c r="X201" s="98"/>
      <c r="Y201" s="98"/>
      <c r="Z201" s="101" t="str">
        <f t="shared" si="78"/>
        <v/>
      </c>
      <c r="AA201" s="101" t="str">
        <f t="shared" si="79"/>
        <v>0</v>
      </c>
      <c r="AB201" s="101" t="str">
        <f t="shared" si="80"/>
        <v/>
      </c>
      <c r="AC201" s="101">
        <f>IFERROR(VLOOKUP(V201,Lista!A$3:D$33,3,0),1)</f>
        <v>1</v>
      </c>
      <c r="AD201" s="101">
        <f>IFERROR(VLOOKUP(V201,Lista!A$3:E$33,5,0),1)</f>
        <v>1</v>
      </c>
      <c r="AE201" s="107" t="str">
        <f t="shared" si="81"/>
        <v/>
      </c>
      <c r="AF201" s="107">
        <f t="shared" si="82"/>
        <v>0</v>
      </c>
      <c r="AG201" s="107">
        <f t="shared" si="83"/>
        <v>0</v>
      </c>
      <c r="AH201" s="109"/>
      <c r="AI201" s="104" t="s">
        <v>94</v>
      </c>
      <c r="AJ201" s="109"/>
      <c r="AK201" s="109"/>
    </row>
    <row r="202" spans="1:37" ht="15" customHeight="1" x14ac:dyDescent="0.35">
      <c r="A202" s="112"/>
      <c r="B202" s="99"/>
      <c r="C202" s="98"/>
      <c r="D202" s="98"/>
      <c r="E202" s="98"/>
      <c r="F202" s="111"/>
      <c r="G202" s="98"/>
      <c r="H202" s="111"/>
      <c r="I202" s="98"/>
      <c r="J202" s="101" t="str">
        <f t="shared" si="72"/>
        <v/>
      </c>
      <c r="K202" s="101" t="str">
        <f t="shared" si="73"/>
        <v>0</v>
      </c>
      <c r="L202" s="101" t="str">
        <f t="shared" si="74"/>
        <v/>
      </c>
      <c r="M202" s="101">
        <f>IFERROR(VLOOKUP(D202,Lista!A$3:D$33,3,0),1)</f>
        <v>1</v>
      </c>
      <c r="N202" s="101">
        <f>IFERROR(VLOOKUP(D202,Lista!A$3:E$33,5,0),1)</f>
        <v>1</v>
      </c>
      <c r="O202" s="102" t="str">
        <f t="shared" si="75"/>
        <v/>
      </c>
      <c r="P202" s="102">
        <f t="shared" si="76"/>
        <v>0</v>
      </c>
      <c r="Q202" s="102">
        <f t="shared" si="77"/>
        <v>0</v>
      </c>
      <c r="R202" s="103"/>
      <c r="S202" s="104" t="s">
        <v>94</v>
      </c>
      <c r="T202" s="113"/>
      <c r="U202" s="98"/>
      <c r="V202" s="98"/>
      <c r="W202" s="98"/>
      <c r="X202" s="98"/>
      <c r="Y202" s="98"/>
      <c r="Z202" s="101" t="str">
        <f t="shared" si="78"/>
        <v/>
      </c>
      <c r="AA202" s="101" t="str">
        <f t="shared" si="79"/>
        <v>0</v>
      </c>
      <c r="AB202" s="101" t="str">
        <f t="shared" si="80"/>
        <v/>
      </c>
      <c r="AC202" s="101">
        <f>IFERROR(VLOOKUP(V202,Lista!A$3:D$33,3,0),1)</f>
        <v>1</v>
      </c>
      <c r="AD202" s="101">
        <f>IFERROR(VLOOKUP(V202,Lista!A$3:E$33,5,0),1)</f>
        <v>1</v>
      </c>
      <c r="AE202" s="107" t="str">
        <f t="shared" si="81"/>
        <v/>
      </c>
      <c r="AF202" s="107">
        <f t="shared" si="82"/>
        <v>0</v>
      </c>
      <c r="AG202" s="107">
        <f t="shared" si="83"/>
        <v>0</v>
      </c>
      <c r="AH202" s="109"/>
      <c r="AI202" s="104" t="s">
        <v>94</v>
      </c>
      <c r="AJ202" s="109"/>
      <c r="AK202" s="109"/>
    </row>
    <row r="203" spans="1:37" s="116" customFormat="1" x14ac:dyDescent="0.35">
      <c r="B203" s="98"/>
      <c r="C203" s="117"/>
      <c r="D203" s="117"/>
      <c r="E203" s="117"/>
      <c r="F203" s="117"/>
      <c r="G203" s="117"/>
      <c r="H203" s="117"/>
      <c r="I203" s="117"/>
      <c r="J203" s="117"/>
      <c r="K203" s="118"/>
      <c r="L203" s="117"/>
      <c r="M203" s="117"/>
      <c r="N203" s="118"/>
      <c r="O203" s="119"/>
      <c r="P203" s="119"/>
      <c r="Q203" s="102"/>
      <c r="R203" s="120"/>
      <c r="S203" s="104" t="s">
        <v>94</v>
      </c>
      <c r="T203" s="118"/>
      <c r="U203" s="117"/>
      <c r="V203" s="117"/>
      <c r="W203" s="117"/>
      <c r="X203" s="117"/>
      <c r="Y203" s="117"/>
      <c r="Z203" s="117"/>
      <c r="AA203" s="118"/>
      <c r="AB203" s="117"/>
      <c r="AC203" s="118"/>
      <c r="AD203" s="118"/>
      <c r="AE203" s="121"/>
      <c r="AF203" s="121"/>
      <c r="AG203" s="107"/>
      <c r="AH203" s="122"/>
      <c r="AI203" s="104" t="s">
        <v>94</v>
      </c>
      <c r="AJ203" s="122"/>
      <c r="AK203" s="122"/>
    </row>
  </sheetData>
  <sheetProtection sheet="1" objects="1" scenarios="1" insertRows="0" deleteRows="0" selectLockedCells="1"/>
  <mergeCells count="2">
    <mergeCell ref="B1:R1"/>
    <mergeCell ref="T1:AH1"/>
  </mergeCells>
  <conditionalFormatting sqref="Z4:AB4 Z3:AG3 Y5:AB16 T6:T12 S4:S203 AJ102:AM202 AC102:AH102 C3:E3 C102:R102 B203:B371 G3 I3:Q3 S3:T3 AI3:AI203 T102:AB202 I98:Q99 G100:Q101 G92:Q97 C4:Q88 C106:R202 I103:Q105 C92:E101 C93:H95 I89:Q91 G96:H101 AC4:AG101 AC104:AH202 AC103:AG103 T17:AB29 Y30:AB101 T92:T101 T30:T88 AJ98:AJ101 AL3:AM101">
    <cfRule type="expression" dxfId="266" priority="2">
      <formula>ISBLANK($T3)</formula>
    </cfRule>
    <cfRule type="expression" dxfId="265" priority="3">
      <formula>$T3="NOK"</formula>
    </cfRule>
    <cfRule type="expression" dxfId="264" priority="4">
      <formula>$K3&lt;&gt;$AA3</formula>
    </cfRule>
  </conditionalFormatting>
  <conditionalFormatting sqref="Y3:Y4">
    <cfRule type="expression" dxfId="263" priority="5">
      <formula>ISBLANK($T3)</formula>
    </cfRule>
    <cfRule type="expression" dxfId="262" priority="6">
      <formula>$T3="NOK"</formula>
    </cfRule>
    <cfRule type="expression" dxfId="261" priority="7">
      <formula>$K3&lt;&gt;$AA3</formula>
    </cfRule>
  </conditionalFormatting>
  <conditionalFormatting sqref="U3:X3 U6:X6 X7 U9:X12 W8:X8">
    <cfRule type="expression" dxfId="260" priority="8">
      <formula>ISBLANK($T3)</formula>
    </cfRule>
    <cfRule type="expression" dxfId="259" priority="9">
      <formula>$T3="NOK"</formula>
    </cfRule>
    <cfRule type="expression" dxfId="258" priority="10">
      <formula>$K3&lt;&gt;$AA3</formula>
    </cfRule>
  </conditionalFormatting>
  <conditionalFormatting sqref="A3:A9">
    <cfRule type="expression" dxfId="257" priority="11">
      <formula>ISBLANK($T3)</formula>
    </cfRule>
    <cfRule type="expression" dxfId="256" priority="12">
      <formula>$T3="NOK"</formula>
    </cfRule>
    <cfRule type="expression" dxfId="255" priority="13">
      <formula>$K3&lt;&gt;$AA3</formula>
    </cfRule>
  </conditionalFormatting>
  <conditionalFormatting sqref="B3">
    <cfRule type="expression" dxfId="254" priority="14">
      <formula>ISBLANK($T3)</formula>
    </cfRule>
    <cfRule type="expression" dxfId="253" priority="15">
      <formula>$T3="NOK"</formula>
    </cfRule>
    <cfRule type="expression" dxfId="252" priority="16">
      <formula>$K3&lt;&gt;$AA3</formula>
    </cfRule>
  </conditionalFormatting>
  <conditionalFormatting sqref="B106:B202 B4:B88 B92:B102">
    <cfRule type="expression" dxfId="251" priority="17">
      <formula>ISBLANK($T4)</formula>
    </cfRule>
    <cfRule type="expression" dxfId="250" priority="18">
      <formula>$T4="NOK"</formula>
    </cfRule>
    <cfRule type="expression" dxfId="249" priority="19">
      <formula>$K4&lt;&gt;$AA4</formula>
    </cfRule>
  </conditionalFormatting>
  <conditionalFormatting sqref="F3">
    <cfRule type="expression" dxfId="248" priority="20">
      <formula>ISBLANK($T3)</formula>
    </cfRule>
    <cfRule type="expression" dxfId="247" priority="21">
      <formula>$T3="NOK"</formula>
    </cfRule>
    <cfRule type="expression" dxfId="246" priority="22">
      <formula>$K3&lt;&gt;$AA3</formula>
    </cfRule>
  </conditionalFormatting>
  <conditionalFormatting sqref="H3">
    <cfRule type="expression" dxfId="245" priority="23">
      <formula>ISBLANK($T3)</formula>
    </cfRule>
    <cfRule type="expression" dxfId="244" priority="24">
      <formula>$T3="NOK"</formula>
    </cfRule>
    <cfRule type="expression" dxfId="243" priority="25">
      <formula>$K3&lt;&gt;$AA3</formula>
    </cfRule>
  </conditionalFormatting>
  <conditionalFormatting sqref="R3:R88 R92:R97">
    <cfRule type="expression" dxfId="242" priority="26">
      <formula>ISBLANK($R3)</formula>
    </cfRule>
    <cfRule type="expression" dxfId="241" priority="27">
      <formula>$R3="NOK"</formula>
    </cfRule>
    <cfRule type="expression" dxfId="240" priority="28">
      <formula>$I3&lt;&gt;$Y3</formula>
    </cfRule>
  </conditionalFormatting>
  <conditionalFormatting sqref="AH3:AH98">
    <cfRule type="expression" dxfId="239" priority="29">
      <formula>ISBLANK($R3)</formula>
    </cfRule>
    <cfRule type="expression" dxfId="238" priority="30">
      <formula>$R3="NOK"</formula>
    </cfRule>
    <cfRule type="expression" dxfId="237" priority="31">
      <formula>$I3&lt;&gt;$Y3</formula>
    </cfRule>
  </conditionalFormatting>
  <conditionalFormatting sqref="AJ3:AJ97">
    <cfRule type="expression" dxfId="236" priority="32">
      <formula>ISBLANK($R3)</formula>
    </cfRule>
    <cfRule type="expression" dxfId="235" priority="33">
      <formula>$R3="NOK"</formula>
    </cfRule>
    <cfRule type="expression" dxfId="234" priority="34">
      <formula>$I3&lt;&gt;$Y3</formula>
    </cfRule>
  </conditionalFormatting>
  <conditionalFormatting sqref="AK23 AK25 AK5 AK28:AK91">
    <cfRule type="expression" dxfId="233" priority="35">
      <formula>ISBLANK($R5)</formula>
    </cfRule>
    <cfRule type="expression" dxfId="232" priority="36">
      <formula>$R5="NOK"</formula>
    </cfRule>
    <cfRule type="expression" dxfId="231" priority="37">
      <formula>$I5&lt;&gt;$Y5</formula>
    </cfRule>
  </conditionalFormatting>
  <conditionalFormatting sqref="C98 G98 E98">
    <cfRule type="expression" dxfId="230" priority="38">
      <formula>ISBLANK($T98)</formula>
    </cfRule>
    <cfRule type="expression" dxfId="229" priority="39">
      <formula>$T98="NOK"</formula>
    </cfRule>
    <cfRule type="expression" dxfId="228" priority="40">
      <formula>$K98&lt;&gt;$AA98</formula>
    </cfRule>
  </conditionalFormatting>
  <conditionalFormatting sqref="B98">
    <cfRule type="expression" dxfId="227" priority="41">
      <formula>ISBLANK($T98)</formula>
    </cfRule>
    <cfRule type="expression" dxfId="226" priority="42">
      <formula>$T98="NOK"</formula>
    </cfRule>
    <cfRule type="expression" dxfId="225" priority="43">
      <formula>$K98&lt;&gt;$AA98</formula>
    </cfRule>
  </conditionalFormatting>
  <conditionalFormatting sqref="H98">
    <cfRule type="expression" dxfId="224" priority="44">
      <formula>ISBLANK($T98)</formula>
    </cfRule>
    <cfRule type="expression" dxfId="223" priority="45">
      <formula>$T98="NOK"</formula>
    </cfRule>
    <cfRule type="expression" dxfId="222" priority="46">
      <formula>$K98&lt;&gt;$AA98</formula>
    </cfRule>
  </conditionalFormatting>
  <conditionalFormatting sqref="D98 D100:D101">
    <cfRule type="expression" dxfId="221" priority="47">
      <formula>ISBLANK($T98)</formula>
    </cfRule>
    <cfRule type="expression" dxfId="220" priority="48">
      <formula>$T98="NOK"</formula>
    </cfRule>
    <cfRule type="expression" dxfId="219" priority="49">
      <formula>$K98&lt;&gt;$AA98</formula>
    </cfRule>
  </conditionalFormatting>
  <conditionalFormatting sqref="C99:E99 G99">
    <cfRule type="expression" dxfId="218" priority="50">
      <formula>ISBLANK($T99)</formula>
    </cfRule>
    <cfRule type="expression" dxfId="217" priority="51">
      <formula>$T99="NOK"</formula>
    </cfRule>
    <cfRule type="expression" dxfId="216" priority="52">
      <formula>$K99&lt;&gt;$AA99</formula>
    </cfRule>
  </conditionalFormatting>
  <conditionalFormatting sqref="B99">
    <cfRule type="expression" dxfId="215" priority="53">
      <formula>ISBLANK($T99)</formula>
    </cfRule>
    <cfRule type="expression" dxfId="214" priority="54">
      <formula>$T99="NOK"</formula>
    </cfRule>
    <cfRule type="expression" dxfId="213" priority="55">
      <formula>$K99&lt;&gt;$AA99</formula>
    </cfRule>
  </conditionalFormatting>
  <conditionalFormatting sqref="H99">
    <cfRule type="expression" dxfId="212" priority="56">
      <formula>ISBLANK($T99)</formula>
    </cfRule>
    <cfRule type="expression" dxfId="211" priority="57">
      <formula>$T99="NOK"</formula>
    </cfRule>
    <cfRule type="expression" dxfId="210" priority="58">
      <formula>$K99&lt;&gt;$AA99</formula>
    </cfRule>
  </conditionalFormatting>
  <conditionalFormatting sqref="R98">
    <cfRule type="expression" dxfId="209" priority="59">
      <formula>ISBLANK($R98)</formula>
    </cfRule>
    <cfRule type="expression" dxfId="208" priority="60">
      <formula>$R98="NOK"</formula>
    </cfRule>
    <cfRule type="expression" dxfId="207" priority="61">
      <formula>$I98&lt;&gt;$Y98</formula>
    </cfRule>
  </conditionalFormatting>
  <conditionalFormatting sqref="F92:F101">
    <cfRule type="expression" dxfId="206" priority="62">
      <formula>ISBLANK($T92)</formula>
    </cfRule>
    <cfRule type="expression" dxfId="205" priority="63">
      <formula>$T92="NOK"</formula>
    </cfRule>
    <cfRule type="expression" dxfId="204" priority="64">
      <formula>$K92&lt;&gt;$AA92</formula>
    </cfRule>
  </conditionalFormatting>
  <conditionalFormatting sqref="C105 E105 G105:H105">
    <cfRule type="expression" dxfId="203" priority="65">
      <formula>ISBLANK($T105)</formula>
    </cfRule>
    <cfRule type="expression" dxfId="202" priority="66">
      <formula>$T105="NOK"</formula>
    </cfRule>
    <cfRule type="expression" dxfId="201" priority="67">
      <formula>$K105&lt;&gt;$AA105</formula>
    </cfRule>
  </conditionalFormatting>
  <conditionalFormatting sqref="B105">
    <cfRule type="expression" dxfId="200" priority="68">
      <formula>ISBLANK($T105)</formula>
    </cfRule>
    <cfRule type="expression" dxfId="199" priority="69">
      <formula>$T105="NOK"</formula>
    </cfRule>
    <cfRule type="expression" dxfId="198" priority="70">
      <formula>$K105&lt;&gt;$AA105</formula>
    </cfRule>
  </conditionalFormatting>
  <conditionalFormatting sqref="C103 G103 E103">
    <cfRule type="expression" dxfId="197" priority="71">
      <formula>ISBLANK($T103)</formula>
    </cfRule>
    <cfRule type="expression" dxfId="196" priority="72">
      <formula>$T103="NOK"</formula>
    </cfRule>
    <cfRule type="expression" dxfId="195" priority="73">
      <formula>$K103&lt;&gt;$AA103</formula>
    </cfRule>
  </conditionalFormatting>
  <conditionalFormatting sqref="B103">
    <cfRule type="expression" dxfId="194" priority="74">
      <formula>ISBLANK($T103)</formula>
    </cfRule>
    <cfRule type="expression" dxfId="193" priority="75">
      <formula>$T103="NOK"</formula>
    </cfRule>
    <cfRule type="expression" dxfId="192" priority="76">
      <formula>$K103&lt;&gt;$AA103</formula>
    </cfRule>
  </conditionalFormatting>
  <conditionalFormatting sqref="H103">
    <cfRule type="expression" dxfId="191" priority="77">
      <formula>ISBLANK($T103)</formula>
    </cfRule>
    <cfRule type="expression" dxfId="190" priority="78">
      <formula>$T103="NOK"</formula>
    </cfRule>
    <cfRule type="expression" dxfId="189" priority="79">
      <formula>$K103&lt;&gt;$AA103</formula>
    </cfRule>
  </conditionalFormatting>
  <conditionalFormatting sqref="D103 D105">
    <cfRule type="expression" dxfId="188" priority="80">
      <formula>ISBLANK($T103)</formula>
    </cfRule>
    <cfRule type="expression" dxfId="187" priority="81">
      <formula>$T103="NOK"</formula>
    </cfRule>
    <cfRule type="expression" dxfId="186" priority="82">
      <formula>$K103&lt;&gt;$AA103</formula>
    </cfRule>
  </conditionalFormatting>
  <conditionalFormatting sqref="C104:E104 G104">
    <cfRule type="expression" dxfId="185" priority="83">
      <formula>ISBLANK($T104)</formula>
    </cfRule>
    <cfRule type="expression" dxfId="184" priority="84">
      <formula>$T104="NOK"</formula>
    </cfRule>
    <cfRule type="expression" dxfId="183" priority="85">
      <formula>$K104&lt;&gt;$AA104</formula>
    </cfRule>
  </conditionalFormatting>
  <conditionalFormatting sqref="B104">
    <cfRule type="expression" dxfId="182" priority="86">
      <formula>ISBLANK($T104)</formula>
    </cfRule>
    <cfRule type="expression" dxfId="181" priority="87">
      <formula>$T104="NOK"</formula>
    </cfRule>
    <cfRule type="expression" dxfId="180" priority="88">
      <formula>$K104&lt;&gt;$AA104</formula>
    </cfRule>
  </conditionalFormatting>
  <conditionalFormatting sqref="H104">
    <cfRule type="expression" dxfId="179" priority="89">
      <formula>ISBLANK($T104)</formula>
    </cfRule>
    <cfRule type="expression" dxfId="178" priority="90">
      <formula>$T104="NOK"</formula>
    </cfRule>
    <cfRule type="expression" dxfId="177" priority="91">
      <formula>$K104&lt;&gt;$AA104</formula>
    </cfRule>
  </conditionalFormatting>
  <conditionalFormatting sqref="F103:F105">
    <cfRule type="expression" dxfId="176" priority="92">
      <formula>ISBLANK($T103)</formula>
    </cfRule>
    <cfRule type="expression" dxfId="175" priority="93">
      <formula>$T103="NOK"</formula>
    </cfRule>
    <cfRule type="expression" dxfId="174" priority="94">
      <formula>$K103&lt;&gt;$AA103</formula>
    </cfRule>
  </conditionalFormatting>
  <conditionalFormatting sqref="R105">
    <cfRule type="expression" dxfId="173" priority="95">
      <formula>ISBLANK($T105)</formula>
    </cfRule>
    <cfRule type="expression" dxfId="172" priority="96">
      <formula>$T105="NOK"</formula>
    </cfRule>
    <cfRule type="expression" dxfId="171" priority="97">
      <formula>$K105&lt;&gt;$AA105</formula>
    </cfRule>
  </conditionalFormatting>
  <conditionalFormatting sqref="R103">
    <cfRule type="expression" dxfId="170" priority="98">
      <formula>ISBLANK($R103)</formula>
    </cfRule>
    <cfRule type="expression" dxfId="169" priority="99">
      <formula>$R103="NOK"</formula>
    </cfRule>
    <cfRule type="expression" dxfId="168" priority="100">
      <formula>$I103&lt;&gt;$Y103</formula>
    </cfRule>
  </conditionalFormatting>
  <conditionalFormatting sqref="R104">
    <cfRule type="expression" dxfId="167" priority="101">
      <formula>ISBLANK($R104)</formula>
    </cfRule>
    <cfRule type="expression" dxfId="166" priority="102">
      <formula>$R104="NOK"</formula>
    </cfRule>
    <cfRule type="expression" dxfId="165" priority="103">
      <formula>$I104&lt;&gt;$Y104</formula>
    </cfRule>
  </conditionalFormatting>
  <conditionalFormatting sqref="R99:R101">
    <cfRule type="expression" dxfId="164" priority="104">
      <formula>ISBLANK($R99)</formula>
    </cfRule>
    <cfRule type="expression" dxfId="163" priority="105">
      <formula>$R99="NOK"</formula>
    </cfRule>
    <cfRule type="expression" dxfId="162" priority="106">
      <formula>$I99&lt;&gt;$Y99</formula>
    </cfRule>
  </conditionalFormatting>
  <conditionalFormatting sqref="C91 E91 G91:H91">
    <cfRule type="expression" dxfId="161" priority="107">
      <formula>ISBLANK($T91)</formula>
    </cfRule>
    <cfRule type="expression" dxfId="160" priority="108">
      <formula>$T91="NOK"</formula>
    </cfRule>
    <cfRule type="expression" dxfId="159" priority="109">
      <formula>$K91&lt;&gt;$AA91</formula>
    </cfRule>
  </conditionalFormatting>
  <conditionalFormatting sqref="B91">
    <cfRule type="expression" dxfId="158" priority="110">
      <formula>ISBLANK($T91)</formula>
    </cfRule>
    <cfRule type="expression" dxfId="157" priority="111">
      <formula>$T91="NOK"</formula>
    </cfRule>
    <cfRule type="expression" dxfId="156" priority="112">
      <formula>$K91&lt;&gt;$AA91</formula>
    </cfRule>
  </conditionalFormatting>
  <conditionalFormatting sqref="C89 G89 E89">
    <cfRule type="expression" dxfId="155" priority="113">
      <formula>ISBLANK($T89)</formula>
    </cfRule>
    <cfRule type="expression" dxfId="154" priority="114">
      <formula>$T89="NOK"</formula>
    </cfRule>
    <cfRule type="expression" dxfId="153" priority="115">
      <formula>$K89&lt;&gt;$AA89</formula>
    </cfRule>
  </conditionalFormatting>
  <conditionalFormatting sqref="B89">
    <cfRule type="expression" dxfId="152" priority="116">
      <formula>ISBLANK($T89)</formula>
    </cfRule>
    <cfRule type="expression" dxfId="151" priority="117">
      <formula>$T89="NOK"</formula>
    </cfRule>
    <cfRule type="expression" dxfId="150" priority="118">
      <formula>$K89&lt;&gt;$AA89</formula>
    </cfRule>
  </conditionalFormatting>
  <conditionalFormatting sqref="H89">
    <cfRule type="expression" dxfId="149" priority="119">
      <formula>ISBLANK($T89)</formula>
    </cfRule>
    <cfRule type="expression" dxfId="148" priority="120">
      <formula>$T89="NOK"</formula>
    </cfRule>
    <cfRule type="expression" dxfId="147" priority="121">
      <formula>$K89&lt;&gt;$AA89</formula>
    </cfRule>
  </conditionalFormatting>
  <conditionalFormatting sqref="D89 D91">
    <cfRule type="expression" dxfId="146" priority="122">
      <formula>ISBLANK($T89)</formula>
    </cfRule>
    <cfRule type="expression" dxfId="145" priority="123">
      <formula>$T89="NOK"</formula>
    </cfRule>
    <cfRule type="expression" dxfId="144" priority="124">
      <formula>$K89&lt;&gt;$AA89</formula>
    </cfRule>
  </conditionalFormatting>
  <conditionalFormatting sqref="C90:E90 G90">
    <cfRule type="expression" dxfId="143" priority="125">
      <formula>ISBLANK($T90)</formula>
    </cfRule>
    <cfRule type="expression" dxfId="142" priority="126">
      <formula>$T90="NOK"</formula>
    </cfRule>
    <cfRule type="expression" dxfId="141" priority="127">
      <formula>$K90&lt;&gt;$AA90</formula>
    </cfRule>
  </conditionalFormatting>
  <conditionalFormatting sqref="B90">
    <cfRule type="expression" dxfId="140" priority="128">
      <formula>ISBLANK($T90)</formula>
    </cfRule>
    <cfRule type="expression" dxfId="139" priority="129">
      <formula>$T90="NOK"</formula>
    </cfRule>
    <cfRule type="expression" dxfId="138" priority="130">
      <formula>$K90&lt;&gt;$AA90</formula>
    </cfRule>
  </conditionalFormatting>
  <conditionalFormatting sqref="H90">
    <cfRule type="expression" dxfId="137" priority="131">
      <formula>ISBLANK($T90)</formula>
    </cfRule>
    <cfRule type="expression" dxfId="136" priority="132">
      <formula>$T90="NOK"</formula>
    </cfRule>
    <cfRule type="expression" dxfId="135" priority="133">
      <formula>$K90&lt;&gt;$AA90</formula>
    </cfRule>
  </conditionalFormatting>
  <conditionalFormatting sqref="F89:F91">
    <cfRule type="expression" dxfId="134" priority="134">
      <formula>ISBLANK($T89)</formula>
    </cfRule>
    <cfRule type="expression" dxfId="133" priority="135">
      <formula>$T89="NOK"</formula>
    </cfRule>
    <cfRule type="expression" dxfId="132" priority="136">
      <formula>$K89&lt;&gt;$AA89</formula>
    </cfRule>
  </conditionalFormatting>
  <conditionalFormatting sqref="R91">
    <cfRule type="expression" dxfId="131" priority="137">
      <formula>ISBLANK($T91)</formula>
    </cfRule>
    <cfRule type="expression" dxfId="130" priority="138">
      <formula>$T91="NOK"</formula>
    </cfRule>
    <cfRule type="expression" dxfId="129" priority="139">
      <formula>$K91&lt;&gt;$AA91</formula>
    </cfRule>
  </conditionalFormatting>
  <conditionalFormatting sqref="R89">
    <cfRule type="expression" dxfId="128" priority="140">
      <formula>ISBLANK($R89)</formula>
    </cfRule>
    <cfRule type="expression" dxfId="127" priority="141">
      <formula>$R89="NOK"</formula>
    </cfRule>
    <cfRule type="expression" dxfId="126" priority="142">
      <formula>$I89&lt;&gt;$Y89</formula>
    </cfRule>
  </conditionalFormatting>
  <conditionalFormatting sqref="R90">
    <cfRule type="expression" dxfId="125" priority="143">
      <formula>ISBLANK($R90)</formula>
    </cfRule>
    <cfRule type="expression" dxfId="124" priority="144">
      <formula>$R90="NOK"</formula>
    </cfRule>
    <cfRule type="expression" dxfId="123" priority="145">
      <formula>$I90&lt;&gt;$Y90</formula>
    </cfRule>
  </conditionalFormatting>
  <conditionalFormatting sqref="T4">
    <cfRule type="expression" dxfId="122" priority="146">
      <formula>ISBLANK($T4)</formula>
    </cfRule>
    <cfRule type="expression" dxfId="121" priority="147">
      <formula>$T4="NOK"</formula>
    </cfRule>
    <cfRule type="expression" dxfId="120" priority="148">
      <formula>$K4&lt;&gt;$AA4</formula>
    </cfRule>
  </conditionalFormatting>
  <conditionalFormatting sqref="U4:X4">
    <cfRule type="expression" dxfId="119" priority="149">
      <formula>ISBLANK($T4)</formula>
    </cfRule>
    <cfRule type="expression" dxfId="118" priority="150">
      <formula>$T4="NOK"</formula>
    </cfRule>
    <cfRule type="expression" dxfId="117" priority="151">
      <formula>$K4&lt;&gt;$AA4</formula>
    </cfRule>
  </conditionalFormatting>
  <conditionalFormatting sqref="T5">
    <cfRule type="expression" dxfId="116" priority="152">
      <formula>ISBLANK($T5)</formula>
    </cfRule>
    <cfRule type="expression" dxfId="115" priority="153">
      <formula>$T5="NOK"</formula>
    </cfRule>
    <cfRule type="expression" dxfId="114" priority="154">
      <formula>$K5&lt;&gt;$AA5</formula>
    </cfRule>
  </conditionalFormatting>
  <conditionalFormatting sqref="U5:X5">
    <cfRule type="expression" dxfId="113" priority="155">
      <formula>ISBLANK($T5)</formula>
    </cfRule>
    <cfRule type="expression" dxfId="112" priority="156">
      <formula>$T5="NOK"</formula>
    </cfRule>
    <cfRule type="expression" dxfId="111" priority="157">
      <formula>$K5&lt;&gt;$AA5</formula>
    </cfRule>
  </conditionalFormatting>
  <conditionalFormatting sqref="AH103">
    <cfRule type="expression" dxfId="110" priority="158">
      <formula>ISBLANK($R103)</formula>
    </cfRule>
    <cfRule type="expression" dxfId="109" priority="159">
      <formula>$R103="NOK"</formula>
    </cfRule>
    <cfRule type="expression" dxfId="108" priority="160">
      <formula>$I103&lt;&gt;$Y103</formula>
    </cfRule>
  </conditionalFormatting>
  <conditionalFormatting sqref="U7:W7">
    <cfRule type="expression" dxfId="107" priority="161">
      <formula>ISBLANK($T7)</formula>
    </cfRule>
    <cfRule type="expression" dxfId="106" priority="162">
      <formula>$T7="NOK"</formula>
    </cfRule>
    <cfRule type="expression" dxfId="105" priority="163">
      <formula>$K7&lt;&gt;$AA7</formula>
    </cfRule>
  </conditionalFormatting>
  <conditionalFormatting sqref="T13">
    <cfRule type="expression" dxfId="104" priority="164">
      <formula>ISBLANK($T13)</formula>
    </cfRule>
    <cfRule type="expression" dxfId="103" priority="165">
      <formula>$T13="NOK"</formula>
    </cfRule>
    <cfRule type="expression" dxfId="102" priority="166">
      <formula>$K13&lt;&gt;$AA13</formula>
    </cfRule>
  </conditionalFormatting>
  <conditionalFormatting sqref="U13:X13">
    <cfRule type="expression" dxfId="101" priority="167">
      <formula>ISBLANK($T13)</formula>
    </cfRule>
    <cfRule type="expression" dxfId="100" priority="168">
      <formula>$T13="NOK"</formula>
    </cfRule>
    <cfRule type="expression" dxfId="99" priority="169">
      <formula>$K13&lt;&gt;$AA13</formula>
    </cfRule>
  </conditionalFormatting>
  <conditionalFormatting sqref="T14">
    <cfRule type="expression" dxfId="98" priority="170">
      <formula>ISBLANK($T14)</formula>
    </cfRule>
    <cfRule type="expression" dxfId="97" priority="171">
      <formula>$T14="NOK"</formula>
    </cfRule>
    <cfRule type="expression" dxfId="96" priority="172">
      <formula>$K14&lt;&gt;$AA14</formula>
    </cfRule>
  </conditionalFormatting>
  <conditionalFormatting sqref="U14:X14">
    <cfRule type="expression" dxfId="95" priority="173">
      <formula>ISBLANK($T14)</formula>
    </cfRule>
    <cfRule type="expression" dxfId="94" priority="174">
      <formula>$T14="NOK"</formula>
    </cfRule>
    <cfRule type="expression" dxfId="93" priority="175">
      <formula>$K14&lt;&gt;$AA14</formula>
    </cfRule>
  </conditionalFormatting>
  <conditionalFormatting sqref="T15">
    <cfRule type="expression" dxfId="92" priority="176">
      <formula>ISBLANK($T15)</formula>
    </cfRule>
    <cfRule type="expression" dxfId="91" priority="177">
      <formula>$T15="NOK"</formula>
    </cfRule>
    <cfRule type="expression" dxfId="90" priority="178">
      <formula>$K15&lt;&gt;$AA15</formula>
    </cfRule>
  </conditionalFormatting>
  <conditionalFormatting sqref="U15:X15">
    <cfRule type="expression" dxfId="89" priority="179">
      <formula>ISBLANK($T15)</formula>
    </cfRule>
    <cfRule type="expression" dxfId="88" priority="180">
      <formula>$T15="NOK"</formula>
    </cfRule>
    <cfRule type="expression" dxfId="87" priority="181">
      <formula>$K15&lt;&gt;$AA15</formula>
    </cfRule>
  </conditionalFormatting>
  <conditionalFormatting sqref="T16">
    <cfRule type="expression" dxfId="86" priority="182">
      <formula>ISBLANK($T16)</formula>
    </cfRule>
    <cfRule type="expression" dxfId="85" priority="183">
      <formula>$T16="NOK"</formula>
    </cfRule>
    <cfRule type="expression" dxfId="84" priority="184">
      <formula>$K16&lt;&gt;$AA16</formula>
    </cfRule>
  </conditionalFormatting>
  <conditionalFormatting sqref="U16:X16">
    <cfRule type="expression" dxfId="83" priority="185">
      <formula>ISBLANK($T16)</formula>
    </cfRule>
    <cfRule type="expression" dxfId="82" priority="186">
      <formula>$T16="NOK"</formula>
    </cfRule>
    <cfRule type="expression" dxfId="81" priority="187">
      <formula>$K16&lt;&gt;$AA16</formula>
    </cfRule>
  </conditionalFormatting>
  <conditionalFormatting sqref="U92:W101 U30:W39 U41:W88 W40">
    <cfRule type="expression" dxfId="80" priority="188">
      <formula>ISBLANK($T30)</formula>
    </cfRule>
    <cfRule type="expression" dxfId="79" priority="189">
      <formula>$T30="NOK"</formula>
    </cfRule>
    <cfRule type="expression" dxfId="78" priority="190">
      <formula>$K30&lt;&gt;$AA30</formula>
    </cfRule>
  </conditionalFormatting>
  <conditionalFormatting sqref="U98 W98">
    <cfRule type="expression" dxfId="77" priority="191">
      <formula>ISBLANK($T98)</formula>
    </cfRule>
    <cfRule type="expression" dxfId="76" priority="192">
      <formula>$T98="NOK"</formula>
    </cfRule>
    <cfRule type="expression" dxfId="75" priority="193">
      <formula>$K98&lt;&gt;$AA98</formula>
    </cfRule>
  </conditionalFormatting>
  <conditionalFormatting sqref="V98 V100:V101">
    <cfRule type="expression" dxfId="74" priority="194">
      <formula>ISBLANK($T98)</formula>
    </cfRule>
    <cfRule type="expression" dxfId="73" priority="195">
      <formula>$T98="NOK"</formula>
    </cfRule>
    <cfRule type="expression" dxfId="72" priority="196">
      <formula>$K98&lt;&gt;$AA98</formula>
    </cfRule>
  </conditionalFormatting>
  <conditionalFormatting sqref="U99:W99">
    <cfRule type="expression" dxfId="71" priority="197">
      <formula>ISBLANK($T99)</formula>
    </cfRule>
    <cfRule type="expression" dxfId="70" priority="198">
      <formula>$T99="NOK"</formula>
    </cfRule>
    <cfRule type="expression" dxfId="69" priority="199">
      <formula>$K99&lt;&gt;$AA99</formula>
    </cfRule>
  </conditionalFormatting>
  <conditionalFormatting sqref="W91">
    <cfRule type="expression" dxfId="68" priority="200">
      <formula>ISBLANK($T91)</formula>
    </cfRule>
    <cfRule type="expression" dxfId="67" priority="201">
      <formula>$T91="NOK"</formula>
    </cfRule>
    <cfRule type="expression" dxfId="66" priority="202">
      <formula>$K91&lt;&gt;$AA91</formula>
    </cfRule>
  </conditionalFormatting>
  <conditionalFormatting sqref="W89">
    <cfRule type="expression" dxfId="65" priority="203">
      <formula>ISBLANK($T89)</formula>
    </cfRule>
    <cfRule type="expression" dxfId="64" priority="204">
      <formula>$T89="NOK"</formula>
    </cfRule>
    <cfRule type="expression" dxfId="63" priority="205">
      <formula>$K89&lt;&gt;$AA89</formula>
    </cfRule>
  </conditionalFormatting>
  <conditionalFormatting sqref="W90">
    <cfRule type="expression" dxfId="62" priority="206">
      <formula>ISBLANK($T90)</formula>
    </cfRule>
    <cfRule type="expression" dxfId="61" priority="207">
      <formula>$T90="NOK"</formula>
    </cfRule>
    <cfRule type="expression" dxfId="60" priority="208">
      <formula>$K90&lt;&gt;$AA90</formula>
    </cfRule>
  </conditionalFormatting>
  <conditionalFormatting sqref="X30:X88 X92:X101">
    <cfRule type="expression" dxfId="59" priority="209">
      <formula>ISBLANK($T30)</formula>
    </cfRule>
    <cfRule type="expression" dxfId="58" priority="210">
      <formula>$T30="NOK"</formula>
    </cfRule>
    <cfRule type="expression" dxfId="57" priority="211">
      <formula>$K30&lt;&gt;$AA30</formula>
    </cfRule>
  </conditionalFormatting>
  <conditionalFormatting sqref="X98">
    <cfRule type="expression" dxfId="56" priority="212">
      <formula>ISBLANK($T98)</formula>
    </cfRule>
    <cfRule type="expression" dxfId="55" priority="213">
      <formula>$T98="NOK"</formula>
    </cfRule>
    <cfRule type="expression" dxfId="54" priority="214">
      <formula>$K98&lt;&gt;$AA98</formula>
    </cfRule>
  </conditionalFormatting>
  <conditionalFormatting sqref="X99">
    <cfRule type="expression" dxfId="53" priority="215">
      <formula>ISBLANK($T99)</formula>
    </cfRule>
    <cfRule type="expression" dxfId="52" priority="216">
      <formula>$T99="NOK"</formula>
    </cfRule>
    <cfRule type="expression" dxfId="51" priority="217">
      <formula>$K99&lt;&gt;$AA99</formula>
    </cfRule>
  </conditionalFormatting>
  <conditionalFormatting sqref="X91">
    <cfRule type="expression" dxfId="50" priority="218">
      <formula>ISBLANK($T91)</formula>
    </cfRule>
    <cfRule type="expression" dxfId="49" priority="219">
      <formula>$T91="NOK"</formula>
    </cfRule>
    <cfRule type="expression" dxfId="48" priority="220">
      <formula>$K91&lt;&gt;$AA91</formula>
    </cfRule>
  </conditionalFormatting>
  <conditionalFormatting sqref="X89">
    <cfRule type="expression" dxfId="47" priority="221">
      <formula>ISBLANK($T89)</formula>
    </cfRule>
    <cfRule type="expression" dxfId="46" priority="222">
      <formula>$T89="NOK"</formula>
    </cfRule>
    <cfRule type="expression" dxfId="45" priority="223">
      <formula>$K89&lt;&gt;$AA89</formula>
    </cfRule>
  </conditionalFormatting>
  <conditionalFormatting sqref="X90">
    <cfRule type="expression" dxfId="44" priority="224">
      <formula>ISBLANK($T90)</formula>
    </cfRule>
    <cfRule type="expression" dxfId="43" priority="225">
      <formula>$T90="NOK"</formula>
    </cfRule>
    <cfRule type="expression" dxfId="42" priority="226">
      <formula>$K90&lt;&gt;$AA90</formula>
    </cfRule>
  </conditionalFormatting>
  <conditionalFormatting sqref="AH99:AH101">
    <cfRule type="expression" dxfId="41" priority="227">
      <formula>ISBLANK($R99)</formula>
    </cfRule>
    <cfRule type="expression" dxfId="40" priority="228">
      <formula>$R99="NOK"</formula>
    </cfRule>
    <cfRule type="expression" dxfId="39" priority="229">
      <formula>$I99&lt;&gt;$Y99</formula>
    </cfRule>
  </conditionalFormatting>
  <conditionalFormatting sqref="AK6">
    <cfRule type="expression" dxfId="38" priority="230">
      <formula>ISBLANK($R6)</formula>
    </cfRule>
    <cfRule type="expression" dxfId="37" priority="231">
      <formula>$R6="NOK"</formula>
    </cfRule>
    <cfRule type="expression" dxfId="36" priority="232">
      <formula>$I6&lt;&gt;$Y6</formula>
    </cfRule>
  </conditionalFormatting>
  <conditionalFormatting sqref="T89:T91">
    <cfRule type="expression" dxfId="35" priority="233">
      <formula>ISBLANK($T89)</formula>
    </cfRule>
    <cfRule type="expression" dxfId="34" priority="234">
      <formula>$T89="NOK"</formula>
    </cfRule>
    <cfRule type="expression" dxfId="33" priority="235">
      <formula>$K89&lt;&gt;$AA89</formula>
    </cfRule>
  </conditionalFormatting>
  <conditionalFormatting sqref="U89:V91">
    <cfRule type="expression" dxfId="32" priority="236">
      <formula>ISBLANK($T89)</formula>
    </cfRule>
    <cfRule type="expression" dxfId="31" priority="237">
      <formula>$T89="NOK"</formula>
    </cfRule>
    <cfRule type="expression" dxfId="30" priority="238">
      <formula>$K89&lt;&gt;$AA89</formula>
    </cfRule>
  </conditionalFormatting>
  <conditionalFormatting sqref="AK26:AK27">
    <cfRule type="expression" dxfId="29" priority="239">
      <formula>ISBLANK($R26)</formula>
    </cfRule>
    <cfRule type="expression" dxfId="28" priority="240">
      <formula>$R26="NOK"</formula>
    </cfRule>
    <cfRule type="expression" dxfId="27" priority="241">
      <formula>$I26&lt;&gt;$Y26</formula>
    </cfRule>
  </conditionalFormatting>
  <conditionalFormatting sqref="AK24">
    <cfRule type="expression" dxfId="26" priority="242">
      <formula>ISBLANK($R24)</formula>
    </cfRule>
    <cfRule type="expression" dxfId="25" priority="243">
      <formula>$R24="NOK"</formula>
    </cfRule>
    <cfRule type="expression" dxfId="24" priority="244">
      <formula>$I24&lt;&gt;$Y24</formula>
    </cfRule>
  </conditionalFormatting>
  <conditionalFormatting sqref="AK9:AK22">
    <cfRule type="expression" dxfId="23" priority="245">
      <formula>ISBLANK($R9)</formula>
    </cfRule>
    <cfRule type="expression" dxfId="22" priority="246">
      <formula>$R9="NOK"</formula>
    </cfRule>
    <cfRule type="expression" dxfId="21" priority="247">
      <formula>$I9&lt;&gt;$Y9</formula>
    </cfRule>
  </conditionalFormatting>
  <conditionalFormatting sqref="AK7">
    <cfRule type="expression" dxfId="20" priority="248">
      <formula>ISBLANK($R7)</formula>
    </cfRule>
    <cfRule type="expression" dxfId="19" priority="249">
      <formula>$R7="NOK"</formula>
    </cfRule>
    <cfRule type="expression" dxfId="18" priority="250">
      <formula>$I7&lt;&gt;$Y7</formula>
    </cfRule>
  </conditionalFormatting>
  <conditionalFormatting sqref="AK4">
    <cfRule type="expression" dxfId="17" priority="251">
      <formula>ISBLANK($R4)</formula>
    </cfRule>
    <cfRule type="expression" dxfId="16" priority="252">
      <formula>$R4="NOK"</formula>
    </cfRule>
    <cfRule type="expression" dxfId="15" priority="253">
      <formula>$I4&lt;&gt;$Y4</formula>
    </cfRule>
  </conditionalFormatting>
  <conditionalFormatting sqref="AK3">
    <cfRule type="expression" dxfId="14" priority="254">
      <formula>ISBLANK($R3)</formula>
    </cfRule>
    <cfRule type="expression" dxfId="13" priority="255">
      <formula>$R3="NOK"</formula>
    </cfRule>
    <cfRule type="expression" dxfId="12" priority="256">
      <formula>$I3&lt;&gt;$Y3</formula>
    </cfRule>
  </conditionalFormatting>
  <conditionalFormatting sqref="AK92:AK101">
    <cfRule type="expression" dxfId="11" priority="257">
      <formula>ISBLANK($R92)</formula>
    </cfRule>
    <cfRule type="expression" dxfId="10" priority="258">
      <formula>$R92="NOK"</formula>
    </cfRule>
    <cfRule type="expression" dxfId="9" priority="259">
      <formula>$I92&lt;&gt;$Y92</formula>
    </cfRule>
  </conditionalFormatting>
  <conditionalFormatting sqref="AK8">
    <cfRule type="expression" dxfId="8" priority="260">
      <formula>ISBLANK($R8)</formula>
    </cfRule>
    <cfRule type="expression" dxfId="7" priority="261">
      <formula>$R8="NOK"</formula>
    </cfRule>
    <cfRule type="expression" dxfId="6" priority="262">
      <formula>$I8&lt;&gt;$Y8</formula>
    </cfRule>
  </conditionalFormatting>
  <conditionalFormatting sqref="U40:V40">
    <cfRule type="expression" dxfId="5" priority="263">
      <formula>ISBLANK($T40)</formula>
    </cfRule>
    <cfRule type="expression" dxfId="4" priority="264">
      <formula>$T40="NOK"</formula>
    </cfRule>
    <cfRule type="expression" dxfId="3" priority="265">
      <formula>$K40&lt;&gt;$AA40</formula>
    </cfRule>
  </conditionalFormatting>
  <conditionalFormatting sqref="U8:V8">
    <cfRule type="expression" dxfId="2" priority="266">
      <formula>ISBLANK($T8)</formula>
    </cfRule>
    <cfRule type="expression" dxfId="1" priority="267">
      <formula>$T8="NOK"</formula>
    </cfRule>
    <cfRule type="expression" dxfId="0" priority="268">
      <formula>$K8&lt;&gt;$AA8</formula>
    </cfRule>
  </conditionalFormatting>
  <dataValidations count="5">
    <dataValidation type="list" allowBlank="1" showInputMessage="1" showErrorMessage="1" sqref="C3:C203 U3:U203" xr:uid="{00000000-0002-0000-0300-000000000000}">
      <formula1>ListaTipos</formula1>
      <formula2>0</formula2>
    </dataValidation>
    <dataValidation type="list" allowBlank="1" showInputMessage="1" showErrorMessage="1" sqref="T3:T203" xr:uid="{00000000-0002-0000-0300-000001000000}">
      <formula1>"OK,NOK"</formula1>
      <formula2>0</formula2>
    </dataValidation>
    <dataValidation type="list" allowBlank="1" showInputMessage="1" showErrorMessage="1" sqref="D3:D202 V3:V202" xr:uid="{00000000-0002-0000-0300-000002000000}">
      <formula1>ListaCTIS</formula1>
      <formula2>0</formula2>
    </dataValidation>
    <dataValidation type="custom" allowBlank="1" showInputMessage="1" showErrorMessage="1" sqref="A10:A202" xr:uid="{00000000-0002-0000-0300-000003000000}">
      <formula1>Lista_Estorias</formula1>
      <formula2>0</formula2>
    </dataValidation>
    <dataValidation type="list" allowBlank="1" showInputMessage="1" showErrorMessage="1" sqref="A3:A9" xr:uid="{00000000-0002-0000-0300-000004000000}">
      <formula1>Lista_Estorias</formula1>
      <formula2>0</formula2>
    </dataValidation>
  </dataValidations>
  <pageMargins left="0.40625" right="0.375" top="1.0729166666666701" bottom="0.78749999999999998" header="0.51180555555555496" footer="0.51180555555555496"/>
  <pageSetup paperSize="9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0"/>
  <sheetViews>
    <sheetView showGridLines="0" view="pageBreakPreview" zoomScale="120" zoomScaleNormal="100" zoomScalePageLayoutView="120" workbookViewId="0">
      <selection activeCell="J7" sqref="J7"/>
    </sheetView>
  </sheetViews>
  <sheetFormatPr defaultRowHeight="14.5" x14ac:dyDescent="0.35"/>
  <cols>
    <col min="1" max="1" width="3.81640625" customWidth="1"/>
    <col min="2" max="8" width="9.08984375" customWidth="1"/>
    <col min="9" max="9" width="13" customWidth="1"/>
    <col min="10" max="1025" width="9.08984375" customWidth="1"/>
  </cols>
  <sheetData>
    <row r="2" spans="2:10" ht="39" customHeight="1" x14ac:dyDescent="0.35">
      <c r="B2" s="178" t="s">
        <v>95</v>
      </c>
      <c r="C2" s="178"/>
      <c r="D2" s="178"/>
      <c r="E2" s="178"/>
      <c r="F2" s="178"/>
      <c r="G2" s="178"/>
      <c r="H2" s="178"/>
    </row>
    <row r="3" spans="2:10" x14ac:dyDescent="0.35">
      <c r="B3" s="123"/>
      <c r="C3" s="124" t="s">
        <v>39</v>
      </c>
      <c r="D3" s="124" t="s">
        <v>41</v>
      </c>
      <c r="E3" s="124" t="s">
        <v>44</v>
      </c>
      <c r="F3" s="124" t="s">
        <v>96</v>
      </c>
      <c r="G3" s="124" t="s">
        <v>97</v>
      </c>
      <c r="H3" s="124" t="s">
        <v>98</v>
      </c>
      <c r="I3" s="125"/>
      <c r="J3" s="126"/>
    </row>
    <row r="4" spans="2:10" x14ac:dyDescent="0.35">
      <c r="B4" s="124" t="s">
        <v>99</v>
      </c>
      <c r="C4" s="127">
        <f>SUMPRODUCT((Funções!$C$3:$C$203=B4)*(Funções!$D$3:$D$203="I"))</f>
        <v>0</v>
      </c>
      <c r="D4" s="127">
        <f>SUMPRODUCT((Funções!$C$3:$C$203=B4)*(Funções!$D$3:$D$203="A"))</f>
        <v>0</v>
      </c>
      <c r="E4" s="127">
        <f>SUMPRODUCT((Funções!$C$3:$C$203=B4)*(Funções!$D$3:$D$203="E"))</f>
        <v>0</v>
      </c>
      <c r="F4" s="127">
        <f>SUMPRODUCT((Funções!$C$3:$C$203=B4)*(Funções!$D$3:$D$203="C"))</f>
        <v>0</v>
      </c>
      <c r="G4" s="127">
        <f>SUMIF(Funções!$C$3:$C$203,B4,Funções!$P$3:$P$203)</f>
        <v>0</v>
      </c>
      <c r="H4" s="127">
        <f>SUMIF(Funções!$C$3:$C$203,B4,Funções!$Q$3:$Q$203)</f>
        <v>0</v>
      </c>
      <c r="I4" s="128" t="s">
        <v>39</v>
      </c>
      <c r="J4" s="126">
        <f>SUMIF(Funções!D3:D203,"=I",Funções!P3:P203)</f>
        <v>0</v>
      </c>
    </row>
    <row r="5" spans="2:10" x14ac:dyDescent="0.35">
      <c r="B5" s="124" t="s">
        <v>100</v>
      </c>
      <c r="C5" s="127">
        <f>SUMPRODUCT((Funções!$C$3:$C$203=B5)*(Funções!$D$3:$D$203="I"))</f>
        <v>0</v>
      </c>
      <c r="D5" s="127">
        <f>SUMPRODUCT((Funções!$C$3:$C$203=B5)*(Funções!$D$3:$D$203="A"))</f>
        <v>0</v>
      </c>
      <c r="E5" s="127">
        <f>SUMPRODUCT((Funções!$C$3:$C$203=B5)*(Funções!$D$3:$D$203="E"))</f>
        <v>0</v>
      </c>
      <c r="F5" s="127">
        <f>SUMPRODUCT((Funções!$C$3:$C$203=B5)*(Funções!$D$3:$D$203="C"))</f>
        <v>0</v>
      </c>
      <c r="G5" s="127">
        <f>SUMIF(Funções!$C$3:$C$203,B5,Funções!$P$3:$P$203)</f>
        <v>0</v>
      </c>
      <c r="H5" s="127">
        <f>SUMIF(Funções!$C$3:$C$203,B5,Funções!$Q$3:$Q$203)</f>
        <v>0</v>
      </c>
      <c r="I5" s="128" t="s">
        <v>41</v>
      </c>
      <c r="J5" s="126">
        <f>SUMIF(Funções!D3:D203,"=A",Funções!P3:P203)</f>
        <v>0</v>
      </c>
    </row>
    <row r="6" spans="2:10" x14ac:dyDescent="0.35">
      <c r="B6" s="124" t="s">
        <v>101</v>
      </c>
      <c r="C6" s="127">
        <f>SUMPRODUCT((Funções!$C$3:$C$203=B6)*(Funções!$D$3:$D$203="I"))</f>
        <v>0</v>
      </c>
      <c r="D6" s="127">
        <f>SUMPRODUCT((Funções!$C$3:$C$203=B6)*(Funções!$D$3:$D$203="A"))</f>
        <v>0</v>
      </c>
      <c r="E6" s="127">
        <f>SUMPRODUCT((Funções!$C$3:$C$203=B6)*(Funções!$D$3:$D$203="E"))</f>
        <v>0</v>
      </c>
      <c r="F6" s="127">
        <f>SUMPRODUCT((Funções!$C$3:$C$203=B6)*(Funções!$D$3:$D$203="C"))</f>
        <v>0</v>
      </c>
      <c r="G6" s="127">
        <f>SUMIF(Funções!$C$3:$C$203,B6,Funções!$P$3:$P$203)</f>
        <v>0</v>
      </c>
      <c r="H6" s="127">
        <f>SUMIF(Funções!$C$3:$C$203,B6,Funções!$Q$3:$Q$203)</f>
        <v>0</v>
      </c>
      <c r="I6" s="128" t="s">
        <v>44</v>
      </c>
      <c r="J6" s="126">
        <f>SUMIF(Funções!D3:D203,"=E",Funções!P3:P203)</f>
        <v>0</v>
      </c>
    </row>
    <row r="7" spans="2:10" x14ac:dyDescent="0.35">
      <c r="B7" s="124" t="s">
        <v>102</v>
      </c>
      <c r="C7" s="127">
        <f>SUMPRODUCT((Funções!$C$3:$C$203=B7)*(Funções!$D$3:$D$203="I"))</f>
        <v>0</v>
      </c>
      <c r="D7" s="127">
        <f>SUMPRODUCT((Funções!$C$3:$C$203=B7)*(Funções!$D$3:$D$203="A"))</f>
        <v>0</v>
      </c>
      <c r="E7" s="127">
        <f>SUMPRODUCT((Funções!$C$3:$C$203=B7)*(Funções!$D$3:$D$203="E"))</f>
        <v>0</v>
      </c>
      <c r="F7" s="127">
        <f>SUMPRODUCT((Funções!$C$3:$C$203=B7)*(Funções!$D$3:$D$203="C"))</f>
        <v>0</v>
      </c>
      <c r="G7" s="127">
        <f>SUMIF(Funções!$C$3:$C$203,B7,Funções!$P$3:$P$203)</f>
        <v>0</v>
      </c>
      <c r="H7" s="127">
        <f>SUMIF(Funções!$C$3:$C$203,B7,Funções!$Q$3:$Q$203)</f>
        <v>0</v>
      </c>
      <c r="I7" s="128" t="s">
        <v>96</v>
      </c>
      <c r="J7" s="126">
        <f>SUMIF(Funções!D3:D203,"=C",Funções!P3:P203)</f>
        <v>0</v>
      </c>
    </row>
    <row r="8" spans="2:10" x14ac:dyDescent="0.35">
      <c r="B8" s="124" t="s">
        <v>103</v>
      </c>
      <c r="C8" s="127">
        <f>SUMPRODUCT((Funções!$C$3:$C$203=B8)*(Funções!$D$3:$D$203="I"))</f>
        <v>0</v>
      </c>
      <c r="D8" s="127">
        <f>SUMPRODUCT((Funções!$C$3:$C$203=B8)*(Funções!$D$3:$D$203="A"))</f>
        <v>0</v>
      </c>
      <c r="E8" s="127">
        <f>SUMPRODUCT((Funções!$C$3:$C$203=B8)*(Funções!$D$3:$D$203="E"))</f>
        <v>0</v>
      </c>
      <c r="F8" s="127">
        <f>SUMPRODUCT((Funções!$C$3:$C$203=B8)*(Funções!$D$3:$D$203="C"))</f>
        <v>0</v>
      </c>
      <c r="G8" s="127">
        <f>SUMIF(Funções!$C$3:$C$203,B8,Funções!$P$3:$P$203)</f>
        <v>0</v>
      </c>
      <c r="H8" s="127">
        <f>SUMIF(Funções!$C$3:$C$203,B8,Funções!$Q$3:$Q$203)</f>
        <v>0</v>
      </c>
      <c r="I8" s="128"/>
      <c r="J8" s="126"/>
    </row>
    <row r="9" spans="2:10" x14ac:dyDescent="0.35">
      <c r="B9" s="124" t="s">
        <v>104</v>
      </c>
      <c r="C9" s="127"/>
      <c r="D9" s="127"/>
      <c r="E9" s="127"/>
      <c r="F9" s="127"/>
      <c r="G9" s="127">
        <f>SUMIF(Funções!$C$3:$C$203,B9,Funções!$P$3:$P$203)</f>
        <v>0</v>
      </c>
      <c r="H9" s="127">
        <f>SUMIF(Funções!$C$3:$C$203,B9,Funções!$Q$3:$Q$203)</f>
        <v>0</v>
      </c>
      <c r="I9" s="128"/>
      <c r="J9" s="126"/>
    </row>
    <row r="10" spans="2:10" x14ac:dyDescent="0.35">
      <c r="B10" s="124" t="s">
        <v>105</v>
      </c>
      <c r="C10" s="124">
        <f>SUM(C4:C8)</f>
        <v>0</v>
      </c>
      <c r="D10" s="124">
        <f>SUM(D4:D8)</f>
        <v>0</v>
      </c>
      <c r="E10" s="124">
        <f>SUM(E4:E8)</f>
        <v>0</v>
      </c>
      <c r="F10" s="124">
        <f>SUM(F4:F8)</f>
        <v>0</v>
      </c>
      <c r="G10" s="124">
        <f>SUM(G4:G9)</f>
        <v>0</v>
      </c>
      <c r="H10" s="124">
        <f>SUM(H4:H9)</f>
        <v>0</v>
      </c>
      <c r="I10" s="125"/>
      <c r="J10" s="126"/>
    </row>
    <row r="11" spans="2:10" x14ac:dyDescent="0.35">
      <c r="I11" s="126"/>
      <c r="J11" s="126"/>
    </row>
    <row r="12" spans="2:10" ht="39" customHeight="1" x14ac:dyDescent="0.35">
      <c r="B12" s="178" t="s">
        <v>106</v>
      </c>
      <c r="C12" s="178"/>
      <c r="D12" s="178"/>
      <c r="E12" s="178"/>
      <c r="F12" s="178"/>
      <c r="G12" s="178"/>
      <c r="H12" s="178"/>
      <c r="I12" s="126"/>
      <c r="J12" s="126"/>
    </row>
    <row r="13" spans="2:10" x14ac:dyDescent="0.35">
      <c r="B13" s="123"/>
      <c r="C13" s="124" t="s">
        <v>39</v>
      </c>
      <c r="D13" s="124" t="s">
        <v>41</v>
      </c>
      <c r="E13" s="124" t="s">
        <v>44</v>
      </c>
      <c r="F13" s="124" t="s">
        <v>96</v>
      </c>
      <c r="G13" s="124" t="s">
        <v>97</v>
      </c>
      <c r="H13" s="124" t="s">
        <v>98</v>
      </c>
      <c r="I13" s="125"/>
      <c r="J13" s="126"/>
    </row>
    <row r="14" spans="2:10" x14ac:dyDescent="0.35">
      <c r="B14" s="129" t="s">
        <v>99</v>
      </c>
      <c r="C14" s="127">
        <f>SUMPRODUCT((Funções!$U$3:$U$203=B14)*(Funções!$V$3:$V$203="I")*(Funções!$AF$3:$AF$203&gt;0))</f>
        <v>0</v>
      </c>
      <c r="D14" s="127">
        <f>SUMPRODUCT((Funções!$U$3:$U$203=B14)*(Funções!$V$3:$V$203="A")*(Funções!$AF$3:$AF$203&gt;0))</f>
        <v>0</v>
      </c>
      <c r="E14" s="127">
        <f>SUMPRODUCT((Funções!$U$3:$U$203=B14)*(Funções!$V$3:$V$203="E")*(Funções!$AF$3:$AF$203&gt;0))</f>
        <v>0</v>
      </c>
      <c r="F14" s="127">
        <f>SUMPRODUCT((Funções!$U$3:$U$203=B14)*(Funções!$V$3:$V$203="C")*(Funções!$AF$3:$AF$203&gt;0))</f>
        <v>0</v>
      </c>
      <c r="G14" s="127">
        <f>SUMIF(Funções!$U$3:$U$203,B14,Funções!$AF$3:$AF$203)</f>
        <v>0</v>
      </c>
      <c r="H14" s="127">
        <f>SUMIF(Funções!$U$3:$U$203,B14,Funções!$AG$3:$AG$203)</f>
        <v>0</v>
      </c>
      <c r="I14" s="128" t="s">
        <v>39</v>
      </c>
      <c r="J14" s="126">
        <f>SUMIF(Funções!D14:D214,"=I",Funções!P14:P214)</f>
        <v>0</v>
      </c>
    </row>
    <row r="15" spans="2:10" x14ac:dyDescent="0.35">
      <c r="B15" s="129" t="s">
        <v>100</v>
      </c>
      <c r="C15" s="127">
        <f>SUMPRODUCT((Funções!$U$3:$U$203=B15)*(Funções!$V$3:$V$203="I")*(Funções!$AF$3:$AF$203&gt;0))</f>
        <v>0</v>
      </c>
      <c r="D15" s="127">
        <f>SUMPRODUCT((Funções!$U$3:$U$203=B15)*(Funções!$V$3:$V$203="A")*(Funções!$AF$3:$AF$203&gt;0))</f>
        <v>0</v>
      </c>
      <c r="E15" s="127">
        <f>SUMPRODUCT((Funções!$U$3:$U$203=B15)*(Funções!$V$3:$V$203="E")*(Funções!$AF$3:$AF$203&gt;0))</f>
        <v>0</v>
      </c>
      <c r="F15" s="127">
        <f>SUMPRODUCT((Funções!$U$3:$U$203=B15)*(Funções!$V$3:$V$203="C")*(Funções!$AF$3:$AF$203&gt;0))</f>
        <v>0</v>
      </c>
      <c r="G15" s="127">
        <f>SUMIF(Funções!$U$3:$U$203,B15,Funções!$AF$3:$AF$203)</f>
        <v>0</v>
      </c>
      <c r="H15" s="127">
        <f>SUMIF(Funções!$U$3:$U$203,B15,Funções!$AG$3:$AG$203)</f>
        <v>0</v>
      </c>
      <c r="I15" s="128" t="s">
        <v>41</v>
      </c>
      <c r="J15" s="126">
        <f>SUMIF(Funções!D14:D214,"=A",Funções!P14:P214)</f>
        <v>0</v>
      </c>
    </row>
    <row r="16" spans="2:10" x14ac:dyDescent="0.35">
      <c r="B16" s="129" t="s">
        <v>101</v>
      </c>
      <c r="C16" s="127">
        <f>SUMPRODUCT((Funções!$U$3:$U$203=B16)*(Funções!$V$3:$V$203="I")*(Funções!$AF$3:$AF$203&gt;0))</f>
        <v>0</v>
      </c>
      <c r="D16" s="127">
        <f>SUMPRODUCT((Funções!$U$3:$U$203=B16)*(Funções!$V$3:$V$203="A")*(Funções!$AF$3:$AF$203&gt;0))</f>
        <v>0</v>
      </c>
      <c r="E16" s="127">
        <f>SUMPRODUCT((Funções!$U$3:$U$203=B16)*(Funções!$V$3:$V$203="E")*(Funções!$AF$3:$AF$203&gt;0))</f>
        <v>0</v>
      </c>
      <c r="F16" s="127">
        <f>SUMPRODUCT((Funções!$U$3:$U$203=B16)*(Funções!$V$3:$V$203="C")*(Funções!$AF$3:$AF$203&gt;0))</f>
        <v>0</v>
      </c>
      <c r="G16" s="127">
        <f>SUMIF(Funções!$U$3:$U$203,B16,Funções!$AF$3:$AF$203)</f>
        <v>0</v>
      </c>
      <c r="H16" s="127">
        <f>SUMIF(Funções!$U$3:$U$203,B16,Funções!$AG$3:$AG$203)</f>
        <v>0</v>
      </c>
      <c r="I16" s="128" t="s">
        <v>44</v>
      </c>
      <c r="J16" s="126">
        <f>SUMIF(Funções!D14:D214,"=E",Funções!P14:P214)</f>
        <v>0</v>
      </c>
    </row>
    <row r="17" spans="2:10" x14ac:dyDescent="0.35">
      <c r="B17" s="129" t="s">
        <v>102</v>
      </c>
      <c r="C17" s="127">
        <f>SUMPRODUCT((Funções!$U$3:$U$203=B17)*(Funções!$V$3:$V$203="I")*(Funções!$AF$3:$AF$203&gt;0))</f>
        <v>0</v>
      </c>
      <c r="D17" s="127">
        <f>SUMPRODUCT((Funções!$U$3:$U$203=B17)*(Funções!$V$3:$V$203="A")*(Funções!$AF$3:$AF$203&gt;0))</f>
        <v>0</v>
      </c>
      <c r="E17" s="127">
        <f>SUMPRODUCT((Funções!$U$3:$U$203=B17)*(Funções!$V$3:$V$203="E")*(Funções!$AF$3:$AF$203&gt;0))</f>
        <v>0</v>
      </c>
      <c r="F17" s="127">
        <f>SUMPRODUCT((Funções!$U$3:$U$203=B17)*(Funções!$V$3:$V$203="C")*(Funções!$AF$3:$AF$203&gt;0))</f>
        <v>0</v>
      </c>
      <c r="G17" s="127">
        <f>SUMIF(Funções!$U$3:$U$203,B17,Funções!$AF$3:$AF$203)</f>
        <v>0</v>
      </c>
      <c r="H17" s="127">
        <f>SUMIF(Funções!$U$3:$U$203,B17,Funções!$AG$3:$AG$203)</f>
        <v>0</v>
      </c>
      <c r="I17" s="128" t="s">
        <v>96</v>
      </c>
      <c r="J17" s="126">
        <f>SUMIF(Funções!D14:D214,"=C",Funções!P14:P214)</f>
        <v>0</v>
      </c>
    </row>
    <row r="18" spans="2:10" x14ac:dyDescent="0.35">
      <c r="B18" s="129" t="s">
        <v>103</v>
      </c>
      <c r="C18" s="127">
        <f>SUMPRODUCT((Funções!$U$3:$U$203=B18)*(Funções!$V$3:$V$203="I")*(Funções!$AF$3:$AF$203&gt;0))</f>
        <v>0</v>
      </c>
      <c r="D18" s="127">
        <f>SUMPRODUCT((Funções!$U$3:$U$203=B18)*(Funções!$V$3:$V$203="A")*(Funções!$AF$3:$AF$203&gt;0))</f>
        <v>0</v>
      </c>
      <c r="E18" s="127">
        <f>SUMPRODUCT((Funções!$U$3:$U$203=B18)*(Funções!$V$3:$V$203="E")*(Funções!$AF$3:$AF$203&gt;0))</f>
        <v>0</v>
      </c>
      <c r="F18" s="127">
        <f>SUMPRODUCT((Funções!$U$3:$U$203=B18)*(Funções!$V$3:$V$203="C")*(Funções!$AF$3:$AF$203&gt;0))</f>
        <v>0</v>
      </c>
      <c r="G18" s="127">
        <f>SUMIF(Funções!$U$3:$U$203,B18,Funções!$AF$3:$AF$203)</f>
        <v>0</v>
      </c>
      <c r="H18" s="127">
        <f>SUMIF(Funções!$U$3:$U$203,B18,Funções!$AG$3:$AG$203)</f>
        <v>0</v>
      </c>
      <c r="I18" s="128"/>
      <c r="J18" s="126"/>
    </row>
    <row r="19" spans="2:10" x14ac:dyDescent="0.35">
      <c r="B19" s="129" t="s">
        <v>104</v>
      </c>
      <c r="C19" s="127"/>
      <c r="D19" s="127"/>
      <c r="E19" s="127"/>
      <c r="F19" s="127"/>
      <c r="G19" s="127">
        <f>SUMIF(Funções!$U$3:$U$203,B19,Funções!$AF$3:$AF$203)</f>
        <v>0</v>
      </c>
      <c r="H19" s="127">
        <f>SUMIF(Funções!$U$3:$U$203,B19,Funções!$AG$3:$AG$203)</f>
        <v>0</v>
      </c>
      <c r="I19" s="128"/>
      <c r="J19" s="126"/>
    </row>
    <row r="20" spans="2:10" x14ac:dyDescent="0.35">
      <c r="B20" s="129" t="s">
        <v>105</v>
      </c>
      <c r="C20" s="124">
        <f t="shared" ref="C20:H20" si="0">SUM(C14:C19)</f>
        <v>0</v>
      </c>
      <c r="D20" s="124">
        <f t="shared" si="0"/>
        <v>0</v>
      </c>
      <c r="E20" s="124">
        <f t="shared" si="0"/>
        <v>0</v>
      </c>
      <c r="F20" s="124">
        <f t="shared" si="0"/>
        <v>0</v>
      </c>
      <c r="G20" s="124">
        <f t="shared" si="0"/>
        <v>0</v>
      </c>
      <c r="H20" s="124">
        <f t="shared" si="0"/>
        <v>0</v>
      </c>
      <c r="I20" s="125"/>
      <c r="J20" s="126"/>
    </row>
  </sheetData>
  <sheetProtection sheet="1" objects="1" scenarios="1" selectLockedCells="1" selectUnlockedCells="1"/>
  <mergeCells count="2">
    <mergeCell ref="B2:H2"/>
    <mergeCell ref="B12:H1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K33"/>
  <sheetViews>
    <sheetView showGridLines="0" view="pageBreakPreview" zoomScale="120" zoomScaleNormal="90" zoomScalePageLayoutView="120" workbookViewId="0">
      <selection activeCell="D18" sqref="D18"/>
    </sheetView>
  </sheetViews>
  <sheetFormatPr defaultRowHeight="14.5" x14ac:dyDescent="0.35"/>
  <cols>
    <col min="1" max="1" width="14.54296875" style="130" customWidth="1"/>
    <col min="2" max="2" width="61.7265625" style="126" customWidth="1"/>
    <col min="3" max="3" width="12.453125" style="130" customWidth="1"/>
    <col min="4" max="4" width="18.81640625" style="131" customWidth="1"/>
    <col min="5" max="5" width="11.26953125" style="130" customWidth="1"/>
    <col min="6" max="1025" width="9.08984375" style="126" customWidth="1"/>
  </cols>
  <sheetData>
    <row r="1" spans="1:6" ht="22.5" x14ac:dyDescent="0.45">
      <c r="A1" s="179" t="s">
        <v>107</v>
      </c>
      <c r="B1" s="179"/>
      <c r="C1" s="179"/>
      <c r="D1" s="179"/>
      <c r="E1" s="179"/>
    </row>
    <row r="2" spans="1:6" ht="22.5" customHeight="1" x14ac:dyDescent="0.35">
      <c r="A2" s="132" t="s">
        <v>108</v>
      </c>
      <c r="B2" s="132" t="s">
        <v>6</v>
      </c>
      <c r="C2" s="132" t="s">
        <v>109</v>
      </c>
      <c r="D2" s="132" t="s">
        <v>110</v>
      </c>
      <c r="E2" s="132" t="s">
        <v>77</v>
      </c>
      <c r="F2" s="133"/>
    </row>
    <row r="3" spans="1:6" ht="44.25" customHeight="1" x14ac:dyDescent="0.35">
      <c r="A3" s="134" t="s">
        <v>111</v>
      </c>
      <c r="B3" s="135" t="s">
        <v>112</v>
      </c>
      <c r="C3" s="136">
        <v>1</v>
      </c>
      <c r="D3" s="135" t="s">
        <v>113</v>
      </c>
      <c r="E3" s="137" t="s">
        <v>114</v>
      </c>
      <c r="F3" s="133"/>
    </row>
    <row r="4" spans="1:6" ht="44.25" customHeight="1" x14ac:dyDescent="0.35">
      <c r="A4" s="134" t="s">
        <v>115</v>
      </c>
      <c r="B4" s="135" t="s">
        <v>116</v>
      </c>
      <c r="C4" s="136">
        <v>0</v>
      </c>
      <c r="D4" s="135" t="s">
        <v>117</v>
      </c>
      <c r="E4" s="137" t="s">
        <v>114</v>
      </c>
      <c r="F4" s="133"/>
    </row>
    <row r="5" spans="1:6" ht="37.5" x14ac:dyDescent="0.35">
      <c r="A5" s="134" t="s">
        <v>118</v>
      </c>
      <c r="B5" s="135" t="s">
        <v>119</v>
      </c>
      <c r="C5" s="136">
        <v>0.5</v>
      </c>
      <c r="D5" s="135" t="s">
        <v>113</v>
      </c>
      <c r="E5" s="137" t="s">
        <v>114</v>
      </c>
      <c r="F5" s="133"/>
    </row>
    <row r="6" spans="1:6" ht="50" x14ac:dyDescent="0.35">
      <c r="A6" s="134" t="s">
        <v>120</v>
      </c>
      <c r="B6" s="135" t="s">
        <v>121</v>
      </c>
      <c r="C6" s="136">
        <v>0.75</v>
      </c>
      <c r="D6" s="135" t="s">
        <v>113</v>
      </c>
      <c r="E6" s="137" t="s">
        <v>114</v>
      </c>
      <c r="F6" s="133"/>
    </row>
    <row r="7" spans="1:6" ht="50" x14ac:dyDescent="0.35">
      <c r="A7" s="134" t="s">
        <v>122</v>
      </c>
      <c r="B7" s="135" t="s">
        <v>123</v>
      </c>
      <c r="C7" s="136">
        <v>0.9</v>
      </c>
      <c r="D7" s="135" t="s">
        <v>113</v>
      </c>
      <c r="E7" s="137" t="s">
        <v>114</v>
      </c>
      <c r="F7" s="133"/>
    </row>
    <row r="8" spans="1:6" ht="37.5" x14ac:dyDescent="0.35">
      <c r="A8" s="134" t="s">
        <v>124</v>
      </c>
      <c r="B8" s="135" t="s">
        <v>125</v>
      </c>
      <c r="C8" s="136">
        <v>0.3</v>
      </c>
      <c r="D8" s="135" t="s">
        <v>113</v>
      </c>
      <c r="E8" s="137" t="s">
        <v>114</v>
      </c>
      <c r="F8" s="133"/>
    </row>
    <row r="9" spans="1:6" ht="37.5" x14ac:dyDescent="0.35">
      <c r="A9" s="134" t="s">
        <v>126</v>
      </c>
      <c r="B9" s="135" t="s">
        <v>127</v>
      </c>
      <c r="C9" s="136">
        <v>0.5</v>
      </c>
      <c r="D9" s="135" t="s">
        <v>128</v>
      </c>
      <c r="E9" s="137" t="s">
        <v>114</v>
      </c>
      <c r="F9" s="133"/>
    </row>
    <row r="10" spans="1:6" ht="37.5" x14ac:dyDescent="0.35">
      <c r="A10" s="134" t="s">
        <v>129</v>
      </c>
      <c r="B10" s="138" t="s">
        <v>130</v>
      </c>
      <c r="C10" s="136">
        <v>0.75</v>
      </c>
      <c r="D10" s="135" t="s">
        <v>128</v>
      </c>
      <c r="E10" s="137" t="s">
        <v>114</v>
      </c>
      <c r="F10" s="133"/>
    </row>
    <row r="11" spans="1:6" ht="37.5" x14ac:dyDescent="0.35">
      <c r="A11" s="134" t="s">
        <v>131</v>
      </c>
      <c r="B11" s="138" t="s">
        <v>132</v>
      </c>
      <c r="C11" s="136">
        <v>1</v>
      </c>
      <c r="D11" s="135" t="s">
        <v>133</v>
      </c>
      <c r="E11" s="137" t="s">
        <v>114</v>
      </c>
      <c r="F11" s="133"/>
    </row>
    <row r="12" spans="1:6" ht="50" x14ac:dyDescent="0.35">
      <c r="A12" s="134" t="s">
        <v>134</v>
      </c>
      <c r="B12" s="138" t="s">
        <v>135</v>
      </c>
      <c r="C12" s="136">
        <v>0.3</v>
      </c>
      <c r="D12" s="135" t="s">
        <v>136</v>
      </c>
      <c r="E12" s="137" t="s">
        <v>114</v>
      </c>
      <c r="F12" s="133"/>
    </row>
    <row r="13" spans="1:6" ht="37.5" x14ac:dyDescent="0.35">
      <c r="A13" s="134" t="s">
        <v>137</v>
      </c>
      <c r="B13" s="138" t="s">
        <v>138</v>
      </c>
      <c r="C13" s="136">
        <v>0.3</v>
      </c>
      <c r="D13" s="135" t="s">
        <v>139</v>
      </c>
      <c r="E13" s="137" t="s">
        <v>114</v>
      </c>
      <c r="F13" s="133"/>
    </row>
    <row r="14" spans="1:6" ht="75" x14ac:dyDescent="0.35">
      <c r="A14" s="134" t="s">
        <v>140</v>
      </c>
      <c r="B14" s="138" t="s">
        <v>141</v>
      </c>
      <c r="C14" s="136">
        <v>0.3</v>
      </c>
      <c r="D14" s="135" t="s">
        <v>142</v>
      </c>
      <c r="E14" s="137" t="s">
        <v>114</v>
      </c>
      <c r="F14" s="133"/>
    </row>
    <row r="15" spans="1:6" ht="37.5" x14ac:dyDescent="0.35">
      <c r="A15" s="134" t="s">
        <v>143</v>
      </c>
      <c r="B15" s="138" t="s">
        <v>144</v>
      </c>
      <c r="C15" s="136">
        <v>0.3</v>
      </c>
      <c r="D15" s="135" t="s">
        <v>145</v>
      </c>
      <c r="E15" s="137" t="s">
        <v>114</v>
      </c>
      <c r="F15" s="133"/>
    </row>
    <row r="16" spans="1:6" ht="37.5" x14ac:dyDescent="0.35">
      <c r="A16" s="134" t="s">
        <v>146</v>
      </c>
      <c r="B16" s="135" t="s">
        <v>147</v>
      </c>
      <c r="C16" s="136">
        <v>0.6</v>
      </c>
      <c r="D16" s="135" t="s">
        <v>148</v>
      </c>
      <c r="E16" s="137" t="s">
        <v>37</v>
      </c>
      <c r="F16" s="133"/>
    </row>
    <row r="17" spans="1:6" ht="50" x14ac:dyDescent="0.35">
      <c r="A17" s="134" t="s">
        <v>149</v>
      </c>
      <c r="B17" s="135" t="s">
        <v>150</v>
      </c>
      <c r="C17" s="136">
        <v>0.5</v>
      </c>
      <c r="D17" s="135" t="s">
        <v>151</v>
      </c>
      <c r="E17" s="137" t="s">
        <v>114</v>
      </c>
      <c r="F17" s="133"/>
    </row>
    <row r="18" spans="1:6" ht="50" x14ac:dyDescent="0.35">
      <c r="A18" s="134" t="s">
        <v>152</v>
      </c>
      <c r="B18" s="135" t="s">
        <v>153</v>
      </c>
      <c r="C18" s="136">
        <v>0.75</v>
      </c>
      <c r="D18" s="135" t="s">
        <v>151</v>
      </c>
      <c r="E18" s="137" t="s">
        <v>114</v>
      </c>
      <c r="F18" s="133"/>
    </row>
    <row r="19" spans="1:6" ht="37.5" x14ac:dyDescent="0.35">
      <c r="A19" s="134" t="s">
        <v>154</v>
      </c>
      <c r="B19" s="135" t="s">
        <v>155</v>
      </c>
      <c r="C19" s="136">
        <v>1</v>
      </c>
      <c r="D19" s="135" t="s">
        <v>156</v>
      </c>
      <c r="E19" s="137" t="s">
        <v>114</v>
      </c>
      <c r="F19" s="133"/>
    </row>
    <row r="20" spans="1:6" ht="37.5" x14ac:dyDescent="0.35">
      <c r="A20" s="134" t="s">
        <v>157</v>
      </c>
      <c r="B20" s="135" t="s">
        <v>158</v>
      </c>
      <c r="C20" s="136">
        <v>1</v>
      </c>
      <c r="D20" s="135" t="s">
        <v>156</v>
      </c>
      <c r="E20" s="137" t="s">
        <v>114</v>
      </c>
      <c r="F20" s="133"/>
    </row>
    <row r="21" spans="1:6" ht="37.5" x14ac:dyDescent="0.35">
      <c r="A21" s="134" t="s">
        <v>159</v>
      </c>
      <c r="B21" s="135" t="s">
        <v>160</v>
      </c>
      <c r="C21" s="136">
        <v>0.6</v>
      </c>
      <c r="D21" s="135" t="s">
        <v>156</v>
      </c>
      <c r="E21" s="137" t="s">
        <v>114</v>
      </c>
      <c r="F21" s="133"/>
    </row>
    <row r="22" spans="1:6" ht="37.5" x14ac:dyDescent="0.35">
      <c r="A22" s="134" t="s">
        <v>161</v>
      </c>
      <c r="B22" s="135" t="s">
        <v>162</v>
      </c>
      <c r="C22" s="136">
        <v>1</v>
      </c>
      <c r="D22" s="135" t="s">
        <v>163</v>
      </c>
      <c r="E22" s="137" t="s">
        <v>114</v>
      </c>
      <c r="F22" s="133"/>
    </row>
    <row r="23" spans="1:6" ht="37.5" x14ac:dyDescent="0.35">
      <c r="A23" s="134" t="s">
        <v>164</v>
      </c>
      <c r="B23" s="135" t="s">
        <v>165</v>
      </c>
      <c r="C23" s="136">
        <v>0.1</v>
      </c>
      <c r="D23" s="135" t="s">
        <v>166</v>
      </c>
      <c r="E23" s="137" t="s">
        <v>114</v>
      </c>
      <c r="F23" s="133"/>
    </row>
    <row r="24" spans="1:6" ht="37.5" x14ac:dyDescent="0.35">
      <c r="A24" s="134" t="s">
        <v>167</v>
      </c>
      <c r="B24" s="135" t="s">
        <v>168</v>
      </c>
      <c r="C24" s="136">
        <v>0.1</v>
      </c>
      <c r="D24" s="135" t="s">
        <v>169</v>
      </c>
      <c r="E24" s="137" t="s">
        <v>114</v>
      </c>
      <c r="F24" s="133"/>
    </row>
    <row r="25" spans="1:6" ht="37.5" x14ac:dyDescent="0.35">
      <c r="A25" s="134" t="s">
        <v>170</v>
      </c>
      <c r="B25" s="135" t="s">
        <v>171</v>
      </c>
      <c r="C25" s="136">
        <v>0.6</v>
      </c>
      <c r="D25" s="135" t="s">
        <v>172</v>
      </c>
      <c r="E25" s="137" t="s">
        <v>37</v>
      </c>
      <c r="F25" s="133"/>
    </row>
    <row r="26" spans="1:6" ht="37.5" x14ac:dyDescent="0.35">
      <c r="A26" s="134" t="s">
        <v>173</v>
      </c>
      <c r="B26" s="135" t="s">
        <v>174</v>
      </c>
      <c r="C26" s="136">
        <v>0.25</v>
      </c>
      <c r="D26" s="135" t="s">
        <v>175</v>
      </c>
      <c r="E26" s="137" t="s">
        <v>114</v>
      </c>
      <c r="F26" s="133"/>
    </row>
    <row r="27" spans="1:6" ht="37.5" x14ac:dyDescent="0.35">
      <c r="A27" s="134" t="s">
        <v>176</v>
      </c>
      <c r="B27" s="135" t="s">
        <v>177</v>
      </c>
      <c r="C27" s="136">
        <v>0.2</v>
      </c>
      <c r="D27" s="135" t="s">
        <v>178</v>
      </c>
      <c r="E27" s="137" t="s">
        <v>114</v>
      </c>
      <c r="F27" s="133"/>
    </row>
    <row r="28" spans="1:6" ht="37.5" x14ac:dyDescent="0.35">
      <c r="A28" s="134" t="s">
        <v>176</v>
      </c>
      <c r="B28" s="135" t="s">
        <v>179</v>
      </c>
      <c r="C28" s="136">
        <v>0.15</v>
      </c>
      <c r="D28" s="135" t="s">
        <v>178</v>
      </c>
      <c r="E28" s="137" t="s">
        <v>114</v>
      </c>
      <c r="F28" s="133"/>
    </row>
    <row r="29" spans="1:6" ht="37.5" x14ac:dyDescent="0.35">
      <c r="A29" s="134" t="s">
        <v>180</v>
      </c>
      <c r="B29" s="135" t="s">
        <v>181</v>
      </c>
      <c r="C29" s="136">
        <v>0.15</v>
      </c>
      <c r="D29" s="135" t="s">
        <v>182</v>
      </c>
      <c r="E29" s="137" t="s">
        <v>114</v>
      </c>
      <c r="F29" s="133"/>
    </row>
    <row r="30" spans="1:6" ht="37.5" x14ac:dyDescent="0.35">
      <c r="A30" s="134" t="s">
        <v>183</v>
      </c>
      <c r="B30" s="135" t="s">
        <v>184</v>
      </c>
      <c r="C30" s="136">
        <v>1</v>
      </c>
      <c r="D30" s="135" t="s">
        <v>185</v>
      </c>
      <c r="E30" s="137" t="s">
        <v>114</v>
      </c>
      <c r="F30" s="133"/>
    </row>
    <row r="31" spans="1:6" ht="37.5" x14ac:dyDescent="0.35">
      <c r="A31" s="134" t="s">
        <v>186</v>
      </c>
      <c r="B31" s="135" t="s">
        <v>187</v>
      </c>
      <c r="C31" s="136">
        <v>0.6</v>
      </c>
      <c r="D31" s="135" t="s">
        <v>185</v>
      </c>
      <c r="E31" s="137" t="s">
        <v>37</v>
      </c>
      <c r="F31" s="133"/>
    </row>
    <row r="32" spans="1:6" ht="37.5" x14ac:dyDescent="0.35">
      <c r="A32" s="134" t="s">
        <v>188</v>
      </c>
      <c r="B32" s="135" t="s">
        <v>189</v>
      </c>
      <c r="C32" s="136">
        <v>0.5</v>
      </c>
      <c r="D32" s="135" t="s">
        <v>190</v>
      </c>
      <c r="E32" s="137" t="s">
        <v>114</v>
      </c>
      <c r="F32" s="133"/>
    </row>
    <row r="33" spans="1:6" ht="37.5" x14ac:dyDescent="0.35">
      <c r="A33" s="134" t="s">
        <v>191</v>
      </c>
      <c r="B33" s="135" t="s">
        <v>192</v>
      </c>
      <c r="C33" s="136">
        <v>0.6</v>
      </c>
      <c r="D33" s="135" t="s">
        <v>190</v>
      </c>
      <c r="E33" s="137" t="s">
        <v>37</v>
      </c>
      <c r="F33" s="133"/>
    </row>
  </sheetData>
  <sheetProtection sheet="1" selectLockedCells="1" selectUnlockedCells="1"/>
  <autoFilter ref="A2:E33" xr:uid="{00000000-0009-0000-0000-000005000000}"/>
  <mergeCells count="1">
    <mergeCell ref="A1:E1"/>
  </mergeCells>
  <dataValidations count="1">
    <dataValidation type="list" allowBlank="1" showInputMessage="1" showErrorMessage="1" sqref="E3:E33" xr:uid="{00000000-0002-0000-0500-000000000000}">
      <formula1>"PC,PF"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99"/>
  <sheetViews>
    <sheetView view="pageBreakPreview" zoomScale="120" zoomScaleNormal="100" zoomScalePageLayoutView="120" workbookViewId="0">
      <selection activeCell="H2" sqref="H2"/>
    </sheetView>
  </sheetViews>
  <sheetFormatPr defaultRowHeight="14.5" x14ac:dyDescent="0.35"/>
  <cols>
    <col min="1" max="1" width="5" customWidth="1"/>
    <col min="2" max="2" width="18.54296875" customWidth="1"/>
    <col min="3" max="3" width="16.7265625" customWidth="1"/>
    <col min="4" max="1025" width="8.54296875" customWidth="1"/>
  </cols>
  <sheetData>
    <row r="2" spans="2:3" ht="18.5" x14ac:dyDescent="0.35">
      <c r="B2" s="132" t="s">
        <v>193</v>
      </c>
      <c r="C2" s="132" t="s">
        <v>194</v>
      </c>
    </row>
    <row r="3" spans="2:3" x14ac:dyDescent="0.35">
      <c r="B3" s="139"/>
      <c r="C3" s="137">
        <f>SUMIF(Funções!$A$3:$A$202,B3,Funções!$AG$3:$AG$202)</f>
        <v>0</v>
      </c>
    </row>
    <row r="4" spans="2:3" x14ac:dyDescent="0.35">
      <c r="B4" s="139"/>
      <c r="C4" s="137">
        <f>SUMIF(Funções!$A$3:$A$202,B4,Funções!$AG$3:$AG$202)</f>
        <v>0</v>
      </c>
    </row>
    <row r="5" spans="2:3" x14ac:dyDescent="0.35">
      <c r="B5" s="139"/>
      <c r="C5" s="137">
        <f>SUMIF(Funções!$A$3:$A$202,B5,Funções!$AG$3:$AG$202)</f>
        <v>0</v>
      </c>
    </row>
    <row r="6" spans="2:3" x14ac:dyDescent="0.35">
      <c r="B6" s="139"/>
      <c r="C6" s="137">
        <f>SUMIF(Funções!$A$3:$A$202,B6,Funções!$AG$3:$AG$202)</f>
        <v>0</v>
      </c>
    </row>
    <row r="7" spans="2:3" x14ac:dyDescent="0.35">
      <c r="B7" s="139"/>
      <c r="C7" s="137">
        <f>SUMIF(Funções!$A$3:$A$202,B7,Funções!$AG$3:$AG$202)</f>
        <v>0</v>
      </c>
    </row>
    <row r="8" spans="2:3" x14ac:dyDescent="0.35">
      <c r="B8" s="139"/>
      <c r="C8" s="137">
        <f>SUMIF(Funções!$A$3:$A$202,B8,Funções!$AG$3:$AG$202)</f>
        <v>0</v>
      </c>
    </row>
    <row r="9" spans="2:3" x14ac:dyDescent="0.35">
      <c r="B9" s="139"/>
      <c r="C9" s="137">
        <f>SUMIF(Funções!$A$3:$A$202,B9,Funções!$AG$3:$AG$202)</f>
        <v>0</v>
      </c>
    </row>
    <row r="10" spans="2:3" x14ac:dyDescent="0.35">
      <c r="B10" s="139"/>
      <c r="C10" s="137">
        <f>SUMIF(Funções!$A$3:$A$202,B10,Funções!$AG$3:$AG$202)</f>
        <v>0</v>
      </c>
    </row>
    <row r="11" spans="2:3" x14ac:dyDescent="0.35">
      <c r="B11" s="139"/>
      <c r="C11" s="137">
        <f>SUMIF(Funções!$A$3:$A$202,B11,Funções!$AG$3:$AG$202)</f>
        <v>0</v>
      </c>
    </row>
    <row r="12" spans="2:3" x14ac:dyDescent="0.35">
      <c r="B12" s="139"/>
      <c r="C12" s="137">
        <f>SUMIF(Funções!$A$3:$A$202,B12,Funções!$AG$3:$AG$202)</f>
        <v>0</v>
      </c>
    </row>
    <row r="13" spans="2:3" x14ac:dyDescent="0.35">
      <c r="B13" s="139"/>
      <c r="C13" s="137">
        <f>SUMIF(Funções!$A$3:$A$202,B13,Funções!$AG$3:$AG$202)</f>
        <v>0</v>
      </c>
    </row>
    <row r="14" spans="2:3" x14ac:dyDescent="0.35">
      <c r="B14" s="139"/>
      <c r="C14" s="137">
        <f>SUMIF(Funções!$A$3:$A$202,B14,Funções!$AG$3:$AG$202)</f>
        <v>0</v>
      </c>
    </row>
    <row r="15" spans="2:3" x14ac:dyDescent="0.35">
      <c r="B15" s="139"/>
      <c r="C15" s="137">
        <f>SUMIF(Funções!$A$3:$A$202,B15,Funções!$AG$3:$AG$202)</f>
        <v>0</v>
      </c>
    </row>
    <row r="16" spans="2:3" x14ac:dyDescent="0.35">
      <c r="B16" s="139"/>
      <c r="C16" s="137">
        <f>SUMIF(Funções!$A$3:$A$202,B16,Funções!$AG$3:$AG$202)</f>
        <v>0</v>
      </c>
    </row>
    <row r="17" spans="2:3" x14ac:dyDescent="0.35">
      <c r="B17" s="139"/>
      <c r="C17" s="137">
        <f>SUMIF(Funções!$A$3:$A$202,B17,Funções!$AG$3:$AG$202)</f>
        <v>0</v>
      </c>
    </row>
    <row r="18" spans="2:3" x14ac:dyDescent="0.35">
      <c r="B18" s="139"/>
      <c r="C18" s="137">
        <f>SUMIF(Funções!$A$3:$A$202,B18,Funções!$AG$3:$AG$202)</f>
        <v>0</v>
      </c>
    </row>
    <row r="19" spans="2:3" x14ac:dyDescent="0.35">
      <c r="B19" s="139"/>
      <c r="C19" s="137">
        <f>SUMIF(Funções!$A$3:$A$202,B19,Funções!$AG$3:$AG$202)</f>
        <v>0</v>
      </c>
    </row>
    <row r="20" spans="2:3" x14ac:dyDescent="0.35">
      <c r="B20" s="139"/>
      <c r="C20" s="137">
        <f>SUMIF(Funções!$A$3:$A$202,B20,Funções!$AG$3:$AG$202)</f>
        <v>0</v>
      </c>
    </row>
    <row r="21" spans="2:3" x14ac:dyDescent="0.35">
      <c r="B21" s="139"/>
      <c r="C21" s="137">
        <f>SUMIF(Funções!$A$3:$A$202,B21,Funções!$AG$3:$AG$202)</f>
        <v>0</v>
      </c>
    </row>
    <row r="22" spans="2:3" x14ac:dyDescent="0.35">
      <c r="B22" s="139"/>
      <c r="C22" s="137">
        <f>SUMIF(Funções!$A$3:$A$202,B22,Funções!$AG$3:$AG$202)</f>
        <v>0</v>
      </c>
    </row>
    <row r="23" spans="2:3" x14ac:dyDescent="0.35">
      <c r="B23" s="139"/>
      <c r="C23" s="137">
        <f>SUMIF(Funções!$A$3:$A$202,B23,Funções!$AG$3:$AG$202)</f>
        <v>0</v>
      </c>
    </row>
    <row r="24" spans="2:3" x14ac:dyDescent="0.35">
      <c r="B24" s="139"/>
      <c r="C24" s="137">
        <f>SUMIF(Funções!$A$3:$A$202,B24,Funções!$AG$3:$AG$202)</f>
        <v>0</v>
      </c>
    </row>
    <row r="25" spans="2:3" x14ac:dyDescent="0.35">
      <c r="B25" s="139"/>
      <c r="C25" s="137">
        <f>SUMIF(Funções!$A$3:$A$202,B25,Funções!$AG$3:$AG$202)</f>
        <v>0</v>
      </c>
    </row>
    <row r="26" spans="2:3" x14ac:dyDescent="0.35">
      <c r="B26" s="139"/>
      <c r="C26" s="137">
        <f>SUMIF(Funções!$A$3:$A$202,B26,Funções!$AG$3:$AG$202)</f>
        <v>0</v>
      </c>
    </row>
    <row r="27" spans="2:3" x14ac:dyDescent="0.35">
      <c r="B27" s="139"/>
      <c r="C27" s="137">
        <f>SUMIF(Funções!$A$3:$A$202,B27,Funções!$AG$3:$AG$202)</f>
        <v>0</v>
      </c>
    </row>
    <row r="28" spans="2:3" x14ac:dyDescent="0.35">
      <c r="B28" s="139"/>
      <c r="C28" s="137">
        <f>SUMIF(Funções!$A$3:$A$202,B28,Funções!$AG$3:$AG$202)</f>
        <v>0</v>
      </c>
    </row>
    <row r="29" spans="2:3" x14ac:dyDescent="0.35">
      <c r="B29" s="139"/>
      <c r="C29" s="137">
        <f>SUMIF(Funções!$A$3:$A$202,B29,Funções!$AG$3:$AG$202)</f>
        <v>0</v>
      </c>
    </row>
    <row r="30" spans="2:3" x14ac:dyDescent="0.35">
      <c r="B30" s="139"/>
      <c r="C30" s="137">
        <f>SUMIF(Funções!$A$3:$A$202,B30,Funções!$AG$3:$AG$202)</f>
        <v>0</v>
      </c>
    </row>
    <row r="31" spans="2:3" x14ac:dyDescent="0.35">
      <c r="B31" s="139"/>
      <c r="C31" s="137">
        <f>SUMIF(Funções!$A$3:$A$202,B31,Funções!$AG$3:$AG$202)</f>
        <v>0</v>
      </c>
    </row>
    <row r="32" spans="2:3" x14ac:dyDescent="0.35">
      <c r="B32" s="139"/>
      <c r="C32" s="137">
        <f>SUMIF(Funções!$A$3:$A$202,B32,Funções!$AG$3:$AG$202)</f>
        <v>0</v>
      </c>
    </row>
    <row r="33" spans="2:3" x14ac:dyDescent="0.35">
      <c r="B33" s="139"/>
      <c r="C33" s="137">
        <f>SUMIF(Funções!$A$3:$A$202,B33,Funções!$AG$3:$AG$202)</f>
        <v>0</v>
      </c>
    </row>
    <row r="34" spans="2:3" x14ac:dyDescent="0.35">
      <c r="B34" s="139"/>
      <c r="C34" s="137">
        <f>SUMIF(Funções!$A$3:$A$202,B34,Funções!$AG$3:$AG$202)</f>
        <v>0</v>
      </c>
    </row>
    <row r="35" spans="2:3" x14ac:dyDescent="0.35">
      <c r="B35" s="139"/>
      <c r="C35" s="137">
        <f>SUMIF(Funções!$A$3:$A$202,B35,Funções!$AG$3:$AG$202)</f>
        <v>0</v>
      </c>
    </row>
    <row r="36" spans="2:3" x14ac:dyDescent="0.35">
      <c r="B36" s="139"/>
      <c r="C36" s="137">
        <f>SUMIF(Funções!$A$3:$A$202,B36,Funções!$AG$3:$AG$202)</f>
        <v>0</v>
      </c>
    </row>
    <row r="37" spans="2:3" x14ac:dyDescent="0.35">
      <c r="B37" s="139"/>
      <c r="C37" s="137">
        <f>SUMIF(Funções!$A$3:$A$202,B37,Funções!$AG$3:$AG$202)</f>
        <v>0</v>
      </c>
    </row>
    <row r="38" spans="2:3" x14ac:dyDescent="0.35">
      <c r="B38" s="139"/>
      <c r="C38" s="137">
        <f>SUMIF(Funções!$A$3:$A$202,B38,Funções!$AG$3:$AG$202)</f>
        <v>0</v>
      </c>
    </row>
    <row r="39" spans="2:3" x14ac:dyDescent="0.35">
      <c r="B39" s="139"/>
      <c r="C39" s="137">
        <f>SUMIF(Funções!$A$3:$A$202,B39,Funções!$AG$3:$AG$202)</f>
        <v>0</v>
      </c>
    </row>
    <row r="40" spans="2:3" x14ac:dyDescent="0.35">
      <c r="B40" s="139"/>
      <c r="C40" s="137">
        <f>SUMIF(Funções!$A$3:$A$202,B40,Funções!$AG$3:$AG$202)</f>
        <v>0</v>
      </c>
    </row>
    <row r="41" spans="2:3" x14ac:dyDescent="0.35">
      <c r="B41" s="139"/>
      <c r="C41" s="137">
        <f>SUMIF(Funções!$A$3:$A$202,B41,Funções!$AG$3:$AG$202)</f>
        <v>0</v>
      </c>
    </row>
    <row r="42" spans="2:3" x14ac:dyDescent="0.35">
      <c r="B42" s="139"/>
      <c r="C42" s="137">
        <f>SUMIF(Funções!$A$3:$A$202,B42,Funções!$AG$3:$AG$202)</f>
        <v>0</v>
      </c>
    </row>
    <row r="43" spans="2:3" x14ac:dyDescent="0.35">
      <c r="B43" s="139"/>
      <c r="C43" s="137">
        <f>SUMIF(Funções!$A$3:$A$202,B43,Funções!$AG$3:$AG$202)</f>
        <v>0</v>
      </c>
    </row>
    <row r="44" spans="2:3" x14ac:dyDescent="0.35">
      <c r="B44" s="139"/>
      <c r="C44" s="137">
        <f>SUMIF(Funções!$A$3:$A$202,B44,Funções!$AG$3:$AG$202)</f>
        <v>0</v>
      </c>
    </row>
    <row r="45" spans="2:3" x14ac:dyDescent="0.35">
      <c r="B45" s="139"/>
      <c r="C45" s="137">
        <f>SUMIF(Funções!$A$3:$A$202,B45,Funções!$AG$3:$AG$202)</f>
        <v>0</v>
      </c>
    </row>
    <row r="46" spans="2:3" x14ac:dyDescent="0.35">
      <c r="B46" s="139"/>
      <c r="C46" s="137">
        <f>SUMIF(Funções!$A$3:$A$202,B46,Funções!$AG$3:$AG$202)</f>
        <v>0</v>
      </c>
    </row>
    <row r="47" spans="2:3" x14ac:dyDescent="0.35">
      <c r="B47" s="139"/>
      <c r="C47" s="137">
        <f>SUMIF(Funções!$A$3:$A$202,B47,Funções!$AG$3:$AG$202)</f>
        <v>0</v>
      </c>
    </row>
    <row r="48" spans="2:3" x14ac:dyDescent="0.35">
      <c r="B48" s="139"/>
      <c r="C48" s="137">
        <f>SUMIF(Funções!$A$3:$A$202,B48,Funções!$AG$3:$AG$202)</f>
        <v>0</v>
      </c>
    </row>
    <row r="49" spans="2:3" x14ac:dyDescent="0.35">
      <c r="B49" s="139"/>
      <c r="C49" s="137">
        <f>SUMIF(Funções!$A$3:$A$202,B49,Funções!$AG$3:$AG$202)</f>
        <v>0</v>
      </c>
    </row>
    <row r="50" spans="2:3" x14ac:dyDescent="0.35">
      <c r="B50" s="139"/>
      <c r="C50" s="137">
        <f>SUMIF(Funções!$A$3:$A$202,B50,Funções!$AG$3:$AG$202)</f>
        <v>0</v>
      </c>
    </row>
    <row r="51" spans="2:3" x14ac:dyDescent="0.35">
      <c r="B51" s="139"/>
      <c r="C51" s="137">
        <f>SUMIF(Funções!$A$3:$A$202,B51,Funções!$AG$3:$AG$202)</f>
        <v>0</v>
      </c>
    </row>
    <row r="52" spans="2:3" x14ac:dyDescent="0.35">
      <c r="B52" s="139"/>
      <c r="C52" s="137">
        <f>SUMIF(Funções!$A$3:$A$202,B52,Funções!$AG$3:$AG$202)</f>
        <v>0</v>
      </c>
    </row>
    <row r="53" spans="2:3" x14ac:dyDescent="0.35">
      <c r="B53" s="139"/>
      <c r="C53" s="137">
        <f>SUMIF(Funções!$A$3:$A$202,B53,Funções!$AG$3:$AG$202)</f>
        <v>0</v>
      </c>
    </row>
    <row r="54" spans="2:3" x14ac:dyDescent="0.35">
      <c r="B54" s="139"/>
      <c r="C54" s="137">
        <f>SUMIF(Funções!$A$3:$A$202,B54,Funções!$AG$3:$AG$202)</f>
        <v>0</v>
      </c>
    </row>
    <row r="55" spans="2:3" x14ac:dyDescent="0.35">
      <c r="B55" s="139"/>
      <c r="C55" s="137">
        <f>SUMIF(Funções!$A$3:$A$202,B55,Funções!$AG$3:$AG$202)</f>
        <v>0</v>
      </c>
    </row>
    <row r="56" spans="2:3" x14ac:dyDescent="0.35">
      <c r="B56" s="139"/>
      <c r="C56" s="137">
        <f>SUMIF(Funções!$A$3:$A$202,B56,Funções!$AG$3:$AG$202)</f>
        <v>0</v>
      </c>
    </row>
    <row r="57" spans="2:3" x14ac:dyDescent="0.35">
      <c r="B57" s="139"/>
      <c r="C57" s="137">
        <f>SUMIF(Funções!$A$3:$A$202,B57,Funções!$AG$3:$AG$202)</f>
        <v>0</v>
      </c>
    </row>
    <row r="58" spans="2:3" x14ac:dyDescent="0.35">
      <c r="B58" s="139"/>
      <c r="C58" s="137">
        <f>SUMIF(Funções!$A$3:$A$202,B58,Funções!$AG$3:$AG$202)</f>
        <v>0</v>
      </c>
    </row>
    <row r="59" spans="2:3" x14ac:dyDescent="0.35">
      <c r="B59" s="139"/>
      <c r="C59" s="137">
        <f>SUMIF(Funções!$A$3:$A$202,B59,Funções!$AG$3:$AG$202)</f>
        <v>0</v>
      </c>
    </row>
    <row r="60" spans="2:3" x14ac:dyDescent="0.35">
      <c r="B60" s="139"/>
      <c r="C60" s="137">
        <f>SUMIF(Funções!$A$3:$A$202,B60,Funções!$AG$3:$AG$202)</f>
        <v>0</v>
      </c>
    </row>
    <row r="61" spans="2:3" x14ac:dyDescent="0.35">
      <c r="B61" s="139"/>
      <c r="C61" s="137">
        <f>SUMIF(Funções!$A$3:$A$202,B61,Funções!$AG$3:$AG$202)</f>
        <v>0</v>
      </c>
    </row>
    <row r="62" spans="2:3" x14ac:dyDescent="0.35">
      <c r="B62" s="139"/>
      <c r="C62" s="137">
        <f>SUMIF(Funções!$A$3:$A$202,B62,Funções!$AG$3:$AG$202)</f>
        <v>0</v>
      </c>
    </row>
    <row r="63" spans="2:3" x14ac:dyDescent="0.35">
      <c r="B63" s="139"/>
      <c r="C63" s="137">
        <f>SUMIF(Funções!$A$3:$A$202,B63,Funções!$AG$3:$AG$202)</f>
        <v>0</v>
      </c>
    </row>
    <row r="64" spans="2:3" x14ac:dyDescent="0.35">
      <c r="B64" s="139"/>
      <c r="C64" s="137">
        <f>SUMIF(Funções!$A$3:$A$202,B64,Funções!$AG$3:$AG$202)</f>
        <v>0</v>
      </c>
    </row>
    <row r="65" spans="2:3" x14ac:dyDescent="0.35">
      <c r="B65" s="139"/>
      <c r="C65" s="137">
        <f>SUMIF(Funções!$A$3:$A$202,B65,Funções!$AG$3:$AG$202)</f>
        <v>0</v>
      </c>
    </row>
    <row r="66" spans="2:3" x14ac:dyDescent="0.35">
      <c r="B66" s="139"/>
      <c r="C66" s="137">
        <f>SUMIF(Funções!$A$3:$A$202,B66,Funções!$AG$3:$AG$202)</f>
        <v>0</v>
      </c>
    </row>
    <row r="67" spans="2:3" x14ac:dyDescent="0.35">
      <c r="B67" s="139"/>
      <c r="C67" s="137">
        <f>SUMIF(Funções!$A$3:$A$202,B67,Funções!$AG$3:$AG$202)</f>
        <v>0</v>
      </c>
    </row>
    <row r="68" spans="2:3" x14ac:dyDescent="0.35">
      <c r="B68" s="139"/>
      <c r="C68" s="137">
        <f>SUMIF(Funções!$A$3:$A$202,B68,Funções!$AG$3:$AG$202)</f>
        <v>0</v>
      </c>
    </row>
    <row r="69" spans="2:3" x14ac:dyDescent="0.35">
      <c r="B69" s="139"/>
      <c r="C69" s="137">
        <f>SUMIF(Funções!$A$3:$A$202,B69,Funções!$AG$3:$AG$202)</f>
        <v>0</v>
      </c>
    </row>
    <row r="70" spans="2:3" x14ac:dyDescent="0.35">
      <c r="B70" s="139"/>
      <c r="C70" s="137">
        <f>SUMIF(Funções!$A$3:$A$202,B70,Funções!$AG$3:$AG$202)</f>
        <v>0</v>
      </c>
    </row>
    <row r="71" spans="2:3" x14ac:dyDescent="0.35">
      <c r="B71" s="139"/>
      <c r="C71" s="137">
        <f>SUMIF(Funções!$A$3:$A$202,B71,Funções!$AG$3:$AG$202)</f>
        <v>0</v>
      </c>
    </row>
    <row r="72" spans="2:3" x14ac:dyDescent="0.35">
      <c r="B72" s="139"/>
      <c r="C72" s="137">
        <f>SUMIF(Funções!$A$3:$A$202,B72,Funções!$AG$3:$AG$202)</f>
        <v>0</v>
      </c>
    </row>
    <row r="73" spans="2:3" x14ac:dyDescent="0.35">
      <c r="B73" s="139"/>
      <c r="C73" s="137">
        <f>SUMIF(Funções!$A$3:$A$202,B73,Funções!$AG$3:$AG$202)</f>
        <v>0</v>
      </c>
    </row>
    <row r="74" spans="2:3" x14ac:dyDescent="0.35">
      <c r="B74" s="139"/>
      <c r="C74" s="137">
        <f>SUMIF(Funções!$A$3:$A$202,B74,Funções!$AG$3:$AG$202)</f>
        <v>0</v>
      </c>
    </row>
    <row r="75" spans="2:3" x14ac:dyDescent="0.35">
      <c r="B75" s="139"/>
      <c r="C75" s="137">
        <f>SUMIF(Funções!$A$3:$A$202,B75,Funções!$AG$3:$AG$202)</f>
        <v>0</v>
      </c>
    </row>
    <row r="76" spans="2:3" x14ac:dyDescent="0.35">
      <c r="B76" s="139"/>
      <c r="C76" s="137">
        <f>SUMIF(Funções!$A$3:$A$202,B76,Funções!$AG$3:$AG$202)</f>
        <v>0</v>
      </c>
    </row>
    <row r="77" spans="2:3" x14ac:dyDescent="0.35">
      <c r="B77" s="139"/>
      <c r="C77" s="137">
        <f>SUMIF(Funções!$A$3:$A$202,B77,Funções!$AG$3:$AG$202)</f>
        <v>0</v>
      </c>
    </row>
    <row r="78" spans="2:3" x14ac:dyDescent="0.35">
      <c r="B78" s="139"/>
      <c r="C78" s="137">
        <f>SUMIF(Funções!$A$3:$A$202,B78,Funções!$AG$3:$AG$202)</f>
        <v>0</v>
      </c>
    </row>
    <row r="79" spans="2:3" x14ac:dyDescent="0.35">
      <c r="B79" s="139"/>
      <c r="C79" s="137">
        <f>SUMIF(Funções!$A$3:$A$202,B79,Funções!$AG$3:$AG$202)</f>
        <v>0</v>
      </c>
    </row>
    <row r="80" spans="2:3" x14ac:dyDescent="0.35">
      <c r="B80" s="139"/>
      <c r="C80" s="137">
        <f>SUMIF(Funções!$A$3:$A$202,B80,Funções!$AG$3:$AG$202)</f>
        <v>0</v>
      </c>
    </row>
    <row r="81" spans="2:3" x14ac:dyDescent="0.35">
      <c r="B81" s="139"/>
      <c r="C81" s="137">
        <f>SUMIF(Funções!$A$3:$A$202,B81,Funções!$AG$3:$AG$202)</f>
        <v>0</v>
      </c>
    </row>
    <row r="82" spans="2:3" x14ac:dyDescent="0.35">
      <c r="B82" s="139"/>
      <c r="C82" s="137">
        <f>SUMIF(Funções!$A$3:$A$202,B82,Funções!$AG$3:$AG$202)</f>
        <v>0</v>
      </c>
    </row>
    <row r="83" spans="2:3" x14ac:dyDescent="0.35">
      <c r="B83" s="139"/>
      <c r="C83" s="137">
        <f>SUMIF(Funções!$A$3:$A$202,B83,Funções!$AG$3:$AG$202)</f>
        <v>0</v>
      </c>
    </row>
    <row r="84" spans="2:3" x14ac:dyDescent="0.35">
      <c r="B84" s="139"/>
      <c r="C84" s="137">
        <f>SUMIF(Funções!$A$3:$A$202,B84,Funções!$AG$3:$AG$202)</f>
        <v>0</v>
      </c>
    </row>
    <row r="85" spans="2:3" x14ac:dyDescent="0.35">
      <c r="B85" s="139"/>
      <c r="C85" s="137">
        <f>SUMIF(Funções!$A$3:$A$202,B85,Funções!$AG$3:$AG$202)</f>
        <v>0</v>
      </c>
    </row>
    <row r="86" spans="2:3" x14ac:dyDescent="0.35">
      <c r="B86" s="139"/>
      <c r="C86" s="137">
        <f>SUMIF(Funções!$A$3:$A$202,B86,Funções!$AG$3:$AG$202)</f>
        <v>0</v>
      </c>
    </row>
    <row r="87" spans="2:3" x14ac:dyDescent="0.35">
      <c r="B87" s="139"/>
      <c r="C87" s="137">
        <f>SUMIF(Funções!$A$3:$A$202,B87,Funções!$AG$3:$AG$202)</f>
        <v>0</v>
      </c>
    </row>
    <row r="88" spans="2:3" x14ac:dyDescent="0.35">
      <c r="B88" s="139"/>
      <c r="C88" s="137">
        <f>SUMIF(Funções!$A$3:$A$202,B88,Funções!$AG$3:$AG$202)</f>
        <v>0</v>
      </c>
    </row>
    <row r="89" spans="2:3" x14ac:dyDescent="0.35">
      <c r="B89" s="139"/>
      <c r="C89" s="137">
        <f>SUMIF(Funções!$A$3:$A$202,B89,Funções!$AG$3:$AG$202)</f>
        <v>0</v>
      </c>
    </row>
    <row r="90" spans="2:3" x14ac:dyDescent="0.35">
      <c r="B90" s="139"/>
      <c r="C90" s="137">
        <f>SUMIF(Funções!$A$3:$A$202,B90,Funções!$AG$3:$AG$202)</f>
        <v>0</v>
      </c>
    </row>
    <row r="91" spans="2:3" x14ac:dyDescent="0.35">
      <c r="B91" s="139"/>
      <c r="C91" s="137">
        <f>SUMIF(Funções!$A$3:$A$202,B91,Funções!$AG$3:$AG$202)</f>
        <v>0</v>
      </c>
    </row>
    <row r="92" spans="2:3" x14ac:dyDescent="0.35">
      <c r="B92" s="139"/>
      <c r="C92" s="137">
        <f>SUMIF(Funções!$A$3:$A$202,B92,Funções!$AG$3:$AG$202)</f>
        <v>0</v>
      </c>
    </row>
    <row r="93" spans="2:3" x14ac:dyDescent="0.35">
      <c r="B93" s="139"/>
      <c r="C93" s="137">
        <f>SUMIF(Funções!$A$3:$A$202,B93,Funções!$AG$3:$AG$202)</f>
        <v>0</v>
      </c>
    </row>
    <row r="94" spans="2:3" x14ac:dyDescent="0.35">
      <c r="B94" s="139"/>
      <c r="C94" s="137">
        <f>SUMIF(Funções!$A$3:$A$202,B94,Funções!$AG$3:$AG$202)</f>
        <v>0</v>
      </c>
    </row>
    <row r="95" spans="2:3" x14ac:dyDescent="0.35">
      <c r="B95" s="139"/>
      <c r="C95" s="137">
        <f>SUMIF(Funções!$A$3:$A$202,B95,Funções!$AG$3:$AG$202)</f>
        <v>0</v>
      </c>
    </row>
    <row r="96" spans="2:3" x14ac:dyDescent="0.35">
      <c r="B96" s="139"/>
      <c r="C96" s="137">
        <f>SUMIF(Funções!$A$3:$A$202,B96,Funções!$AG$3:$AG$202)</f>
        <v>0</v>
      </c>
    </row>
    <row r="97" spans="2:3" x14ac:dyDescent="0.35">
      <c r="B97" s="139"/>
      <c r="C97" s="137">
        <f>SUMIF(Funções!$A$3:$A$202,B97,Funções!$AG$3:$AG$202)</f>
        <v>0</v>
      </c>
    </row>
    <row r="98" spans="2:3" x14ac:dyDescent="0.35">
      <c r="B98" s="139"/>
      <c r="C98" s="137">
        <f>SUMIF(Funções!$A$3:$A$202,B98,Funções!$AG$3:$AG$202)</f>
        <v>0</v>
      </c>
    </row>
    <row r="99" spans="2:3" x14ac:dyDescent="0.35">
      <c r="B99" s="139"/>
      <c r="C99" s="137">
        <f>SUMIF(Funções!$A$3:$A$202,B99,Funções!$AG$3:$AG$202)</f>
        <v>0</v>
      </c>
    </row>
  </sheetData>
  <sheetProtection sheet="1" scenarios="1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D4"/>
  <sheetViews>
    <sheetView view="pageBreakPreview" zoomScale="120" zoomScaleNormal="100" zoomScalePageLayoutView="120" workbookViewId="0">
      <selection activeCell="A4" sqref="A4"/>
    </sheetView>
  </sheetViews>
  <sheetFormatPr defaultRowHeight="14.5" x14ac:dyDescent="0.35"/>
  <cols>
    <col min="1" max="1" width="5.7265625" customWidth="1"/>
    <col min="2" max="2" width="27" customWidth="1"/>
    <col min="3" max="3" width="11" style="140" customWidth="1"/>
    <col min="4" max="1025" width="8.54296875" customWidth="1"/>
  </cols>
  <sheetData>
    <row r="4" spans="1:4" x14ac:dyDescent="0.35">
      <c r="A4" t="s">
        <v>195</v>
      </c>
      <c r="B4" t="s">
        <v>196</v>
      </c>
      <c r="C4" s="140">
        <v>1</v>
      </c>
      <c r="D4" t="s">
        <v>197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0"/>
  <sheetViews>
    <sheetView view="pageBreakPreview" zoomScale="120" zoomScaleNormal="90" zoomScalePageLayoutView="120" workbookViewId="0">
      <selection activeCell="D1" sqref="D1:D1048576"/>
    </sheetView>
  </sheetViews>
  <sheetFormatPr defaultRowHeight="14.5" x14ac:dyDescent="0.35"/>
  <cols>
    <col min="1" max="1" width="3.453125" customWidth="1"/>
    <col min="2" max="2" width="18.7265625" customWidth="1"/>
    <col min="3" max="3" width="11.26953125" customWidth="1"/>
    <col min="4" max="1023" width="9.08984375" customWidth="1"/>
  </cols>
  <sheetData>
    <row r="1" spans="1:3" ht="22.5" x14ac:dyDescent="0.35">
      <c r="A1" s="141" t="s">
        <v>198</v>
      </c>
      <c r="B1" s="141" t="s">
        <v>199</v>
      </c>
      <c r="C1" s="141" t="s">
        <v>200</v>
      </c>
    </row>
    <row r="2" spans="1:3" ht="15.5" x14ac:dyDescent="0.35">
      <c r="A2" s="142"/>
      <c r="B2" s="143"/>
      <c r="C2" s="143"/>
    </row>
    <row r="3" spans="1:3" ht="15.5" x14ac:dyDescent="0.35">
      <c r="A3" s="142"/>
      <c r="B3" s="143"/>
      <c r="C3" s="143"/>
    </row>
    <row r="4" spans="1:3" ht="15.5" x14ac:dyDescent="0.35">
      <c r="A4" s="142"/>
      <c r="B4" s="143"/>
      <c r="C4" s="143"/>
    </row>
    <row r="5" spans="1:3" ht="15.5" x14ac:dyDescent="0.35">
      <c r="A5" s="142"/>
      <c r="B5" s="143"/>
      <c r="C5" s="143"/>
    </row>
    <row r="6" spans="1:3" ht="15.5" x14ac:dyDescent="0.35">
      <c r="A6" s="142"/>
      <c r="B6" s="143"/>
      <c r="C6" s="143"/>
    </row>
    <row r="7" spans="1:3" ht="15.5" x14ac:dyDescent="0.35">
      <c r="A7" s="142"/>
      <c r="B7" s="143"/>
      <c r="C7" s="143"/>
    </row>
    <row r="8" spans="1:3" ht="15.5" x14ac:dyDescent="0.35">
      <c r="A8" s="142"/>
      <c r="B8" s="143"/>
      <c r="C8" s="143"/>
    </row>
    <row r="9" spans="1:3" ht="15.5" x14ac:dyDescent="0.35">
      <c r="A9" s="142"/>
      <c r="B9" s="143"/>
      <c r="C9" s="143"/>
    </row>
    <row r="10" spans="1:3" ht="15.5" x14ac:dyDescent="0.35">
      <c r="A10" s="142"/>
      <c r="B10" s="143"/>
      <c r="C10" s="143"/>
    </row>
    <row r="11" spans="1:3" ht="15.5" x14ac:dyDescent="0.35">
      <c r="A11" s="142"/>
      <c r="B11" s="143"/>
      <c r="C11" s="143"/>
    </row>
    <row r="12" spans="1:3" ht="15.5" x14ac:dyDescent="0.35">
      <c r="A12" s="142"/>
      <c r="B12" s="143"/>
      <c r="C12" s="143"/>
    </row>
    <row r="13" spans="1:3" ht="15.5" x14ac:dyDescent="0.35">
      <c r="A13" s="142"/>
      <c r="B13" s="143"/>
      <c r="C13" s="143"/>
    </row>
    <row r="14" spans="1:3" ht="15.5" x14ac:dyDescent="0.35">
      <c r="A14" s="142"/>
      <c r="B14" s="143"/>
      <c r="C14" s="143"/>
    </row>
    <row r="15" spans="1:3" ht="15.5" x14ac:dyDescent="0.35">
      <c r="A15" s="142"/>
      <c r="B15" s="143"/>
      <c r="C15" s="143"/>
    </row>
    <row r="16" spans="1:3" ht="15.5" x14ac:dyDescent="0.35">
      <c r="A16" s="142"/>
      <c r="B16" s="143"/>
      <c r="C16" s="143"/>
    </row>
    <row r="17" spans="1:3" ht="15.5" x14ac:dyDescent="0.35">
      <c r="A17" s="142"/>
      <c r="B17" s="143"/>
      <c r="C17" s="143"/>
    </row>
    <row r="18" spans="1:3" ht="15.5" x14ac:dyDescent="0.35">
      <c r="A18" s="142"/>
      <c r="B18" s="143"/>
      <c r="C18" s="143"/>
    </row>
    <row r="19" spans="1:3" ht="15.5" x14ac:dyDescent="0.35">
      <c r="A19" s="142"/>
      <c r="B19" s="143"/>
      <c r="C19" s="143"/>
    </row>
    <row r="20" spans="1:3" ht="15.5" x14ac:dyDescent="0.35">
      <c r="A20" s="142"/>
      <c r="B20" s="143"/>
      <c r="C20" s="143"/>
    </row>
    <row r="21" spans="1:3" ht="15.5" x14ac:dyDescent="0.35">
      <c r="A21" s="142"/>
      <c r="B21" s="143"/>
      <c r="C21" s="143"/>
    </row>
    <row r="22" spans="1:3" ht="15.5" x14ac:dyDescent="0.35">
      <c r="A22" s="142"/>
      <c r="B22" s="143"/>
      <c r="C22" s="143"/>
    </row>
    <row r="23" spans="1:3" ht="15.5" x14ac:dyDescent="0.35">
      <c r="A23" s="142"/>
      <c r="B23" s="143"/>
      <c r="C23" s="143"/>
    </row>
    <row r="24" spans="1:3" ht="15.5" x14ac:dyDescent="0.35">
      <c r="A24" s="142"/>
      <c r="B24" s="143"/>
      <c r="C24" s="143"/>
    </row>
    <row r="25" spans="1:3" ht="15.5" x14ac:dyDescent="0.35">
      <c r="A25" s="142"/>
      <c r="B25" s="143"/>
      <c r="C25" s="143"/>
    </row>
    <row r="26" spans="1:3" ht="15.5" x14ac:dyDescent="0.35">
      <c r="A26" s="142"/>
      <c r="B26" s="143"/>
      <c r="C26" s="143"/>
    </row>
    <row r="27" spans="1:3" ht="15.5" x14ac:dyDescent="0.35">
      <c r="A27" s="142"/>
      <c r="B27" s="143"/>
      <c r="C27" s="143"/>
    </row>
    <row r="28" spans="1:3" ht="15.5" x14ac:dyDescent="0.35">
      <c r="A28" s="142"/>
      <c r="B28" s="143"/>
      <c r="C28" s="143"/>
    </row>
    <row r="29" spans="1:3" ht="15.5" x14ac:dyDescent="0.35">
      <c r="A29" s="142"/>
      <c r="B29" s="143"/>
      <c r="C29" s="143"/>
    </row>
    <row r="30" spans="1:3" ht="15.5" x14ac:dyDescent="0.35">
      <c r="A30" s="142"/>
      <c r="B30" s="143"/>
      <c r="C30" s="143"/>
    </row>
    <row r="31" spans="1:3" ht="15.5" x14ac:dyDescent="0.35">
      <c r="A31" s="142"/>
      <c r="B31" s="143"/>
      <c r="C31" s="143"/>
    </row>
    <row r="32" spans="1:3" ht="15.5" x14ac:dyDescent="0.35">
      <c r="A32" s="142"/>
      <c r="B32" s="143"/>
      <c r="C32" s="143"/>
    </row>
    <row r="33" spans="1:3" ht="15.5" x14ac:dyDescent="0.35">
      <c r="A33" s="142"/>
      <c r="B33" s="143"/>
      <c r="C33" s="143"/>
    </row>
    <row r="34" spans="1:3" ht="15.5" x14ac:dyDescent="0.35">
      <c r="A34" s="142"/>
      <c r="B34" s="143"/>
      <c r="C34" s="143"/>
    </row>
    <row r="35" spans="1:3" ht="15.5" x14ac:dyDescent="0.35">
      <c r="A35" s="142"/>
      <c r="B35" s="143"/>
      <c r="C35" s="143"/>
    </row>
    <row r="36" spans="1:3" ht="15.5" x14ac:dyDescent="0.35">
      <c r="A36" s="142"/>
      <c r="B36" s="143"/>
      <c r="C36" s="143"/>
    </row>
    <row r="37" spans="1:3" ht="15.5" x14ac:dyDescent="0.35">
      <c r="A37" s="142"/>
      <c r="B37" s="143"/>
      <c r="C37" s="143"/>
    </row>
    <row r="38" spans="1:3" ht="15.5" x14ac:dyDescent="0.35">
      <c r="A38" s="142"/>
      <c r="B38" s="143"/>
      <c r="C38" s="143"/>
    </row>
    <row r="39" spans="1:3" ht="15.5" x14ac:dyDescent="0.35">
      <c r="A39" s="142"/>
      <c r="B39" s="143"/>
      <c r="C39" s="143"/>
    </row>
    <row r="40" spans="1:3" ht="15.5" x14ac:dyDescent="0.35">
      <c r="A40" s="142"/>
      <c r="B40" s="143"/>
      <c r="C40" s="143"/>
    </row>
    <row r="41" spans="1:3" ht="15.5" x14ac:dyDescent="0.35">
      <c r="A41" s="142"/>
      <c r="B41" s="143"/>
      <c r="C41" s="143"/>
    </row>
    <row r="42" spans="1:3" ht="15.5" x14ac:dyDescent="0.35">
      <c r="A42" s="142"/>
      <c r="B42" s="143"/>
      <c r="C42" s="143"/>
    </row>
    <row r="43" spans="1:3" ht="15.5" x14ac:dyDescent="0.35">
      <c r="A43" s="142"/>
      <c r="B43" s="143"/>
      <c r="C43" s="143"/>
    </row>
    <row r="44" spans="1:3" ht="15.5" x14ac:dyDescent="0.35">
      <c r="A44" s="142"/>
      <c r="B44" s="143"/>
      <c r="C44" s="143"/>
    </row>
    <row r="45" spans="1:3" ht="15.5" x14ac:dyDescent="0.35">
      <c r="A45" s="142"/>
      <c r="B45" s="143"/>
      <c r="C45" s="143"/>
    </row>
    <row r="46" spans="1:3" ht="15.5" x14ac:dyDescent="0.35">
      <c r="A46" s="142"/>
      <c r="B46" s="143"/>
      <c r="C46" s="143"/>
    </row>
    <row r="47" spans="1:3" ht="15.5" x14ac:dyDescent="0.35">
      <c r="A47" s="142"/>
      <c r="B47" s="143"/>
      <c r="C47" s="143"/>
    </row>
    <row r="48" spans="1:3" ht="15.5" x14ac:dyDescent="0.35">
      <c r="A48" s="142"/>
      <c r="B48" s="143"/>
      <c r="C48" s="143"/>
    </row>
    <row r="49" spans="1:3" ht="15.5" x14ac:dyDescent="0.35">
      <c r="A49" s="142"/>
      <c r="B49" s="143"/>
      <c r="C49" s="143"/>
    </row>
    <row r="50" spans="1:3" ht="15.5" x14ac:dyDescent="0.35">
      <c r="A50" s="142"/>
      <c r="B50" s="143"/>
      <c r="C50" s="143"/>
    </row>
    <row r="51" spans="1:3" ht="15.5" x14ac:dyDescent="0.35">
      <c r="A51" s="142"/>
      <c r="B51" s="143"/>
      <c r="C51" s="143"/>
    </row>
    <row r="52" spans="1:3" ht="15.5" x14ac:dyDescent="0.35">
      <c r="A52" s="142"/>
      <c r="B52" s="143"/>
      <c r="C52" s="143"/>
    </row>
    <row r="53" spans="1:3" ht="15.5" x14ac:dyDescent="0.35">
      <c r="A53" s="142"/>
      <c r="B53" s="143"/>
      <c r="C53" s="143"/>
    </row>
    <row r="54" spans="1:3" ht="15.5" x14ac:dyDescent="0.35">
      <c r="A54" s="142"/>
      <c r="B54" s="143"/>
      <c r="C54" s="143"/>
    </row>
    <row r="55" spans="1:3" ht="15.5" x14ac:dyDescent="0.35">
      <c r="A55" s="142"/>
      <c r="B55" s="143"/>
      <c r="C55" s="143"/>
    </row>
    <row r="56" spans="1:3" ht="15.5" x14ac:dyDescent="0.35">
      <c r="A56" s="142"/>
      <c r="B56" s="143"/>
      <c r="C56" s="143"/>
    </row>
    <row r="57" spans="1:3" ht="15.5" x14ac:dyDescent="0.35">
      <c r="A57" s="142"/>
      <c r="B57" s="143"/>
      <c r="C57" s="143"/>
    </row>
    <row r="58" spans="1:3" ht="15.5" x14ac:dyDescent="0.35">
      <c r="A58" s="142"/>
      <c r="B58" s="143"/>
      <c r="C58" s="143"/>
    </row>
    <row r="59" spans="1:3" ht="15.5" x14ac:dyDescent="0.35">
      <c r="A59" s="142"/>
      <c r="B59" s="143"/>
      <c r="C59" s="143"/>
    </row>
    <row r="60" spans="1:3" ht="15.5" x14ac:dyDescent="0.35">
      <c r="A60" s="142"/>
      <c r="B60" s="143"/>
      <c r="C60" s="143"/>
    </row>
    <row r="61" spans="1:3" ht="15.5" x14ac:dyDescent="0.35">
      <c r="A61" s="142"/>
      <c r="B61" s="143"/>
      <c r="C61" s="143"/>
    </row>
    <row r="62" spans="1:3" ht="15.5" x14ac:dyDescent="0.35">
      <c r="A62" s="142"/>
      <c r="B62" s="143"/>
      <c r="C62" s="143"/>
    </row>
    <row r="63" spans="1:3" ht="15.5" x14ac:dyDescent="0.35">
      <c r="A63" s="142"/>
      <c r="B63" s="143"/>
      <c r="C63" s="143"/>
    </row>
    <row r="64" spans="1:3" ht="15.5" x14ac:dyDescent="0.35">
      <c r="A64" s="142"/>
      <c r="B64" s="143"/>
      <c r="C64" s="143"/>
    </row>
    <row r="65" spans="1:3" ht="15.5" x14ac:dyDescent="0.35">
      <c r="A65" s="142"/>
      <c r="B65" s="143"/>
      <c r="C65" s="143"/>
    </row>
    <row r="66" spans="1:3" ht="15.5" x14ac:dyDescent="0.35">
      <c r="A66" s="142"/>
      <c r="B66" s="143"/>
      <c r="C66" s="143"/>
    </row>
    <row r="67" spans="1:3" ht="15.5" x14ac:dyDescent="0.35">
      <c r="A67" s="142"/>
      <c r="B67" s="143"/>
      <c r="C67" s="143"/>
    </row>
    <row r="68" spans="1:3" ht="15.5" x14ac:dyDescent="0.35">
      <c r="A68" s="142"/>
      <c r="B68" s="143"/>
      <c r="C68" s="143"/>
    </row>
    <row r="69" spans="1:3" ht="15.5" x14ac:dyDescent="0.35">
      <c r="A69" s="142"/>
      <c r="B69" s="143"/>
      <c r="C69" s="143"/>
    </row>
    <row r="70" spans="1:3" ht="15.5" x14ac:dyDescent="0.35">
      <c r="A70" s="142"/>
      <c r="B70" s="143"/>
      <c r="C70" s="143"/>
    </row>
    <row r="71" spans="1:3" ht="15.5" x14ac:dyDescent="0.35">
      <c r="A71" s="142"/>
      <c r="B71" s="143"/>
      <c r="C71" s="143"/>
    </row>
    <row r="72" spans="1:3" ht="15.5" x14ac:dyDescent="0.35">
      <c r="A72" s="142"/>
      <c r="B72" s="143"/>
      <c r="C72" s="143"/>
    </row>
    <row r="73" spans="1:3" ht="15.5" x14ac:dyDescent="0.35">
      <c r="A73" s="142"/>
      <c r="B73" s="143"/>
      <c r="C73" s="143"/>
    </row>
    <row r="74" spans="1:3" ht="15.5" x14ac:dyDescent="0.35">
      <c r="A74" s="142"/>
      <c r="B74" s="143"/>
      <c r="C74" s="143"/>
    </row>
    <row r="75" spans="1:3" ht="15.5" x14ac:dyDescent="0.35">
      <c r="A75" s="142"/>
      <c r="B75" s="143"/>
      <c r="C75" s="143"/>
    </row>
    <row r="76" spans="1:3" ht="15.5" x14ac:dyDescent="0.35">
      <c r="A76" s="142"/>
      <c r="B76" s="143"/>
      <c r="C76" s="143"/>
    </row>
    <row r="77" spans="1:3" ht="15.5" x14ac:dyDescent="0.35">
      <c r="A77" s="142"/>
      <c r="B77" s="143"/>
      <c r="C77" s="143"/>
    </row>
    <row r="78" spans="1:3" ht="15.5" x14ac:dyDescent="0.35">
      <c r="A78" s="142"/>
      <c r="B78" s="143"/>
      <c r="C78" s="143"/>
    </row>
    <row r="79" spans="1:3" ht="15.5" x14ac:dyDescent="0.35">
      <c r="A79" s="142"/>
      <c r="B79" s="143"/>
      <c r="C79" s="143"/>
    </row>
    <row r="80" spans="1:3" ht="15.5" x14ac:dyDescent="0.35">
      <c r="A80" s="142"/>
      <c r="B80" s="143"/>
      <c r="C80" s="143"/>
    </row>
    <row r="81" spans="1:3" ht="15.5" x14ac:dyDescent="0.35">
      <c r="A81" s="142"/>
      <c r="B81" s="143"/>
      <c r="C81" s="143"/>
    </row>
    <row r="82" spans="1:3" ht="15.5" x14ac:dyDescent="0.35">
      <c r="A82" s="142"/>
      <c r="B82" s="143"/>
      <c r="C82" s="143"/>
    </row>
    <row r="83" spans="1:3" ht="15.5" x14ac:dyDescent="0.35">
      <c r="A83" s="142"/>
      <c r="B83" s="143"/>
      <c r="C83" s="143"/>
    </row>
    <row r="84" spans="1:3" ht="15.5" x14ac:dyDescent="0.35">
      <c r="A84" s="142"/>
      <c r="B84" s="143"/>
      <c r="C84" s="143"/>
    </row>
    <row r="85" spans="1:3" ht="15.5" x14ac:dyDescent="0.35">
      <c r="A85" s="142"/>
      <c r="B85" s="143"/>
      <c r="C85" s="143"/>
    </row>
    <row r="86" spans="1:3" ht="15.5" x14ac:dyDescent="0.35">
      <c r="A86" s="142"/>
      <c r="B86" s="143"/>
      <c r="C86" s="143"/>
    </row>
    <row r="87" spans="1:3" ht="15.5" x14ac:dyDescent="0.35">
      <c r="A87" s="142"/>
      <c r="B87" s="143"/>
      <c r="C87" s="143"/>
    </row>
    <row r="88" spans="1:3" ht="15.5" x14ac:dyDescent="0.35">
      <c r="A88" s="142"/>
      <c r="B88" s="143"/>
      <c r="C88" s="143"/>
    </row>
    <row r="89" spans="1:3" ht="15.5" x14ac:dyDescent="0.35">
      <c r="A89" s="142"/>
      <c r="B89" s="143"/>
      <c r="C89" s="143"/>
    </row>
    <row r="90" spans="1:3" ht="15.5" x14ac:dyDescent="0.35">
      <c r="A90" s="142"/>
      <c r="B90" s="143"/>
      <c r="C90" s="143"/>
    </row>
    <row r="91" spans="1:3" ht="15.5" x14ac:dyDescent="0.35">
      <c r="A91" s="142"/>
      <c r="B91" s="143"/>
      <c r="C91" s="143"/>
    </row>
    <row r="92" spans="1:3" ht="15.5" x14ac:dyDescent="0.35">
      <c r="A92" s="142"/>
      <c r="B92" s="143"/>
      <c r="C92" s="143"/>
    </row>
    <row r="93" spans="1:3" ht="15.5" x14ac:dyDescent="0.35">
      <c r="A93" s="142"/>
      <c r="B93" s="143"/>
      <c r="C93" s="143"/>
    </row>
    <row r="94" spans="1:3" ht="15.5" x14ac:dyDescent="0.35">
      <c r="A94" s="142"/>
      <c r="B94" s="143"/>
      <c r="C94" s="143"/>
    </row>
    <row r="95" spans="1:3" ht="15.5" x14ac:dyDescent="0.35">
      <c r="A95" s="142"/>
      <c r="B95" s="143"/>
      <c r="C95" s="143"/>
    </row>
    <row r="96" spans="1:3" ht="15.5" x14ac:dyDescent="0.35">
      <c r="A96" s="142"/>
      <c r="B96" s="143"/>
      <c r="C96" s="143"/>
    </row>
    <row r="97" spans="1:3" ht="15.5" x14ac:dyDescent="0.35">
      <c r="A97" s="142"/>
      <c r="B97" s="143"/>
      <c r="C97" s="143"/>
    </row>
    <row r="98" spans="1:3" ht="15.5" x14ac:dyDescent="0.35">
      <c r="A98" s="142"/>
      <c r="B98" s="143"/>
      <c r="C98" s="143"/>
    </row>
    <row r="99" spans="1:3" ht="15.5" x14ac:dyDescent="0.35">
      <c r="A99" s="142"/>
      <c r="B99" s="143"/>
      <c r="C99" s="143"/>
    </row>
    <row r="100" spans="1:3" ht="15.5" x14ac:dyDescent="0.35">
      <c r="A100" s="142"/>
      <c r="B100" s="143"/>
      <c r="C100" s="143"/>
    </row>
    <row r="101" spans="1:3" ht="15.5" x14ac:dyDescent="0.35">
      <c r="A101" s="142"/>
      <c r="B101" s="143"/>
      <c r="C101" s="143"/>
    </row>
    <row r="102" spans="1:3" ht="15.5" x14ac:dyDescent="0.35">
      <c r="A102" s="142"/>
      <c r="B102" s="143"/>
      <c r="C102" s="143"/>
    </row>
    <row r="103" spans="1:3" ht="15.5" x14ac:dyDescent="0.35">
      <c r="A103" s="142"/>
      <c r="B103" s="143"/>
      <c r="C103" s="143"/>
    </row>
    <row r="104" spans="1:3" ht="15.5" x14ac:dyDescent="0.35">
      <c r="A104" s="142"/>
      <c r="B104" s="143"/>
      <c r="C104" s="143"/>
    </row>
    <row r="105" spans="1:3" ht="15.5" x14ac:dyDescent="0.35">
      <c r="A105" s="142"/>
      <c r="B105" s="143"/>
      <c r="C105" s="143"/>
    </row>
    <row r="106" spans="1:3" ht="15.5" x14ac:dyDescent="0.35">
      <c r="A106" s="142"/>
      <c r="B106" s="143"/>
      <c r="C106" s="143"/>
    </row>
    <row r="107" spans="1:3" ht="15.5" x14ac:dyDescent="0.35">
      <c r="A107" s="142"/>
      <c r="B107" s="143"/>
      <c r="C107" s="143"/>
    </row>
    <row r="108" spans="1:3" ht="15.5" x14ac:dyDescent="0.35">
      <c r="A108" s="142"/>
      <c r="B108" s="143"/>
      <c r="C108" s="143"/>
    </row>
    <row r="109" spans="1:3" ht="15.5" x14ac:dyDescent="0.35">
      <c r="A109" s="142"/>
      <c r="B109" s="143"/>
      <c r="C109" s="143"/>
    </row>
    <row r="110" spans="1:3" ht="15.5" x14ac:dyDescent="0.35">
      <c r="A110" s="142"/>
      <c r="B110" s="143"/>
      <c r="C110" s="143"/>
    </row>
    <row r="111" spans="1:3" ht="15.5" x14ac:dyDescent="0.35">
      <c r="A111" s="142"/>
      <c r="B111" s="143"/>
      <c r="C111" s="143"/>
    </row>
    <row r="112" spans="1:3" ht="15.5" x14ac:dyDescent="0.35">
      <c r="A112" s="142"/>
      <c r="B112" s="143"/>
      <c r="C112" s="143"/>
    </row>
    <row r="113" spans="1:3" ht="15.5" x14ac:dyDescent="0.35">
      <c r="A113" s="142"/>
      <c r="B113" s="143"/>
      <c r="C113" s="143"/>
    </row>
    <row r="114" spans="1:3" ht="15.5" x14ac:dyDescent="0.35">
      <c r="A114" s="142"/>
      <c r="B114" s="143"/>
      <c r="C114" s="143"/>
    </row>
    <row r="115" spans="1:3" ht="15.5" x14ac:dyDescent="0.35">
      <c r="A115" s="142"/>
      <c r="B115" s="143"/>
      <c r="C115" s="143"/>
    </row>
    <row r="116" spans="1:3" ht="15.5" x14ac:dyDescent="0.35">
      <c r="A116" s="142"/>
      <c r="B116" s="143"/>
      <c r="C116" s="143"/>
    </row>
    <row r="117" spans="1:3" ht="15.5" x14ac:dyDescent="0.35">
      <c r="A117" s="142"/>
      <c r="B117" s="143"/>
      <c r="C117" s="143"/>
    </row>
    <row r="118" spans="1:3" ht="15.5" x14ac:dyDescent="0.35">
      <c r="A118" s="142"/>
      <c r="B118" s="143"/>
      <c r="C118" s="143"/>
    </row>
    <row r="119" spans="1:3" ht="15.5" x14ac:dyDescent="0.35">
      <c r="A119" s="142"/>
      <c r="B119" s="143"/>
      <c r="C119" s="143"/>
    </row>
    <row r="120" spans="1:3" ht="15.5" x14ac:dyDescent="0.35">
      <c r="A120" s="142"/>
      <c r="B120" s="143"/>
      <c r="C120" s="143"/>
    </row>
    <row r="121" spans="1:3" ht="15.5" x14ac:dyDescent="0.35">
      <c r="A121" s="142"/>
      <c r="B121" s="143"/>
      <c r="C121" s="143"/>
    </row>
    <row r="122" spans="1:3" ht="15.5" x14ac:dyDescent="0.35">
      <c r="A122" s="142"/>
      <c r="B122" s="143"/>
      <c r="C122" s="143"/>
    </row>
    <row r="123" spans="1:3" ht="15.5" x14ac:dyDescent="0.35">
      <c r="A123" s="142"/>
      <c r="B123" s="143"/>
      <c r="C123" s="143"/>
    </row>
    <row r="124" spans="1:3" ht="15.5" x14ac:dyDescent="0.35">
      <c r="A124" s="142"/>
      <c r="B124" s="143"/>
      <c r="C124" s="143"/>
    </row>
    <row r="125" spans="1:3" ht="15.5" x14ac:dyDescent="0.35">
      <c r="A125" s="142"/>
      <c r="B125" s="143"/>
      <c r="C125" s="143"/>
    </row>
    <row r="126" spans="1:3" ht="15.5" x14ac:dyDescent="0.35">
      <c r="A126" s="142"/>
      <c r="B126" s="143"/>
      <c r="C126" s="143"/>
    </row>
    <row r="127" spans="1:3" ht="15.5" x14ac:dyDescent="0.35">
      <c r="A127" s="142"/>
      <c r="B127" s="143"/>
      <c r="C127" s="143"/>
    </row>
    <row r="128" spans="1:3" ht="15.5" x14ac:dyDescent="0.35">
      <c r="A128" s="142"/>
      <c r="B128" s="143"/>
      <c r="C128" s="143"/>
    </row>
    <row r="129" spans="1:3" ht="15.5" x14ac:dyDescent="0.35">
      <c r="A129" s="142"/>
      <c r="B129" s="143"/>
      <c r="C129" s="143"/>
    </row>
    <row r="130" spans="1:3" ht="15.5" x14ac:dyDescent="0.35">
      <c r="A130" s="142"/>
      <c r="B130" s="143"/>
      <c r="C130" s="143"/>
    </row>
    <row r="131" spans="1:3" ht="15.5" x14ac:dyDescent="0.35">
      <c r="A131" s="142"/>
      <c r="B131" s="143"/>
      <c r="C131" s="143"/>
    </row>
    <row r="132" spans="1:3" ht="15.5" x14ac:dyDescent="0.35">
      <c r="A132" s="142"/>
      <c r="B132" s="143"/>
      <c r="C132" s="143"/>
    </row>
    <row r="133" spans="1:3" ht="15.5" x14ac:dyDescent="0.35">
      <c r="A133" s="142"/>
      <c r="B133" s="143"/>
      <c r="C133" s="143"/>
    </row>
    <row r="134" spans="1:3" ht="15.5" x14ac:dyDescent="0.35">
      <c r="A134" s="142"/>
      <c r="B134" s="143"/>
      <c r="C134" s="143"/>
    </row>
    <row r="135" spans="1:3" ht="15.5" x14ac:dyDescent="0.35">
      <c r="A135" s="142"/>
      <c r="B135" s="143"/>
      <c r="C135" s="143"/>
    </row>
    <row r="136" spans="1:3" ht="15.5" x14ac:dyDescent="0.35">
      <c r="A136" s="142"/>
      <c r="B136" s="143"/>
      <c r="C136" s="143"/>
    </row>
    <row r="137" spans="1:3" ht="15.5" x14ac:dyDescent="0.35">
      <c r="A137" s="142"/>
      <c r="B137" s="143"/>
      <c r="C137" s="143"/>
    </row>
    <row r="138" spans="1:3" ht="15.5" x14ac:dyDescent="0.35">
      <c r="A138" s="142"/>
      <c r="B138" s="143"/>
      <c r="C138" s="143"/>
    </row>
    <row r="139" spans="1:3" ht="15.5" x14ac:dyDescent="0.35">
      <c r="A139" s="142"/>
      <c r="B139" s="143"/>
      <c r="C139" s="143"/>
    </row>
    <row r="140" spans="1:3" ht="15.5" x14ac:dyDescent="0.35">
      <c r="A140" s="142"/>
      <c r="B140" s="143"/>
      <c r="C140" s="143"/>
    </row>
    <row r="141" spans="1:3" ht="15.5" x14ac:dyDescent="0.35">
      <c r="A141" s="142"/>
      <c r="B141" s="143"/>
      <c r="C141" s="143"/>
    </row>
    <row r="142" spans="1:3" ht="15.5" x14ac:dyDescent="0.35">
      <c r="A142" s="142"/>
      <c r="B142" s="143"/>
      <c r="C142" s="143"/>
    </row>
    <row r="143" spans="1:3" ht="15.5" x14ac:dyDescent="0.35">
      <c r="A143" s="142"/>
      <c r="B143" s="143"/>
      <c r="C143" s="143"/>
    </row>
    <row r="144" spans="1:3" ht="15.5" x14ac:dyDescent="0.35">
      <c r="A144" s="142"/>
      <c r="B144" s="143"/>
      <c r="C144" s="143"/>
    </row>
    <row r="145" spans="1:3" ht="15.5" x14ac:dyDescent="0.35">
      <c r="A145" s="142"/>
      <c r="B145" s="143"/>
      <c r="C145" s="143"/>
    </row>
    <row r="146" spans="1:3" ht="15.5" x14ac:dyDescent="0.35">
      <c r="A146" s="142"/>
      <c r="B146" s="143"/>
      <c r="C146" s="143"/>
    </row>
    <row r="147" spans="1:3" ht="15.5" x14ac:dyDescent="0.35">
      <c r="A147" s="142"/>
      <c r="B147" s="143"/>
      <c r="C147" s="143"/>
    </row>
    <row r="148" spans="1:3" ht="15.5" x14ac:dyDescent="0.35">
      <c r="A148" s="142"/>
      <c r="B148" s="143"/>
      <c r="C148" s="143"/>
    </row>
    <row r="149" spans="1:3" ht="15.5" x14ac:dyDescent="0.35">
      <c r="A149" s="142"/>
      <c r="B149" s="143"/>
      <c r="C149" s="143"/>
    </row>
    <row r="150" spans="1:3" ht="15.5" x14ac:dyDescent="0.35">
      <c r="A150" s="142"/>
      <c r="B150" s="143"/>
      <c r="C150" s="143"/>
    </row>
    <row r="151" spans="1:3" ht="15.5" x14ac:dyDescent="0.35">
      <c r="A151" s="142"/>
      <c r="B151" s="143"/>
      <c r="C151" s="143"/>
    </row>
    <row r="152" spans="1:3" ht="15.5" x14ac:dyDescent="0.35">
      <c r="A152" s="142"/>
      <c r="B152" s="143"/>
      <c r="C152" s="143"/>
    </row>
    <row r="153" spans="1:3" ht="15.5" x14ac:dyDescent="0.35">
      <c r="A153" s="142"/>
      <c r="B153" s="143"/>
      <c r="C153" s="143"/>
    </row>
    <row r="154" spans="1:3" ht="15.5" x14ac:dyDescent="0.35">
      <c r="A154" s="142"/>
      <c r="B154" s="143"/>
      <c r="C154" s="143"/>
    </row>
    <row r="155" spans="1:3" ht="15.5" x14ac:dyDescent="0.35">
      <c r="A155" s="142"/>
      <c r="B155" s="143"/>
      <c r="C155" s="143"/>
    </row>
    <row r="156" spans="1:3" ht="15.5" x14ac:dyDescent="0.35">
      <c r="A156" s="142"/>
      <c r="B156" s="143"/>
      <c r="C156" s="143"/>
    </row>
    <row r="157" spans="1:3" ht="15.5" x14ac:dyDescent="0.35">
      <c r="A157" s="142"/>
      <c r="B157" s="143"/>
      <c r="C157" s="143"/>
    </row>
    <row r="158" spans="1:3" ht="15.5" x14ac:dyDescent="0.35">
      <c r="A158" s="142"/>
      <c r="B158" s="143"/>
      <c r="C158" s="143"/>
    </row>
    <row r="159" spans="1:3" ht="15.5" x14ac:dyDescent="0.35">
      <c r="A159" s="142"/>
      <c r="B159" s="143"/>
      <c r="C159" s="143"/>
    </row>
    <row r="160" spans="1:3" ht="15.5" x14ac:dyDescent="0.35">
      <c r="A160" s="142"/>
      <c r="B160" s="143"/>
      <c r="C160" s="143"/>
    </row>
    <row r="161" spans="1:3" ht="15.5" x14ac:dyDescent="0.35">
      <c r="A161" s="142"/>
      <c r="B161" s="143"/>
      <c r="C161" s="143"/>
    </row>
    <row r="162" spans="1:3" ht="15.5" x14ac:dyDescent="0.35">
      <c r="A162" s="142"/>
      <c r="B162" s="143"/>
      <c r="C162" s="143"/>
    </row>
    <row r="163" spans="1:3" ht="15.5" x14ac:dyDescent="0.35">
      <c r="A163" s="142"/>
      <c r="B163" s="143"/>
      <c r="C163" s="143"/>
    </row>
    <row r="164" spans="1:3" ht="15.5" x14ac:dyDescent="0.35">
      <c r="A164" s="142"/>
      <c r="B164" s="143"/>
      <c r="C164" s="143"/>
    </row>
    <row r="165" spans="1:3" ht="15.5" x14ac:dyDescent="0.35">
      <c r="A165" s="142"/>
      <c r="B165" s="143"/>
      <c r="C165" s="143"/>
    </row>
    <row r="166" spans="1:3" ht="15.5" x14ac:dyDescent="0.35">
      <c r="A166" s="142"/>
      <c r="B166" s="143"/>
      <c r="C166" s="143"/>
    </row>
    <row r="167" spans="1:3" ht="15.5" x14ac:dyDescent="0.35">
      <c r="A167" s="142"/>
      <c r="B167" s="143"/>
      <c r="C167" s="143"/>
    </row>
    <row r="168" spans="1:3" ht="15.5" x14ac:dyDescent="0.35">
      <c r="A168" s="142"/>
      <c r="B168" s="143"/>
      <c r="C168" s="143"/>
    </row>
    <row r="169" spans="1:3" ht="15.5" x14ac:dyDescent="0.35">
      <c r="A169" s="142"/>
      <c r="B169" s="143"/>
      <c r="C169" s="143"/>
    </row>
    <row r="170" spans="1:3" ht="15.5" x14ac:dyDescent="0.35">
      <c r="A170" s="142"/>
      <c r="B170" s="143"/>
      <c r="C170" s="143"/>
    </row>
    <row r="171" spans="1:3" ht="15.5" x14ac:dyDescent="0.35">
      <c r="A171" s="142"/>
      <c r="B171" s="143"/>
      <c r="C171" s="143"/>
    </row>
    <row r="172" spans="1:3" ht="15.5" x14ac:dyDescent="0.35">
      <c r="A172" s="142"/>
      <c r="B172" s="143"/>
      <c r="C172" s="143"/>
    </row>
    <row r="173" spans="1:3" ht="15.5" x14ac:dyDescent="0.35">
      <c r="A173" s="142"/>
      <c r="B173" s="143"/>
      <c r="C173" s="143"/>
    </row>
    <row r="174" spans="1:3" ht="15.5" x14ac:dyDescent="0.35">
      <c r="A174" s="142"/>
      <c r="B174" s="143"/>
      <c r="C174" s="143"/>
    </row>
    <row r="175" spans="1:3" ht="15.5" x14ac:dyDescent="0.35">
      <c r="A175" s="142"/>
      <c r="B175" s="143"/>
      <c r="C175" s="143"/>
    </row>
    <row r="176" spans="1:3" ht="15.5" x14ac:dyDescent="0.35">
      <c r="A176" s="142"/>
      <c r="B176" s="143"/>
      <c r="C176" s="143"/>
    </row>
    <row r="177" spans="1:3" ht="15.5" x14ac:dyDescent="0.35">
      <c r="A177" s="142"/>
      <c r="B177" s="143"/>
      <c r="C177" s="143"/>
    </row>
    <row r="178" spans="1:3" ht="15.5" x14ac:dyDescent="0.35">
      <c r="A178" s="142"/>
      <c r="B178" s="143"/>
      <c r="C178" s="143"/>
    </row>
    <row r="179" spans="1:3" ht="15.5" x14ac:dyDescent="0.35">
      <c r="A179" s="142"/>
      <c r="B179" s="143"/>
      <c r="C179" s="143"/>
    </row>
    <row r="180" spans="1:3" ht="15.5" x14ac:dyDescent="0.35">
      <c r="A180" s="142"/>
      <c r="B180" s="143"/>
      <c r="C180" s="143"/>
    </row>
    <row r="181" spans="1:3" ht="15.5" x14ac:dyDescent="0.35">
      <c r="A181" s="142"/>
      <c r="B181" s="143"/>
      <c r="C181" s="143"/>
    </row>
    <row r="182" spans="1:3" ht="15.5" x14ac:dyDescent="0.35">
      <c r="A182" s="142"/>
      <c r="B182" s="143"/>
      <c r="C182" s="143"/>
    </row>
    <row r="183" spans="1:3" ht="15.5" x14ac:dyDescent="0.35">
      <c r="A183" s="142"/>
      <c r="B183" s="143"/>
      <c r="C183" s="143"/>
    </row>
    <row r="184" spans="1:3" ht="15.5" x14ac:dyDescent="0.35">
      <c r="A184" s="142"/>
      <c r="B184" s="143"/>
      <c r="C184" s="143"/>
    </row>
    <row r="185" spans="1:3" ht="15.5" x14ac:dyDescent="0.35">
      <c r="A185" s="142"/>
      <c r="B185" s="143"/>
      <c r="C185" s="143"/>
    </row>
    <row r="186" spans="1:3" ht="15.5" x14ac:dyDescent="0.35">
      <c r="A186" s="142"/>
      <c r="B186" s="143"/>
      <c r="C186" s="143"/>
    </row>
    <row r="187" spans="1:3" ht="15.5" x14ac:dyDescent="0.35">
      <c r="A187" s="142"/>
      <c r="B187" s="143"/>
      <c r="C187" s="143"/>
    </row>
    <row r="188" spans="1:3" ht="15.5" x14ac:dyDescent="0.35">
      <c r="A188" s="142"/>
      <c r="B188" s="143"/>
      <c r="C188" s="143"/>
    </row>
    <row r="189" spans="1:3" ht="15.5" x14ac:dyDescent="0.35">
      <c r="A189" s="142"/>
      <c r="B189" s="143"/>
      <c r="C189" s="143"/>
    </row>
    <row r="190" spans="1:3" ht="15.5" x14ac:dyDescent="0.35">
      <c r="A190" s="142"/>
      <c r="B190" s="143"/>
      <c r="C190" s="143"/>
    </row>
    <row r="191" spans="1:3" ht="15.5" x14ac:dyDescent="0.35">
      <c r="A191" s="142"/>
      <c r="B191" s="143"/>
      <c r="C191" s="143"/>
    </row>
    <row r="192" spans="1:3" ht="15.5" x14ac:dyDescent="0.35">
      <c r="A192" s="142"/>
      <c r="B192" s="143"/>
      <c r="C192" s="143"/>
    </row>
    <row r="193" spans="1:3" ht="15.5" x14ac:dyDescent="0.35">
      <c r="A193" s="142"/>
      <c r="B193" s="143"/>
      <c r="C193" s="143"/>
    </row>
    <row r="194" spans="1:3" ht="15.5" x14ac:dyDescent="0.35">
      <c r="A194" s="142"/>
      <c r="B194" s="143"/>
      <c r="C194" s="143"/>
    </row>
    <row r="195" spans="1:3" ht="15.5" x14ac:dyDescent="0.35">
      <c r="A195" s="142"/>
      <c r="B195" s="143"/>
      <c r="C195" s="143"/>
    </row>
    <row r="196" spans="1:3" ht="15.5" x14ac:dyDescent="0.35">
      <c r="A196" s="142"/>
      <c r="B196" s="143"/>
      <c r="C196" s="143"/>
    </row>
    <row r="197" spans="1:3" ht="15.5" x14ac:dyDescent="0.35">
      <c r="A197" s="142"/>
      <c r="B197" s="143"/>
      <c r="C197" s="143"/>
    </row>
    <row r="198" spans="1:3" ht="15.5" x14ac:dyDescent="0.35">
      <c r="A198" s="142"/>
      <c r="B198" s="143"/>
      <c r="C198" s="143"/>
    </row>
    <row r="199" spans="1:3" ht="15.5" x14ac:dyDescent="0.35">
      <c r="A199" s="142"/>
      <c r="B199" s="143"/>
      <c r="C199" s="143"/>
    </row>
    <row r="200" spans="1:3" ht="15.5" x14ac:dyDescent="0.35">
      <c r="A200" s="142"/>
      <c r="B200" s="143"/>
      <c r="C200" s="143"/>
    </row>
    <row r="201" spans="1:3" ht="15.5" x14ac:dyDescent="0.35">
      <c r="A201" s="142"/>
      <c r="B201" s="143"/>
      <c r="C201" s="143"/>
    </row>
    <row r="202" spans="1:3" ht="15.5" x14ac:dyDescent="0.35">
      <c r="A202" s="142"/>
      <c r="B202" s="143"/>
      <c r="C202" s="143"/>
    </row>
    <row r="203" spans="1:3" ht="15.5" x14ac:dyDescent="0.35">
      <c r="A203" s="142"/>
      <c r="B203" s="143"/>
      <c r="C203" s="143"/>
    </row>
    <row r="204" spans="1:3" ht="15.5" x14ac:dyDescent="0.35">
      <c r="A204" s="142"/>
      <c r="B204" s="143"/>
      <c r="C204" s="143"/>
    </row>
    <row r="205" spans="1:3" ht="15.5" x14ac:dyDescent="0.35">
      <c r="A205" s="142"/>
      <c r="B205" s="143"/>
      <c r="C205" s="143"/>
    </row>
    <row r="206" spans="1:3" ht="15.5" x14ac:dyDescent="0.35">
      <c r="A206" s="142"/>
      <c r="B206" s="143"/>
      <c r="C206" s="143"/>
    </row>
    <row r="207" spans="1:3" ht="15.5" x14ac:dyDescent="0.35">
      <c r="A207" s="142"/>
      <c r="B207" s="143"/>
      <c r="C207" s="143"/>
    </row>
    <row r="208" spans="1:3" ht="15.5" x14ac:dyDescent="0.35">
      <c r="A208" s="142"/>
      <c r="B208" s="143"/>
      <c r="C208" s="143"/>
    </row>
    <row r="209" spans="1:3" ht="15.5" x14ac:dyDescent="0.35">
      <c r="A209" s="142"/>
      <c r="B209" s="143"/>
      <c r="C209" s="143"/>
    </row>
    <row r="210" spans="1:3" ht="15.5" x14ac:dyDescent="0.35">
      <c r="A210" s="142"/>
      <c r="B210" s="143"/>
      <c r="C210" s="143"/>
    </row>
    <row r="211" spans="1:3" ht="15.5" x14ac:dyDescent="0.35">
      <c r="A211" s="142"/>
      <c r="B211" s="143"/>
      <c r="C211" s="143"/>
    </row>
    <row r="212" spans="1:3" ht="15.5" x14ac:dyDescent="0.35">
      <c r="A212" s="142"/>
      <c r="B212" s="143"/>
      <c r="C212" s="143"/>
    </row>
    <row r="213" spans="1:3" ht="15.5" x14ac:dyDescent="0.35">
      <c r="A213" s="142"/>
      <c r="B213" s="143"/>
      <c r="C213" s="143"/>
    </row>
    <row r="214" spans="1:3" ht="15.5" x14ac:dyDescent="0.35">
      <c r="A214" s="142"/>
      <c r="B214" s="143"/>
      <c r="C214" s="143"/>
    </row>
    <row r="215" spans="1:3" ht="15.5" x14ac:dyDescent="0.35">
      <c r="A215" s="142"/>
      <c r="B215" s="143"/>
      <c r="C215" s="143"/>
    </row>
    <row r="216" spans="1:3" ht="15.5" x14ac:dyDescent="0.35">
      <c r="A216" s="142"/>
      <c r="B216" s="143"/>
      <c r="C216" s="143"/>
    </row>
    <row r="217" spans="1:3" ht="15.5" x14ac:dyDescent="0.35">
      <c r="A217" s="142"/>
      <c r="B217" s="143"/>
      <c r="C217" s="143"/>
    </row>
    <row r="218" spans="1:3" ht="15.5" x14ac:dyDescent="0.35">
      <c r="A218" s="142"/>
      <c r="B218" s="143"/>
      <c r="C218" s="143"/>
    </row>
    <row r="219" spans="1:3" ht="15.5" x14ac:dyDescent="0.35">
      <c r="A219" s="142"/>
      <c r="B219" s="143"/>
      <c r="C219" s="143"/>
    </row>
    <row r="220" spans="1:3" ht="15.5" x14ac:dyDescent="0.35">
      <c r="A220" s="142"/>
      <c r="B220" s="143"/>
      <c r="C220" s="143"/>
    </row>
    <row r="221" spans="1:3" ht="15.5" x14ac:dyDescent="0.35">
      <c r="A221" s="142"/>
      <c r="B221" s="143"/>
      <c r="C221" s="143"/>
    </row>
    <row r="222" spans="1:3" ht="15.5" x14ac:dyDescent="0.35">
      <c r="A222" s="142"/>
      <c r="B222" s="143"/>
      <c r="C222" s="143"/>
    </row>
    <row r="223" spans="1:3" ht="15.5" x14ac:dyDescent="0.35">
      <c r="A223" s="142"/>
      <c r="B223" s="143"/>
      <c r="C223" s="143"/>
    </row>
    <row r="224" spans="1:3" ht="15.5" x14ac:dyDescent="0.35">
      <c r="A224" s="142"/>
      <c r="B224" s="143"/>
      <c r="C224" s="143"/>
    </row>
    <row r="225" spans="1:3" ht="15.5" x14ac:dyDescent="0.35">
      <c r="A225" s="142"/>
      <c r="B225" s="143"/>
      <c r="C225" s="143"/>
    </row>
    <row r="226" spans="1:3" ht="15.5" x14ac:dyDescent="0.35">
      <c r="A226" s="142"/>
      <c r="B226" s="143"/>
      <c r="C226" s="143"/>
    </row>
    <row r="227" spans="1:3" ht="15.5" x14ac:dyDescent="0.35">
      <c r="A227" s="142"/>
      <c r="B227" s="143"/>
      <c r="C227" s="143"/>
    </row>
    <row r="228" spans="1:3" ht="15.5" x14ac:dyDescent="0.35">
      <c r="A228" s="142"/>
      <c r="B228" s="143"/>
      <c r="C228" s="143"/>
    </row>
    <row r="229" spans="1:3" ht="15.5" x14ac:dyDescent="0.35">
      <c r="A229" s="142"/>
      <c r="B229" s="143"/>
      <c r="C229" s="143"/>
    </row>
    <row r="230" spans="1:3" ht="15.5" x14ac:dyDescent="0.35">
      <c r="A230" s="142"/>
      <c r="B230" s="143"/>
      <c r="C230" s="143"/>
    </row>
    <row r="231" spans="1:3" ht="15.5" x14ac:dyDescent="0.35">
      <c r="A231" s="142"/>
      <c r="B231" s="143"/>
      <c r="C231" s="143"/>
    </row>
    <row r="232" spans="1:3" ht="15.5" x14ac:dyDescent="0.35">
      <c r="A232" s="142"/>
      <c r="B232" s="143"/>
      <c r="C232" s="143"/>
    </row>
    <row r="233" spans="1:3" ht="15.5" x14ac:dyDescent="0.35">
      <c r="A233" s="142"/>
      <c r="B233" s="143"/>
      <c r="C233" s="143"/>
    </row>
    <row r="234" spans="1:3" ht="15.5" x14ac:dyDescent="0.35">
      <c r="A234" s="142"/>
      <c r="B234" s="143"/>
      <c r="C234" s="143"/>
    </row>
    <row r="235" spans="1:3" ht="15.5" x14ac:dyDescent="0.35">
      <c r="A235" s="142"/>
      <c r="B235" s="143"/>
      <c r="C235" s="143"/>
    </row>
    <row r="236" spans="1:3" ht="15.5" x14ac:dyDescent="0.35">
      <c r="A236" s="142"/>
      <c r="B236" s="143"/>
      <c r="C236" s="143"/>
    </row>
    <row r="237" spans="1:3" ht="15.5" x14ac:dyDescent="0.35">
      <c r="A237" s="142"/>
      <c r="B237" s="143"/>
      <c r="C237" s="143"/>
    </row>
    <row r="238" spans="1:3" ht="15.5" x14ac:dyDescent="0.35">
      <c r="A238" s="142"/>
      <c r="B238" s="143"/>
      <c r="C238" s="143"/>
    </row>
    <row r="239" spans="1:3" ht="15.5" x14ac:dyDescent="0.35">
      <c r="A239" s="142"/>
      <c r="B239" s="143"/>
      <c r="C239" s="143"/>
    </row>
    <row r="240" spans="1:3" ht="15.5" x14ac:dyDescent="0.35">
      <c r="A240" s="142"/>
      <c r="B240" s="143"/>
      <c r="C240" s="143"/>
    </row>
    <row r="241" spans="1:3" ht="15.5" x14ac:dyDescent="0.35">
      <c r="A241" s="142"/>
      <c r="B241" s="143"/>
      <c r="C241" s="143"/>
    </row>
    <row r="242" spans="1:3" ht="15.5" x14ac:dyDescent="0.35">
      <c r="A242" s="142"/>
      <c r="B242" s="143"/>
      <c r="C242" s="143"/>
    </row>
    <row r="243" spans="1:3" ht="15.5" x14ac:dyDescent="0.35">
      <c r="A243" s="142"/>
      <c r="B243" s="143"/>
      <c r="C243" s="143"/>
    </row>
    <row r="244" spans="1:3" ht="15.5" x14ac:dyDescent="0.35">
      <c r="A244" s="142"/>
      <c r="B244" s="143"/>
      <c r="C244" s="143"/>
    </row>
    <row r="245" spans="1:3" ht="15.5" x14ac:dyDescent="0.35">
      <c r="A245" s="142"/>
      <c r="B245" s="143"/>
      <c r="C245" s="143"/>
    </row>
    <row r="246" spans="1:3" ht="15.5" x14ac:dyDescent="0.35">
      <c r="A246" s="142"/>
      <c r="B246" s="143"/>
      <c r="C246" s="143"/>
    </row>
    <row r="247" spans="1:3" ht="15.5" x14ac:dyDescent="0.35">
      <c r="A247" s="142"/>
      <c r="B247" s="143"/>
      <c r="C247" s="143"/>
    </row>
    <row r="248" spans="1:3" ht="15.5" x14ac:dyDescent="0.35">
      <c r="A248" s="142"/>
      <c r="B248" s="143"/>
      <c r="C248" s="143"/>
    </row>
    <row r="249" spans="1:3" ht="15.5" x14ac:dyDescent="0.35">
      <c r="A249" s="142"/>
      <c r="B249" s="143"/>
      <c r="C249" s="143"/>
    </row>
    <row r="250" spans="1:3" ht="15.5" x14ac:dyDescent="0.35">
      <c r="A250" s="142"/>
      <c r="B250" s="143"/>
      <c r="C250" s="143"/>
    </row>
    <row r="251" spans="1:3" ht="15.5" x14ac:dyDescent="0.35">
      <c r="A251" s="142"/>
      <c r="B251" s="143"/>
      <c r="C251" s="143"/>
    </row>
    <row r="252" spans="1:3" ht="15.5" x14ac:dyDescent="0.35">
      <c r="A252" s="142"/>
      <c r="B252" s="143"/>
      <c r="C252" s="143"/>
    </row>
    <row r="253" spans="1:3" ht="15.5" x14ac:dyDescent="0.35">
      <c r="A253" s="142"/>
      <c r="B253" s="143"/>
      <c r="C253" s="143"/>
    </row>
    <row r="254" spans="1:3" ht="15.5" x14ac:dyDescent="0.35">
      <c r="A254" s="142"/>
      <c r="B254" s="143"/>
      <c r="C254" s="143"/>
    </row>
    <row r="255" spans="1:3" ht="15.5" x14ac:dyDescent="0.35">
      <c r="A255" s="142"/>
      <c r="B255" s="143"/>
      <c r="C255" s="143"/>
    </row>
    <row r="256" spans="1:3" ht="15.5" x14ac:dyDescent="0.35">
      <c r="A256" s="142"/>
      <c r="B256" s="143"/>
      <c r="C256" s="143"/>
    </row>
    <row r="257" spans="1:3" ht="15.5" x14ac:dyDescent="0.35">
      <c r="A257" s="142"/>
      <c r="B257" s="143"/>
      <c r="C257" s="143"/>
    </row>
    <row r="258" spans="1:3" ht="15.5" x14ac:dyDescent="0.35">
      <c r="A258" s="142"/>
      <c r="B258" s="143"/>
      <c r="C258" s="143"/>
    </row>
    <row r="259" spans="1:3" ht="15.5" x14ac:dyDescent="0.35">
      <c r="A259" s="142"/>
      <c r="B259" s="143"/>
      <c r="C259" s="143"/>
    </row>
    <row r="260" spans="1:3" ht="15.5" x14ac:dyDescent="0.35">
      <c r="A260" s="142"/>
      <c r="B260" s="143"/>
      <c r="C260" s="143"/>
    </row>
    <row r="261" spans="1:3" ht="15.5" x14ac:dyDescent="0.35">
      <c r="A261" s="142"/>
      <c r="B261" s="143"/>
      <c r="C261" s="143"/>
    </row>
    <row r="262" spans="1:3" ht="15.5" x14ac:dyDescent="0.35">
      <c r="A262" s="142"/>
      <c r="B262" s="143"/>
      <c r="C262" s="143"/>
    </row>
    <row r="263" spans="1:3" ht="15.5" x14ac:dyDescent="0.35">
      <c r="A263" s="142"/>
      <c r="B263" s="143"/>
      <c r="C263" s="143"/>
    </row>
    <row r="264" spans="1:3" ht="15.5" x14ac:dyDescent="0.35">
      <c r="A264" s="142"/>
      <c r="B264" s="143"/>
      <c r="C264" s="143"/>
    </row>
    <row r="265" spans="1:3" ht="15.5" x14ac:dyDescent="0.35">
      <c r="A265" s="142"/>
      <c r="B265" s="143"/>
      <c r="C265" s="143"/>
    </row>
    <row r="266" spans="1:3" ht="15.5" x14ac:dyDescent="0.35">
      <c r="A266" s="142"/>
      <c r="B266" s="143"/>
      <c r="C266" s="143"/>
    </row>
    <row r="267" spans="1:3" ht="15.5" x14ac:dyDescent="0.35">
      <c r="A267" s="142"/>
      <c r="B267" s="143"/>
      <c r="C267" s="143"/>
    </row>
    <row r="268" spans="1:3" ht="15.5" x14ac:dyDescent="0.35">
      <c r="A268" s="142"/>
      <c r="B268" s="143"/>
      <c r="C268" s="143"/>
    </row>
    <row r="269" spans="1:3" ht="15.5" x14ac:dyDescent="0.35">
      <c r="A269" s="142"/>
      <c r="B269" s="143"/>
      <c r="C269" s="143"/>
    </row>
    <row r="270" spans="1:3" ht="15.5" x14ac:dyDescent="0.35">
      <c r="A270" s="142"/>
      <c r="B270" s="143"/>
      <c r="C270" s="143"/>
    </row>
    <row r="271" spans="1:3" ht="15.5" x14ac:dyDescent="0.35">
      <c r="A271" s="142"/>
      <c r="B271" s="143"/>
      <c r="C271" s="143"/>
    </row>
    <row r="272" spans="1:3" ht="15.5" x14ac:dyDescent="0.35">
      <c r="A272" s="142"/>
      <c r="B272" s="143"/>
      <c r="C272" s="143"/>
    </row>
    <row r="273" spans="1:3" ht="15.5" x14ac:dyDescent="0.35">
      <c r="A273" s="142"/>
      <c r="B273" s="143"/>
      <c r="C273" s="143"/>
    </row>
    <row r="274" spans="1:3" ht="15.5" x14ac:dyDescent="0.35">
      <c r="A274" s="142"/>
      <c r="B274" s="143"/>
      <c r="C274" s="143"/>
    </row>
    <row r="275" spans="1:3" ht="15.5" x14ac:dyDescent="0.35">
      <c r="A275" s="142"/>
      <c r="B275" s="143"/>
      <c r="C275" s="143"/>
    </row>
    <row r="276" spans="1:3" ht="15.5" x14ac:dyDescent="0.35">
      <c r="A276" s="142"/>
      <c r="B276" s="143"/>
      <c r="C276" s="143"/>
    </row>
    <row r="277" spans="1:3" ht="15.5" x14ac:dyDescent="0.35">
      <c r="A277" s="142"/>
      <c r="B277" s="143"/>
      <c r="C277" s="143"/>
    </row>
    <row r="278" spans="1:3" ht="15.5" x14ac:dyDescent="0.35">
      <c r="A278" s="142"/>
      <c r="B278" s="143"/>
      <c r="C278" s="143"/>
    </row>
    <row r="279" spans="1:3" ht="15.5" x14ac:dyDescent="0.35">
      <c r="A279" s="142"/>
      <c r="B279" s="143"/>
      <c r="C279" s="143"/>
    </row>
    <row r="280" spans="1:3" ht="15.5" x14ac:dyDescent="0.35">
      <c r="A280" s="142"/>
      <c r="B280" s="143"/>
      <c r="C280" s="143"/>
    </row>
    <row r="281" spans="1:3" ht="15.5" x14ac:dyDescent="0.35">
      <c r="A281" s="142"/>
      <c r="B281" s="143"/>
      <c r="C281" s="143"/>
    </row>
    <row r="282" spans="1:3" ht="15.5" x14ac:dyDescent="0.35">
      <c r="A282" s="142"/>
      <c r="B282" s="143"/>
      <c r="C282" s="143"/>
    </row>
    <row r="283" spans="1:3" ht="15.5" x14ac:dyDescent="0.35">
      <c r="A283" s="142"/>
      <c r="B283" s="143"/>
      <c r="C283" s="143"/>
    </row>
    <row r="284" spans="1:3" ht="15.5" x14ac:dyDescent="0.35">
      <c r="A284" s="142"/>
      <c r="B284" s="143"/>
      <c r="C284" s="143"/>
    </row>
    <row r="285" spans="1:3" ht="15.5" x14ac:dyDescent="0.35">
      <c r="A285" s="142"/>
      <c r="B285" s="143"/>
      <c r="C285" s="143"/>
    </row>
    <row r="286" spans="1:3" ht="15.5" x14ac:dyDescent="0.35">
      <c r="A286" s="142"/>
      <c r="B286" s="143"/>
      <c r="C286" s="143"/>
    </row>
    <row r="287" spans="1:3" ht="15.5" x14ac:dyDescent="0.35">
      <c r="A287" s="142"/>
      <c r="B287" s="143"/>
      <c r="C287" s="143"/>
    </row>
    <row r="288" spans="1:3" ht="15.5" x14ac:dyDescent="0.35">
      <c r="A288" s="142"/>
      <c r="B288" s="143"/>
      <c r="C288" s="143"/>
    </row>
    <row r="289" spans="1:3" ht="15.5" x14ac:dyDescent="0.35">
      <c r="A289" s="142"/>
      <c r="B289" s="143"/>
      <c r="C289" s="143"/>
    </row>
    <row r="290" spans="1:3" ht="15.5" x14ac:dyDescent="0.35">
      <c r="A290" s="142"/>
      <c r="B290" s="143"/>
      <c r="C290" s="143"/>
    </row>
    <row r="291" spans="1:3" ht="15.5" x14ac:dyDescent="0.35">
      <c r="A291" s="142"/>
      <c r="B291" s="143"/>
      <c r="C291" s="143"/>
    </row>
    <row r="292" spans="1:3" ht="15.5" x14ac:dyDescent="0.35">
      <c r="A292" s="142"/>
      <c r="B292" s="143"/>
      <c r="C292" s="143"/>
    </row>
    <row r="293" spans="1:3" ht="15.5" x14ac:dyDescent="0.35">
      <c r="A293" s="142"/>
      <c r="B293" s="143"/>
      <c r="C293" s="143"/>
    </row>
    <row r="294" spans="1:3" ht="15.5" x14ac:dyDescent="0.35">
      <c r="A294" s="142"/>
      <c r="B294" s="143"/>
      <c r="C294" s="143"/>
    </row>
    <row r="295" spans="1:3" ht="15.5" x14ac:dyDescent="0.35">
      <c r="A295" s="142"/>
      <c r="B295" s="143"/>
      <c r="C295" s="143"/>
    </row>
    <row r="296" spans="1:3" ht="15.5" x14ac:dyDescent="0.35">
      <c r="A296" s="142"/>
      <c r="B296" s="143"/>
      <c r="C296" s="143"/>
    </row>
    <row r="297" spans="1:3" ht="15.5" x14ac:dyDescent="0.35">
      <c r="A297" s="142"/>
      <c r="B297" s="143"/>
      <c r="C297" s="143"/>
    </row>
    <row r="298" spans="1:3" ht="15.5" x14ac:dyDescent="0.35">
      <c r="A298" s="142"/>
      <c r="B298" s="143"/>
      <c r="C298" s="143"/>
    </row>
    <row r="299" spans="1:3" ht="15.5" x14ac:dyDescent="0.35">
      <c r="A299" s="142"/>
      <c r="B299" s="143"/>
      <c r="C299" s="143"/>
    </row>
    <row r="300" spans="1:3" ht="15.5" x14ac:dyDescent="0.35">
      <c r="A300" s="142"/>
      <c r="B300" s="143"/>
      <c r="C300" s="143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3</vt:i4>
      </vt:variant>
    </vt:vector>
  </HeadingPairs>
  <TitlesOfParts>
    <vt:vector size="12" baseType="lpstr">
      <vt:lpstr>Revisão</vt:lpstr>
      <vt:lpstr>Resumo</vt:lpstr>
      <vt:lpstr>Itens Não Mensuráveis</vt:lpstr>
      <vt:lpstr>Funções</vt:lpstr>
      <vt:lpstr>QuadroResumo</vt:lpstr>
      <vt:lpstr>Lista</vt:lpstr>
      <vt:lpstr>Estórias </vt:lpstr>
      <vt:lpstr>Regras</vt:lpstr>
      <vt:lpstr>PF por Funcionalidade</vt:lpstr>
      <vt:lpstr>Lista_Estorias</vt:lpstr>
      <vt:lpstr>ListaCTIS</vt:lpstr>
      <vt:lpstr>ListaTipos</vt:lpstr>
    </vt:vector>
  </TitlesOfParts>
  <Company>DATASUS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Planilha PF</dc:title>
  <dc:subject>Análise de Pontos de Função</dc:subject>
  <dc:creator>Flavio Marques Migowski Carvalho</dc:creator>
  <dc:description>Versão 4.0</dc:description>
  <cp:lastModifiedBy>Santos, Pedro Henrique Fernandes</cp:lastModifiedBy>
  <cp:revision>2</cp:revision>
  <dcterms:created xsi:type="dcterms:W3CDTF">2011-04-06T17:26:48Z</dcterms:created>
  <dcterms:modified xsi:type="dcterms:W3CDTF">2022-01-25T16:29:34Z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DATASUS</vt:lpwstr>
  </property>
  <property fmtid="{D5CDD505-2E9C-101B-9397-08002B2CF9AE}" pid="4" name="ContentTypeId">
    <vt:lpwstr>0x010100321A5DC1915D0D4894F46C165D7899C0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  <property fmtid="{D5CDD505-2E9C-101B-9397-08002B2CF9AE}" pid="10" name="_dlc_DocIdItemGuid">
    <vt:lpwstr>30299d3d-e149-4c88-aace-9b2531581c17</vt:lpwstr>
  </property>
</Properties>
</file>