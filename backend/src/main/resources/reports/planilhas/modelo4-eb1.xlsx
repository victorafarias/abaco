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drawings/drawing3.xml" ContentType="application/vnd.openxmlformats-officedocument.drawing+xml"/>
  <Override PartName="/xl/comments2.xml" ContentType="application/vnd.openxmlformats-officedocument.spreadsheetml.comments+xml"/>
  <Override PartName="/xl/drawings/drawing4.xml" ContentType="application/vnd.openxmlformats-officedocument.drawing+xml"/>
  <Override PartName="/xl/comments3.xml" ContentType="application/vnd.openxmlformats-officedocument.spreadsheetml.comments+xml"/>
  <Override PartName="/xl/drawings/drawing5.xml" ContentType="application/vnd.openxmlformats-officedocument.drawing+xml"/>
  <Override PartName="/xl/drawings/drawing6.xml" ContentType="application/vnd.openxmlformats-officedocument.drawing+xml"/>
  <Override PartName="/xl/comments4.xml" ContentType="application/vnd.openxmlformats-officedocument.spreadsheetml.comments+xml"/>
  <Override PartName="/xl/drawings/drawing7.xml" ContentType="application/vnd.openxmlformats-officedocument.drawing+xml"/>
  <Override PartName="/xl/comments5.xml" ContentType="application/vnd.openxmlformats-officedocument.spreadsheetml.comments+xml"/>
  <Override PartName="/xl/drawings/drawing8.xml" ContentType="application/vnd.openxmlformats-officedocument.drawing+xml"/>
  <Override PartName="/xl/comments6.xml" ContentType="application/vnd.openxmlformats-officedocument.spreadsheetml.comments+xml"/>
  <Override PartName="/xl/drawings/drawing9.xml" ContentType="application/vnd.openxmlformats-officedocument.drawing+xml"/>
  <Override PartName="/xl/charts/chart1.xml" ContentType="application/vnd.openxmlformats-officedocument.drawingml.chart+xml"/>
  <Override PartName="/xl/drawings/drawing10.xml" ContentType="application/vnd.openxmlformats-officedocument.drawing+xml"/>
  <Override PartName="/xl/drawings/drawing11.xml" ContentType="application/vnd.openxmlformats-officedocument.drawing+xml"/>
  <Override PartName="/xl/comments7.xml" ContentType="application/vnd.openxmlformats-officedocument.spreadsheetml.comments+xml"/>
  <Override PartName="/xl/drawings/drawing1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mc:Ignorable="x15 xr xr6 xr10">
  <fileVersion appName="xl" lastEdited="7" lowestEdited="7" rupBuild="20382"/>
  <workbookPr date1904="1" defaultThemeVersion="166925"/>
  <mc:AlternateContent xmlns:mc="http://schemas.openxmlformats.org/markup-compatibility/2006">
    <mc:Choice Requires="x15">
      <x15ac:absPath xmlns:x15ac="http://schemas.microsoft.com/office/spreadsheetml/2010/11/ac" url="C:\Users\Wilson\Downloads\"/>
    </mc:Choice>
  </mc:AlternateContent>
  <xr:revisionPtr revIDLastSave="0" documentId="8_{1703A27E-566E-4B4C-975C-EF1BB462D056}" xr6:coauthVersionLast="36" xr6:coauthVersionMax="36" xr10:uidLastSave="{00000000-0000-0000-0000-000000000000}"/>
  <bookViews>
    <workbookView xWindow="32770" yWindow="32770" windowWidth="19200" windowHeight="6930" tabRatio="500" activeTab="1"/>
  </bookViews>
  <sheets>
    <sheet name="Instrução de Uso" sheetId="1" r:id="rId1"/>
    <sheet name="Resumo" sheetId="2" r:id="rId2"/>
    <sheet name="AFP - Detalhada" sheetId="3" r:id="rId3"/>
    <sheet name="INM - Detalhada" sheetId="4" r:id="rId4"/>
    <sheet name="AFP - Estimativa" sheetId="5" r:id="rId5"/>
    <sheet name="UST" sheetId="6" state="hidden" r:id="rId6"/>
    <sheet name="INM - Estimativa" sheetId="7" r:id="rId7"/>
    <sheet name="AFP - Indicativa" sheetId="8" r:id="rId8"/>
    <sheet name="Redução de Prazo" sheetId="10" r:id="rId9"/>
    <sheet name="Esforço" sheetId="11" r:id="rId10"/>
    <sheet name="Tipo Projeto" sheetId="12" r:id="rId11"/>
    <sheet name="Funcionalidade" sheetId="15" r:id="rId12"/>
    <sheet name="Tipo Sistema" sheetId="13" state="hidden" r:id="rId13"/>
  </sheets>
  <externalReferences>
    <externalReference r:id="rId14"/>
  </externalReferences>
  <definedNames>
    <definedName name="_xlnm._FilterDatabase" localSheetId="2">'AFP - Detalhada'!$C$8:$S$383</definedName>
    <definedName name="_xlnm._FilterDatabase" localSheetId="4">'AFP - Estimativa'!$C$8:$K$383</definedName>
    <definedName name="_xlnm._FilterDatabase" localSheetId="7">'AFP - Indicativa'!$B$9:$I$109</definedName>
    <definedName name="_xlnm._FilterDatabase" localSheetId="3">'INM - Detalhada'!$C$10:$I$27</definedName>
    <definedName name="_xlnm._FilterDatabase" localSheetId="6">'INM - Estimativa'!$D$9:$K$26</definedName>
    <definedName name="_xlnm._FilterDatabase" localSheetId="5">UST!$C$9:$K$403</definedName>
    <definedName name="Deflatores">'Tipo Projeto'!$J$3:$J$71</definedName>
    <definedName name="INM">'[1]Tipo Projeto'!$J$3:INDEX('[1]Tipo Projeto'!$J$3:$J$100,COUNTIF('[1]Tipo Projeto'!$J$3:$J$100,"?*"))</definedName>
    <definedName name="Matriz_INM" localSheetId="11">'[1]Tipo Projeto'!$J$3:$L$40</definedName>
    <definedName name="Matriz_INM">'Tipo Projeto'!$J$3:$L$71</definedName>
    <definedName name="Matriz_UST" localSheetId="11">'[1]Tipo Projeto'!$D$3:INDEX('[1]Tipo Projeto'!$D$3:$D$100,COUNTIF('[1]Tipo Projeto'!$D$3:$D$100,"?*"))</definedName>
    <definedName name="Matriz_UST">'Tipo Projeto'!$D$2:$H$56</definedName>
    <definedName name="PF_INM" localSheetId="4">'AFP - Estimativa'!$K$384</definedName>
    <definedName name="PF_INM" localSheetId="11">'[1]AFP - INM'!$S$385</definedName>
    <definedName name="PF_INM">'AFP - Detalhada'!$S$384</definedName>
    <definedName name="PF_UST">UST!$D$5</definedName>
    <definedName name="Print_Titles_0" localSheetId="2">'AFP - Detalhada'!$1:$8</definedName>
    <definedName name="Print_Titles_0" localSheetId="4">'AFP - Estimativa'!$1:$8</definedName>
    <definedName name="Print_Titles_0" localSheetId="7">'AFP - Indicativa'!$1:$9</definedName>
    <definedName name="Print_Titles_0" localSheetId="3">'INM - Detalhada'!$1:$10</definedName>
    <definedName name="Print_Titles_0" localSheetId="6">'INM - Estimativa'!$1:$9</definedName>
    <definedName name="Print_Titles_0" localSheetId="5">UST!$1:$9</definedName>
    <definedName name="Print_Titles_0_0" localSheetId="2">'AFP - Detalhada'!$1:$8</definedName>
    <definedName name="Print_Titles_0_0" localSheetId="4">'AFP - Estimativa'!$1:$8</definedName>
    <definedName name="Print_Titles_0_0" localSheetId="7">'AFP - Indicativa'!$1:$9</definedName>
    <definedName name="Print_Titles_0_0" localSheetId="3">'INM - Detalhada'!$1:$10</definedName>
    <definedName name="Print_Titles_0_0" localSheetId="6">'INM - Estimativa'!$1:$9</definedName>
    <definedName name="Print_Titles_0_0" localSheetId="5">UST!$1:$9</definedName>
    <definedName name="Print_Titles_0_0_0" localSheetId="2">'AFP - Detalhada'!$1:$8</definedName>
    <definedName name="Print_Titles_0_0_0" localSheetId="4">'AFP - Estimativa'!$1:$8</definedName>
    <definedName name="Print_Titles_0_0_0" localSheetId="7">'AFP - Indicativa'!$1:$9</definedName>
    <definedName name="Print_Titles_0_0_0" localSheetId="3">'INM - Detalhada'!$1:$10</definedName>
    <definedName name="Print_Titles_0_0_0" localSheetId="6">'INM - Estimativa'!$1:$9</definedName>
    <definedName name="Print_Titles_0_0_0" localSheetId="5">UST!$1:$9</definedName>
    <definedName name="Print_Titles_0_0_0_0" localSheetId="2">'AFP - Detalhada'!$1:$8</definedName>
    <definedName name="Print_Titles_0_0_0_0" localSheetId="4">'AFP - Estimativa'!$1:$8</definedName>
    <definedName name="Print_Titles_0_0_0_0" localSheetId="7">'AFP - Indicativa'!$1:$9</definedName>
    <definedName name="Print_Titles_0_0_0_0" localSheetId="3">'INM - Detalhada'!$1:$10</definedName>
    <definedName name="Print_Titles_0_0_0_0" localSheetId="6">'INM - Estimativa'!$1:$9</definedName>
    <definedName name="Print_Titles_0_0_0_0" localSheetId="5">UST!$1:$9</definedName>
    <definedName name="Print_Titles_0_0_0_0_0" localSheetId="2">'AFP - Detalhada'!$1:$8</definedName>
    <definedName name="Print_Titles_0_0_0_0_0" localSheetId="4">'AFP - Estimativa'!$1:$8</definedName>
    <definedName name="Print_Titles_0_0_0_0_0" localSheetId="7">'AFP - Indicativa'!$1:$9</definedName>
    <definedName name="Print_Titles_0_0_0_0_0" localSheetId="3">'INM - Detalhada'!$1:$10</definedName>
    <definedName name="Print_Titles_0_0_0_0_0" localSheetId="6">'INM - Estimativa'!$1:$9</definedName>
    <definedName name="Print_Titles_0_0_0_0_0" localSheetId="5">UST!$1:$9</definedName>
    <definedName name="Print_Titles_0_0_0_0_0_0" localSheetId="2">'AFP - Detalhada'!$1:$8</definedName>
    <definedName name="Print_Titles_0_0_0_0_0_0" localSheetId="4">'AFP - Estimativa'!$1:$8</definedName>
    <definedName name="Print_Titles_0_0_0_0_0_0" localSheetId="7">'AFP - Indicativa'!$1:$9</definedName>
    <definedName name="Print_Titles_0_0_0_0_0_0" localSheetId="3">'INM - Detalhada'!$1:$10</definedName>
    <definedName name="Print_Titles_0_0_0_0_0_0" localSheetId="6">'INM - Estimativa'!$1:$9</definedName>
    <definedName name="Print_Titles_0_0_0_0_0_0" localSheetId="5">UST!$1:$9</definedName>
    <definedName name="Tipo_Contagem" localSheetId="11">[1]Resumo!$B$5</definedName>
    <definedName name="Tipo_Contagem">Resumo!$B$5</definedName>
    <definedName name="TipoProjeto" localSheetId="11">'[1]Tipo Projeto'!$A$3:INDEX('[1]Tipo Projeto'!$A$3:$A$100,COUNTIF('[1]Tipo Projeto'!$A$3:$A$100,"?*"))</definedName>
    <definedName name="TipoProjeto">'Tipo Projeto'!$A$3:$A$37</definedName>
    <definedName name="TipoSistema">'Tipo Sistema'!$A$2:$A$8</definedName>
    <definedName name="_xlnm.Print_Titles" localSheetId="2">'AFP - Detalhada'!$1:$8</definedName>
    <definedName name="_xlnm.Print_Titles" localSheetId="4">'AFP - Estimativa'!$1:$8</definedName>
    <definedName name="_xlnm.Print_Titles" localSheetId="7">'AFP - Indicativa'!$1:$9</definedName>
    <definedName name="_xlnm.Print_Titles" localSheetId="3">'INM - Detalhada'!$1:$10</definedName>
    <definedName name="_xlnm.Print_Titles" localSheetId="6">'INM - Estimativa'!$1:$9</definedName>
    <definedName name="_xlnm.Print_Titles" localSheetId="5">UST!$1:$9</definedName>
    <definedName name="UST" localSheetId="11">'[1]Tipo Projeto'!$D$2:$D$53</definedName>
    <definedName name="UST">'Tipo Projeto'!$D$2:$D$56</definedName>
  </definedNames>
  <calcPr calcId="191029" fullCalcOnLoad="1" iterateDelta="1E-4"/>
</workbook>
</file>

<file path=xl/calcChain.xml><?xml version="1.0" encoding="utf-8"?>
<calcChain xmlns="http://schemas.openxmlformats.org/spreadsheetml/2006/main">
  <c r="A1" i="15" l="1"/>
  <c r="D195" i="12"/>
  <c r="D194" i="12"/>
  <c r="D193" i="12"/>
  <c r="D192" i="12"/>
  <c r="D191" i="12"/>
  <c r="D190" i="12"/>
  <c r="D189" i="12"/>
  <c r="D188" i="12"/>
  <c r="D187" i="12"/>
  <c r="D186" i="12"/>
  <c r="D185" i="12"/>
  <c r="D184" i="12"/>
  <c r="D183" i="12"/>
  <c r="D182" i="12"/>
  <c r="D181" i="12"/>
  <c r="D180" i="12"/>
  <c r="D179" i="12"/>
  <c r="D178" i="12"/>
  <c r="D177" i="12"/>
  <c r="D176" i="12"/>
  <c r="D175" i="12"/>
  <c r="D174" i="12"/>
  <c r="D173" i="12"/>
  <c r="B22" i="11"/>
  <c r="C22" i="11" s="1"/>
  <c r="B21" i="11"/>
  <c r="C21" i="11" s="1"/>
  <c r="B20" i="11"/>
  <c r="C20" i="11" s="1"/>
  <c r="B19" i="11"/>
  <c r="C19" i="11" s="1"/>
  <c r="E19" i="11" s="1"/>
  <c r="C18" i="11"/>
  <c r="B18" i="11"/>
  <c r="B17" i="11"/>
  <c r="C17" i="11"/>
  <c r="H17" i="11" s="1"/>
  <c r="B16" i="11"/>
  <c r="C16" i="11" s="1"/>
  <c r="B15" i="11"/>
  <c r="C15" i="11" s="1"/>
  <c r="B14" i="11"/>
  <c r="C14" i="11" s="1"/>
  <c r="F14" i="11" s="1"/>
  <c r="B13" i="11"/>
  <c r="C13" i="11" s="1"/>
  <c r="G13" i="11" s="1"/>
  <c r="B12" i="11"/>
  <c r="C12" i="11" s="1"/>
  <c r="D12" i="11" s="1"/>
  <c r="B11" i="11"/>
  <c r="C11" i="11" s="1"/>
  <c r="B10" i="11"/>
  <c r="C10" i="11" s="1"/>
  <c r="B9" i="11"/>
  <c r="C9" i="11" s="1"/>
  <c r="B8" i="11"/>
  <c r="C8" i="11" s="1"/>
  <c r="B7" i="11"/>
  <c r="C7" i="11" s="1"/>
  <c r="I7" i="11" s="1"/>
  <c r="B6" i="11"/>
  <c r="C6" i="11" s="1"/>
  <c r="E6" i="11" s="1"/>
  <c r="I5" i="11"/>
  <c r="H5" i="11"/>
  <c r="G5" i="11"/>
  <c r="F5" i="11"/>
  <c r="E5" i="11"/>
  <c r="E18" i="11" s="1"/>
  <c r="D5" i="11"/>
  <c r="A1" i="11"/>
  <c r="R115" i="10"/>
  <c r="Q115" i="10"/>
  <c r="R114" i="10"/>
  <c r="Q114" i="10"/>
  <c r="R113" i="10"/>
  <c r="Q113" i="10"/>
  <c r="R112" i="10"/>
  <c r="Q112" i="10"/>
  <c r="R111" i="10"/>
  <c r="Q111" i="10"/>
  <c r="R110" i="10"/>
  <c r="Q110" i="10"/>
  <c r="R109" i="10"/>
  <c r="Q109" i="10"/>
  <c r="R108" i="10"/>
  <c r="Q108" i="10"/>
  <c r="R107" i="10"/>
  <c r="Q107" i="10"/>
  <c r="R106" i="10"/>
  <c r="Q106" i="10"/>
  <c r="R105" i="10"/>
  <c r="Q105" i="10"/>
  <c r="R104" i="10"/>
  <c r="Q104" i="10"/>
  <c r="R103" i="10"/>
  <c r="Q103" i="10"/>
  <c r="R102" i="10"/>
  <c r="Q102" i="10"/>
  <c r="R101" i="10"/>
  <c r="Q101" i="10"/>
  <c r="R100" i="10"/>
  <c r="Q100" i="10"/>
  <c r="R99" i="10"/>
  <c r="Q99" i="10"/>
  <c r="R98" i="10"/>
  <c r="Q98" i="10"/>
  <c r="R97" i="10"/>
  <c r="Q97" i="10"/>
  <c r="R96" i="10"/>
  <c r="Q96" i="10"/>
  <c r="R95" i="10"/>
  <c r="Q95" i="10"/>
  <c r="R94" i="10"/>
  <c r="Q94" i="10"/>
  <c r="R93" i="10"/>
  <c r="Q93" i="10"/>
  <c r="R92" i="10"/>
  <c r="Q92" i="10"/>
  <c r="R91" i="10"/>
  <c r="Q91" i="10"/>
  <c r="R90" i="10"/>
  <c r="Q90" i="10"/>
  <c r="R89" i="10"/>
  <c r="Q89" i="10"/>
  <c r="R88" i="10"/>
  <c r="Q88" i="10"/>
  <c r="R87" i="10"/>
  <c r="Q87" i="10"/>
  <c r="R86" i="10"/>
  <c r="Q86" i="10"/>
  <c r="R85" i="10"/>
  <c r="Q85" i="10"/>
  <c r="R84" i="10"/>
  <c r="Q84" i="10"/>
  <c r="R83" i="10"/>
  <c r="Q83" i="10"/>
  <c r="R82" i="10"/>
  <c r="Q82" i="10"/>
  <c r="R81" i="10"/>
  <c r="Q81" i="10"/>
  <c r="R80" i="10"/>
  <c r="Q80" i="10"/>
  <c r="R79" i="10"/>
  <c r="Q79" i="10"/>
  <c r="R78" i="10"/>
  <c r="Q78" i="10"/>
  <c r="R77" i="10"/>
  <c r="Q77" i="10"/>
  <c r="R76" i="10"/>
  <c r="Q76" i="10"/>
  <c r="R75" i="10"/>
  <c r="Q75" i="10"/>
  <c r="R74" i="10"/>
  <c r="Q74" i="10"/>
  <c r="R73" i="10"/>
  <c r="Q73" i="10"/>
  <c r="R72" i="10"/>
  <c r="Q72" i="10"/>
  <c r="R71" i="10"/>
  <c r="Q71" i="10"/>
  <c r="R70" i="10"/>
  <c r="Q70" i="10"/>
  <c r="R69" i="10"/>
  <c r="Q69" i="10"/>
  <c r="R68" i="10"/>
  <c r="Q68" i="10"/>
  <c r="R67" i="10"/>
  <c r="Q67" i="10"/>
  <c r="R66" i="10"/>
  <c r="Q66" i="10"/>
  <c r="R65" i="10"/>
  <c r="Q65" i="10"/>
  <c r="R64" i="10"/>
  <c r="Q64" i="10"/>
  <c r="R63" i="10"/>
  <c r="Q63" i="10"/>
  <c r="R62" i="10"/>
  <c r="Q62" i="10"/>
  <c r="R61" i="10"/>
  <c r="Q61" i="10"/>
  <c r="R60" i="10"/>
  <c r="Q60" i="10"/>
  <c r="R59" i="10"/>
  <c r="Q59" i="10"/>
  <c r="R58" i="10"/>
  <c r="Q58" i="10"/>
  <c r="R57" i="10"/>
  <c r="Q57" i="10"/>
  <c r="R56" i="10"/>
  <c r="Q56" i="10"/>
  <c r="R55" i="10"/>
  <c r="Q55" i="10"/>
  <c r="R54" i="10"/>
  <c r="Q54" i="10"/>
  <c r="R53" i="10"/>
  <c r="Q53" i="10"/>
  <c r="R52" i="10"/>
  <c r="Q52" i="10"/>
  <c r="R51" i="10"/>
  <c r="R50" i="10"/>
  <c r="Q50" i="10"/>
  <c r="R49" i="10"/>
  <c r="Q49" i="10"/>
  <c r="R48" i="10"/>
  <c r="Q48" i="10"/>
  <c r="R47" i="10"/>
  <c r="Q47" i="10"/>
  <c r="R46" i="10"/>
  <c r="R45" i="10"/>
  <c r="Q45" i="10"/>
  <c r="R44" i="10"/>
  <c r="Q44" i="10"/>
  <c r="R43" i="10"/>
  <c r="Q43" i="10"/>
  <c r="R42" i="10"/>
  <c r="Q42" i="10"/>
  <c r="R41" i="10"/>
  <c r="Q41" i="10"/>
  <c r="R40" i="10"/>
  <c r="Q40" i="10"/>
  <c r="R39" i="10"/>
  <c r="Q39" i="10"/>
  <c r="R38" i="10"/>
  <c r="Q38" i="10"/>
  <c r="R37" i="10"/>
  <c r="Q37" i="10"/>
  <c r="R36" i="10"/>
  <c r="Q36" i="10"/>
  <c r="R35" i="10"/>
  <c r="Q35" i="10"/>
  <c r="R34" i="10"/>
  <c r="Q34" i="10"/>
  <c r="R33" i="10"/>
  <c r="Q33" i="10"/>
  <c r="R32" i="10"/>
  <c r="Q32" i="10"/>
  <c r="R31" i="10"/>
  <c r="Q31" i="10"/>
  <c r="R30" i="10"/>
  <c r="Q30" i="10"/>
  <c r="R29" i="10"/>
  <c r="Q29" i="10"/>
  <c r="R28" i="10"/>
  <c r="Q28" i="10"/>
  <c r="R27" i="10"/>
  <c r="Q27" i="10"/>
  <c r="N18" i="10"/>
  <c r="N17" i="10"/>
  <c r="N16" i="10"/>
  <c r="E16" i="10"/>
  <c r="B16" i="10"/>
  <c r="F14" i="10" s="1"/>
  <c r="N15" i="10"/>
  <c r="N14" i="10"/>
  <c r="N13" i="10"/>
  <c r="G13" i="10"/>
  <c r="H13" i="10" s="1"/>
  <c r="G14" i="10" s="1"/>
  <c r="H14" i="10" s="1"/>
  <c r="G15" i="10" s="1"/>
  <c r="H15" i="10" s="1"/>
  <c r="H10" i="10"/>
  <c r="G11" i="10"/>
  <c r="H11" i="10" s="1"/>
  <c r="G12" i="10" s="1"/>
  <c r="H12" i="10" s="1"/>
  <c r="P6" i="10"/>
  <c r="H5" i="10"/>
  <c r="I108" i="8"/>
  <c r="I107" i="8"/>
  <c r="I106" i="8"/>
  <c r="I105" i="8"/>
  <c r="I104" i="8"/>
  <c r="I103" i="8"/>
  <c r="I102" i="8"/>
  <c r="I101" i="8"/>
  <c r="I100" i="8"/>
  <c r="I99" i="8"/>
  <c r="I98" i="8"/>
  <c r="I97" i="8"/>
  <c r="I96" i="8"/>
  <c r="I95" i="8"/>
  <c r="I94" i="8"/>
  <c r="I93" i="8"/>
  <c r="I92" i="8"/>
  <c r="I91" i="8"/>
  <c r="I90" i="8"/>
  <c r="I89" i="8"/>
  <c r="I88" i="8"/>
  <c r="I87" i="8"/>
  <c r="I86" i="8"/>
  <c r="I85" i="8"/>
  <c r="I84" i="8"/>
  <c r="I83" i="8"/>
  <c r="I82" i="8"/>
  <c r="I81" i="8"/>
  <c r="I80" i="8"/>
  <c r="I79" i="8"/>
  <c r="I78" i="8"/>
  <c r="I77" i="8"/>
  <c r="I76" i="8"/>
  <c r="I75" i="8"/>
  <c r="I74" i="8"/>
  <c r="I73" i="8"/>
  <c r="I72" i="8"/>
  <c r="I71" i="8"/>
  <c r="I70" i="8"/>
  <c r="I69" i="8"/>
  <c r="I68" i="8"/>
  <c r="I67" i="8"/>
  <c r="I66" i="8"/>
  <c r="I65" i="8"/>
  <c r="I64" i="8"/>
  <c r="I63" i="8"/>
  <c r="I62" i="8"/>
  <c r="I61" i="8"/>
  <c r="I60" i="8"/>
  <c r="I59" i="8"/>
  <c r="I58" i="8"/>
  <c r="I57" i="8"/>
  <c r="I56" i="8"/>
  <c r="I55" i="8"/>
  <c r="I54" i="8"/>
  <c r="I53" i="8"/>
  <c r="I52" i="8"/>
  <c r="I51" i="8"/>
  <c r="I50" i="8"/>
  <c r="I49" i="8"/>
  <c r="I48" i="8"/>
  <c r="I47" i="8"/>
  <c r="I46" i="8"/>
  <c r="I45" i="8"/>
  <c r="I44" i="8"/>
  <c r="I43" i="8"/>
  <c r="I42" i="8"/>
  <c r="I41" i="8"/>
  <c r="I40" i="8"/>
  <c r="I39" i="8"/>
  <c r="I38" i="8"/>
  <c r="I37" i="8"/>
  <c r="I36" i="8"/>
  <c r="I35" i="8"/>
  <c r="I34" i="8"/>
  <c r="I33" i="8"/>
  <c r="I32" i="8"/>
  <c r="I31" i="8"/>
  <c r="I30" i="8"/>
  <c r="I29" i="8"/>
  <c r="I28" i="8"/>
  <c r="I27" i="8"/>
  <c r="I26" i="8"/>
  <c r="I25" i="8"/>
  <c r="I24" i="8"/>
  <c r="I23" i="8"/>
  <c r="I22" i="8"/>
  <c r="I21" i="8"/>
  <c r="I20" i="8"/>
  <c r="I19" i="8"/>
  <c r="I18" i="8"/>
  <c r="I17" i="8"/>
  <c r="I16" i="8"/>
  <c r="I15" i="8"/>
  <c r="I14" i="8"/>
  <c r="I110" i="8" s="1"/>
  <c r="E5" i="8" s="1"/>
  <c r="I13" i="8"/>
  <c r="I12" i="8"/>
  <c r="I11" i="8"/>
  <c r="I24" i="7"/>
  <c r="J24" i="7" s="1"/>
  <c r="C24" i="7"/>
  <c r="K24" i="7" s="1"/>
  <c r="I23" i="7"/>
  <c r="J23" i="7"/>
  <c r="C23" i="7"/>
  <c r="I22" i="7"/>
  <c r="J22" i="7"/>
  <c r="C22" i="7"/>
  <c r="K22" i="7"/>
  <c r="J21" i="7"/>
  <c r="I21" i="7"/>
  <c r="C21" i="7"/>
  <c r="I20" i="7"/>
  <c r="C20" i="7"/>
  <c r="I19" i="7"/>
  <c r="J19" i="7"/>
  <c r="C19" i="7"/>
  <c r="K19" i="7"/>
  <c r="J18" i="7"/>
  <c r="I18" i="7"/>
  <c r="C18" i="7"/>
  <c r="K18" i="7" s="1"/>
  <c r="I17" i="7"/>
  <c r="J17" i="7"/>
  <c r="C17" i="7"/>
  <c r="K16" i="7"/>
  <c r="I16" i="7"/>
  <c r="J16" i="7"/>
  <c r="C16" i="7"/>
  <c r="K15" i="7"/>
  <c r="I15" i="7"/>
  <c r="J15" i="7"/>
  <c r="C15" i="7"/>
  <c r="I14" i="7"/>
  <c r="J14" i="7" s="1"/>
  <c r="C14" i="7"/>
  <c r="I13" i="7"/>
  <c r="J13" i="7"/>
  <c r="C13" i="7"/>
  <c r="K13" i="7"/>
  <c r="I12" i="7"/>
  <c r="J12" i="7"/>
  <c r="C12" i="7"/>
  <c r="K11" i="7"/>
  <c r="I11" i="7"/>
  <c r="J11" i="7"/>
  <c r="C11" i="7"/>
  <c r="J402" i="6"/>
  <c r="K402" i="6" s="1"/>
  <c r="J401" i="6"/>
  <c r="K401" i="6"/>
  <c r="J400" i="6"/>
  <c r="K400" i="6" s="1"/>
  <c r="J399" i="6"/>
  <c r="K399" i="6" s="1"/>
  <c r="J398" i="6"/>
  <c r="K398" i="6" s="1"/>
  <c r="J397" i="6"/>
  <c r="K397" i="6"/>
  <c r="K396" i="6"/>
  <c r="J396" i="6"/>
  <c r="J395" i="6"/>
  <c r="K395" i="6" s="1"/>
  <c r="J394" i="6"/>
  <c r="K394" i="6" s="1"/>
  <c r="J393" i="6"/>
  <c r="K393" i="6" s="1"/>
  <c r="J392" i="6"/>
  <c r="K392" i="6" s="1"/>
  <c r="J391" i="6"/>
  <c r="K391" i="6"/>
  <c r="J390" i="6"/>
  <c r="K390" i="6" s="1"/>
  <c r="J389" i="6"/>
  <c r="K389" i="6" s="1"/>
  <c r="J388" i="6"/>
  <c r="K388" i="6" s="1"/>
  <c r="J387" i="6"/>
  <c r="K387" i="6"/>
  <c r="J386" i="6"/>
  <c r="K386" i="6" s="1"/>
  <c r="J385" i="6"/>
  <c r="K385" i="6" s="1"/>
  <c r="K384" i="6"/>
  <c r="J384" i="6"/>
  <c r="J383" i="6"/>
  <c r="K383" i="6" s="1"/>
  <c r="J382" i="6"/>
  <c r="K382" i="6" s="1"/>
  <c r="J381" i="6"/>
  <c r="K381" i="6"/>
  <c r="K380" i="6"/>
  <c r="J380" i="6"/>
  <c r="J379" i="6"/>
  <c r="K379" i="6"/>
  <c r="J378" i="6"/>
  <c r="K378" i="6" s="1"/>
  <c r="J377" i="6"/>
  <c r="K377" i="6" s="1"/>
  <c r="J376" i="6"/>
  <c r="K376" i="6" s="1"/>
  <c r="J375" i="6"/>
  <c r="K375" i="6"/>
  <c r="K374" i="6"/>
  <c r="J374" i="6"/>
  <c r="J373" i="6"/>
  <c r="K373" i="6"/>
  <c r="K372" i="6"/>
  <c r="J372" i="6"/>
  <c r="J371" i="6"/>
  <c r="K371" i="6" s="1"/>
  <c r="J370" i="6"/>
  <c r="K370" i="6" s="1"/>
  <c r="J369" i="6"/>
  <c r="K369" i="6" s="1"/>
  <c r="K368" i="6"/>
  <c r="J368" i="6"/>
  <c r="J367" i="6"/>
  <c r="K367" i="6" s="1"/>
  <c r="K366" i="6"/>
  <c r="J366" i="6"/>
  <c r="J365" i="6"/>
  <c r="K365" i="6" s="1"/>
  <c r="J364" i="6"/>
  <c r="K364" i="6" s="1"/>
  <c r="J363" i="6"/>
  <c r="K363" i="6"/>
  <c r="J362" i="6"/>
  <c r="K362" i="6" s="1"/>
  <c r="J361" i="6"/>
  <c r="K361" i="6" s="1"/>
  <c r="J360" i="6"/>
  <c r="K360" i="6" s="1"/>
  <c r="J359" i="6"/>
  <c r="K359" i="6"/>
  <c r="J358" i="6"/>
  <c r="K358" i="6" s="1"/>
  <c r="J357" i="6"/>
  <c r="K357" i="6" s="1"/>
  <c r="K356" i="6"/>
  <c r="J356" i="6"/>
  <c r="J355" i="6"/>
  <c r="K355" i="6" s="1"/>
  <c r="J354" i="6"/>
  <c r="K354" i="6" s="1"/>
  <c r="J353" i="6"/>
  <c r="K353" i="6"/>
  <c r="J352" i="6"/>
  <c r="K352" i="6" s="1"/>
  <c r="J351" i="6"/>
  <c r="K351" i="6" s="1"/>
  <c r="J350" i="6"/>
  <c r="K350" i="6" s="1"/>
  <c r="J349" i="6"/>
  <c r="K349" i="6"/>
  <c r="K348" i="6"/>
  <c r="J348" i="6"/>
  <c r="J347" i="6"/>
  <c r="K347" i="6" s="1"/>
  <c r="J346" i="6"/>
  <c r="K346" i="6" s="1"/>
  <c r="J345" i="6"/>
  <c r="K345" i="6" s="1"/>
  <c r="J344" i="6"/>
  <c r="K344" i="6" s="1"/>
  <c r="J343" i="6"/>
  <c r="K343" i="6"/>
  <c r="J342" i="6"/>
  <c r="K342" i="6" s="1"/>
  <c r="K341" i="6"/>
  <c r="J341" i="6"/>
  <c r="J340" i="6"/>
  <c r="K340" i="6" s="1"/>
  <c r="J339" i="6"/>
  <c r="K339" i="6"/>
  <c r="J338" i="6"/>
  <c r="K338" i="6" s="1"/>
  <c r="J337" i="6"/>
  <c r="K337" i="6" s="1"/>
  <c r="J336" i="6"/>
  <c r="K336" i="6" s="1"/>
  <c r="J335" i="6"/>
  <c r="K335" i="6"/>
  <c r="J334" i="6"/>
  <c r="K334" i="6" s="1"/>
  <c r="J333" i="6"/>
  <c r="K333" i="6" s="1"/>
  <c r="K332" i="6"/>
  <c r="J332" i="6"/>
  <c r="J331" i="6"/>
  <c r="K331" i="6" s="1"/>
  <c r="J330" i="6"/>
  <c r="K330" i="6" s="1"/>
  <c r="J329" i="6"/>
  <c r="K329" i="6"/>
  <c r="J328" i="6"/>
  <c r="K328" i="6" s="1"/>
  <c r="J327" i="6"/>
  <c r="K327" i="6" s="1"/>
  <c r="J326" i="6"/>
  <c r="K326" i="6" s="1"/>
  <c r="J325" i="6"/>
  <c r="K325" i="6"/>
  <c r="K324" i="6"/>
  <c r="J324" i="6"/>
  <c r="J323" i="6"/>
  <c r="K323" i="6" s="1"/>
  <c r="J322" i="6"/>
  <c r="K322" i="6" s="1"/>
  <c r="J321" i="6"/>
  <c r="K321" i="6" s="1"/>
  <c r="J320" i="6"/>
  <c r="K320" i="6" s="1"/>
  <c r="J319" i="6"/>
  <c r="K319" i="6"/>
  <c r="J318" i="6"/>
  <c r="K318" i="6" s="1"/>
  <c r="K317" i="6"/>
  <c r="J317" i="6"/>
  <c r="J316" i="6"/>
  <c r="K316" i="6" s="1"/>
  <c r="J315" i="6"/>
  <c r="K315" i="6"/>
  <c r="J314" i="6"/>
  <c r="K314" i="6" s="1"/>
  <c r="J313" i="6"/>
  <c r="K313" i="6" s="1"/>
  <c r="K312" i="6"/>
  <c r="J312" i="6"/>
  <c r="J311" i="6"/>
  <c r="K311" i="6" s="1"/>
  <c r="J310" i="6"/>
  <c r="K310" i="6" s="1"/>
  <c r="J309" i="6"/>
  <c r="K309" i="6"/>
  <c r="K308" i="6"/>
  <c r="J308" i="6"/>
  <c r="J307" i="6"/>
  <c r="K307" i="6"/>
  <c r="J306" i="6"/>
  <c r="K306" i="6" s="1"/>
  <c r="J305" i="6"/>
  <c r="K305" i="6" s="1"/>
  <c r="J304" i="6"/>
  <c r="K304" i="6" s="1"/>
  <c r="J303" i="6"/>
  <c r="K303" i="6"/>
  <c r="K302" i="6"/>
  <c r="J302" i="6"/>
  <c r="J301" i="6"/>
  <c r="K301" i="6"/>
  <c r="K300" i="6"/>
  <c r="J300" i="6"/>
  <c r="J299" i="6"/>
  <c r="K299" i="6" s="1"/>
  <c r="J298" i="6"/>
  <c r="K298" i="6" s="1"/>
  <c r="J297" i="6"/>
  <c r="K297" i="6" s="1"/>
  <c r="K296" i="6"/>
  <c r="J296" i="6"/>
  <c r="J295" i="6"/>
  <c r="K295" i="6" s="1"/>
  <c r="K294" i="6"/>
  <c r="J294" i="6"/>
  <c r="J293" i="6"/>
  <c r="K293" i="6" s="1"/>
  <c r="J292" i="6"/>
  <c r="K292" i="6" s="1"/>
  <c r="J291" i="6"/>
  <c r="K291" i="6"/>
  <c r="J290" i="6"/>
  <c r="K290" i="6" s="1"/>
  <c r="J289" i="6"/>
  <c r="K289" i="6" s="1"/>
  <c r="J288" i="6"/>
  <c r="K288" i="6" s="1"/>
  <c r="J287" i="6"/>
  <c r="K287" i="6"/>
  <c r="J286" i="6"/>
  <c r="K286" i="6" s="1"/>
  <c r="J285" i="6"/>
  <c r="K285" i="6" s="1"/>
  <c r="K284" i="6"/>
  <c r="J284" i="6"/>
  <c r="J283" i="6"/>
  <c r="K283" i="6" s="1"/>
  <c r="J282" i="6"/>
  <c r="K282" i="6" s="1"/>
  <c r="J281" i="6"/>
  <c r="K281" i="6"/>
  <c r="J280" i="6"/>
  <c r="K280" i="6" s="1"/>
  <c r="J279" i="6"/>
  <c r="K279" i="6" s="1"/>
  <c r="J278" i="6"/>
  <c r="K278" i="6" s="1"/>
  <c r="J277" i="6"/>
  <c r="K277" i="6"/>
  <c r="K276" i="6"/>
  <c r="J276" i="6"/>
  <c r="J275" i="6"/>
  <c r="K275" i="6" s="1"/>
  <c r="J274" i="6"/>
  <c r="K274" i="6" s="1"/>
  <c r="J273" i="6"/>
  <c r="K273" i="6" s="1"/>
  <c r="J272" i="6"/>
  <c r="K272" i="6" s="1"/>
  <c r="J271" i="6"/>
  <c r="K271" i="6"/>
  <c r="K270" i="6"/>
  <c r="J270" i="6"/>
  <c r="J269" i="6"/>
  <c r="K269" i="6" s="1"/>
  <c r="J268" i="6"/>
  <c r="K268" i="6" s="1"/>
  <c r="J267" i="6"/>
  <c r="K267" i="6" s="1"/>
  <c r="J266" i="6"/>
  <c r="K266" i="6" s="1"/>
  <c r="J265" i="6"/>
  <c r="K265" i="6"/>
  <c r="J264" i="6"/>
  <c r="K264" i="6" s="1"/>
  <c r="J263" i="6"/>
  <c r="K263" i="6" s="1"/>
  <c r="J262" i="6"/>
  <c r="K262" i="6" s="1"/>
  <c r="J261" i="6"/>
  <c r="K261" i="6"/>
  <c r="K260" i="6"/>
  <c r="J260" i="6"/>
  <c r="J259" i="6"/>
  <c r="K259" i="6"/>
  <c r="J258" i="6"/>
  <c r="K258" i="6" s="1"/>
  <c r="J257" i="6"/>
  <c r="K257" i="6" s="1"/>
  <c r="J256" i="6"/>
  <c r="K256" i="6" s="1"/>
  <c r="J255" i="6"/>
  <c r="K255" i="6"/>
  <c r="J254" i="6"/>
  <c r="K254" i="6" s="1"/>
  <c r="J253" i="6"/>
  <c r="K253" i="6" s="1"/>
  <c r="K252" i="6"/>
  <c r="J252" i="6"/>
  <c r="K251" i="6"/>
  <c r="J251" i="6"/>
  <c r="J250" i="6"/>
  <c r="K250" i="6" s="1"/>
  <c r="J249" i="6"/>
  <c r="K249" i="6"/>
  <c r="J248" i="6"/>
  <c r="K248" i="6" s="1"/>
  <c r="J247" i="6"/>
  <c r="K247" i="6" s="1"/>
  <c r="K246" i="6"/>
  <c r="J246" i="6"/>
  <c r="J245" i="6"/>
  <c r="K245" i="6" s="1"/>
  <c r="J244" i="6"/>
  <c r="K244" i="6" s="1"/>
  <c r="J243" i="6"/>
  <c r="K243" i="6"/>
  <c r="J242" i="6"/>
  <c r="K242" i="6" s="1"/>
  <c r="J241" i="6"/>
  <c r="K241" i="6" s="1"/>
  <c r="K240" i="6"/>
  <c r="J240" i="6"/>
  <c r="J239" i="6"/>
  <c r="K239" i="6" s="1"/>
  <c r="J238" i="6"/>
  <c r="K238" i="6" s="1"/>
  <c r="J237" i="6"/>
  <c r="K237" i="6"/>
  <c r="K236" i="6"/>
  <c r="J236" i="6"/>
  <c r="J235" i="6"/>
  <c r="K235" i="6"/>
  <c r="J234" i="6"/>
  <c r="K234" i="6" s="1"/>
  <c r="J233" i="6"/>
  <c r="K233" i="6" s="1"/>
  <c r="J232" i="6"/>
  <c r="K232" i="6" s="1"/>
  <c r="J231" i="6"/>
  <c r="K231" i="6"/>
  <c r="K230" i="6"/>
  <c r="J230" i="6"/>
  <c r="J229" i="6"/>
  <c r="K229" i="6"/>
  <c r="K228" i="6"/>
  <c r="J228" i="6"/>
  <c r="J227" i="6"/>
  <c r="K227" i="6" s="1"/>
  <c r="J226" i="6"/>
  <c r="K226" i="6" s="1"/>
  <c r="J225" i="6"/>
  <c r="K225" i="6" s="1"/>
  <c r="K224" i="6"/>
  <c r="J224" i="6"/>
  <c r="J223" i="6"/>
  <c r="K223" i="6" s="1"/>
  <c r="K222" i="6"/>
  <c r="J222" i="6"/>
  <c r="J221" i="6"/>
  <c r="K221" i="6" s="1"/>
  <c r="J220" i="6"/>
  <c r="K220" i="6" s="1"/>
  <c r="J219" i="6"/>
  <c r="K219" i="6"/>
  <c r="J218" i="6"/>
  <c r="K218" i="6" s="1"/>
  <c r="J217" i="6"/>
  <c r="K217" i="6" s="1"/>
  <c r="J216" i="6"/>
  <c r="K216" i="6" s="1"/>
  <c r="J215" i="6"/>
  <c r="K215" i="6"/>
  <c r="J214" i="6"/>
  <c r="K214" i="6" s="1"/>
  <c r="J213" i="6"/>
  <c r="K213" i="6" s="1"/>
  <c r="K212" i="6"/>
  <c r="J212" i="6"/>
  <c r="J211" i="6"/>
  <c r="K211" i="6" s="1"/>
  <c r="J210" i="6"/>
  <c r="K210" i="6" s="1"/>
  <c r="J209" i="6"/>
  <c r="K209" i="6"/>
  <c r="J208" i="6"/>
  <c r="K208" i="6" s="1"/>
  <c r="J207" i="6"/>
  <c r="K207" i="6" s="1"/>
  <c r="J206" i="6"/>
  <c r="K206" i="6" s="1"/>
  <c r="J205" i="6"/>
  <c r="K205" i="6"/>
  <c r="K204" i="6"/>
  <c r="J204" i="6"/>
  <c r="J203" i="6"/>
  <c r="K203" i="6" s="1"/>
  <c r="J202" i="6"/>
  <c r="K202" i="6" s="1"/>
  <c r="J201" i="6"/>
  <c r="K201" i="6" s="1"/>
  <c r="K200" i="6"/>
  <c r="J200" i="6"/>
  <c r="J199" i="6"/>
  <c r="K199" i="6" s="1"/>
  <c r="J198" i="6"/>
  <c r="K198" i="6" s="1"/>
  <c r="J197" i="6"/>
  <c r="K197" i="6" s="1"/>
  <c r="J196" i="6"/>
  <c r="K196" i="6" s="1"/>
  <c r="J195" i="6"/>
  <c r="K195" i="6" s="1"/>
  <c r="J194" i="6"/>
  <c r="K194" i="6" s="1"/>
  <c r="J193" i="6"/>
  <c r="K193" i="6"/>
  <c r="J192" i="6"/>
  <c r="K192" i="6"/>
  <c r="J191" i="6"/>
  <c r="K191" i="6"/>
  <c r="J190" i="6"/>
  <c r="K190" i="6"/>
  <c r="J189" i="6"/>
  <c r="K189" i="6"/>
  <c r="J188" i="6"/>
  <c r="K188" i="6" s="1"/>
  <c r="J187" i="6"/>
  <c r="K187" i="6"/>
  <c r="J186" i="6"/>
  <c r="K186" i="6"/>
  <c r="J185" i="6"/>
  <c r="K185" i="6"/>
  <c r="J184" i="6"/>
  <c r="K184" i="6"/>
  <c r="J183" i="6"/>
  <c r="K183" i="6"/>
  <c r="J182" i="6"/>
  <c r="K182" i="6"/>
  <c r="J181" i="6"/>
  <c r="K181" i="6"/>
  <c r="J180" i="6"/>
  <c r="K180" i="6" s="1"/>
  <c r="J179" i="6"/>
  <c r="K179" i="6" s="1"/>
  <c r="J178" i="6"/>
  <c r="K178" i="6"/>
  <c r="J177" i="6"/>
  <c r="K177" i="6"/>
  <c r="J176" i="6"/>
  <c r="K176" i="6"/>
  <c r="J175" i="6"/>
  <c r="K175" i="6"/>
  <c r="J174" i="6"/>
  <c r="K174" i="6" s="1"/>
  <c r="J173" i="6"/>
  <c r="K173" i="6" s="1"/>
  <c r="J172" i="6"/>
  <c r="K172" i="6"/>
  <c r="J171" i="6"/>
  <c r="K171" i="6"/>
  <c r="J170" i="6"/>
  <c r="K170" i="6"/>
  <c r="J169" i="6"/>
  <c r="K169" i="6"/>
  <c r="J168" i="6"/>
  <c r="K168" i="6" s="1"/>
  <c r="J167" i="6"/>
  <c r="K167" i="6"/>
  <c r="J166" i="6"/>
  <c r="K166" i="6"/>
  <c r="J165" i="6"/>
  <c r="K165" i="6"/>
  <c r="J164" i="6"/>
  <c r="K164" i="6" s="1"/>
  <c r="J163" i="6"/>
  <c r="K163" i="6"/>
  <c r="J162" i="6"/>
  <c r="K162" i="6"/>
  <c r="J161" i="6"/>
  <c r="K161" i="6"/>
  <c r="J160" i="6"/>
  <c r="K160" i="6"/>
  <c r="J159" i="6"/>
  <c r="K159" i="6"/>
  <c r="J158" i="6"/>
  <c r="K158" i="6" s="1"/>
  <c r="J157" i="6"/>
  <c r="K157" i="6"/>
  <c r="J156" i="6"/>
  <c r="K156" i="6" s="1"/>
  <c r="J155" i="6"/>
  <c r="K155" i="6" s="1"/>
  <c r="J154" i="6"/>
  <c r="K154" i="6"/>
  <c r="J153" i="6"/>
  <c r="K153" i="6"/>
  <c r="J152" i="6"/>
  <c r="K152" i="6" s="1"/>
  <c r="J151" i="6"/>
  <c r="K151" i="6"/>
  <c r="J150" i="6"/>
  <c r="K150" i="6" s="1"/>
  <c r="J149" i="6"/>
  <c r="K149" i="6"/>
  <c r="J148" i="6"/>
  <c r="K148" i="6"/>
  <c r="J147" i="6"/>
  <c r="K147" i="6"/>
  <c r="J146" i="6"/>
  <c r="K146" i="6"/>
  <c r="J145" i="6"/>
  <c r="K145" i="6"/>
  <c r="J144" i="6"/>
  <c r="K144" i="6" s="1"/>
  <c r="J143" i="6"/>
  <c r="K143" i="6"/>
  <c r="J142" i="6"/>
  <c r="K142" i="6"/>
  <c r="J141" i="6"/>
  <c r="K141" i="6"/>
  <c r="J140" i="6"/>
  <c r="K140" i="6" s="1"/>
  <c r="J139" i="6"/>
  <c r="K139" i="6"/>
  <c r="J138" i="6"/>
  <c r="K138" i="6"/>
  <c r="J137" i="6"/>
  <c r="K137" i="6"/>
  <c r="J136" i="6"/>
  <c r="K136" i="6"/>
  <c r="J135" i="6"/>
  <c r="K135" i="6"/>
  <c r="J134" i="6"/>
  <c r="K134" i="6" s="1"/>
  <c r="J133" i="6"/>
  <c r="K133" i="6"/>
  <c r="J132" i="6"/>
  <c r="K132" i="6" s="1"/>
  <c r="J131" i="6"/>
  <c r="K131" i="6" s="1"/>
  <c r="J130" i="6"/>
  <c r="K130" i="6"/>
  <c r="J129" i="6"/>
  <c r="K129" i="6"/>
  <c r="J128" i="6"/>
  <c r="K128" i="6" s="1"/>
  <c r="J127" i="6"/>
  <c r="K127" i="6"/>
  <c r="J126" i="6"/>
  <c r="K126" i="6" s="1"/>
  <c r="J125" i="6"/>
  <c r="K125" i="6" s="1"/>
  <c r="J124" i="6"/>
  <c r="K124" i="6"/>
  <c r="J123" i="6"/>
  <c r="K123" i="6"/>
  <c r="J122" i="6"/>
  <c r="K122" i="6"/>
  <c r="J121" i="6"/>
  <c r="K121" i="6"/>
  <c r="J120" i="6"/>
  <c r="K120" i="6" s="1"/>
  <c r="J119" i="6"/>
  <c r="K119" i="6"/>
  <c r="J118" i="6"/>
  <c r="K118" i="6"/>
  <c r="J117" i="6"/>
  <c r="K117" i="6"/>
  <c r="J116" i="6"/>
  <c r="K116" i="6" s="1"/>
  <c r="J115" i="6"/>
  <c r="K115" i="6"/>
  <c r="J114" i="6"/>
  <c r="K114" i="6"/>
  <c r="J113" i="6"/>
  <c r="K113" i="6"/>
  <c r="J112" i="6"/>
  <c r="K112" i="6"/>
  <c r="J111" i="6"/>
  <c r="K111" i="6"/>
  <c r="J110" i="6"/>
  <c r="K110" i="6" s="1"/>
  <c r="J109" i="6"/>
  <c r="K109" i="6"/>
  <c r="J108" i="6"/>
  <c r="K108" i="6" s="1"/>
  <c r="J107" i="6"/>
  <c r="K107" i="6" s="1"/>
  <c r="J106" i="6"/>
  <c r="K106" i="6"/>
  <c r="J105" i="6"/>
  <c r="K105" i="6"/>
  <c r="J104" i="6"/>
  <c r="K104" i="6"/>
  <c r="J103" i="6"/>
  <c r="K103" i="6"/>
  <c r="J102" i="6"/>
  <c r="K102" i="6"/>
  <c r="J101" i="6"/>
  <c r="K101" i="6" s="1"/>
  <c r="J100" i="6"/>
  <c r="K100" i="6"/>
  <c r="J99" i="6"/>
  <c r="K99" i="6"/>
  <c r="J98" i="6"/>
  <c r="K98" i="6"/>
  <c r="J97" i="6"/>
  <c r="K97" i="6"/>
  <c r="J96" i="6"/>
  <c r="K96" i="6" s="1"/>
  <c r="J95" i="6"/>
  <c r="K95" i="6"/>
  <c r="J94" i="6"/>
  <c r="K94" i="6"/>
  <c r="J93" i="6"/>
  <c r="K93" i="6"/>
  <c r="J92" i="6"/>
  <c r="K92" i="6" s="1"/>
  <c r="J91" i="6"/>
  <c r="K91" i="6"/>
  <c r="J90" i="6"/>
  <c r="K90" i="6"/>
  <c r="J89" i="6"/>
  <c r="K89" i="6"/>
  <c r="J88" i="6"/>
  <c r="K88" i="6"/>
  <c r="J87" i="6"/>
  <c r="K87" i="6"/>
  <c r="J86" i="6"/>
  <c r="K86" i="6" s="1"/>
  <c r="J85" i="6"/>
  <c r="K85" i="6"/>
  <c r="J84" i="6"/>
  <c r="K84" i="6" s="1"/>
  <c r="J83" i="6"/>
  <c r="K83" i="6" s="1"/>
  <c r="J82" i="6"/>
  <c r="K82" i="6"/>
  <c r="J81" i="6"/>
  <c r="K81" i="6"/>
  <c r="J80" i="6"/>
  <c r="K80" i="6" s="1"/>
  <c r="J79" i="6"/>
  <c r="K79" i="6"/>
  <c r="J78" i="6"/>
  <c r="K78" i="6" s="1"/>
  <c r="J77" i="6"/>
  <c r="K77" i="6"/>
  <c r="J76" i="6"/>
  <c r="K76" i="6"/>
  <c r="J75" i="6"/>
  <c r="K75" i="6"/>
  <c r="J74" i="6"/>
  <c r="K74" i="6"/>
  <c r="J73" i="6"/>
  <c r="K73" i="6"/>
  <c r="J72" i="6"/>
  <c r="K72" i="6"/>
  <c r="J71" i="6"/>
  <c r="K71" i="6"/>
  <c r="J70" i="6"/>
  <c r="K70" i="6"/>
  <c r="J69" i="6"/>
  <c r="K69" i="6"/>
  <c r="J68" i="6"/>
  <c r="K68" i="6" s="1"/>
  <c r="J67" i="6"/>
  <c r="K67" i="6"/>
  <c r="J66" i="6"/>
  <c r="K66" i="6"/>
  <c r="J65" i="6"/>
  <c r="K65" i="6"/>
  <c r="J64" i="6"/>
  <c r="K64" i="6"/>
  <c r="J63" i="6"/>
  <c r="K63" i="6"/>
  <c r="J62" i="6"/>
  <c r="K62" i="6"/>
  <c r="J61" i="6"/>
  <c r="K61" i="6"/>
  <c r="J60" i="6"/>
  <c r="K60" i="6" s="1"/>
  <c r="J59" i="6"/>
  <c r="K59" i="6" s="1"/>
  <c r="J58" i="6"/>
  <c r="K58" i="6"/>
  <c r="J57" i="6"/>
  <c r="K57" i="6"/>
  <c r="J56" i="6"/>
  <c r="K56" i="6"/>
  <c r="J55" i="6"/>
  <c r="K55" i="6"/>
  <c r="J54" i="6"/>
  <c r="K54" i="6"/>
  <c r="J53" i="6"/>
  <c r="K53" i="6" s="1"/>
  <c r="J52" i="6"/>
  <c r="K52" i="6"/>
  <c r="J51" i="6"/>
  <c r="K51" i="6"/>
  <c r="J50" i="6"/>
  <c r="K50" i="6"/>
  <c r="J49" i="6"/>
  <c r="K49" i="6"/>
  <c r="J48" i="6"/>
  <c r="K48" i="6" s="1"/>
  <c r="J47" i="6"/>
  <c r="K47" i="6"/>
  <c r="J46" i="6"/>
  <c r="K46" i="6"/>
  <c r="J45" i="6"/>
  <c r="K45" i="6"/>
  <c r="J44" i="6"/>
  <c r="K44" i="6" s="1"/>
  <c r="J43" i="6"/>
  <c r="K43" i="6"/>
  <c r="J42" i="6"/>
  <c r="K42" i="6"/>
  <c r="J41" i="6"/>
  <c r="K41" i="6"/>
  <c r="J40" i="6"/>
  <c r="K40" i="6"/>
  <c r="J39" i="6"/>
  <c r="K39" i="6"/>
  <c r="J38" i="6"/>
  <c r="K38" i="6" s="1"/>
  <c r="J37" i="6"/>
  <c r="K37" i="6"/>
  <c r="J36" i="6"/>
  <c r="K36" i="6" s="1"/>
  <c r="J35" i="6"/>
  <c r="K35" i="6" s="1"/>
  <c r="J34" i="6"/>
  <c r="K34" i="6"/>
  <c r="J33" i="6"/>
  <c r="K33" i="6"/>
  <c r="J32" i="6"/>
  <c r="K32" i="6"/>
  <c r="J31" i="6"/>
  <c r="K31" i="6"/>
  <c r="J30" i="6"/>
  <c r="K30" i="6" s="1"/>
  <c r="J29" i="6"/>
  <c r="K29" i="6"/>
  <c r="J28" i="6"/>
  <c r="K28" i="6"/>
  <c r="J27" i="6"/>
  <c r="K27" i="6"/>
  <c r="J26" i="6"/>
  <c r="K26" i="6"/>
  <c r="J25" i="6"/>
  <c r="K25" i="6"/>
  <c r="J24" i="6"/>
  <c r="K24" i="6" s="1"/>
  <c r="J23" i="6"/>
  <c r="K23" i="6"/>
  <c r="J22" i="6"/>
  <c r="K22" i="6"/>
  <c r="J21" i="6"/>
  <c r="K21" i="6"/>
  <c r="J20" i="6"/>
  <c r="K20" i="6" s="1"/>
  <c r="J19" i="6"/>
  <c r="K19" i="6"/>
  <c r="J18" i="6"/>
  <c r="K18" i="6"/>
  <c r="J17" i="6"/>
  <c r="K17" i="6"/>
  <c r="J16" i="6"/>
  <c r="K16" i="6"/>
  <c r="J15" i="6"/>
  <c r="K15" i="6"/>
  <c r="J14" i="6"/>
  <c r="K14" i="6" s="1"/>
  <c r="J13" i="6"/>
  <c r="K13" i="6"/>
  <c r="J12" i="6"/>
  <c r="K12" i="6" s="1"/>
  <c r="J11" i="6"/>
  <c r="K11" i="6" s="1"/>
  <c r="M382" i="5"/>
  <c r="K382" i="5"/>
  <c r="C382" i="5"/>
  <c r="M381" i="5"/>
  <c r="C381" i="5"/>
  <c r="M380" i="5"/>
  <c r="C380" i="5"/>
  <c r="M379" i="5"/>
  <c r="K379" i="5" s="1"/>
  <c r="C379" i="5"/>
  <c r="M378" i="5"/>
  <c r="C378" i="5"/>
  <c r="M377" i="5"/>
  <c r="K377" i="5"/>
  <c r="C377" i="5"/>
  <c r="M376" i="5"/>
  <c r="K376" i="5" s="1"/>
  <c r="C376" i="5"/>
  <c r="M375" i="5"/>
  <c r="K375" i="5"/>
  <c r="C375" i="5"/>
  <c r="M374" i="5"/>
  <c r="C374" i="5"/>
  <c r="M373" i="5"/>
  <c r="C373" i="5"/>
  <c r="M372" i="5"/>
  <c r="C372" i="5"/>
  <c r="M371" i="5"/>
  <c r="K371" i="5"/>
  <c r="C371" i="5"/>
  <c r="M370" i="5"/>
  <c r="C370" i="5"/>
  <c r="M369" i="5"/>
  <c r="C369" i="5"/>
  <c r="M368" i="5"/>
  <c r="C368" i="5"/>
  <c r="M367" i="5"/>
  <c r="C367" i="5"/>
  <c r="M366" i="5"/>
  <c r="K366" i="5"/>
  <c r="C366" i="5"/>
  <c r="M365" i="5"/>
  <c r="C365" i="5"/>
  <c r="M364" i="5"/>
  <c r="C364" i="5"/>
  <c r="M363" i="5"/>
  <c r="C363" i="5"/>
  <c r="M362" i="5"/>
  <c r="C362" i="5"/>
  <c r="M361" i="5"/>
  <c r="C361" i="5"/>
  <c r="M360" i="5"/>
  <c r="C360" i="5"/>
  <c r="K360" i="5" s="1"/>
  <c r="M359" i="5"/>
  <c r="C359" i="5"/>
  <c r="M358" i="5"/>
  <c r="K358" i="5"/>
  <c r="C358" i="5"/>
  <c r="M357" i="5"/>
  <c r="K357" i="5" s="1"/>
  <c r="C357" i="5"/>
  <c r="M356" i="5"/>
  <c r="C356" i="5"/>
  <c r="M355" i="5"/>
  <c r="K355" i="5"/>
  <c r="C355" i="5"/>
  <c r="M354" i="5"/>
  <c r="C354" i="5"/>
  <c r="M353" i="5"/>
  <c r="C353" i="5"/>
  <c r="M352" i="5"/>
  <c r="K352" i="5"/>
  <c r="C352" i="5"/>
  <c r="M351" i="5"/>
  <c r="C351" i="5"/>
  <c r="M350" i="5"/>
  <c r="K350" i="5"/>
  <c r="C350" i="5"/>
  <c r="M349" i="5"/>
  <c r="C349" i="5"/>
  <c r="M348" i="5"/>
  <c r="C348" i="5"/>
  <c r="M347" i="5"/>
  <c r="C347" i="5"/>
  <c r="M346" i="5"/>
  <c r="C346" i="5"/>
  <c r="M345" i="5"/>
  <c r="K345" i="5"/>
  <c r="C345" i="5"/>
  <c r="M344" i="5"/>
  <c r="C344" i="5"/>
  <c r="M343" i="5"/>
  <c r="C343" i="5"/>
  <c r="M342" i="5"/>
  <c r="C342" i="5"/>
  <c r="K342" i="5" s="1"/>
  <c r="M341" i="5"/>
  <c r="C341" i="5"/>
  <c r="M340" i="5"/>
  <c r="C340" i="5"/>
  <c r="M339" i="5"/>
  <c r="C339" i="5"/>
  <c r="M338" i="5"/>
  <c r="C338" i="5"/>
  <c r="M337" i="5"/>
  <c r="C337" i="5"/>
  <c r="M336" i="5"/>
  <c r="C336" i="5"/>
  <c r="K336" i="5"/>
  <c r="M335" i="5"/>
  <c r="C335" i="5"/>
  <c r="M334" i="5"/>
  <c r="K334" i="5"/>
  <c r="C334" i="5"/>
  <c r="M333" i="5"/>
  <c r="C333" i="5"/>
  <c r="M332" i="5"/>
  <c r="K332" i="5" s="1"/>
  <c r="C332" i="5"/>
  <c r="M331" i="5"/>
  <c r="K331" i="5"/>
  <c r="C331" i="5"/>
  <c r="M330" i="5"/>
  <c r="C330" i="5"/>
  <c r="M329" i="5"/>
  <c r="K329" i="5"/>
  <c r="C329" i="5"/>
  <c r="M328" i="5"/>
  <c r="C328" i="5"/>
  <c r="M327" i="5"/>
  <c r="K327" i="5" s="1"/>
  <c r="C327" i="5"/>
  <c r="M326" i="5"/>
  <c r="K326" i="5"/>
  <c r="C326" i="5"/>
  <c r="M325" i="5"/>
  <c r="C325" i="5"/>
  <c r="M324" i="5"/>
  <c r="K324" i="5" s="1"/>
  <c r="C324" i="5"/>
  <c r="M323" i="5"/>
  <c r="K323" i="5"/>
  <c r="C323" i="5"/>
  <c r="M322" i="5"/>
  <c r="C322" i="5"/>
  <c r="M321" i="5"/>
  <c r="C321" i="5"/>
  <c r="M320" i="5"/>
  <c r="C320" i="5"/>
  <c r="M319" i="5"/>
  <c r="K319" i="5"/>
  <c r="C319" i="5"/>
  <c r="M318" i="5"/>
  <c r="C318" i="5"/>
  <c r="M317" i="5"/>
  <c r="C317" i="5"/>
  <c r="M316" i="5"/>
  <c r="C316" i="5"/>
  <c r="M315" i="5"/>
  <c r="K315" i="5"/>
  <c r="C315" i="5"/>
  <c r="M314" i="5"/>
  <c r="C314" i="5"/>
  <c r="M313" i="5"/>
  <c r="C313" i="5"/>
  <c r="M312" i="5"/>
  <c r="K312" i="5"/>
  <c r="C312" i="5"/>
  <c r="M311" i="5"/>
  <c r="C311" i="5"/>
  <c r="M310" i="5"/>
  <c r="K310" i="5" s="1"/>
  <c r="C310" i="5"/>
  <c r="M309" i="5"/>
  <c r="K309" i="5"/>
  <c r="C309" i="5"/>
  <c r="M308" i="5"/>
  <c r="C308" i="5"/>
  <c r="M307" i="5"/>
  <c r="K307" i="5"/>
  <c r="C307" i="5"/>
  <c r="M306" i="5"/>
  <c r="C306" i="5"/>
  <c r="M305" i="5"/>
  <c r="C305" i="5"/>
  <c r="M304" i="5"/>
  <c r="C304" i="5"/>
  <c r="M303" i="5"/>
  <c r="C303" i="5"/>
  <c r="M302" i="5"/>
  <c r="C302" i="5"/>
  <c r="M301" i="5"/>
  <c r="C301" i="5"/>
  <c r="M300" i="5"/>
  <c r="C300" i="5"/>
  <c r="M299" i="5"/>
  <c r="K299" i="5"/>
  <c r="C299" i="5"/>
  <c r="M298" i="5"/>
  <c r="C298" i="5"/>
  <c r="M297" i="5"/>
  <c r="C297" i="5"/>
  <c r="M296" i="5"/>
  <c r="K296" i="5"/>
  <c r="C296" i="5"/>
  <c r="M295" i="5"/>
  <c r="C295" i="5"/>
  <c r="M294" i="5"/>
  <c r="K294" i="5" s="1"/>
  <c r="C294" i="5"/>
  <c r="M293" i="5"/>
  <c r="C293" i="5"/>
  <c r="M292" i="5"/>
  <c r="C292" i="5"/>
  <c r="M291" i="5"/>
  <c r="K291" i="5"/>
  <c r="C291" i="5"/>
  <c r="M290" i="5"/>
  <c r="C290" i="5"/>
  <c r="M289" i="5"/>
  <c r="C289" i="5"/>
  <c r="M288" i="5"/>
  <c r="C288" i="5"/>
  <c r="M287" i="5"/>
  <c r="C287" i="5"/>
  <c r="M286" i="5"/>
  <c r="C286" i="5"/>
  <c r="M285" i="5"/>
  <c r="K285" i="5"/>
  <c r="C285" i="5"/>
  <c r="M284" i="5"/>
  <c r="C284" i="5"/>
  <c r="M283" i="5"/>
  <c r="C283" i="5"/>
  <c r="M282" i="5"/>
  <c r="C282" i="5"/>
  <c r="M281" i="5"/>
  <c r="C281" i="5"/>
  <c r="M280" i="5"/>
  <c r="K280" i="5"/>
  <c r="C280" i="5"/>
  <c r="M279" i="5"/>
  <c r="C279" i="5"/>
  <c r="M278" i="5"/>
  <c r="K278" i="5"/>
  <c r="C278" i="5"/>
  <c r="M277" i="5"/>
  <c r="C277" i="5"/>
  <c r="M276" i="5"/>
  <c r="C276" i="5"/>
  <c r="M275" i="5"/>
  <c r="C275" i="5"/>
  <c r="M274" i="5"/>
  <c r="C274" i="5"/>
  <c r="M273" i="5"/>
  <c r="C273" i="5"/>
  <c r="M272" i="5"/>
  <c r="K272" i="5"/>
  <c r="C272" i="5"/>
  <c r="M271" i="5"/>
  <c r="C271" i="5"/>
  <c r="M270" i="5"/>
  <c r="K270" i="5"/>
  <c r="C270" i="5"/>
  <c r="M269" i="5"/>
  <c r="C269" i="5"/>
  <c r="M268" i="5"/>
  <c r="C268" i="5"/>
  <c r="M267" i="5"/>
  <c r="K267" i="5"/>
  <c r="C267" i="5"/>
  <c r="M266" i="5"/>
  <c r="C266" i="5"/>
  <c r="M265" i="5"/>
  <c r="C265" i="5"/>
  <c r="M264" i="5"/>
  <c r="K264" i="5" s="1"/>
  <c r="C264" i="5"/>
  <c r="M263" i="5"/>
  <c r="C263" i="5"/>
  <c r="M262" i="5"/>
  <c r="K262" i="5"/>
  <c r="C262" i="5"/>
  <c r="M261" i="5"/>
  <c r="C261" i="5"/>
  <c r="M260" i="5"/>
  <c r="C260" i="5"/>
  <c r="M259" i="5"/>
  <c r="C259" i="5"/>
  <c r="M258" i="5"/>
  <c r="C258" i="5"/>
  <c r="K258" i="5" s="1"/>
  <c r="M257" i="5"/>
  <c r="C257" i="5"/>
  <c r="M256" i="5"/>
  <c r="C256" i="5"/>
  <c r="K256" i="5" s="1"/>
  <c r="M255" i="5"/>
  <c r="C255" i="5"/>
  <c r="K255" i="5" s="1"/>
  <c r="M254" i="5"/>
  <c r="C254" i="5"/>
  <c r="M253" i="5"/>
  <c r="C253" i="5"/>
  <c r="M252" i="5"/>
  <c r="C252" i="5"/>
  <c r="M251" i="5"/>
  <c r="C251" i="5"/>
  <c r="K251" i="5"/>
  <c r="M250" i="5"/>
  <c r="C250" i="5"/>
  <c r="M249" i="5"/>
  <c r="C249" i="5"/>
  <c r="M248" i="5"/>
  <c r="C248" i="5"/>
  <c r="K248" i="5" s="1"/>
  <c r="M247" i="5"/>
  <c r="C247" i="5"/>
  <c r="M246" i="5"/>
  <c r="C246" i="5"/>
  <c r="K246" i="5"/>
  <c r="M245" i="5"/>
  <c r="C245" i="5"/>
  <c r="M244" i="5"/>
  <c r="C244" i="5"/>
  <c r="M243" i="5"/>
  <c r="K243" i="5" s="1"/>
  <c r="C243" i="5"/>
  <c r="M242" i="5"/>
  <c r="K242" i="5" s="1"/>
  <c r="C242" i="5"/>
  <c r="M241" i="5"/>
  <c r="C241" i="5"/>
  <c r="K241" i="5" s="1"/>
  <c r="M240" i="5"/>
  <c r="C240" i="5"/>
  <c r="K240" i="5"/>
  <c r="M239" i="5"/>
  <c r="K239" i="5" s="1"/>
  <c r="C239" i="5"/>
  <c r="M238" i="5"/>
  <c r="C238" i="5"/>
  <c r="M237" i="5"/>
  <c r="C237" i="5"/>
  <c r="M236" i="5"/>
  <c r="C236" i="5"/>
  <c r="M235" i="5"/>
  <c r="C235" i="5"/>
  <c r="K235" i="5"/>
  <c r="M234" i="5"/>
  <c r="C234" i="5"/>
  <c r="K234" i="5" s="1"/>
  <c r="M233" i="5"/>
  <c r="K233" i="5" s="1"/>
  <c r="C233" i="5"/>
  <c r="M232" i="5"/>
  <c r="C232" i="5"/>
  <c r="M231" i="5"/>
  <c r="K231" i="5" s="1"/>
  <c r="C231" i="5"/>
  <c r="M230" i="5"/>
  <c r="K230" i="5"/>
  <c r="C230" i="5"/>
  <c r="M229" i="5"/>
  <c r="C229" i="5"/>
  <c r="M228" i="5"/>
  <c r="K228" i="5" s="1"/>
  <c r="C228" i="5"/>
  <c r="M227" i="5"/>
  <c r="C227" i="5"/>
  <c r="M226" i="5"/>
  <c r="C226" i="5"/>
  <c r="M225" i="5"/>
  <c r="C225" i="5"/>
  <c r="M224" i="5"/>
  <c r="C224" i="5"/>
  <c r="K224" i="5"/>
  <c r="M223" i="5"/>
  <c r="K223" i="5" s="1"/>
  <c r="C223" i="5"/>
  <c r="M222" i="5"/>
  <c r="K222" i="5"/>
  <c r="C222" i="5"/>
  <c r="M221" i="5"/>
  <c r="C221" i="5"/>
  <c r="M220" i="5"/>
  <c r="K220" i="5" s="1"/>
  <c r="C220" i="5"/>
  <c r="M219" i="5"/>
  <c r="C219" i="5"/>
  <c r="M218" i="5"/>
  <c r="C218" i="5"/>
  <c r="M217" i="5"/>
  <c r="C217" i="5"/>
  <c r="M216" i="5"/>
  <c r="C216" i="5"/>
  <c r="K216" i="5"/>
  <c r="M215" i="5"/>
  <c r="C215" i="5"/>
  <c r="K215" i="5" s="1"/>
  <c r="M214" i="5"/>
  <c r="K214" i="5" s="1"/>
  <c r="C214" i="5"/>
  <c r="M213" i="5"/>
  <c r="K213" i="5"/>
  <c r="C213" i="5"/>
  <c r="M212" i="5"/>
  <c r="C212" i="5"/>
  <c r="M211" i="5"/>
  <c r="K211" i="5" s="1"/>
  <c r="C211" i="5"/>
  <c r="M210" i="5"/>
  <c r="C210" i="5"/>
  <c r="M209" i="5"/>
  <c r="C209" i="5"/>
  <c r="M208" i="5"/>
  <c r="K208" i="5" s="1"/>
  <c r="C208" i="5"/>
  <c r="M207" i="5"/>
  <c r="C207" i="5"/>
  <c r="M206" i="5"/>
  <c r="C206" i="5"/>
  <c r="M205" i="5"/>
  <c r="C205" i="5"/>
  <c r="M204" i="5"/>
  <c r="C204" i="5"/>
  <c r="M203" i="5"/>
  <c r="C203" i="5"/>
  <c r="M202" i="5"/>
  <c r="C202" i="5"/>
  <c r="K202" i="5" s="1"/>
  <c r="M201" i="5"/>
  <c r="C201" i="5"/>
  <c r="M200" i="5"/>
  <c r="C200" i="5"/>
  <c r="K200" i="5" s="1"/>
  <c r="M199" i="5"/>
  <c r="C199" i="5"/>
  <c r="K199" i="5" s="1"/>
  <c r="M198" i="5"/>
  <c r="K198" i="5" s="1"/>
  <c r="C198" i="5"/>
  <c r="M197" i="5"/>
  <c r="C197" i="5"/>
  <c r="M196" i="5"/>
  <c r="C196" i="5"/>
  <c r="K196" i="5" s="1"/>
  <c r="M195" i="5"/>
  <c r="K195" i="5" s="1"/>
  <c r="C195" i="5"/>
  <c r="M194" i="5"/>
  <c r="K194" i="5"/>
  <c r="C194" i="5"/>
  <c r="M193" i="5"/>
  <c r="C193" i="5"/>
  <c r="M192" i="5"/>
  <c r="K192" i="5" s="1"/>
  <c r="C192" i="5"/>
  <c r="M191" i="5"/>
  <c r="C191" i="5"/>
  <c r="M190" i="5"/>
  <c r="C190" i="5"/>
  <c r="K190" i="5"/>
  <c r="M189" i="5"/>
  <c r="C189" i="5"/>
  <c r="M188" i="5"/>
  <c r="C188" i="5"/>
  <c r="M187" i="5"/>
  <c r="K187" i="5" s="1"/>
  <c r="C187" i="5"/>
  <c r="M186" i="5"/>
  <c r="K186" i="5"/>
  <c r="C186" i="5"/>
  <c r="M185" i="5"/>
  <c r="C185" i="5"/>
  <c r="K185" i="5" s="1"/>
  <c r="M184" i="5"/>
  <c r="C184" i="5"/>
  <c r="K184" i="5" s="1"/>
  <c r="M183" i="5"/>
  <c r="K183" i="5" s="1"/>
  <c r="C183" i="5"/>
  <c r="M182" i="5"/>
  <c r="C182" i="5"/>
  <c r="M181" i="5"/>
  <c r="C181" i="5"/>
  <c r="M180" i="5"/>
  <c r="C180" i="5"/>
  <c r="M179" i="5"/>
  <c r="C179" i="5"/>
  <c r="K179" i="5"/>
  <c r="M178" i="5"/>
  <c r="K178" i="5" s="1"/>
  <c r="C178" i="5"/>
  <c r="M177" i="5"/>
  <c r="C177" i="5"/>
  <c r="M176" i="5"/>
  <c r="C176" i="5"/>
  <c r="M175" i="5"/>
  <c r="C175" i="5"/>
  <c r="M174" i="5"/>
  <c r="C174" i="5"/>
  <c r="M173" i="5"/>
  <c r="C173" i="5"/>
  <c r="M172" i="5"/>
  <c r="C172" i="5"/>
  <c r="K172" i="5" s="1"/>
  <c r="M171" i="5"/>
  <c r="K171" i="5" s="1"/>
  <c r="C171" i="5"/>
  <c r="M170" i="5"/>
  <c r="C170" i="5"/>
  <c r="K170" i="5" s="1"/>
  <c r="M169" i="5"/>
  <c r="C169" i="5"/>
  <c r="M168" i="5"/>
  <c r="C168" i="5"/>
  <c r="K168" i="5" s="1"/>
  <c r="M167" i="5"/>
  <c r="C167" i="5"/>
  <c r="K167" i="5" s="1"/>
  <c r="M166" i="5"/>
  <c r="C166" i="5"/>
  <c r="M165" i="5"/>
  <c r="C165" i="5"/>
  <c r="K165" i="5" s="1"/>
  <c r="M164" i="5"/>
  <c r="C164" i="5"/>
  <c r="K164" i="5" s="1"/>
  <c r="M163" i="5"/>
  <c r="K163" i="5" s="1"/>
  <c r="C163" i="5"/>
  <c r="M162" i="5"/>
  <c r="K162" i="5"/>
  <c r="C162" i="5"/>
  <c r="M161" i="5"/>
  <c r="C161" i="5"/>
  <c r="K161" i="5" s="1"/>
  <c r="M160" i="5"/>
  <c r="C160" i="5"/>
  <c r="K160" i="5"/>
  <c r="M159" i="5"/>
  <c r="K159" i="5" s="1"/>
  <c r="C159" i="5"/>
  <c r="M158" i="5"/>
  <c r="K158" i="5"/>
  <c r="C158" i="5"/>
  <c r="M157" i="5"/>
  <c r="C157" i="5"/>
  <c r="M156" i="5"/>
  <c r="C156" i="5"/>
  <c r="M155" i="5"/>
  <c r="C155" i="5"/>
  <c r="K155" i="5" s="1"/>
  <c r="M154" i="5"/>
  <c r="C154" i="5"/>
  <c r="K154" i="5" s="1"/>
  <c r="M153" i="5"/>
  <c r="C153" i="5"/>
  <c r="M152" i="5"/>
  <c r="C152" i="5"/>
  <c r="M151" i="5"/>
  <c r="C151" i="5"/>
  <c r="M150" i="5"/>
  <c r="C150" i="5"/>
  <c r="M149" i="5"/>
  <c r="K149" i="5" s="1"/>
  <c r="C149" i="5"/>
  <c r="M148" i="5"/>
  <c r="C148" i="5"/>
  <c r="M147" i="5"/>
  <c r="K147" i="5" s="1"/>
  <c r="C147" i="5"/>
  <c r="M146" i="5"/>
  <c r="C146" i="5"/>
  <c r="M145" i="5"/>
  <c r="C145" i="5"/>
  <c r="K145" i="5" s="1"/>
  <c r="M144" i="5"/>
  <c r="K144" i="5" s="1"/>
  <c r="C144" i="5"/>
  <c r="M143" i="5"/>
  <c r="C143" i="5"/>
  <c r="M142" i="5"/>
  <c r="C142" i="5"/>
  <c r="M141" i="5"/>
  <c r="C141" i="5"/>
  <c r="M140" i="5"/>
  <c r="C140" i="5"/>
  <c r="K140" i="5" s="1"/>
  <c r="M139" i="5"/>
  <c r="K139" i="5" s="1"/>
  <c r="C139" i="5"/>
  <c r="M138" i="5"/>
  <c r="C138" i="5"/>
  <c r="K138" i="5" s="1"/>
  <c r="M137" i="5"/>
  <c r="C137" i="5"/>
  <c r="K137" i="5" s="1"/>
  <c r="M136" i="5"/>
  <c r="C136" i="5"/>
  <c r="M135" i="5"/>
  <c r="C135" i="5"/>
  <c r="K135" i="5" s="1"/>
  <c r="M134" i="5"/>
  <c r="C134" i="5"/>
  <c r="K134" i="5"/>
  <c r="M133" i="5"/>
  <c r="K133" i="5" s="1"/>
  <c r="C133" i="5"/>
  <c r="M132" i="5"/>
  <c r="C132" i="5"/>
  <c r="K132" i="5" s="1"/>
  <c r="M131" i="5"/>
  <c r="C131" i="5"/>
  <c r="K131" i="5" s="1"/>
  <c r="M130" i="5"/>
  <c r="C130" i="5"/>
  <c r="M129" i="5"/>
  <c r="C129" i="5"/>
  <c r="M128" i="5"/>
  <c r="K128" i="5" s="1"/>
  <c r="C128" i="5"/>
  <c r="M127" i="5"/>
  <c r="C127" i="5"/>
  <c r="M126" i="5"/>
  <c r="C126" i="5"/>
  <c r="K126" i="5" s="1"/>
  <c r="M125" i="5"/>
  <c r="C125" i="5"/>
  <c r="M124" i="5"/>
  <c r="C124" i="5"/>
  <c r="M123" i="5"/>
  <c r="C123" i="5"/>
  <c r="M122" i="5"/>
  <c r="C122" i="5"/>
  <c r="K122" i="5" s="1"/>
  <c r="M121" i="5"/>
  <c r="C121" i="5"/>
  <c r="M120" i="5"/>
  <c r="K120" i="5"/>
  <c r="C120" i="5"/>
  <c r="M119" i="5"/>
  <c r="C119" i="5"/>
  <c r="K119" i="5" s="1"/>
  <c r="M118" i="5"/>
  <c r="C118" i="5"/>
  <c r="K118" i="5" s="1"/>
  <c r="M117" i="5"/>
  <c r="C117" i="5"/>
  <c r="M116" i="5"/>
  <c r="C116" i="5"/>
  <c r="M115" i="5"/>
  <c r="C115" i="5"/>
  <c r="M114" i="5"/>
  <c r="C114" i="5"/>
  <c r="M113" i="5"/>
  <c r="C113" i="5"/>
  <c r="M112" i="5"/>
  <c r="C112" i="5"/>
  <c r="K112" i="5" s="1"/>
  <c r="M111" i="5"/>
  <c r="C111" i="5"/>
  <c r="K111" i="5" s="1"/>
  <c r="M110" i="5"/>
  <c r="K110" i="5" s="1"/>
  <c r="C110" i="5"/>
  <c r="M109" i="5"/>
  <c r="K109" i="5"/>
  <c r="C109" i="5"/>
  <c r="M108" i="5"/>
  <c r="C108" i="5"/>
  <c r="M107" i="5"/>
  <c r="K107" i="5" s="1"/>
  <c r="C107" i="5"/>
  <c r="M106" i="5"/>
  <c r="C106" i="5"/>
  <c r="M105" i="5"/>
  <c r="C105" i="5"/>
  <c r="M104" i="5"/>
  <c r="C104" i="5"/>
  <c r="M103" i="5"/>
  <c r="C103" i="5"/>
  <c r="K103" i="5" s="1"/>
  <c r="M102" i="5"/>
  <c r="C102" i="5"/>
  <c r="M101" i="5"/>
  <c r="C101" i="5"/>
  <c r="M100" i="5"/>
  <c r="C100" i="5"/>
  <c r="K100" i="5" s="1"/>
  <c r="M99" i="5"/>
  <c r="C99" i="5"/>
  <c r="M98" i="5"/>
  <c r="K98" i="5"/>
  <c r="C98" i="5"/>
  <c r="M97" i="5"/>
  <c r="C97" i="5"/>
  <c r="K97" i="5" s="1"/>
  <c r="M96" i="5"/>
  <c r="C96" i="5"/>
  <c r="M95" i="5"/>
  <c r="K95" i="5"/>
  <c r="C95" i="5"/>
  <c r="M94" i="5"/>
  <c r="C94" i="5"/>
  <c r="M93" i="5"/>
  <c r="K93" i="5" s="1"/>
  <c r="C93" i="5"/>
  <c r="M92" i="5"/>
  <c r="C92" i="5"/>
  <c r="K92" i="5" s="1"/>
  <c r="M91" i="5"/>
  <c r="C91" i="5"/>
  <c r="K91" i="5" s="1"/>
  <c r="M90" i="5"/>
  <c r="K90" i="5" s="1"/>
  <c r="C90" i="5"/>
  <c r="M89" i="5"/>
  <c r="C89" i="5"/>
  <c r="M88" i="5"/>
  <c r="C88" i="5"/>
  <c r="M87" i="5"/>
  <c r="C87" i="5"/>
  <c r="M86" i="5"/>
  <c r="C86" i="5"/>
  <c r="K86" i="5" s="1"/>
  <c r="M85" i="5"/>
  <c r="C85" i="5"/>
  <c r="K85" i="5"/>
  <c r="M84" i="5"/>
  <c r="K84" i="5" s="1"/>
  <c r="C84" i="5"/>
  <c r="M83" i="5"/>
  <c r="K83" i="5"/>
  <c r="C83" i="5"/>
  <c r="M82" i="5"/>
  <c r="C82" i="5"/>
  <c r="K82" i="5"/>
  <c r="M81" i="5"/>
  <c r="C81" i="5"/>
  <c r="K81" i="5" s="1"/>
  <c r="M80" i="5"/>
  <c r="C80" i="5"/>
  <c r="M79" i="5"/>
  <c r="C79" i="5"/>
  <c r="K79" i="5" s="1"/>
  <c r="M78" i="5"/>
  <c r="C78" i="5"/>
  <c r="M77" i="5"/>
  <c r="K77" i="5"/>
  <c r="C77" i="5"/>
  <c r="M76" i="5"/>
  <c r="C76" i="5"/>
  <c r="M75" i="5"/>
  <c r="K75" i="5" s="1"/>
  <c r="C75" i="5"/>
  <c r="M74" i="5"/>
  <c r="K74" i="5"/>
  <c r="C74" i="5"/>
  <c r="M73" i="5"/>
  <c r="C73" i="5"/>
  <c r="M72" i="5"/>
  <c r="C72" i="5"/>
  <c r="M71" i="5"/>
  <c r="C71" i="5"/>
  <c r="K71" i="5" s="1"/>
  <c r="M70" i="5"/>
  <c r="C70" i="5"/>
  <c r="K70" i="5"/>
  <c r="M69" i="5"/>
  <c r="K69" i="5" s="1"/>
  <c r="C69" i="5"/>
  <c r="M68" i="5"/>
  <c r="K68" i="5"/>
  <c r="C68" i="5"/>
  <c r="M67" i="5"/>
  <c r="C67" i="5"/>
  <c r="M66" i="5"/>
  <c r="C66" i="5"/>
  <c r="M65" i="5"/>
  <c r="C65" i="5"/>
  <c r="M64" i="5"/>
  <c r="C64" i="5"/>
  <c r="M63" i="5"/>
  <c r="C63" i="5"/>
  <c r="K63" i="5"/>
  <c r="M62" i="5"/>
  <c r="C62" i="5"/>
  <c r="K62" i="5" s="1"/>
  <c r="M61" i="5"/>
  <c r="K61" i="5" s="1"/>
  <c r="C61" i="5"/>
  <c r="M60" i="5"/>
  <c r="C60" i="5"/>
  <c r="K60" i="5" s="1"/>
  <c r="M59" i="5"/>
  <c r="C59" i="5"/>
  <c r="K59" i="5" s="1"/>
  <c r="M58" i="5"/>
  <c r="K58" i="5" s="1"/>
  <c r="C58" i="5"/>
  <c r="M57" i="5"/>
  <c r="K57" i="5"/>
  <c r="C57" i="5"/>
  <c r="M56" i="5"/>
  <c r="C56" i="5"/>
  <c r="M55" i="5"/>
  <c r="K55" i="5" s="1"/>
  <c r="C55" i="5"/>
  <c r="M54" i="5"/>
  <c r="C54" i="5"/>
  <c r="M53" i="5"/>
  <c r="C53" i="5"/>
  <c r="M52" i="5"/>
  <c r="K52" i="5"/>
  <c r="C52" i="5"/>
  <c r="M51" i="5"/>
  <c r="C51" i="5"/>
  <c r="M50" i="5"/>
  <c r="K50" i="5" s="1"/>
  <c r="C50" i="5"/>
  <c r="M49" i="5"/>
  <c r="C49" i="5"/>
  <c r="M48" i="5"/>
  <c r="C48" i="5"/>
  <c r="M47" i="5"/>
  <c r="K47" i="5" s="1"/>
  <c r="C47" i="5"/>
  <c r="M46" i="5"/>
  <c r="C46" i="5"/>
  <c r="M45" i="5"/>
  <c r="C45" i="5"/>
  <c r="K45" i="5" s="1"/>
  <c r="M44" i="5"/>
  <c r="C44" i="5"/>
  <c r="M43" i="5"/>
  <c r="C43" i="5"/>
  <c r="K43" i="5" s="1"/>
  <c r="M42" i="5"/>
  <c r="C42" i="5"/>
  <c r="K42" i="5"/>
  <c r="M41" i="5"/>
  <c r="K41" i="5" s="1"/>
  <c r="C41" i="5"/>
  <c r="M40" i="5"/>
  <c r="C40" i="5"/>
  <c r="M39" i="5"/>
  <c r="K39" i="5" s="1"/>
  <c r="C39" i="5"/>
  <c r="M38" i="5"/>
  <c r="K38" i="5"/>
  <c r="C38" i="5"/>
  <c r="M37" i="5"/>
  <c r="C37" i="5"/>
  <c r="M36" i="5"/>
  <c r="C36" i="5"/>
  <c r="M35" i="5"/>
  <c r="C35" i="5"/>
  <c r="K35" i="5"/>
  <c r="M34" i="5"/>
  <c r="C34" i="5"/>
  <c r="K34" i="5" s="1"/>
  <c r="M33" i="5"/>
  <c r="K33" i="5" s="1"/>
  <c r="C33" i="5"/>
  <c r="M32" i="5"/>
  <c r="C32" i="5"/>
  <c r="M31" i="5"/>
  <c r="C31" i="5"/>
  <c r="K31" i="5" s="1"/>
  <c r="M30" i="5"/>
  <c r="K30" i="5" s="1"/>
  <c r="C30" i="5"/>
  <c r="M29" i="5"/>
  <c r="C29" i="5"/>
  <c r="M28" i="5"/>
  <c r="K28" i="5" s="1"/>
  <c r="C28" i="5"/>
  <c r="M27" i="5"/>
  <c r="C27" i="5"/>
  <c r="M26" i="5"/>
  <c r="K26" i="5" s="1"/>
  <c r="C26" i="5"/>
  <c r="M25" i="5"/>
  <c r="K25" i="5"/>
  <c r="C25" i="5"/>
  <c r="M24" i="5"/>
  <c r="C24" i="5"/>
  <c r="K24" i="5" s="1"/>
  <c r="M23" i="5"/>
  <c r="C23" i="5"/>
  <c r="K23" i="5" s="1"/>
  <c r="M22" i="5"/>
  <c r="C22" i="5"/>
  <c r="M21" i="5"/>
  <c r="C21" i="5"/>
  <c r="K21" i="5" s="1"/>
  <c r="M20" i="5"/>
  <c r="C20" i="5"/>
  <c r="K20" i="5" s="1"/>
  <c r="M19" i="5"/>
  <c r="K19" i="5" s="1"/>
  <c r="C19" i="5"/>
  <c r="M18" i="5"/>
  <c r="K18" i="5"/>
  <c r="C18" i="5"/>
  <c r="M17" i="5"/>
  <c r="C17" i="5"/>
  <c r="M16" i="5"/>
  <c r="K16" i="5" s="1"/>
  <c r="C16" i="5"/>
  <c r="M15" i="5"/>
  <c r="C15" i="5"/>
  <c r="M14" i="5"/>
  <c r="C14" i="5"/>
  <c r="K14" i="5" s="1"/>
  <c r="M13" i="5"/>
  <c r="K13" i="5" s="1"/>
  <c r="C13" i="5"/>
  <c r="M12" i="5"/>
  <c r="C12" i="5"/>
  <c r="M11" i="5"/>
  <c r="C11" i="5"/>
  <c r="K11" i="5" s="1"/>
  <c r="M10" i="5"/>
  <c r="C10" i="5"/>
  <c r="A1" i="5"/>
  <c r="M25" i="4"/>
  <c r="L25" i="4"/>
  <c r="H25" i="4"/>
  <c r="I25" i="4"/>
  <c r="N25" i="4"/>
  <c r="L24" i="4"/>
  <c r="M24" i="4"/>
  <c r="H24" i="4"/>
  <c r="I24" i="4"/>
  <c r="N24" i="4" s="1"/>
  <c r="M23" i="4"/>
  <c r="L23" i="4"/>
  <c r="H23" i="4"/>
  <c r="I23" i="4" s="1"/>
  <c r="N23" i="4" s="1"/>
  <c r="L22" i="4"/>
  <c r="M22" i="4" s="1"/>
  <c r="H22" i="4"/>
  <c r="I22" i="4"/>
  <c r="N22" i="4" s="1"/>
  <c r="M21" i="4"/>
  <c r="O21" i="4" s="1"/>
  <c r="L21" i="4"/>
  <c r="H21" i="4"/>
  <c r="I21" i="4" s="1"/>
  <c r="N21" i="4" s="1"/>
  <c r="L20" i="4"/>
  <c r="M20" i="4"/>
  <c r="H20" i="4"/>
  <c r="I20" i="4"/>
  <c r="N20" i="4" s="1"/>
  <c r="L19" i="4"/>
  <c r="M19" i="4" s="1"/>
  <c r="I19" i="4"/>
  <c r="O19" i="4" s="1"/>
  <c r="H19" i="4"/>
  <c r="L18" i="4"/>
  <c r="M18" i="4" s="1"/>
  <c r="H18" i="4"/>
  <c r="I18" i="4" s="1"/>
  <c r="N18" i="4" s="1"/>
  <c r="L17" i="4"/>
  <c r="M17" i="4"/>
  <c r="O17" i="4" s="1"/>
  <c r="H17" i="4"/>
  <c r="I17" i="4"/>
  <c r="N17" i="4"/>
  <c r="P17" i="4" s="1"/>
  <c r="L16" i="4"/>
  <c r="M16" i="4" s="1"/>
  <c r="H16" i="4"/>
  <c r="I16" i="4" s="1"/>
  <c r="N16" i="4" s="1"/>
  <c r="M15" i="4"/>
  <c r="L15" i="4"/>
  <c r="H15" i="4"/>
  <c r="I15" i="4" s="1"/>
  <c r="N15" i="4" s="1"/>
  <c r="L14" i="4"/>
  <c r="M14" i="4"/>
  <c r="H14" i="4"/>
  <c r="I14" i="4" s="1"/>
  <c r="L13" i="4"/>
  <c r="M13" i="4"/>
  <c r="O13" i="4" s="1"/>
  <c r="H13" i="4"/>
  <c r="I13" i="4"/>
  <c r="N13" i="4"/>
  <c r="L12" i="4"/>
  <c r="M12" i="4"/>
  <c r="I12" i="4"/>
  <c r="N12" i="4"/>
  <c r="H12" i="4"/>
  <c r="R384" i="3"/>
  <c r="O382" i="3"/>
  <c r="R382" i="3"/>
  <c r="N382" i="3"/>
  <c r="M382" i="3"/>
  <c r="C382" i="3"/>
  <c r="S382" i="3" s="1"/>
  <c r="O381" i="3"/>
  <c r="R381" i="3"/>
  <c r="N381" i="3"/>
  <c r="M381" i="3"/>
  <c r="S381" i="3" s="1"/>
  <c r="C381" i="3"/>
  <c r="O380" i="3"/>
  <c r="R380" i="3"/>
  <c r="N380" i="3"/>
  <c r="P380" i="3" s="1"/>
  <c r="Q380" i="3" s="1"/>
  <c r="M380" i="3"/>
  <c r="S380" i="3"/>
  <c r="C380" i="3"/>
  <c r="O379" i="3"/>
  <c r="R379" i="3"/>
  <c r="N379" i="3"/>
  <c r="M379" i="3"/>
  <c r="C379" i="3"/>
  <c r="S379" i="3" s="1"/>
  <c r="O378" i="3"/>
  <c r="N378" i="3"/>
  <c r="M378" i="3"/>
  <c r="C378" i="3"/>
  <c r="S378" i="3" s="1"/>
  <c r="P377" i="3"/>
  <c r="Q377" i="3" s="1"/>
  <c r="O377" i="3"/>
  <c r="R377" i="3"/>
  <c r="N377" i="3"/>
  <c r="M377" i="3"/>
  <c r="C377" i="3"/>
  <c r="S377" i="3" s="1"/>
  <c r="O376" i="3"/>
  <c r="N376" i="3"/>
  <c r="M376" i="3"/>
  <c r="C376" i="3"/>
  <c r="O375" i="3"/>
  <c r="P375" i="3" s="1"/>
  <c r="Q375" i="3" s="1"/>
  <c r="R375" i="3"/>
  <c r="N375" i="3"/>
  <c r="M375" i="3"/>
  <c r="S375" i="3" s="1"/>
  <c r="C375" i="3"/>
  <c r="O374" i="3"/>
  <c r="P374" i="3" s="1"/>
  <c r="Q374" i="3" s="1"/>
  <c r="R374" i="3"/>
  <c r="N374" i="3"/>
  <c r="M374" i="3"/>
  <c r="S374" i="3" s="1"/>
  <c r="C374" i="3"/>
  <c r="O373" i="3"/>
  <c r="N373" i="3"/>
  <c r="M373" i="3"/>
  <c r="C373" i="3"/>
  <c r="O372" i="3"/>
  <c r="R372" i="3" s="1"/>
  <c r="N372" i="3"/>
  <c r="P372" i="3" s="1"/>
  <c r="Q372" i="3" s="1"/>
  <c r="M372" i="3"/>
  <c r="S372" i="3"/>
  <c r="C372" i="3"/>
  <c r="O371" i="3"/>
  <c r="R371" i="3"/>
  <c r="N371" i="3"/>
  <c r="P371" i="3" s="1"/>
  <c r="Q371" i="3" s="1"/>
  <c r="M371" i="3"/>
  <c r="C371" i="3"/>
  <c r="O370" i="3"/>
  <c r="R370" i="3"/>
  <c r="N370" i="3"/>
  <c r="M370" i="3"/>
  <c r="C370" i="3"/>
  <c r="O369" i="3"/>
  <c r="P369" i="3"/>
  <c r="Q369" i="3"/>
  <c r="N369" i="3"/>
  <c r="M369" i="3"/>
  <c r="C369" i="3"/>
  <c r="S369" i="3" s="1"/>
  <c r="O368" i="3"/>
  <c r="R368" i="3"/>
  <c r="N368" i="3"/>
  <c r="P368" i="3"/>
  <c r="Q368" i="3" s="1"/>
  <c r="M368" i="3"/>
  <c r="C368" i="3"/>
  <c r="R367" i="3"/>
  <c r="O367" i="3"/>
  <c r="N367" i="3"/>
  <c r="P367" i="3"/>
  <c r="Q367" i="3"/>
  <c r="M367" i="3"/>
  <c r="C367" i="3"/>
  <c r="S367" i="3" s="1"/>
  <c r="R366" i="3"/>
  <c r="O366" i="3"/>
  <c r="N366" i="3"/>
  <c r="P366" i="3"/>
  <c r="Q366" i="3"/>
  <c r="M366" i="3"/>
  <c r="C366" i="3"/>
  <c r="S366" i="3" s="1"/>
  <c r="P365" i="3"/>
  <c r="Q365" i="3" s="1"/>
  <c r="O365" i="3"/>
  <c r="R365" i="3"/>
  <c r="N365" i="3"/>
  <c r="M365" i="3"/>
  <c r="C365" i="3"/>
  <c r="O364" i="3"/>
  <c r="R364" i="3" s="1"/>
  <c r="N364" i="3"/>
  <c r="M364" i="3"/>
  <c r="C364" i="3"/>
  <c r="S364" i="3" s="1"/>
  <c r="O363" i="3"/>
  <c r="R363" i="3"/>
  <c r="N363" i="3"/>
  <c r="M363" i="3"/>
  <c r="C363" i="3"/>
  <c r="O362" i="3"/>
  <c r="R362" i="3"/>
  <c r="N362" i="3"/>
  <c r="P362" i="3" s="1"/>
  <c r="Q362" i="3" s="1"/>
  <c r="M362" i="3"/>
  <c r="S362" i="3"/>
  <c r="C362" i="3"/>
  <c r="O361" i="3"/>
  <c r="R361" i="3"/>
  <c r="N361" i="3"/>
  <c r="M361" i="3"/>
  <c r="C361" i="3"/>
  <c r="S361" i="3" s="1"/>
  <c r="O360" i="3"/>
  <c r="N360" i="3"/>
  <c r="M360" i="3"/>
  <c r="C360" i="3"/>
  <c r="S360" i="3" s="1"/>
  <c r="Q359" i="3"/>
  <c r="O359" i="3"/>
  <c r="R359" i="3"/>
  <c r="N359" i="3"/>
  <c r="P359" i="3" s="1"/>
  <c r="M359" i="3"/>
  <c r="C359" i="3"/>
  <c r="S359" i="3" s="1"/>
  <c r="O358" i="3"/>
  <c r="R358" i="3" s="1"/>
  <c r="N358" i="3"/>
  <c r="M358" i="3"/>
  <c r="C358" i="3"/>
  <c r="O357" i="3"/>
  <c r="R357" i="3"/>
  <c r="N357" i="3"/>
  <c r="P357" i="3"/>
  <c r="Q357" i="3" s="1"/>
  <c r="M357" i="3"/>
  <c r="C357" i="3"/>
  <c r="S357" i="3" s="1"/>
  <c r="O356" i="3"/>
  <c r="N356" i="3"/>
  <c r="M356" i="3"/>
  <c r="S356" i="3"/>
  <c r="C356" i="3"/>
  <c r="O355" i="3"/>
  <c r="R355" i="3" s="1"/>
  <c r="N355" i="3"/>
  <c r="P355" i="3"/>
  <c r="Q355" i="3" s="1"/>
  <c r="M355" i="3"/>
  <c r="C355" i="3"/>
  <c r="R354" i="3"/>
  <c r="O354" i="3"/>
  <c r="N354" i="3"/>
  <c r="P354" i="3"/>
  <c r="Q354" i="3" s="1"/>
  <c r="M354" i="3"/>
  <c r="C354" i="3"/>
  <c r="S354" i="3" s="1"/>
  <c r="O353" i="3"/>
  <c r="R353" i="3" s="1"/>
  <c r="N353" i="3"/>
  <c r="P353" i="3"/>
  <c r="Q353" i="3"/>
  <c r="M353" i="3"/>
  <c r="C353" i="3"/>
  <c r="O352" i="3"/>
  <c r="R352" i="3"/>
  <c r="N352" i="3"/>
  <c r="M352" i="3"/>
  <c r="C352" i="3"/>
  <c r="O351" i="3"/>
  <c r="R351" i="3" s="1"/>
  <c r="N351" i="3"/>
  <c r="M351" i="3"/>
  <c r="S351" i="3"/>
  <c r="C351" i="3"/>
  <c r="O350" i="3"/>
  <c r="R350" i="3"/>
  <c r="N350" i="3"/>
  <c r="P350" i="3" s="1"/>
  <c r="Q350" i="3" s="1"/>
  <c r="M350" i="3"/>
  <c r="C350" i="3"/>
  <c r="O349" i="3"/>
  <c r="R349" i="3" s="1"/>
  <c r="N349" i="3"/>
  <c r="P349" i="3"/>
  <c r="Q349" i="3" s="1"/>
  <c r="M349" i="3"/>
  <c r="C349" i="3"/>
  <c r="S349" i="3" s="1"/>
  <c r="O348" i="3"/>
  <c r="R348" i="3" s="1"/>
  <c r="N348" i="3"/>
  <c r="P348" i="3"/>
  <c r="Q348" i="3" s="1"/>
  <c r="M348" i="3"/>
  <c r="C348" i="3"/>
  <c r="O347" i="3"/>
  <c r="R347" i="3" s="1"/>
  <c r="N347" i="3"/>
  <c r="P347" i="3"/>
  <c r="Q347" i="3"/>
  <c r="M347" i="3"/>
  <c r="C347" i="3"/>
  <c r="O346" i="3"/>
  <c r="R346" i="3" s="1"/>
  <c r="N346" i="3"/>
  <c r="M346" i="3"/>
  <c r="C346" i="3"/>
  <c r="S346" i="3" s="1"/>
  <c r="O345" i="3"/>
  <c r="R345" i="3"/>
  <c r="N345" i="3"/>
  <c r="P345" i="3"/>
  <c r="Q345" i="3" s="1"/>
  <c r="M345" i="3"/>
  <c r="C345" i="3"/>
  <c r="S345" i="3" s="1"/>
  <c r="O344" i="3"/>
  <c r="R344" i="3" s="1"/>
  <c r="N344" i="3"/>
  <c r="M344" i="3"/>
  <c r="C344" i="3"/>
  <c r="O343" i="3"/>
  <c r="R343" i="3" s="1"/>
  <c r="N343" i="3"/>
  <c r="M343" i="3"/>
  <c r="C343" i="3"/>
  <c r="O342" i="3"/>
  <c r="R342" i="3" s="1"/>
  <c r="N342" i="3"/>
  <c r="P342" i="3" s="1"/>
  <c r="Q342" i="3" s="1"/>
  <c r="M342" i="3"/>
  <c r="S342" i="3" s="1"/>
  <c r="C342" i="3"/>
  <c r="O341" i="3"/>
  <c r="R341" i="3"/>
  <c r="N341" i="3"/>
  <c r="M341" i="3"/>
  <c r="C341" i="3"/>
  <c r="S341" i="3" s="1"/>
  <c r="R340" i="3"/>
  <c r="O340" i="3"/>
  <c r="N340" i="3"/>
  <c r="P340" i="3"/>
  <c r="Q340" i="3" s="1"/>
  <c r="M340" i="3"/>
  <c r="C340" i="3"/>
  <c r="S340" i="3" s="1"/>
  <c r="O339" i="3"/>
  <c r="R339" i="3" s="1"/>
  <c r="N339" i="3"/>
  <c r="M339" i="3"/>
  <c r="S339" i="3" s="1"/>
  <c r="C339" i="3"/>
  <c r="O338" i="3"/>
  <c r="R338" i="3" s="1"/>
  <c r="N338" i="3"/>
  <c r="P338" i="3" s="1"/>
  <c r="Q338" i="3" s="1"/>
  <c r="M338" i="3"/>
  <c r="S338" i="3"/>
  <c r="C338" i="3"/>
  <c r="R337" i="3"/>
  <c r="O337" i="3"/>
  <c r="N337" i="3"/>
  <c r="P337" i="3"/>
  <c r="Q337" i="3" s="1"/>
  <c r="M337" i="3"/>
  <c r="S337" i="3" s="1"/>
  <c r="C337" i="3"/>
  <c r="O336" i="3"/>
  <c r="R336" i="3"/>
  <c r="N336" i="3"/>
  <c r="P336" i="3" s="1"/>
  <c r="Q336" i="3" s="1"/>
  <c r="M336" i="3"/>
  <c r="S336" i="3"/>
  <c r="C336" i="3"/>
  <c r="O335" i="3"/>
  <c r="N335" i="3"/>
  <c r="M335" i="3"/>
  <c r="S335" i="3" s="1"/>
  <c r="C335" i="3"/>
  <c r="O334" i="3"/>
  <c r="R334" i="3"/>
  <c r="N334" i="3"/>
  <c r="P334" i="3" s="1"/>
  <c r="Q334" i="3" s="1"/>
  <c r="M334" i="3"/>
  <c r="C334" i="3"/>
  <c r="O333" i="3"/>
  <c r="R333" i="3" s="1"/>
  <c r="N333" i="3"/>
  <c r="M333" i="3"/>
  <c r="S333" i="3"/>
  <c r="C333" i="3"/>
  <c r="O332" i="3"/>
  <c r="N332" i="3"/>
  <c r="M332" i="3"/>
  <c r="C332" i="3"/>
  <c r="S332" i="3" s="1"/>
  <c r="O331" i="3"/>
  <c r="R331" i="3"/>
  <c r="N331" i="3"/>
  <c r="M331" i="3"/>
  <c r="S331" i="3" s="1"/>
  <c r="C331" i="3"/>
  <c r="O330" i="3"/>
  <c r="P330" i="3" s="1"/>
  <c r="R330" i="3"/>
  <c r="N330" i="3"/>
  <c r="Q330" i="3"/>
  <c r="M330" i="3"/>
  <c r="S330" i="3" s="1"/>
  <c r="C330" i="3"/>
  <c r="R329" i="3"/>
  <c r="P329" i="3"/>
  <c r="Q329" i="3" s="1"/>
  <c r="O329" i="3"/>
  <c r="N329" i="3"/>
  <c r="M329" i="3"/>
  <c r="S329" i="3" s="1"/>
  <c r="C329" i="3"/>
  <c r="O328" i="3"/>
  <c r="P328" i="3" s="1"/>
  <c r="R328" i="3"/>
  <c r="N328" i="3"/>
  <c r="Q328" i="3"/>
  <c r="M328" i="3"/>
  <c r="S328" i="3" s="1"/>
  <c r="C328" i="3"/>
  <c r="O327" i="3"/>
  <c r="N327" i="3"/>
  <c r="M327" i="3"/>
  <c r="S327" i="3" s="1"/>
  <c r="C327" i="3"/>
  <c r="O326" i="3"/>
  <c r="R326" i="3"/>
  <c r="N326" i="3"/>
  <c r="M326" i="3"/>
  <c r="C326" i="3"/>
  <c r="S326" i="3"/>
  <c r="O325" i="3"/>
  <c r="R325" i="3" s="1"/>
  <c r="N325" i="3"/>
  <c r="P325" i="3" s="1"/>
  <c r="Q325" i="3" s="1"/>
  <c r="M325" i="3"/>
  <c r="C325" i="3"/>
  <c r="S325" i="3" s="1"/>
  <c r="O324" i="3"/>
  <c r="R324" i="3" s="1"/>
  <c r="N324" i="3"/>
  <c r="P324" i="3" s="1"/>
  <c r="Q324" i="3" s="1"/>
  <c r="M324" i="3"/>
  <c r="S324" i="3"/>
  <c r="C324" i="3"/>
  <c r="O323" i="3"/>
  <c r="R323" i="3" s="1"/>
  <c r="N323" i="3"/>
  <c r="P323" i="3" s="1"/>
  <c r="Q323" i="3" s="1"/>
  <c r="M323" i="3"/>
  <c r="C323" i="3"/>
  <c r="S323" i="3" s="1"/>
  <c r="O322" i="3"/>
  <c r="R322" i="3"/>
  <c r="N322" i="3"/>
  <c r="P322" i="3" s="1"/>
  <c r="Q322" i="3" s="1"/>
  <c r="M322" i="3"/>
  <c r="C322" i="3"/>
  <c r="S321" i="3"/>
  <c r="O321" i="3"/>
  <c r="N321" i="3"/>
  <c r="M321" i="3"/>
  <c r="C321" i="3"/>
  <c r="O320" i="3"/>
  <c r="R320" i="3" s="1"/>
  <c r="N320" i="3"/>
  <c r="P320" i="3"/>
  <c r="Q320" i="3" s="1"/>
  <c r="M320" i="3"/>
  <c r="C320" i="3"/>
  <c r="O319" i="3"/>
  <c r="R319" i="3" s="1"/>
  <c r="N319" i="3"/>
  <c r="M319" i="3"/>
  <c r="C319" i="3"/>
  <c r="O318" i="3"/>
  <c r="N318" i="3"/>
  <c r="P318" i="3" s="1"/>
  <c r="Q318" i="3" s="1"/>
  <c r="M318" i="3"/>
  <c r="S318" i="3" s="1"/>
  <c r="C318" i="3"/>
  <c r="O317" i="3"/>
  <c r="P317" i="3" s="1"/>
  <c r="Q317" i="3" s="1"/>
  <c r="R317" i="3"/>
  <c r="N317" i="3"/>
  <c r="M317" i="3"/>
  <c r="C317" i="3"/>
  <c r="O316" i="3"/>
  <c r="R316" i="3"/>
  <c r="N316" i="3"/>
  <c r="P316" i="3" s="1"/>
  <c r="Q316" i="3" s="1"/>
  <c r="M316" i="3"/>
  <c r="C316" i="3"/>
  <c r="R315" i="3"/>
  <c r="O315" i="3"/>
  <c r="N315" i="3"/>
  <c r="P315" i="3" s="1"/>
  <c r="Q315" i="3"/>
  <c r="M315" i="3"/>
  <c r="S315" i="3" s="1"/>
  <c r="C315" i="3"/>
  <c r="O314" i="3"/>
  <c r="R314" i="3"/>
  <c r="N314" i="3"/>
  <c r="M314" i="3"/>
  <c r="C314" i="3"/>
  <c r="S314" i="3" s="1"/>
  <c r="R313" i="3"/>
  <c r="O313" i="3"/>
  <c r="N313" i="3"/>
  <c r="P313" i="3"/>
  <c r="Q313" i="3" s="1"/>
  <c r="M313" i="3"/>
  <c r="C313" i="3"/>
  <c r="S313" i="3" s="1"/>
  <c r="R312" i="3"/>
  <c r="O312" i="3"/>
  <c r="N312" i="3"/>
  <c r="P312" i="3"/>
  <c r="Q312" i="3" s="1"/>
  <c r="M312" i="3"/>
  <c r="C312" i="3"/>
  <c r="S312" i="3" s="1"/>
  <c r="O311" i="3"/>
  <c r="R311" i="3" s="1"/>
  <c r="N311" i="3"/>
  <c r="P311" i="3"/>
  <c r="Q311" i="3"/>
  <c r="M311" i="3"/>
  <c r="C311" i="3"/>
  <c r="S311" i="3" s="1"/>
  <c r="R310" i="3"/>
  <c r="O310" i="3"/>
  <c r="N310" i="3"/>
  <c r="M310" i="3"/>
  <c r="S310" i="3"/>
  <c r="C310" i="3"/>
  <c r="O309" i="3"/>
  <c r="N309" i="3"/>
  <c r="M309" i="3"/>
  <c r="C309" i="3"/>
  <c r="Q308" i="3"/>
  <c r="O308" i="3"/>
  <c r="R308" i="3"/>
  <c r="N308" i="3"/>
  <c r="P308" i="3" s="1"/>
  <c r="M308" i="3"/>
  <c r="S308" i="3" s="1"/>
  <c r="C308" i="3"/>
  <c r="R307" i="3"/>
  <c r="O307" i="3"/>
  <c r="N307" i="3"/>
  <c r="M307" i="3"/>
  <c r="S307" i="3"/>
  <c r="C307" i="3"/>
  <c r="O306" i="3"/>
  <c r="R306" i="3" s="1"/>
  <c r="N306" i="3"/>
  <c r="M306" i="3"/>
  <c r="C306" i="3"/>
  <c r="O305" i="3"/>
  <c r="R305" i="3"/>
  <c r="N305" i="3"/>
  <c r="P305" i="3" s="1"/>
  <c r="Q305" i="3" s="1"/>
  <c r="M305" i="3"/>
  <c r="C305" i="3"/>
  <c r="O304" i="3"/>
  <c r="R304" i="3"/>
  <c r="N304" i="3"/>
  <c r="P304" i="3"/>
  <c r="Q304" i="3" s="1"/>
  <c r="M304" i="3"/>
  <c r="S304" i="3" s="1"/>
  <c r="C304" i="3"/>
  <c r="O303" i="3"/>
  <c r="R303" i="3"/>
  <c r="N303" i="3"/>
  <c r="P303" i="3"/>
  <c r="Q303" i="3" s="1"/>
  <c r="M303" i="3"/>
  <c r="S303" i="3"/>
  <c r="C303" i="3"/>
  <c r="O302" i="3"/>
  <c r="R302" i="3" s="1"/>
  <c r="N302" i="3"/>
  <c r="P302" i="3"/>
  <c r="Q302" i="3" s="1"/>
  <c r="M302" i="3"/>
  <c r="C302" i="3"/>
  <c r="S302" i="3" s="1"/>
  <c r="O301" i="3"/>
  <c r="R301" i="3"/>
  <c r="N301" i="3"/>
  <c r="P301" i="3"/>
  <c r="Q301" i="3" s="1"/>
  <c r="M301" i="3"/>
  <c r="C301" i="3"/>
  <c r="O300" i="3"/>
  <c r="R300" i="3" s="1"/>
  <c r="N300" i="3"/>
  <c r="P300" i="3"/>
  <c r="Q300" i="3" s="1"/>
  <c r="M300" i="3"/>
  <c r="C300" i="3"/>
  <c r="R299" i="3"/>
  <c r="O299" i="3"/>
  <c r="N299" i="3"/>
  <c r="P299" i="3"/>
  <c r="Q299" i="3"/>
  <c r="M299" i="3"/>
  <c r="C299" i="3"/>
  <c r="O298" i="3"/>
  <c r="P298" i="3" s="1"/>
  <c r="Q298" i="3" s="1"/>
  <c r="R298" i="3"/>
  <c r="N298" i="3"/>
  <c r="M298" i="3"/>
  <c r="S298" i="3" s="1"/>
  <c r="C298" i="3"/>
  <c r="O297" i="3"/>
  <c r="N297" i="3"/>
  <c r="M297" i="3"/>
  <c r="S297" i="3"/>
  <c r="C297" i="3"/>
  <c r="R296" i="3"/>
  <c r="P296" i="3"/>
  <c r="Q296" i="3"/>
  <c r="O296" i="3"/>
  <c r="N296" i="3"/>
  <c r="M296" i="3"/>
  <c r="S296" i="3"/>
  <c r="C296" i="3"/>
  <c r="O295" i="3"/>
  <c r="R295" i="3"/>
  <c r="N295" i="3"/>
  <c r="P295" i="3" s="1"/>
  <c r="Q295" i="3"/>
  <c r="M295" i="3"/>
  <c r="S295" i="3"/>
  <c r="C295" i="3"/>
  <c r="O294" i="3"/>
  <c r="R294" i="3" s="1"/>
  <c r="N294" i="3"/>
  <c r="M294" i="3"/>
  <c r="S294" i="3" s="1"/>
  <c r="C294" i="3"/>
  <c r="P293" i="3"/>
  <c r="Q293" i="3"/>
  <c r="O293" i="3"/>
  <c r="R293" i="3" s="1"/>
  <c r="N293" i="3"/>
  <c r="M293" i="3"/>
  <c r="S293" i="3"/>
  <c r="C293" i="3"/>
  <c r="O292" i="3"/>
  <c r="R292" i="3"/>
  <c r="N292" i="3"/>
  <c r="P292" i="3" s="1"/>
  <c r="Q292" i="3" s="1"/>
  <c r="M292" i="3"/>
  <c r="C292" i="3"/>
  <c r="O291" i="3"/>
  <c r="N291" i="3"/>
  <c r="M291" i="3"/>
  <c r="S291" i="3"/>
  <c r="C291" i="3"/>
  <c r="O290" i="3"/>
  <c r="R290" i="3"/>
  <c r="N290" i="3"/>
  <c r="P290" i="3" s="1"/>
  <c r="Q290" i="3" s="1"/>
  <c r="M290" i="3"/>
  <c r="C290" i="3"/>
  <c r="S290" i="3"/>
  <c r="O289" i="3"/>
  <c r="R289" i="3" s="1"/>
  <c r="N289" i="3"/>
  <c r="P289" i="3"/>
  <c r="Q289" i="3" s="1"/>
  <c r="M289" i="3"/>
  <c r="C289" i="3"/>
  <c r="R288" i="3"/>
  <c r="O288" i="3"/>
  <c r="N288" i="3"/>
  <c r="P288" i="3" s="1"/>
  <c r="Q288" i="3" s="1"/>
  <c r="M288" i="3"/>
  <c r="S288" i="3"/>
  <c r="C288" i="3"/>
  <c r="R287" i="3"/>
  <c r="O287" i="3"/>
  <c r="P287" i="3"/>
  <c r="Q287" i="3" s="1"/>
  <c r="N287" i="3"/>
  <c r="M287" i="3"/>
  <c r="C287" i="3"/>
  <c r="O286" i="3"/>
  <c r="R286" i="3" s="1"/>
  <c r="N286" i="3"/>
  <c r="P286" i="3"/>
  <c r="Q286" i="3" s="1"/>
  <c r="M286" i="3"/>
  <c r="C286" i="3"/>
  <c r="R285" i="3"/>
  <c r="P285" i="3"/>
  <c r="Q285" i="3" s="1"/>
  <c r="O285" i="3"/>
  <c r="N285" i="3"/>
  <c r="M285" i="3"/>
  <c r="S285" i="3" s="1"/>
  <c r="C285" i="3"/>
  <c r="O284" i="3"/>
  <c r="R284" i="3"/>
  <c r="N284" i="3"/>
  <c r="M284" i="3"/>
  <c r="C284" i="3"/>
  <c r="O283" i="3"/>
  <c r="R283" i="3"/>
  <c r="N283" i="3"/>
  <c r="M283" i="3"/>
  <c r="C283" i="3"/>
  <c r="O282" i="3"/>
  <c r="R282" i="3" s="1"/>
  <c r="N282" i="3"/>
  <c r="M282" i="3"/>
  <c r="C282" i="3"/>
  <c r="P281" i="3"/>
  <c r="Q281" i="3" s="1"/>
  <c r="O281" i="3"/>
  <c r="R281" i="3" s="1"/>
  <c r="N281" i="3"/>
  <c r="M281" i="3"/>
  <c r="S281" i="3" s="1"/>
  <c r="C281" i="3"/>
  <c r="O280" i="3"/>
  <c r="R280" i="3"/>
  <c r="N280" i="3"/>
  <c r="M280" i="3"/>
  <c r="C280" i="3"/>
  <c r="R279" i="3"/>
  <c r="Q279" i="3"/>
  <c r="O279" i="3"/>
  <c r="N279" i="3"/>
  <c r="P279" i="3"/>
  <c r="M279" i="3"/>
  <c r="S279" i="3" s="1"/>
  <c r="C279" i="3"/>
  <c r="O278" i="3"/>
  <c r="R278" i="3" s="1"/>
  <c r="N278" i="3"/>
  <c r="M278" i="3"/>
  <c r="C278" i="3"/>
  <c r="O277" i="3"/>
  <c r="P277" i="3" s="1"/>
  <c r="Q277" i="3" s="1"/>
  <c r="N277" i="3"/>
  <c r="M277" i="3"/>
  <c r="C277" i="3"/>
  <c r="O276" i="3"/>
  <c r="R276" i="3" s="1"/>
  <c r="N276" i="3"/>
  <c r="P276" i="3"/>
  <c r="Q276" i="3" s="1"/>
  <c r="M276" i="3"/>
  <c r="C276" i="3"/>
  <c r="Q275" i="3"/>
  <c r="O275" i="3"/>
  <c r="R275" i="3" s="1"/>
  <c r="N275" i="3"/>
  <c r="P275" i="3"/>
  <c r="M275" i="3"/>
  <c r="C275" i="3"/>
  <c r="O274" i="3"/>
  <c r="R274" i="3" s="1"/>
  <c r="N274" i="3"/>
  <c r="P274" i="3" s="1"/>
  <c r="Q274" i="3" s="1"/>
  <c r="M274" i="3"/>
  <c r="C274" i="3"/>
  <c r="S274" i="3"/>
  <c r="O273" i="3"/>
  <c r="N273" i="3"/>
  <c r="M273" i="3"/>
  <c r="C273" i="3"/>
  <c r="O272" i="3"/>
  <c r="R272" i="3"/>
  <c r="N272" i="3"/>
  <c r="P272" i="3" s="1"/>
  <c r="Q272" i="3" s="1"/>
  <c r="M272" i="3"/>
  <c r="C272" i="3"/>
  <c r="O271" i="3"/>
  <c r="R271" i="3" s="1"/>
  <c r="N271" i="3"/>
  <c r="M271" i="3"/>
  <c r="C271" i="3"/>
  <c r="S271" i="3" s="1"/>
  <c r="O270" i="3"/>
  <c r="R270" i="3" s="1"/>
  <c r="N270" i="3"/>
  <c r="P270" i="3" s="1"/>
  <c r="Q270" i="3" s="1"/>
  <c r="M270" i="3"/>
  <c r="C270" i="3"/>
  <c r="S270" i="3" s="1"/>
  <c r="O269" i="3"/>
  <c r="R269" i="3"/>
  <c r="N269" i="3"/>
  <c r="P269" i="3"/>
  <c r="Q269" i="3" s="1"/>
  <c r="M269" i="3"/>
  <c r="C269" i="3"/>
  <c r="S269" i="3"/>
  <c r="O268" i="3"/>
  <c r="R268" i="3" s="1"/>
  <c r="N268" i="3"/>
  <c r="P268" i="3"/>
  <c r="Q268" i="3" s="1"/>
  <c r="M268" i="3"/>
  <c r="C268" i="3"/>
  <c r="R267" i="3"/>
  <c r="O267" i="3"/>
  <c r="N267" i="3"/>
  <c r="P267" i="3"/>
  <c r="Q267" i="3"/>
  <c r="M267" i="3"/>
  <c r="C267" i="3"/>
  <c r="O266" i="3"/>
  <c r="R266" i="3" s="1"/>
  <c r="N266" i="3"/>
  <c r="M266" i="3"/>
  <c r="S266" i="3"/>
  <c r="C266" i="3"/>
  <c r="O265" i="3"/>
  <c r="R265" i="3" s="1"/>
  <c r="N265" i="3"/>
  <c r="M265" i="3"/>
  <c r="C265" i="3"/>
  <c r="S265" i="3" s="1"/>
  <c r="O264" i="3"/>
  <c r="R264" i="3"/>
  <c r="N264" i="3"/>
  <c r="P264" i="3"/>
  <c r="Q264" i="3" s="1"/>
  <c r="M264" i="3"/>
  <c r="C264" i="3"/>
  <c r="O263" i="3"/>
  <c r="N263" i="3"/>
  <c r="M263" i="3"/>
  <c r="S263" i="3" s="1"/>
  <c r="C263" i="3"/>
  <c r="O262" i="3"/>
  <c r="P262" i="3" s="1"/>
  <c r="Q262" i="3" s="1"/>
  <c r="N262" i="3"/>
  <c r="M262" i="3"/>
  <c r="C262" i="3"/>
  <c r="O261" i="3"/>
  <c r="R261" i="3" s="1"/>
  <c r="N261" i="3"/>
  <c r="P261" i="3" s="1"/>
  <c r="Q261" i="3" s="1"/>
  <c r="M261" i="3"/>
  <c r="C261" i="3"/>
  <c r="P260" i="3"/>
  <c r="Q260" i="3" s="1"/>
  <c r="O260" i="3"/>
  <c r="R260" i="3" s="1"/>
  <c r="N260" i="3"/>
  <c r="M260" i="3"/>
  <c r="C260" i="3"/>
  <c r="O259" i="3"/>
  <c r="R259" i="3"/>
  <c r="N259" i="3"/>
  <c r="P259" i="3" s="1"/>
  <c r="Q259" i="3" s="1"/>
  <c r="M259" i="3"/>
  <c r="C259" i="3"/>
  <c r="O258" i="3"/>
  <c r="R258" i="3" s="1"/>
  <c r="N258" i="3"/>
  <c r="M258" i="3"/>
  <c r="C258" i="3"/>
  <c r="R257" i="3"/>
  <c r="O257" i="3"/>
  <c r="N257" i="3"/>
  <c r="P257" i="3" s="1"/>
  <c r="Q257" i="3" s="1"/>
  <c r="M257" i="3"/>
  <c r="S257" i="3" s="1"/>
  <c r="C257" i="3"/>
  <c r="O256" i="3"/>
  <c r="R256" i="3"/>
  <c r="N256" i="3"/>
  <c r="M256" i="3"/>
  <c r="S256" i="3"/>
  <c r="C256" i="3"/>
  <c r="O255" i="3"/>
  <c r="R255" i="3" s="1"/>
  <c r="N255" i="3"/>
  <c r="P255" i="3" s="1"/>
  <c r="Q255" i="3" s="1"/>
  <c r="M255" i="3"/>
  <c r="S255" i="3"/>
  <c r="C255" i="3"/>
  <c r="O254" i="3"/>
  <c r="R254" i="3"/>
  <c r="N254" i="3"/>
  <c r="P254" i="3" s="1"/>
  <c r="Q254" i="3"/>
  <c r="M254" i="3"/>
  <c r="C254" i="3"/>
  <c r="S254" i="3" s="1"/>
  <c r="R253" i="3"/>
  <c r="O253" i="3"/>
  <c r="N253" i="3"/>
  <c r="P253" i="3"/>
  <c r="Q253" i="3"/>
  <c r="M253" i="3"/>
  <c r="C253" i="3"/>
  <c r="O252" i="3"/>
  <c r="N252" i="3"/>
  <c r="M252" i="3"/>
  <c r="S252" i="3" s="1"/>
  <c r="C252" i="3"/>
  <c r="O251" i="3"/>
  <c r="P251" i="3" s="1"/>
  <c r="Q251" i="3" s="1"/>
  <c r="R251" i="3"/>
  <c r="N251" i="3"/>
  <c r="M251" i="3"/>
  <c r="C251" i="3"/>
  <c r="O250" i="3"/>
  <c r="P250" i="3" s="1"/>
  <c r="Q250" i="3" s="1"/>
  <c r="R250" i="3"/>
  <c r="N250" i="3"/>
  <c r="M250" i="3"/>
  <c r="S250" i="3"/>
  <c r="C250" i="3"/>
  <c r="R249" i="3"/>
  <c r="P249" i="3"/>
  <c r="Q249" i="3" s="1"/>
  <c r="O249" i="3"/>
  <c r="N249" i="3"/>
  <c r="M249" i="3"/>
  <c r="S249" i="3"/>
  <c r="C249" i="3"/>
  <c r="R248" i="3"/>
  <c r="P248" i="3"/>
  <c r="Q248" i="3"/>
  <c r="O248" i="3"/>
  <c r="N248" i="3"/>
  <c r="M248" i="3"/>
  <c r="C248" i="3"/>
  <c r="O247" i="3"/>
  <c r="R247" i="3"/>
  <c r="N247" i="3"/>
  <c r="M247" i="3"/>
  <c r="C247" i="3"/>
  <c r="R246" i="3"/>
  <c r="P246" i="3"/>
  <c r="Q246" i="3" s="1"/>
  <c r="O246" i="3"/>
  <c r="N246" i="3"/>
  <c r="M246" i="3"/>
  <c r="S246" i="3" s="1"/>
  <c r="C246" i="3"/>
  <c r="O245" i="3"/>
  <c r="R245" i="3" s="1"/>
  <c r="N245" i="3"/>
  <c r="P245" i="3" s="1"/>
  <c r="Q245" i="3" s="1"/>
  <c r="M245" i="3"/>
  <c r="C245" i="3"/>
  <c r="O244" i="3"/>
  <c r="R244" i="3"/>
  <c r="N244" i="3"/>
  <c r="P244" i="3"/>
  <c r="Q244" i="3" s="1"/>
  <c r="M244" i="3"/>
  <c r="C244" i="3"/>
  <c r="S244" i="3"/>
  <c r="O243" i="3"/>
  <c r="N243" i="3"/>
  <c r="P243" i="3" s="1"/>
  <c r="Q243" i="3" s="1"/>
  <c r="M243" i="3"/>
  <c r="C243" i="3"/>
  <c r="S243" i="3" s="1"/>
  <c r="O242" i="3"/>
  <c r="N242" i="3"/>
  <c r="M242" i="3"/>
  <c r="C242" i="3"/>
  <c r="S242" i="3" s="1"/>
  <c r="O241" i="3"/>
  <c r="N241" i="3"/>
  <c r="M241" i="3"/>
  <c r="C241" i="3"/>
  <c r="S241" i="3" s="1"/>
  <c r="O240" i="3"/>
  <c r="R240" i="3" s="1"/>
  <c r="N240" i="3"/>
  <c r="M240" i="3"/>
  <c r="C240" i="3"/>
  <c r="S240" i="3" s="1"/>
  <c r="O239" i="3"/>
  <c r="R239" i="3" s="1"/>
  <c r="N239" i="3"/>
  <c r="P239" i="3"/>
  <c r="Q239" i="3" s="1"/>
  <c r="M239" i="3"/>
  <c r="C239" i="3"/>
  <c r="S239" i="3" s="1"/>
  <c r="O238" i="3"/>
  <c r="R238" i="3"/>
  <c r="N238" i="3"/>
  <c r="M238" i="3"/>
  <c r="C238" i="3"/>
  <c r="O237" i="3"/>
  <c r="R237" i="3" s="1"/>
  <c r="P237" i="3"/>
  <c r="Q237" i="3" s="1"/>
  <c r="N237" i="3"/>
  <c r="M237" i="3"/>
  <c r="S237" i="3"/>
  <c r="C237" i="3"/>
  <c r="O236" i="3"/>
  <c r="R236" i="3"/>
  <c r="N236" i="3"/>
  <c r="M236" i="3"/>
  <c r="C236" i="3"/>
  <c r="S236" i="3"/>
  <c r="O235" i="3"/>
  <c r="R235" i="3" s="1"/>
  <c r="N235" i="3"/>
  <c r="M235" i="3"/>
  <c r="C235" i="3"/>
  <c r="O234" i="3"/>
  <c r="N234" i="3"/>
  <c r="M234" i="3"/>
  <c r="S234" i="3" s="1"/>
  <c r="C234" i="3"/>
  <c r="O233" i="3"/>
  <c r="R233" i="3" s="1"/>
  <c r="N233" i="3"/>
  <c r="P233" i="3" s="1"/>
  <c r="Q233" i="3" s="1"/>
  <c r="M233" i="3"/>
  <c r="S233" i="3"/>
  <c r="C233" i="3"/>
  <c r="O232" i="3"/>
  <c r="R232" i="3"/>
  <c r="N232" i="3"/>
  <c r="P232" i="3" s="1"/>
  <c r="Q232" i="3" s="1"/>
  <c r="M232" i="3"/>
  <c r="S232" i="3"/>
  <c r="C232" i="3"/>
  <c r="O231" i="3"/>
  <c r="R231" i="3" s="1"/>
  <c r="P231" i="3"/>
  <c r="Q231" i="3" s="1"/>
  <c r="N231" i="3"/>
  <c r="M231" i="3"/>
  <c r="S231" i="3" s="1"/>
  <c r="C231" i="3"/>
  <c r="O230" i="3"/>
  <c r="R230" i="3"/>
  <c r="N230" i="3"/>
  <c r="P230" i="3" s="1"/>
  <c r="Q230" i="3" s="1"/>
  <c r="M230" i="3"/>
  <c r="C230" i="3"/>
  <c r="O229" i="3"/>
  <c r="R229" i="3"/>
  <c r="N229" i="3"/>
  <c r="M229" i="3"/>
  <c r="S229" i="3" s="1"/>
  <c r="C229" i="3"/>
  <c r="O228" i="3"/>
  <c r="R228" i="3"/>
  <c r="N228" i="3"/>
  <c r="M228" i="3"/>
  <c r="C228" i="3"/>
  <c r="S228" i="3"/>
  <c r="O227" i="3"/>
  <c r="R227" i="3" s="1"/>
  <c r="N227" i="3"/>
  <c r="P227" i="3"/>
  <c r="Q227" i="3" s="1"/>
  <c r="M227" i="3"/>
  <c r="C227" i="3"/>
  <c r="S227" i="3" s="1"/>
  <c r="O226" i="3"/>
  <c r="R226" i="3"/>
  <c r="N226" i="3"/>
  <c r="P226" i="3"/>
  <c r="Q226" i="3" s="1"/>
  <c r="M226" i="3"/>
  <c r="C226" i="3"/>
  <c r="S226" i="3" s="1"/>
  <c r="O225" i="3"/>
  <c r="R225" i="3"/>
  <c r="N225" i="3"/>
  <c r="P225" i="3" s="1"/>
  <c r="Q225" i="3" s="1"/>
  <c r="M225" i="3"/>
  <c r="C225" i="3"/>
  <c r="S225" i="3" s="1"/>
  <c r="O224" i="3"/>
  <c r="N224" i="3"/>
  <c r="M224" i="3"/>
  <c r="C224" i="3"/>
  <c r="S224" i="3"/>
  <c r="O223" i="3"/>
  <c r="R223" i="3"/>
  <c r="N223" i="3"/>
  <c r="P223" i="3" s="1"/>
  <c r="Q223" i="3" s="1"/>
  <c r="M223" i="3"/>
  <c r="C223" i="3"/>
  <c r="R222" i="3"/>
  <c r="O222" i="3"/>
  <c r="N222" i="3"/>
  <c r="P222" i="3" s="1"/>
  <c r="Q222" i="3" s="1"/>
  <c r="M222" i="3"/>
  <c r="C222" i="3"/>
  <c r="O221" i="3"/>
  <c r="R221" i="3"/>
  <c r="N221" i="3"/>
  <c r="P221" i="3" s="1"/>
  <c r="Q221" i="3" s="1"/>
  <c r="M221" i="3"/>
  <c r="S221" i="3" s="1"/>
  <c r="C221" i="3"/>
  <c r="O220" i="3"/>
  <c r="P220" i="3" s="1"/>
  <c r="Q220" i="3" s="1"/>
  <c r="R220" i="3"/>
  <c r="N220" i="3"/>
  <c r="M220" i="3"/>
  <c r="C220" i="3"/>
  <c r="R219" i="3"/>
  <c r="P219" i="3"/>
  <c r="Q219" i="3" s="1"/>
  <c r="O219" i="3"/>
  <c r="N219" i="3"/>
  <c r="M219" i="3"/>
  <c r="S219" i="3" s="1"/>
  <c r="C219" i="3"/>
  <c r="O218" i="3"/>
  <c r="R218" i="3" s="1"/>
  <c r="N218" i="3"/>
  <c r="P218" i="3" s="1"/>
  <c r="Q218" i="3" s="1"/>
  <c r="M218" i="3"/>
  <c r="C218" i="3"/>
  <c r="O217" i="3"/>
  <c r="R217" i="3"/>
  <c r="N217" i="3"/>
  <c r="P217" i="3"/>
  <c r="Q217" i="3" s="1"/>
  <c r="M217" i="3"/>
  <c r="C217" i="3"/>
  <c r="O216" i="3"/>
  <c r="R216" i="3" s="1"/>
  <c r="N216" i="3"/>
  <c r="M216" i="3"/>
  <c r="S216" i="3" s="1"/>
  <c r="C216" i="3"/>
  <c r="O215" i="3"/>
  <c r="R215" i="3" s="1"/>
  <c r="N215" i="3"/>
  <c r="M215" i="3"/>
  <c r="S215" i="3"/>
  <c r="C215" i="3"/>
  <c r="O214" i="3"/>
  <c r="R214" i="3" s="1"/>
  <c r="N214" i="3"/>
  <c r="P214" i="3" s="1"/>
  <c r="Q214" i="3" s="1"/>
  <c r="M214" i="3"/>
  <c r="S214" i="3"/>
  <c r="C214" i="3"/>
  <c r="O213" i="3"/>
  <c r="R213" i="3" s="1"/>
  <c r="N213" i="3"/>
  <c r="M213" i="3"/>
  <c r="C213" i="3"/>
  <c r="O212" i="3"/>
  <c r="R212" i="3"/>
  <c r="N212" i="3"/>
  <c r="P212" i="3"/>
  <c r="Q212" i="3" s="1"/>
  <c r="M212" i="3"/>
  <c r="C212" i="3"/>
  <c r="S212" i="3" s="1"/>
  <c r="O211" i="3"/>
  <c r="R211" i="3"/>
  <c r="N211" i="3"/>
  <c r="P211" i="3"/>
  <c r="Q211" i="3" s="1"/>
  <c r="M211" i="3"/>
  <c r="C211" i="3"/>
  <c r="S211" i="3" s="1"/>
  <c r="O210" i="3"/>
  <c r="R210" i="3"/>
  <c r="N210" i="3"/>
  <c r="P210" i="3" s="1"/>
  <c r="Q210" i="3" s="1"/>
  <c r="M210" i="3"/>
  <c r="C210" i="3"/>
  <c r="S210" i="3"/>
  <c r="O209" i="3"/>
  <c r="R209" i="3" s="1"/>
  <c r="N209" i="3"/>
  <c r="P209" i="3"/>
  <c r="Q209" i="3" s="1"/>
  <c r="M209" i="3"/>
  <c r="C209" i="3"/>
  <c r="S209" i="3"/>
  <c r="O208" i="3"/>
  <c r="R208" i="3"/>
  <c r="N208" i="3"/>
  <c r="M208" i="3"/>
  <c r="S208" i="3" s="1"/>
  <c r="C208" i="3"/>
  <c r="O207" i="3"/>
  <c r="R207" i="3"/>
  <c r="N207" i="3"/>
  <c r="M207" i="3"/>
  <c r="C207" i="3"/>
  <c r="S207" i="3" s="1"/>
  <c r="R206" i="3"/>
  <c r="P206" i="3"/>
  <c r="Q206" i="3" s="1"/>
  <c r="O206" i="3"/>
  <c r="N206" i="3"/>
  <c r="M206" i="3"/>
  <c r="S206" i="3" s="1"/>
  <c r="C206" i="3"/>
  <c r="O205" i="3"/>
  <c r="R205" i="3"/>
  <c r="N205" i="3"/>
  <c r="P205" i="3" s="1"/>
  <c r="Q205" i="3" s="1"/>
  <c r="M205" i="3"/>
  <c r="C205" i="3"/>
  <c r="R204" i="3"/>
  <c r="O204" i="3"/>
  <c r="N204" i="3"/>
  <c r="P204" i="3" s="1"/>
  <c r="Q204" i="3" s="1"/>
  <c r="M204" i="3"/>
  <c r="C204" i="3"/>
  <c r="S204" i="3" s="1"/>
  <c r="O203" i="3"/>
  <c r="N203" i="3"/>
  <c r="M203" i="3"/>
  <c r="C203" i="3"/>
  <c r="S203" i="3" s="1"/>
  <c r="O202" i="3"/>
  <c r="N202" i="3"/>
  <c r="M202" i="3"/>
  <c r="C202" i="3"/>
  <c r="R201" i="3"/>
  <c r="O201" i="3"/>
  <c r="N201" i="3"/>
  <c r="P201" i="3" s="1"/>
  <c r="Q201" i="3" s="1"/>
  <c r="M201" i="3"/>
  <c r="S201" i="3" s="1"/>
  <c r="C201" i="3"/>
  <c r="R200" i="3"/>
  <c r="P200" i="3"/>
  <c r="Q200" i="3" s="1"/>
  <c r="O200" i="3"/>
  <c r="N200" i="3"/>
  <c r="M200" i="3"/>
  <c r="S200" i="3" s="1"/>
  <c r="C200" i="3"/>
  <c r="O199" i="3"/>
  <c r="P199" i="3" s="1"/>
  <c r="Q199" i="3" s="1"/>
  <c r="R199" i="3"/>
  <c r="N199" i="3"/>
  <c r="M199" i="3"/>
  <c r="C199" i="3"/>
  <c r="R198" i="3"/>
  <c r="P198" i="3"/>
  <c r="Q198" i="3"/>
  <c r="O198" i="3"/>
  <c r="N198" i="3"/>
  <c r="M198" i="3"/>
  <c r="S198" i="3" s="1"/>
  <c r="C198" i="3"/>
  <c r="O197" i="3"/>
  <c r="R197" i="3"/>
  <c r="N197" i="3"/>
  <c r="P197" i="3" s="1"/>
  <c r="Q197" i="3" s="1"/>
  <c r="M197" i="3"/>
  <c r="C197" i="3"/>
  <c r="O196" i="3"/>
  <c r="R196" i="3"/>
  <c r="N196" i="3"/>
  <c r="P196" i="3" s="1"/>
  <c r="Q196" i="3" s="1"/>
  <c r="M196" i="3"/>
  <c r="C196" i="3"/>
  <c r="O195" i="3"/>
  <c r="R195" i="3" s="1"/>
  <c r="N195" i="3"/>
  <c r="M195" i="3"/>
  <c r="C195" i="3"/>
  <c r="O194" i="3"/>
  <c r="R194" i="3" s="1"/>
  <c r="N194" i="3"/>
  <c r="P194" i="3"/>
  <c r="Q194" i="3" s="1"/>
  <c r="M194" i="3"/>
  <c r="C194" i="3"/>
  <c r="O193" i="3"/>
  <c r="N193" i="3"/>
  <c r="M193" i="3"/>
  <c r="C193" i="3"/>
  <c r="O192" i="3"/>
  <c r="R192" i="3"/>
  <c r="N192" i="3"/>
  <c r="M192" i="3"/>
  <c r="C192" i="3"/>
  <c r="S192" i="3" s="1"/>
  <c r="O191" i="3"/>
  <c r="R191" i="3"/>
  <c r="N191" i="3"/>
  <c r="M191" i="3"/>
  <c r="C191" i="3"/>
  <c r="O190" i="3"/>
  <c r="P190" i="3" s="1"/>
  <c r="Q190" i="3" s="1"/>
  <c r="R190" i="3"/>
  <c r="N190" i="3"/>
  <c r="M190" i="3"/>
  <c r="S190" i="3"/>
  <c r="C190" i="3"/>
  <c r="O189" i="3"/>
  <c r="N189" i="3"/>
  <c r="M189" i="3"/>
  <c r="S189" i="3" s="1"/>
  <c r="C189" i="3"/>
  <c r="O188" i="3"/>
  <c r="R188" i="3" s="1"/>
  <c r="N188" i="3"/>
  <c r="P188" i="3" s="1"/>
  <c r="Q188" i="3" s="1"/>
  <c r="M188" i="3"/>
  <c r="C188" i="3"/>
  <c r="O187" i="3"/>
  <c r="R187" i="3"/>
  <c r="N187" i="3"/>
  <c r="P187" i="3" s="1"/>
  <c r="Q187" i="3" s="1"/>
  <c r="M187" i="3"/>
  <c r="C187" i="3"/>
  <c r="S187" i="3" s="1"/>
  <c r="O186" i="3"/>
  <c r="R186" i="3" s="1"/>
  <c r="P186" i="3"/>
  <c r="Q186" i="3"/>
  <c r="N186" i="3"/>
  <c r="M186" i="3"/>
  <c r="C186" i="3"/>
  <c r="O185" i="3"/>
  <c r="N185" i="3"/>
  <c r="M185" i="3"/>
  <c r="C185" i="3"/>
  <c r="Q184" i="3"/>
  <c r="O184" i="3"/>
  <c r="R184" i="3"/>
  <c r="N184" i="3"/>
  <c r="P184" i="3" s="1"/>
  <c r="M184" i="3"/>
  <c r="S184" i="3" s="1"/>
  <c r="C184" i="3"/>
  <c r="R183" i="3"/>
  <c r="P183" i="3"/>
  <c r="Q183" i="3" s="1"/>
  <c r="O183" i="3"/>
  <c r="N183" i="3"/>
  <c r="M183" i="3"/>
  <c r="S183" i="3" s="1"/>
  <c r="C183" i="3"/>
  <c r="O182" i="3"/>
  <c r="R182" i="3"/>
  <c r="N182" i="3"/>
  <c r="M182" i="3"/>
  <c r="C182" i="3"/>
  <c r="O181" i="3"/>
  <c r="N181" i="3"/>
  <c r="M181" i="3"/>
  <c r="C181" i="3"/>
  <c r="O180" i="3"/>
  <c r="R180" i="3"/>
  <c r="N180" i="3"/>
  <c r="M180" i="3"/>
  <c r="C180" i="3"/>
  <c r="R179" i="3"/>
  <c r="O179" i="3"/>
  <c r="N179" i="3"/>
  <c r="P179" i="3"/>
  <c r="Q179" i="3"/>
  <c r="M179" i="3"/>
  <c r="C179" i="3"/>
  <c r="S179" i="3" s="1"/>
  <c r="O178" i="3"/>
  <c r="N178" i="3"/>
  <c r="M178" i="3"/>
  <c r="C178" i="3"/>
  <c r="S178" i="3" s="1"/>
  <c r="R177" i="3"/>
  <c r="O177" i="3"/>
  <c r="N177" i="3"/>
  <c r="P177" i="3" s="1"/>
  <c r="Q177" i="3" s="1"/>
  <c r="M177" i="3"/>
  <c r="C177" i="3"/>
  <c r="S177" i="3"/>
  <c r="R176" i="3"/>
  <c r="O176" i="3"/>
  <c r="N176" i="3"/>
  <c r="P176" i="3"/>
  <c r="Q176" i="3"/>
  <c r="M176" i="3"/>
  <c r="C176" i="3"/>
  <c r="O175" i="3"/>
  <c r="P175" i="3" s="1"/>
  <c r="Q175" i="3" s="1"/>
  <c r="R175" i="3"/>
  <c r="N175" i="3"/>
  <c r="M175" i="3"/>
  <c r="C175" i="3"/>
  <c r="O174" i="3"/>
  <c r="R174" i="3" s="1"/>
  <c r="N174" i="3"/>
  <c r="P174" i="3" s="1"/>
  <c r="Q174" i="3" s="1"/>
  <c r="M174" i="3"/>
  <c r="S174" i="3"/>
  <c r="C174" i="3"/>
  <c r="R173" i="3"/>
  <c r="P173" i="3"/>
  <c r="Q173" i="3"/>
  <c r="O173" i="3"/>
  <c r="N173" i="3"/>
  <c r="M173" i="3"/>
  <c r="C173" i="3"/>
  <c r="O172" i="3"/>
  <c r="R172" i="3" s="1"/>
  <c r="N172" i="3"/>
  <c r="M172" i="3"/>
  <c r="S172" i="3" s="1"/>
  <c r="C172" i="3"/>
  <c r="O171" i="3"/>
  <c r="P171" i="3" s="1"/>
  <c r="Q171" i="3" s="1"/>
  <c r="R171" i="3"/>
  <c r="N171" i="3"/>
  <c r="M171" i="3"/>
  <c r="S171" i="3" s="1"/>
  <c r="C171" i="3"/>
  <c r="R170" i="3"/>
  <c r="Q170" i="3"/>
  <c r="O170" i="3"/>
  <c r="N170" i="3"/>
  <c r="P170" i="3" s="1"/>
  <c r="M170" i="3"/>
  <c r="S170" i="3" s="1"/>
  <c r="C170" i="3"/>
  <c r="O169" i="3"/>
  <c r="R169" i="3"/>
  <c r="N169" i="3"/>
  <c r="M169" i="3"/>
  <c r="C169" i="3"/>
  <c r="O168" i="3"/>
  <c r="N168" i="3"/>
  <c r="M168" i="3"/>
  <c r="C168" i="3"/>
  <c r="S168" i="3" s="1"/>
  <c r="R167" i="3"/>
  <c r="O167" i="3"/>
  <c r="N167" i="3"/>
  <c r="P167" i="3" s="1"/>
  <c r="Q167" i="3" s="1"/>
  <c r="M167" i="3"/>
  <c r="C167" i="3"/>
  <c r="S167" i="3" s="1"/>
  <c r="R166" i="3"/>
  <c r="O166" i="3"/>
  <c r="N166" i="3"/>
  <c r="P166" i="3"/>
  <c r="Q166" i="3"/>
  <c r="M166" i="3"/>
  <c r="C166" i="3"/>
  <c r="Q165" i="3"/>
  <c r="O165" i="3"/>
  <c r="R165" i="3"/>
  <c r="N165" i="3"/>
  <c r="P165" i="3" s="1"/>
  <c r="M165" i="3"/>
  <c r="C165" i="3"/>
  <c r="R164" i="3"/>
  <c r="P164" i="3"/>
  <c r="Q164" i="3"/>
  <c r="O164" i="3"/>
  <c r="N164" i="3"/>
  <c r="M164" i="3"/>
  <c r="C164" i="3"/>
  <c r="S164" i="3" s="1"/>
  <c r="O163" i="3"/>
  <c r="R163" i="3"/>
  <c r="N163" i="3"/>
  <c r="P163" i="3"/>
  <c r="Q163" i="3" s="1"/>
  <c r="M163" i="3"/>
  <c r="C163" i="3"/>
  <c r="S163" i="3" s="1"/>
  <c r="O162" i="3"/>
  <c r="R162" i="3"/>
  <c r="N162" i="3"/>
  <c r="P162" i="3"/>
  <c r="Q162" i="3" s="1"/>
  <c r="M162" i="3"/>
  <c r="C162" i="3"/>
  <c r="S162" i="3" s="1"/>
  <c r="O161" i="3"/>
  <c r="N161" i="3"/>
  <c r="M161" i="3"/>
  <c r="C161" i="3"/>
  <c r="O160" i="3"/>
  <c r="R160" i="3" s="1"/>
  <c r="N160" i="3"/>
  <c r="M160" i="3"/>
  <c r="S160" i="3"/>
  <c r="C160" i="3"/>
  <c r="O159" i="3"/>
  <c r="R159" i="3"/>
  <c r="N159" i="3"/>
  <c r="P159" i="3" s="1"/>
  <c r="Q159" i="3" s="1"/>
  <c r="M159" i="3"/>
  <c r="S159" i="3"/>
  <c r="C159" i="3"/>
  <c r="R158" i="3"/>
  <c r="P158" i="3"/>
  <c r="Q158" i="3" s="1"/>
  <c r="O158" i="3"/>
  <c r="N158" i="3"/>
  <c r="M158" i="3"/>
  <c r="S158" i="3"/>
  <c r="C158" i="3"/>
  <c r="O157" i="3"/>
  <c r="R157" i="3"/>
  <c r="N157" i="3"/>
  <c r="P157" i="3" s="1"/>
  <c r="Q157" i="3" s="1"/>
  <c r="M157" i="3"/>
  <c r="C157" i="3"/>
  <c r="O156" i="3"/>
  <c r="R156" i="3"/>
  <c r="N156" i="3"/>
  <c r="P156" i="3"/>
  <c r="Q156" i="3" s="1"/>
  <c r="M156" i="3"/>
  <c r="C156" i="3"/>
  <c r="S156" i="3" s="1"/>
  <c r="O155" i="3"/>
  <c r="N155" i="3"/>
  <c r="M155" i="3"/>
  <c r="C155" i="3"/>
  <c r="S155" i="3" s="1"/>
  <c r="O154" i="3"/>
  <c r="R154" i="3" s="1"/>
  <c r="N154" i="3"/>
  <c r="P154" i="3"/>
  <c r="Q154" i="3" s="1"/>
  <c r="M154" i="3"/>
  <c r="C154" i="3"/>
  <c r="R153" i="3"/>
  <c r="O153" i="3"/>
  <c r="N153" i="3"/>
  <c r="P153" i="3" s="1"/>
  <c r="Q153" i="3" s="1"/>
  <c r="M153" i="3"/>
  <c r="C153" i="3"/>
  <c r="O152" i="3"/>
  <c r="N152" i="3"/>
  <c r="M152" i="3"/>
  <c r="C152" i="3"/>
  <c r="O151" i="3"/>
  <c r="R151" i="3"/>
  <c r="N151" i="3"/>
  <c r="P151" i="3" s="1"/>
  <c r="Q151" i="3" s="1"/>
  <c r="M151" i="3"/>
  <c r="C151" i="3"/>
  <c r="S151" i="3" s="1"/>
  <c r="O150" i="3"/>
  <c r="R150" i="3"/>
  <c r="N150" i="3"/>
  <c r="P150" i="3"/>
  <c r="Q150" i="3" s="1"/>
  <c r="M150" i="3"/>
  <c r="C150" i="3"/>
  <c r="R149" i="3"/>
  <c r="O149" i="3"/>
  <c r="N149" i="3"/>
  <c r="P149" i="3"/>
  <c r="Q149" i="3"/>
  <c r="M149" i="3"/>
  <c r="C149" i="3"/>
  <c r="O148" i="3"/>
  <c r="R148" i="3" s="1"/>
  <c r="N148" i="3"/>
  <c r="M148" i="3"/>
  <c r="C148" i="3"/>
  <c r="S148" i="3" s="1"/>
  <c r="O147" i="3"/>
  <c r="R147" i="3"/>
  <c r="N147" i="3"/>
  <c r="P147" i="3" s="1"/>
  <c r="Q147" i="3" s="1"/>
  <c r="M147" i="3"/>
  <c r="C147" i="3"/>
  <c r="R146" i="3"/>
  <c r="O146" i="3"/>
  <c r="N146" i="3"/>
  <c r="P146" i="3" s="1"/>
  <c r="Q146" i="3" s="1"/>
  <c r="M146" i="3"/>
  <c r="C146" i="3"/>
  <c r="O145" i="3"/>
  <c r="R145" i="3" s="1"/>
  <c r="N145" i="3"/>
  <c r="M145" i="3"/>
  <c r="C145" i="3"/>
  <c r="S145" i="3" s="1"/>
  <c r="O144" i="3"/>
  <c r="R144" i="3"/>
  <c r="N144" i="3"/>
  <c r="P144" i="3"/>
  <c r="Q144" i="3" s="1"/>
  <c r="M144" i="3"/>
  <c r="C144" i="3"/>
  <c r="R143" i="3"/>
  <c r="O143" i="3"/>
  <c r="N143" i="3"/>
  <c r="P143" i="3"/>
  <c r="Q143" i="3"/>
  <c r="M143" i="3"/>
  <c r="C143" i="3"/>
  <c r="S143" i="3" s="1"/>
  <c r="R142" i="3"/>
  <c r="O142" i="3"/>
  <c r="N142" i="3"/>
  <c r="P142" i="3"/>
  <c r="Q142" i="3" s="1"/>
  <c r="M142" i="3"/>
  <c r="C142" i="3"/>
  <c r="O141" i="3"/>
  <c r="R141" i="3"/>
  <c r="N141" i="3"/>
  <c r="M141" i="3"/>
  <c r="C141" i="3"/>
  <c r="R140" i="3"/>
  <c r="O140" i="3"/>
  <c r="N140" i="3"/>
  <c r="P140" i="3" s="1"/>
  <c r="Q140" i="3" s="1"/>
  <c r="M140" i="3"/>
  <c r="C140" i="3"/>
  <c r="S140" i="3"/>
  <c r="O139" i="3"/>
  <c r="N139" i="3"/>
  <c r="M139" i="3"/>
  <c r="C139" i="3"/>
  <c r="O138" i="3"/>
  <c r="N138" i="3"/>
  <c r="M138" i="3"/>
  <c r="C138" i="3"/>
  <c r="O137" i="3"/>
  <c r="R137" i="3" s="1"/>
  <c r="N137" i="3"/>
  <c r="P137" i="3" s="1"/>
  <c r="Q137" i="3" s="1"/>
  <c r="M137" i="3"/>
  <c r="S137" i="3" s="1"/>
  <c r="C137" i="3"/>
  <c r="O136" i="3"/>
  <c r="R136" i="3" s="1"/>
  <c r="N136" i="3"/>
  <c r="M136" i="3"/>
  <c r="C136" i="3"/>
  <c r="O135" i="3"/>
  <c r="N135" i="3"/>
  <c r="M135" i="3"/>
  <c r="S135" i="3"/>
  <c r="C135" i="3"/>
  <c r="O134" i="3"/>
  <c r="N134" i="3"/>
  <c r="M134" i="3"/>
  <c r="C134" i="3"/>
  <c r="O133" i="3"/>
  <c r="R133" i="3" s="1"/>
  <c r="N133" i="3"/>
  <c r="P133" i="3"/>
  <c r="Q133" i="3" s="1"/>
  <c r="M133" i="3"/>
  <c r="C133" i="3"/>
  <c r="O132" i="3"/>
  <c r="P132" i="3" s="1"/>
  <c r="Q132" i="3" s="1"/>
  <c r="N132" i="3"/>
  <c r="M132" i="3"/>
  <c r="C132" i="3"/>
  <c r="O131" i="3"/>
  <c r="R131" i="3" s="1"/>
  <c r="N131" i="3"/>
  <c r="P131" i="3"/>
  <c r="Q131" i="3" s="1"/>
  <c r="M131" i="3"/>
  <c r="C131" i="3"/>
  <c r="R130" i="3"/>
  <c r="O130" i="3"/>
  <c r="N130" i="3"/>
  <c r="M130" i="3"/>
  <c r="S130" i="3" s="1"/>
  <c r="C130" i="3"/>
  <c r="O129" i="3"/>
  <c r="R129" i="3" s="1"/>
  <c r="N129" i="3"/>
  <c r="M129" i="3"/>
  <c r="S129" i="3" s="1"/>
  <c r="C129" i="3"/>
  <c r="R128" i="3"/>
  <c r="O128" i="3"/>
  <c r="N128" i="3"/>
  <c r="P128" i="3" s="1"/>
  <c r="Q128" i="3" s="1"/>
  <c r="M128" i="3"/>
  <c r="C128" i="3"/>
  <c r="O127" i="3"/>
  <c r="R127" i="3"/>
  <c r="N127" i="3"/>
  <c r="M127" i="3"/>
  <c r="S127" i="3" s="1"/>
  <c r="C127" i="3"/>
  <c r="O126" i="3"/>
  <c r="R126" i="3" s="1"/>
  <c r="N126" i="3"/>
  <c r="M126" i="3"/>
  <c r="S126" i="3" s="1"/>
  <c r="C126" i="3"/>
  <c r="O125" i="3"/>
  <c r="P125" i="3" s="1"/>
  <c r="Q125" i="3" s="1"/>
  <c r="N125" i="3"/>
  <c r="M125" i="3"/>
  <c r="S125" i="3" s="1"/>
  <c r="C125" i="3"/>
  <c r="O124" i="3"/>
  <c r="R124" i="3" s="1"/>
  <c r="N124" i="3"/>
  <c r="P124" i="3" s="1"/>
  <c r="Q124" i="3" s="1"/>
  <c r="M124" i="3"/>
  <c r="C124" i="3"/>
  <c r="S124" i="3" s="1"/>
  <c r="O123" i="3"/>
  <c r="R123" i="3" s="1"/>
  <c r="N123" i="3"/>
  <c r="M123" i="3"/>
  <c r="S123" i="3" s="1"/>
  <c r="C123" i="3"/>
  <c r="O122" i="3"/>
  <c r="R122" i="3" s="1"/>
  <c r="N122" i="3"/>
  <c r="M122" i="3"/>
  <c r="C122" i="3"/>
  <c r="S122" i="3" s="1"/>
  <c r="O121" i="3"/>
  <c r="R121" i="3" s="1"/>
  <c r="N121" i="3"/>
  <c r="P121" i="3" s="1"/>
  <c r="Q121" i="3" s="1"/>
  <c r="M121" i="3"/>
  <c r="C121" i="3"/>
  <c r="O120" i="3"/>
  <c r="P120" i="3" s="1"/>
  <c r="Q120" i="3" s="1"/>
  <c r="N120" i="3"/>
  <c r="M120" i="3"/>
  <c r="S120" i="3" s="1"/>
  <c r="C120" i="3"/>
  <c r="R119" i="3"/>
  <c r="O119" i="3"/>
  <c r="N119" i="3"/>
  <c r="P119" i="3" s="1"/>
  <c r="Q119" i="3" s="1"/>
  <c r="M119" i="3"/>
  <c r="S119" i="3" s="1"/>
  <c r="C119" i="3"/>
  <c r="R118" i="3"/>
  <c r="O118" i="3"/>
  <c r="N118" i="3"/>
  <c r="M118" i="3"/>
  <c r="C118" i="3"/>
  <c r="O117" i="3"/>
  <c r="R117" i="3" s="1"/>
  <c r="N117" i="3"/>
  <c r="M117" i="3"/>
  <c r="S117" i="3"/>
  <c r="C117" i="3"/>
  <c r="O116" i="3"/>
  <c r="R116" i="3" s="1"/>
  <c r="N116" i="3"/>
  <c r="M116" i="3"/>
  <c r="C116" i="3"/>
  <c r="O115" i="3"/>
  <c r="R115" i="3" s="1"/>
  <c r="N115" i="3"/>
  <c r="P115" i="3" s="1"/>
  <c r="Q115" i="3" s="1"/>
  <c r="M115" i="3"/>
  <c r="C115" i="3"/>
  <c r="O114" i="3"/>
  <c r="R114" i="3" s="1"/>
  <c r="N114" i="3"/>
  <c r="P114" i="3"/>
  <c r="Q114" i="3" s="1"/>
  <c r="M114" i="3"/>
  <c r="C114" i="3"/>
  <c r="R113" i="3"/>
  <c r="O113" i="3"/>
  <c r="N113" i="3"/>
  <c r="M113" i="3"/>
  <c r="C113" i="3"/>
  <c r="O112" i="3"/>
  <c r="R112" i="3" s="1"/>
  <c r="N112" i="3"/>
  <c r="P112" i="3" s="1"/>
  <c r="Q112" i="3" s="1"/>
  <c r="M112" i="3"/>
  <c r="S112" i="3" s="1"/>
  <c r="C112" i="3"/>
  <c r="O111" i="3"/>
  <c r="R111" i="3"/>
  <c r="N111" i="3"/>
  <c r="P111" i="3"/>
  <c r="Q111" i="3" s="1"/>
  <c r="M111" i="3"/>
  <c r="C111" i="3"/>
  <c r="R110" i="3"/>
  <c r="O110" i="3"/>
  <c r="N110" i="3"/>
  <c r="P110" i="3" s="1"/>
  <c r="Q110" i="3" s="1"/>
  <c r="M110" i="3"/>
  <c r="C110" i="3"/>
  <c r="S110" i="3" s="1"/>
  <c r="O109" i="3"/>
  <c r="R109" i="3"/>
  <c r="N109" i="3"/>
  <c r="M109" i="3"/>
  <c r="S109" i="3" s="1"/>
  <c r="C109" i="3"/>
  <c r="O108" i="3"/>
  <c r="R108" i="3" s="1"/>
  <c r="N108" i="3"/>
  <c r="P108" i="3"/>
  <c r="Q108" i="3" s="1"/>
  <c r="M108" i="3"/>
  <c r="C108" i="3"/>
  <c r="R107" i="3"/>
  <c r="O107" i="3"/>
  <c r="N107" i="3"/>
  <c r="P107" i="3"/>
  <c r="Q107" i="3" s="1"/>
  <c r="M107" i="3"/>
  <c r="S107" i="3" s="1"/>
  <c r="C107" i="3"/>
  <c r="O106" i="3"/>
  <c r="R106" i="3" s="1"/>
  <c r="N106" i="3"/>
  <c r="M106" i="3"/>
  <c r="C106" i="3"/>
  <c r="O105" i="3"/>
  <c r="R105" i="3"/>
  <c r="N105" i="3"/>
  <c r="M105" i="3"/>
  <c r="C105" i="3"/>
  <c r="S104" i="3"/>
  <c r="R104" i="3"/>
  <c r="O104" i="3"/>
  <c r="N104" i="3"/>
  <c r="P104" i="3" s="1"/>
  <c r="Q104" i="3" s="1"/>
  <c r="M104" i="3"/>
  <c r="C104" i="3"/>
  <c r="O103" i="3"/>
  <c r="R103" i="3" s="1"/>
  <c r="N103" i="3"/>
  <c r="P103" i="3" s="1"/>
  <c r="Q103" i="3" s="1"/>
  <c r="M103" i="3"/>
  <c r="C103" i="3"/>
  <c r="R102" i="3"/>
  <c r="O102" i="3"/>
  <c r="N102" i="3"/>
  <c r="M102" i="3"/>
  <c r="C102" i="3"/>
  <c r="O101" i="3"/>
  <c r="R101" i="3" s="1"/>
  <c r="N101" i="3"/>
  <c r="P101" i="3" s="1"/>
  <c r="Q101" i="3" s="1"/>
  <c r="M101" i="3"/>
  <c r="S101" i="3" s="1"/>
  <c r="C101" i="3"/>
  <c r="O100" i="3"/>
  <c r="R100" i="3" s="1"/>
  <c r="N100" i="3"/>
  <c r="P100" i="3" s="1"/>
  <c r="Q100" i="3" s="1"/>
  <c r="M100" i="3"/>
  <c r="S100" i="3" s="1"/>
  <c r="C100" i="3"/>
  <c r="O99" i="3"/>
  <c r="R99" i="3" s="1"/>
  <c r="N99" i="3"/>
  <c r="P99" i="3" s="1"/>
  <c r="Q99" i="3" s="1"/>
  <c r="M99" i="3"/>
  <c r="C99" i="3"/>
  <c r="R98" i="3"/>
  <c r="O98" i="3"/>
  <c r="P98" i="3" s="1"/>
  <c r="Q98" i="3" s="1"/>
  <c r="N98" i="3"/>
  <c r="M98" i="3"/>
  <c r="C98" i="3"/>
  <c r="O97" i="3"/>
  <c r="R97" i="3"/>
  <c r="N97" i="3"/>
  <c r="P97" i="3" s="1"/>
  <c r="Q97" i="3" s="1"/>
  <c r="M97" i="3"/>
  <c r="C97" i="3"/>
  <c r="S97" i="3" s="1"/>
  <c r="O96" i="3"/>
  <c r="R96" i="3"/>
  <c r="N96" i="3"/>
  <c r="P96" i="3"/>
  <c r="Q96" i="3" s="1"/>
  <c r="M96" i="3"/>
  <c r="C96" i="3"/>
  <c r="O95" i="3"/>
  <c r="R95" i="3" s="1"/>
  <c r="N95" i="3"/>
  <c r="M95" i="3"/>
  <c r="C95" i="3"/>
  <c r="O94" i="3"/>
  <c r="R94" i="3" s="1"/>
  <c r="N94" i="3"/>
  <c r="M94" i="3"/>
  <c r="S94" i="3" s="1"/>
  <c r="C94" i="3"/>
  <c r="P93" i="3"/>
  <c r="Q93" i="3" s="1"/>
  <c r="O93" i="3"/>
  <c r="R93" i="3" s="1"/>
  <c r="N93" i="3"/>
  <c r="M93" i="3"/>
  <c r="C93" i="3"/>
  <c r="O92" i="3"/>
  <c r="R92" i="3" s="1"/>
  <c r="N92" i="3"/>
  <c r="M92" i="3"/>
  <c r="C92" i="3"/>
  <c r="O91" i="3"/>
  <c r="R91" i="3" s="1"/>
  <c r="N91" i="3"/>
  <c r="M91" i="3"/>
  <c r="S91" i="3" s="1"/>
  <c r="C91" i="3"/>
  <c r="O90" i="3"/>
  <c r="R90" i="3"/>
  <c r="N90" i="3"/>
  <c r="P90" i="3" s="1"/>
  <c r="Q90" i="3" s="1"/>
  <c r="M90" i="3"/>
  <c r="S90" i="3" s="1"/>
  <c r="C90" i="3"/>
  <c r="O89" i="3"/>
  <c r="R89" i="3"/>
  <c r="N89" i="3"/>
  <c r="M89" i="3"/>
  <c r="S89" i="3" s="1"/>
  <c r="C89" i="3"/>
  <c r="O88" i="3"/>
  <c r="R88" i="3" s="1"/>
  <c r="N88" i="3"/>
  <c r="P88" i="3" s="1"/>
  <c r="Q88" i="3" s="1"/>
  <c r="M88" i="3"/>
  <c r="S88" i="3" s="1"/>
  <c r="C88" i="3"/>
  <c r="O87" i="3"/>
  <c r="R87" i="3"/>
  <c r="N87" i="3"/>
  <c r="M87" i="3"/>
  <c r="C87" i="3"/>
  <c r="O86" i="3"/>
  <c r="R86" i="3" s="1"/>
  <c r="N86" i="3"/>
  <c r="M86" i="3"/>
  <c r="S86" i="3" s="1"/>
  <c r="C86" i="3"/>
  <c r="O85" i="3"/>
  <c r="R85" i="3" s="1"/>
  <c r="N85" i="3"/>
  <c r="P85" i="3" s="1"/>
  <c r="Q85" i="3" s="1"/>
  <c r="M85" i="3"/>
  <c r="S85" i="3"/>
  <c r="C85" i="3"/>
  <c r="O84" i="3"/>
  <c r="R84" i="3" s="1"/>
  <c r="N84" i="3"/>
  <c r="P84" i="3" s="1"/>
  <c r="Q84" i="3" s="1"/>
  <c r="M84" i="3"/>
  <c r="S84" i="3"/>
  <c r="C84" i="3"/>
  <c r="R83" i="3"/>
  <c r="O83" i="3"/>
  <c r="N83" i="3"/>
  <c r="P83" i="3" s="1"/>
  <c r="Q83" i="3" s="1"/>
  <c r="M83" i="3"/>
  <c r="S83" i="3"/>
  <c r="C83" i="3"/>
  <c r="O82" i="3"/>
  <c r="R82" i="3" s="1"/>
  <c r="N82" i="3"/>
  <c r="P82" i="3" s="1"/>
  <c r="Q82" i="3" s="1"/>
  <c r="M82" i="3"/>
  <c r="S82" i="3"/>
  <c r="C82" i="3"/>
  <c r="O81" i="3"/>
  <c r="R81" i="3" s="1"/>
  <c r="N81" i="3"/>
  <c r="P81" i="3"/>
  <c r="Q81" i="3" s="1"/>
  <c r="M81" i="3"/>
  <c r="C81" i="3"/>
  <c r="S81" i="3" s="1"/>
  <c r="R80" i="3"/>
  <c r="O80" i="3"/>
  <c r="N80" i="3"/>
  <c r="P80" i="3"/>
  <c r="Q80" i="3" s="1"/>
  <c r="M80" i="3"/>
  <c r="C80" i="3"/>
  <c r="S80" i="3" s="1"/>
  <c r="O79" i="3"/>
  <c r="R79" i="3" s="1"/>
  <c r="N79" i="3"/>
  <c r="P79" i="3" s="1"/>
  <c r="Q79" i="3" s="1"/>
  <c r="M79" i="3"/>
  <c r="S79" i="3"/>
  <c r="C79" i="3"/>
  <c r="O78" i="3"/>
  <c r="R78" i="3" s="1"/>
  <c r="N78" i="3"/>
  <c r="M78" i="3"/>
  <c r="S78" i="3" s="1"/>
  <c r="C78" i="3"/>
  <c r="R77" i="3"/>
  <c r="O77" i="3"/>
  <c r="N77" i="3"/>
  <c r="P77" i="3" s="1"/>
  <c r="Q77" i="3" s="1"/>
  <c r="M77" i="3"/>
  <c r="S77" i="3" s="1"/>
  <c r="C77" i="3"/>
  <c r="O76" i="3"/>
  <c r="R76" i="3" s="1"/>
  <c r="N76" i="3"/>
  <c r="P76" i="3"/>
  <c r="Q76" i="3" s="1"/>
  <c r="M76" i="3"/>
  <c r="C76" i="3"/>
  <c r="O75" i="3"/>
  <c r="R75" i="3"/>
  <c r="N75" i="3"/>
  <c r="P75" i="3" s="1"/>
  <c r="Q75" i="3" s="1"/>
  <c r="M75" i="3"/>
  <c r="C75" i="3"/>
  <c r="S75" i="3" s="1"/>
  <c r="O74" i="3"/>
  <c r="R74" i="3"/>
  <c r="N74" i="3"/>
  <c r="P74" i="3" s="1"/>
  <c r="Q74" i="3" s="1"/>
  <c r="M74" i="3"/>
  <c r="S74" i="3" s="1"/>
  <c r="C74" i="3"/>
  <c r="O73" i="3"/>
  <c r="R73" i="3"/>
  <c r="N73" i="3"/>
  <c r="P73" i="3"/>
  <c r="Q73" i="3" s="1"/>
  <c r="M73" i="3"/>
  <c r="C73" i="3"/>
  <c r="R72" i="3"/>
  <c r="O72" i="3"/>
  <c r="N72" i="3"/>
  <c r="P72" i="3" s="1"/>
  <c r="Q72" i="3" s="1"/>
  <c r="M72" i="3"/>
  <c r="S72" i="3" s="1"/>
  <c r="C72" i="3"/>
  <c r="O71" i="3"/>
  <c r="R71" i="3" s="1"/>
  <c r="N71" i="3"/>
  <c r="M71" i="3"/>
  <c r="S71" i="3" s="1"/>
  <c r="C71" i="3"/>
  <c r="O70" i="3"/>
  <c r="R70" i="3" s="1"/>
  <c r="N70" i="3"/>
  <c r="M70" i="3"/>
  <c r="C70" i="3"/>
  <c r="O69" i="3"/>
  <c r="R69" i="3" s="1"/>
  <c r="N69" i="3"/>
  <c r="P69" i="3" s="1"/>
  <c r="Q69" i="3" s="1"/>
  <c r="M69" i="3"/>
  <c r="S69" i="3" s="1"/>
  <c r="C69" i="3"/>
  <c r="O68" i="3"/>
  <c r="R68" i="3"/>
  <c r="N68" i="3"/>
  <c r="P68" i="3" s="1"/>
  <c r="Q68" i="3" s="1"/>
  <c r="M68" i="3"/>
  <c r="S68" i="3"/>
  <c r="C68" i="3"/>
  <c r="O67" i="3"/>
  <c r="R67" i="3"/>
  <c r="N67" i="3"/>
  <c r="P67" i="3" s="1"/>
  <c r="Q67" i="3" s="1"/>
  <c r="M67" i="3"/>
  <c r="C67" i="3"/>
  <c r="R66" i="3"/>
  <c r="P66" i="3"/>
  <c r="Q66" i="3" s="1"/>
  <c r="O66" i="3"/>
  <c r="N66" i="3"/>
  <c r="M66" i="3"/>
  <c r="S66" i="3" s="1"/>
  <c r="C66" i="3"/>
  <c r="O65" i="3"/>
  <c r="R65" i="3" s="1"/>
  <c r="N65" i="3"/>
  <c r="P65" i="3" s="1"/>
  <c r="Q65" i="3" s="1"/>
  <c r="M65" i="3"/>
  <c r="C65" i="3"/>
  <c r="O64" i="3"/>
  <c r="R64" i="3"/>
  <c r="N64" i="3"/>
  <c r="P64" i="3" s="1"/>
  <c r="Q64" i="3" s="1"/>
  <c r="M64" i="3"/>
  <c r="C64" i="3"/>
  <c r="O63" i="3"/>
  <c r="N63" i="3"/>
  <c r="P63" i="3" s="1"/>
  <c r="Q63" i="3" s="1"/>
  <c r="M63" i="3"/>
  <c r="S63" i="3" s="1"/>
  <c r="C63" i="3"/>
  <c r="O62" i="3"/>
  <c r="R62" i="3"/>
  <c r="N62" i="3"/>
  <c r="P62" i="3"/>
  <c r="Q62" i="3" s="1"/>
  <c r="M62" i="3"/>
  <c r="C62" i="3"/>
  <c r="O61" i="3"/>
  <c r="R61" i="3" s="1"/>
  <c r="N61" i="3"/>
  <c r="P61" i="3" s="1"/>
  <c r="Q61" i="3" s="1"/>
  <c r="M61" i="3"/>
  <c r="S61" i="3" s="1"/>
  <c r="C61" i="3"/>
  <c r="O60" i="3"/>
  <c r="R60" i="3" s="1"/>
  <c r="N60" i="3"/>
  <c r="M60" i="3"/>
  <c r="S60" i="3" s="1"/>
  <c r="C60" i="3"/>
  <c r="O59" i="3"/>
  <c r="R59" i="3"/>
  <c r="N59" i="3"/>
  <c r="P59" i="3" s="1"/>
  <c r="Q59" i="3" s="1"/>
  <c r="M59" i="3"/>
  <c r="C59" i="3"/>
  <c r="S59" i="3" s="1"/>
  <c r="O58" i="3"/>
  <c r="R58" i="3" s="1"/>
  <c r="N58" i="3"/>
  <c r="M58" i="3"/>
  <c r="C58" i="3"/>
  <c r="O57" i="3"/>
  <c r="R57" i="3" s="1"/>
  <c r="N57" i="3"/>
  <c r="P57" i="3"/>
  <c r="Q57" i="3" s="1"/>
  <c r="M57" i="3"/>
  <c r="S57" i="3" s="1"/>
  <c r="C57" i="3"/>
  <c r="O56" i="3"/>
  <c r="R56" i="3" s="1"/>
  <c r="N56" i="3"/>
  <c r="M56" i="3"/>
  <c r="C56" i="3"/>
  <c r="O55" i="3"/>
  <c r="R55" i="3" s="1"/>
  <c r="N55" i="3"/>
  <c r="M55" i="3"/>
  <c r="S55" i="3" s="1"/>
  <c r="C55" i="3"/>
  <c r="O54" i="3"/>
  <c r="R54" i="3" s="1"/>
  <c r="N54" i="3"/>
  <c r="P54" i="3" s="1"/>
  <c r="Q54" i="3" s="1"/>
  <c r="M54" i="3"/>
  <c r="S54" i="3" s="1"/>
  <c r="C54" i="3"/>
  <c r="O53" i="3"/>
  <c r="R53" i="3" s="1"/>
  <c r="N53" i="3"/>
  <c r="M53" i="3"/>
  <c r="C53" i="3"/>
  <c r="R52" i="3"/>
  <c r="O52" i="3"/>
  <c r="N52" i="3"/>
  <c r="M52" i="3"/>
  <c r="S52" i="3" s="1"/>
  <c r="C52" i="3"/>
  <c r="O51" i="3"/>
  <c r="R51" i="3"/>
  <c r="N51" i="3"/>
  <c r="M51" i="3"/>
  <c r="C51" i="3"/>
  <c r="O50" i="3"/>
  <c r="R50" i="3" s="1"/>
  <c r="N50" i="3"/>
  <c r="P50" i="3"/>
  <c r="Q50" i="3" s="1"/>
  <c r="M50" i="3"/>
  <c r="C50" i="3"/>
  <c r="S50" i="3"/>
  <c r="O49" i="3"/>
  <c r="R49" i="3" s="1"/>
  <c r="N49" i="3"/>
  <c r="M49" i="3"/>
  <c r="S49" i="3" s="1"/>
  <c r="C49" i="3"/>
  <c r="O48" i="3"/>
  <c r="R48" i="3"/>
  <c r="N48" i="3"/>
  <c r="P48" i="3" s="1"/>
  <c r="Q48" i="3" s="1"/>
  <c r="M48" i="3"/>
  <c r="C48" i="3"/>
  <c r="S48" i="3" s="1"/>
  <c r="R47" i="3"/>
  <c r="O47" i="3"/>
  <c r="N47" i="3"/>
  <c r="P47" i="3"/>
  <c r="Q47" i="3" s="1"/>
  <c r="M47" i="3"/>
  <c r="C47" i="3"/>
  <c r="S47" i="3" s="1"/>
  <c r="S46" i="3"/>
  <c r="O46" i="3"/>
  <c r="R46" i="3" s="1"/>
  <c r="N46" i="3"/>
  <c r="M46" i="3"/>
  <c r="C46" i="3"/>
  <c r="O45" i="3"/>
  <c r="R45" i="3" s="1"/>
  <c r="N45" i="3"/>
  <c r="P45" i="3" s="1"/>
  <c r="Q45" i="3" s="1"/>
  <c r="M45" i="3"/>
  <c r="C45" i="3"/>
  <c r="R44" i="3"/>
  <c r="O44" i="3"/>
  <c r="N44" i="3"/>
  <c r="P44" i="3"/>
  <c r="Q44" i="3" s="1"/>
  <c r="M44" i="3"/>
  <c r="C44" i="3"/>
  <c r="O43" i="3"/>
  <c r="R43" i="3" s="1"/>
  <c r="N43" i="3"/>
  <c r="M43" i="3"/>
  <c r="S43" i="3"/>
  <c r="C43" i="3"/>
  <c r="O42" i="3"/>
  <c r="R42" i="3" s="1"/>
  <c r="N42" i="3"/>
  <c r="P42" i="3" s="1"/>
  <c r="Q42" i="3" s="1"/>
  <c r="M42" i="3"/>
  <c r="C42" i="3"/>
  <c r="R41" i="3"/>
  <c r="O41" i="3"/>
  <c r="N41" i="3"/>
  <c r="P41" i="3"/>
  <c r="Q41" i="3" s="1"/>
  <c r="M41" i="3"/>
  <c r="S41" i="3" s="1"/>
  <c r="C41" i="3"/>
  <c r="S40" i="3"/>
  <c r="R40" i="3"/>
  <c r="O40" i="3"/>
  <c r="N40" i="3"/>
  <c r="P40" i="3" s="1"/>
  <c r="Q40" i="3" s="1"/>
  <c r="M40" i="3"/>
  <c r="C40" i="3"/>
  <c r="O39" i="3"/>
  <c r="R39" i="3"/>
  <c r="N39" i="3"/>
  <c r="P39" i="3"/>
  <c r="Q39" i="3" s="1"/>
  <c r="M39" i="3"/>
  <c r="S39" i="3" s="1"/>
  <c r="C39" i="3"/>
  <c r="R38" i="3"/>
  <c r="O38" i="3"/>
  <c r="N38" i="3"/>
  <c r="P38" i="3" s="1"/>
  <c r="Q38" i="3" s="1"/>
  <c r="M38" i="3"/>
  <c r="S38" i="3" s="1"/>
  <c r="C38" i="3"/>
  <c r="O37" i="3"/>
  <c r="P37" i="3" s="1"/>
  <c r="Q37" i="3" s="1"/>
  <c r="N37" i="3"/>
  <c r="M37" i="3"/>
  <c r="S37" i="3" s="1"/>
  <c r="C37" i="3"/>
  <c r="O36" i="3"/>
  <c r="R36" i="3"/>
  <c r="N36" i="3"/>
  <c r="P36" i="3" s="1"/>
  <c r="Q36" i="3" s="1"/>
  <c r="M36" i="3"/>
  <c r="S36" i="3" s="1"/>
  <c r="C36" i="3"/>
  <c r="R35" i="3"/>
  <c r="O35" i="3"/>
  <c r="N35" i="3"/>
  <c r="P35" i="3" s="1"/>
  <c r="Q35" i="3" s="1"/>
  <c r="M35" i="3"/>
  <c r="S35" i="3"/>
  <c r="C35" i="3"/>
  <c r="O34" i="3"/>
  <c r="R34" i="3" s="1"/>
  <c r="N34" i="3"/>
  <c r="M34" i="3"/>
  <c r="C34" i="3"/>
  <c r="S34" i="3" s="1"/>
  <c r="O33" i="3"/>
  <c r="R33" i="3" s="1"/>
  <c r="N33" i="3"/>
  <c r="P33" i="3" s="1"/>
  <c r="Q33" i="3" s="1"/>
  <c r="M33" i="3"/>
  <c r="C33" i="3"/>
  <c r="O32" i="3"/>
  <c r="P32" i="3" s="1"/>
  <c r="Q32" i="3" s="1"/>
  <c r="N32" i="3"/>
  <c r="M32" i="3"/>
  <c r="S32" i="3" s="1"/>
  <c r="C32" i="3"/>
  <c r="O31" i="3"/>
  <c r="R31" i="3" s="1"/>
  <c r="N31" i="3"/>
  <c r="P31" i="3" s="1"/>
  <c r="Q31" i="3" s="1"/>
  <c r="M31" i="3"/>
  <c r="S31" i="3" s="1"/>
  <c r="C31" i="3"/>
  <c r="O30" i="3"/>
  <c r="R30" i="3" s="1"/>
  <c r="N30" i="3"/>
  <c r="P30" i="3" s="1"/>
  <c r="Q30" i="3" s="1"/>
  <c r="M30" i="3"/>
  <c r="C30" i="3"/>
  <c r="O29" i="3"/>
  <c r="R29" i="3" s="1"/>
  <c r="N29" i="3"/>
  <c r="P29" i="3" s="1"/>
  <c r="Q29" i="3" s="1"/>
  <c r="M29" i="3"/>
  <c r="S29" i="3" s="1"/>
  <c r="C29" i="3"/>
  <c r="R28" i="3"/>
  <c r="O28" i="3"/>
  <c r="N28" i="3"/>
  <c r="P28" i="3" s="1"/>
  <c r="Q28" i="3" s="1"/>
  <c r="M28" i="3"/>
  <c r="S28" i="3" s="1"/>
  <c r="C28" i="3"/>
  <c r="O27" i="3"/>
  <c r="R27" i="3"/>
  <c r="N27" i="3"/>
  <c r="P27" i="3" s="1"/>
  <c r="Q27" i="3" s="1"/>
  <c r="M27" i="3"/>
  <c r="S27" i="3" s="1"/>
  <c r="C27" i="3"/>
  <c r="R26" i="3"/>
  <c r="O26" i="3"/>
  <c r="N26" i="3"/>
  <c r="P26" i="3" s="1"/>
  <c r="Q26" i="3" s="1"/>
  <c r="M26" i="3"/>
  <c r="C26" i="3"/>
  <c r="S26" i="3" s="1"/>
  <c r="O25" i="3"/>
  <c r="N25" i="3"/>
  <c r="P25" i="3" s="1"/>
  <c r="Q25" i="3" s="1"/>
  <c r="M25" i="3"/>
  <c r="S25" i="3" s="1"/>
  <c r="C25" i="3"/>
  <c r="O24" i="3"/>
  <c r="R24" i="3" s="1"/>
  <c r="N24" i="3"/>
  <c r="P24" i="3" s="1"/>
  <c r="Q24" i="3" s="1"/>
  <c r="M24" i="3"/>
  <c r="C24" i="3"/>
  <c r="O23" i="3"/>
  <c r="R23" i="3" s="1"/>
  <c r="N23" i="3"/>
  <c r="P23" i="3" s="1"/>
  <c r="Q23" i="3" s="1"/>
  <c r="M23" i="3"/>
  <c r="S23" i="3" s="1"/>
  <c r="C23" i="3"/>
  <c r="R22" i="3"/>
  <c r="O22" i="3"/>
  <c r="N22" i="3"/>
  <c r="P22" i="3" s="1"/>
  <c r="Q22" i="3" s="1"/>
  <c r="M22" i="3"/>
  <c r="S22" i="3" s="1"/>
  <c r="C22" i="3"/>
  <c r="O21" i="3"/>
  <c r="R21" i="3"/>
  <c r="N21" i="3"/>
  <c r="P21" i="3" s="1"/>
  <c r="Q21" i="3" s="1"/>
  <c r="M21" i="3"/>
  <c r="S21" i="3" s="1"/>
  <c r="C21" i="3"/>
  <c r="R20" i="3"/>
  <c r="O20" i="3"/>
  <c r="N20" i="3"/>
  <c r="P20" i="3" s="1"/>
  <c r="Q20" i="3" s="1"/>
  <c r="M20" i="3"/>
  <c r="C20" i="3"/>
  <c r="S20" i="3" s="1"/>
  <c r="O19" i="3"/>
  <c r="R19" i="3" s="1"/>
  <c r="N19" i="3"/>
  <c r="M19" i="3"/>
  <c r="S19" i="3" s="1"/>
  <c r="C19" i="3"/>
  <c r="O18" i="3"/>
  <c r="R18" i="3"/>
  <c r="N18" i="3"/>
  <c r="P18" i="3" s="1"/>
  <c r="Q18" i="3" s="1"/>
  <c r="M18" i="3"/>
  <c r="C18" i="3"/>
  <c r="R17" i="3"/>
  <c r="O17" i="3"/>
  <c r="N17" i="3"/>
  <c r="P17" i="3" s="1"/>
  <c r="Q17" i="3" s="1"/>
  <c r="M17" i="3"/>
  <c r="S17" i="3"/>
  <c r="C17" i="3"/>
  <c r="P16" i="3"/>
  <c r="Q16" i="3" s="1"/>
  <c r="O16" i="3"/>
  <c r="R16" i="3" s="1"/>
  <c r="N16" i="3"/>
  <c r="M16" i="3"/>
  <c r="S16" i="3" s="1"/>
  <c r="C16" i="3"/>
  <c r="O15" i="3"/>
  <c r="R15" i="3" s="1"/>
  <c r="N15" i="3"/>
  <c r="P15" i="3" s="1"/>
  <c r="Q15" i="3" s="1"/>
  <c r="M15" i="3"/>
  <c r="C15" i="3"/>
  <c r="S15" i="3" s="1"/>
  <c r="R14" i="3"/>
  <c r="O14" i="3"/>
  <c r="N14" i="3"/>
  <c r="P14" i="3"/>
  <c r="Q14" i="3" s="1"/>
  <c r="M14" i="3"/>
  <c r="S14" i="3" s="1"/>
  <c r="C14" i="3"/>
  <c r="O13" i="3"/>
  <c r="R13" i="3" s="1"/>
  <c r="N13" i="3"/>
  <c r="M13" i="3"/>
  <c r="S13" i="3" s="1"/>
  <c r="C13" i="3"/>
  <c r="O12" i="3"/>
  <c r="R12" i="3"/>
  <c r="N12" i="3"/>
  <c r="P12" i="3" s="1"/>
  <c r="Q12" i="3" s="1"/>
  <c r="M12" i="3"/>
  <c r="S12" i="3" s="1"/>
  <c r="C12" i="3"/>
  <c r="R11" i="3"/>
  <c r="O11" i="3"/>
  <c r="N11" i="3"/>
  <c r="P11" i="3" s="1"/>
  <c r="Q11" i="3" s="1"/>
  <c r="M11" i="3"/>
  <c r="S11" i="3"/>
  <c r="C11" i="3"/>
  <c r="P10" i="3"/>
  <c r="Q10" i="3" s="1"/>
  <c r="O10" i="3"/>
  <c r="R10" i="3" s="1"/>
  <c r="N10" i="3"/>
  <c r="M10" i="3"/>
  <c r="S10" i="3" s="1"/>
  <c r="C10" i="3"/>
  <c r="A1" i="3"/>
  <c r="E26" i="2"/>
  <c r="C26" i="2"/>
  <c r="G24" i="2"/>
  <c r="C22" i="2"/>
  <c r="C21" i="2"/>
  <c r="C20" i="2"/>
  <c r="C19" i="2"/>
  <c r="C23" i="2" s="1"/>
  <c r="G26" i="2" s="1"/>
  <c r="G28" i="2" s="1"/>
  <c r="C18" i="2"/>
  <c r="C17" i="2"/>
  <c r="C16" i="2"/>
  <c r="A10" i="2"/>
  <c r="F7" i="2"/>
  <c r="B7" i="2"/>
  <c r="S44" i="3"/>
  <c r="S87" i="3"/>
  <c r="S102" i="3"/>
  <c r="S131" i="3"/>
  <c r="S138" i="3"/>
  <c r="S141" i="3"/>
  <c r="S142" i="3"/>
  <c r="S144" i="3"/>
  <c r="S147" i="3"/>
  <c r="S150" i="3"/>
  <c r="S152" i="3"/>
  <c r="S175" i="3"/>
  <c r="S181" i="3"/>
  <c r="S195" i="3"/>
  <c r="S199" i="3"/>
  <c r="S223" i="3"/>
  <c r="S251" i="3"/>
  <c r="S261" i="3"/>
  <c r="S264" i="3"/>
  <c r="S273" i="3"/>
  <c r="S286" i="3"/>
  <c r="S289" i="3"/>
  <c r="S309" i="3"/>
  <c r="S347" i="3"/>
  <c r="S348" i="3"/>
  <c r="S352" i="3"/>
  <c r="S353" i="3"/>
  <c r="S363" i="3"/>
  <c r="K152" i="5"/>
  <c r="K175" i="5"/>
  <c r="K203" i="5"/>
  <c r="K259" i="5"/>
  <c r="K283" i="5"/>
  <c r="K339" i="5"/>
  <c r="K363" i="5"/>
  <c r="I9" i="11"/>
  <c r="D9" i="11"/>
  <c r="S93" i="3"/>
  <c r="S96" i="3"/>
  <c r="S105" i="3"/>
  <c r="S106" i="3"/>
  <c r="S114" i="3"/>
  <c r="S116" i="3"/>
  <c r="S118" i="3"/>
  <c r="S132" i="3"/>
  <c r="S133" i="3"/>
  <c r="S139" i="3"/>
  <c r="S153" i="3"/>
  <c r="S165" i="3"/>
  <c r="S185" i="3"/>
  <c r="S202" i="3"/>
  <c r="S217" i="3"/>
  <c r="S220" i="3"/>
  <c r="S230" i="3"/>
  <c r="S247" i="3"/>
  <c r="S259" i="3"/>
  <c r="S267" i="3"/>
  <c r="S284" i="3"/>
  <c r="S287" i="3"/>
  <c r="S300" i="3"/>
  <c r="S301" i="3"/>
  <c r="S306" i="3"/>
  <c r="F13" i="10"/>
  <c r="F11" i="10"/>
  <c r="F10" i="10"/>
  <c r="P5" i="10"/>
  <c r="F15" i="10"/>
  <c r="F12" i="10"/>
  <c r="D6" i="11"/>
  <c r="I6" i="11"/>
  <c r="I15" i="11"/>
  <c r="E15" i="11"/>
  <c r="D15" i="11"/>
  <c r="I18" i="11"/>
  <c r="D18" i="11"/>
  <c r="S33" i="3"/>
  <c r="S45" i="3"/>
  <c r="S99" i="3"/>
  <c r="S111" i="3"/>
  <c r="S188" i="3"/>
  <c r="S193" i="3"/>
  <c r="S213" i="3"/>
  <c r="S222" i="3"/>
  <c r="K182" i="5"/>
  <c r="H21" i="11"/>
  <c r="I21" i="11"/>
  <c r="E21" i="11"/>
  <c r="D21" i="11"/>
  <c r="K10" i="5"/>
  <c r="K15" i="5"/>
  <c r="K22" i="5"/>
  <c r="K73" i="5"/>
  <c r="K78" i="5"/>
  <c r="K87" i="5"/>
  <c r="K94" i="5"/>
  <c r="K123" i="5"/>
  <c r="K125" i="5"/>
  <c r="K143" i="5"/>
  <c r="K148" i="5"/>
  <c r="K150" i="5"/>
  <c r="K166" i="5"/>
  <c r="K173" i="5"/>
  <c r="K180" i="5"/>
  <c r="K188" i="5"/>
  <c r="K227" i="5"/>
  <c r="K236" i="5"/>
  <c r="K247" i="5"/>
  <c r="K254" i="5"/>
  <c r="K257" i="5"/>
  <c r="K266" i="5"/>
  <c r="K269" i="5"/>
  <c r="K288" i="5"/>
  <c r="K290" i="5"/>
  <c r="K292" i="5"/>
  <c r="K295" i="5"/>
  <c r="K300" i="5"/>
  <c r="K302" i="5"/>
  <c r="K306" i="5"/>
  <c r="K311" i="5"/>
  <c r="K316" i="5"/>
  <c r="K328" i="5"/>
  <c r="K335" i="5"/>
  <c r="K337" i="5"/>
  <c r="K346" i="5"/>
  <c r="K349" i="5"/>
  <c r="K373" i="5"/>
  <c r="E12" i="11"/>
  <c r="K37" i="5"/>
  <c r="K44" i="5"/>
  <c r="K51" i="5"/>
  <c r="K65" i="5"/>
  <c r="K67" i="5"/>
  <c r="K99" i="5"/>
  <c r="K105" i="5"/>
  <c r="K108" i="5"/>
  <c r="K115" i="5"/>
  <c r="K117" i="5"/>
  <c r="K124" i="5"/>
  <c r="K127" i="5"/>
  <c r="K136" i="5"/>
  <c r="K207" i="5"/>
  <c r="K212" i="5"/>
  <c r="K221" i="5"/>
  <c r="K365" i="5"/>
  <c r="K372" i="5"/>
  <c r="K380" i="5"/>
  <c r="K27" i="5"/>
  <c r="K29" i="5"/>
  <c r="K54" i="5"/>
  <c r="K102" i="5"/>
  <c r="K114" i="5"/>
  <c r="K142" i="5"/>
  <c r="K151" i="5"/>
  <c r="K174" i="5"/>
  <c r="K176" i="5"/>
  <c r="K189" i="5"/>
  <c r="K191" i="5"/>
  <c r="K193" i="5"/>
  <c r="K206" i="5"/>
  <c r="K218" i="5"/>
  <c r="K226" i="5"/>
  <c r="K232" i="5"/>
  <c r="K244" i="5"/>
  <c r="K250" i="5"/>
  <c r="K253" i="5"/>
  <c r="K263" i="5"/>
  <c r="K282" i="5"/>
  <c r="K287" i="5"/>
  <c r="K289" i="5"/>
  <c r="K303" i="5"/>
  <c r="K317" i="5"/>
  <c r="K343" i="5"/>
  <c r="K362" i="5"/>
  <c r="H14" i="11"/>
  <c r="F19" i="11"/>
  <c r="S92" i="3"/>
  <c r="R132" i="3"/>
  <c r="S166" i="3"/>
  <c r="P49" i="3"/>
  <c r="Q49" i="3" s="1"/>
  <c r="R63" i="3"/>
  <c r="S218" i="3"/>
  <c r="P236" i="3"/>
  <c r="Q236" i="3" s="1"/>
  <c r="K53" i="5"/>
  <c r="S238" i="3"/>
  <c r="P43" i="3"/>
  <c r="Q43" i="3"/>
  <c r="S76" i="3"/>
  <c r="S103" i="3"/>
  <c r="S182" i="3"/>
  <c r="K370" i="5"/>
  <c r="S67" i="3"/>
  <c r="P87" i="3"/>
  <c r="Q87" i="3" s="1"/>
  <c r="S355" i="3"/>
  <c r="S53" i="3"/>
  <c r="S70" i="3"/>
  <c r="R25" i="3"/>
  <c r="R37" i="3"/>
  <c r="S95" i="3"/>
  <c r="S146" i="3"/>
  <c r="S169" i="3"/>
  <c r="S173" i="3"/>
  <c r="S205" i="3"/>
  <c r="P229" i="3"/>
  <c r="Q229" i="3" s="1"/>
  <c r="P234" i="3"/>
  <c r="Q234" i="3"/>
  <c r="R234" i="3"/>
  <c r="S149" i="3"/>
  <c r="S350" i="3"/>
  <c r="S278" i="3"/>
  <c r="P19" i="3"/>
  <c r="Q19" i="3" s="1"/>
  <c r="S62" i="3"/>
  <c r="S113" i="3"/>
  <c r="S115" i="3"/>
  <c r="S191" i="3"/>
  <c r="S64" i="3"/>
  <c r="S56" i="3"/>
  <c r="P95" i="3"/>
  <c r="Q95" i="3" s="1"/>
  <c r="S134" i="3"/>
  <c r="P169" i="3"/>
  <c r="Q169" i="3"/>
  <c r="S180" i="3"/>
  <c r="P51" i="3"/>
  <c r="Q51" i="3"/>
  <c r="S121" i="3"/>
  <c r="S154" i="3"/>
  <c r="R189" i="3"/>
  <c r="P189" i="3"/>
  <c r="Q189" i="3" s="1"/>
  <c r="P284" i="3"/>
  <c r="Q284" i="3" s="1"/>
  <c r="S73" i="3"/>
  <c r="P381" i="3"/>
  <c r="Q381" i="3" s="1"/>
  <c r="S18" i="3"/>
  <c r="S24" i="3"/>
  <c r="S30" i="3"/>
  <c r="S42" i="3"/>
  <c r="S65" i="3"/>
  <c r="S98" i="3"/>
  <c r="S128" i="3"/>
  <c r="S136" i="3"/>
  <c r="S157" i="3"/>
  <c r="S161" i="3"/>
  <c r="S176" i="3"/>
  <c r="S197" i="3"/>
  <c r="P363" i="3"/>
  <c r="Q363" i="3" s="1"/>
  <c r="S245" i="3"/>
  <c r="O18" i="4"/>
  <c r="P18" i="4"/>
  <c r="K146" i="5"/>
  <c r="H16" i="11"/>
  <c r="G16" i="11"/>
  <c r="F16" i="11"/>
  <c r="E16" i="11"/>
  <c r="D16" i="11"/>
  <c r="D20" i="11"/>
  <c r="I20" i="11"/>
  <c r="H20" i="11"/>
  <c r="G20" i="11"/>
  <c r="F20" i="11"/>
  <c r="E20" i="11"/>
  <c r="P180" i="3"/>
  <c r="Q180" i="3"/>
  <c r="P191" i="3"/>
  <c r="Q191" i="3" s="1"/>
  <c r="S272" i="3"/>
  <c r="P282" i="3"/>
  <c r="Q282" i="3" s="1"/>
  <c r="S320" i="3"/>
  <c r="S322" i="3"/>
  <c r="S371" i="3"/>
  <c r="K80" i="5"/>
  <c r="K305" i="5"/>
  <c r="I16" i="11"/>
  <c r="O15" i="4"/>
  <c r="P15" i="4" s="1"/>
  <c r="N19" i="4"/>
  <c r="O25" i="4"/>
  <c r="P25" i="4" s="1"/>
  <c r="G18" i="11"/>
  <c r="G9" i="11"/>
  <c r="G15" i="11"/>
  <c r="G6" i="11"/>
  <c r="G12" i="11"/>
  <c r="G21" i="11"/>
  <c r="G14" i="11"/>
  <c r="D8" i="11"/>
  <c r="I8" i="11"/>
  <c r="F8" i="11"/>
  <c r="H8" i="11"/>
  <c r="G8" i="11"/>
  <c r="E8" i="11"/>
  <c r="P53" i="3"/>
  <c r="Q53" i="3" s="1"/>
  <c r="P89" i="3"/>
  <c r="Q89" i="3" s="1"/>
  <c r="P105" i="3"/>
  <c r="Q105" i="3"/>
  <c r="P123" i="3"/>
  <c r="Q123" i="3" s="1"/>
  <c r="P141" i="3"/>
  <c r="Q141" i="3"/>
  <c r="P182" i="3"/>
  <c r="Q182" i="3" s="1"/>
  <c r="S186" i="3"/>
  <c r="S194" i="3"/>
  <c r="P228" i="3"/>
  <c r="Q228" i="3"/>
  <c r="S262" i="3"/>
  <c r="P326" i="3"/>
  <c r="Q326" i="3" s="1"/>
  <c r="H13" i="11"/>
  <c r="I13" i="11"/>
  <c r="S373" i="3"/>
  <c r="P58" i="3"/>
  <c r="Q58" i="3" s="1"/>
  <c r="P94" i="3"/>
  <c r="Q94" i="3" s="1"/>
  <c r="P130" i="3"/>
  <c r="Q130" i="3" s="1"/>
  <c r="P148" i="3"/>
  <c r="Q148" i="3" s="1"/>
  <c r="R243" i="3"/>
  <c r="S344" i="3"/>
  <c r="K66" i="5"/>
  <c r="K76" i="5"/>
  <c r="K209" i="5"/>
  <c r="K276" i="5"/>
  <c r="S196" i="3"/>
  <c r="S235" i="3"/>
  <c r="P358" i="3"/>
  <c r="Q358" i="3" s="1"/>
  <c r="S365" i="3"/>
  <c r="P52" i="3"/>
  <c r="Q52" i="3" s="1"/>
  <c r="P109" i="3"/>
  <c r="Q109" i="3" s="1"/>
  <c r="P127" i="3"/>
  <c r="Q127" i="3" s="1"/>
  <c r="P145" i="3"/>
  <c r="Q145" i="3" s="1"/>
  <c r="P160" i="3"/>
  <c r="Q160" i="3" s="1"/>
  <c r="P172" i="3"/>
  <c r="Q172" i="3" s="1"/>
  <c r="P192" i="3"/>
  <c r="Q192" i="3" s="1"/>
  <c r="P208" i="3"/>
  <c r="Q208" i="3" s="1"/>
  <c r="R318" i="3"/>
  <c r="R369" i="3"/>
  <c r="P379" i="3"/>
  <c r="Q379" i="3" s="1"/>
  <c r="P13" i="4"/>
  <c r="P238" i="3"/>
  <c r="Q238" i="3"/>
  <c r="P258" i="3"/>
  <c r="Q258" i="3" s="1"/>
  <c r="P278" i="3"/>
  <c r="Q278" i="3"/>
  <c r="P314" i="3"/>
  <c r="Q314" i="3" s="1"/>
  <c r="S334" i="3"/>
  <c r="P361" i="3"/>
  <c r="Q361" i="3" s="1"/>
  <c r="K204" i="5"/>
  <c r="P235" i="3"/>
  <c r="Q235" i="3" s="1"/>
  <c r="S253" i="3"/>
  <c r="S292" i="3"/>
  <c r="S376" i="3"/>
  <c r="K48" i="5"/>
  <c r="K141" i="5"/>
  <c r="P207" i="3"/>
  <c r="Q207" i="3"/>
  <c r="S317" i="3"/>
  <c r="K12" i="7"/>
  <c r="S248" i="3"/>
  <c r="P265" i="3"/>
  <c r="Q265" i="3" s="1"/>
  <c r="S275" i="3"/>
  <c r="S319" i="3"/>
  <c r="S368" i="3"/>
  <c r="S370" i="3"/>
  <c r="K368" i="5"/>
  <c r="K378" i="5"/>
  <c r="S283" i="3"/>
  <c r="P331" i="3"/>
  <c r="Q331" i="3" s="1"/>
  <c r="P339" i="3"/>
  <c r="Q339" i="3" s="1"/>
  <c r="S358" i="3"/>
  <c r="O20" i="4"/>
  <c r="P20" i="4"/>
  <c r="K404" i="6"/>
  <c r="D5" i="6" s="1"/>
  <c r="H10" i="11"/>
  <c r="G10" i="11"/>
  <c r="F10" i="11"/>
  <c r="E10" i="11"/>
  <c r="I10" i="11"/>
  <c r="D10" i="11"/>
  <c r="K17" i="5"/>
  <c r="K96" i="5"/>
  <c r="K181" i="5"/>
  <c r="K281" i="5"/>
  <c r="K341" i="5"/>
  <c r="F17" i="11"/>
  <c r="P247" i="3"/>
  <c r="Q247" i="3" s="1"/>
  <c r="P283" i="3"/>
  <c r="Q283" i="3" s="1"/>
  <c r="P319" i="3"/>
  <c r="Q319" i="3" s="1"/>
  <c r="P352" i="3"/>
  <c r="Q352" i="3" s="1"/>
  <c r="P370" i="3"/>
  <c r="Q370" i="3" s="1"/>
  <c r="K40" i="5"/>
  <c r="K205" i="5"/>
  <c r="K249" i="5"/>
  <c r="K277" i="5"/>
  <c r="K322" i="5"/>
  <c r="P341" i="3"/>
  <c r="Q341" i="3"/>
  <c r="O12" i="4"/>
  <c r="P12" i="4" s="1"/>
  <c r="K36" i="5"/>
  <c r="K177" i="5"/>
  <c r="P310" i="3"/>
  <c r="Q310" i="3"/>
  <c r="P346" i="3"/>
  <c r="Q346" i="3" s="1"/>
  <c r="O24" i="4"/>
  <c r="P24" i="4"/>
  <c r="K32" i="5"/>
  <c r="K46" i="5"/>
  <c r="K88" i="5"/>
  <c r="K116" i="5"/>
  <c r="K245" i="5"/>
  <c r="J20" i="7"/>
  <c r="K20" i="7"/>
  <c r="D11" i="11"/>
  <c r="I11" i="11"/>
  <c r="H11" i="11"/>
  <c r="G11" i="11"/>
  <c r="F11" i="11"/>
  <c r="E11" i="11"/>
  <c r="P271" i="3"/>
  <c r="Q271" i="3" s="1"/>
  <c r="P307" i="3"/>
  <c r="Q307" i="3" s="1"/>
  <c r="P343" i="3"/>
  <c r="Q343" i="3" s="1"/>
  <c r="P364" i="3"/>
  <c r="Q364" i="3" s="1"/>
  <c r="P382" i="3"/>
  <c r="Q382" i="3" s="1"/>
  <c r="O22" i="4"/>
  <c r="P22" i="4" s="1"/>
  <c r="H22" i="11"/>
  <c r="G22" i="11"/>
  <c r="F22" i="11"/>
  <c r="E22" i="11"/>
  <c r="I22" i="11"/>
  <c r="D22" i="11"/>
  <c r="K72" i="5"/>
  <c r="K129" i="5"/>
  <c r="K156" i="5"/>
  <c r="K301" i="5"/>
  <c r="K356" i="5"/>
  <c r="K201" i="5"/>
  <c r="K237" i="5"/>
  <c r="K260" i="5"/>
  <c r="K333" i="5"/>
  <c r="H12" i="11"/>
  <c r="K64" i="5"/>
  <c r="K130" i="5"/>
  <c r="K157" i="5"/>
  <c r="K197" i="5"/>
  <c r="K274" i="5"/>
  <c r="K297" i="5"/>
  <c r="B23" i="11"/>
  <c r="K56" i="5"/>
  <c r="K104" i="5"/>
  <c r="K113" i="5"/>
  <c r="K153" i="5"/>
  <c r="K229" i="5"/>
  <c r="K252" i="5"/>
  <c r="K293" i="5"/>
  <c r="K325" i="5"/>
  <c r="K348" i="5"/>
  <c r="K381" i="5"/>
  <c r="H6" i="11"/>
  <c r="H15" i="11"/>
  <c r="K225" i="5"/>
  <c r="K273" i="5"/>
  <c r="K321" i="5"/>
  <c r="K369" i="5"/>
  <c r="Q8" i="10"/>
  <c r="O17" i="10"/>
  <c r="H9" i="11"/>
  <c r="H18" i="11"/>
  <c r="K121" i="5"/>
  <c r="K169" i="5"/>
  <c r="K217" i="5"/>
  <c r="K265" i="5"/>
  <c r="K313" i="5"/>
  <c r="K361" i="5"/>
  <c r="J404" i="6"/>
  <c r="D3" i="6"/>
  <c r="K17" i="7"/>
  <c r="Q9" i="10"/>
  <c r="H7" i="11"/>
  <c r="G7" i="11"/>
  <c r="F7" i="11"/>
  <c r="E7" i="11"/>
  <c r="E9" i="11"/>
  <c r="D14" i="11"/>
  <c r="I14" i="11"/>
  <c r="K353" i="5"/>
  <c r="K14" i="7"/>
  <c r="D7" i="11"/>
  <c r="E14" i="11"/>
  <c r="F6" i="11"/>
  <c r="F9" i="11"/>
  <c r="F12" i="11"/>
  <c r="F15" i="11"/>
  <c r="F18" i="11"/>
  <c r="F21" i="11"/>
  <c r="C23" i="11"/>
  <c r="E23" i="11" s="1"/>
  <c r="F16" i="10"/>
  <c r="O18" i="10"/>
  <c r="O16" i="10"/>
  <c r="O15" i="10"/>
  <c r="O14" i="10"/>
  <c r="P13" i="10"/>
  <c r="Q13" i="10" s="1"/>
  <c r="P14" i="10" s="1"/>
  <c r="Q14" i="10" s="1"/>
  <c r="P15" i="10" s="1"/>
  <c r="Q15" i="10" s="1"/>
  <c r="P16" i="10" s="1"/>
  <c r="Q16" i="10" s="1"/>
  <c r="P17" i="10" s="1"/>
  <c r="Q17" i="10" s="1"/>
  <c r="P18" i="10" s="1"/>
  <c r="Q18" i="10" s="1"/>
  <c r="O13" i="10"/>
  <c r="Q10" i="10"/>
  <c r="P9" i="10"/>
  <c r="P10" i="10"/>
  <c r="P8" i="10"/>
  <c r="F23" i="11" l="1"/>
  <c r="P19" i="4"/>
  <c r="H23" i="11"/>
  <c r="R203" i="3"/>
  <c r="P203" i="3"/>
  <c r="Q203" i="3" s="1"/>
  <c r="I17" i="11"/>
  <c r="P240" i="3"/>
  <c r="Q240" i="3" s="1"/>
  <c r="E13" i="11"/>
  <c r="P78" i="3"/>
  <c r="Q78" i="3" s="1"/>
  <c r="P195" i="3"/>
  <c r="Q195" i="3" s="1"/>
  <c r="D19" i="11"/>
  <c r="G19" i="11"/>
  <c r="R32" i="3"/>
  <c r="P34" i="3"/>
  <c r="Q34" i="3" s="1"/>
  <c r="S51" i="3"/>
  <c r="S384" i="3" s="1"/>
  <c r="D5" i="3" s="1"/>
  <c r="P55" i="3"/>
  <c r="Q55" i="3" s="1"/>
  <c r="P56" i="3"/>
  <c r="Q56" i="3" s="1"/>
  <c r="S58" i="3"/>
  <c r="P71" i="3"/>
  <c r="Q71" i="3" s="1"/>
  <c r="P91" i="3"/>
  <c r="Q91" i="3" s="1"/>
  <c r="P92" i="3"/>
  <c r="Q92" i="3" s="1"/>
  <c r="P102" i="3"/>
  <c r="Q102" i="3" s="1"/>
  <c r="P106" i="3"/>
  <c r="Q106" i="3" s="1"/>
  <c r="S108" i="3"/>
  <c r="P113" i="3"/>
  <c r="Q113" i="3" s="1"/>
  <c r="P117" i="3"/>
  <c r="Q117" i="3" s="1"/>
  <c r="P118" i="3"/>
  <c r="Q118" i="3" s="1"/>
  <c r="R120" i="3"/>
  <c r="R125" i="3"/>
  <c r="P126" i="3"/>
  <c r="Q126" i="3" s="1"/>
  <c r="P129" i="3"/>
  <c r="Q129" i="3" s="1"/>
  <c r="R134" i="3"/>
  <c r="P134" i="3"/>
  <c r="Q134" i="3" s="1"/>
  <c r="P138" i="3"/>
  <c r="Q138" i="3" s="1"/>
  <c r="R138" i="3"/>
  <c r="R168" i="3"/>
  <c r="P168" i="3"/>
  <c r="Q168" i="3" s="1"/>
  <c r="R181" i="3"/>
  <c r="P181" i="3"/>
  <c r="Q181" i="3" s="1"/>
  <c r="P213" i="3"/>
  <c r="Q213" i="3" s="1"/>
  <c r="R241" i="3"/>
  <c r="P241" i="3"/>
  <c r="Q241" i="3" s="1"/>
  <c r="P252" i="3"/>
  <c r="Q252" i="3" s="1"/>
  <c r="R252" i="3"/>
  <c r="S260" i="3"/>
  <c r="R376" i="3"/>
  <c r="P376" i="3"/>
  <c r="Q376" i="3" s="1"/>
  <c r="P152" i="3"/>
  <c r="Q152" i="3" s="1"/>
  <c r="R152" i="3"/>
  <c r="P263" i="3"/>
  <c r="Q263" i="3" s="1"/>
  <c r="R263" i="3"/>
  <c r="R273" i="3"/>
  <c r="P273" i="3"/>
  <c r="Q273" i="3" s="1"/>
  <c r="G17" i="11"/>
  <c r="G23" i="11" s="1"/>
  <c r="D17" i="11"/>
  <c r="P351" i="3"/>
  <c r="Q351" i="3" s="1"/>
  <c r="F13" i="11"/>
  <c r="P13" i="3"/>
  <c r="Q13" i="3" s="1"/>
  <c r="I19" i="11"/>
  <c r="H19" i="11"/>
  <c r="P46" i="3"/>
  <c r="Q46" i="3" s="1"/>
  <c r="P60" i="3"/>
  <c r="Q60" i="3" s="1"/>
  <c r="P86" i="3"/>
  <c r="Q86" i="3" s="1"/>
  <c r="P116" i="3"/>
  <c r="Q116" i="3" s="1"/>
  <c r="R139" i="3"/>
  <c r="P139" i="3"/>
  <c r="Q139" i="3" s="1"/>
  <c r="R155" i="3"/>
  <c r="P155" i="3"/>
  <c r="Q155" i="3" s="1"/>
  <c r="R224" i="3"/>
  <c r="P224" i="3"/>
  <c r="Q224" i="3" s="1"/>
  <c r="R242" i="3"/>
  <c r="P242" i="3"/>
  <c r="Q242" i="3" s="1"/>
  <c r="R291" i="3"/>
  <c r="P291" i="3"/>
  <c r="Q291" i="3" s="1"/>
  <c r="R297" i="3"/>
  <c r="P297" i="3"/>
  <c r="Q297" i="3" s="1"/>
  <c r="R178" i="3"/>
  <c r="P178" i="3"/>
  <c r="Q178" i="3" s="1"/>
  <c r="R309" i="3"/>
  <c r="P309" i="3"/>
  <c r="Q309" i="3" s="1"/>
  <c r="N14" i="4"/>
  <c r="O14" i="4"/>
  <c r="E17" i="11"/>
  <c r="D13" i="11"/>
  <c r="D23" i="11" s="1"/>
  <c r="P216" i="3"/>
  <c r="Q216" i="3" s="1"/>
  <c r="P70" i="3"/>
  <c r="Q70" i="3" s="1"/>
  <c r="P122" i="3"/>
  <c r="Q122" i="3" s="1"/>
  <c r="R135" i="3"/>
  <c r="P135" i="3"/>
  <c r="Q135" i="3" s="1"/>
  <c r="P136" i="3"/>
  <c r="Q136" i="3" s="1"/>
  <c r="R161" i="3"/>
  <c r="P161" i="3"/>
  <c r="Q161" i="3" s="1"/>
  <c r="R185" i="3"/>
  <c r="P185" i="3"/>
  <c r="Q185" i="3" s="1"/>
  <c r="R193" i="3"/>
  <c r="P193" i="3"/>
  <c r="Q193" i="3" s="1"/>
  <c r="R202" i="3"/>
  <c r="P202" i="3"/>
  <c r="Q202" i="3" s="1"/>
  <c r="P215" i="3"/>
  <c r="Q215" i="3" s="1"/>
  <c r="P327" i="3"/>
  <c r="Q327" i="3" s="1"/>
  <c r="R327" i="3"/>
  <c r="P356" i="3"/>
  <c r="Q356" i="3" s="1"/>
  <c r="R356" i="3"/>
  <c r="S277" i="3"/>
  <c r="S280" i="3"/>
  <c r="R332" i="3"/>
  <c r="P332" i="3"/>
  <c r="Q332" i="3" s="1"/>
  <c r="S343" i="3"/>
  <c r="P373" i="3"/>
  <c r="Q373" i="3" s="1"/>
  <c r="R373" i="3"/>
  <c r="K49" i="5"/>
  <c r="K101" i="5"/>
  <c r="K210" i="5"/>
  <c r="K219" i="5"/>
  <c r="S258" i="3"/>
  <c r="R262" i="3"/>
  <c r="S268" i="3"/>
  <c r="S276" i="3"/>
  <c r="R277" i="3"/>
  <c r="S282" i="3"/>
  <c r="P294" i="3"/>
  <c r="Q294" i="3" s="1"/>
  <c r="S305" i="3"/>
  <c r="P306" i="3"/>
  <c r="Q306" i="3" s="1"/>
  <c r="S316" i="3"/>
  <c r="R321" i="3"/>
  <c r="P321" i="3"/>
  <c r="Q321" i="3" s="1"/>
  <c r="P333" i="3"/>
  <c r="Q333" i="3" s="1"/>
  <c r="R335" i="3"/>
  <c r="P335" i="3"/>
  <c r="Q335" i="3" s="1"/>
  <c r="P344" i="3"/>
  <c r="Q344" i="3" s="1"/>
  <c r="R360" i="3"/>
  <c r="P360" i="3"/>
  <c r="Q360" i="3" s="1"/>
  <c r="P16" i="4"/>
  <c r="P21" i="4"/>
  <c r="O23" i="4"/>
  <c r="P23" i="4" s="1"/>
  <c r="K12" i="5"/>
  <c r="P256" i="3"/>
  <c r="Q256" i="3" s="1"/>
  <c r="P266" i="3"/>
  <c r="Q266" i="3" s="1"/>
  <c r="P280" i="3"/>
  <c r="Q280" i="3" s="1"/>
  <c r="S299" i="3"/>
  <c r="R378" i="3"/>
  <c r="P378" i="3"/>
  <c r="Q378" i="3" s="1"/>
  <c r="O16" i="4"/>
  <c r="K89" i="5"/>
  <c r="K106" i="5"/>
  <c r="K238" i="5"/>
  <c r="K261" i="5"/>
  <c r="K271" i="5"/>
  <c r="K298" i="5"/>
  <c r="K314" i="5"/>
  <c r="K347" i="5"/>
  <c r="K354" i="5"/>
  <c r="K359" i="5"/>
  <c r="K374" i="5"/>
  <c r="K268" i="5"/>
  <c r="K275" i="5"/>
  <c r="K284" i="5"/>
  <c r="K304" i="5"/>
  <c r="K318" i="5"/>
  <c r="K338" i="5"/>
  <c r="K340" i="5"/>
  <c r="K344" i="5"/>
  <c r="K351" i="5"/>
  <c r="K367" i="5"/>
  <c r="K279" i="5"/>
  <c r="K286" i="5"/>
  <c r="K308" i="5"/>
  <c r="K320" i="5"/>
  <c r="K330" i="5"/>
  <c r="K364" i="5"/>
  <c r="K21" i="7"/>
  <c r="K26" i="7" s="1"/>
  <c r="D5" i="7" s="1"/>
  <c r="K23" i="7"/>
  <c r="I12" i="11"/>
  <c r="I23" i="11" s="1"/>
  <c r="K384" i="5" l="1"/>
  <c r="D5" i="5" s="1"/>
  <c r="P14" i="4"/>
  <c r="P27" i="4" s="1"/>
  <c r="C5" i="4" s="1"/>
</calcChain>
</file>

<file path=xl/comments1.xml><?xml version="1.0" encoding="utf-8"?>
<comments xmlns="http://schemas.openxmlformats.org/spreadsheetml/2006/main">
  <authors>
    <author/>
  </authors>
  <commentList>
    <comment ref="A26" authorId="0" shapeId="0">
      <text>
        <r>
          <rPr>
            <sz val="10"/>
            <rFont val="Arial"/>
            <charset val="1"/>
          </rPr>
          <t>Scope Creep é a variação dos valores estimados/indicados nas contagens inicias. Variando em 35% para estimada e 50% para indicativa</t>
        </r>
      </text>
    </comment>
    <comment ref="E27" authorId="0" shapeId="0">
      <text>
        <r>
          <rPr>
            <b/>
            <sz val="9"/>
            <color indexed="55"/>
            <rFont val="Tahoma"/>
            <family val="2"/>
            <charset val="1"/>
          </rPr>
          <t xml:space="preserve">6.4 Fator de Criticidade de Solicitação de Serviço (SISP)
</t>
        </r>
        <r>
          <rPr>
            <sz val="9"/>
            <color indexed="55"/>
            <rFont val="Tahoma"/>
            <family val="2"/>
            <charset val="1"/>
          </rPr>
          <t>Em função da criticidade e da necessidade de alocação de recursos extras para
atendimento da demanda no prazo estipulado pelo cliente, será adotado um Fator de
Criticidade de 1,35 (um vírgula trinta e cinco), que deverá ser multiplicado pelo tamanho
funcional da demanda considerada crítica, de modo a remunerar adequadamente o
aumento do esforço de atendimento. Este fator é considerado para demandas que devem
ser atendidas em finais de semana, feriados e fora do horário comercial. Entende-se
como horário comercial o horário de 08:00 às 18:00 h, horário de Brasília.</t>
        </r>
      </text>
    </comment>
    <comment ref="G27" authorId="0" shapeId="0">
      <text>
        <r>
          <rPr>
            <b/>
            <sz val="9"/>
            <color indexed="55"/>
            <rFont val="Tahoma"/>
            <family val="2"/>
            <charset val="1"/>
          </rPr>
          <t>Variação: 1 a 1,35</t>
        </r>
      </text>
    </comment>
  </commentList>
</comments>
</file>

<file path=xl/comments2.xml><?xml version="1.0" encoding="utf-8"?>
<comments xmlns="http://schemas.openxmlformats.org/spreadsheetml/2006/main">
  <authors>
    <author/>
  </authors>
  <commentList>
    <comment ref="A8" authorId="0" shapeId="0">
      <text>
        <r>
          <rPr>
            <sz val="9"/>
            <color indexed="55"/>
            <rFont val="Tahoma"/>
            <family val="2"/>
            <charset val="1"/>
          </rPr>
          <t>Número sequencial do item da contagem.</t>
        </r>
      </text>
    </comment>
    <comment ref="T8" authorId="0" shapeId="0">
      <text>
        <r>
          <rPr>
            <sz val="9"/>
            <color indexed="55"/>
            <rFont val="Tahoma"/>
            <family val="2"/>
            <charset val="1"/>
          </rPr>
          <t>Item (Fundamentação) na qual a contagem se baseou</t>
        </r>
      </text>
    </comment>
  </commentList>
</comments>
</file>

<file path=xl/comments3.xml><?xml version="1.0" encoding="utf-8"?>
<comments xmlns="http://schemas.openxmlformats.org/spreadsheetml/2006/main">
  <authors>
    <author/>
  </authors>
  <commentList>
    <comment ref="A10" authorId="0" shapeId="0">
      <text>
        <r>
          <rPr>
            <sz val="9"/>
            <color indexed="55"/>
            <rFont val="Tahoma"/>
            <family val="2"/>
            <charset val="1"/>
          </rPr>
          <t>Número sequencial do item da contagem.</t>
        </r>
      </text>
    </comment>
    <comment ref="B10" authorId="0" shapeId="0">
      <text>
        <r>
          <rPr>
            <sz val="9"/>
            <color indexed="55"/>
            <rFont val="Tahoma"/>
            <family val="2"/>
            <charset val="1"/>
          </rPr>
          <t>Verificar a descrição sobre os tipos de manutenção na aba Tipo Projeto</t>
        </r>
      </text>
    </comment>
  </commentList>
</comments>
</file>

<file path=xl/comments4.xml><?xml version="1.0" encoding="utf-8"?>
<comments xmlns="http://schemas.openxmlformats.org/spreadsheetml/2006/main">
  <authors>
    <author/>
  </authors>
  <commentList>
    <comment ref="B8" authorId="0" shapeId="0">
      <text>
        <r>
          <rPr>
            <sz val="9"/>
            <color indexed="55"/>
            <rFont val="Tahoma"/>
            <family val="2"/>
            <charset val="1"/>
          </rPr>
          <t>Número sequencial do item da contagem.</t>
        </r>
      </text>
    </comment>
    <comment ref="L8" authorId="0" shapeId="0">
      <text>
        <r>
          <rPr>
            <sz val="9"/>
            <color indexed="55"/>
            <rFont val="Tahoma"/>
            <family val="2"/>
            <charset val="1"/>
          </rPr>
          <t>Item (Fundamentação) na qual a contagem se baseou</t>
        </r>
      </text>
    </comment>
  </commentList>
</comments>
</file>

<file path=xl/comments5.xml><?xml version="1.0" encoding="utf-8"?>
<comments xmlns="http://schemas.openxmlformats.org/spreadsheetml/2006/main">
  <authors>
    <author/>
  </authors>
  <commentList>
    <comment ref="A9" authorId="0" shapeId="0">
      <text>
        <r>
          <rPr>
            <sz val="9"/>
            <color indexed="55"/>
            <rFont val="Tahoma"/>
            <family val="2"/>
            <charset val="1"/>
          </rPr>
          <t>Número sequencial do item da contagem.</t>
        </r>
      </text>
    </comment>
    <comment ref="B9" authorId="0" shapeId="0">
      <text>
        <r>
          <rPr>
            <sz val="9"/>
            <color indexed="55"/>
            <rFont val="Tahoma"/>
            <family val="2"/>
            <charset val="1"/>
          </rPr>
          <t>Verificar a descrição sobre os tipos de manutenção na aba Tipo Projeto</t>
        </r>
      </text>
    </comment>
  </commentList>
</comments>
</file>

<file path=xl/comments6.xml><?xml version="1.0" encoding="utf-8"?>
<comments xmlns="http://schemas.openxmlformats.org/spreadsheetml/2006/main">
  <authors>
    <author/>
  </authors>
  <commentList>
    <comment ref="A8" authorId="0" shapeId="0">
      <text>
        <r>
          <rPr>
            <sz val="9"/>
            <color indexed="55"/>
            <rFont val="Tahoma"/>
            <family val="2"/>
            <charset val="1"/>
          </rPr>
          <t>Número sequencial do item da contagem.</t>
        </r>
      </text>
    </comment>
    <comment ref="J8" authorId="0" shapeId="0">
      <text>
        <r>
          <rPr>
            <sz val="9"/>
            <color indexed="55"/>
            <rFont val="Tahoma"/>
            <family val="2"/>
            <charset val="1"/>
          </rPr>
          <t>Item (Fundamentação) na qual a contagem se baseou</t>
        </r>
      </text>
    </comment>
  </commentList>
</comments>
</file>

<file path=xl/comments7.xml><?xml version="1.0" encoding="utf-8"?>
<comments xmlns="http://schemas.openxmlformats.org/spreadsheetml/2006/main">
  <authors>
    <author/>
  </authors>
  <commentList>
    <comment ref="A3" authorId="0" shapeId="0">
      <text>
        <r>
          <rPr>
            <b/>
            <sz val="9"/>
            <color indexed="55"/>
            <rFont val="Tahoma"/>
            <family val="2"/>
            <charset val="1"/>
          </rPr>
          <t xml:space="preserve">Aplicação
</t>
        </r>
        <r>
          <rPr>
            <sz val="9"/>
            <color indexed="55"/>
            <rFont val="Tahoma"/>
            <family val="2"/>
            <charset val="1"/>
          </rPr>
          <t xml:space="preserve">Utilizar esta contagem quando for necessário realizar a medição do tamanho da aplicação. Esta contagem é tipicamente utilizando quando se quer fazer uma medição para aplicação do % de esforço por disciplina (Ex.: projetos de redoc, testes, implantação, etc.)
</t>
        </r>
      </text>
    </comment>
    <comment ref="A4" authorId="0" shapeId="0">
      <text>
        <r>
          <rPr>
            <b/>
            <sz val="9"/>
            <color indexed="55"/>
            <rFont val="Tahoma"/>
            <family val="2"/>
            <charset val="1"/>
          </rPr>
          <t xml:space="preserve">Novo sistema
</t>
        </r>
        <r>
          <rPr>
            <sz val="9"/>
            <color indexed="55"/>
            <rFont val="Tahoma"/>
            <family val="2"/>
            <charset val="1"/>
          </rPr>
          <t>Desenvolvimento de novo sistema.</t>
        </r>
      </text>
    </comment>
    <comment ref="A5" authorId="0" shapeId="0">
      <text>
        <r>
          <rPr>
            <b/>
            <sz val="9"/>
            <color indexed="55"/>
            <rFont val="Tahoma"/>
            <family val="2"/>
            <charset val="1"/>
          </rPr>
          <t xml:space="preserve">Melhoria - Nova
</t>
        </r>
        <r>
          <rPr>
            <sz val="9"/>
            <color indexed="55"/>
            <rFont val="Tahoma"/>
            <family val="2"/>
            <charset val="1"/>
          </rPr>
          <t>Criação de novas funcionalidades (grupos de dados ou
processos elementares) em uma aplicação existente implantada em produção (PF_INCLUIDO).
PF_INCLUÍDO = Pontos de Função associados às novas funcionalidades que farão parte da aplicação.</t>
        </r>
      </text>
    </comment>
    <comment ref="A6" authorId="0" shapeId="0">
      <text>
        <r>
          <rPr>
            <b/>
            <sz val="9"/>
            <color indexed="55"/>
            <rFont val="Tahoma"/>
            <family val="2"/>
            <charset val="1"/>
          </rPr>
          <t xml:space="preserve">Melhoria - Alterada - Basis
</t>
        </r>
        <r>
          <rPr>
            <sz val="9"/>
            <color indexed="55"/>
            <rFont val="Tahoma"/>
            <family val="2"/>
            <charset val="1"/>
          </rPr>
          <t xml:space="preserve">
Alteração de funcionalidades (grupos de dados
ou processos elementares) em uma aplicação existente implantada em produção (PF_ALTERADO).
PF_ALTERADO = Pontos de Função associados às funcionalidades existentes na aplicação que serão alteradas no projeto de manutenção.
Fator de impacto: 
Funcionalidade de sistema desenvolvida ou mantida por meio de um projeto de melhoria pela empresa contratada (Basis): </t>
        </r>
        <r>
          <rPr>
            <b/>
            <sz val="9"/>
            <color indexed="55"/>
            <rFont val="Tahoma"/>
            <family val="2"/>
            <charset val="1"/>
          </rPr>
          <t xml:space="preserve">FI = 50%
</t>
        </r>
        <r>
          <rPr>
            <sz val="9"/>
            <color indexed="55"/>
            <rFont val="Tahoma"/>
            <family val="2"/>
            <charset val="1"/>
          </rPr>
          <t xml:space="preserve">
</t>
        </r>
      </text>
    </comment>
    <comment ref="A7" authorId="0" shapeId="0">
      <text>
        <r>
          <rPr>
            <b/>
            <sz val="9"/>
            <color indexed="55"/>
            <rFont val="Tahoma"/>
            <family val="2"/>
            <charset val="1"/>
          </rPr>
          <t xml:space="preserve">Melhoria – Alterada - não Basis (sem redocumentação)
</t>
        </r>
        <r>
          <rPr>
            <sz val="9"/>
            <color indexed="55"/>
            <rFont val="Tahoma"/>
            <family val="2"/>
            <charset val="1"/>
          </rPr>
          <t xml:space="preserve">Alteração de novas funcionalidades (grupos de dados
ou processos elementares) em uma aplicação existente implantada em produção (PF_ALTERADO).
PF_ALTERADO = Pontos de Função associados às funcionalidades existentes na aplicação que serão alteradas no projeto de manutenção.
Fator de impacto: 
Funcionalidade de sistema não desenvolvida ou mantida por meio de um projeto de melhoria pela empresa contratada (Basis) e sem necessidade de redocumentação da funcionalidade: </t>
        </r>
        <r>
          <rPr>
            <b/>
            <sz val="9"/>
            <color indexed="55"/>
            <rFont val="Tahoma"/>
            <family val="2"/>
            <charset val="1"/>
          </rPr>
          <t>FI = 75%</t>
        </r>
        <r>
          <rPr>
            <sz val="9"/>
            <color indexed="55"/>
            <rFont val="Tahoma"/>
            <family val="2"/>
            <charset val="1"/>
          </rPr>
          <t xml:space="preserve"> </t>
        </r>
      </text>
    </comment>
    <comment ref="A8" authorId="0" shapeId="0">
      <text>
        <r>
          <rPr>
            <b/>
            <sz val="9"/>
            <color indexed="55"/>
            <rFont val="Tahoma"/>
            <family val="2"/>
            <charset val="1"/>
          </rPr>
          <t xml:space="preserve">Melhoria – Alterada - não Basis (com redocumentação)
</t>
        </r>
        <r>
          <rPr>
            <sz val="9"/>
            <color indexed="55"/>
            <rFont val="Tahoma"/>
            <family val="2"/>
            <charset val="1"/>
          </rPr>
          <t xml:space="preserve">Alteração de novas funcionalidades (grupos de dados
ou processos elementares) em uma aplicação existente implantada em produção (PF_ALTERADO).
PF_ALTERADO = Pontos de Função associados às funcionalidades existentes na aplicação que serão alteradas no projeto de manutenção.
Fator de impacto: 
Funcionalidade de sistema não desenvolvida ou mantida por
meio de um projeto de melhoria pela empresa contratada e com necessidade de redocumentação da funcionalidade: </t>
        </r>
        <r>
          <rPr>
            <b/>
            <sz val="9"/>
            <color indexed="55"/>
            <rFont val="Tahoma"/>
            <family val="2"/>
            <charset val="1"/>
          </rPr>
          <t>FI =90%</t>
        </r>
        <r>
          <rPr>
            <sz val="9"/>
            <color indexed="55"/>
            <rFont val="Tahoma"/>
            <family val="2"/>
            <charset val="1"/>
          </rPr>
          <t>.
FI = 90% representa a adição de 15% como fator de redocumentação ao Fator de Impacto anterior (75%). Nesse caso, a contratada deve redocumentar a funcionalidade mantida, gerando a documentação completa da mesma, aderente ao processo de software da contratante. Se houver uma nova demanda de projeto de melhoria na funcionalidade em questão, será considerado que a contratada desenvolveu a funcionalidade. Observe que o percentual de 90% apenas será considerado na primeira demanda de projeto de melhoria em cada funcionalidade.</t>
        </r>
      </text>
    </comment>
    <comment ref="A9" authorId="0" shapeId="0">
      <text>
        <r>
          <rPr>
            <b/>
            <sz val="9"/>
            <color indexed="55"/>
            <rFont val="Tahoma"/>
            <family val="2"/>
            <charset val="1"/>
          </rPr>
          <t xml:space="preserve">Melhoria - Excluída
</t>
        </r>
        <r>
          <rPr>
            <sz val="9"/>
            <color indexed="55"/>
            <rFont val="Tahoma"/>
            <family val="2"/>
            <charset val="1"/>
          </rPr>
          <t>Exclusão de funcionalidades (grupos de dados ou processos elementares) em uma aplicação existente implantada em produção (PF_EXCLUÍDO).
PF_EXCLUÍDO = Pontos de Função associados às funcionalidades existentes na aplicação que serão excluídas no projeto de manutenção.</t>
        </r>
      </text>
    </comment>
    <comment ref="A10" authorId="0" shapeId="0">
      <text>
        <r>
          <rPr>
            <b/>
            <sz val="9"/>
            <color indexed="55"/>
            <rFont val="Tahoma"/>
            <family val="2"/>
            <charset val="1"/>
          </rPr>
          <t xml:space="preserve">Migração de Dados
</t>
        </r>
        <r>
          <rPr>
            <sz val="9"/>
            <color indexed="55"/>
            <rFont val="Tahoma"/>
            <family val="2"/>
            <charset val="1"/>
          </rPr>
          <t xml:space="preserve">
Os projetos de migração de dados devem ser contados como um novo projeto de desenvolvimento de um sistema, contemplando minimamente: os ALIs mantidos pela migração, Entradas Externas – considerando as cargas de dados nos ALIs e caso seja
solicitado pelo usuário relatórios gerenciais das cargas, estes serão contados como Saídas Externas. Todas as contagens de PF devem ser realizadas com base nas funcionalidades requisitadas e recebidas pelo usuário.</t>
        </r>
      </text>
    </comment>
    <comment ref="A11" authorId="0" shapeId="0">
      <text>
        <r>
          <rPr>
            <b/>
            <sz val="9"/>
            <color indexed="55"/>
            <rFont val="Tahoma"/>
            <family val="2"/>
            <charset val="1"/>
          </rPr>
          <t xml:space="preserve">Corretiva - Garantia
</t>
        </r>
        <r>
          <rPr>
            <sz val="9"/>
            <color indexed="55"/>
            <rFont val="Tahoma"/>
            <family val="2"/>
            <charset val="1"/>
          </rPr>
          <t xml:space="preserve">
Quando o sistema em produção tiver sido desenvolvido pela contratada, a
manutenção corretiva será do tipo Garantia, conforme prazos e demais cláusulas do
contrato em questão. Caso não exista cláusula contratual de Garantia, deve ser
considerada a garantia de seis meses, preconizada por lei (Código do Consumidor).
</t>
        </r>
        <r>
          <rPr>
            <b/>
            <sz val="9"/>
            <color indexed="55"/>
            <rFont val="Tahoma"/>
            <family val="2"/>
            <charset val="1"/>
          </rPr>
          <t>No presente contrato a garantia é de 1 ano.</t>
        </r>
      </text>
    </comment>
    <comment ref="A12" authorId="0" shapeId="0">
      <text>
        <r>
          <rPr>
            <b/>
            <sz val="9"/>
            <color indexed="55"/>
            <rFont val="Tahoma"/>
            <family val="2"/>
            <charset val="1"/>
          </rPr>
          <t xml:space="preserve">Corretiva - Fora da garantia
</t>
        </r>
        <r>
          <rPr>
            <sz val="9"/>
            <color indexed="55"/>
            <rFont val="Tahoma"/>
            <family val="2"/>
            <charset val="1"/>
          </rPr>
          <t xml:space="preserve">
Quando o sistema estiver fora da garantia ou não tenha sido desenvolvido pela empresa contratada, deverá ser estimado e calculado o tamanho do projeto de manutenção corretiva. Nestes casos, a aferição do tamanho em pontos de função da funcionalidade ou das funcionalidades corrigidas deve considerar um fator de impacto (FI) sobre o PF_ALTERADO.
PF_CORRETIVA = FI x PF_ALTERADO
</t>
        </r>
        <r>
          <rPr>
            <b/>
            <sz val="9"/>
            <color indexed="55"/>
            <rFont val="Tahoma"/>
            <family val="2"/>
            <charset val="1"/>
          </rPr>
          <t>FI = 50%</t>
        </r>
        <r>
          <rPr>
            <sz val="9"/>
            <color indexed="55"/>
            <rFont val="Tahoma"/>
            <family val="2"/>
            <charset val="1"/>
          </rPr>
          <t xml:space="preserve"> quando estiver fora da garantia e a correção for feita pela mesma empresa que desenvolveu a funcionalidade.</t>
        </r>
      </text>
    </comment>
    <comment ref="A13" authorId="0" shapeId="0">
      <text>
        <r>
          <rPr>
            <b/>
            <sz val="9"/>
            <color indexed="55"/>
            <rFont val="Tahoma"/>
            <family val="2"/>
            <charset val="1"/>
          </rPr>
          <t xml:space="preserve">Corretiva - Fora da garantia com redocumentação
</t>
        </r>
        <r>
          <rPr>
            <sz val="9"/>
            <color indexed="55"/>
            <rFont val="Tahoma"/>
            <family val="2"/>
            <charset val="1"/>
          </rPr>
          <t xml:space="preserve">
Quando o sistema estiver fora da garantia ou não tenha sido desenvolvido pela empresa contratada, deverá ser estimado e calculado o tamanho do projeto de manutenção corretiva. Nestes casos, a aferição do tamanho em pontos de função da funcionalidade ou das funcionalidades corrigidas deve considerar um fator de impacto (FI) sobre o PF_ALTERADO.
PF_CORRETIVA = FI x PF_ALTERADO
</t>
        </r>
        <r>
          <rPr>
            <b/>
            <sz val="9"/>
            <color indexed="55"/>
            <rFont val="Tahoma"/>
            <family val="2"/>
            <charset val="1"/>
          </rPr>
          <t>FI = 50%</t>
        </r>
        <r>
          <rPr>
            <sz val="9"/>
            <color indexed="55"/>
            <rFont val="Tahoma"/>
            <family val="2"/>
            <charset val="1"/>
          </rPr>
          <t xml:space="preserve"> quando estiver fora da garantia e a correção for feita pela mesma empresa que desenvolveu a funcionalidade.
Caso seja demandada a redocumentação da funcionalidade corrigida, porque a documentação não existe ou está desatualizada, deve-se adicionar ao FI um fator de redocumentação de </t>
        </r>
        <r>
          <rPr>
            <b/>
            <sz val="9"/>
            <color indexed="55"/>
            <rFont val="Tahoma"/>
            <family val="2"/>
            <charset val="1"/>
          </rPr>
          <t>15%</t>
        </r>
        <r>
          <rPr>
            <sz val="9"/>
            <color indexed="55"/>
            <rFont val="Tahoma"/>
            <family val="2"/>
            <charset val="1"/>
          </rPr>
          <t xml:space="preserve">, conforme descrito na seção 4.2.
</t>
        </r>
        <r>
          <rPr>
            <b/>
            <sz val="9"/>
            <color indexed="55"/>
            <rFont val="Tahoma"/>
            <family val="2"/>
            <charset val="1"/>
          </rPr>
          <t>FI = 50% + 15%</t>
        </r>
      </text>
    </comment>
    <comment ref="A14" authorId="0" shapeId="0">
      <text>
        <r>
          <rPr>
            <b/>
            <sz val="9"/>
            <color indexed="55"/>
            <rFont val="Tahoma"/>
            <family val="2"/>
            <charset val="1"/>
          </rPr>
          <t xml:space="preserve">Corretiva - Não Basis
</t>
        </r>
        <r>
          <rPr>
            <sz val="9"/>
            <color indexed="55"/>
            <rFont val="Tahoma"/>
            <family val="2"/>
            <charset val="1"/>
          </rPr>
          <t xml:space="preserve">Quando o sistema estiver fora da garantia ou não tenha sido desenvolvido pela empresa contratada, deverá ser estimado e calculado o tamanho do projeto de manutenção corretiva. Nestes casos, a aferição do tamanho em pontos de função da funcionalidade ou das funcionalidades corrigidas deve considerar um fator de impacto (FI) sobre o PF_ALTERADO.
PF_CORRETIVA = FI x PF_ALTERADO
</t>
        </r>
        <r>
          <rPr>
            <b/>
            <sz val="9"/>
            <color indexed="55"/>
            <rFont val="Tahoma"/>
            <family val="2"/>
            <charset val="1"/>
          </rPr>
          <t>FI = 75%</t>
        </r>
        <r>
          <rPr>
            <sz val="9"/>
            <color indexed="55"/>
            <rFont val="Tahoma"/>
            <family val="2"/>
            <charset val="1"/>
          </rPr>
          <t xml:space="preserve"> quando estiver fora da garantia e a correção for feita por empresa diferente daquela que desenvolveu a funcionalidade.
</t>
        </r>
      </text>
    </comment>
    <comment ref="A15" authorId="0" shapeId="0">
      <text>
        <r>
          <rPr>
            <b/>
            <sz val="9"/>
            <color indexed="55"/>
            <rFont val="Tahoma"/>
            <family val="2"/>
            <charset val="1"/>
          </rPr>
          <t xml:space="preserve">Corretiva - Não Basis com redocumentação
</t>
        </r>
        <r>
          <rPr>
            <sz val="9"/>
            <color indexed="55"/>
            <rFont val="Tahoma"/>
            <family val="2"/>
            <charset val="1"/>
          </rPr>
          <t xml:space="preserve">Quando o sistema estiver fora da garantia ou não tenha sido desenvolvido pela empresa contratada, deverá ser estimado e calculado o tamanho do projeto de manutenção corretiva. Nestes casos, a aferição do tamanho em pontos de função da funcionalidade ou das funcionalidades corrigidas deve considerar um fator de impacto (FI) sobre o PF_ALTERADO.
PF_CORRETIVA = FI x PF_ALTERADO
</t>
        </r>
        <r>
          <rPr>
            <b/>
            <sz val="9"/>
            <color indexed="55"/>
            <rFont val="Tahoma"/>
            <family val="2"/>
            <charset val="1"/>
          </rPr>
          <t xml:space="preserve">FI = 75% </t>
        </r>
        <r>
          <rPr>
            <sz val="9"/>
            <color indexed="55"/>
            <rFont val="Tahoma"/>
            <family val="2"/>
            <charset val="1"/>
          </rPr>
          <t xml:space="preserve">quando estiver fora da garantia e a correção for feita por empresa diferente daquela que desenvolveu a funcionalidade.
Caso seja demandada a redocumentação da funcionalidade corrigida, porque a documentação não existe ou está desatualizada, deve-se adicionar ao FI um fator de redocumentação de </t>
        </r>
        <r>
          <rPr>
            <b/>
            <sz val="9"/>
            <color indexed="55"/>
            <rFont val="Tahoma"/>
            <family val="2"/>
            <charset val="1"/>
          </rPr>
          <t>15%</t>
        </r>
        <r>
          <rPr>
            <sz val="9"/>
            <color indexed="55"/>
            <rFont val="Tahoma"/>
            <family val="2"/>
            <charset val="1"/>
          </rPr>
          <t xml:space="preserve">, conforme descrito na seção 4.2.
</t>
        </r>
        <r>
          <rPr>
            <b/>
            <sz val="9"/>
            <color indexed="55"/>
            <rFont val="Tahoma"/>
            <family val="2"/>
            <charset val="1"/>
          </rPr>
          <t xml:space="preserve">
FI = 75% + 15%</t>
        </r>
      </text>
    </comment>
    <comment ref="A16" authorId="0" shapeId="0">
      <text>
        <r>
          <rPr>
            <b/>
            <sz val="9"/>
            <color indexed="55"/>
            <rFont val="Tahoma"/>
            <family val="2"/>
            <charset val="1"/>
          </rPr>
          <t xml:space="preserve">Mudança de Plataforma - Linguagem de Programação
</t>
        </r>
        <r>
          <rPr>
            <sz val="9"/>
            <color indexed="55"/>
            <rFont val="Tahoma"/>
            <family val="2"/>
            <charset val="1"/>
          </rPr>
          <t xml:space="preserve">Nesta categoria encontram-se as demandas de redesenvolvimento de sistemas em outra linguagem de programação. Como os projetos legados, frequentemente, não
possuem documentação, devem ser considerados como novos projetos de desenvolvimento. Assim, será utilizada a fórmula de projetos de desenvolvimento do CPM 4.3.
Observe que caso não exista mudança nas funções de dados, ou seja, o banco de dados da aplicação seja mantido, as funções de dados não devem ser contadas. No entanto, nesse caso, deve ser realizada a contagem das funções de dados a fim de compor a documentação da contagem final do projeto.
Outro ponto a ser observado são as fases contratadas. Caso o projeto já possua documentação de requisitos, a fase de requisitos não será contratada. Deve-se considerar
apenas os percentuais das fases contratadas.
PF_REDESENVOLVIMENTO_LINGUAGEM = PF_INCLUÍDO + PF_CONVERSÃO
Este roteiro recomenda a supressão do PF_CONVERSÃO da fórmula de contagem de pontos de função de projetos de redesenvolvimento quando for caracterizado um esforço relativamente maior dessa atividade, conforme descrito na seção 3.3.
</t>
        </r>
      </text>
    </comment>
    <comment ref="A17" authorId="0" shapeId="0">
      <text>
        <r>
          <rPr>
            <b/>
            <sz val="9"/>
            <color indexed="55"/>
            <rFont val="Tahoma"/>
            <family val="2"/>
            <charset val="1"/>
          </rPr>
          <t xml:space="preserve">Mudança de Plataforma - Banco de Dados Hierárquico
</t>
        </r>
        <r>
          <rPr>
            <sz val="9"/>
            <color indexed="55"/>
            <rFont val="Tahoma"/>
            <family val="2"/>
            <charset val="1"/>
          </rPr>
          <t xml:space="preserve">
Nesta categoria encontram-se as demandas de redesenvolvimento de sistemas para utilizar um outro sistema gerenciador de banco de dados.
Observe que caso não exista mudança nas funções de dados, ou seja, o banco de dados da aplicação seja mantido, então as funções de dados não devem ser contadas. No entanto, nesse caso, deve ser realizada a contagem das funções de dados a fim de compor a documentação da contagem final do projeto.
Em casos de mudança de banco hierárquico para relacional, em sistemas sem documentação, devido às mudanças envolvidas, deve-se considerar como um novo projeto de desenvolvimento, ou seja, as funções de dados e funções transacionais devem
ser contadas. Assim, será utilizada a fórmula de projeto de desenvolvimento do CPM 4.3, conforme fórmula abaixo:
PF_REDESENVOLVIMENTO_BD_HIERÁRQUICO = PF_INCLUÍDO + PF_CONVERSÃO
</t>
        </r>
      </text>
    </comment>
    <comment ref="A18" authorId="0" shapeId="0">
      <text>
        <r>
          <rPr>
            <b/>
            <sz val="9"/>
            <color indexed="55"/>
            <rFont val="Tahoma"/>
            <family val="2"/>
            <charset val="1"/>
          </rPr>
          <t xml:space="preserve">Mudança de Plataforma - Banco de Dados Relacional
</t>
        </r>
        <r>
          <rPr>
            <sz val="9"/>
            <color indexed="55"/>
            <rFont val="Tahoma"/>
            <family val="2"/>
            <charset val="1"/>
          </rPr>
          <t>Nesta categoria encontram-se as demandas de redesenvolvimento de sistemas para utilizar um outro sistema gerenciador de banco de dados.
Observe que caso não exista mudança nas funções de dados, ou seja, o banco de dados da aplicação seja mantido, então as funções de dados não devem ser contadas. No entanto, nesse caso, deve ser realizada a contagem das funções de dados a fim de compor a documentação da contagem final do projeto.
Nos projetos de redesenvolvimento de banco de dados hierárquico para relacional, recomenda-se a supressão do PF_CONVERSÃO da fórmula acima, conforme descrito na seção 3.3.
Caso o projeto já possua documentação de requisitos, então a fase de requisitos não deve ser contratada. É importante destacar que isso se aplica a qualquer fase que não se deseja contratar. Deve-se considerar apenas os percentuais das fases contratadas.
Caso a demanda de redesenvolvimento seja de um sistema gerenciador de banco de dados relacional para outro relacional, deve ser utilizada a seguinte fórmula:
PF_REDESENVOLVIMENTO_BD_RELACIONAL = (PF_ALTERADO X 0,30) + PF_CONVERSÃO</t>
        </r>
      </text>
    </comment>
    <comment ref="A19" authorId="0" shapeId="0">
      <text>
        <r>
          <rPr>
            <b/>
            <sz val="9"/>
            <color indexed="55"/>
            <rFont val="Tahoma"/>
            <family val="2"/>
            <charset val="1"/>
          </rPr>
          <t xml:space="preserve">Atualização de Versão – Linguagem de Programação
</t>
        </r>
        <r>
          <rPr>
            <sz val="9"/>
            <color indexed="55"/>
            <rFont val="Tahoma"/>
            <family val="2"/>
            <charset val="1"/>
          </rPr>
          <t xml:space="preserve">
Nesta categoria encontram-se as demandas de atualização de versão de linguagem de programação de sistemas. As funções de dados não devem ser contadas.
Estas demandas devem ser dimensionadas de acordo com a fórmula abaixo.
PF_ATUALIZAÇÃO_VERSÃO_LINGUAGEM = PF_ALTERADO x 0,30
O PF_ALTERADO deve considerar apenas as funcionalidades impactadas. As funcionalidades que possuem apenas demandas de testes, devem ser contadas usando o percentual da fase de testes (ver Tabela 7).
Cabe ressaltar que o redutor depende da linguagem da programação utilizada, considerando o grau de complexidade de implementação da mudança de versão no sistema em questão. Desta forma, recomenda-se fortemente a análise do percentual
redutor da fórmula de contagem pelo órgão.</t>
        </r>
      </text>
    </comment>
    <comment ref="A20" authorId="0" shapeId="0">
      <text>
        <r>
          <rPr>
            <b/>
            <sz val="9"/>
            <color indexed="55"/>
            <rFont val="Tahoma"/>
            <family val="2"/>
            <charset val="1"/>
          </rPr>
          <t xml:space="preserve">Atualização de Versão – Browser
</t>
        </r>
        <r>
          <rPr>
            <sz val="9"/>
            <color indexed="55"/>
            <rFont val="Tahoma"/>
            <family val="2"/>
            <charset val="1"/>
          </rPr>
          <t xml:space="preserve">
Nesta categoria encontram-se as demandas de atualização de aplicações Web para executar em novas versões de um mesmo browser e para suportar a execução em mais de um browser. É importante destacar que este tipo de procedimento usualmente é realizado quando é necessário resolver algum problema de incompatibilidade. As funções
de dados não devem ser contadas. Estas demandas devem ser dimensionadas de acordo com a fórmula abaixo.
PF_ATUALIZAÇÃO_VERSÃO_BROWSER = PF_ALTERADO x 0,30
O PF_ALTERADO deve considerar apenas as funcionalidades impactadas. As funcionalidades que possuem apenas demandas de testes, devem ser contadas usando o percentual da fase de testes.
Essas atualizações podem implicar em manutenções em componentes específicos da plataforma utilizada. Nesse caso, a demanda deve ser contada como componente interno reusável, descrita na seção 4.15 deste roteiro.
Recomenda-se enfaticamente a realização da análise de impacto das mudanças propostas para efeito de determinação do percentual adequado. Por exemplo, para sistemas que já atendem ao padrão W3C (World Wide Web Consortium) o esforço é menor, podendo usar, neste caso, um percentual diferente do citado acima. É importante ressaltar que os sistemas Web devem seguir o padrão W3C, como recomendado na e-Ping. Caso seja necessário fazer a adequação do sistema para atendimento ao padrão W3C, pode-se usar a fórmula acima.</t>
        </r>
      </text>
    </comment>
    <comment ref="A21" authorId="0" shapeId="0">
      <text>
        <r>
          <rPr>
            <b/>
            <sz val="9"/>
            <color indexed="55"/>
            <rFont val="Tahoma"/>
            <family val="2"/>
            <charset val="1"/>
          </rPr>
          <t xml:space="preserve">Atualização de Versão – Banco de Dados
</t>
        </r>
        <r>
          <rPr>
            <sz val="9"/>
            <color indexed="55"/>
            <rFont val="Tahoma"/>
            <family val="2"/>
            <charset val="1"/>
          </rPr>
          <t xml:space="preserve">
Nesta categoria encontram-se as demandas de atualização de versão do sistema gerenciador de banco de dados. As funções de dados não devem ser contadas. Estas demandas devem ser dimensionadas de acordo com a fórmula abaixo.
PF_ ATUALIZAÇÃO_VERSÃO_BD = PF_ALTERADO x 0,30
O PF_ALTERADO deve considerar apenas as funcionalidades impactadas. As funcionalidades que possuem apenas demandas de testes, devem ser contadas usando o percentual da fase de testes (ver Tabela 7).</t>
        </r>
      </text>
    </comment>
    <comment ref="A22" authorId="0" shapeId="0">
      <text>
        <r>
          <rPr>
            <b/>
            <sz val="9"/>
            <color indexed="55"/>
            <rFont val="Tahoma"/>
            <family val="2"/>
            <charset val="1"/>
          </rPr>
          <t xml:space="preserve">Manutenção em Interface
</t>
        </r>
        <r>
          <rPr>
            <sz val="9"/>
            <color indexed="55"/>
            <rFont val="Tahoma"/>
            <family val="2"/>
            <charset val="1"/>
          </rPr>
          <t xml:space="preserve">
A manutenção em interface, denominada na literatura de manutenção cosmética, é associada às demandas de alterações de interface, por exemplo: fonte de letra, cores de telas, logotipos, mudança de botões na tela, mudança de posição de campos ou texto na tela. Também se enquadram nessa categoria as seguintes manutenções:
– Mudanças de texto em mensagens de erro, validação, aviso, alerta, confirmação de cadastro ou conclusão de processamento;
– Mudança em texto estático de e-mail enviado para o usuário em uma funcionalidade de cadastro. A demanda deve ser contada como manutenção em interface na funcionalidade de cadastro;
– Alteração de título de um relatório;
– Alteração de labels de uma tela de consulta.
Nestes casos, a aferição do tamanho em pontos de função das funções transacionais impactadas será realizada com a aplicação de um fator de redução de modo a considerar 20% da contagem de uma função transacional de mais baixa complexidade
(3 PF), ou seja 0,6 PF, independentemente da complexidade da funcionalidade alterada.
Neste tipo de manutenção não são contadas funções de dados.
PF_INTERFACE = 0,6 PF x QUANTIDADE DE FUNÇÕES TRANSACIONAIS IMPACTADAS
Está contemplada a atualização da documentação das funcionalidades da aplicação impactadas pela manutenção nas demandas desta categoria. Assim, a documentação (documento de requisitos, documento de interface, protótipo, entre outros)
das funcionalidades alteradas deve ser atualizada. Caso não exista documentação para as funcionalidades alteradas, não será contemplada a redocumentação das funcionalidades da aplicação impactadas pela manutenção nas demandas desta
categoria.
Observação 1 – Help: As demandas de projetos de desenvolvimento de sistemas ou de manutenção de funcionalidades contemplam o desenvolvimento ou atualização do help da funcionalidade em questão, sendo tratada como uma atividade de documentação no processo de software. No caso de demandas específicas de desenvolvimento ou atualização de help estático de funcionalidades, estas podem ser enquadradas nesta seção e poderá ser usado um valor de multiplicação inferior a 0,6 PF conforme análise de impacto das mudanças propostas. Em caso de requisitos de usuário para o desenvolvimento de funcionalidades de manutenção de help, deve-se contar a função de dados de help e as funcionalidades de manutenção de help (por exemplo: incluir help de tela, consultar help de campo) de acordo com o CPM 4.3.
O percentual de multiplicação é estimado, podendo ser reajustado conforme avaliação da base histórica dos serviços realizados no órgão ou entidade.</t>
        </r>
      </text>
    </comment>
    <comment ref="A23" authorId="0" shapeId="0">
      <text>
        <r>
          <rPr>
            <b/>
            <sz val="9"/>
            <color indexed="55"/>
            <rFont val="Tahoma"/>
            <family val="2"/>
            <charset val="1"/>
          </rPr>
          <t xml:space="preserve">Adaptação em Funcionalidades - Basis
</t>
        </r>
        <r>
          <rPr>
            <sz val="9"/>
            <color indexed="55"/>
            <rFont val="Tahoma"/>
            <family val="2"/>
            <charset val="1"/>
          </rPr>
          <t xml:space="preserve">
São consideradas nesta categoria as demandas de manutenção adaptativa associadas a solicitações que envolvem aspectos não funcionais, sem alteração em requisitos funcionais. Seguem alguns exemplos:
– Aumentar a quantidade de linhas por página em um relatório;
– Colocar paginação em um relatório;
– Limitar a quantidade de linhas por página em uma consulta existente;
– Permitir exclusões múltiplas em uma funcionalidade que antes só possibilitava a exclusão de um item;
– Adaptação de uma funcionalidade para possibilitar a chamada por um webservice ou para outro tipo de integração com outros sistemas;
– Replicação de funcionalidade: chamar uma consulta existente em outra tela da aplicação;
– Alteração na aplicação para adaptação às alterações realizadas na interface com rotinas de integração com outros softwares, por exemplo, alteração em sub-rotinas chamadas por este software;
– Modificar o servidor a ser acessado em uma funcionalidade de download de arquivo;
– Adequar mensagem do sistema que em algumas telas apresenta “Usuário Não está Habilitado a ver esta Página”, para que passe a enviar uma mensagem mais adequada ao fato do usuário não possuir mais uma sessão ativa e ainda estar navegando no sistema. A demanda deve ser contada como manutenção adaptativa considerando as funcionalidades impactadas. Observe que trata-se de mudança em validação com regra de negócio não funcional.
Nestes casos, a aferição do tamanho em pontos de função da funcionalidade ou das funcionalidades que sofreram impacto deve considerar um fator de impacto (FI) sobre o PF_ALTERADO, seguindo os conceitos do CPM 4.3, apresentados na seção 4.2.
PF_ADAPTATIVA = FI x PF_ALTERADO
</t>
        </r>
        <r>
          <rPr>
            <b/>
            <sz val="9"/>
            <color indexed="55"/>
            <rFont val="Tahoma"/>
            <family val="2"/>
            <charset val="1"/>
          </rPr>
          <t>FI = 50%</t>
        </r>
        <r>
          <rPr>
            <sz val="9"/>
            <color indexed="55"/>
            <rFont val="Tahoma"/>
            <family val="2"/>
            <charset val="1"/>
          </rPr>
          <t xml:space="preserve"> para funcionalidade de sistema desenvolvida ou mantida por meio de um projeto de melhoria pela empresa contratada.</t>
        </r>
      </text>
    </comment>
    <comment ref="A24" authorId="0" shapeId="0">
      <text>
        <r>
          <rPr>
            <b/>
            <sz val="9"/>
            <color indexed="55"/>
            <rFont val="Tahoma"/>
            <family val="2"/>
            <charset val="1"/>
          </rPr>
          <t xml:space="preserve">Adaptação em Funcionalidades - Basis com redocumentação
</t>
        </r>
        <r>
          <rPr>
            <sz val="9"/>
            <color indexed="55"/>
            <rFont val="Tahoma"/>
            <family val="2"/>
            <charset val="1"/>
          </rPr>
          <t xml:space="preserve">
São consideradas nesta categoria as demandas de manutenção adaptativa associadas a solicitações que envolvem aspectos não funcionais, sem alteração em requisitos funcionais. Seguem alguns exemplos:
– Aumentar a quantidade de linhas por página em um relatório;
– Colocar paginação em um relatório;
– Limitar a quantidade de linhas por página em uma consulta existente;
– Permitir exclusões múltiplas em uma funcionalidade que antes só possibilitava a exclusão de um item;
– Adaptação de uma funcionalidade para possibilitar a chamada por um webservice ou para outro tipo de integração com outros sistemas;
– Replicação de funcionalidade: chamar uma consulta existente em outra tela da aplicação;
– Alteração na aplicação para adaptação às alterações realizadas na interface com rotinas de integração com outros softwares, por exemplo, alteração em sub-rotinas chamadas por este software;
– Modificar o servidor a ser acessado em uma funcionalidade de download de arquivo;
– Adequar mensagem do sistema que em algumas telas apresenta “Usuário Não está Habilitado a ver esta Página”, para que passe a enviar uma mensagem mais adequada ao fato do usuário não possuir mais uma sessão ativa e ainda estar navegando no sistema. A demanda deve ser contada como manutenção adaptativa considerando as funcionalidades impactadas. Observe que trata-se de mudança em validação com regra de negócio não funcional.
Nestes casos, a aferição do tamanho em pontos de função da funcionalidade ou das funcionalidades que sofreram impacto deve considerar um fator de impacto (FI) sobre o PF_ALTERADO, seguindo os conceitos do CPM 4.3, apresentados na seção 4.2.
PF_ADAPTATIVA = FI x PF_ALTERADO
</t>
        </r>
        <r>
          <rPr>
            <b/>
            <sz val="9"/>
            <color indexed="55"/>
            <rFont val="Tahoma"/>
            <family val="2"/>
            <charset val="1"/>
          </rPr>
          <t>FI = 50%</t>
        </r>
        <r>
          <rPr>
            <sz val="9"/>
            <color indexed="55"/>
            <rFont val="Tahoma"/>
            <family val="2"/>
            <charset val="1"/>
          </rPr>
          <t xml:space="preserve"> para funcionalidade de sistema desenvolvida ou mantida por meio de um projeto de melhoria pela empresa contratada.
Deve-se destacar que além da adequação das funcionalidades em questão, a
documentação do projeto de manutenção adaptativa deve ser realizada. Além disso, caso exista a documentação das funcionalidades impactadas, estas deverão ser atualizadas, caso contrário, se for demandada a redocumentação dessas funcionalidades, deve-se adicionar ao FI um fator de redocumentação de </t>
        </r>
        <r>
          <rPr>
            <b/>
            <sz val="9"/>
            <color indexed="55"/>
            <rFont val="Tahoma"/>
            <family val="2"/>
            <charset val="1"/>
          </rPr>
          <t>15%</t>
        </r>
        <r>
          <rPr>
            <sz val="9"/>
            <color indexed="55"/>
            <rFont val="Tahoma"/>
            <family val="2"/>
            <charset val="1"/>
          </rPr>
          <t>, conforme descrito na seção 4.2.</t>
        </r>
      </text>
    </comment>
    <comment ref="A25" authorId="0" shapeId="0">
      <text>
        <r>
          <rPr>
            <b/>
            <sz val="9"/>
            <color indexed="55"/>
            <rFont val="Tahoma"/>
            <family val="2"/>
            <charset val="1"/>
          </rPr>
          <t xml:space="preserve">Adaptação em Funcionalidades - Não Basis
</t>
        </r>
        <r>
          <rPr>
            <sz val="9"/>
            <color indexed="55"/>
            <rFont val="Tahoma"/>
            <family val="2"/>
            <charset val="1"/>
          </rPr>
          <t xml:space="preserve">
São consideradas nesta categoria as demandas de manutenção adaptativa associadas a solicitações que envolvem aspectos não funcionais, sem alteração em requisitos funcionais. Seguem alguns exemplos:
– Aumentar a quantidade de linhas por página em um relatório;
– Colocar paginação em um relatório;
– Limitar a quantidade de linhas por página em uma consulta existente;
– Permitir exclusões múltiplas em uma funcionalidade que antes só possibilitava a exclusão de um item;
– Adaptação de uma funcionalidade para possibilitar a chamada por um webservice ou para outro tipo de integração com outros sistemas;
– Replicação de funcionalidade: chamar uma consulta existente em outra tela da aplicação;
– Alteração na aplicação para adaptação às alterações realizadas na interface com rotinas de integração com outros softwares, por exemplo, alteração em sub-rotinas chamadas por este software;
– Modificar o servidor a ser acessado em uma funcionalidade de download de arquivo;
– Adequar mensagem do sistema que em algumas telas apresenta “Usuário Não está Habilitado a ver esta Página”, para que passe a enviar uma mensagem mais adequada ao fato do usuário não possuir mais uma sessão ativa e ainda estar navegando no sistema. A demanda deve ser contada como manutenção adaptativa considerando as funcionalidades impactadas. Observe que trata-se de mudança em validação com regra de negócio não funcional.
Nestes casos, a aferição do tamanho em pontos de função da funcionalidade ou das funcionalidades que sofreram impacto deve considerar um fator de impacto (FI) sobre o PF_ALTERADO, seguindo os conceitos do CPM 4.3, apresentados na seção 4.2.
PF_ADAPTATIVA = FI x PF_ALTERADO
</t>
        </r>
        <r>
          <rPr>
            <b/>
            <sz val="9"/>
            <color indexed="55"/>
            <rFont val="Tahoma"/>
            <family val="2"/>
            <charset val="1"/>
          </rPr>
          <t>FI = 75%</t>
        </r>
        <r>
          <rPr>
            <sz val="9"/>
            <color indexed="55"/>
            <rFont val="Tahoma"/>
            <family val="2"/>
            <charset val="1"/>
          </rPr>
          <t xml:space="preserve"> para funcionalidade de sistema não desenvolvida ou mantida por meio de um projeto de melhoria pela empresa contratada.</t>
        </r>
      </text>
    </comment>
    <comment ref="A26" authorId="0" shapeId="0">
      <text>
        <r>
          <rPr>
            <b/>
            <sz val="9"/>
            <color indexed="55"/>
            <rFont val="Tahoma"/>
            <family val="2"/>
            <charset val="1"/>
          </rPr>
          <t xml:space="preserve">Adaptação em Funcionalidades - Não Basis com redocumentação
</t>
        </r>
        <r>
          <rPr>
            <sz val="9"/>
            <color indexed="55"/>
            <rFont val="Tahoma"/>
            <family val="2"/>
            <charset val="1"/>
          </rPr>
          <t xml:space="preserve">
São consideradas nesta categoria as demandas de manutenção adaptativa associadas a solicitações que envolvem aspectos não funcionais, sem alteração em requisitos funcionais. Seguem alguns exemplos:
– Aumentar a quantidade de linhas por página em um relatório;
– Colocar paginação em um relatório;
– Limitar a quantidade de linhas por página em uma consulta existente;
– Permitir exclusões múltiplas em uma funcionalidade que antes só possibilitava a exclusão de um item;
– Adaptação de uma funcionalidade para possibilitar a chamada por um webservice ou para outro tipo de integração com outros sistemas;
– Replicação de funcionalidade: chamar uma consulta existente em outra tela da aplicação;
– Alteração na aplicação para adaptação às alterações realizadas na interface com rotinas de integração com outros softwares, por exemplo, alteração em sub-rotinas chamadas por este software;
– Modificar o servidor a ser acessado em uma funcionalidade de download de arquivo;
– Adequar mensagem do sistema que em algumas telas apresenta “Usuário Não está Habilitado a ver esta Página”, para que passe a enviar uma mensagem mais adequada ao fato do usuário não possuir mais uma sessão ativa e ainda estar navegando no sistema. A demanda deve ser contada como manutenção adaptativa considerando as funcionalidades impactadas. Observe que trata-se de mudança em validação com regra de negócio não funcional.
Nestes casos, a aferição do tamanho em pontos de função da funcionalidade ou das funcionalidades que sofreram impacto deve considerar um fator de impacto (FI) sobre o PF_ALTERADO, seguindo os conceitos do CPM 4.3, apresentados na seção 4.2.
PF_ADAPTATIVA = FI x PF_ALTERADO
</t>
        </r>
        <r>
          <rPr>
            <b/>
            <sz val="9"/>
            <color indexed="55"/>
            <rFont val="Tahoma"/>
            <family val="2"/>
            <charset val="1"/>
          </rPr>
          <t>FI = 75%</t>
        </r>
        <r>
          <rPr>
            <sz val="9"/>
            <color indexed="55"/>
            <rFont val="Tahoma"/>
            <family val="2"/>
            <charset val="1"/>
          </rPr>
          <t xml:space="preserve"> para funcionalidade de sistema não desenvolvida ou mantida por meio de um projeto de melhoria pela empresa contratada.
Deve-se destacar que além da adequação das funcionalidades em questão, a
documentação do projeto de manutenção adaptativa deve ser realizada. Além disso, caso exista a documentação das funcionalidades impactadas, estas deverão ser atualizadas, caso contrário, se for demandada a redocumentação dessas funcionalidades, deve-se adicionar ao FI um fator de redocumentação de </t>
        </r>
        <r>
          <rPr>
            <b/>
            <sz val="9"/>
            <color indexed="55"/>
            <rFont val="Tahoma"/>
            <family val="2"/>
            <charset val="1"/>
          </rPr>
          <t>15%</t>
        </r>
        <r>
          <rPr>
            <sz val="9"/>
            <color indexed="55"/>
            <rFont val="Tahoma"/>
            <family val="2"/>
            <charset val="1"/>
          </rPr>
          <t>, conforme descrito na seção 4.2.</t>
        </r>
      </text>
    </comment>
    <comment ref="A27" authorId="0" shapeId="0">
      <text>
        <r>
          <rPr>
            <b/>
            <sz val="9"/>
            <color indexed="55"/>
            <rFont val="Tahoma"/>
            <family val="2"/>
            <charset val="1"/>
          </rPr>
          <t xml:space="preserve">Apuração Especial – Base de Dados - Sem consulta prévia
</t>
        </r>
        <r>
          <rPr>
            <sz val="9"/>
            <color indexed="55"/>
            <rFont val="Tahoma"/>
            <family val="2"/>
            <charset val="1"/>
          </rPr>
          <t xml:space="preserve"> 
Este tipo de apuração especial é um projeto que inclui a geração de procedimentos para atualização da base de dados. Deve-se destacar que estas funções são executadas apenas uma vez, não fazendo parte da aplicação, visando a correção de dados incorretos na base de dados da aplicação ou atualização em função de modificação da estrutura de dados, por exemplo inclusão de valor “sim” ou “não” no campo “indicador de matriz” referente ao CNPJ. Normalmente, nesse tipo de atualização são afetados múltiplos registros. Nestes casos, considera-se a contagem de pontos de função das
funcionalidades desenvolvidas. Geralmente, estas funcionalidades são classificadas como Entradas Externas. Nesse caso, como artefato de homologação da demanda, deve ser gerado um relatório para validação do usuário. 
É importante ressaltar que as funções de dados associadas aos dados atualizados
não devem ser contadas, considerando que não há mudanças nas estruturas dos
Arquivos Lógicos Internos.
a) Atualização de Dados sem Consulta Prévia
PF_APURAÇÃO_BD = PF_INCLUÍDO</t>
        </r>
      </text>
    </comment>
    <comment ref="A28" authorId="0" shapeId="0">
      <text>
        <r>
          <rPr>
            <b/>
            <sz val="9"/>
            <color indexed="55"/>
            <rFont val="Tahoma"/>
            <family val="2"/>
            <charset val="1"/>
          </rPr>
          <t xml:space="preserve">Apuração Especial – Base de Dados - Consulta prévia
</t>
        </r>
        <r>
          <rPr>
            <sz val="9"/>
            <color indexed="55"/>
            <rFont val="Tahoma"/>
            <family val="2"/>
            <charset val="1"/>
          </rPr>
          <t xml:space="preserve">
Este tipo de apuração especial é um projeto que inclui a geração de procedimentos para atualização da base de dados. Deve-se destacar que estas funções são executadas apenas uma vez, não fazendo parte da aplicação, visando a correção de dados incorretos na base de dados da aplicação ou atualização em função de modificação da estrutura de dados, por exemplo inclusão de valor “sim” ou “não” no campo “indicador de matriz” referente ao CNPJ. Normalmente, nesse tipo de atualização são afetados múltiplos registros. Nestes casos, considera-se a contagem de pontos de função das
funcionalidades desenvolvidas. Geralmente, estas funcionalidades são classificadas como Entradas Externas. Nesse caso, como artefato de homologação da demanda, deve ser gerado um relatório para validação do usuário. 
É importante ressaltar que as funções de dados associadas aos dados atualizados
não devem ser contadas, considerando que não há mudanças nas estruturas dos
Arquivos Lógicos Internos.
b) Consulta Prévia sem Atualização
Em alguns casos de Apuração Especial – Base de Dados, o usuário solicita uma consulta prévia das informações. Deve-se ressaltar que essa consulta deve ser realizada antes da construção da funcionalidade, não se trata de homologação. A consulta prévia não é definida pela empresa contratada, obrigatoriamente essa deve ser solicitada pelo órgão contratante para a avaliação da viabilidade de implementar a Apuração Especial - Base de Dados. De fato, é uma prática interessante para evitar informações errôneas na base de produção dos sistemas. Esta consulta prévia, classificada como Consulta Externa
ou Saída Externa deve ser dimensionada considerando-se o tamanho da funcionalidade em questão, conforme a fórmula abaixo:
PF _CONSULTA_PRÉVIA = PF_INCLUÍDO</t>
        </r>
      </text>
    </comment>
    <comment ref="A29" authorId="0" shapeId="0">
      <text>
        <r>
          <rPr>
            <b/>
            <sz val="9"/>
            <color indexed="55"/>
            <rFont val="Tahoma"/>
            <family val="2"/>
            <charset val="1"/>
          </rPr>
          <t xml:space="preserve">Apuração Especial – Base de Dados - Com consulta prévia
</t>
        </r>
        <r>
          <rPr>
            <sz val="9"/>
            <color indexed="55"/>
            <rFont val="Tahoma"/>
            <family val="2"/>
            <charset val="1"/>
          </rPr>
          <t xml:space="preserve">
Este tipo de apuração especial é um projeto que inclui a geração de procedimentos para atualização da base de dados. Deve-se destacar que estas funções são executadas apenas uma vez, não fazendo parte da aplicação, visando a correção de dados incorretos na base de dados da aplicação ou atualização em função de modificação da estrutura de dados, por exemplo inclusão de valor “sim” ou “não” no campo “indicador de matriz” referente ao CNPJ. Normalmente, nesse tipo de atualização são afetados múltiplos registros. Nestes casos, considera-se a contagem de pontos de função das
funcionalidades desenvolvidas. Geralmente, estas funcionalidades são classificadas como Entradas Externas. Nesse caso, como artefato de homologação da demanda, deve ser gerado um relatório para validação do usuário. 
É importante ressaltar que as funções de dados associadas aos dados atualizados
não devem ser contadas, considerando que não há mudanças nas estruturas dos
Arquivos Lógicos Internos.
c) Atualização de Dados com Consulta Prévia
Caso a Apuração Especial - Base de Dados seja solicitada após uma demanda de consulta prévia, deve-se aplicar um fator de 60% na fórmula de contagem da Apuração Especial - Base de Dados, seguindo a fórmula abaixo.
PF_APURAÇÃO_BD_PÓS_CONSULTA_PRÉVIA = PF_INCLUÍDO x 0,60</t>
        </r>
      </text>
    </comment>
    <comment ref="A30" authorId="0" shapeId="0">
      <text>
        <r>
          <rPr>
            <b/>
            <sz val="9"/>
            <color indexed="55"/>
            <rFont val="Tahoma"/>
            <family val="2"/>
            <charset val="1"/>
          </rPr>
          <t xml:space="preserve">Apuração Especial – Geração de Relatórios
</t>
        </r>
        <r>
          <rPr>
            <sz val="9"/>
            <color indexed="55"/>
            <rFont val="Tahoma"/>
            <family val="2"/>
            <charset val="1"/>
          </rPr>
          <t xml:space="preserve">
Este tipo de apuração especial é um projeto que inclui a geração de relatórios em uma ou mais mídias para o usuário. Em alguns casos, são solicitadas extrações de dados e envio dos dados para outros sistemas. Caso, neste envio de dados, sejam requisitadas atualizações no sistema de origem, então essas funções transacionais são Saídas Externas, devido à atualização do Arquivo Lógico Interno.
Deve-se destacar que essas funções são executadas apenas uma vez, não fazendo parte da aplicação. Nestes casos, considera-se contagem de pontos de função das funcionalidades desenvolvidas. Frequentemente, estas funcionalidades são classificadas como Saídas Externas. Também podem ser classificadas como Consultas
Externas, caso não possuam cálculos ou criação de dados derivados.
É importante ressaltar que as funções de dados associadas aos dados atualizados não devem ser contadas, considerando que não há mudanças nas estruturas dos Arquivos Lógicos.
PF_APURAÇÃO_RELATÓRIOS = PF_INCLUÍDO</t>
        </r>
      </text>
    </comment>
    <comment ref="A31" authorId="0" shapeId="0">
      <text>
        <r>
          <rPr>
            <b/>
            <sz val="9"/>
            <color indexed="55"/>
            <rFont val="Tahoma"/>
            <family val="2"/>
            <charset val="1"/>
          </rPr>
          <t xml:space="preserve">Apuração Especial – Reexecução
</t>
        </r>
        <r>
          <rPr>
            <sz val="9"/>
            <color indexed="55"/>
            <rFont val="Tahoma"/>
            <family val="2"/>
            <charset val="1"/>
          </rPr>
          <t xml:space="preserve">
Em alguns casos a empresa contratante pode ter interesse em executar uma apuração especial mais de uma vez. Nestes casos, ela deve solicitar formalmente à
contratada o armazenamento do script executado. Desta forma, se for solicitada a reexecução de uma apuração especial, esta deve ser dimensionada com aplicação de um
fator considerando 10% na contagem de Pontos de Função da apuração especial em questão, da seguinte maneira:
PF = PF_NÃO_AJUSTADO x 0,10</t>
        </r>
      </text>
    </comment>
    <comment ref="A32" authorId="0" shapeId="0">
      <text>
        <r>
          <rPr>
            <b/>
            <sz val="9"/>
            <color indexed="55"/>
            <rFont val="Tahoma"/>
            <family val="2"/>
            <charset val="1"/>
          </rPr>
          <t xml:space="preserve">Atualização de Dados
</t>
        </r>
        <r>
          <rPr>
            <sz val="9"/>
            <color indexed="55"/>
            <rFont val="Tahoma"/>
            <family val="2"/>
            <charset val="1"/>
          </rPr>
          <t xml:space="preserve">
Em alguns casos, as demandas de correção de problemas em base de dados estão associadas a atualizações em um único registro. Por exemplo, atualização do nome de um Fornecedor cadastrado erradamente.
Nestes casos, a aferição do tamanho em Pontos de Função deve considerar 10% do PF_ALTERADO de uma Entrada Externa, os Tipos de Dados da Entrada Externa são os campos atualizados.
PF = PF_NÃO_AJUSTADO x 0,10</t>
        </r>
      </text>
    </comment>
    <comment ref="A33" authorId="0" shapeId="0">
      <text>
        <r>
          <rPr>
            <b/>
            <sz val="9"/>
            <color indexed="55"/>
            <rFont val="Tahoma"/>
            <family val="2"/>
            <charset val="1"/>
          </rPr>
          <t xml:space="preserve">Desenvolvimento, Manutenção e Publicação de Páginas Estáticas de Intranet, Internet ou Portal
</t>
        </r>
        <r>
          <rPr>
            <sz val="9"/>
            <color indexed="55"/>
            <rFont val="Tahoma"/>
            <family val="2"/>
            <charset val="1"/>
          </rPr>
          <t xml:space="preserve">
Nesta seção são tratados desenvolvimentos e manutenções específicas em páginas estáticas de portais, intranets ou websites. As demandas desta seção abrangem a publicação de páginas Web com conteúdo estático. Por exemplo: criação de página HTML, atualização de menu estático, atualização de texto ou banner estáticos em páginas HTML existentes.
Caso o desenvolvimento de páginas estáticas esteja contido em um projeto de desenvolvimento, então elas serão contabilizadas no projeto de desenvolvimento e não devem ser mensuradas em separado. Ou seja, esta seção 4.11 se aplica quando ocorrer a demanda exclusivamente para o desenvolvimento ou manutenção de páginas estáticas.
Estas demandas são consideradas como desenvolvimento de consultas. Nestes casos, considera-se 20% dos pontos de função das consultas desenvolvidas. Cada página é contada como uma consulta. As consultas são consideradas consultas externas simples (3 PF). Ou seja, 0,6 PF por cada página desenvolvida ou mantida, de acordo com a fórmula abaixo:
PF_PUBLICAÇÃO = 0,6 PF x Quantidade de Páginas Alteradas ou Incluídas
As demandas de criação de logomarcas ou identidade visual, além de outras demandas de criação de arte, associadas à área de Comunicação Social, não são enquadradas nessa categoria. Tais demandas não se referem a contratos de prestação de serviços de desenvolvimento e manutenção de sistemas, portanto não são consideradas neste roteiro.
É recomendada a construção de portais com ferramentas que apoiem a construção de conteúdo pelo usuário, os chamados Gerenciadores de Conteúdo, de modo a minimizar as demandas de criação de páginas estáticas.
O percentual de multiplicação proposto acima é estimado, podendo ser reajustado conforme avaliação da base histórica dos serviços realizados no órgão ou entidade.</t>
        </r>
      </text>
    </comment>
    <comment ref="A34" authorId="0" shapeId="0">
      <text>
        <r>
          <rPr>
            <b/>
            <sz val="9"/>
            <color indexed="55"/>
            <rFont val="Tahoma"/>
            <family val="2"/>
            <charset val="1"/>
          </rPr>
          <t xml:space="preserve">Verificação Erros (documentação de teste inexistente)
</t>
        </r>
        <r>
          <rPr>
            <sz val="9"/>
            <color indexed="55"/>
            <rFont val="Tahoma"/>
            <family val="2"/>
            <charset val="1"/>
          </rPr>
          <t xml:space="preserve">
As verificações de erro ou análise e solução de problemas são as demandas referentes a todo comportamento anormal ou indevido apontado pelo cliente nos sistemas aplicativos. Neste caso, a equipe de desenvolvimento da contratada se mobilizará para encontrar as causas do problema  ocorrido. Se for constatado algum erro de sistema, a demanda será atendida como manutenção corretiva (seção 4.4).
Entretanto, uma vez não constatado o problema apontado pelo cliente ou o mesmo for decorrente de regras de negócio implementadas ou utilização incorreta das funcionalidades, será realizada a aferição do tamanho em pontos de função das funcionalidades verificadas que o cliente reportou erro. Caso não exista documentação de testes disponível dessas funcionalidades verificadas, será considerado 20% do tamanho funcional dessas funcionalidades com solicitação de análise pelo órgão contratante,
segundo a fórmula abaixo:
PF_VERIFICAÇÃO = PF_Funcionalidade_Reportada_Com_Erro x 0,20</t>
        </r>
      </text>
    </comment>
    <comment ref="A35" authorId="0" shapeId="0">
      <text>
        <r>
          <rPr>
            <b/>
            <sz val="9"/>
            <color indexed="55"/>
            <rFont val="Tahoma"/>
            <family val="2"/>
            <charset val="1"/>
          </rPr>
          <t xml:space="preserve">Verificação Erros (documentação de teste existente)
</t>
        </r>
        <r>
          <rPr>
            <sz val="9"/>
            <color indexed="55"/>
            <rFont val="Tahoma"/>
            <family val="2"/>
            <charset val="1"/>
          </rPr>
          <t xml:space="preserve">
As verificações de erro ou análise e solução de problemas são as demandas referentes a todo comportamento anormal ou indevido apontado pelo cliente nos sistemas aplicativos. Neste caso, a equipe de desenvolvimento da contratada se mobilizará para encontrar as causas do problema ocorrido. Se for constatado algum erro de sistema, a demanda será atendida como manutenção corretiva (seção 4.4).
Entretanto, uma vez não constatado o problema apontado pelo cliente ou o mesmo for decorrente de regras de negócio implementadas ou utilização incorreta das funcionalidades, será realizada a aferição do tamanho em pontos de função das funcionalidades verificadas que o cliente reportou erro. 
Caso exista documentação de testes das funcionalidades verificadas, então será considerado 15% (mesmo percentual da fase de Testes, conforme Tabela 7) do tamanho funcional das funcionalidades analisadas, segundo a fórmula abaixo:
PF_VERIFICAÇÃO = PF_Funcionalidade_Reportada_Com_Erro x 0,15
</t>
        </r>
      </text>
    </comment>
    <comment ref="A36" authorId="0" shapeId="0">
      <text>
        <r>
          <rPr>
            <b/>
            <sz val="9"/>
            <color indexed="55"/>
            <rFont val="Tahoma"/>
            <family val="2"/>
            <charset val="1"/>
          </rPr>
          <t xml:space="preserve">Pontos de Função de Teste
</t>
        </r>
        <r>
          <rPr>
            <sz val="9"/>
            <color indexed="55"/>
            <rFont val="Tahoma"/>
            <family val="2"/>
            <charset val="1"/>
          </rPr>
          <t xml:space="preserve">
Muitas vezes, em projetos de manutenção, o conjunto de funções transacionais a serem testadas é maior do que a quantidade de funções a serem implementadas, isto é, além das funcionalidades que são afetadas diretamente pelo projeto de manutenção, outras precisam ser testadas [NESMA, 2009]. O tamanho das funções a serem apenas testadas deve ser aferido em Pontos de Função de Teste (PFT). Não considerar as funcionalidades incluídas, alteradas ou excluídas do projeto de manutenção na contagem de Pontos de Função de Teste.
A contagem de PFT será o somatório dos tamanhos em pontos de função das funções transacionais envolvidas no teste:
PFT = Somatório dos Tamanhos das Funções Transacionais Testadas
A conversão do PFT em ponto de função deve ser feita de acordo com a fórmula abaixo:
PF_TESTES = PFT x 0,15
É importante ressaltar que no caso de uma função ser testada várias vezes, com cenários diferentes, a função só pode ser contada uma vez. Outra observação é que as funções testadas, consideradas no PFT, devem ser documentadas pela contratada considerando-se a documentação de testes definida no processo de desenvolvimento da contratante. Observe que estas funções farão parte do escopo do projeto de manutenção.</t>
        </r>
      </text>
    </comment>
    <comment ref="A37" authorId="0" shapeId="0">
      <text>
        <r>
          <rPr>
            <b/>
            <sz val="9"/>
            <color indexed="55"/>
            <rFont val="Tahoma"/>
            <family val="2"/>
            <charset val="1"/>
          </rPr>
          <t xml:space="preserve">Componente Interno Reusável
</t>
        </r>
        <r>
          <rPr>
            <sz val="9"/>
            <color indexed="55"/>
            <rFont val="Tahoma"/>
            <family val="2"/>
            <charset val="1"/>
          </rPr>
          <t>Em alguns casos são demandadas manutenções em componentes específicos de uma aplicação e estes são reusados por várias funcionalidades da aplicação. Por exemplo, uma mudança em uma rotina de validação de um CPF usada em várias funcionalidades de cadastro. Se considerarmos o método de contagem de projetos de melhoria do CPM, seriam contadas todas as funcionalidades impactadas por essa mudança.
No entanto, este roteiro propõe que o componente, o qual deverá ser testado, seja considerado como um processo elementar independente e contado como uma funcionalidade. Além disso, as funcionalidades da aplicação que necessitem de teste devem ser requisitadas pela contratante e dimensionadas por meio da métrica Pontos de Função de Teste proposta na seção 4.14.
PF_COMPONENTE = PF_NÃO_AJUSTADO
Seguem alguns exemplos de manutenção de componentes:
• Alteração de valores de elementos internos de configuração que afetem o comportamento ou a apresentação do sistema de forma geral, tais como páginas de estilos (arquivos CSS de sistemas Web), arquivos com mensagens de erro, arquivos de configuração de sistema, arquivos de internacionalização;
• Mudança em tópico de um menu de um sistema em PHP que aparece em todas as telas da aplicação. A contagem pode ser realizada considerando o componente “Apresentar Menu”.</t>
        </r>
      </text>
    </comment>
  </commentList>
</comments>
</file>

<file path=xl/sharedStrings.xml><?xml version="1.0" encoding="utf-8"?>
<sst xmlns="http://schemas.openxmlformats.org/spreadsheetml/2006/main" count="554" uniqueCount="268">
  <si>
    <t>Template V.1.6</t>
  </si>
  <si>
    <t>Contagem de Pontos de Função</t>
  </si>
  <si>
    <t>Identificação</t>
  </si>
  <si>
    <t>O.S.:</t>
  </si>
  <si>
    <t>Tipo de Atividade:</t>
  </si>
  <si>
    <t>Desenvolvimento ou Manutenção</t>
  </si>
  <si>
    <t>Tipo de Contagem:</t>
  </si>
  <si>
    <t>Aplicação:</t>
  </si>
  <si>
    <t>Elaborador da contagem:</t>
  </si>
  <si>
    <t>Data da Contagem:</t>
  </si>
  <si>
    <t>Revisor da contagem:</t>
  </si>
  <si>
    <t>Data da Revisão:</t>
  </si>
  <si>
    <t>Propósito da Contagem</t>
  </si>
  <si>
    <t>Escopo da Contagem</t>
  </si>
  <si>
    <t>Quadro Resumo</t>
  </si>
  <si>
    <t>Projeto de Desenvolvimento e Manutenção</t>
  </si>
  <si>
    <t>Arquivo de Interface Externa (AIE)</t>
  </si>
  <si>
    <t>Distribuição de Esforço por Fase do Projeto 
(conforme item 6.1.2.1 do SISP 2.0)</t>
  </si>
  <si>
    <t xml:space="preserve">Arquivo Lógico Interno (ALI) </t>
  </si>
  <si>
    <t>Consulta Externa (CE)</t>
  </si>
  <si>
    <t>Engenharia de Requisitos</t>
  </si>
  <si>
    <t>Entrada Externa (EE)</t>
  </si>
  <si>
    <t>Design e Arquitetura</t>
  </si>
  <si>
    <t>Saída Externa (SE)</t>
  </si>
  <si>
    <t>Implementação</t>
  </si>
  <si>
    <t>INM</t>
  </si>
  <si>
    <t>Testes</t>
  </si>
  <si>
    <t>INM – Serviço</t>
  </si>
  <si>
    <t>Homologação</t>
  </si>
  <si>
    <t>Total (A)</t>
  </si>
  <si>
    <t>Implantação</t>
  </si>
  <si>
    <t>Percentual de Esforço (E)</t>
  </si>
  <si>
    <t xml:space="preserve">Total Scope Creep </t>
  </si>
  <si>
    <t>Fator de criticidade</t>
  </si>
  <si>
    <t>Quantidade Final Ajustada</t>
  </si>
  <si>
    <t>Contagem de Pontos de Função
Contagem Detalhada</t>
  </si>
  <si>
    <t>Quantidade de Pontos de Função:</t>
  </si>
  <si>
    <t>ID</t>
  </si>
  <si>
    <t>Tipo Projeto</t>
  </si>
  <si>
    <t>Fator Ajuste</t>
  </si>
  <si>
    <t>Item PT</t>
  </si>
  <si>
    <t>Release</t>
  </si>
  <si>
    <t>Módulo</t>
  </si>
  <si>
    <t>Requisito</t>
  </si>
  <si>
    <t>Processos elementares</t>
  </si>
  <si>
    <t>Qtd</t>
  </si>
  <si>
    <t>Tipo</t>
  </si>
  <si>
    <t>DER</t>
  </si>
  <si>
    <t>RL/AR</t>
  </si>
  <si>
    <t>Tipo (Q/%)</t>
  </si>
  <si>
    <t>C_T</t>
  </si>
  <si>
    <t>C_D</t>
  </si>
  <si>
    <t>Complexidade</t>
  </si>
  <si>
    <t>PF_T</t>
  </si>
  <si>
    <t>PF_D</t>
  </si>
  <si>
    <t>PF</t>
  </si>
  <si>
    <t>Fund.</t>
  </si>
  <si>
    <t>Só inserir linhas depois desta.</t>
  </si>
  <si>
    <t>Só inserir linhas antes desta.</t>
  </si>
  <si>
    <t>Tamanho Funcional</t>
  </si>
  <si>
    <t xml:space="preserve">
Serviços – Itens Não Mensuráveis – 8.7 TR
Detalhada</t>
  </si>
  <si>
    <t>Estimado</t>
  </si>
  <si>
    <t>Executado</t>
  </si>
  <si>
    <t>Valor Final</t>
  </si>
  <si>
    <t>Tipo Serviço</t>
  </si>
  <si>
    <t>Descrição Serviço</t>
  </si>
  <si>
    <t xml:space="preserve">Tam. Equipe (TEp) </t>
  </si>
  <si>
    <t>Horas/Mês Execut. p/ Recurso (HrM)</t>
  </si>
  <si>
    <t>Produtividade (PHRp)</t>
  </si>
  <si>
    <t xml:space="preserve">PF Previsto (PFp) </t>
  </si>
  <si>
    <t xml:space="preserve">Tam. Equipe (TEe)  </t>
  </si>
  <si>
    <t>Produtividade (PHRe)</t>
  </si>
  <si>
    <t xml:space="preserve">PF Executado (PFe)  </t>
  </si>
  <si>
    <t>Índice (Ia/Id/Ig)</t>
  </si>
  <si>
    <t xml:space="preserve">Índice Prod. (IPr) </t>
  </si>
  <si>
    <t>Valor Final (VF)</t>
  </si>
  <si>
    <t>PF Total</t>
  </si>
  <si>
    <t>Contagem de Pontos de Função
Contagem Estimada</t>
  </si>
  <si>
    <t>Contagem de Unidade de Serviço Técnico - UST</t>
  </si>
  <si>
    <t>Quantidade de UST:</t>
  </si>
  <si>
    <t>Quantidade UST em PF:</t>
  </si>
  <si>
    <t>Item Catálogo</t>
  </si>
  <si>
    <t>Horas</t>
  </si>
  <si>
    <t>Descrição do Serviço Técnico / Atividade</t>
  </si>
  <si>
    <t>Desenvolvimento</t>
  </si>
  <si>
    <t>UST</t>
  </si>
  <si>
    <t xml:space="preserve"> </t>
  </si>
  <si>
    <t>Tamanho Total UST:</t>
  </si>
  <si>
    <t>Tamnho UST em PF:</t>
  </si>
  <si>
    <t xml:space="preserve">
Serviços – Itens Não Mensuráveis – 8.7 TR
Estimada</t>
  </si>
  <si>
    <t>Deflator</t>
  </si>
  <si>
    <t>PF Ajustado</t>
  </si>
  <si>
    <t>Template V.1.1</t>
  </si>
  <si>
    <t>Contagem de Pontos de Função
Contagem Indicativa</t>
  </si>
  <si>
    <t>Arquivos Lógicos</t>
  </si>
  <si>
    <t>Tamanho Funcional Indicativo:</t>
  </si>
  <si>
    <t>Contagem de Pontos de Função - SISP 2.0
Distribuição de Esforço/ Redução de Prazo</t>
  </si>
  <si>
    <t>DISTRIBUIÇÃO DE PRAZO DE PROJETO</t>
  </si>
  <si>
    <t>Prazo até 99 PF</t>
  </si>
  <si>
    <t>REDUÇÃO DE PRAZO</t>
  </si>
  <si>
    <t>P1 - Informe o tipo de Prazo (Úteis/Corridos):</t>
  </si>
  <si>
    <t>Úteis</t>
  </si>
  <si>
    <t>Tamanho do Projeto</t>
  </si>
  <si>
    <t>Dias Úteis</t>
  </si>
  <si>
    <t>DESCRIÇÃO</t>
  </si>
  <si>
    <t>VALORES</t>
  </si>
  <si>
    <t>P3 - Informe Tipo do Sistema:</t>
  </si>
  <si>
    <t>Sistema OO</t>
  </si>
  <si>
    <t>Expoente t para o Tipo:</t>
  </si>
  <si>
    <t>Data limite desejada</t>
  </si>
  <si>
    <t>Complex.
Baixa</t>
  </si>
  <si>
    <t>Prazo desejado p/conclusão (dias)</t>
  </si>
  <si>
    <t>P4 - Informe a complexidade do projeto:</t>
  </si>
  <si>
    <t>Projetos com até 99 PF</t>
  </si>
  <si>
    <t>Até 10 PF</t>
  </si>
  <si>
    <t>Taxa de redução do prazo-projeto</t>
  </si>
  <si>
    <t>P5 - Informe o tamanho do Projeto em PF:</t>
  </si>
  <si>
    <t>De 11 PF a 20 PF</t>
  </si>
  <si>
    <t>SISP</t>
  </si>
  <si>
    <t>LINEAR</t>
  </si>
  <si>
    <t>Fases do Projeto</t>
  </si>
  <si>
    <t>% SISP</t>
  </si>
  <si>
    <t>% OS</t>
  </si>
  <si>
    <t>Dias</t>
  </si>
  <si>
    <t>Cronograma</t>
  </si>
  <si>
    <t>De 21 PF a 30 PF</t>
  </si>
  <si>
    <t>Taxa de aumento de esforço</t>
  </si>
  <si>
    <t>Início</t>
  </si>
  <si>
    <t>Fim</t>
  </si>
  <si>
    <t>De 31 PF a 40 PF</t>
  </si>
  <si>
    <t>Índice multiplicador de esforço</t>
  </si>
  <si>
    <t>De 41 PF a 50 PF</t>
  </si>
  <si>
    <t>Novo Tamanho Funcional (PF)</t>
  </si>
  <si>
    <t>Arquitetura &amp; Design</t>
  </si>
  <si>
    <t>De 51 PF a 60 PF</t>
  </si>
  <si>
    <t>CRONOGRAMA COM REDUÇÃO DE PRAZO</t>
  </si>
  <si>
    <t>De 61 PF a 70 PF</t>
  </si>
  <si>
    <t>Data Início</t>
  </si>
  <si>
    <t>Data Fim</t>
  </si>
  <si>
    <t>De 71 PF a 85 PF</t>
  </si>
  <si>
    <t>De 86 PF a 99 PF</t>
  </si>
  <si>
    <t>+ de 99 PF</t>
  </si>
  <si>
    <r>
      <rPr>
        <sz val="10"/>
        <rFont val="Calibri"/>
        <family val="2"/>
        <charset val="1"/>
      </rPr>
      <t xml:space="preserve">Cálculo pela fórmula de Capers Jones: 
</t>
    </r>
    <r>
      <rPr>
        <b/>
        <sz val="10"/>
        <color indexed="55"/>
        <rFont val="Calibri"/>
        <family val="2"/>
        <charset val="1"/>
      </rPr>
      <t>Td = V^t</t>
    </r>
  </si>
  <si>
    <t>TOTAL</t>
  </si>
  <si>
    <t>Redução 
do prazo</t>
  </si>
  <si>
    <t>Aumento
no esforço</t>
  </si>
  <si>
    <t>Redução do prazo</t>
  </si>
  <si>
    <t>Curva
Linear</t>
  </si>
  <si>
    <t>Contagem de Pontos de Função
Esforço</t>
  </si>
  <si>
    <t>Produtividade (h/PFs) -----------&gt;</t>
  </si>
  <si>
    <t>Quant. PF</t>
  </si>
  <si>
    <t>Total</t>
  </si>
  <si>
    <t>Identificação da Manutenção</t>
  </si>
  <si>
    <t>Serviço e Produto UST</t>
  </si>
  <si>
    <t>INM Tabela 2 TR</t>
  </si>
  <si>
    <t>Fator de Ajuste</t>
  </si>
  <si>
    <t>1 - Registro de Necessidades</t>
  </si>
  <si>
    <t>Básica</t>
  </si>
  <si>
    <t>Intermediária</t>
  </si>
  <si>
    <t>Mediana</t>
  </si>
  <si>
    <t>Alta</t>
  </si>
  <si>
    <t>Item</t>
  </si>
  <si>
    <t xml:space="preserve">PF </t>
  </si>
  <si>
    <t xml:space="preserve">Especificidade </t>
  </si>
  <si>
    <t>Descrição</t>
  </si>
  <si>
    <t>Aplicação</t>
  </si>
  <si>
    <t>2 - Atualização dos dados de necessidade ou demandas</t>
  </si>
  <si>
    <t>Novo sistema</t>
  </si>
  <si>
    <t>3 - Geração de relatórios</t>
  </si>
  <si>
    <t>Melhoria – Nova</t>
  </si>
  <si>
    <t>4 - Atualização de relatórios</t>
  </si>
  <si>
    <t>Melhoria – Alterada - Basis</t>
  </si>
  <si>
    <t>5 - Levantamento de Necessidades de Informação</t>
  </si>
  <si>
    <t>Melhoria – Alterada - não Basis (sem redocumentação)</t>
  </si>
  <si>
    <t>6 - Parecer sobre necessidade</t>
  </si>
  <si>
    <t>Melhoria – Alterada - não Basis (com redocumentação)</t>
  </si>
  <si>
    <t>7 - Estimativa de esforço
HST</t>
  </si>
  <si>
    <t>Melhoria – Excluída</t>
  </si>
  <si>
    <t>8 - Necessidade de
usuário</t>
  </si>
  <si>
    <t>Migração de Dados</t>
  </si>
  <si>
    <t>9 - Caso de uso</t>
  </si>
  <si>
    <t>Corretiva – Basis (na garantia)</t>
  </si>
  <si>
    <t>10 - Protótipo de solução</t>
  </si>
  <si>
    <t>Corretiva – Basis (fora da garantia)</t>
  </si>
  <si>
    <t>11 - Regras de negócio</t>
  </si>
  <si>
    <t>Corretiva – Basis (fora da garantia com redocumentação)</t>
  </si>
  <si>
    <t>12 - Documento de Visão</t>
  </si>
  <si>
    <t>Corretiva – Não Basis</t>
  </si>
  <si>
    <t>13 - Modelo de arquitetura de Desenvolvimento</t>
  </si>
  <si>
    <t>Corretiva – Não Basis com redocumentação</t>
  </si>
  <si>
    <t>14 - Desenho de Solução
(UML)</t>
  </si>
  <si>
    <t>Mudança de Plataforma - Linguagem de Programação</t>
  </si>
  <si>
    <t>15 - Dicionário de dados</t>
  </si>
  <si>
    <t>Mudança de Plataforma - Banco de Dados Hierárquico</t>
  </si>
  <si>
    <t>16 - Estimativas</t>
  </si>
  <si>
    <t>Mudança de Plataforma - Banco de Dados Relacional</t>
  </si>
  <si>
    <t>17 - Análise de viabilidade de soluções</t>
  </si>
  <si>
    <t>Atualização de Versão – Linguagem de Programação</t>
  </si>
  <si>
    <t>18 - Definição de arquitetura de referência</t>
  </si>
  <si>
    <t>Atualização de Versão – Browser</t>
  </si>
  <si>
    <t>19 - Documentação da arquitetura existente</t>
  </si>
  <si>
    <t>Atualização de Versão – Banco de Dados</t>
  </si>
  <si>
    <t>20 - Planejamento de projeto</t>
  </si>
  <si>
    <t>Manutenção em interface</t>
  </si>
  <si>
    <t>21 - Relatório de Situação de Projeto</t>
  </si>
  <si>
    <t>Adaptação em Funcionalidades - Basis</t>
  </si>
  <si>
    <t>22 - Suporte a Projetos</t>
  </si>
  <si>
    <t>Adaptação em Funcionalidades - Basis com redoc.</t>
  </si>
  <si>
    <t>23 - Apoio ao Controle de Projetos</t>
  </si>
  <si>
    <t>Adaptação em Funcionalidades - Não Basis</t>
  </si>
  <si>
    <t>24 - Apoio ao Gerenciamento de Projetos</t>
  </si>
  <si>
    <t>Adaptação em Funcionalidades - Não Basis com redoc.</t>
  </si>
  <si>
    <t>25 - Controle de Portfolio de Projetos</t>
  </si>
  <si>
    <t>Apuração Especial – Base Dados - sem Consulta Prévia</t>
  </si>
  <si>
    <t>26 - Controle de Portfolio de Serviços</t>
  </si>
  <si>
    <t>Apuração Especial – Base Dados – Consulta Prévia</t>
  </si>
  <si>
    <t>27 - Indicadores de desempenho</t>
  </si>
  <si>
    <t>Apuração Especial – Base Dados – com Consulta Prévia</t>
  </si>
  <si>
    <t>28 - Níveis de serviço</t>
  </si>
  <si>
    <t>Apuração Especial – Geração de Relatórios</t>
  </si>
  <si>
    <t>29 - Validação de qualidade</t>
  </si>
  <si>
    <t>Apuração Especial – Reexecução</t>
  </si>
  <si>
    <t>30 - Riscos</t>
  </si>
  <si>
    <t>Atualização Dados</t>
  </si>
  <si>
    <t>31 - Planejamento de Metodologia</t>
  </si>
  <si>
    <t>Desenv., Manutenção e Publicação de Páginas Estáticas</t>
  </si>
  <si>
    <t>32 - Adequação metodológica</t>
  </si>
  <si>
    <t>Verificação Erros (documentação de teste inexistente)</t>
  </si>
  <si>
    <t>33 - Validação de aplicação de metodologia</t>
  </si>
  <si>
    <t>Verificação Erros (documentação de teste existente)</t>
  </si>
  <si>
    <t>34 - Apostila</t>
  </si>
  <si>
    <t>Pontos Função Teste</t>
  </si>
  <si>
    <t>35 - Manual</t>
  </si>
  <si>
    <t>Manutenção de Componente Interno Reusável</t>
  </si>
  <si>
    <t>36 - Documentação do Sistema</t>
  </si>
  <si>
    <t>37 - Curso presencial</t>
  </si>
  <si>
    <t>38 - Workshop</t>
  </si>
  <si>
    <t>39 - Treinamento automatizado</t>
  </si>
  <si>
    <t>40 - Treinamento áudio visual</t>
  </si>
  <si>
    <t>41 - Apoio para atendimento de usuários '</t>
  </si>
  <si>
    <t>42 - Resultado de pesquisa</t>
  </si>
  <si>
    <t>43 - Levantamento de processos</t>
  </si>
  <si>
    <t>44 - Documentação de Processos</t>
  </si>
  <si>
    <t>45 - Melhoria de Processos</t>
  </si>
  <si>
    <t>46 - Análise e Controle de Processos</t>
  </si>
  <si>
    <t>47 - Automação de processos</t>
  </si>
  <si>
    <t>48 - Elaboração de artefatos ou instrumentos de suporte para processo por campo</t>
  </si>
  <si>
    <t>49 - Teste de processo automatizado</t>
  </si>
  <si>
    <t>50 - Triagem de Demandas</t>
  </si>
  <si>
    <t>51 - Painel de demandas</t>
  </si>
  <si>
    <t>52 - Priorização de Demandas</t>
  </si>
  <si>
    <t>Tipo de Sistema</t>
  </si>
  <si>
    <t>Observação</t>
  </si>
  <si>
    <t>Expoente</t>
  </si>
  <si>
    <t>Sistema Comum – Mainframe</t>
  </si>
  <si>
    <t>Desenvolvimento de sistema com alto grau de reuso ou manutenção evolutiva</t>
  </si>
  <si>
    <t>Sistema Comum – WEB ou Cliente Servidor</t>
  </si>
  <si>
    <t>Se o projeto OO não for novidade para equipe, não tiver o desenvolvimento de componentes reusáveis, considerar sistema comum</t>
  </si>
  <si>
    <t>Sistema Cliente/Servidor</t>
  </si>
  <si>
    <t>Com alta complexidade arquitetural e integração com outros sistemas</t>
  </si>
  <si>
    <t>Sistemas Gerenciais complexos</t>
  </si>
  <si>
    <t>Com muitas integrações, Datawarehousing, Geoprocessamento, Workflow</t>
  </si>
  <si>
    <t>Software Básico, Frameworks, Sistemas Comerciais</t>
  </si>
  <si>
    <t>Software Militar</t>
  </si>
  <si>
    <t>Nº</t>
  </si>
  <si>
    <t>Funcionalidade</t>
  </si>
  <si>
    <t>Contagem de Pontos de Função
Pontos de Função por Funcionalidade</t>
  </si>
  <si>
    <t>Pontos de Função por Funcionalidade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</si>
</sst>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7">
    <numFmt numFmtId="164" formatCode="d/m/yyyy"/>
    <numFmt numFmtId="165" formatCode="&quot; R$ &quot;* #,##0.00\ ;&quot;-R$ &quot;* #,##0.00\ ;&quot; R$ &quot;* \-#\ ;@\ "/>
    <numFmt numFmtId="166" formatCode="#,##0.000"/>
    <numFmt numFmtId="167" formatCode="0.000"/>
    <numFmt numFmtId="168" formatCode="* #,##0\ ;\-* #,##0\ ;* \-#\ ;@\ "/>
    <numFmt numFmtId="169" formatCode="* #,##0.00\ ;\-* #,##0.00\ ;* \-#\ ;@\ "/>
    <numFmt numFmtId="170" formatCode="0.0"/>
  </numFmts>
  <fonts count="29">
    <font>
      <sz val="10"/>
      <name val="Arial"/>
      <charset val="1"/>
    </font>
    <font>
      <sz val="11"/>
      <name val="Calibri"/>
      <family val="2"/>
      <charset val="1"/>
    </font>
    <font>
      <i/>
      <sz val="10"/>
      <name val="Verdana"/>
      <family val="2"/>
      <charset val="1"/>
    </font>
    <font>
      <b/>
      <sz val="18"/>
      <name val="Verdana"/>
      <family val="2"/>
      <charset val="1"/>
    </font>
    <font>
      <sz val="10"/>
      <name val="Verdana"/>
      <family val="2"/>
      <charset val="1"/>
    </font>
    <font>
      <b/>
      <sz val="12"/>
      <name val="Calibri"/>
      <family val="2"/>
      <charset val="1"/>
    </font>
    <font>
      <b/>
      <sz val="11"/>
      <name val="Calibri"/>
      <family val="2"/>
      <charset val="1"/>
    </font>
    <font>
      <b/>
      <sz val="9"/>
      <color indexed="55"/>
      <name val="Tahoma"/>
      <family val="2"/>
      <charset val="1"/>
    </font>
    <font>
      <sz val="9"/>
      <color indexed="55"/>
      <name val="Tahoma"/>
      <family val="2"/>
      <charset val="1"/>
    </font>
    <font>
      <sz val="10"/>
      <name val="Arial"/>
      <family val="2"/>
      <charset val="1"/>
    </font>
    <font>
      <b/>
      <sz val="10"/>
      <name val="Verdana"/>
      <family val="2"/>
      <charset val="1"/>
    </font>
    <font>
      <b/>
      <sz val="16"/>
      <name val="Verdana"/>
      <family val="2"/>
      <charset val="1"/>
    </font>
    <font>
      <b/>
      <sz val="11"/>
      <name val="Verdana"/>
      <family val="2"/>
      <charset val="1"/>
    </font>
    <font>
      <b/>
      <sz val="10"/>
      <name val="Arial"/>
      <family val="2"/>
      <charset val="1"/>
    </font>
    <font>
      <b/>
      <sz val="12"/>
      <name val="Arial"/>
      <family val="2"/>
      <charset val="1"/>
    </font>
    <font>
      <sz val="11"/>
      <name val="Arial"/>
      <family val="2"/>
      <charset val="1"/>
    </font>
    <font>
      <b/>
      <sz val="10"/>
      <color indexed="55"/>
      <name val="Calibri"/>
      <family val="2"/>
      <charset val="1"/>
    </font>
    <font>
      <b/>
      <sz val="10"/>
      <name val="Calibri"/>
      <family val="2"/>
      <charset val="1"/>
    </font>
    <font>
      <sz val="12"/>
      <name val="Calibri"/>
      <family val="2"/>
      <charset val="1"/>
    </font>
    <font>
      <sz val="10"/>
      <name val="Calibri"/>
      <family val="2"/>
      <charset val="1"/>
    </font>
    <font>
      <sz val="10"/>
      <name val="Arial"/>
      <charset val="1"/>
    </font>
    <font>
      <u/>
      <sz val="11"/>
      <name val="Calibri"/>
      <family val="2"/>
      <charset val="1"/>
    </font>
    <font>
      <b/>
      <sz val="11"/>
      <color rgb="FF000000"/>
      <name val="Calibri"/>
      <family val="2"/>
      <charset val="1"/>
    </font>
    <font>
      <sz val="11"/>
      <color rgb="FF000000"/>
      <name val="Calibri"/>
      <family val="2"/>
      <charset val="1"/>
    </font>
    <font>
      <b/>
      <sz val="11"/>
      <color rgb="FFBFBFBF"/>
      <name val="Calibri"/>
      <family val="2"/>
      <charset val="1"/>
    </font>
    <font>
      <b/>
      <sz val="7"/>
      <color rgb="FF231F20"/>
      <name val="TimesNewRomanPS-BoldMT"/>
      <charset val="1"/>
    </font>
    <font>
      <sz val="7"/>
      <color rgb="FF231F20"/>
      <name val="Times New Roman"/>
      <family val="1"/>
      <charset val="1"/>
    </font>
    <font>
      <b/>
      <sz val="10"/>
      <color rgb="FF000000"/>
      <name val="Calibri"/>
      <family val="2"/>
      <charset val="1"/>
    </font>
    <font>
      <b/>
      <sz val="14"/>
      <color rgb="FF000000"/>
      <name val="Calibri"/>
      <family val="2"/>
      <charset val="1"/>
    </font>
  </fonts>
  <fills count="14">
    <fill>
      <patternFill patternType="none"/>
    </fill>
    <fill>
      <patternFill patternType="gray125"/>
    </fill>
    <fill>
      <patternFill patternType="solid">
        <fgColor rgb="FFF2F2F2"/>
        <bgColor rgb="FFEEEEEE"/>
      </patternFill>
    </fill>
    <fill>
      <patternFill patternType="solid">
        <fgColor rgb="FFCCCCCC"/>
        <bgColor rgb="FFBFBFBF"/>
      </patternFill>
    </fill>
    <fill>
      <patternFill patternType="solid">
        <fgColor rgb="FFFFFF00"/>
        <bgColor rgb="FFFFFF00"/>
      </patternFill>
    </fill>
    <fill>
      <patternFill patternType="solid">
        <fgColor rgb="FFD9D9D9"/>
        <bgColor rgb="FFDDDDDD"/>
      </patternFill>
    </fill>
    <fill>
      <patternFill patternType="solid">
        <fgColor rgb="FFFFFFFF"/>
        <bgColor rgb="FFF2F2F2"/>
      </patternFill>
    </fill>
    <fill>
      <patternFill patternType="solid">
        <fgColor rgb="FFDDDDDD"/>
        <bgColor rgb="FFD9D9D9"/>
      </patternFill>
    </fill>
    <fill>
      <patternFill patternType="solid">
        <fgColor rgb="FFB2B2B2"/>
        <bgColor rgb="FFA6A6A6"/>
      </patternFill>
    </fill>
    <fill>
      <patternFill patternType="solid">
        <fgColor rgb="FFEEEEEE"/>
        <bgColor rgb="FFF2F2F2"/>
      </patternFill>
    </fill>
    <fill>
      <patternFill patternType="solid">
        <fgColor rgb="FFC4BD97"/>
        <bgColor rgb="FFBFBFBF"/>
      </patternFill>
    </fill>
    <fill>
      <patternFill patternType="solid">
        <fgColor rgb="FFBFBFBF"/>
        <bgColor rgb="FFCCCCCC"/>
      </patternFill>
    </fill>
    <fill>
      <patternFill patternType="solid">
        <fgColor rgb="FFA6A6A6"/>
        <bgColor rgb="FFB2B2B2"/>
      </patternFill>
    </fill>
    <fill>
      <patternFill patternType="solid">
        <fgColor rgb="FFD9D9D9"/>
        <bgColor rgb="FFD7E4BD"/>
      </patternFill>
    </fill>
  </fills>
  <borders count="45">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style="thin">
        <color indexed="64"/>
      </top>
      <bottom/>
      <diagonal/>
    </border>
    <border>
      <left style="hair">
        <color indexed="64"/>
      </left>
      <right style="hair">
        <color indexed="64"/>
      </right>
      <top style="hair">
        <color indexed="64"/>
      </top>
      <bottom style="hair">
        <color indexed="64"/>
      </bottom>
      <diagonal/>
    </border>
    <border>
      <left style="thin">
        <color indexed="64"/>
      </left>
      <right/>
      <top/>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style="medium">
        <color indexed="64"/>
      </left>
      <right style="medium">
        <color indexed="64"/>
      </right>
      <top/>
      <bottom style="medium">
        <color indexed="64"/>
      </bottom>
      <diagonal/>
    </border>
    <border>
      <left style="medium">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right style="thin">
        <color indexed="64"/>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right style="medium">
        <color indexed="64"/>
      </right>
      <top/>
      <bottom style="medium">
        <color indexed="64"/>
      </bottom>
      <diagonal/>
    </border>
    <border>
      <left style="thin">
        <color indexed="64"/>
      </left>
      <right style="thin">
        <color indexed="64"/>
      </right>
      <top/>
      <bottom/>
      <diagonal/>
    </border>
    <border>
      <left/>
      <right style="medium">
        <color indexed="64"/>
      </right>
      <top style="thin">
        <color indexed="64"/>
      </top>
      <bottom style="medium">
        <color indexed="64"/>
      </bottom>
      <diagonal/>
    </border>
    <border>
      <left style="medium">
        <color indexed="64"/>
      </left>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style="medium">
        <color indexed="64"/>
      </right>
      <top style="medium">
        <color indexed="64"/>
      </top>
      <bottom style="medium">
        <color indexed="64"/>
      </bottom>
      <diagonal/>
    </border>
    <border>
      <left/>
      <right/>
      <top style="medium">
        <color indexed="64"/>
      </top>
      <bottom style="medium">
        <color indexed="64"/>
      </bottom>
      <diagonal/>
    </border>
  </borders>
  <cellStyleXfs count="4">
    <xf numFmtId="0" fontId="0" fillId="0" borderId="0"/>
    <xf numFmtId="165" fontId="20" fillId="0" borderId="0" applyBorder="0" applyProtection="0"/>
    <xf numFmtId="9" fontId="20" fillId="0" borderId="0" applyBorder="0" applyProtection="0"/>
    <xf numFmtId="169" fontId="20" fillId="0" borderId="0" applyBorder="0" applyProtection="0"/>
  </cellStyleXfs>
  <cellXfs count="268">
    <xf numFmtId="0" fontId="0" fillId="0" borderId="0" xfId="0"/>
    <xf numFmtId="0" fontId="1" fillId="0" borderId="0" xfId="0" applyFont="1" applyAlignment="1" applyProtection="1">
      <alignment vertical="center"/>
      <protection locked="0"/>
    </xf>
    <xf numFmtId="0" fontId="2" fillId="0" borderId="1" xfId="0" applyFont="1" applyBorder="1" applyAlignment="1" applyProtection="1">
      <alignment horizontal="left" indent="1"/>
      <protection hidden="1"/>
    </xf>
    <xf numFmtId="0" fontId="4" fillId="0" borderId="0" xfId="0" applyFont="1" applyAlignment="1" applyProtection="1">
      <protection locked="0"/>
    </xf>
    <xf numFmtId="0" fontId="4" fillId="0" borderId="0" xfId="0" applyFont="1" applyProtection="1">
      <protection locked="0" hidden="1"/>
    </xf>
    <xf numFmtId="0" fontId="6" fillId="0" borderId="2" xfId="0" applyFont="1" applyBorder="1" applyAlignment="1" applyProtection="1">
      <alignment horizontal="left" vertical="center"/>
      <protection locked="0"/>
    </xf>
    <xf numFmtId="0" fontId="6" fillId="0" borderId="0" xfId="0" applyFont="1" applyAlignment="1" applyProtection="1">
      <alignment vertical="center"/>
      <protection locked="0"/>
    </xf>
    <xf numFmtId="0" fontId="1" fillId="2" borderId="2" xfId="0" applyFont="1" applyFill="1" applyBorder="1" applyAlignment="1" applyProtection="1">
      <alignment horizontal="center" vertical="center"/>
    </xf>
    <xf numFmtId="9" fontId="1" fillId="0" borderId="3" xfId="2" applyFont="1" applyBorder="1" applyAlignment="1" applyProtection="1">
      <alignment horizontal="center" vertical="center"/>
      <protection locked="0"/>
    </xf>
    <xf numFmtId="9" fontId="1" fillId="0" borderId="2" xfId="2" applyFont="1" applyBorder="1" applyAlignment="1" applyProtection="1">
      <alignment horizontal="center" vertical="center"/>
      <protection locked="0"/>
    </xf>
    <xf numFmtId="2" fontId="1" fillId="2" borderId="2" xfId="0" applyNumberFormat="1" applyFont="1" applyFill="1" applyBorder="1" applyAlignment="1" applyProtection="1">
      <alignment horizontal="center" vertical="center"/>
    </xf>
    <xf numFmtId="2" fontId="1" fillId="0" borderId="2" xfId="0" applyNumberFormat="1" applyFont="1" applyBorder="1" applyAlignment="1" applyProtection="1">
      <alignment horizontal="center" vertical="center"/>
    </xf>
    <xf numFmtId="2" fontId="5" fillId="2" borderId="2" xfId="0" applyNumberFormat="1" applyFont="1" applyFill="1" applyBorder="1" applyAlignment="1" applyProtection="1">
      <alignment horizontal="center" vertical="center"/>
    </xf>
    <xf numFmtId="9" fontId="5" fillId="2" borderId="2" xfId="2" applyFont="1" applyFill="1" applyBorder="1" applyAlignment="1" applyProtection="1">
      <alignment horizontal="center" vertical="center"/>
    </xf>
    <xf numFmtId="0" fontId="5" fillId="0" borderId="0" xfId="0" applyFont="1" applyBorder="1" applyAlignment="1" applyProtection="1">
      <alignment horizontal="right" vertical="center"/>
      <protection locked="0"/>
    </xf>
    <xf numFmtId="9" fontId="5" fillId="0" borderId="0" xfId="2" applyFont="1" applyBorder="1" applyAlignment="1" applyProtection="1">
      <alignment horizontal="center" vertical="center"/>
      <protection locked="0"/>
    </xf>
    <xf numFmtId="2" fontId="5" fillId="3" borderId="2" xfId="0" applyNumberFormat="1" applyFont="1" applyFill="1" applyBorder="1" applyAlignment="1" applyProtection="1">
      <alignment horizontal="center" vertical="center"/>
    </xf>
    <xf numFmtId="2" fontId="5" fillId="0" borderId="2" xfId="0" applyNumberFormat="1" applyFont="1" applyBorder="1" applyAlignment="1" applyProtection="1">
      <alignment horizontal="center" vertical="center"/>
      <protection locked="0"/>
    </xf>
    <xf numFmtId="0" fontId="0" fillId="0" borderId="0" xfId="0" applyAlignment="1" applyProtection="1">
      <alignment horizontal="center" vertical="center"/>
      <protection locked="0"/>
    </xf>
    <xf numFmtId="0" fontId="0" fillId="0" borderId="0" xfId="0" applyAlignment="1" applyProtection="1">
      <alignment vertical="center"/>
      <protection locked="0"/>
    </xf>
    <xf numFmtId="0" fontId="0" fillId="0" borderId="0" xfId="0" applyAlignment="1" applyProtection="1">
      <alignment horizontal="center" vertical="center" wrapText="1"/>
      <protection locked="0"/>
    </xf>
    <xf numFmtId="0" fontId="9" fillId="0" borderId="0" xfId="0" applyFont="1" applyAlignment="1" applyProtection="1">
      <alignment vertical="center" wrapText="1"/>
      <protection locked="0"/>
    </xf>
    <xf numFmtId="0" fontId="2" fillId="0" borderId="1" xfId="0" applyFont="1" applyBorder="1" applyAlignment="1" applyProtection="1">
      <alignment horizontal="left" indent="1"/>
      <protection locked="0" hidden="1"/>
    </xf>
    <xf numFmtId="0" fontId="2" fillId="0" borderId="0" xfId="0" applyFont="1" applyBorder="1" applyAlignment="1" applyProtection="1">
      <alignment horizontal="left" vertical="center" indent="15"/>
      <protection locked="0"/>
    </xf>
    <xf numFmtId="0" fontId="3" fillId="0" borderId="0" xfId="0" applyFont="1" applyBorder="1" applyAlignment="1" applyProtection="1">
      <alignment horizontal="center" vertical="center"/>
      <protection locked="0"/>
    </xf>
    <xf numFmtId="49" fontId="3" fillId="0" borderId="0" xfId="0" applyNumberFormat="1" applyFont="1" applyBorder="1" applyAlignment="1" applyProtection="1">
      <alignment horizontal="center" vertical="center"/>
      <protection locked="0"/>
    </xf>
    <xf numFmtId="0" fontId="3" fillId="4" borderId="2" xfId="0" applyFont="1" applyFill="1" applyBorder="1" applyAlignment="1" applyProtection="1">
      <alignment horizontal="center" vertical="center"/>
      <protection locked="0"/>
    </xf>
    <xf numFmtId="0" fontId="12" fillId="0" borderId="4" xfId="0" applyFont="1" applyBorder="1" applyAlignment="1" applyProtection="1">
      <alignment vertical="center"/>
      <protection locked="0"/>
    </xf>
    <xf numFmtId="0" fontId="12" fillId="0" borderId="1" xfId="0" applyFont="1" applyBorder="1" applyAlignment="1" applyProtection="1">
      <alignment vertical="center"/>
      <protection locked="0"/>
    </xf>
    <xf numFmtId="0" fontId="13" fillId="5" borderId="3" xfId="0" applyFont="1" applyFill="1" applyBorder="1" applyAlignment="1" applyProtection="1">
      <alignment horizontal="center" vertical="center"/>
      <protection locked="0"/>
    </xf>
    <xf numFmtId="0" fontId="13" fillId="5" borderId="3" xfId="0" applyFont="1" applyFill="1" applyBorder="1" applyAlignment="1" applyProtection="1">
      <alignment horizontal="center" vertical="center" wrapText="1"/>
      <protection locked="0"/>
    </xf>
    <xf numFmtId="0" fontId="13" fillId="5" borderId="5" xfId="0" applyFont="1" applyFill="1" applyBorder="1" applyAlignment="1" applyProtection="1">
      <alignment horizontal="center" vertical="center" wrapText="1"/>
      <protection locked="0"/>
    </xf>
    <xf numFmtId="0" fontId="13" fillId="5" borderId="2" xfId="0" applyFont="1" applyFill="1" applyBorder="1" applyAlignment="1" applyProtection="1">
      <alignment horizontal="center" vertical="center" wrapText="1"/>
      <protection locked="0"/>
    </xf>
    <xf numFmtId="0" fontId="13" fillId="5" borderId="2" xfId="0" applyFont="1" applyFill="1" applyBorder="1" applyAlignment="1" applyProtection="1">
      <alignment horizontal="center" vertical="center"/>
      <protection locked="0"/>
    </xf>
    <xf numFmtId="0" fontId="14" fillId="0" borderId="0" xfId="0" applyFont="1" applyAlignment="1" applyProtection="1">
      <alignment horizontal="center" vertical="center"/>
      <protection locked="0"/>
    </xf>
    <xf numFmtId="0" fontId="15" fillId="0" borderId="0" xfId="0" applyFont="1" applyAlignment="1" applyProtection="1">
      <alignment vertical="center"/>
      <protection locked="0"/>
    </xf>
    <xf numFmtId="0" fontId="9" fillId="0" borderId="2" xfId="0" applyFont="1" applyBorder="1" applyAlignment="1" applyProtection="1">
      <alignment horizontal="center" vertical="center"/>
      <protection locked="0"/>
    </xf>
    <xf numFmtId="0" fontId="9" fillId="0" borderId="2" xfId="0" applyFont="1" applyBorder="1" applyAlignment="1" applyProtection="1">
      <alignment horizontal="left" vertical="center"/>
      <protection locked="0"/>
    </xf>
    <xf numFmtId="0" fontId="9" fillId="2" borderId="2" xfId="0" applyFont="1" applyFill="1" applyBorder="1" applyAlignment="1" applyProtection="1">
      <alignment horizontal="center" vertical="center"/>
    </xf>
    <xf numFmtId="0" fontId="9" fillId="6" borderId="2" xfId="0" applyFont="1" applyFill="1" applyBorder="1" applyAlignment="1" applyProtection="1">
      <alignment horizontal="center" vertical="center" wrapText="1"/>
      <protection locked="0"/>
    </xf>
    <xf numFmtId="0" fontId="9" fillId="6" borderId="2" xfId="0" applyFont="1" applyFill="1" applyBorder="1" applyAlignment="1" applyProtection="1">
      <alignment vertical="center" wrapText="1"/>
      <protection locked="0"/>
    </xf>
    <xf numFmtId="0" fontId="9" fillId="6" borderId="2" xfId="0" applyFont="1" applyFill="1" applyBorder="1" applyAlignment="1" applyProtection="1">
      <alignment horizontal="center" vertical="center"/>
      <protection locked="0"/>
    </xf>
    <xf numFmtId="0" fontId="9" fillId="6" borderId="2" xfId="0" applyFont="1" applyFill="1" applyBorder="1" applyAlignment="1" applyProtection="1">
      <alignment horizontal="center" vertical="center"/>
    </xf>
    <xf numFmtId="0" fontId="9" fillId="2" borderId="2" xfId="0" applyFont="1" applyFill="1" applyBorder="1" applyAlignment="1" applyProtection="1">
      <alignment horizontal="center" vertical="center" wrapText="1"/>
    </xf>
    <xf numFmtId="0" fontId="9" fillId="6" borderId="2" xfId="0" applyFont="1" applyFill="1" applyBorder="1" applyAlignment="1" applyProtection="1">
      <alignment vertical="center" wrapText="1"/>
    </xf>
    <xf numFmtId="0" fontId="13" fillId="6" borderId="2" xfId="0" applyFont="1" applyFill="1" applyBorder="1" applyAlignment="1" applyProtection="1">
      <alignment horizontal="center" vertical="center" wrapText="1"/>
      <protection locked="0"/>
    </xf>
    <xf numFmtId="165" fontId="15" fillId="0" borderId="0" xfId="1" applyFont="1" applyBorder="1" applyAlignment="1" applyProtection="1">
      <alignment vertical="center"/>
      <protection locked="0"/>
    </xf>
    <xf numFmtId="0" fontId="9" fillId="0" borderId="0" xfId="0" applyFont="1" applyAlignment="1" applyProtection="1">
      <alignment horizontal="center" vertical="center"/>
      <protection locked="0"/>
    </xf>
    <xf numFmtId="0" fontId="9" fillId="0" borderId="0" xfId="0" applyFont="1" applyAlignment="1" applyProtection="1">
      <alignment vertical="center"/>
      <protection locked="0"/>
    </xf>
    <xf numFmtId="0" fontId="9" fillId="0" borderId="0" xfId="0" applyFont="1" applyAlignment="1" applyProtection="1">
      <alignment horizontal="center" vertical="center" wrapText="1"/>
      <protection locked="0"/>
    </xf>
    <xf numFmtId="0" fontId="13" fillId="2" borderId="3" xfId="0" applyFont="1" applyFill="1" applyBorder="1" applyAlignment="1" applyProtection="1">
      <alignment horizontal="center" vertical="center" wrapText="1"/>
      <protection locked="0"/>
    </xf>
    <xf numFmtId="0" fontId="13" fillId="2" borderId="3" xfId="0" applyFont="1" applyFill="1" applyBorder="1" applyAlignment="1" applyProtection="1">
      <alignment horizontal="center" vertical="center"/>
    </xf>
    <xf numFmtId="0" fontId="13" fillId="0" borderId="3" xfId="0" applyFont="1" applyBorder="1" applyAlignment="1" applyProtection="1">
      <alignment horizontal="center" vertical="center"/>
      <protection locked="0"/>
    </xf>
    <xf numFmtId="0" fontId="0" fillId="0" borderId="0" xfId="0" applyAlignment="1" applyProtection="1">
      <alignment horizontal="center"/>
      <protection locked="0"/>
    </xf>
    <xf numFmtId="0" fontId="0" fillId="0" borderId="0" xfId="0" applyAlignment="1" applyProtection="1">
      <protection locked="0"/>
    </xf>
    <xf numFmtId="0" fontId="0" fillId="0" borderId="0" xfId="0" applyAlignment="1" applyProtection="1">
      <alignment horizontal="center" wrapText="1"/>
      <protection locked="0"/>
    </xf>
    <xf numFmtId="0" fontId="0" fillId="0" borderId="0" xfId="0" applyFont="1" applyAlignment="1" applyProtection="1">
      <alignment wrapText="1"/>
      <protection locked="0"/>
    </xf>
    <xf numFmtId="0" fontId="12" fillId="0" borderId="1" xfId="0" applyFont="1" applyBorder="1" applyAlignment="1" applyProtection="1">
      <alignment horizontal="center" vertical="center"/>
      <protection locked="0"/>
    </xf>
    <xf numFmtId="0" fontId="13" fillId="5" borderId="6" xfId="0" applyFont="1" applyFill="1" applyBorder="1" applyAlignment="1" applyProtection="1">
      <alignment horizontal="center" vertical="center"/>
      <protection locked="0"/>
    </xf>
    <xf numFmtId="0" fontId="13" fillId="5" borderId="6" xfId="0" applyFont="1" applyFill="1" applyBorder="1" applyAlignment="1" applyProtection="1">
      <alignment horizontal="center" vertical="center" wrapText="1"/>
      <protection locked="0"/>
    </xf>
    <xf numFmtId="0" fontId="14" fillId="0" borderId="0" xfId="0" applyFont="1" applyAlignment="1" applyProtection="1">
      <alignment vertical="center"/>
      <protection locked="0"/>
    </xf>
    <xf numFmtId="4" fontId="9" fillId="6" borderId="2" xfId="0" applyNumberFormat="1" applyFont="1" applyFill="1" applyBorder="1" applyAlignment="1" applyProtection="1">
      <alignment horizontal="center" vertical="center" wrapText="1"/>
      <protection locked="0"/>
    </xf>
    <xf numFmtId="4" fontId="9" fillId="7" borderId="2" xfId="0" applyNumberFormat="1" applyFont="1" applyFill="1" applyBorder="1" applyAlignment="1" applyProtection="1">
      <alignment horizontal="center" vertical="center"/>
      <protection locked="0"/>
    </xf>
    <xf numFmtId="4" fontId="9" fillId="7" borderId="2" xfId="0" applyNumberFormat="1" applyFont="1" applyFill="1" applyBorder="1" applyAlignment="1" applyProtection="1">
      <alignment horizontal="center" vertical="center" wrapText="1"/>
      <protection locked="0"/>
    </xf>
    <xf numFmtId="166" fontId="13" fillId="7" borderId="2" xfId="0" applyNumberFormat="1" applyFont="1" applyFill="1" applyBorder="1" applyAlignment="1" applyProtection="1">
      <alignment horizontal="center" vertical="center" wrapText="1"/>
      <protection locked="0"/>
    </xf>
    <xf numFmtId="0" fontId="14" fillId="0" borderId="0" xfId="0" applyFont="1" applyAlignment="1" applyProtection="1">
      <alignment horizontal="right" vertical="center"/>
      <protection locked="0"/>
    </xf>
    <xf numFmtId="167" fontId="14" fillId="7" borderId="2" xfId="0" applyNumberFormat="1" applyFont="1" applyFill="1" applyBorder="1" applyAlignment="1" applyProtection="1">
      <alignment horizontal="center" vertical="center"/>
      <protection locked="0"/>
    </xf>
    <xf numFmtId="0" fontId="3" fillId="0" borderId="0" xfId="0" applyFont="1" applyBorder="1" applyAlignment="1" applyProtection="1">
      <alignment horizontal="right" vertical="center" wrapText="1"/>
      <protection locked="0"/>
    </xf>
    <xf numFmtId="0" fontId="9" fillId="4" borderId="0" xfId="0" applyFont="1" applyFill="1" applyBorder="1" applyAlignment="1" applyProtection="1">
      <alignment horizontal="center" vertical="center"/>
      <protection locked="0"/>
    </xf>
    <xf numFmtId="0" fontId="0" fillId="0" borderId="1" xfId="0" applyBorder="1" applyAlignment="1" applyProtection="1">
      <alignment vertical="center"/>
      <protection locked="0"/>
    </xf>
    <xf numFmtId="0" fontId="3" fillId="0" borderId="0" xfId="0" applyFont="1" applyBorder="1" applyAlignment="1" applyProtection="1">
      <alignment vertical="center" wrapText="1"/>
      <protection locked="0"/>
    </xf>
    <xf numFmtId="0" fontId="3" fillId="0" borderId="0" xfId="0" applyFont="1" applyBorder="1" applyAlignment="1" applyProtection="1">
      <alignment vertical="center"/>
      <protection locked="0"/>
    </xf>
    <xf numFmtId="0" fontId="0" fillId="0" borderId="0" xfId="0" applyBorder="1" applyAlignment="1" applyProtection="1">
      <alignment vertical="center"/>
      <protection locked="0"/>
    </xf>
    <xf numFmtId="0" fontId="2" fillId="0" borderId="7" xfId="0" applyFont="1" applyBorder="1" applyAlignment="1" applyProtection="1">
      <alignment horizontal="left" vertical="center" indent="15"/>
      <protection locked="0"/>
    </xf>
    <xf numFmtId="0" fontId="12" fillId="0" borderId="0" xfId="0" applyFont="1" applyBorder="1" applyAlignment="1" applyProtection="1">
      <alignment vertical="center"/>
      <protection locked="0"/>
    </xf>
    <xf numFmtId="0" fontId="12" fillId="2" borderId="2" xfId="0" applyFont="1" applyFill="1" applyBorder="1" applyAlignment="1" applyProtection="1">
      <alignment horizontal="right" vertical="center"/>
      <protection locked="0"/>
    </xf>
    <xf numFmtId="0" fontId="0" fillId="0" borderId="8" xfId="0" applyBorder="1" applyAlignment="1" applyProtection="1">
      <alignment vertical="center"/>
      <protection locked="0"/>
    </xf>
    <xf numFmtId="0" fontId="12" fillId="0" borderId="8" xfId="0" applyFont="1" applyBorder="1" applyAlignment="1" applyProtection="1">
      <alignment horizontal="center" vertical="center"/>
      <protection locked="0"/>
    </xf>
    <xf numFmtId="0" fontId="9" fillId="6" borderId="9" xfId="0" applyFont="1" applyFill="1" applyBorder="1" applyAlignment="1" applyProtection="1">
      <alignment horizontal="center" vertical="center" wrapText="1"/>
      <protection locked="0"/>
    </xf>
    <xf numFmtId="2" fontId="9" fillId="2" borderId="2" xfId="0" applyNumberFormat="1" applyFont="1" applyFill="1" applyBorder="1" applyAlignment="1" applyProtection="1">
      <alignment horizontal="center" vertical="center" wrapText="1"/>
    </xf>
    <xf numFmtId="0" fontId="9" fillId="0" borderId="2" xfId="0" applyFont="1" applyBorder="1" applyAlignment="1" applyProtection="1">
      <alignment vertical="center" wrapText="1"/>
      <protection locked="0"/>
    </xf>
    <xf numFmtId="0" fontId="13" fillId="2" borderId="2" xfId="0" applyFont="1" applyFill="1" applyBorder="1" applyAlignment="1" applyProtection="1">
      <alignment horizontal="right" vertical="center"/>
      <protection locked="0"/>
    </xf>
    <xf numFmtId="0" fontId="13" fillId="2" borderId="2" xfId="0" applyFont="1" applyFill="1" applyBorder="1" applyAlignment="1" applyProtection="1">
      <alignment vertical="center"/>
    </xf>
    <xf numFmtId="0" fontId="13" fillId="3" borderId="6" xfId="0" applyFont="1" applyFill="1" applyBorder="1" applyAlignment="1" applyProtection="1">
      <alignment horizontal="center" vertical="center" wrapText="1"/>
      <protection locked="0"/>
    </xf>
    <xf numFmtId="0" fontId="13" fillId="8" borderId="6" xfId="0" applyFont="1" applyFill="1" applyBorder="1" applyAlignment="1" applyProtection="1">
      <alignment horizontal="center" vertical="center" wrapText="1"/>
      <protection locked="0"/>
    </xf>
    <xf numFmtId="0" fontId="9" fillId="9" borderId="2" xfId="0" applyFont="1" applyFill="1" applyBorder="1" applyAlignment="1" applyProtection="1">
      <alignment horizontal="center" vertical="center" wrapText="1"/>
      <protection locked="0"/>
    </xf>
    <xf numFmtId="166" fontId="9" fillId="7" borderId="2" xfId="0" applyNumberFormat="1" applyFont="1" applyFill="1" applyBorder="1" applyAlignment="1" applyProtection="1">
      <alignment horizontal="center" vertical="center"/>
    </xf>
    <xf numFmtId="166" fontId="13" fillId="8" borderId="2" xfId="0" applyNumberFormat="1" applyFont="1" applyFill="1" applyBorder="1" applyAlignment="1" applyProtection="1">
      <alignment horizontal="center" vertical="center"/>
    </xf>
    <xf numFmtId="166" fontId="13" fillId="8" borderId="2" xfId="0" applyNumberFormat="1" applyFont="1" applyFill="1" applyBorder="1" applyAlignment="1" applyProtection="1">
      <alignment horizontal="center" vertical="center"/>
      <protection locked="0"/>
    </xf>
    <xf numFmtId="0" fontId="2" fillId="0" borderId="0" xfId="0" applyFont="1" applyBorder="1" applyAlignment="1" applyProtection="1">
      <alignment horizontal="left" vertical="center"/>
      <protection locked="0"/>
    </xf>
    <xf numFmtId="164" fontId="11" fillId="0" borderId="0" xfId="0" applyNumberFormat="1" applyFont="1" applyBorder="1" applyAlignment="1" applyProtection="1">
      <alignment horizontal="center" vertical="center"/>
      <protection locked="0"/>
    </xf>
    <xf numFmtId="0" fontId="9" fillId="2" borderId="2" xfId="0" applyFont="1" applyFill="1" applyBorder="1" applyAlignment="1" applyProtection="1">
      <alignment horizontal="center" vertical="center" wrapText="1"/>
      <protection locked="0"/>
    </xf>
    <xf numFmtId="0" fontId="13" fillId="2" borderId="3" xfId="0" applyFont="1" applyFill="1" applyBorder="1" applyAlignment="1" applyProtection="1">
      <alignment horizontal="center" vertical="center"/>
      <protection locked="0"/>
    </xf>
    <xf numFmtId="0" fontId="0" fillId="0" borderId="2" xfId="0" applyBorder="1" applyAlignment="1" applyProtection="1">
      <alignment horizontal="center" vertical="center"/>
      <protection locked="0"/>
    </xf>
    <xf numFmtId="2" fontId="0" fillId="0" borderId="2" xfId="0" applyNumberFormat="1" applyBorder="1" applyAlignment="1" applyProtection="1">
      <alignment horizontal="center" vertical="center"/>
      <protection locked="0"/>
    </xf>
    <xf numFmtId="0" fontId="9" fillId="0" borderId="2" xfId="0" applyFont="1" applyBorder="1" applyAlignment="1" applyProtection="1">
      <alignment horizontal="center" vertical="center" wrapText="1"/>
      <protection locked="0"/>
    </xf>
    <xf numFmtId="0" fontId="0" fillId="0" borderId="0" xfId="0" applyProtection="1">
      <protection locked="0"/>
    </xf>
    <xf numFmtId="0" fontId="2" fillId="0" borderId="0" xfId="0" applyFont="1" applyProtection="1">
      <protection locked="0"/>
    </xf>
    <xf numFmtId="0" fontId="1" fillId="0" borderId="0" xfId="0" applyFont="1" applyProtection="1"/>
    <xf numFmtId="0" fontId="22" fillId="10" borderId="10" xfId="0" applyFont="1" applyFill="1" applyBorder="1" applyAlignment="1" applyProtection="1">
      <alignment horizontal="center" vertical="center" wrapText="1"/>
    </xf>
    <xf numFmtId="0" fontId="22" fillId="11" borderId="11" xfId="0" applyFont="1" applyFill="1" applyBorder="1" applyAlignment="1" applyProtection="1">
      <alignment horizontal="center" vertical="center"/>
    </xf>
    <xf numFmtId="0" fontId="22" fillId="10" borderId="12" xfId="0" applyFont="1" applyFill="1" applyBorder="1" applyAlignment="1" applyProtection="1">
      <alignment horizontal="center" vertical="center" wrapText="1"/>
    </xf>
    <xf numFmtId="0" fontId="17" fillId="11" borderId="2" xfId="0" applyFont="1" applyFill="1" applyBorder="1" applyAlignment="1" applyProtection="1">
      <alignment horizontal="center" vertical="center" wrapText="1"/>
    </xf>
    <xf numFmtId="0" fontId="6" fillId="12" borderId="13" xfId="0" applyFont="1" applyFill="1" applyBorder="1" applyAlignment="1" applyProtection="1">
      <alignment horizontal="center"/>
    </xf>
    <xf numFmtId="0" fontId="6" fillId="12" borderId="14" xfId="0" applyFont="1" applyFill="1" applyBorder="1" applyAlignment="1" applyProtection="1">
      <alignment horizontal="center"/>
    </xf>
    <xf numFmtId="1" fontId="1" fillId="2" borderId="15" xfId="0" applyNumberFormat="1" applyFont="1" applyFill="1" applyBorder="1" applyAlignment="1" applyProtection="1">
      <alignment horizontal="right" vertical="center"/>
    </xf>
    <xf numFmtId="1" fontId="1" fillId="2" borderId="16" xfId="0" applyNumberFormat="1" applyFont="1" applyFill="1" applyBorder="1" applyAlignment="1" applyProtection="1">
      <alignment horizontal="right" vertical="center"/>
    </xf>
    <xf numFmtId="0" fontId="6" fillId="11" borderId="2" xfId="0" applyFont="1" applyFill="1" applyBorder="1" applyAlignment="1" applyProtection="1">
      <alignment horizontal="center" vertical="center"/>
    </xf>
    <xf numFmtId="0" fontId="6" fillId="11" borderId="17" xfId="0" applyFont="1" applyFill="1" applyBorder="1" applyAlignment="1" applyProtection="1">
      <alignment horizontal="center" vertical="center"/>
    </xf>
    <xf numFmtId="2" fontId="1" fillId="2" borderId="18" xfId="0" applyNumberFormat="1" applyFont="1" applyFill="1" applyBorder="1" applyAlignment="1" applyProtection="1">
      <alignment horizontal="right" vertical="center"/>
    </xf>
    <xf numFmtId="2" fontId="1" fillId="2" borderId="19" xfId="0" applyNumberFormat="1" applyFont="1" applyFill="1" applyBorder="1" applyAlignment="1" applyProtection="1">
      <alignment horizontal="right" vertical="center"/>
    </xf>
    <xf numFmtId="0" fontId="6" fillId="11" borderId="11" xfId="0" applyFont="1" applyFill="1" applyBorder="1" applyAlignment="1" applyProtection="1">
      <alignment horizontal="center" vertical="center"/>
    </xf>
    <xf numFmtId="9" fontId="1" fillId="2" borderId="2" xfId="2" applyFont="1" applyFill="1" applyBorder="1" applyAlignment="1" applyProtection="1">
      <alignment horizontal="center" vertical="center"/>
    </xf>
    <xf numFmtId="9" fontId="1" fillId="4" borderId="2" xfId="2" applyFont="1" applyFill="1" applyBorder="1" applyAlignment="1" applyProtection="1">
      <alignment horizontal="center" vertical="center"/>
      <protection locked="0"/>
    </xf>
    <xf numFmtId="168" fontId="1" fillId="2" borderId="2" xfId="3" applyNumberFormat="1" applyFont="1" applyFill="1" applyBorder="1" applyAlignment="1" applyProtection="1">
      <alignment horizontal="left" vertical="center"/>
    </xf>
    <xf numFmtId="164" fontId="1" fillId="4" borderId="2" xfId="0" applyNumberFormat="1" applyFont="1" applyFill="1" applyBorder="1" applyAlignment="1" applyProtection="1">
      <alignment horizontal="center"/>
      <protection locked="0"/>
    </xf>
    <xf numFmtId="164" fontId="1" fillId="2" borderId="17" xfId="0" applyNumberFormat="1" applyFont="1" applyFill="1" applyBorder="1" applyAlignment="1" applyProtection="1">
      <alignment horizontal="center"/>
    </xf>
    <xf numFmtId="168" fontId="18" fillId="10" borderId="20" xfId="0" applyNumberFormat="1" applyFont="1" applyFill="1" applyBorder="1" applyAlignment="1" applyProtection="1">
      <alignment horizontal="center" vertical="center"/>
    </xf>
    <xf numFmtId="170" fontId="18" fillId="10" borderId="21" xfId="0" applyNumberFormat="1" applyFont="1" applyFill="1" applyBorder="1" applyAlignment="1" applyProtection="1">
      <alignment vertical="center"/>
    </xf>
    <xf numFmtId="9" fontId="23" fillId="11" borderId="2" xfId="2" applyFont="1" applyFill="1" applyBorder="1" applyAlignment="1" applyProtection="1">
      <alignment horizontal="center" vertical="center"/>
    </xf>
    <xf numFmtId="164" fontId="1" fillId="2" borderId="2" xfId="0" applyNumberFormat="1" applyFont="1" applyFill="1" applyBorder="1" applyAlignment="1" applyProtection="1">
      <alignment horizontal="center"/>
    </xf>
    <xf numFmtId="0" fontId="6" fillId="11" borderId="22" xfId="0" applyFont="1" applyFill="1" applyBorder="1" applyAlignment="1" applyProtection="1">
      <alignment horizontal="center"/>
    </xf>
    <xf numFmtId="0" fontId="6" fillId="11" borderId="23" xfId="0" applyFont="1" applyFill="1" applyBorder="1" applyAlignment="1" applyProtection="1">
      <alignment horizontal="center"/>
    </xf>
    <xf numFmtId="0" fontId="6" fillId="11" borderId="24" xfId="0" applyFont="1" applyFill="1" applyBorder="1" applyAlignment="1" applyProtection="1">
      <alignment horizontal="center"/>
    </xf>
    <xf numFmtId="0" fontId="6" fillId="11" borderId="25" xfId="0" applyFont="1" applyFill="1" applyBorder="1" applyAlignment="1" applyProtection="1">
      <alignment horizontal="center"/>
    </xf>
    <xf numFmtId="0" fontId="6" fillId="11" borderId="18" xfId="0" applyFont="1" applyFill="1" applyBorder="1" applyAlignment="1" applyProtection="1">
      <alignment horizontal="center"/>
    </xf>
    <xf numFmtId="9" fontId="6" fillId="11" borderId="26" xfId="0" applyNumberFormat="1" applyFont="1" applyFill="1" applyBorder="1" applyAlignment="1" applyProtection="1">
      <alignment horizontal="center"/>
    </xf>
    <xf numFmtId="168" fontId="6" fillId="2" borderId="26" xfId="0" applyNumberFormat="1" applyFont="1" applyFill="1" applyBorder="1" applyAlignment="1" applyProtection="1">
      <alignment horizontal="center"/>
    </xf>
    <xf numFmtId="164" fontId="1" fillId="2" borderId="3" xfId="0" applyNumberFormat="1" applyFont="1" applyFill="1" applyBorder="1" applyAlignment="1" applyProtection="1">
      <alignment horizontal="center"/>
    </xf>
    <xf numFmtId="164" fontId="1" fillId="2" borderId="19" xfId="0" applyNumberFormat="1" applyFont="1" applyFill="1" applyBorder="1" applyAlignment="1" applyProtection="1">
      <alignment horizontal="center"/>
    </xf>
    <xf numFmtId="9" fontId="6" fillId="11" borderId="27" xfId="0" applyNumberFormat="1" applyFont="1" applyFill="1" applyBorder="1" applyAlignment="1" applyProtection="1">
      <alignment horizontal="center"/>
    </xf>
    <xf numFmtId="168" fontId="6" fillId="2" borderId="27" xfId="0" applyNumberFormat="1" applyFont="1" applyFill="1" applyBorder="1" applyAlignment="1" applyProtection="1">
      <alignment horizontal="center"/>
    </xf>
    <xf numFmtId="164" fontId="1" fillId="2" borderId="2" xfId="0" applyNumberFormat="1" applyFont="1" applyFill="1" applyBorder="1" applyAlignment="1" applyProtection="1">
      <alignment horizontal="center" vertical="center"/>
    </xf>
    <xf numFmtId="168" fontId="24" fillId="11" borderId="20" xfId="2" applyNumberFormat="1" applyFont="1" applyFill="1" applyBorder="1" applyAlignment="1" applyProtection="1">
      <alignment horizontal="left" vertical="center"/>
    </xf>
    <xf numFmtId="0" fontId="22" fillId="11" borderId="28" xfId="0" applyFont="1" applyFill="1" applyBorder="1" applyAlignment="1" applyProtection="1">
      <alignment horizontal="right"/>
    </xf>
    <xf numFmtId="9" fontId="6" fillId="2" borderId="28" xfId="2" applyFont="1" applyFill="1" applyBorder="1" applyAlignment="1" applyProtection="1">
      <alignment horizontal="center" vertical="center"/>
    </xf>
    <xf numFmtId="0" fontId="1" fillId="0" borderId="0" xfId="0" applyFont="1"/>
    <xf numFmtId="168" fontId="1" fillId="0" borderId="0" xfId="0" applyNumberFormat="1" applyFont="1"/>
    <xf numFmtId="0" fontId="1" fillId="0" borderId="0" xfId="0" applyFont="1" applyProtection="1">
      <protection locked="0"/>
    </xf>
    <xf numFmtId="0" fontId="1" fillId="0" borderId="0" xfId="0" applyFont="1" applyAlignment="1" applyProtection="1">
      <alignment horizontal="center"/>
      <protection locked="0"/>
    </xf>
    <xf numFmtId="0" fontId="6" fillId="11" borderId="20" xfId="0" applyFont="1" applyFill="1" applyBorder="1" applyAlignment="1" applyProtection="1">
      <alignment horizontal="center" vertical="center"/>
    </xf>
    <xf numFmtId="9" fontId="6" fillId="11" borderId="29" xfId="0" applyNumberFormat="1" applyFont="1" applyFill="1" applyBorder="1" applyAlignment="1" applyProtection="1">
      <alignment horizontal="center"/>
    </xf>
    <xf numFmtId="168" fontId="6" fillId="2" borderId="29" xfId="0" applyNumberFormat="1" applyFont="1" applyFill="1" applyBorder="1" applyAlignment="1" applyProtection="1">
      <alignment horizontal="center"/>
    </xf>
    <xf numFmtId="164" fontId="1" fillId="2" borderId="28" xfId="0" applyNumberFormat="1" applyFont="1" applyFill="1" applyBorder="1" applyAlignment="1" applyProtection="1">
      <alignment horizontal="center" vertical="center"/>
    </xf>
    <xf numFmtId="164" fontId="1" fillId="2" borderId="21" xfId="0" applyNumberFormat="1" applyFont="1" applyFill="1" applyBorder="1" applyAlignment="1" applyProtection="1">
      <alignment horizontal="center"/>
    </xf>
    <xf numFmtId="0" fontId="6" fillId="11" borderId="15" xfId="0" applyFont="1" applyFill="1" applyBorder="1" applyAlignment="1" applyProtection="1">
      <alignment horizontal="center" wrapText="1"/>
    </xf>
    <xf numFmtId="0" fontId="6" fillId="11" borderId="16" xfId="0" applyFont="1" applyFill="1" applyBorder="1" applyAlignment="1" applyProtection="1">
      <alignment horizontal="center" wrapText="1"/>
    </xf>
    <xf numFmtId="0" fontId="0" fillId="0" borderId="0" xfId="0" applyProtection="1"/>
    <xf numFmtId="0" fontId="23" fillId="5" borderId="11" xfId="0" applyFont="1" applyFill="1" applyBorder="1" applyAlignment="1" applyProtection="1"/>
    <xf numFmtId="168" fontId="23" fillId="5" borderId="17" xfId="0" applyNumberFormat="1" applyFont="1" applyFill="1" applyBorder="1" applyAlignment="1" applyProtection="1"/>
    <xf numFmtId="0" fontId="23" fillId="5" borderId="20" xfId="0" applyFont="1" applyFill="1" applyBorder="1" applyAlignment="1" applyProtection="1"/>
    <xf numFmtId="168" fontId="23" fillId="5" borderId="21" xfId="0" applyNumberFormat="1" applyFont="1" applyFill="1" applyBorder="1" applyAlignment="1" applyProtection="1"/>
    <xf numFmtId="0" fontId="13" fillId="12" borderId="15" xfId="0" applyFont="1" applyFill="1" applyBorder="1" applyAlignment="1" applyProtection="1">
      <alignment horizontal="center" vertical="center" wrapText="1"/>
    </xf>
    <xf numFmtId="0" fontId="13" fillId="12" borderId="30" xfId="0" applyFont="1" applyFill="1" applyBorder="1" applyAlignment="1" applyProtection="1">
      <alignment horizontal="center" vertical="center" wrapText="1"/>
    </xf>
    <xf numFmtId="0" fontId="13" fillId="12" borderId="16" xfId="0" applyFont="1" applyFill="1" applyBorder="1" applyAlignment="1" applyProtection="1">
      <alignment horizontal="center" vertical="center" wrapText="1"/>
    </xf>
    <xf numFmtId="0" fontId="0" fillId="2" borderId="11" xfId="0" applyFont="1" applyFill="1" applyBorder="1" applyAlignment="1" applyProtection="1"/>
    <xf numFmtId="168" fontId="20" fillId="2" borderId="2" xfId="3" applyNumberFormat="1" applyFont="1" applyFill="1" applyBorder="1" applyAlignment="1" applyProtection="1"/>
    <xf numFmtId="168" fontId="20" fillId="2" borderId="17" xfId="3" applyNumberFormat="1" applyFont="1" applyFill="1" applyBorder="1" applyAlignment="1" applyProtection="1"/>
    <xf numFmtId="168" fontId="20" fillId="10" borderId="2" xfId="3" applyNumberFormat="1" applyFont="1" applyFill="1" applyBorder="1" applyAlignment="1" applyProtection="1"/>
    <xf numFmtId="168" fontId="20" fillId="10" borderId="17" xfId="3" applyNumberFormat="1" applyFont="1" applyFill="1" applyBorder="1" applyAlignment="1" applyProtection="1"/>
    <xf numFmtId="0" fontId="0" fillId="2" borderId="20" xfId="0" applyFont="1" applyFill="1" applyBorder="1" applyAlignment="1" applyProtection="1"/>
    <xf numFmtId="168" fontId="20" fillId="2" borderId="28" xfId="3" applyNumberFormat="1" applyFont="1" applyFill="1" applyBorder="1" applyAlignment="1" applyProtection="1"/>
    <xf numFmtId="168" fontId="20" fillId="2" borderId="21" xfId="3" applyNumberFormat="1" applyFont="1" applyFill="1" applyBorder="1" applyAlignment="1" applyProtection="1"/>
    <xf numFmtId="0" fontId="3" fillId="0" borderId="0" xfId="0" applyFont="1" applyBorder="1" applyAlignment="1">
      <alignment vertical="center"/>
    </xf>
    <xf numFmtId="0" fontId="0" fillId="0" borderId="0" xfId="0" applyAlignment="1">
      <alignment vertical="center"/>
    </xf>
    <xf numFmtId="0" fontId="13" fillId="0" borderId="0" xfId="0" applyFont="1"/>
    <xf numFmtId="0" fontId="0" fillId="4" borderId="0" xfId="0" applyFill="1" applyAlignment="1">
      <alignment horizontal="center"/>
    </xf>
    <xf numFmtId="0" fontId="6" fillId="5" borderId="2" xfId="0" applyFont="1" applyFill="1" applyBorder="1" applyAlignment="1">
      <alignment horizontal="center" vertical="center" wrapText="1"/>
    </xf>
    <xf numFmtId="0" fontId="13" fillId="5" borderId="2" xfId="0" applyFont="1" applyFill="1" applyBorder="1" applyAlignment="1">
      <alignment horizontal="center"/>
    </xf>
    <xf numFmtId="0" fontId="6" fillId="5" borderId="2" xfId="0" applyFont="1" applyFill="1" applyBorder="1" applyAlignment="1">
      <alignment horizontal="center" vertical="center"/>
    </xf>
    <xf numFmtId="9" fontId="9" fillId="5" borderId="2" xfId="2" applyFont="1" applyFill="1" applyBorder="1" applyAlignment="1" applyProtection="1"/>
    <xf numFmtId="0" fontId="9" fillId="6" borderId="2" xfId="0" applyFont="1" applyFill="1" applyBorder="1" applyAlignment="1">
      <alignment horizontal="center" vertical="center" wrapText="1"/>
    </xf>
    <xf numFmtId="0" fontId="0" fillId="0" borderId="2" xfId="0" applyBorder="1"/>
    <xf numFmtId="0" fontId="13" fillId="6" borderId="2" xfId="0" applyFont="1" applyFill="1" applyBorder="1" applyAlignment="1">
      <alignment horizontal="center" vertical="center" wrapText="1"/>
    </xf>
    <xf numFmtId="0" fontId="13" fillId="0" borderId="2" xfId="0" applyFont="1" applyBorder="1"/>
    <xf numFmtId="0" fontId="0" fillId="0" borderId="0" xfId="0" applyAlignment="1">
      <alignment horizontal="left"/>
    </xf>
    <xf numFmtId="170" fontId="0" fillId="0" borderId="0" xfId="0" applyNumberFormat="1" applyAlignment="1">
      <alignment horizontal="center"/>
    </xf>
    <xf numFmtId="0" fontId="0" fillId="0" borderId="0" xfId="0" applyAlignment="1">
      <alignment horizontal="center"/>
    </xf>
    <xf numFmtId="0" fontId="9" fillId="0" borderId="2" xfId="0" applyFont="1" applyBorder="1"/>
    <xf numFmtId="0" fontId="9" fillId="0" borderId="2" xfId="0" applyFont="1" applyBorder="1" applyAlignment="1">
      <alignment horizontal="center"/>
    </xf>
    <xf numFmtId="0" fontId="25" fillId="5" borderId="31" xfId="0" applyFont="1" applyFill="1" applyBorder="1" applyAlignment="1">
      <alignment horizontal="center" vertical="center" wrapText="1"/>
    </xf>
    <xf numFmtId="0" fontId="25" fillId="5" borderId="5" xfId="0" applyFont="1" applyFill="1" applyBorder="1" applyAlignment="1">
      <alignment horizontal="center" vertical="center" wrapText="1"/>
    </xf>
    <xf numFmtId="0" fontId="25" fillId="5" borderId="32" xfId="0" applyFont="1" applyFill="1" applyBorder="1" applyAlignment="1">
      <alignment horizontal="center" vertical="center" wrapText="1"/>
    </xf>
    <xf numFmtId="2" fontId="0" fillId="0" borderId="2" xfId="0" applyNumberFormat="1" applyBorder="1" applyAlignment="1">
      <alignment horizontal="center"/>
    </xf>
    <xf numFmtId="0" fontId="0" fillId="0" borderId="2" xfId="0" applyBorder="1" applyAlignment="1">
      <alignment horizontal="center"/>
    </xf>
    <xf numFmtId="0" fontId="9" fillId="0" borderId="2" xfId="0" applyFont="1" applyBorder="1" applyAlignment="1">
      <alignment wrapText="1"/>
    </xf>
    <xf numFmtId="0" fontId="0" fillId="0" borderId="2" xfId="0" applyBorder="1" applyProtection="1">
      <protection locked="0"/>
    </xf>
    <xf numFmtId="0" fontId="0" fillId="0" borderId="2" xfId="0" applyBorder="1" applyAlignment="1">
      <alignment wrapText="1"/>
    </xf>
    <xf numFmtId="0" fontId="9" fillId="0" borderId="0" xfId="0" applyFont="1"/>
    <xf numFmtId="0" fontId="26" fillId="0" borderId="12" xfId="0" applyFont="1" applyBorder="1" applyAlignment="1">
      <alignment vertical="center" wrapText="1"/>
    </xf>
    <xf numFmtId="0" fontId="26" fillId="0" borderId="33" xfId="0" applyFont="1" applyBorder="1" applyAlignment="1">
      <alignment horizontal="center" vertical="center" wrapText="1"/>
    </xf>
    <xf numFmtId="0" fontId="26" fillId="0" borderId="33" xfId="0" applyFont="1" applyBorder="1" applyAlignment="1">
      <alignment vertical="center" wrapText="1"/>
    </xf>
    <xf numFmtId="0" fontId="0" fillId="0" borderId="0" xfId="0" applyAlignment="1">
      <alignment wrapText="1"/>
    </xf>
    <xf numFmtId="0" fontId="13" fillId="11" borderId="2" xfId="0" applyFont="1" applyFill="1" applyBorder="1" applyAlignment="1">
      <alignment horizontal="center" vertical="center"/>
    </xf>
    <xf numFmtId="0" fontId="13" fillId="11" borderId="2" xfId="0" applyFont="1" applyFill="1" applyBorder="1" applyAlignment="1">
      <alignment horizontal="center" vertical="center" wrapText="1"/>
    </xf>
    <xf numFmtId="0" fontId="0" fillId="0" borderId="2" xfId="0" applyBorder="1" applyAlignment="1" applyProtection="1">
      <alignment horizontal="center"/>
      <protection locked="0"/>
    </xf>
    <xf numFmtId="0" fontId="13" fillId="13" borderId="2" xfId="0" applyFont="1" applyFill="1" applyBorder="1" applyAlignment="1" applyProtection="1">
      <alignment horizontal="center" vertical="center"/>
      <protection locked="0"/>
    </xf>
    <xf numFmtId="0" fontId="3" fillId="0" borderId="1" xfId="0" applyFont="1" applyBorder="1" applyAlignment="1" applyProtection="1">
      <alignment horizontal="center" vertical="center" wrapText="1"/>
      <protection locked="0" hidden="1"/>
    </xf>
    <xf numFmtId="0" fontId="5" fillId="5" borderId="2" xfId="0" applyFont="1" applyFill="1" applyBorder="1" applyAlignment="1" applyProtection="1">
      <alignment horizontal="center" vertical="center"/>
      <protection locked="0"/>
    </xf>
    <xf numFmtId="0" fontId="1" fillId="0" borderId="2" xfId="0" applyFont="1" applyBorder="1" applyAlignment="1" applyProtection="1">
      <alignment horizontal="left" vertical="center"/>
      <protection locked="0"/>
    </xf>
    <xf numFmtId="0" fontId="1" fillId="2" borderId="2" xfId="0" applyFont="1" applyFill="1" applyBorder="1" applyAlignment="1" applyProtection="1">
      <alignment horizontal="left" vertical="center"/>
    </xf>
    <xf numFmtId="164" fontId="1" fillId="2" borderId="2" xfId="0" applyNumberFormat="1" applyFont="1" applyFill="1" applyBorder="1" applyAlignment="1" applyProtection="1">
      <alignment horizontal="left" vertical="center"/>
    </xf>
    <xf numFmtId="0" fontId="21" fillId="2" borderId="2" xfId="0" applyFont="1" applyFill="1" applyBorder="1" applyAlignment="1" applyProtection="1">
      <alignment horizontal="left" vertical="center"/>
    </xf>
    <xf numFmtId="0" fontId="1" fillId="0" borderId="2" xfId="0" applyFont="1" applyBorder="1" applyAlignment="1" applyProtection="1">
      <alignment horizontal="left" vertical="top"/>
      <protection locked="0"/>
    </xf>
    <xf numFmtId="0" fontId="6" fillId="0" borderId="2" xfId="0" applyFont="1" applyBorder="1" applyAlignment="1" applyProtection="1">
      <alignment horizontal="left" vertical="center"/>
      <protection locked="0"/>
    </xf>
    <xf numFmtId="0" fontId="6" fillId="2" borderId="2" xfId="0" applyFont="1" applyFill="1" applyBorder="1" applyAlignment="1" applyProtection="1">
      <alignment horizontal="center" vertical="center" wrapText="1"/>
      <protection locked="0"/>
    </xf>
    <xf numFmtId="0" fontId="6" fillId="0" borderId="2" xfId="0" applyFont="1" applyBorder="1" applyAlignment="1" applyProtection="1">
      <alignment vertical="center"/>
      <protection locked="0"/>
    </xf>
    <xf numFmtId="0" fontId="5" fillId="3" borderId="2" xfId="0" applyFont="1" applyFill="1" applyBorder="1" applyAlignment="1" applyProtection="1">
      <alignment horizontal="center" vertical="center"/>
      <protection locked="0"/>
    </xf>
    <xf numFmtId="0" fontId="5" fillId="2" borderId="2" xfId="0" applyFont="1" applyFill="1" applyBorder="1" applyAlignment="1" applyProtection="1">
      <alignment vertical="center"/>
    </xf>
    <xf numFmtId="0" fontId="5" fillId="2" borderId="2" xfId="0" applyFont="1" applyFill="1" applyBorder="1" applyAlignment="1" applyProtection="1">
      <alignment vertical="center"/>
      <protection locked="0"/>
    </xf>
    <xf numFmtId="0" fontId="5" fillId="2" borderId="2" xfId="0" applyFont="1" applyFill="1" applyBorder="1" applyAlignment="1" applyProtection="1">
      <alignment horizontal="left" vertical="center"/>
      <protection locked="0"/>
    </xf>
    <xf numFmtId="0" fontId="5" fillId="2" borderId="2" xfId="0" applyFont="1" applyFill="1" applyBorder="1" applyAlignment="1" applyProtection="1">
      <alignment horizontal="center" vertical="center"/>
      <protection locked="0"/>
    </xf>
    <xf numFmtId="0" fontId="5" fillId="2" borderId="2" xfId="0" applyFont="1" applyFill="1" applyBorder="1" applyAlignment="1" applyProtection="1">
      <alignment horizontal="right" vertical="center"/>
      <protection locked="0"/>
    </xf>
    <xf numFmtId="0" fontId="3" fillId="0" borderId="1" xfId="0" applyFont="1" applyBorder="1" applyAlignment="1" applyProtection="1">
      <alignment horizontal="right" vertical="center" wrapText="1"/>
      <protection locked="0"/>
    </xf>
    <xf numFmtId="0" fontId="10" fillId="2" borderId="2" xfId="0" applyFont="1" applyFill="1" applyBorder="1" applyAlignment="1" applyProtection="1">
      <alignment horizontal="right" vertical="center"/>
      <protection locked="0"/>
    </xf>
    <xf numFmtId="49" fontId="6" fillId="4" borderId="2" xfId="0" applyNumberFormat="1" applyFont="1" applyFill="1" applyBorder="1" applyAlignment="1" applyProtection="1">
      <alignment horizontal="center" vertical="center"/>
      <protection locked="0"/>
    </xf>
    <xf numFmtId="164" fontId="6" fillId="4" borderId="2" xfId="0" applyNumberFormat="1" applyFont="1" applyFill="1" applyBorder="1" applyAlignment="1" applyProtection="1">
      <alignment horizontal="center" vertical="center"/>
      <protection locked="0"/>
    </xf>
    <xf numFmtId="0" fontId="9" fillId="4" borderId="2" xfId="0" applyFont="1" applyFill="1" applyBorder="1" applyAlignment="1" applyProtection="1">
      <alignment horizontal="center" vertical="center"/>
      <protection locked="0"/>
    </xf>
    <xf numFmtId="164" fontId="11" fillId="4" borderId="2" xfId="0" applyNumberFormat="1" applyFont="1" applyFill="1" applyBorder="1" applyAlignment="1" applyProtection="1">
      <alignment horizontal="center" vertical="center"/>
    </xf>
    <xf numFmtId="0" fontId="10" fillId="2" borderId="2" xfId="0" applyFont="1" applyFill="1" applyBorder="1" applyAlignment="1" applyProtection="1">
      <alignment horizontal="center" vertical="center"/>
      <protection locked="0"/>
    </xf>
    <xf numFmtId="0" fontId="10" fillId="2" borderId="2" xfId="0" applyFont="1" applyFill="1" applyBorder="1" applyAlignment="1" applyProtection="1">
      <alignment horizontal="right" vertical="center" wrapText="1"/>
      <protection locked="0"/>
    </xf>
    <xf numFmtId="0" fontId="12" fillId="0" borderId="0" xfId="0" applyFont="1" applyBorder="1" applyAlignment="1" applyProtection="1">
      <alignment horizontal="center" vertical="center"/>
      <protection locked="0"/>
    </xf>
    <xf numFmtId="0" fontId="12" fillId="0" borderId="6" xfId="0" applyFont="1" applyBorder="1" applyAlignment="1" applyProtection="1">
      <alignment horizontal="center" vertical="center"/>
      <protection locked="0"/>
    </xf>
    <xf numFmtId="0" fontId="11" fillId="4" borderId="2" xfId="0" applyFont="1" applyFill="1" applyBorder="1" applyAlignment="1" applyProtection="1">
      <alignment horizontal="center" vertical="center"/>
    </xf>
    <xf numFmtId="0" fontId="13" fillId="5" borderId="34" xfId="0" applyFont="1" applyFill="1" applyBorder="1" applyAlignment="1" applyProtection="1">
      <alignment horizontal="center" vertical="center"/>
      <protection locked="0"/>
    </xf>
    <xf numFmtId="0" fontId="13" fillId="5" borderId="3" xfId="0" applyFont="1" applyFill="1" applyBorder="1" applyAlignment="1" applyProtection="1">
      <alignment horizontal="center" vertical="center" wrapText="1"/>
      <protection locked="0"/>
    </xf>
    <xf numFmtId="0" fontId="13" fillId="5" borderId="2" xfId="0" applyFont="1" applyFill="1" applyBorder="1" applyAlignment="1" applyProtection="1">
      <alignment horizontal="center" vertical="center" wrapText="1"/>
      <protection locked="0"/>
    </xf>
    <xf numFmtId="0" fontId="13" fillId="5" borderId="34" xfId="0" applyFont="1" applyFill="1" applyBorder="1" applyAlignment="1" applyProtection="1">
      <alignment horizontal="center" vertical="center" wrapText="1"/>
      <protection locked="0"/>
    </xf>
    <xf numFmtId="0" fontId="13" fillId="5" borderId="3" xfId="0" applyFont="1" applyFill="1" applyBorder="1" applyAlignment="1" applyProtection="1">
      <alignment horizontal="center" vertical="center"/>
      <protection locked="0"/>
    </xf>
    <xf numFmtId="0" fontId="9" fillId="6" borderId="2" xfId="0" applyFont="1" applyFill="1" applyBorder="1" applyAlignment="1" applyProtection="1">
      <alignment horizontal="center" vertical="center" wrapText="1"/>
      <protection locked="0"/>
    </xf>
    <xf numFmtId="2" fontId="13" fillId="2" borderId="2" xfId="0" applyNumberFormat="1" applyFont="1" applyFill="1" applyBorder="1" applyAlignment="1" applyProtection="1">
      <alignment horizontal="center" vertical="center" wrapText="1"/>
    </xf>
    <xf numFmtId="0" fontId="13" fillId="2" borderId="2" xfId="0" applyFont="1" applyFill="1" applyBorder="1" applyAlignment="1" applyProtection="1">
      <alignment horizontal="right" vertical="center"/>
      <protection locked="0"/>
    </xf>
    <xf numFmtId="0" fontId="13" fillId="2" borderId="2" xfId="0" applyFont="1" applyFill="1" applyBorder="1" applyAlignment="1" applyProtection="1">
      <alignment horizontal="right" vertical="center" wrapText="1"/>
      <protection locked="0"/>
    </xf>
    <xf numFmtId="0" fontId="3" fillId="0" borderId="0" xfId="0" applyFont="1" applyBorder="1" applyAlignment="1" applyProtection="1">
      <alignment horizontal="right" vertical="center" wrapText="1"/>
      <protection locked="0"/>
    </xf>
    <xf numFmtId="0" fontId="5" fillId="6" borderId="43" xfId="0" applyFont="1" applyFill="1" applyBorder="1" applyAlignment="1" applyProtection="1">
      <alignment horizontal="center"/>
    </xf>
    <xf numFmtId="0" fontId="5" fillId="6" borderId="43" xfId="0" applyFont="1" applyFill="1" applyBorder="1" applyAlignment="1" applyProtection="1">
      <alignment horizontal="center" vertical="center"/>
    </xf>
    <xf numFmtId="0" fontId="22" fillId="11" borderId="39" xfId="0" applyFont="1" applyFill="1" applyBorder="1" applyAlignment="1" applyProtection="1">
      <alignment horizontal="right" vertical="center"/>
    </xf>
    <xf numFmtId="0" fontId="22" fillId="4" borderId="40" xfId="0" applyFont="1" applyFill="1" applyBorder="1" applyAlignment="1" applyProtection="1">
      <alignment horizontal="center" vertical="center"/>
      <protection locked="0"/>
    </xf>
    <xf numFmtId="0" fontId="22" fillId="11" borderId="15" xfId="0" applyFont="1" applyFill="1" applyBorder="1" applyAlignment="1" applyProtection="1">
      <alignment horizontal="center" vertical="center"/>
    </xf>
    <xf numFmtId="0" fontId="22" fillId="11" borderId="16" xfId="0" applyFont="1" applyFill="1" applyBorder="1" applyAlignment="1" applyProtection="1">
      <alignment horizontal="center" vertical="center" wrapText="1"/>
    </xf>
    <xf numFmtId="0" fontId="22" fillId="11" borderId="16" xfId="0" applyFont="1" applyFill="1" applyBorder="1" applyAlignment="1" applyProtection="1">
      <alignment horizontal="center" vertical="center"/>
    </xf>
    <xf numFmtId="0" fontId="22" fillId="11" borderId="39" xfId="0" applyFont="1" applyFill="1" applyBorder="1" applyAlignment="1" applyProtection="1">
      <alignment horizontal="center" vertical="center" wrapText="1"/>
    </xf>
    <xf numFmtId="0" fontId="27" fillId="4" borderId="44" xfId="0" applyFont="1" applyFill="1" applyBorder="1" applyAlignment="1" applyProtection="1">
      <alignment horizontal="center" vertical="center" wrapText="1"/>
      <protection locked="0"/>
    </xf>
    <xf numFmtId="0" fontId="22" fillId="11" borderId="11" xfId="0" applyFont="1" applyFill="1" applyBorder="1" applyAlignment="1" applyProtection="1">
      <alignment horizontal="center" vertical="center"/>
    </xf>
    <xf numFmtId="164" fontId="6" fillId="4" borderId="17" xfId="0" applyNumberFormat="1" applyFont="1" applyFill="1" applyBorder="1" applyAlignment="1" applyProtection="1">
      <alignment horizontal="center" vertical="center"/>
      <protection locked="0"/>
    </xf>
    <xf numFmtId="168" fontId="22" fillId="2" borderId="17" xfId="0" applyNumberFormat="1" applyFont="1" applyFill="1" applyBorder="1" applyAlignment="1" applyProtection="1">
      <alignment horizontal="center" vertical="center"/>
    </xf>
    <xf numFmtId="0" fontId="27" fillId="4" borderId="40" xfId="0" applyFont="1" applyFill="1" applyBorder="1" applyAlignment="1" applyProtection="1">
      <alignment horizontal="center" vertical="center" wrapText="1"/>
      <protection locked="0"/>
    </xf>
    <xf numFmtId="0" fontId="22" fillId="11" borderId="20" xfId="0" applyFont="1" applyFill="1" applyBorder="1" applyAlignment="1" applyProtection="1">
      <alignment horizontal="center" vertical="center"/>
    </xf>
    <xf numFmtId="0" fontId="23" fillId="2" borderId="21" xfId="0" applyFont="1" applyFill="1" applyBorder="1" applyAlignment="1" applyProtection="1">
      <alignment horizontal="center" vertical="center"/>
    </xf>
    <xf numFmtId="0" fontId="22" fillId="11" borderId="41" xfId="0" applyFont="1" applyFill="1" applyBorder="1" applyAlignment="1" applyProtection="1">
      <alignment horizontal="right" vertical="center"/>
    </xf>
    <xf numFmtId="0" fontId="28" fillId="4" borderId="42" xfId="0" applyFont="1" applyFill="1" applyBorder="1" applyAlignment="1" applyProtection="1">
      <alignment horizontal="center" vertical="center"/>
      <protection locked="0"/>
    </xf>
    <xf numFmtId="0" fontId="1" fillId="0" borderId="0" xfId="0" applyFont="1" applyBorder="1" applyAlignment="1" applyProtection="1">
      <alignment horizontal="center"/>
    </xf>
    <xf numFmtId="0" fontId="6" fillId="12" borderId="37" xfId="0" applyFont="1" applyFill="1" applyBorder="1" applyAlignment="1" applyProtection="1">
      <alignment horizontal="center" vertical="center"/>
    </xf>
    <xf numFmtId="0" fontId="6" fillId="12" borderId="38" xfId="0" applyFont="1" applyFill="1" applyBorder="1" applyAlignment="1" applyProtection="1">
      <alignment horizontal="center" vertical="center"/>
    </xf>
    <xf numFmtId="0" fontId="6" fillId="11" borderId="11" xfId="0" applyFont="1" applyFill="1" applyBorder="1" applyAlignment="1" applyProtection="1">
      <alignment horizontal="center" vertical="center"/>
    </xf>
    <xf numFmtId="0" fontId="5" fillId="10" borderId="36" xfId="0" applyFont="1" applyFill="1" applyBorder="1" applyAlignment="1" applyProtection="1">
      <alignment horizontal="center" vertical="center"/>
    </xf>
    <xf numFmtId="0" fontId="22" fillId="11" borderId="12" xfId="0" applyFont="1" applyFill="1" applyBorder="1" applyAlignment="1" applyProtection="1">
      <alignment horizontal="center" vertical="center"/>
    </xf>
    <xf numFmtId="0" fontId="6" fillId="11" borderId="15" xfId="0" applyFont="1" applyFill="1" applyBorder="1" applyAlignment="1" applyProtection="1">
      <alignment horizontal="center" vertical="center" wrapText="1"/>
    </xf>
    <xf numFmtId="0" fontId="6" fillId="11" borderId="30" xfId="0" applyFont="1" applyFill="1" applyBorder="1" applyAlignment="1" applyProtection="1">
      <alignment horizontal="center" vertical="center" wrapText="1"/>
    </xf>
    <xf numFmtId="0" fontId="6" fillId="11" borderId="30" xfId="0" applyFont="1" applyFill="1" applyBorder="1" applyAlignment="1" applyProtection="1">
      <alignment horizontal="center" vertical="center"/>
    </xf>
    <xf numFmtId="0" fontId="6" fillId="11" borderId="16" xfId="0" applyFont="1" applyFill="1" applyBorder="1" applyAlignment="1" applyProtection="1">
      <alignment horizontal="center" vertical="center"/>
    </xf>
    <xf numFmtId="0" fontId="19" fillId="2" borderId="35" xfId="0" applyFont="1" applyFill="1" applyBorder="1" applyAlignment="1" applyProtection="1">
      <alignment horizontal="center" vertical="center" wrapText="1"/>
    </xf>
    <xf numFmtId="0" fontId="6" fillId="10" borderId="21" xfId="2" applyNumberFormat="1" applyFont="1" applyFill="1" applyBorder="1" applyAlignment="1" applyProtection="1">
      <alignment horizontal="left" vertical="center"/>
    </xf>
    <xf numFmtId="0" fontId="22" fillId="11" borderId="36" xfId="0" applyFont="1" applyFill="1" applyBorder="1" applyAlignment="1" applyProtection="1">
      <alignment horizontal="center" vertical="center"/>
    </xf>
    <xf numFmtId="0" fontId="13" fillId="5" borderId="2" xfId="0" applyFont="1" applyFill="1" applyBorder="1" applyAlignment="1">
      <alignment horizontal="center"/>
    </xf>
    <xf numFmtId="0" fontId="13" fillId="5" borderId="43" xfId="0" applyFont="1" applyFill="1" applyBorder="1" applyAlignment="1">
      <alignment horizontal="center"/>
    </xf>
    <xf numFmtId="0" fontId="11" fillId="0" borderId="1" xfId="0" applyFont="1" applyBorder="1" applyAlignment="1" applyProtection="1">
      <alignment horizontal="right" vertical="center" wrapText="1"/>
      <protection locked="0"/>
    </xf>
    <xf numFmtId="0" fontId="13" fillId="13" borderId="2" xfId="0" applyFont="1" applyFill="1" applyBorder="1" applyAlignment="1" applyProtection="1">
      <alignment horizontal="center" vertical="center"/>
      <protection locked="0"/>
    </xf>
  </cellXfs>
  <cellStyles count="4">
    <cellStyle name="Moeda" xfId="1" builtinId="4"/>
    <cellStyle name="Normal" xfId="0" builtinId="0"/>
    <cellStyle name="Porcentagem" xfId="2" builtinId="5"/>
    <cellStyle name="Vírgula" xfId="3" builtinId="3"/>
  </cellStyles>
  <dxfs count="45">
    <dxf>
      <font>
        <name val="Arial"/>
        <charset val="1"/>
        <scheme val="none"/>
      </font>
      <fill>
        <patternFill>
          <bgColor rgb="FFE6B9B8"/>
        </patternFill>
      </fill>
    </dxf>
    <dxf>
      <font>
        <name val="Arial"/>
        <charset val="1"/>
        <scheme val="none"/>
      </font>
      <fill>
        <patternFill>
          <bgColor rgb="FFE6B9B8"/>
        </patternFill>
      </fill>
    </dxf>
    <dxf>
      <font>
        <name val="Arial"/>
        <charset val="1"/>
        <scheme val="none"/>
      </font>
      <fill>
        <patternFill>
          <bgColor rgb="FFE6B9B8"/>
        </patternFill>
      </fill>
    </dxf>
    <dxf>
      <font>
        <name val="Arial"/>
        <charset val="1"/>
        <scheme val="none"/>
      </font>
      <fill>
        <patternFill>
          <bgColor rgb="FF7F7F80"/>
        </patternFill>
      </fill>
    </dxf>
    <dxf>
      <font>
        <name val="Arial"/>
        <charset val="1"/>
        <scheme val="none"/>
      </font>
      <fill>
        <patternFill>
          <bgColor rgb="FF7F7F80"/>
        </patternFill>
      </fill>
    </dxf>
    <dxf>
      <font>
        <name val="Arial"/>
        <charset val="1"/>
        <scheme val="none"/>
      </font>
      <fill>
        <patternFill>
          <bgColor rgb="FF7F7F80"/>
        </patternFill>
      </fill>
    </dxf>
    <dxf>
      <font>
        <name val="Arial"/>
        <charset val="1"/>
        <scheme val="none"/>
      </font>
      <fill>
        <patternFill>
          <bgColor rgb="FFE6B9B8"/>
        </patternFill>
      </fill>
    </dxf>
    <dxf>
      <font>
        <name val="Arial"/>
        <charset val="1"/>
        <scheme val="none"/>
      </font>
      <fill>
        <patternFill>
          <bgColor rgb="FF7F7F80"/>
        </patternFill>
      </fill>
    </dxf>
    <dxf>
      <font>
        <name val="Arial"/>
        <charset val="1"/>
        <scheme val="none"/>
      </font>
      <fill>
        <patternFill>
          <bgColor rgb="FFE6B9B8"/>
        </patternFill>
      </fill>
    </dxf>
    <dxf>
      <font>
        <name val="Arial"/>
        <charset val="1"/>
        <scheme val="none"/>
      </font>
      <fill>
        <patternFill>
          <bgColor rgb="FF7F7F80"/>
        </patternFill>
      </fill>
    </dxf>
    <dxf>
      <font>
        <name val="Arial"/>
        <charset val="1"/>
        <scheme val="none"/>
      </font>
      <fill>
        <patternFill>
          <bgColor rgb="FFE6B9B8"/>
        </patternFill>
      </fill>
    </dxf>
    <dxf>
      <font>
        <name val="Arial"/>
        <charset val="1"/>
        <scheme val="none"/>
      </font>
      <fill>
        <patternFill>
          <bgColor rgb="FF7F7F80"/>
        </patternFill>
      </fill>
    </dxf>
    <dxf>
      <font>
        <name val="Arial"/>
        <charset val="1"/>
        <scheme val="none"/>
      </font>
      <fill>
        <patternFill>
          <bgColor rgb="FFE6B9B8"/>
        </patternFill>
      </fill>
    </dxf>
    <dxf>
      <font>
        <name val="Arial"/>
        <charset val="1"/>
        <scheme val="none"/>
      </font>
      <fill>
        <patternFill>
          <bgColor rgb="FF7F7F80"/>
        </patternFill>
      </fill>
    </dxf>
    <dxf>
      <font>
        <name val="Arial"/>
        <charset val="1"/>
        <scheme val="none"/>
      </font>
      <fill>
        <patternFill>
          <bgColor rgb="FFE6B9B8"/>
        </patternFill>
      </fill>
    </dxf>
    <dxf>
      <font>
        <name val="Arial"/>
        <charset val="1"/>
        <scheme val="none"/>
      </font>
      <fill>
        <patternFill>
          <bgColor rgb="FF7F7F80"/>
        </patternFill>
      </fill>
    </dxf>
    <dxf>
      <font>
        <name val="Arial"/>
        <charset val="1"/>
        <scheme val="none"/>
      </font>
      <fill>
        <patternFill>
          <bgColor rgb="FFE6B9B8"/>
        </patternFill>
      </fill>
    </dxf>
    <dxf>
      <font>
        <name val="Arial"/>
        <charset val="1"/>
        <scheme val="none"/>
      </font>
      <fill>
        <patternFill>
          <bgColor rgb="FF7F7F80"/>
        </patternFill>
      </fill>
    </dxf>
    <dxf>
      <font>
        <name val="Arial"/>
        <charset val="1"/>
        <scheme val="none"/>
      </font>
      <fill>
        <patternFill>
          <bgColor rgb="FFE6B9B8"/>
        </patternFill>
      </fill>
    </dxf>
    <dxf>
      <font>
        <name val="Arial"/>
        <charset val="1"/>
        <scheme val="none"/>
      </font>
      <fill>
        <patternFill>
          <bgColor rgb="FF7F7F80"/>
        </patternFill>
      </fill>
    </dxf>
    <dxf>
      <font>
        <name val="Arial"/>
        <charset val="1"/>
        <scheme val="none"/>
      </font>
      <fill>
        <patternFill>
          <bgColor rgb="FFE6B9B8"/>
        </patternFill>
      </fill>
    </dxf>
    <dxf>
      <font>
        <name val="Arial"/>
        <charset val="1"/>
        <scheme val="none"/>
      </font>
      <fill>
        <patternFill>
          <bgColor rgb="FF7F7F80"/>
        </patternFill>
      </fill>
    </dxf>
    <dxf>
      <font>
        <name val="Arial"/>
        <charset val="1"/>
        <scheme val="none"/>
      </font>
      <fill>
        <patternFill>
          <bgColor rgb="FFE6B9B8"/>
        </patternFill>
      </fill>
    </dxf>
    <dxf>
      <font>
        <name val="Arial"/>
        <charset val="1"/>
        <scheme val="none"/>
      </font>
      <fill>
        <patternFill>
          <bgColor rgb="FF7F7F80"/>
        </patternFill>
      </fill>
    </dxf>
    <dxf>
      <font>
        <name val="Arial"/>
        <charset val="1"/>
        <scheme val="none"/>
      </font>
      <fill>
        <patternFill>
          <bgColor rgb="FFE6B9B8"/>
        </patternFill>
      </fill>
    </dxf>
    <dxf>
      <font>
        <name val="Arial"/>
        <charset val="1"/>
        <scheme val="none"/>
      </font>
      <fill>
        <patternFill>
          <bgColor rgb="FF7F7F80"/>
        </patternFill>
      </fill>
    </dxf>
    <dxf>
      <font>
        <name val="Arial"/>
        <charset val="1"/>
        <scheme val="none"/>
      </font>
      <fill>
        <patternFill>
          <bgColor rgb="FFE6B9B8"/>
        </patternFill>
      </fill>
    </dxf>
    <dxf>
      <font>
        <name val="Arial"/>
        <charset val="1"/>
        <scheme val="none"/>
      </font>
      <fill>
        <patternFill>
          <bgColor rgb="FF7F7F80"/>
        </patternFill>
      </fill>
    </dxf>
    <dxf>
      <font>
        <name val="Arial"/>
        <charset val="1"/>
        <scheme val="none"/>
      </font>
      <fill>
        <patternFill>
          <bgColor rgb="FFE6B9B8"/>
        </patternFill>
      </fill>
    </dxf>
    <dxf>
      <font>
        <name val="Arial"/>
        <charset val="1"/>
        <scheme val="none"/>
      </font>
      <fill>
        <patternFill>
          <bgColor rgb="FF7F7F80"/>
        </patternFill>
      </fill>
    </dxf>
    <dxf>
      <font>
        <name val="Arial"/>
        <charset val="1"/>
        <scheme val="none"/>
      </font>
      <fill>
        <patternFill>
          <bgColor rgb="FFE6B9B8"/>
        </patternFill>
      </fill>
    </dxf>
    <dxf>
      <font>
        <name val="Arial"/>
        <charset val="1"/>
        <scheme val="none"/>
      </font>
      <fill>
        <patternFill>
          <bgColor rgb="FF7F7F80"/>
        </patternFill>
      </fill>
    </dxf>
    <dxf>
      <font>
        <name val="Arial"/>
        <charset val="1"/>
        <scheme val="none"/>
      </font>
      <fill>
        <patternFill>
          <bgColor rgb="FFE6B9B8"/>
        </patternFill>
      </fill>
    </dxf>
    <dxf>
      <font>
        <name val="Arial"/>
        <charset val="1"/>
        <scheme val="none"/>
      </font>
      <fill>
        <patternFill>
          <bgColor rgb="FF7F7F80"/>
        </patternFill>
      </fill>
    </dxf>
    <dxf>
      <font>
        <name val="Arial"/>
        <charset val="1"/>
        <scheme val="none"/>
      </font>
      <fill>
        <patternFill>
          <bgColor rgb="FFE6B9B8"/>
        </patternFill>
      </fill>
    </dxf>
    <dxf>
      <font>
        <name val="Arial"/>
        <charset val="1"/>
        <scheme val="none"/>
      </font>
      <fill>
        <patternFill>
          <bgColor rgb="FFE6B9B8"/>
        </patternFill>
      </fill>
    </dxf>
    <dxf>
      <font>
        <name val="Arial"/>
        <charset val="1"/>
        <scheme val="none"/>
      </font>
      <fill>
        <patternFill>
          <bgColor rgb="FF7F7F80"/>
        </patternFill>
      </fill>
    </dxf>
    <dxf>
      <font>
        <name val="Arial"/>
        <charset val="1"/>
        <scheme val="none"/>
      </font>
      <fill>
        <patternFill>
          <bgColor rgb="FF7F7F80"/>
        </patternFill>
      </fill>
    </dxf>
    <dxf>
      <font>
        <name val="Arial"/>
        <charset val="1"/>
        <scheme val="none"/>
      </font>
      <fill>
        <patternFill>
          <bgColor rgb="FFE6B9B8"/>
        </patternFill>
      </fill>
    </dxf>
    <dxf>
      <font>
        <name val="Arial"/>
        <charset val="1"/>
        <scheme val="none"/>
      </font>
      <fill>
        <patternFill>
          <bgColor rgb="FFE6B9B8"/>
        </patternFill>
      </fill>
    </dxf>
    <dxf>
      <font>
        <name val="Arial"/>
        <charset val="1"/>
        <scheme val="none"/>
      </font>
      <fill>
        <patternFill>
          <bgColor rgb="FFE6B9B8"/>
        </patternFill>
      </fill>
    </dxf>
    <dxf>
      <font>
        <name val="Arial"/>
        <charset val="1"/>
        <scheme val="none"/>
      </font>
      <fill>
        <patternFill>
          <bgColor rgb="FFE6B9B8"/>
        </patternFill>
      </fill>
    </dxf>
    <dxf>
      <font>
        <name val="Arial"/>
        <charset val="1"/>
        <scheme val="none"/>
      </font>
      <fill>
        <patternFill>
          <bgColor rgb="FFE6B9B8"/>
        </patternFill>
      </fill>
    </dxf>
    <dxf>
      <font>
        <name val="Arial"/>
        <charset val="1"/>
        <scheme val="none"/>
      </font>
      <fill>
        <patternFill>
          <bgColor rgb="FF7F7F80"/>
        </patternFill>
      </fill>
    </dxf>
    <dxf>
      <font>
        <name val="Arial"/>
        <charset val="1"/>
        <scheme val="none"/>
      </font>
      <fill>
        <patternFill>
          <bgColor rgb="FF7F7F80"/>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BFBFBF"/>
      <rgbColor rgb="007F7F80"/>
      <rgbColor rgb="00A6A6A6"/>
      <rgbColor rgb="00BE4B48"/>
      <rgbColor rgb="00F2F2F2"/>
      <rgbColor rgb="00EEEEEE"/>
      <rgbColor rgb="00660066"/>
      <rgbColor rgb="00FF8080"/>
      <rgbColor rgb="000066CC"/>
      <rgbColor rgb="00CCCCCC"/>
      <rgbColor rgb="00000080"/>
      <rgbColor rgb="00FF00FF"/>
      <rgbColor rgb="00FFFF00"/>
      <rgbColor rgb="0000FFFF"/>
      <rgbColor rgb="00800080"/>
      <rgbColor rgb="00800000"/>
      <rgbColor rgb="00008080"/>
      <rgbColor rgb="000000FF"/>
      <rgbColor rgb="0000CCFF"/>
      <rgbColor rgb="00D9D9D9"/>
      <rgbColor rgb="00DDDDDD"/>
      <rgbColor rgb="00FFFF99"/>
      <rgbColor rgb="00C4BD97"/>
      <rgbColor rgb="00FF99CC"/>
      <rgbColor rgb="00B2B2B2"/>
      <rgbColor rgb="00E6B9B8"/>
      <rgbColor rgb="00558ED5"/>
      <rgbColor rgb="0033CCCC"/>
      <rgbColor rgb="0098B855"/>
      <rgbColor rgb="00FFCC00"/>
      <rgbColor rgb="00FF9900"/>
      <rgbColor rgb="00E46C0A"/>
      <rgbColor rgb="004F81BD"/>
      <rgbColor rgb="00878787"/>
      <rgbColor rgb="00003366"/>
      <rgbColor rgb="00339966"/>
      <rgbColor rgb="00003300"/>
      <rgbColor rgb="00333300"/>
      <rgbColor rgb="00993300"/>
      <rgbColor rgb="00993366"/>
      <rgbColor rgb="00333399"/>
      <rgbColor rgb="00231F2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1"/>
  <c:lang val="pt-B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2.2461461425659E-2"/>
          <c:y val="4.9790759245025198E-2"/>
          <c:w val="0.90943882113094199"/>
          <c:h val="0.77436160218635197"/>
        </c:manualLayout>
      </c:layout>
      <c:lineChart>
        <c:grouping val="standard"/>
        <c:varyColors val="0"/>
        <c:ser>
          <c:idx val="0"/>
          <c:order val="0"/>
          <c:tx>
            <c:strRef>
              <c:f>'Redução de Prazo'!$Q$26</c:f>
              <c:strCache>
                <c:ptCount val="1"/>
                <c:pt idx="0">
                  <c:v>SISP</c:v>
                </c:pt>
              </c:strCache>
            </c:strRef>
          </c:tx>
          <c:spPr>
            <a:ln w="12700">
              <a:solidFill>
                <a:srgbClr val="BE4B48"/>
              </a:solidFill>
              <a:prstDash val="solid"/>
            </a:ln>
          </c:spPr>
          <c:marker>
            <c:symbol val="none"/>
          </c:marker>
          <c:dLbls>
            <c:spPr>
              <a:noFill/>
              <a:ln w="25400">
                <a:noFill/>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numRef>
              <c:f>'Redução de Prazo'!$P$27:$P$86</c:f>
              <c:numCache>
                <c:formatCode>General</c:formatCode>
                <c:ptCount val="60"/>
                <c:pt idx="0">
                  <c:v>-0.01</c:v>
                </c:pt>
                <c:pt idx="1">
                  <c:v>-0.02</c:v>
                </c:pt>
                <c:pt idx="2">
                  <c:v>-0.03</c:v>
                </c:pt>
                <c:pt idx="3">
                  <c:v>-0.04</c:v>
                </c:pt>
                <c:pt idx="4">
                  <c:v>-0.05</c:v>
                </c:pt>
                <c:pt idx="5">
                  <c:v>-0.06</c:v>
                </c:pt>
                <c:pt idx="6">
                  <c:v>-7.0000000000000007E-2</c:v>
                </c:pt>
                <c:pt idx="7">
                  <c:v>-0.08</c:v>
                </c:pt>
                <c:pt idx="8">
                  <c:v>-0.09</c:v>
                </c:pt>
                <c:pt idx="9">
                  <c:v>-0.1</c:v>
                </c:pt>
                <c:pt idx="10">
                  <c:v>-0.11</c:v>
                </c:pt>
                <c:pt idx="11">
                  <c:v>-0.12</c:v>
                </c:pt>
                <c:pt idx="12">
                  <c:v>-0.13</c:v>
                </c:pt>
                <c:pt idx="13">
                  <c:v>-0.14000000000000001</c:v>
                </c:pt>
                <c:pt idx="14">
                  <c:v>-0.15</c:v>
                </c:pt>
                <c:pt idx="15">
                  <c:v>-0.16</c:v>
                </c:pt>
                <c:pt idx="16">
                  <c:v>-0.17</c:v>
                </c:pt>
                <c:pt idx="17">
                  <c:v>-0.18</c:v>
                </c:pt>
                <c:pt idx="18">
                  <c:v>-0.19</c:v>
                </c:pt>
                <c:pt idx="19">
                  <c:v>-0.2</c:v>
                </c:pt>
                <c:pt idx="20">
                  <c:v>-0.21</c:v>
                </c:pt>
                <c:pt idx="21">
                  <c:v>-0.22</c:v>
                </c:pt>
                <c:pt idx="22">
                  <c:v>-0.23</c:v>
                </c:pt>
                <c:pt idx="23">
                  <c:v>-0.24</c:v>
                </c:pt>
                <c:pt idx="24">
                  <c:v>-0.25</c:v>
                </c:pt>
                <c:pt idx="25">
                  <c:v>-0.26</c:v>
                </c:pt>
                <c:pt idx="26">
                  <c:v>-0.27</c:v>
                </c:pt>
                <c:pt idx="27">
                  <c:v>-0.28000000000000003</c:v>
                </c:pt>
                <c:pt idx="28">
                  <c:v>-0.28999999999999998</c:v>
                </c:pt>
                <c:pt idx="29">
                  <c:v>-0.3</c:v>
                </c:pt>
                <c:pt idx="30">
                  <c:v>-0.31</c:v>
                </c:pt>
                <c:pt idx="31">
                  <c:v>-0.32</c:v>
                </c:pt>
                <c:pt idx="32">
                  <c:v>-0.33</c:v>
                </c:pt>
                <c:pt idx="33">
                  <c:v>-0.34</c:v>
                </c:pt>
                <c:pt idx="34">
                  <c:v>-0.35</c:v>
                </c:pt>
                <c:pt idx="35">
                  <c:v>-0.36</c:v>
                </c:pt>
                <c:pt idx="36">
                  <c:v>-0.37</c:v>
                </c:pt>
                <c:pt idx="37">
                  <c:v>-0.38</c:v>
                </c:pt>
                <c:pt idx="38">
                  <c:v>-0.39</c:v>
                </c:pt>
                <c:pt idx="39">
                  <c:v>-0.4</c:v>
                </c:pt>
                <c:pt idx="40">
                  <c:v>-0.41</c:v>
                </c:pt>
                <c:pt idx="41">
                  <c:v>-0.42</c:v>
                </c:pt>
                <c:pt idx="42">
                  <c:v>-0.43</c:v>
                </c:pt>
                <c:pt idx="43">
                  <c:v>-0.44</c:v>
                </c:pt>
                <c:pt idx="44">
                  <c:v>-0.45</c:v>
                </c:pt>
                <c:pt idx="45">
                  <c:v>-0.46</c:v>
                </c:pt>
                <c:pt idx="46">
                  <c:v>-0.47</c:v>
                </c:pt>
                <c:pt idx="47">
                  <c:v>-0.48</c:v>
                </c:pt>
                <c:pt idx="48">
                  <c:v>-0.49</c:v>
                </c:pt>
                <c:pt idx="49">
                  <c:v>-0.5</c:v>
                </c:pt>
                <c:pt idx="50">
                  <c:v>-0.51</c:v>
                </c:pt>
                <c:pt idx="51">
                  <c:v>-0.52</c:v>
                </c:pt>
                <c:pt idx="52">
                  <c:v>-0.53</c:v>
                </c:pt>
                <c:pt idx="53">
                  <c:v>-0.54</c:v>
                </c:pt>
                <c:pt idx="54">
                  <c:v>-0.55000000000000004</c:v>
                </c:pt>
                <c:pt idx="55">
                  <c:v>-0.56000000000000005</c:v>
                </c:pt>
                <c:pt idx="56">
                  <c:v>-0.56999999999999995</c:v>
                </c:pt>
                <c:pt idx="57">
                  <c:v>-0.57999999999999996</c:v>
                </c:pt>
                <c:pt idx="58">
                  <c:v>-0.59</c:v>
                </c:pt>
                <c:pt idx="59">
                  <c:v>-0.6</c:v>
                </c:pt>
              </c:numCache>
            </c:numRef>
          </c:cat>
          <c:val>
            <c:numRef>
              <c:f>'Redução de Prazo'!$Q$27:$Q$86</c:f>
              <c:numCache>
                <c:formatCode>* #,##0\ ;\-* #,##0\ ;* \-#\ ;@\ </c:formatCode>
                <c:ptCount val="60"/>
                <c:pt idx="0">
                  <c:v>9.4974870513428584</c:v>
                </c:pt>
                <c:pt idx="1">
                  <c:v>10.336729939663668</c:v>
                </c:pt>
                <c:pt idx="2">
                  <c:v>11.25013230004161</c:v>
                </c:pt>
                <c:pt idx="3">
                  <c:v>12.244247214274969</c:v>
                </c:pt>
                <c:pt idx="4">
                  <c:v>13.32620682547225</c:v>
                </c:pt>
                <c:pt idx="5">
                  <c:v>14.503773506649086</c:v>
                </c:pt>
                <c:pt idx="6">
                  <c:v>15.785395550824445</c:v>
                </c:pt>
                <c:pt idx="7">
                  <c:v>17.180267782157173</c:v>
                </c:pt>
                <c:pt idx="8">
                  <c:v>18.69839752296939</c:v>
                </c:pt>
                <c:pt idx="9">
                  <c:v>20.350676389928065</c:v>
                </c:pt>
                <c:pt idx="10">
                  <c:v>22.148958434476945</c:v>
                </c:pt>
                <c:pt idx="11">
                  <c:v>24.106145188126657</c:v>
                </c:pt>
                <c:pt idx="12">
                  <c:v>26.236278222749089</c:v>
                </c:pt>
                <c:pt idx="13">
                  <c:v>28.554639889937153</c:v>
                </c:pt>
                <c:pt idx="14">
                  <c:v>31.077862962171093</c:v>
                </c:pt>
                <c:pt idx="15">
                  <c:v>33.824049962396906</c:v>
                </c:pt>
                <c:pt idx="16">
                  <c:v>36.812903038130841</c:v>
                </c:pt>
                <c:pt idx="17">
                  <c:v>40.065865311854225</c:v>
                </c:pt>
                <c:pt idx="18">
                  <c:v>43.606274721797959</c:v>
                </c:pt>
                <c:pt idx="19">
                  <c:v>50</c:v>
                </c:pt>
                <c:pt idx="20">
                  <c:v>51.653280186659927</c:v>
                </c:pt>
                <c:pt idx="21">
                  <c:v>56.217608394821809</c:v>
                </c:pt>
                <c:pt idx="22">
                  <c:v>61.18526223722295</c:v>
                </c:pt>
                <c:pt idx="23">
                  <c:v>66.591881475032011</c:v>
                </c:pt>
                <c:pt idx="24">
                  <c:v>70</c:v>
                </c:pt>
                <c:pt idx="25">
                  <c:v>78.880599957951503</c:v>
                </c:pt>
                <c:pt idx="26">
                  <c:v>85.850862953132875</c:v>
                </c:pt>
                <c:pt idx="27">
                  <c:v>93.437051362774795</c:v>
                </c:pt>
                <c:pt idx="28">
                  <c:v>101.69359127043245</c:v>
                </c:pt>
                <c:pt idx="29">
                  <c:v>110.67971810589327</c:v>
                </c:pt>
                <c:pt idx="30">
                  <c:v>120.45990162176226</c:v>
                </c:pt>
                <c:pt idx="31">
                  <c:v>131.10430842299021</c:v>
                </c:pt>
                <c:pt idx="32">
                  <c:v>142.68930536769835</c:v>
                </c:pt>
                <c:pt idx="33">
                  <c:v>155.29800745088212</c:v>
                </c:pt>
                <c:pt idx="34">
                  <c:v>169.02087410171018</c:v>
                </c:pt>
                <c:pt idx="35">
                  <c:v>183.95635817247503</c:v>
                </c:pt>
                <c:pt idx="36">
                  <c:v>200.21161227527659</c:v>
                </c:pt>
                <c:pt idx="37">
                  <c:v>217.903257533957</c:v>
                </c:pt>
                <c:pt idx="38">
                  <c:v>237.15822026659424</c:v>
                </c:pt>
                <c:pt idx="39">
                  <c:v>258.11464260121767</c:v>
                </c:pt>
                <c:pt idx="40">
                  <c:v>280.92287355783799</c:v>
                </c:pt>
                <c:pt idx="41">
                  <c:v>305.74654770717279</c:v>
                </c:pt>
                <c:pt idx="42">
                  <c:v>332.76375914476068</c:v>
                </c:pt>
                <c:pt idx="43">
                  <c:v>362.16833920298285</c:v>
                </c:pt>
                <c:pt idx="44">
                  <c:v>394.17124706776224</c:v>
                </c:pt>
                <c:pt idx="45">
                  <c:v>429.00208327673522</c:v>
                </c:pt>
                <c:pt idx="46">
                  <c:v>466.91073695727931</c:v>
                </c:pt>
                <c:pt idx="47">
                  <c:v>508.16917862228996</c:v>
                </c:pt>
                <c:pt idx="48">
                  <c:v>553.0734113858698</c:v>
                </c:pt>
                <c:pt idx="49">
                  <c:v>601.94559459766924</c:v>
                </c:pt>
                <c:pt idx="50">
                  <c:v>655.13635513160523</c:v>
                </c:pt>
                <c:pt idx="51">
                  <c:v>713.02730291098419</c:v>
                </c:pt>
                <c:pt idx="52">
                  <c:v>776.03376871732564</c:v>
                </c:pt>
                <c:pt idx="53">
                  <c:v>844.60778392493023</c:v>
                </c:pt>
                <c:pt idx="54">
                  <c:v>919.24132353888274</c:v>
                </c:pt>
                <c:pt idx="55">
                  <c:v>1000.4698358032441</c:v>
                </c:pt>
                <c:pt idx="56">
                  <c:v>1088.8760837021161</c:v>
                </c:pt>
                <c:pt idx="57">
                  <c:v>1185.0943259139242</c:v>
                </c:pt>
                <c:pt idx="58">
                  <c:v>1289.8148672145812</c:v>
                </c:pt>
                <c:pt idx="59">
                  <c:v>1403.7890109758237</c:v>
                </c:pt>
              </c:numCache>
            </c:numRef>
          </c:val>
          <c:smooth val="0"/>
          <c:extLst>
            <c:ext xmlns:c16="http://schemas.microsoft.com/office/drawing/2014/chart" uri="{C3380CC4-5D6E-409C-BE32-E72D297353CC}">
              <c16:uniqueId val="{00000000-E4CB-46EB-AFD6-7428528AF090}"/>
            </c:ext>
          </c:extLst>
        </c:ser>
        <c:ser>
          <c:idx val="1"/>
          <c:order val="1"/>
          <c:tx>
            <c:strRef>
              <c:f>'Redução de Prazo'!$R$26</c:f>
              <c:strCache>
                <c:ptCount val="1"/>
                <c:pt idx="0">
                  <c:v>Curva
Linear</c:v>
                </c:pt>
              </c:strCache>
            </c:strRef>
          </c:tx>
          <c:spPr>
            <a:ln w="12700">
              <a:solidFill>
                <a:srgbClr val="98B855"/>
              </a:solidFill>
              <a:prstDash val="solid"/>
            </a:ln>
          </c:spPr>
          <c:marker>
            <c:symbol val="none"/>
          </c:marker>
          <c:dLbls>
            <c:spPr>
              <a:noFill/>
              <a:ln w="25400">
                <a:noFill/>
              </a:ln>
            </c:spPr>
            <c:dLblPos val="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numRef>
              <c:f>'Redução de Prazo'!$P$27:$P$86</c:f>
              <c:numCache>
                <c:formatCode>General</c:formatCode>
                <c:ptCount val="60"/>
                <c:pt idx="0">
                  <c:v>-0.01</c:v>
                </c:pt>
                <c:pt idx="1">
                  <c:v>-0.02</c:v>
                </c:pt>
                <c:pt idx="2">
                  <c:v>-0.03</c:v>
                </c:pt>
                <c:pt idx="3">
                  <c:v>-0.04</c:v>
                </c:pt>
                <c:pt idx="4">
                  <c:v>-0.05</c:v>
                </c:pt>
                <c:pt idx="5">
                  <c:v>-0.06</c:v>
                </c:pt>
                <c:pt idx="6">
                  <c:v>-7.0000000000000007E-2</c:v>
                </c:pt>
                <c:pt idx="7">
                  <c:v>-0.08</c:v>
                </c:pt>
                <c:pt idx="8">
                  <c:v>-0.09</c:v>
                </c:pt>
                <c:pt idx="9">
                  <c:v>-0.1</c:v>
                </c:pt>
                <c:pt idx="10">
                  <c:v>-0.11</c:v>
                </c:pt>
                <c:pt idx="11">
                  <c:v>-0.12</c:v>
                </c:pt>
                <c:pt idx="12">
                  <c:v>-0.13</c:v>
                </c:pt>
                <c:pt idx="13">
                  <c:v>-0.14000000000000001</c:v>
                </c:pt>
                <c:pt idx="14">
                  <c:v>-0.15</c:v>
                </c:pt>
                <c:pt idx="15">
                  <c:v>-0.16</c:v>
                </c:pt>
                <c:pt idx="16">
                  <c:v>-0.17</c:v>
                </c:pt>
                <c:pt idx="17">
                  <c:v>-0.18</c:v>
                </c:pt>
                <c:pt idx="18">
                  <c:v>-0.19</c:v>
                </c:pt>
                <c:pt idx="19">
                  <c:v>-0.2</c:v>
                </c:pt>
                <c:pt idx="20">
                  <c:v>-0.21</c:v>
                </c:pt>
                <c:pt idx="21">
                  <c:v>-0.22</c:v>
                </c:pt>
                <c:pt idx="22">
                  <c:v>-0.23</c:v>
                </c:pt>
                <c:pt idx="23">
                  <c:v>-0.24</c:v>
                </c:pt>
                <c:pt idx="24">
                  <c:v>-0.25</c:v>
                </c:pt>
                <c:pt idx="25">
                  <c:v>-0.26</c:v>
                </c:pt>
                <c:pt idx="26">
                  <c:v>-0.27</c:v>
                </c:pt>
                <c:pt idx="27">
                  <c:v>-0.28000000000000003</c:v>
                </c:pt>
                <c:pt idx="28">
                  <c:v>-0.28999999999999998</c:v>
                </c:pt>
                <c:pt idx="29">
                  <c:v>-0.3</c:v>
                </c:pt>
                <c:pt idx="30">
                  <c:v>-0.31</c:v>
                </c:pt>
                <c:pt idx="31">
                  <c:v>-0.32</c:v>
                </c:pt>
                <c:pt idx="32">
                  <c:v>-0.33</c:v>
                </c:pt>
                <c:pt idx="33">
                  <c:v>-0.34</c:v>
                </c:pt>
                <c:pt idx="34">
                  <c:v>-0.35</c:v>
                </c:pt>
                <c:pt idx="35">
                  <c:v>-0.36</c:v>
                </c:pt>
                <c:pt idx="36">
                  <c:v>-0.37</c:v>
                </c:pt>
                <c:pt idx="37">
                  <c:v>-0.38</c:v>
                </c:pt>
                <c:pt idx="38">
                  <c:v>-0.39</c:v>
                </c:pt>
                <c:pt idx="39">
                  <c:v>-0.4</c:v>
                </c:pt>
                <c:pt idx="40">
                  <c:v>-0.41</c:v>
                </c:pt>
                <c:pt idx="41">
                  <c:v>-0.42</c:v>
                </c:pt>
                <c:pt idx="42">
                  <c:v>-0.43</c:v>
                </c:pt>
                <c:pt idx="43">
                  <c:v>-0.44</c:v>
                </c:pt>
                <c:pt idx="44">
                  <c:v>-0.45</c:v>
                </c:pt>
                <c:pt idx="45">
                  <c:v>-0.46</c:v>
                </c:pt>
                <c:pt idx="46">
                  <c:v>-0.47</c:v>
                </c:pt>
                <c:pt idx="47">
                  <c:v>-0.48</c:v>
                </c:pt>
                <c:pt idx="48">
                  <c:v>-0.49</c:v>
                </c:pt>
                <c:pt idx="49">
                  <c:v>-0.5</c:v>
                </c:pt>
                <c:pt idx="50">
                  <c:v>-0.51</c:v>
                </c:pt>
                <c:pt idx="51">
                  <c:v>-0.52</c:v>
                </c:pt>
                <c:pt idx="52">
                  <c:v>-0.53</c:v>
                </c:pt>
                <c:pt idx="53">
                  <c:v>-0.54</c:v>
                </c:pt>
                <c:pt idx="54">
                  <c:v>-0.55000000000000004</c:v>
                </c:pt>
                <c:pt idx="55">
                  <c:v>-0.56000000000000005</c:v>
                </c:pt>
                <c:pt idx="56">
                  <c:v>-0.56999999999999995</c:v>
                </c:pt>
                <c:pt idx="57">
                  <c:v>-0.57999999999999996</c:v>
                </c:pt>
                <c:pt idx="58">
                  <c:v>-0.59</c:v>
                </c:pt>
                <c:pt idx="59">
                  <c:v>-0.6</c:v>
                </c:pt>
              </c:numCache>
            </c:numRef>
          </c:cat>
          <c:val>
            <c:numRef>
              <c:f>'Redução de Prazo'!$R$27:$R$86</c:f>
              <c:numCache>
                <c:formatCode>* #,##0\ ;\-* #,##0\ ;* \-#\ ;@\ </c:formatCode>
                <c:ptCount val="60"/>
                <c:pt idx="0">
                  <c:v>2.6222222222222218</c:v>
                </c:pt>
                <c:pt idx="1">
                  <c:v>5.2444444444444436</c:v>
                </c:pt>
                <c:pt idx="2">
                  <c:v>7.8666666666666645</c:v>
                </c:pt>
                <c:pt idx="3">
                  <c:v>10.488888888888887</c:v>
                </c:pt>
                <c:pt idx="4">
                  <c:v>13.111111111111109</c:v>
                </c:pt>
                <c:pt idx="5">
                  <c:v>15.733333333333329</c:v>
                </c:pt>
                <c:pt idx="6">
                  <c:v>18.355555555555554</c:v>
                </c:pt>
                <c:pt idx="7">
                  <c:v>20.977777777777774</c:v>
                </c:pt>
                <c:pt idx="8">
                  <c:v>23.599999999999994</c:v>
                </c:pt>
                <c:pt idx="9">
                  <c:v>26.222222222222218</c:v>
                </c:pt>
                <c:pt idx="10">
                  <c:v>28.844444444444438</c:v>
                </c:pt>
                <c:pt idx="11">
                  <c:v>31.466666666666658</c:v>
                </c:pt>
                <c:pt idx="12">
                  <c:v>34.088888888888881</c:v>
                </c:pt>
                <c:pt idx="13">
                  <c:v>36.711111111111109</c:v>
                </c:pt>
                <c:pt idx="14">
                  <c:v>39.333333333333321</c:v>
                </c:pt>
                <c:pt idx="15">
                  <c:v>41.955555555555549</c:v>
                </c:pt>
                <c:pt idx="16">
                  <c:v>44.577777777777776</c:v>
                </c:pt>
                <c:pt idx="17">
                  <c:v>47.199999999999989</c:v>
                </c:pt>
                <c:pt idx="18">
                  <c:v>49.822222222222216</c:v>
                </c:pt>
                <c:pt idx="19">
                  <c:v>52.444444444444436</c:v>
                </c:pt>
                <c:pt idx="20">
                  <c:v>55.066666666666656</c:v>
                </c:pt>
                <c:pt idx="21">
                  <c:v>57.688888888888876</c:v>
                </c:pt>
                <c:pt idx="22">
                  <c:v>60.311111111111103</c:v>
                </c:pt>
                <c:pt idx="23">
                  <c:v>62.933333333333316</c:v>
                </c:pt>
                <c:pt idx="24">
                  <c:v>65.555555555555543</c:v>
                </c:pt>
                <c:pt idx="25">
                  <c:v>68.177777777777763</c:v>
                </c:pt>
                <c:pt idx="26">
                  <c:v>70.8</c:v>
                </c:pt>
                <c:pt idx="27">
                  <c:v>73.422222222222217</c:v>
                </c:pt>
                <c:pt idx="28">
                  <c:v>76.044444444444423</c:v>
                </c:pt>
                <c:pt idx="29">
                  <c:v>78.666666666666643</c:v>
                </c:pt>
                <c:pt idx="30">
                  <c:v>81.288888888888877</c:v>
                </c:pt>
                <c:pt idx="31">
                  <c:v>83.911111111111097</c:v>
                </c:pt>
                <c:pt idx="32">
                  <c:v>86.533333333333317</c:v>
                </c:pt>
                <c:pt idx="33">
                  <c:v>89.155555555555551</c:v>
                </c:pt>
                <c:pt idx="34">
                  <c:v>91.777777777777757</c:v>
                </c:pt>
                <c:pt idx="35">
                  <c:v>94.399999999999977</c:v>
                </c:pt>
                <c:pt idx="36">
                  <c:v>97.022222222222197</c:v>
                </c:pt>
                <c:pt idx="37">
                  <c:v>99.644444444444431</c:v>
                </c:pt>
                <c:pt idx="38">
                  <c:v>102.26666666666665</c:v>
                </c:pt>
                <c:pt idx="39">
                  <c:v>104.88888888888887</c:v>
                </c:pt>
                <c:pt idx="40">
                  <c:v>107.51111111111108</c:v>
                </c:pt>
                <c:pt idx="41">
                  <c:v>110.13333333333331</c:v>
                </c:pt>
                <c:pt idx="42">
                  <c:v>112.75555555555553</c:v>
                </c:pt>
                <c:pt idx="43">
                  <c:v>115.37777777777775</c:v>
                </c:pt>
                <c:pt idx="44">
                  <c:v>117.99999999999999</c:v>
                </c:pt>
                <c:pt idx="45">
                  <c:v>120.62222222222221</c:v>
                </c:pt>
                <c:pt idx="46">
                  <c:v>123.24444444444441</c:v>
                </c:pt>
                <c:pt idx="47">
                  <c:v>125.86666666666663</c:v>
                </c:pt>
                <c:pt idx="48">
                  <c:v>128.48888888888885</c:v>
                </c:pt>
                <c:pt idx="49">
                  <c:v>131.11111111111109</c:v>
                </c:pt>
                <c:pt idx="50">
                  <c:v>133.73333333333332</c:v>
                </c:pt>
                <c:pt idx="51">
                  <c:v>136.35555555555553</c:v>
                </c:pt>
                <c:pt idx="52">
                  <c:v>138.97777777777776</c:v>
                </c:pt>
                <c:pt idx="53">
                  <c:v>141.6</c:v>
                </c:pt>
                <c:pt idx="54">
                  <c:v>144.2222222222222</c:v>
                </c:pt>
                <c:pt idx="55">
                  <c:v>146.84444444444443</c:v>
                </c:pt>
                <c:pt idx="56">
                  <c:v>149.46666666666661</c:v>
                </c:pt>
                <c:pt idx="57">
                  <c:v>152.08888888888885</c:v>
                </c:pt>
                <c:pt idx="58">
                  <c:v>154.71111111111108</c:v>
                </c:pt>
                <c:pt idx="59">
                  <c:v>157.33333333333329</c:v>
                </c:pt>
              </c:numCache>
            </c:numRef>
          </c:val>
          <c:smooth val="0"/>
          <c:extLst>
            <c:ext xmlns:c16="http://schemas.microsoft.com/office/drawing/2014/chart" uri="{C3380CC4-5D6E-409C-BE32-E72D297353CC}">
              <c16:uniqueId val="{00000001-E4CB-46EB-AFD6-7428528AF090}"/>
            </c:ext>
          </c:extLst>
        </c:ser>
        <c:dLbls>
          <c:showLegendKey val="0"/>
          <c:showVal val="0"/>
          <c:showCatName val="0"/>
          <c:showSerName val="0"/>
          <c:showPercent val="0"/>
          <c:showBubbleSize val="0"/>
        </c:dLbls>
        <c:smooth val="0"/>
        <c:axId val="551068367"/>
        <c:axId val="1"/>
      </c:lineChart>
      <c:catAx>
        <c:axId val="551068367"/>
        <c:scaling>
          <c:orientation val="minMax"/>
        </c:scaling>
        <c:delete val="0"/>
        <c:axPos val="b"/>
        <c:majorGridlines>
          <c:spPr>
            <a:ln w="3175">
              <a:solidFill>
                <a:srgbClr val="878787"/>
              </a:solidFill>
              <a:prstDash val="solid"/>
            </a:ln>
          </c:spPr>
        </c:majorGridlines>
        <c:title>
          <c:tx>
            <c:rich>
              <a:bodyPr/>
              <a:lstStyle/>
              <a:p>
                <a:pPr>
                  <a:defRPr sz="1000" b="1" i="0" u="none" strike="noStrike" baseline="0">
                    <a:solidFill>
                      <a:srgbClr val="231F20"/>
                    </a:solidFill>
                    <a:latin typeface="Calibri"/>
                    <a:ea typeface="Calibri"/>
                    <a:cs typeface="Calibri"/>
                  </a:defRPr>
                </a:pPr>
                <a:r>
                  <a:rPr lang="pt-BR"/>
                  <a:t>Redução do Prazo</a:t>
                </a:r>
              </a:p>
            </c:rich>
          </c:tx>
          <c:overlay val="0"/>
          <c:spPr>
            <a:noFill/>
            <a:ln>
              <a:noFill/>
            </a:ln>
          </c:spPr>
        </c:title>
        <c:numFmt formatCode="General" sourceLinked="1"/>
        <c:majorTickMark val="none"/>
        <c:minorTickMark val="none"/>
        <c:tickLblPos val="nextTo"/>
        <c:spPr>
          <a:ln w="3175">
            <a:solidFill>
              <a:srgbClr val="878787"/>
            </a:solidFill>
            <a:prstDash val="solid"/>
          </a:ln>
        </c:spPr>
        <c:txPr>
          <a:bodyPr rot="-5400000"/>
          <a:lstStyle/>
          <a:p>
            <a:pPr>
              <a:defRPr sz="700" b="0" strike="noStrike" spc="-1">
                <a:solidFill>
                  <a:srgbClr val="000000"/>
                </a:solidFill>
                <a:latin typeface="Calibri"/>
              </a:defRPr>
            </a:pPr>
            <a:endParaRPr lang="pt-BR"/>
          </a:p>
        </c:txPr>
        <c:crossAx val="1"/>
        <c:crosses val="autoZero"/>
        <c:auto val="1"/>
        <c:lblAlgn val="ctr"/>
        <c:lblOffset val="100"/>
        <c:noMultiLvlLbl val="1"/>
      </c:catAx>
      <c:valAx>
        <c:axId val="1"/>
        <c:scaling>
          <c:orientation val="minMax"/>
        </c:scaling>
        <c:delete val="1"/>
        <c:axPos val="l"/>
        <c:title>
          <c:tx>
            <c:rich>
              <a:bodyPr/>
              <a:lstStyle/>
              <a:p>
                <a:pPr>
                  <a:defRPr sz="1000" b="1" i="0" u="none" strike="noStrike" baseline="0">
                    <a:solidFill>
                      <a:srgbClr val="231F20"/>
                    </a:solidFill>
                    <a:latin typeface="Calibri"/>
                    <a:ea typeface="Calibri"/>
                    <a:cs typeface="Calibri"/>
                  </a:defRPr>
                </a:pPr>
                <a:r>
                  <a:rPr lang="pt-BR"/>
                  <a:t>Aumento na contagem</a:t>
                </a:r>
              </a:p>
            </c:rich>
          </c:tx>
          <c:overlay val="0"/>
          <c:spPr>
            <a:noFill/>
            <a:ln>
              <a:noFill/>
            </a:ln>
          </c:spPr>
        </c:title>
        <c:numFmt formatCode="* #,##0\ ;\-* #,##0\ ;* \-#\ ;@\ " sourceLinked="1"/>
        <c:majorTickMark val="out"/>
        <c:minorTickMark val="none"/>
        <c:tickLblPos val="nextTo"/>
        <c:crossAx val="551068367"/>
        <c:crosses val="autoZero"/>
        <c:crossBetween val="midCat"/>
      </c:valAx>
      <c:spPr>
        <a:solidFill>
          <a:srgbClr val="FFFFFF"/>
        </a:solidFill>
        <a:ln>
          <a:solidFill>
            <a:srgbClr val="000000"/>
          </a:solidFill>
        </a:ln>
      </c:spPr>
    </c:plotArea>
    <c:legend>
      <c:legendPos val="r"/>
      <c:layout>
        <c:manualLayout>
          <c:xMode val="edge"/>
          <c:yMode val="edge"/>
          <c:wMode val="edge"/>
          <c:hMode val="edge"/>
          <c:x val="0.92873478769264739"/>
          <c:y val="0.33108279364487725"/>
          <c:w val="0.99864440463106541"/>
          <c:h val="0.51467245958160557"/>
        </c:manualLayout>
      </c:layout>
      <c:overlay val="1"/>
      <c:spPr>
        <a:noFill/>
        <a:ln>
          <a:noFill/>
        </a:ln>
      </c:spPr>
      <c:txPr>
        <a:bodyPr/>
        <a:lstStyle/>
        <a:p>
          <a:pPr>
            <a:defRPr sz="1000" b="0" strike="noStrike" spc="-1">
              <a:solidFill>
                <a:srgbClr val="000000"/>
              </a:solidFill>
              <a:latin typeface="Calibri"/>
            </a:defRPr>
          </a:pPr>
          <a:endParaRPr lang="pt-BR"/>
        </a:p>
      </c:txPr>
    </c:legend>
    <c:plotVisOnly val="1"/>
    <c:dispBlanksAs val="gap"/>
    <c:showDLblsOverMax val="1"/>
  </c:chart>
  <c:spPr>
    <a:solidFill>
      <a:srgbClr val="FFFFFF"/>
    </a:solidFill>
    <a:ln>
      <a:noFill/>
    </a:ln>
  </c:spPr>
  <c:printSettings>
    <c:headerFooter/>
    <c:pageMargins b="0.78740157499999996" l="0.511811024" r="0.511811024" t="0.78740157499999996" header="0.31496062000000002" footer="0.31496062000000002"/>
    <c:pageSetup/>
  </c:printSettings>
</c:chartSpace>
</file>

<file path=xl/drawings/_rels/drawing2.xml.rels><?xml version="1.0" encoding="UTF-8" standalone="yes"?>
<Relationships xmlns="http://schemas.openxmlformats.org/package/2006/relationships"><Relationship Id="rId1" Type="http://schemas.openxmlformats.org/officeDocument/2006/relationships/image" Target="../media/image1.jpeg"/></Relationships>
</file>

<file path=xl/drawings/_rels/drawing3.xml.rels><?xml version="1.0" encoding="UTF-8" standalone="yes"?>
<Relationships xmlns="http://schemas.openxmlformats.org/package/2006/relationships"><Relationship Id="rId1" Type="http://schemas.openxmlformats.org/officeDocument/2006/relationships/image" Target="../media/image1.jpeg"/></Relationships>
</file>

<file path=xl/drawings/_rels/drawing4.xml.rels><?xml version="1.0" encoding="UTF-8" standalone="yes"?>
<Relationships xmlns="http://schemas.openxmlformats.org/package/2006/relationships"><Relationship Id="rId1" Type="http://schemas.openxmlformats.org/officeDocument/2006/relationships/image" Target="../media/image1.jpeg"/></Relationships>
</file>

<file path=xl/drawings/_rels/drawing5.xml.rels><?xml version="1.0" encoding="UTF-8" standalone="yes"?>
<Relationships xmlns="http://schemas.openxmlformats.org/package/2006/relationships"><Relationship Id="rId1" Type="http://schemas.openxmlformats.org/officeDocument/2006/relationships/image" Target="../media/image1.jpeg"/></Relationships>
</file>

<file path=xl/drawings/_rels/drawing7.xml.rels><?xml version="1.0" encoding="UTF-8" standalone="yes"?>
<Relationships xmlns="http://schemas.openxmlformats.org/package/2006/relationships"><Relationship Id="rId1" Type="http://schemas.openxmlformats.org/officeDocument/2006/relationships/image" Target="../media/image1.jpeg"/></Relationships>
</file>

<file path=xl/drawings/_rels/drawing8.xml.rels><?xml version="1.0" encoding="UTF-8" standalone="yes"?>
<Relationships xmlns="http://schemas.openxmlformats.org/package/2006/relationships"><Relationship Id="rId1" Type="http://schemas.openxmlformats.org/officeDocument/2006/relationships/image" Target="../media/image1.jpeg"/></Relationships>
</file>

<file path=xl/drawings/_rels/drawing9.x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chart" Target="../charts/chart1.xml"/></Relationships>
</file>

<file path=xl/drawings/_rels/drawing10.xml.rels><?xml version="1.0" encoding="UTF-8" standalone="yes"?>
<Relationships xmlns="http://schemas.openxmlformats.org/package/2006/relationships"><Relationship Id="rId1" Type="http://schemas.openxmlformats.org/officeDocument/2006/relationships/image" Target="../media/image1.jpeg"/></Relationships>
</file>

<file path=xl/drawings/_rels/drawing12.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2</xdr:col>
      <xdr:colOff>13680</xdr:colOff>
      <xdr:row>0</xdr:row>
      <xdr:rowOff>123840</xdr:rowOff>
    </xdr:from>
    <xdr:to>
      <xdr:col>16</xdr:col>
      <xdr:colOff>521640</xdr:colOff>
      <xdr:row>40</xdr:row>
      <xdr:rowOff>130320</xdr:rowOff>
    </xdr:to>
    <xdr:sp macro="" textlink="">
      <xdr:nvSpPr>
        <xdr:cNvPr id="2" name="CustomShape 1">
          <a:extLst>
            <a:ext uri="{FF2B5EF4-FFF2-40B4-BE49-F238E27FC236}">
              <a16:creationId xmlns:a16="http://schemas.microsoft.com/office/drawing/2014/main" id="{00000000-0008-0000-0000-000002000000}"/>
            </a:ext>
          </a:extLst>
        </xdr:cNvPr>
        <xdr:cNvSpPr/>
      </xdr:nvSpPr>
      <xdr:spPr>
        <a:xfrm>
          <a:off x="1218600" y="123840"/>
          <a:ext cx="8944560" cy="6508800"/>
        </a:xfrm>
        <a:prstGeom prst="rect">
          <a:avLst/>
        </a:prstGeom>
        <a:solidFill>
          <a:srgbClr val="FFFFFF"/>
        </a:solidFill>
        <a:ln w="9360">
          <a:solidFill>
            <a:srgbClr val="BCBCBC"/>
          </a:solidFill>
          <a:round/>
        </a:ln>
      </xdr:spPr>
      <xdr:style>
        <a:lnRef idx="0">
          <a:scrgbClr r="0" g="0" b="0"/>
        </a:lnRef>
        <a:fillRef idx="0">
          <a:scrgbClr r="0" g="0" b="0"/>
        </a:fillRef>
        <a:effectRef idx="0">
          <a:scrgbClr r="0" g="0" b="0"/>
        </a:effectRef>
        <a:fontRef idx="minor"/>
      </xdr:style>
      <xdr:txBody>
        <a:bodyPr lIns="90000" tIns="45000" rIns="90000" bIns="45000"/>
        <a:lstStyle/>
        <a:p>
          <a:pPr algn="l" rtl="0">
            <a:lnSpc>
              <a:spcPts val="1300"/>
            </a:lnSpc>
            <a:defRPr sz="1000"/>
          </a:pPr>
          <a:endParaRPr lang="pt-BR" sz="1200" b="0" i="0" u="none" strike="noStrike" baseline="0">
            <a:solidFill>
              <a:srgbClr val="231F20"/>
            </a:solidFill>
            <a:latin typeface="Times New Roman"/>
            <a:cs typeface="Times New Roman"/>
          </a:endParaRPr>
        </a:p>
        <a:p>
          <a:pPr algn="l" rtl="0">
            <a:defRPr sz="1000"/>
          </a:pPr>
          <a:r>
            <a:rPr lang="pt-BR" sz="1100" b="1" i="0" u="none" strike="noStrike" baseline="0">
              <a:solidFill>
                <a:srgbClr val="231F20"/>
              </a:solidFill>
              <a:latin typeface="Calibri"/>
              <a:cs typeface="Calibri"/>
            </a:rPr>
            <a:t>Instrução para utilização da Planilha de Contagem</a:t>
          </a:r>
          <a:endParaRPr lang="pt-BR" sz="1100" b="0" i="0" u="none" strike="noStrike" baseline="0">
            <a:solidFill>
              <a:srgbClr val="231F20"/>
            </a:solidFill>
            <a:latin typeface="Times New Roman"/>
            <a:cs typeface="Times New Roman"/>
          </a:endParaRPr>
        </a:p>
        <a:p>
          <a:pPr algn="l" rtl="0">
            <a:lnSpc>
              <a:spcPts val="1200"/>
            </a:lnSpc>
            <a:defRPr sz="1000"/>
          </a:pPr>
          <a:endParaRPr lang="pt-BR" sz="1100" b="0" i="0" u="none" strike="noStrike" baseline="0">
            <a:solidFill>
              <a:srgbClr val="231F20"/>
            </a:solidFill>
            <a:latin typeface="Times New Roman"/>
            <a:cs typeface="Times New Roman"/>
          </a:endParaRPr>
        </a:p>
        <a:p>
          <a:pPr algn="l" rtl="0">
            <a:defRPr sz="1000"/>
          </a:pPr>
          <a:r>
            <a:rPr lang="pt-BR" sz="1100" b="0" i="0" u="none" strike="noStrike" baseline="0">
              <a:solidFill>
                <a:srgbClr val="231F20"/>
              </a:solidFill>
              <a:latin typeface="Calibri"/>
              <a:cs typeface="Calibri"/>
            </a:rPr>
            <a:t>1) Na aba "Resumo" indicar o tipo de contagem e o tipo de atividade a ser realizada através das opções pré listadas. Utilize as respectivas abas "AFP - Detalhada", "AFP - Estimativa" ou "Indicativa" dependendo da contagem. </a:t>
          </a:r>
          <a:endParaRPr lang="pt-BR" sz="1100" b="0" i="0" u="none" strike="noStrike" baseline="0">
            <a:solidFill>
              <a:srgbClr val="231F20"/>
            </a:solidFill>
            <a:latin typeface="Times New Roman"/>
            <a:cs typeface="Times New Roman"/>
          </a:endParaRPr>
        </a:p>
        <a:p>
          <a:pPr algn="l" rtl="0">
            <a:defRPr sz="1000"/>
          </a:pPr>
          <a:r>
            <a:rPr lang="pt-BR" sz="1100" b="0" i="0" u="none" strike="noStrike" baseline="0">
              <a:solidFill>
                <a:srgbClr val="231F20"/>
              </a:solidFill>
              <a:latin typeface="Calibri"/>
              <a:cs typeface="Calibri"/>
            </a:rPr>
            <a:t>- O tipo de atividade define qual a tabela de distribuição de esforço será utilizada no cálculo final.</a:t>
          </a:r>
          <a:endParaRPr lang="pt-BR" sz="1100" b="0" i="0" u="none" strike="noStrike" baseline="0">
            <a:solidFill>
              <a:srgbClr val="231F20"/>
            </a:solidFill>
            <a:latin typeface="Times New Roman"/>
            <a:cs typeface="Times New Roman"/>
          </a:endParaRPr>
        </a:p>
        <a:p>
          <a:pPr algn="l" rtl="0">
            <a:defRPr sz="1000"/>
          </a:pPr>
          <a:r>
            <a:rPr lang="pt-BR" sz="1100" b="0" i="0" u="none" strike="noStrike" baseline="0">
              <a:solidFill>
                <a:srgbClr val="231F20"/>
              </a:solidFill>
              <a:latin typeface="Calibri"/>
              <a:cs typeface="Calibri"/>
            </a:rPr>
            <a:t>- Propósito da Contagem:</a:t>
          </a:r>
          <a:endParaRPr lang="pt-BR" sz="1100" b="0" i="0" u="none" strike="noStrike" baseline="0">
            <a:solidFill>
              <a:srgbClr val="231F20"/>
            </a:solidFill>
            <a:latin typeface="Times New Roman"/>
            <a:cs typeface="Times New Roman"/>
          </a:endParaRPr>
        </a:p>
        <a:p>
          <a:pPr algn="l" rtl="0">
            <a:defRPr sz="1000"/>
          </a:pPr>
          <a:r>
            <a:rPr lang="pt-BR" sz="1100" b="0" i="0" u="none" strike="noStrike" baseline="0">
              <a:solidFill>
                <a:srgbClr val="231F20"/>
              </a:solidFill>
              <a:latin typeface="Calibri"/>
              <a:cs typeface="Calibri"/>
            </a:rPr>
            <a:t>Uma medição de tamanho funcional é feita para fornecer uma resposta a um problema do negócio, e é o problema de negócio que determina o propósito.</a:t>
          </a:r>
          <a:endParaRPr lang="pt-BR" sz="1100" b="0" i="0" u="none" strike="noStrike" baseline="0">
            <a:solidFill>
              <a:srgbClr val="231F20"/>
            </a:solidFill>
            <a:latin typeface="Times New Roman"/>
            <a:cs typeface="Times New Roman"/>
          </a:endParaRPr>
        </a:p>
        <a:p>
          <a:pPr algn="l" rtl="0">
            <a:defRPr sz="1000"/>
          </a:pPr>
          <a:r>
            <a:rPr lang="pt-BR" sz="1100" b="0" i="0" u="none" strike="noStrike" baseline="0">
              <a:solidFill>
                <a:srgbClr val="231F20"/>
              </a:solidFill>
              <a:latin typeface="Calibri"/>
              <a:cs typeface="Calibri"/>
            </a:rPr>
            <a:t>O propósito é o objetivo pelo qual a contagem é realizada. Determina o tipo de contagem de ponto de função e o escopo da contagem necessária para obter a resposta ao problema de negócios sob investigação.</a:t>
          </a:r>
          <a:endParaRPr lang="pt-BR" sz="1100" b="0" i="0" u="none" strike="noStrike" baseline="0">
            <a:solidFill>
              <a:srgbClr val="231F20"/>
            </a:solidFill>
            <a:latin typeface="Times New Roman"/>
            <a:cs typeface="Times New Roman"/>
          </a:endParaRPr>
        </a:p>
        <a:p>
          <a:pPr algn="l" rtl="0">
            <a:defRPr sz="1000"/>
          </a:pPr>
          <a:r>
            <a:rPr lang="pt-BR" sz="1100" b="0" i="0" u="none" strike="noStrike" baseline="0">
              <a:solidFill>
                <a:srgbClr val="231F20"/>
              </a:solidFill>
              <a:latin typeface="Calibri"/>
              <a:cs typeface="Calibri"/>
            </a:rPr>
            <a:t>- Escopo da Contagem:</a:t>
          </a:r>
          <a:endParaRPr lang="pt-BR" sz="1100" b="0" i="0" u="none" strike="noStrike" baseline="0">
            <a:solidFill>
              <a:srgbClr val="231F20"/>
            </a:solidFill>
            <a:latin typeface="Times New Roman"/>
            <a:cs typeface="Times New Roman"/>
          </a:endParaRPr>
        </a:p>
        <a:p>
          <a:pPr algn="l" rtl="0">
            <a:defRPr sz="1000"/>
          </a:pPr>
          <a:r>
            <a:rPr lang="pt-BR" sz="1100" b="0" i="0" u="none" strike="noStrike" baseline="0">
              <a:solidFill>
                <a:srgbClr val="231F20"/>
              </a:solidFill>
              <a:latin typeface="Calibri"/>
              <a:cs typeface="Calibri"/>
            </a:rPr>
            <a:t>O escopo da contagem define o conjunto dos Requisitos Funcionais do Usuário que serão incluídos na contagem de pontos de função. Deve ser informado quais funcionalidades, requisitos ou casos de uso que serão incluídas na contagem de pontos de função.</a:t>
          </a:r>
          <a:endParaRPr lang="pt-BR" sz="1100" b="0" i="0" u="none" strike="noStrike" baseline="0">
            <a:solidFill>
              <a:srgbClr val="231F20"/>
            </a:solidFill>
            <a:latin typeface="Times New Roman"/>
            <a:cs typeface="Times New Roman"/>
          </a:endParaRPr>
        </a:p>
        <a:p>
          <a:pPr algn="l" rtl="0">
            <a:lnSpc>
              <a:spcPts val="1200"/>
            </a:lnSpc>
            <a:defRPr sz="1000"/>
          </a:pPr>
          <a:endParaRPr lang="pt-BR" sz="1100" b="0" i="0" u="none" strike="noStrike" baseline="0">
            <a:solidFill>
              <a:srgbClr val="231F20"/>
            </a:solidFill>
            <a:latin typeface="Times New Roman"/>
            <a:cs typeface="Times New Roman"/>
          </a:endParaRPr>
        </a:p>
        <a:p>
          <a:pPr algn="l" rtl="0">
            <a:lnSpc>
              <a:spcPts val="1200"/>
            </a:lnSpc>
            <a:defRPr sz="1000"/>
          </a:pPr>
          <a:r>
            <a:rPr lang="pt-BR" sz="1100" b="0" i="0" u="none" strike="noStrike" baseline="0">
              <a:solidFill>
                <a:srgbClr val="231F20"/>
              </a:solidFill>
              <a:latin typeface="Calibri"/>
              <a:cs typeface="Calibri"/>
            </a:rPr>
            <a:t>2) Nas abas "AFP - Detalhada", "AFP - Estimativa" e "AFP - Indicativa", devem ser preenchidos os campos:</a:t>
          </a:r>
          <a:endParaRPr lang="pt-BR" sz="1100" b="0" i="0" u="none" strike="noStrike" baseline="0">
            <a:solidFill>
              <a:srgbClr val="231F20"/>
            </a:solidFill>
            <a:latin typeface="Times New Roman"/>
            <a:cs typeface="Times New Roman"/>
          </a:endParaRPr>
        </a:p>
        <a:p>
          <a:pPr algn="l" rtl="0">
            <a:defRPr sz="1000"/>
          </a:pPr>
          <a:r>
            <a:rPr lang="pt-BR" sz="1100" b="0" i="0" u="none" strike="noStrike" baseline="0">
              <a:solidFill>
                <a:srgbClr val="231F20"/>
              </a:solidFill>
              <a:latin typeface="Calibri"/>
              <a:cs typeface="Calibri"/>
            </a:rPr>
            <a:t> - Release com o respectivo número da release correspondente ao Requisito; na coluna "Release"</a:t>
          </a:r>
          <a:endParaRPr lang="pt-BR" sz="1100" b="0" i="0" u="none" strike="noStrike" baseline="0">
            <a:solidFill>
              <a:srgbClr val="231F20"/>
            </a:solidFill>
            <a:latin typeface="Times New Roman"/>
            <a:cs typeface="Times New Roman"/>
          </a:endParaRPr>
        </a:p>
        <a:p>
          <a:pPr algn="l" rtl="0">
            <a:lnSpc>
              <a:spcPts val="1200"/>
            </a:lnSpc>
            <a:defRPr sz="1000"/>
          </a:pPr>
          <a:r>
            <a:rPr lang="pt-BR" sz="1100" b="0" i="0" u="none" strike="noStrike" baseline="0">
              <a:solidFill>
                <a:srgbClr val="231F20"/>
              </a:solidFill>
              <a:latin typeface="Calibri"/>
              <a:cs typeface="Calibri"/>
            </a:rPr>
            <a:t> - Módulo com o respectivo número do módulo correspondente ao Requisito ; na coluna "Módulo"</a:t>
          </a:r>
          <a:endParaRPr lang="pt-BR" sz="1100" b="0" i="0" u="none" strike="noStrike" baseline="0">
            <a:solidFill>
              <a:srgbClr val="231F20"/>
            </a:solidFill>
            <a:latin typeface="Times New Roman"/>
            <a:cs typeface="Times New Roman"/>
          </a:endParaRPr>
        </a:p>
        <a:p>
          <a:pPr algn="l" rtl="0">
            <a:lnSpc>
              <a:spcPts val="1200"/>
            </a:lnSpc>
            <a:defRPr sz="1000"/>
          </a:pPr>
          <a:r>
            <a:rPr lang="pt-BR" sz="1100" b="0" i="0" u="none" strike="noStrike" baseline="0">
              <a:solidFill>
                <a:srgbClr val="231F20"/>
              </a:solidFill>
              <a:latin typeface="Calibri"/>
              <a:cs typeface="Calibri"/>
            </a:rPr>
            <a:t> - O número do Requisito Ex: "UC01"; na coluna "Requisito"</a:t>
          </a:r>
          <a:endParaRPr lang="pt-BR" sz="1100" b="0" i="0" u="none" strike="noStrike" baseline="0">
            <a:solidFill>
              <a:srgbClr val="231F20"/>
            </a:solidFill>
            <a:latin typeface="Times New Roman"/>
            <a:cs typeface="Times New Roman"/>
          </a:endParaRPr>
        </a:p>
        <a:p>
          <a:pPr algn="l" rtl="0">
            <a:defRPr sz="1000"/>
          </a:pPr>
          <a:r>
            <a:rPr lang="pt-BR" sz="1100" b="0" i="0" u="none" strike="noStrike" baseline="0">
              <a:solidFill>
                <a:srgbClr val="231F20"/>
              </a:solidFill>
              <a:latin typeface="Calibri"/>
              <a:cs typeface="Calibri"/>
            </a:rPr>
            <a:t> - O detalhamento das ações do requisito; na coluna "Processos Elementares"</a:t>
          </a:r>
          <a:endParaRPr lang="pt-BR" sz="1100" b="0" i="0" u="none" strike="noStrike" baseline="0">
            <a:solidFill>
              <a:srgbClr val="231F20"/>
            </a:solidFill>
            <a:latin typeface="Times New Roman"/>
            <a:cs typeface="Times New Roman"/>
          </a:endParaRPr>
        </a:p>
        <a:p>
          <a:pPr algn="l" rtl="0">
            <a:lnSpc>
              <a:spcPts val="1200"/>
            </a:lnSpc>
            <a:defRPr sz="1000"/>
          </a:pPr>
          <a:r>
            <a:rPr lang="pt-BR" sz="1100" b="0" i="0" u="none" strike="noStrike" baseline="0">
              <a:solidFill>
                <a:srgbClr val="231F20"/>
              </a:solidFill>
              <a:latin typeface="Calibri"/>
              <a:cs typeface="Calibri"/>
            </a:rPr>
            <a:t> * Selecionar o "tipo" entre a seleção pré listada</a:t>
          </a:r>
          <a:endParaRPr lang="pt-BR" sz="1100" b="0" i="0" u="none" strike="noStrike" baseline="0">
            <a:solidFill>
              <a:srgbClr val="231F20"/>
            </a:solidFill>
            <a:latin typeface="Times New Roman"/>
            <a:cs typeface="Times New Roman"/>
          </a:endParaRPr>
        </a:p>
        <a:p>
          <a:pPr algn="l" rtl="0">
            <a:lnSpc>
              <a:spcPts val="1200"/>
            </a:lnSpc>
            <a:defRPr sz="1000"/>
          </a:pPr>
          <a:endParaRPr lang="pt-BR" sz="1100" b="0" i="0" u="none" strike="noStrike" baseline="0">
            <a:solidFill>
              <a:srgbClr val="231F20"/>
            </a:solidFill>
            <a:latin typeface="Times New Roman"/>
            <a:cs typeface="Times New Roman"/>
          </a:endParaRPr>
        </a:p>
        <a:p>
          <a:pPr algn="l" rtl="0">
            <a:lnSpc>
              <a:spcPts val="1200"/>
            </a:lnSpc>
            <a:defRPr sz="1000"/>
          </a:pPr>
          <a:r>
            <a:rPr lang="pt-BR" sz="1100" b="0" i="0" u="none" strike="noStrike" baseline="0">
              <a:solidFill>
                <a:srgbClr val="231F20"/>
              </a:solidFill>
              <a:latin typeface="Calibri"/>
              <a:cs typeface="Calibri"/>
            </a:rPr>
            <a:t>3) Na aba "AFP - Detalhada" deverá ser selecionado o "tipo do  projeto", além da informação dos dados elementares (coluna "DER") e dos registros lógicos, para as funções de dados, ou dos arquivos referenciados, para as funções de transação (coluna "RL/AR").</a:t>
          </a:r>
          <a:endParaRPr lang="pt-BR" sz="1100" b="0" i="0" u="none" strike="noStrike" baseline="0">
            <a:solidFill>
              <a:srgbClr val="231F20"/>
            </a:solidFill>
            <a:latin typeface="Times New Roman"/>
            <a:cs typeface="Times New Roman"/>
          </a:endParaRPr>
        </a:p>
        <a:p>
          <a:pPr algn="l" rtl="0">
            <a:defRPr sz="1000"/>
          </a:pPr>
          <a:r>
            <a:rPr lang="pt-BR" sz="1100" b="0" i="0" u="none" strike="noStrike" baseline="0">
              <a:solidFill>
                <a:srgbClr val="231F20"/>
              </a:solidFill>
              <a:latin typeface="Calibri"/>
              <a:cs typeface="Calibri"/>
            </a:rPr>
            <a:t>* preenchido os campos:</a:t>
          </a:r>
          <a:endParaRPr lang="pt-BR" sz="1100" b="0" i="0" u="none" strike="noStrike" baseline="0">
            <a:solidFill>
              <a:srgbClr val="231F20"/>
            </a:solidFill>
            <a:latin typeface="Times New Roman"/>
            <a:cs typeface="Times New Roman"/>
          </a:endParaRPr>
        </a:p>
        <a:p>
          <a:pPr algn="l" rtl="0">
            <a:lnSpc>
              <a:spcPts val="1200"/>
            </a:lnSpc>
            <a:defRPr sz="1000"/>
          </a:pPr>
          <a:r>
            <a:rPr lang="pt-BR" sz="1100" b="0" i="0" u="none" strike="noStrike" baseline="0">
              <a:solidFill>
                <a:srgbClr val="231F20"/>
              </a:solidFill>
              <a:latin typeface="Calibri"/>
              <a:cs typeface="Calibri"/>
            </a:rPr>
            <a:t> - Preechimento após contagem da colunas "DER" e "AR/TR" com os respectivos valores</a:t>
          </a:r>
          <a:endParaRPr lang="pt-BR" sz="1100" b="0" i="0" u="none" strike="noStrike" baseline="0">
            <a:solidFill>
              <a:srgbClr val="231F20"/>
            </a:solidFill>
            <a:latin typeface="Times New Roman"/>
            <a:cs typeface="Times New Roman"/>
          </a:endParaRPr>
        </a:p>
        <a:p>
          <a:pPr algn="l" rtl="0">
            <a:lnSpc>
              <a:spcPts val="1200"/>
            </a:lnSpc>
            <a:defRPr sz="1000"/>
          </a:pPr>
          <a:endParaRPr lang="pt-BR" sz="1100" b="0" i="0" u="none" strike="noStrike" baseline="0">
            <a:solidFill>
              <a:srgbClr val="231F20"/>
            </a:solidFill>
            <a:latin typeface="Times New Roman"/>
            <a:cs typeface="Times New Roman"/>
          </a:endParaRPr>
        </a:p>
        <a:p>
          <a:pPr algn="l" rtl="0">
            <a:defRPr sz="1000"/>
          </a:pPr>
          <a:r>
            <a:rPr lang="pt-BR" sz="1100" b="0" i="0" u="none" strike="noStrike" baseline="0">
              <a:solidFill>
                <a:srgbClr val="231F20"/>
              </a:solidFill>
              <a:latin typeface="Calibri"/>
              <a:cs typeface="Calibri"/>
            </a:rPr>
            <a:t>4) Na aba Redução de Prazo será apresentada a distribuição do esforço em dias por fases, dado um prazo obtido pelo tamanho funcional. Necessário informar versão do Roteiro de Métricas SISP, Tipo do Prazo (Dias úteis ou corridos), Tipo do Projeto,  Complexidade do projeto, Tamanho em PF e Data de início. Ainda nesta aba, caso exista a necessidade de redução do prazo, informar os dados já mencionados e também a Data Limite para conclusão. A partir desta informação serão apresentados a nova distribuição do esforço e o  novo tamanho funcional considerando a porcentagem de redução desejada.</a:t>
          </a:r>
          <a:endParaRPr lang="pt-BR" sz="1100" b="0" i="0" u="none" strike="noStrike" baseline="0">
            <a:solidFill>
              <a:srgbClr val="231F20"/>
            </a:solidFill>
            <a:latin typeface="Times New Roman"/>
            <a:cs typeface="Times New Roman"/>
          </a:endParaRPr>
        </a:p>
        <a:p>
          <a:pPr algn="l" rtl="0">
            <a:lnSpc>
              <a:spcPts val="1100"/>
            </a:lnSpc>
            <a:defRPr sz="1000"/>
          </a:pPr>
          <a:endParaRPr lang="pt-BR" sz="1100" b="0" i="0" u="none" strike="noStrike" baseline="0">
            <a:solidFill>
              <a:srgbClr val="231F20"/>
            </a:solidFill>
            <a:latin typeface="Times New Roman"/>
            <a:cs typeface="Times New Roman"/>
          </a:endParaRPr>
        </a:p>
        <a:p>
          <a:pPr algn="l" rtl="0">
            <a:lnSpc>
              <a:spcPts val="1200"/>
            </a:lnSpc>
            <a:defRPr sz="1000"/>
          </a:pPr>
          <a:r>
            <a:rPr lang="pt-BR" sz="1100" b="0" i="0" u="none" strike="noStrike" baseline="0">
              <a:solidFill>
                <a:srgbClr val="231F20"/>
              </a:solidFill>
              <a:latin typeface="Calibri"/>
              <a:cs typeface="Calibri"/>
            </a:rPr>
            <a:t>5) Na aba "Fundamentação" será fundamentada a contagem a partir do link das telas, quando couber justificativa</a:t>
          </a:r>
          <a:endParaRPr lang="pt-BR" sz="1100" b="0" i="0" u="none" strike="noStrike" baseline="0">
            <a:solidFill>
              <a:srgbClr val="231F20"/>
            </a:solidFill>
            <a:latin typeface="Times New Roman"/>
            <a:cs typeface="Times New Roman"/>
          </a:endParaRPr>
        </a:p>
        <a:p>
          <a:pPr algn="l" rtl="0">
            <a:lnSpc>
              <a:spcPts val="1100"/>
            </a:lnSpc>
            <a:defRPr sz="1000"/>
          </a:pPr>
          <a:endParaRPr lang="pt-BR" sz="1100" b="0" i="0" u="none" strike="noStrike" baseline="0">
            <a:solidFill>
              <a:srgbClr val="231F20"/>
            </a:solidFill>
            <a:latin typeface="Times New Roman"/>
            <a:cs typeface="Times New Roman"/>
          </a:endParaRPr>
        </a:p>
        <a:p>
          <a:pPr algn="l" rtl="0">
            <a:lnSpc>
              <a:spcPts val="1200"/>
            </a:lnSpc>
            <a:defRPr sz="1000"/>
          </a:pPr>
          <a:r>
            <a:rPr lang="pt-BR" sz="1100" b="0" i="0" u="none" strike="noStrike" baseline="0">
              <a:solidFill>
                <a:srgbClr val="231F20"/>
              </a:solidFill>
              <a:latin typeface="Calibri"/>
              <a:cs typeface="Calibri"/>
            </a:rPr>
            <a:t>6) Na aba " Esforço" será preenchido da coluna "A" "Requisitos" os mesmos UC's relacionados na coluna "Requisito" da aba utilizada na contagem Ex: UC01</a:t>
          </a:r>
          <a:endParaRPr lang="pt-BR" sz="1100" b="0" i="0" u="none" strike="noStrike" baseline="0">
            <a:solidFill>
              <a:srgbClr val="231F20"/>
            </a:solidFill>
            <a:latin typeface="Times New Roman"/>
            <a:cs typeface="Times New Roman"/>
          </a:endParaRPr>
        </a:p>
        <a:p>
          <a:pPr algn="l" rtl="0">
            <a:lnSpc>
              <a:spcPts val="1100"/>
            </a:lnSpc>
            <a:defRPr sz="1000"/>
          </a:pPr>
          <a:endParaRPr lang="pt-BR" sz="1100" b="0" i="0" u="none" strike="noStrike" baseline="0">
            <a:solidFill>
              <a:srgbClr val="231F20"/>
            </a:solidFill>
            <a:latin typeface="Times New Roman"/>
            <a:cs typeface="Times New Roman"/>
          </a:endParaRPr>
        </a:p>
        <a:p>
          <a:pPr algn="l" rtl="0">
            <a:lnSpc>
              <a:spcPts val="1200"/>
            </a:lnSpc>
            <a:defRPr sz="1000"/>
          </a:pPr>
          <a:r>
            <a:rPr lang="pt-BR" sz="1100" b="0" i="0" u="none" strike="noStrike" baseline="0">
              <a:solidFill>
                <a:srgbClr val="231F20"/>
              </a:solidFill>
              <a:latin typeface="Calibri"/>
              <a:cs typeface="Calibri"/>
            </a:rPr>
            <a:t> </a:t>
          </a:r>
          <a:endParaRPr lang="pt-BR" sz="1100" b="0" i="0" u="none" strike="noStrike" baseline="0">
            <a:solidFill>
              <a:srgbClr val="231F20"/>
            </a:solidFill>
            <a:latin typeface="Times New Roman"/>
            <a:cs typeface="Times New Roman"/>
          </a:endParaRPr>
        </a:p>
        <a:p>
          <a:pPr algn="l" rtl="0">
            <a:lnSpc>
              <a:spcPts val="1100"/>
            </a:lnSpc>
            <a:defRPr sz="1000"/>
          </a:pPr>
          <a:endParaRPr lang="pt-BR" sz="1100" b="0" i="0" u="none" strike="noStrike" baseline="0">
            <a:solidFill>
              <a:srgbClr val="231F20"/>
            </a:solidFill>
            <a:latin typeface="Times New Roman"/>
            <a:cs typeface="Times New Roman"/>
          </a:endParaRPr>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101600</xdr:colOff>
      <xdr:row>0</xdr:row>
      <xdr:rowOff>82550</xdr:rowOff>
    </xdr:from>
    <xdr:to>
      <xdr:col>0</xdr:col>
      <xdr:colOff>1581150</xdr:colOff>
      <xdr:row>0</xdr:row>
      <xdr:rowOff>723900</xdr:rowOff>
    </xdr:to>
    <xdr:pic>
      <xdr:nvPicPr>
        <xdr:cNvPr id="2054" name="Imagem 1">
          <a:extLst>
            <a:ext uri="{FF2B5EF4-FFF2-40B4-BE49-F238E27FC236}">
              <a16:creationId xmlns:a16="http://schemas.microsoft.com/office/drawing/2014/main" id="{B41804F9-090D-449A-AB25-1AD9AA4F4C4D}"/>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01600" y="82550"/>
          <a:ext cx="1479550" cy="6413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0</xdr:col>
      <xdr:colOff>0</xdr:colOff>
      <xdr:row>0</xdr:row>
      <xdr:rowOff>0</xdr:rowOff>
    </xdr:from>
    <xdr:to>
      <xdr:col>5</xdr:col>
      <xdr:colOff>520700</xdr:colOff>
      <xdr:row>26</xdr:row>
      <xdr:rowOff>82550</xdr:rowOff>
    </xdr:to>
    <xdr:sp macro="" textlink="">
      <xdr:nvSpPr>
        <xdr:cNvPr id="2055" name="shapetype_202" hidden="1">
          <a:extLst>
            <a:ext uri="{FF2B5EF4-FFF2-40B4-BE49-F238E27FC236}">
              <a16:creationId xmlns:a16="http://schemas.microsoft.com/office/drawing/2014/main" id="{40A276CE-2FA3-4C02-897A-DDD6E89F65F5}"/>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5</xdr:col>
      <xdr:colOff>520700</xdr:colOff>
      <xdr:row>26</xdr:row>
      <xdr:rowOff>82550</xdr:rowOff>
    </xdr:to>
    <xdr:sp macro="" textlink="">
      <xdr:nvSpPr>
        <xdr:cNvPr id="2056" name="shapetype_202" hidden="1">
          <a:extLst>
            <a:ext uri="{FF2B5EF4-FFF2-40B4-BE49-F238E27FC236}">
              <a16:creationId xmlns:a16="http://schemas.microsoft.com/office/drawing/2014/main" id="{4AA2F879-14DF-4805-AE4B-F62B81CCCFCC}"/>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5</xdr:col>
      <xdr:colOff>520700</xdr:colOff>
      <xdr:row>26</xdr:row>
      <xdr:rowOff>82550</xdr:rowOff>
    </xdr:to>
    <xdr:sp macro="" textlink="">
      <xdr:nvSpPr>
        <xdr:cNvPr id="2057" name="shapetype_202" hidden="1">
          <a:extLst>
            <a:ext uri="{FF2B5EF4-FFF2-40B4-BE49-F238E27FC236}">
              <a16:creationId xmlns:a16="http://schemas.microsoft.com/office/drawing/2014/main" id="{443F5794-9A79-4EEC-9887-608BC913BF74}"/>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101600</xdr:colOff>
      <xdr:row>0</xdr:row>
      <xdr:rowOff>82550</xdr:rowOff>
    </xdr:from>
    <xdr:to>
      <xdr:col>1</xdr:col>
      <xdr:colOff>1206500</xdr:colOff>
      <xdr:row>0</xdr:row>
      <xdr:rowOff>723900</xdr:rowOff>
    </xdr:to>
    <xdr:pic>
      <xdr:nvPicPr>
        <xdr:cNvPr id="3076" name="Imagem 1">
          <a:extLst>
            <a:ext uri="{FF2B5EF4-FFF2-40B4-BE49-F238E27FC236}">
              <a16:creationId xmlns:a16="http://schemas.microsoft.com/office/drawing/2014/main" id="{69A0B2FC-B9D3-4102-A042-DE807492DBB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01600" y="82550"/>
          <a:ext cx="1492250" cy="6413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0</xdr:col>
      <xdr:colOff>0</xdr:colOff>
      <xdr:row>0</xdr:row>
      <xdr:rowOff>0</xdr:rowOff>
    </xdr:from>
    <xdr:to>
      <xdr:col>6</xdr:col>
      <xdr:colOff>673100</xdr:colOff>
      <xdr:row>30</xdr:row>
      <xdr:rowOff>44450</xdr:rowOff>
    </xdr:to>
    <xdr:sp macro="" textlink="">
      <xdr:nvSpPr>
        <xdr:cNvPr id="3077" name="shapetype_202" hidden="1">
          <a:extLst>
            <a:ext uri="{FF2B5EF4-FFF2-40B4-BE49-F238E27FC236}">
              <a16:creationId xmlns:a16="http://schemas.microsoft.com/office/drawing/2014/main" id="{0123E0FB-751A-4BB3-A4F2-FBDEC3E3A7F6}"/>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6</xdr:col>
      <xdr:colOff>673100</xdr:colOff>
      <xdr:row>30</xdr:row>
      <xdr:rowOff>44450</xdr:rowOff>
    </xdr:to>
    <xdr:sp macro="" textlink="">
      <xdr:nvSpPr>
        <xdr:cNvPr id="3078" name="shapetype_202" hidden="1">
          <a:extLst>
            <a:ext uri="{FF2B5EF4-FFF2-40B4-BE49-F238E27FC236}">
              <a16:creationId xmlns:a16="http://schemas.microsoft.com/office/drawing/2014/main" id="{96740E51-892C-4F7C-A8E8-449EBE35192F}"/>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82550</xdr:colOff>
      <xdr:row>0</xdr:row>
      <xdr:rowOff>57150</xdr:rowOff>
    </xdr:from>
    <xdr:to>
      <xdr:col>1</xdr:col>
      <xdr:colOff>1187450</xdr:colOff>
      <xdr:row>0</xdr:row>
      <xdr:rowOff>692150</xdr:rowOff>
    </xdr:to>
    <xdr:pic>
      <xdr:nvPicPr>
        <xdr:cNvPr id="4100" name="Imagem 1">
          <a:extLst>
            <a:ext uri="{FF2B5EF4-FFF2-40B4-BE49-F238E27FC236}">
              <a16:creationId xmlns:a16="http://schemas.microsoft.com/office/drawing/2014/main" id="{0BD867C1-DCBB-4F14-9B5A-D158DF1AF6FD}"/>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2550" y="57150"/>
          <a:ext cx="1479550" cy="635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0</xdr:col>
      <xdr:colOff>0</xdr:colOff>
      <xdr:row>0</xdr:row>
      <xdr:rowOff>0</xdr:rowOff>
    </xdr:from>
    <xdr:to>
      <xdr:col>6</xdr:col>
      <xdr:colOff>209550</xdr:colOff>
      <xdr:row>30</xdr:row>
      <xdr:rowOff>146050</xdr:rowOff>
    </xdr:to>
    <xdr:sp macro="" textlink="">
      <xdr:nvSpPr>
        <xdr:cNvPr id="4101" name="shapetype_202" hidden="1">
          <a:extLst>
            <a:ext uri="{FF2B5EF4-FFF2-40B4-BE49-F238E27FC236}">
              <a16:creationId xmlns:a16="http://schemas.microsoft.com/office/drawing/2014/main" id="{1CCBC693-2952-4CAF-A3BA-00EF17AD2D91}"/>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6</xdr:col>
      <xdr:colOff>209550</xdr:colOff>
      <xdr:row>30</xdr:row>
      <xdr:rowOff>146050</xdr:rowOff>
    </xdr:to>
    <xdr:sp macro="" textlink="">
      <xdr:nvSpPr>
        <xdr:cNvPr id="4102" name="shapetype_202" hidden="1">
          <a:extLst>
            <a:ext uri="{FF2B5EF4-FFF2-40B4-BE49-F238E27FC236}">
              <a16:creationId xmlns:a16="http://schemas.microsoft.com/office/drawing/2014/main" id="{8CD33DA7-6D8D-43A7-8CAA-72F6DD3716FE}"/>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114300</xdr:colOff>
      <xdr:row>0</xdr:row>
      <xdr:rowOff>57150</xdr:rowOff>
    </xdr:from>
    <xdr:to>
      <xdr:col>1</xdr:col>
      <xdr:colOff>1219200</xdr:colOff>
      <xdr:row>0</xdr:row>
      <xdr:rowOff>692150</xdr:rowOff>
    </xdr:to>
    <xdr:pic>
      <xdr:nvPicPr>
        <xdr:cNvPr id="5122" name="Imagem 1">
          <a:extLst>
            <a:ext uri="{FF2B5EF4-FFF2-40B4-BE49-F238E27FC236}">
              <a16:creationId xmlns:a16="http://schemas.microsoft.com/office/drawing/2014/main" id="{428C47C9-368E-46FF-936D-E75777C6034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14300" y="57150"/>
          <a:ext cx="1492250" cy="635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6.xml><?xml version="1.0" encoding="utf-8"?>
<xdr:wsDr xmlns:xdr="http://schemas.openxmlformats.org/drawingml/2006/spreadsheetDrawing" xmlns:a="http://schemas.openxmlformats.org/drawingml/2006/main">
  <xdr:twoCellAnchor>
    <xdr:from>
      <xdr:col>0</xdr:col>
      <xdr:colOff>0</xdr:colOff>
      <xdr:row>0</xdr:row>
      <xdr:rowOff>0</xdr:rowOff>
    </xdr:from>
    <xdr:to>
      <xdr:col>7</xdr:col>
      <xdr:colOff>1257300</xdr:colOff>
      <xdr:row>29</xdr:row>
      <xdr:rowOff>101600</xdr:rowOff>
    </xdr:to>
    <xdr:sp macro="" textlink="">
      <xdr:nvSpPr>
        <xdr:cNvPr id="6148" name="shapetype_202" hidden="1">
          <a:extLst>
            <a:ext uri="{FF2B5EF4-FFF2-40B4-BE49-F238E27FC236}">
              <a16:creationId xmlns:a16="http://schemas.microsoft.com/office/drawing/2014/main" id="{D79A8B92-DEEE-470A-B581-824D3099B983}"/>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7</xdr:col>
      <xdr:colOff>1257300</xdr:colOff>
      <xdr:row>29</xdr:row>
      <xdr:rowOff>101600</xdr:rowOff>
    </xdr:to>
    <xdr:sp macro="" textlink="">
      <xdr:nvSpPr>
        <xdr:cNvPr id="6149" name="shapetype_202" hidden="1">
          <a:extLst>
            <a:ext uri="{FF2B5EF4-FFF2-40B4-BE49-F238E27FC236}">
              <a16:creationId xmlns:a16="http://schemas.microsoft.com/office/drawing/2014/main" id="{2D89A663-0A35-475E-815D-1B3656A598E9}"/>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82550</xdr:colOff>
      <xdr:row>0</xdr:row>
      <xdr:rowOff>57150</xdr:rowOff>
    </xdr:from>
    <xdr:to>
      <xdr:col>1</xdr:col>
      <xdr:colOff>1187450</xdr:colOff>
      <xdr:row>0</xdr:row>
      <xdr:rowOff>692150</xdr:rowOff>
    </xdr:to>
    <xdr:pic>
      <xdr:nvPicPr>
        <xdr:cNvPr id="7172" name="Imagem 1">
          <a:extLst>
            <a:ext uri="{FF2B5EF4-FFF2-40B4-BE49-F238E27FC236}">
              <a16:creationId xmlns:a16="http://schemas.microsoft.com/office/drawing/2014/main" id="{1E046C95-3328-4684-BE0C-A78F2F5C134D}"/>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2550" y="57150"/>
          <a:ext cx="1479550" cy="635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0</xdr:col>
      <xdr:colOff>0</xdr:colOff>
      <xdr:row>0</xdr:row>
      <xdr:rowOff>0</xdr:rowOff>
    </xdr:from>
    <xdr:to>
      <xdr:col>5</xdr:col>
      <xdr:colOff>1543050</xdr:colOff>
      <xdr:row>31</xdr:row>
      <xdr:rowOff>44450</xdr:rowOff>
    </xdr:to>
    <xdr:sp macro="" textlink="">
      <xdr:nvSpPr>
        <xdr:cNvPr id="7173" name="shapetype_202" hidden="1">
          <a:extLst>
            <a:ext uri="{FF2B5EF4-FFF2-40B4-BE49-F238E27FC236}">
              <a16:creationId xmlns:a16="http://schemas.microsoft.com/office/drawing/2014/main" id="{91E90EF5-6019-47DF-AFB4-1220EB19EF9A}"/>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5</xdr:col>
      <xdr:colOff>1543050</xdr:colOff>
      <xdr:row>31</xdr:row>
      <xdr:rowOff>44450</xdr:rowOff>
    </xdr:to>
    <xdr:sp macro="" textlink="">
      <xdr:nvSpPr>
        <xdr:cNvPr id="7174" name="shapetype_202" hidden="1">
          <a:extLst>
            <a:ext uri="{FF2B5EF4-FFF2-40B4-BE49-F238E27FC236}">
              <a16:creationId xmlns:a16="http://schemas.microsoft.com/office/drawing/2014/main" id="{1160A842-AA06-407F-ABC5-D1A1D2077F5C}"/>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wsDr>
</file>

<file path=xl/drawings/drawing8.xml><?xml version="1.0" encoding="utf-8"?>
<xdr:wsDr xmlns:xdr="http://schemas.openxmlformats.org/drawingml/2006/spreadsheetDrawing" xmlns:a="http://schemas.openxmlformats.org/drawingml/2006/main">
  <xdr:twoCellAnchor editAs="oneCell">
    <xdr:from>
      <xdr:col>0</xdr:col>
      <xdr:colOff>101600</xdr:colOff>
      <xdr:row>0</xdr:row>
      <xdr:rowOff>82550</xdr:rowOff>
    </xdr:from>
    <xdr:to>
      <xdr:col>2</xdr:col>
      <xdr:colOff>571500</xdr:colOff>
      <xdr:row>0</xdr:row>
      <xdr:rowOff>723900</xdr:rowOff>
    </xdr:to>
    <xdr:pic>
      <xdr:nvPicPr>
        <xdr:cNvPr id="8196" name="Imagem 1">
          <a:extLst>
            <a:ext uri="{FF2B5EF4-FFF2-40B4-BE49-F238E27FC236}">
              <a16:creationId xmlns:a16="http://schemas.microsoft.com/office/drawing/2014/main" id="{2332255D-930A-4C3E-8B1C-E1C16DEE014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01600" y="82550"/>
          <a:ext cx="1524000" cy="6413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0</xdr:col>
      <xdr:colOff>0</xdr:colOff>
      <xdr:row>0</xdr:row>
      <xdr:rowOff>0</xdr:rowOff>
    </xdr:from>
    <xdr:to>
      <xdr:col>6</xdr:col>
      <xdr:colOff>533400</xdr:colOff>
      <xdr:row>30</xdr:row>
      <xdr:rowOff>44450</xdr:rowOff>
    </xdr:to>
    <xdr:sp macro="" textlink="">
      <xdr:nvSpPr>
        <xdr:cNvPr id="8197" name="shapetype_202" hidden="1">
          <a:extLst>
            <a:ext uri="{FF2B5EF4-FFF2-40B4-BE49-F238E27FC236}">
              <a16:creationId xmlns:a16="http://schemas.microsoft.com/office/drawing/2014/main" id="{1D5BDCC0-3CAE-4E63-9C5C-CB61CDADA5CB}"/>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6</xdr:col>
      <xdr:colOff>533400</xdr:colOff>
      <xdr:row>30</xdr:row>
      <xdr:rowOff>44450</xdr:rowOff>
    </xdr:to>
    <xdr:sp macro="" textlink="">
      <xdr:nvSpPr>
        <xdr:cNvPr id="8198" name="shapetype_202" hidden="1">
          <a:extLst>
            <a:ext uri="{FF2B5EF4-FFF2-40B4-BE49-F238E27FC236}">
              <a16:creationId xmlns:a16="http://schemas.microsoft.com/office/drawing/2014/main" id="{D9E540CA-89ED-462C-A55F-C7E123AC2D7D}"/>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wsDr>
</file>

<file path=xl/drawings/drawing9.xml><?xml version="1.0" encoding="utf-8"?>
<xdr:wsDr xmlns:xdr="http://schemas.openxmlformats.org/drawingml/2006/spreadsheetDrawing" xmlns:a="http://schemas.openxmlformats.org/drawingml/2006/main">
  <xdr:twoCellAnchor editAs="oneCell">
    <xdr:from>
      <xdr:col>1</xdr:col>
      <xdr:colOff>273050</xdr:colOff>
      <xdr:row>18</xdr:row>
      <xdr:rowOff>139700</xdr:rowOff>
    </xdr:from>
    <xdr:to>
      <xdr:col>14</xdr:col>
      <xdr:colOff>184150</xdr:colOff>
      <xdr:row>42</xdr:row>
      <xdr:rowOff>107950</xdr:rowOff>
    </xdr:to>
    <xdr:graphicFrame macro="">
      <xdr:nvGraphicFramePr>
        <xdr:cNvPr id="10241" name="Gráfico 1">
          <a:extLst>
            <a:ext uri="{FF2B5EF4-FFF2-40B4-BE49-F238E27FC236}">
              <a16:creationId xmlns:a16="http://schemas.microsoft.com/office/drawing/2014/main" id="{E99E3B18-600D-4FF6-8C45-26291703D23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101600</xdr:colOff>
      <xdr:row>0</xdr:row>
      <xdr:rowOff>38100</xdr:rowOff>
    </xdr:from>
    <xdr:to>
      <xdr:col>2</xdr:col>
      <xdr:colOff>666750</xdr:colOff>
      <xdr:row>0</xdr:row>
      <xdr:rowOff>673100</xdr:rowOff>
    </xdr:to>
    <xdr:pic>
      <xdr:nvPicPr>
        <xdr:cNvPr id="10242" name="Imagem 1">
          <a:extLst>
            <a:ext uri="{FF2B5EF4-FFF2-40B4-BE49-F238E27FC236}">
              <a16:creationId xmlns:a16="http://schemas.microsoft.com/office/drawing/2014/main" id="{1C1CDB1B-036D-48B4-BFDD-6B63C0937A7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01600" y="38100"/>
          <a:ext cx="1466850" cy="635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0</xdr:col>
      <xdr:colOff>101600</xdr:colOff>
      <xdr:row>0</xdr:row>
      <xdr:rowOff>82550</xdr:rowOff>
    </xdr:from>
    <xdr:to>
      <xdr:col>1</xdr:col>
      <xdr:colOff>38100</xdr:colOff>
      <xdr:row>0</xdr:row>
      <xdr:rowOff>723900</xdr:rowOff>
    </xdr:to>
    <xdr:pic>
      <xdr:nvPicPr>
        <xdr:cNvPr id="11265" name="Imagem 1">
          <a:extLst>
            <a:ext uri="{FF2B5EF4-FFF2-40B4-BE49-F238E27FC236}">
              <a16:creationId xmlns:a16="http://schemas.microsoft.com/office/drawing/2014/main" id="{7AC01DB5-37AD-48C4-AD61-ACF9CF133BAD}"/>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01600" y="82550"/>
          <a:ext cx="1549400" cy="6413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11.xml><?xml version="1.0" encoding="utf-8"?>
<xdr:wsDr xmlns:xdr="http://schemas.openxmlformats.org/drawingml/2006/spreadsheetDrawing" xmlns:a="http://schemas.openxmlformats.org/drawingml/2006/main">
  <xdr:twoCellAnchor>
    <xdr:from>
      <xdr:col>0</xdr:col>
      <xdr:colOff>0</xdr:colOff>
      <xdr:row>0</xdr:row>
      <xdr:rowOff>0</xdr:rowOff>
    </xdr:from>
    <xdr:to>
      <xdr:col>12</xdr:col>
      <xdr:colOff>419100</xdr:colOff>
      <xdr:row>37</xdr:row>
      <xdr:rowOff>152400</xdr:rowOff>
    </xdr:to>
    <xdr:sp macro="" textlink="">
      <xdr:nvSpPr>
        <xdr:cNvPr id="12358" name="shapetype_202" hidden="1">
          <a:extLst>
            <a:ext uri="{FF2B5EF4-FFF2-40B4-BE49-F238E27FC236}">
              <a16:creationId xmlns:a16="http://schemas.microsoft.com/office/drawing/2014/main" id="{A721CA4B-0AC7-468E-8FC3-4A971EB1FD2E}"/>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12</xdr:col>
      <xdr:colOff>419100</xdr:colOff>
      <xdr:row>37</xdr:row>
      <xdr:rowOff>152400</xdr:rowOff>
    </xdr:to>
    <xdr:sp macro="" textlink="">
      <xdr:nvSpPr>
        <xdr:cNvPr id="12359" name="shapetype_202" hidden="1">
          <a:extLst>
            <a:ext uri="{FF2B5EF4-FFF2-40B4-BE49-F238E27FC236}">
              <a16:creationId xmlns:a16="http://schemas.microsoft.com/office/drawing/2014/main" id="{E1365527-7D77-4ADC-A70C-51A5B67F9469}"/>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12</xdr:col>
      <xdr:colOff>419100</xdr:colOff>
      <xdr:row>37</xdr:row>
      <xdr:rowOff>152400</xdr:rowOff>
    </xdr:to>
    <xdr:sp macro="" textlink="">
      <xdr:nvSpPr>
        <xdr:cNvPr id="12360" name="shapetype_202" hidden="1">
          <a:extLst>
            <a:ext uri="{FF2B5EF4-FFF2-40B4-BE49-F238E27FC236}">
              <a16:creationId xmlns:a16="http://schemas.microsoft.com/office/drawing/2014/main" id="{7077224F-837E-419E-9AD1-6CE79EE8CF1C}"/>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12</xdr:col>
      <xdr:colOff>419100</xdr:colOff>
      <xdr:row>37</xdr:row>
      <xdr:rowOff>152400</xdr:rowOff>
    </xdr:to>
    <xdr:sp macro="" textlink="">
      <xdr:nvSpPr>
        <xdr:cNvPr id="12361" name="shapetype_202" hidden="1">
          <a:extLst>
            <a:ext uri="{FF2B5EF4-FFF2-40B4-BE49-F238E27FC236}">
              <a16:creationId xmlns:a16="http://schemas.microsoft.com/office/drawing/2014/main" id="{298C7F67-A964-43D0-8045-27617727312D}"/>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12</xdr:col>
      <xdr:colOff>419100</xdr:colOff>
      <xdr:row>37</xdr:row>
      <xdr:rowOff>152400</xdr:rowOff>
    </xdr:to>
    <xdr:sp macro="" textlink="">
      <xdr:nvSpPr>
        <xdr:cNvPr id="12362" name="shapetype_202" hidden="1">
          <a:extLst>
            <a:ext uri="{FF2B5EF4-FFF2-40B4-BE49-F238E27FC236}">
              <a16:creationId xmlns:a16="http://schemas.microsoft.com/office/drawing/2014/main" id="{3BC67CC0-BE3A-4846-BF02-265CA2D57EC5}"/>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12</xdr:col>
      <xdr:colOff>419100</xdr:colOff>
      <xdr:row>37</xdr:row>
      <xdr:rowOff>152400</xdr:rowOff>
    </xdr:to>
    <xdr:sp macro="" textlink="">
      <xdr:nvSpPr>
        <xdr:cNvPr id="12363" name="shapetype_202" hidden="1">
          <a:extLst>
            <a:ext uri="{FF2B5EF4-FFF2-40B4-BE49-F238E27FC236}">
              <a16:creationId xmlns:a16="http://schemas.microsoft.com/office/drawing/2014/main" id="{77DECCCC-DAC8-45A6-8088-B55BEE557BC4}"/>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12</xdr:col>
      <xdr:colOff>419100</xdr:colOff>
      <xdr:row>37</xdr:row>
      <xdr:rowOff>152400</xdr:rowOff>
    </xdr:to>
    <xdr:sp macro="" textlink="">
      <xdr:nvSpPr>
        <xdr:cNvPr id="12364" name="shapetype_202" hidden="1">
          <a:extLst>
            <a:ext uri="{FF2B5EF4-FFF2-40B4-BE49-F238E27FC236}">
              <a16:creationId xmlns:a16="http://schemas.microsoft.com/office/drawing/2014/main" id="{A94C11AE-9481-4FC5-AE98-C576E1E2C1C3}"/>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12</xdr:col>
      <xdr:colOff>419100</xdr:colOff>
      <xdr:row>37</xdr:row>
      <xdr:rowOff>152400</xdr:rowOff>
    </xdr:to>
    <xdr:sp macro="" textlink="">
      <xdr:nvSpPr>
        <xdr:cNvPr id="12365" name="shapetype_202" hidden="1">
          <a:extLst>
            <a:ext uri="{FF2B5EF4-FFF2-40B4-BE49-F238E27FC236}">
              <a16:creationId xmlns:a16="http://schemas.microsoft.com/office/drawing/2014/main" id="{DCB6C6A4-7A75-494F-B8B2-CADA753ACA98}"/>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12</xdr:col>
      <xdr:colOff>419100</xdr:colOff>
      <xdr:row>37</xdr:row>
      <xdr:rowOff>152400</xdr:rowOff>
    </xdr:to>
    <xdr:sp macro="" textlink="">
      <xdr:nvSpPr>
        <xdr:cNvPr id="12366" name="shapetype_202" hidden="1">
          <a:extLst>
            <a:ext uri="{FF2B5EF4-FFF2-40B4-BE49-F238E27FC236}">
              <a16:creationId xmlns:a16="http://schemas.microsoft.com/office/drawing/2014/main" id="{5C016331-A4A8-4007-9208-E9127ED95AC7}"/>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12</xdr:col>
      <xdr:colOff>419100</xdr:colOff>
      <xdr:row>37</xdr:row>
      <xdr:rowOff>152400</xdr:rowOff>
    </xdr:to>
    <xdr:sp macro="" textlink="">
      <xdr:nvSpPr>
        <xdr:cNvPr id="12367" name="shapetype_202" hidden="1">
          <a:extLst>
            <a:ext uri="{FF2B5EF4-FFF2-40B4-BE49-F238E27FC236}">
              <a16:creationId xmlns:a16="http://schemas.microsoft.com/office/drawing/2014/main" id="{0394DDC9-C941-449A-BE68-04A65DBB16A1}"/>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12</xdr:col>
      <xdr:colOff>419100</xdr:colOff>
      <xdr:row>37</xdr:row>
      <xdr:rowOff>152400</xdr:rowOff>
    </xdr:to>
    <xdr:sp macro="" textlink="">
      <xdr:nvSpPr>
        <xdr:cNvPr id="12368" name="shapetype_202" hidden="1">
          <a:extLst>
            <a:ext uri="{FF2B5EF4-FFF2-40B4-BE49-F238E27FC236}">
              <a16:creationId xmlns:a16="http://schemas.microsoft.com/office/drawing/2014/main" id="{A009FA23-E7B2-4454-9B95-B54861DC70EC}"/>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12</xdr:col>
      <xdr:colOff>419100</xdr:colOff>
      <xdr:row>37</xdr:row>
      <xdr:rowOff>152400</xdr:rowOff>
    </xdr:to>
    <xdr:sp macro="" textlink="">
      <xdr:nvSpPr>
        <xdr:cNvPr id="12369" name="shapetype_202" hidden="1">
          <a:extLst>
            <a:ext uri="{FF2B5EF4-FFF2-40B4-BE49-F238E27FC236}">
              <a16:creationId xmlns:a16="http://schemas.microsoft.com/office/drawing/2014/main" id="{55F0B43F-5DE0-4CCB-AA8B-EF9881E6E41D}"/>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12</xdr:col>
      <xdr:colOff>419100</xdr:colOff>
      <xdr:row>37</xdr:row>
      <xdr:rowOff>152400</xdr:rowOff>
    </xdr:to>
    <xdr:sp macro="" textlink="">
      <xdr:nvSpPr>
        <xdr:cNvPr id="12370" name="shapetype_202" hidden="1">
          <a:extLst>
            <a:ext uri="{FF2B5EF4-FFF2-40B4-BE49-F238E27FC236}">
              <a16:creationId xmlns:a16="http://schemas.microsoft.com/office/drawing/2014/main" id="{D46A0137-C93E-40D7-9B8B-CA5046A9036F}"/>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12</xdr:col>
      <xdr:colOff>419100</xdr:colOff>
      <xdr:row>37</xdr:row>
      <xdr:rowOff>152400</xdr:rowOff>
    </xdr:to>
    <xdr:sp macro="" textlink="">
      <xdr:nvSpPr>
        <xdr:cNvPr id="12371" name="shapetype_202" hidden="1">
          <a:extLst>
            <a:ext uri="{FF2B5EF4-FFF2-40B4-BE49-F238E27FC236}">
              <a16:creationId xmlns:a16="http://schemas.microsoft.com/office/drawing/2014/main" id="{7D236B57-792D-4A7C-A4CB-FE6BC1B4E4C9}"/>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12</xdr:col>
      <xdr:colOff>419100</xdr:colOff>
      <xdr:row>37</xdr:row>
      <xdr:rowOff>152400</xdr:rowOff>
    </xdr:to>
    <xdr:sp macro="" textlink="">
      <xdr:nvSpPr>
        <xdr:cNvPr id="12372" name="shapetype_202" hidden="1">
          <a:extLst>
            <a:ext uri="{FF2B5EF4-FFF2-40B4-BE49-F238E27FC236}">
              <a16:creationId xmlns:a16="http://schemas.microsoft.com/office/drawing/2014/main" id="{8D358C52-5C4C-4AF7-9C9F-8C0CFD15F8B1}"/>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12</xdr:col>
      <xdr:colOff>419100</xdr:colOff>
      <xdr:row>37</xdr:row>
      <xdr:rowOff>152400</xdr:rowOff>
    </xdr:to>
    <xdr:sp macro="" textlink="">
      <xdr:nvSpPr>
        <xdr:cNvPr id="12373" name="shapetype_202" hidden="1">
          <a:extLst>
            <a:ext uri="{FF2B5EF4-FFF2-40B4-BE49-F238E27FC236}">
              <a16:creationId xmlns:a16="http://schemas.microsoft.com/office/drawing/2014/main" id="{7F534EC9-8C3D-40DA-809E-3A75D43A4A41}"/>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12</xdr:col>
      <xdr:colOff>419100</xdr:colOff>
      <xdr:row>37</xdr:row>
      <xdr:rowOff>152400</xdr:rowOff>
    </xdr:to>
    <xdr:sp macro="" textlink="">
      <xdr:nvSpPr>
        <xdr:cNvPr id="12374" name="shapetype_202" hidden="1">
          <a:extLst>
            <a:ext uri="{FF2B5EF4-FFF2-40B4-BE49-F238E27FC236}">
              <a16:creationId xmlns:a16="http://schemas.microsoft.com/office/drawing/2014/main" id="{BB7C07F7-A509-4F79-90E9-3708CFEE55ED}"/>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12</xdr:col>
      <xdr:colOff>419100</xdr:colOff>
      <xdr:row>37</xdr:row>
      <xdr:rowOff>152400</xdr:rowOff>
    </xdr:to>
    <xdr:sp macro="" textlink="">
      <xdr:nvSpPr>
        <xdr:cNvPr id="12375" name="shapetype_202" hidden="1">
          <a:extLst>
            <a:ext uri="{FF2B5EF4-FFF2-40B4-BE49-F238E27FC236}">
              <a16:creationId xmlns:a16="http://schemas.microsoft.com/office/drawing/2014/main" id="{73F8EFC4-7A07-40E2-AC37-8577D576F3AD}"/>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12</xdr:col>
      <xdr:colOff>419100</xdr:colOff>
      <xdr:row>37</xdr:row>
      <xdr:rowOff>152400</xdr:rowOff>
    </xdr:to>
    <xdr:sp macro="" textlink="">
      <xdr:nvSpPr>
        <xdr:cNvPr id="12376" name="shapetype_202" hidden="1">
          <a:extLst>
            <a:ext uri="{FF2B5EF4-FFF2-40B4-BE49-F238E27FC236}">
              <a16:creationId xmlns:a16="http://schemas.microsoft.com/office/drawing/2014/main" id="{ED20D193-7F8A-48B8-BF2F-1AF90D92E094}"/>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12</xdr:col>
      <xdr:colOff>419100</xdr:colOff>
      <xdr:row>37</xdr:row>
      <xdr:rowOff>152400</xdr:rowOff>
    </xdr:to>
    <xdr:sp macro="" textlink="">
      <xdr:nvSpPr>
        <xdr:cNvPr id="12377" name="shapetype_202" hidden="1">
          <a:extLst>
            <a:ext uri="{FF2B5EF4-FFF2-40B4-BE49-F238E27FC236}">
              <a16:creationId xmlns:a16="http://schemas.microsoft.com/office/drawing/2014/main" id="{A80B3321-9589-4DDF-B61E-54E70DF5C9D7}"/>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12</xdr:col>
      <xdr:colOff>419100</xdr:colOff>
      <xdr:row>37</xdr:row>
      <xdr:rowOff>152400</xdr:rowOff>
    </xdr:to>
    <xdr:sp macro="" textlink="">
      <xdr:nvSpPr>
        <xdr:cNvPr id="12378" name="shapetype_202" hidden="1">
          <a:extLst>
            <a:ext uri="{FF2B5EF4-FFF2-40B4-BE49-F238E27FC236}">
              <a16:creationId xmlns:a16="http://schemas.microsoft.com/office/drawing/2014/main" id="{3BC28AE7-1F7B-4D7A-BFD3-D4BBD7319169}"/>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12</xdr:col>
      <xdr:colOff>419100</xdr:colOff>
      <xdr:row>37</xdr:row>
      <xdr:rowOff>152400</xdr:rowOff>
    </xdr:to>
    <xdr:sp macro="" textlink="">
      <xdr:nvSpPr>
        <xdr:cNvPr id="12379" name="shapetype_202" hidden="1">
          <a:extLst>
            <a:ext uri="{FF2B5EF4-FFF2-40B4-BE49-F238E27FC236}">
              <a16:creationId xmlns:a16="http://schemas.microsoft.com/office/drawing/2014/main" id="{A7002DEE-6DB4-4597-8B2F-0CB3CF018A7C}"/>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12</xdr:col>
      <xdr:colOff>419100</xdr:colOff>
      <xdr:row>37</xdr:row>
      <xdr:rowOff>152400</xdr:rowOff>
    </xdr:to>
    <xdr:sp macro="" textlink="">
      <xdr:nvSpPr>
        <xdr:cNvPr id="12380" name="shapetype_202" hidden="1">
          <a:extLst>
            <a:ext uri="{FF2B5EF4-FFF2-40B4-BE49-F238E27FC236}">
              <a16:creationId xmlns:a16="http://schemas.microsoft.com/office/drawing/2014/main" id="{505F63C3-0F4C-4D9E-9238-647EC0E21F9A}"/>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12</xdr:col>
      <xdr:colOff>419100</xdr:colOff>
      <xdr:row>37</xdr:row>
      <xdr:rowOff>152400</xdr:rowOff>
    </xdr:to>
    <xdr:sp macro="" textlink="">
      <xdr:nvSpPr>
        <xdr:cNvPr id="12381" name="shapetype_202" hidden="1">
          <a:extLst>
            <a:ext uri="{FF2B5EF4-FFF2-40B4-BE49-F238E27FC236}">
              <a16:creationId xmlns:a16="http://schemas.microsoft.com/office/drawing/2014/main" id="{0A3ABBFD-46CF-4055-BF01-3C7D3463BD70}"/>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12</xdr:col>
      <xdr:colOff>419100</xdr:colOff>
      <xdr:row>37</xdr:row>
      <xdr:rowOff>152400</xdr:rowOff>
    </xdr:to>
    <xdr:sp macro="" textlink="">
      <xdr:nvSpPr>
        <xdr:cNvPr id="12382" name="shapetype_202" hidden="1">
          <a:extLst>
            <a:ext uri="{FF2B5EF4-FFF2-40B4-BE49-F238E27FC236}">
              <a16:creationId xmlns:a16="http://schemas.microsoft.com/office/drawing/2014/main" id="{95173672-4149-4608-BE55-F211B88B74EC}"/>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12</xdr:col>
      <xdr:colOff>419100</xdr:colOff>
      <xdr:row>37</xdr:row>
      <xdr:rowOff>152400</xdr:rowOff>
    </xdr:to>
    <xdr:sp macro="" textlink="">
      <xdr:nvSpPr>
        <xdr:cNvPr id="12383" name="shapetype_202" hidden="1">
          <a:extLst>
            <a:ext uri="{FF2B5EF4-FFF2-40B4-BE49-F238E27FC236}">
              <a16:creationId xmlns:a16="http://schemas.microsoft.com/office/drawing/2014/main" id="{F01C0DA5-B858-4FA7-958F-73FC581976F4}"/>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12</xdr:col>
      <xdr:colOff>419100</xdr:colOff>
      <xdr:row>37</xdr:row>
      <xdr:rowOff>152400</xdr:rowOff>
    </xdr:to>
    <xdr:sp macro="" textlink="">
      <xdr:nvSpPr>
        <xdr:cNvPr id="12384" name="shapetype_202" hidden="1">
          <a:extLst>
            <a:ext uri="{FF2B5EF4-FFF2-40B4-BE49-F238E27FC236}">
              <a16:creationId xmlns:a16="http://schemas.microsoft.com/office/drawing/2014/main" id="{E049AE89-F39D-4E51-8F51-D2FBC808CEF0}"/>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12</xdr:col>
      <xdr:colOff>419100</xdr:colOff>
      <xdr:row>37</xdr:row>
      <xdr:rowOff>152400</xdr:rowOff>
    </xdr:to>
    <xdr:sp macro="" textlink="">
      <xdr:nvSpPr>
        <xdr:cNvPr id="12385" name="shapetype_202" hidden="1">
          <a:extLst>
            <a:ext uri="{FF2B5EF4-FFF2-40B4-BE49-F238E27FC236}">
              <a16:creationId xmlns:a16="http://schemas.microsoft.com/office/drawing/2014/main" id="{B9D4BA18-1AF1-463F-9461-6C6DF29F8A62}"/>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12</xdr:col>
      <xdr:colOff>419100</xdr:colOff>
      <xdr:row>37</xdr:row>
      <xdr:rowOff>152400</xdr:rowOff>
    </xdr:to>
    <xdr:sp macro="" textlink="">
      <xdr:nvSpPr>
        <xdr:cNvPr id="12386" name="shapetype_202" hidden="1">
          <a:extLst>
            <a:ext uri="{FF2B5EF4-FFF2-40B4-BE49-F238E27FC236}">
              <a16:creationId xmlns:a16="http://schemas.microsoft.com/office/drawing/2014/main" id="{26EB89B6-4091-44A0-8850-B1AB8D7CF647}"/>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12</xdr:col>
      <xdr:colOff>419100</xdr:colOff>
      <xdr:row>37</xdr:row>
      <xdr:rowOff>152400</xdr:rowOff>
    </xdr:to>
    <xdr:sp macro="" textlink="">
      <xdr:nvSpPr>
        <xdr:cNvPr id="12387" name="shapetype_202" hidden="1">
          <a:extLst>
            <a:ext uri="{FF2B5EF4-FFF2-40B4-BE49-F238E27FC236}">
              <a16:creationId xmlns:a16="http://schemas.microsoft.com/office/drawing/2014/main" id="{83D604BD-EF46-4AE0-8F0C-06DD94FC1D47}"/>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12</xdr:col>
      <xdr:colOff>419100</xdr:colOff>
      <xdr:row>37</xdr:row>
      <xdr:rowOff>152400</xdr:rowOff>
    </xdr:to>
    <xdr:sp macro="" textlink="">
      <xdr:nvSpPr>
        <xdr:cNvPr id="12388" name="shapetype_202" hidden="1">
          <a:extLst>
            <a:ext uri="{FF2B5EF4-FFF2-40B4-BE49-F238E27FC236}">
              <a16:creationId xmlns:a16="http://schemas.microsoft.com/office/drawing/2014/main" id="{FE99C015-497A-4333-B5EB-ABB8311212CC}"/>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12</xdr:col>
      <xdr:colOff>419100</xdr:colOff>
      <xdr:row>37</xdr:row>
      <xdr:rowOff>152400</xdr:rowOff>
    </xdr:to>
    <xdr:sp macro="" textlink="">
      <xdr:nvSpPr>
        <xdr:cNvPr id="12389" name="shapetype_202" hidden="1">
          <a:extLst>
            <a:ext uri="{FF2B5EF4-FFF2-40B4-BE49-F238E27FC236}">
              <a16:creationId xmlns:a16="http://schemas.microsoft.com/office/drawing/2014/main" id="{B385427B-A1D6-4C7C-9EA7-5514945B7F5D}"/>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12</xdr:col>
      <xdr:colOff>419100</xdr:colOff>
      <xdr:row>37</xdr:row>
      <xdr:rowOff>152400</xdr:rowOff>
    </xdr:to>
    <xdr:sp macro="" textlink="">
      <xdr:nvSpPr>
        <xdr:cNvPr id="12390" name="shapetype_202" hidden="1">
          <a:extLst>
            <a:ext uri="{FF2B5EF4-FFF2-40B4-BE49-F238E27FC236}">
              <a16:creationId xmlns:a16="http://schemas.microsoft.com/office/drawing/2014/main" id="{3805230B-2F4F-481C-B4F2-1BF3D5454117}"/>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12</xdr:col>
      <xdr:colOff>419100</xdr:colOff>
      <xdr:row>37</xdr:row>
      <xdr:rowOff>152400</xdr:rowOff>
    </xdr:to>
    <xdr:sp macro="" textlink="">
      <xdr:nvSpPr>
        <xdr:cNvPr id="12391" name="shapetype_202" hidden="1">
          <a:extLst>
            <a:ext uri="{FF2B5EF4-FFF2-40B4-BE49-F238E27FC236}">
              <a16:creationId xmlns:a16="http://schemas.microsoft.com/office/drawing/2014/main" id="{D32E4181-26FF-49D3-A5CF-D5CA4F532DCD}"/>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12</xdr:col>
      <xdr:colOff>419100</xdr:colOff>
      <xdr:row>37</xdr:row>
      <xdr:rowOff>152400</xdr:rowOff>
    </xdr:to>
    <xdr:sp macro="" textlink="">
      <xdr:nvSpPr>
        <xdr:cNvPr id="12392" name="shapetype_202" hidden="1">
          <a:extLst>
            <a:ext uri="{FF2B5EF4-FFF2-40B4-BE49-F238E27FC236}">
              <a16:creationId xmlns:a16="http://schemas.microsoft.com/office/drawing/2014/main" id="{E67D892D-5FD1-4F25-851F-526C97210AA3}"/>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wsDr>
</file>

<file path=xl/drawings/drawing12.xml><?xml version="1.0" encoding="utf-8"?>
<xdr:wsDr xmlns:xdr="http://schemas.openxmlformats.org/drawingml/2006/spreadsheetDrawing" xmlns:a="http://schemas.openxmlformats.org/drawingml/2006/main">
  <xdr:twoCellAnchor editAs="oneCell">
    <xdr:from>
      <xdr:col>0</xdr:col>
      <xdr:colOff>101600</xdr:colOff>
      <xdr:row>0</xdr:row>
      <xdr:rowOff>82550</xdr:rowOff>
    </xdr:from>
    <xdr:to>
      <xdr:col>1</xdr:col>
      <xdr:colOff>1289050</xdr:colOff>
      <xdr:row>0</xdr:row>
      <xdr:rowOff>723900</xdr:rowOff>
    </xdr:to>
    <xdr:pic>
      <xdr:nvPicPr>
        <xdr:cNvPr id="13313" name="Imagem 1">
          <a:extLst>
            <a:ext uri="{FF2B5EF4-FFF2-40B4-BE49-F238E27FC236}">
              <a16:creationId xmlns:a16="http://schemas.microsoft.com/office/drawing/2014/main" id="{77D7C25A-E4D7-49FC-B85C-2A566573835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01600" y="82550"/>
          <a:ext cx="1511300" cy="6413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modelo1-basi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Instrução de Uso"/>
      <sheetName val="Resumo"/>
      <sheetName val="AFP - Detalhada"/>
      <sheetName val="AFP - INM"/>
      <sheetName val="AFP - Estimativa"/>
      <sheetName val="UST"/>
      <sheetName val="AFP - Indicativa"/>
      <sheetName val="Funcionalidade"/>
      <sheetName val="Redução de Prazo"/>
      <sheetName val="Esforço"/>
      <sheetName val="Tipo Projeto"/>
      <sheetName val="Tipo Sistema"/>
    </sheetNames>
    <sheetDataSet>
      <sheetData sheetId="0"/>
      <sheetData sheetId="1">
        <row r="1">
          <cell r="A1" t="str">
            <v>Template V.2.0</v>
          </cell>
        </row>
      </sheetData>
      <sheetData sheetId="2"/>
      <sheetData sheetId="3">
        <row r="385">
          <cell r="S385">
            <v>0</v>
          </cell>
        </row>
      </sheetData>
      <sheetData sheetId="4"/>
      <sheetData sheetId="5"/>
      <sheetData sheetId="6"/>
      <sheetData sheetId="7"/>
      <sheetData sheetId="8"/>
      <sheetData sheetId="9"/>
      <sheetData sheetId="10">
        <row r="2">
          <cell r="D2" t="str">
            <v>1 - Registro de Necessidades</v>
          </cell>
        </row>
        <row r="3">
          <cell r="D3" t="str">
            <v>2 - Atualização dos dados de necessidade ou demandas</v>
          </cell>
          <cell r="J3" t="str">
            <v>Manutenção em Interface</v>
          </cell>
          <cell r="K3">
            <v>0.6</v>
          </cell>
        </row>
        <row r="4">
          <cell r="D4" t="str">
            <v>3 - Geração de relatórios</v>
          </cell>
          <cell r="J4" t="str">
            <v>Atualização de Dados</v>
          </cell>
          <cell r="K4">
            <v>0.3</v>
          </cell>
        </row>
        <row r="5">
          <cell r="D5" t="str">
            <v>4 - Atualização de relatórios</v>
          </cell>
          <cell r="J5" t="str">
            <v>Desenvolvimento, Manutenção e Publicação de Páginas Estáticas</v>
          </cell>
          <cell r="K5">
            <v>0.6</v>
          </cell>
        </row>
        <row r="6">
          <cell r="D6" t="str">
            <v>5 - Levantamento de Necessidades de Informação</v>
          </cell>
          <cell r="J6" t="str">
            <v>Componente Interno Reusável - Arquivo</v>
          </cell>
          <cell r="K6">
            <v>0.6</v>
          </cell>
        </row>
        <row r="7">
          <cell r="D7" t="str">
            <v>6 - Parecer sobre necessidade</v>
          </cell>
        </row>
        <row r="8">
          <cell r="D8" t="str">
            <v>7 - Estimativa de esforço
HST</v>
          </cell>
        </row>
        <row r="9">
          <cell r="D9" t="str">
            <v>8 - Necessidade de
usuário</v>
          </cell>
        </row>
        <row r="10">
          <cell r="D10" t="str">
            <v>9 - Caso de uso</v>
          </cell>
        </row>
        <row r="11">
          <cell r="D11" t="str">
            <v>10 - Protótipo de solução</v>
          </cell>
        </row>
        <row r="12">
          <cell r="D12" t="str">
            <v>11 - Regras de negócio</v>
          </cell>
        </row>
        <row r="13">
          <cell r="D13" t="str">
            <v>12 - Documento de Visão</v>
          </cell>
        </row>
        <row r="14">
          <cell r="D14" t="str">
            <v>13 - Modelo de arquitetura de Desenvolvimento</v>
          </cell>
        </row>
        <row r="15">
          <cell r="D15" t="str">
            <v>14 - Desenho de Solução
(UML)</v>
          </cell>
        </row>
        <row r="16">
          <cell r="D16" t="str">
            <v>15 - Dicionário de dados</v>
          </cell>
        </row>
        <row r="17">
          <cell r="D17" t="str">
            <v>16 - Estimativas</v>
          </cell>
        </row>
        <row r="18">
          <cell r="D18" t="str">
            <v>17 - Análise de viabilidade de soluções</v>
          </cell>
        </row>
        <row r="19">
          <cell r="D19" t="str">
            <v>18 - Definição de arquitetura de referência</v>
          </cell>
        </row>
        <row r="20">
          <cell r="D20" t="str">
            <v>19 - Documentação da arquitetura existente</v>
          </cell>
        </row>
        <row r="21">
          <cell r="D21" t="str">
            <v>20 - Planejamento de projeto</v>
          </cell>
        </row>
        <row r="22">
          <cell r="D22" t="str">
            <v>21 - Relatório de Situação de Projeto</v>
          </cell>
        </row>
        <row r="23">
          <cell r="D23" t="str">
            <v>22 - Suporte a Projetos</v>
          </cell>
        </row>
        <row r="24">
          <cell r="D24" t="str">
            <v>23 - Apoio ao Controle de Projetos</v>
          </cell>
        </row>
        <row r="25">
          <cell r="D25" t="str">
            <v>24 - Apoio ao Gerenciamento de Projetos</v>
          </cell>
        </row>
        <row r="26">
          <cell r="D26" t="str">
            <v>25 - Controle de Portfolio de Projetos</v>
          </cell>
        </row>
        <row r="27">
          <cell r="D27" t="str">
            <v>26 - Controle de Portfolio de Serviços</v>
          </cell>
        </row>
        <row r="28">
          <cell r="D28" t="str">
            <v>27 - Indicadores de desempenho</v>
          </cell>
        </row>
        <row r="29">
          <cell r="D29" t="str">
            <v>28 - Níveis de serviço</v>
          </cell>
        </row>
        <row r="30">
          <cell r="D30" t="str">
            <v>29 - Validação de qualidade</v>
          </cell>
        </row>
        <row r="31">
          <cell r="D31" t="str">
            <v>30 - Riscos</v>
          </cell>
        </row>
        <row r="32">
          <cell r="D32" t="str">
            <v>31 - Planejamento de Metodologia</v>
          </cell>
        </row>
        <row r="33">
          <cell r="D33" t="str">
            <v>32 - Adequação metodológica</v>
          </cell>
        </row>
        <row r="34">
          <cell r="D34" t="str">
            <v>33 - Validação de aplicação de metodologia</v>
          </cell>
        </row>
        <row r="35">
          <cell r="D35" t="str">
            <v>34 - Apostila</v>
          </cell>
        </row>
        <row r="36">
          <cell r="D36" t="str">
            <v>35 - Manual</v>
          </cell>
        </row>
        <row r="37">
          <cell r="D37" t="str">
            <v>36 - Documentação do Sistema</v>
          </cell>
        </row>
        <row r="38">
          <cell r="D38" t="str">
            <v>37 - Curso presencial</v>
          </cell>
        </row>
        <row r="39">
          <cell r="D39" t="str">
            <v>38 - Workshop</v>
          </cell>
        </row>
        <row r="40">
          <cell r="D40" t="str">
            <v>39 - Treinamento automatizado</v>
          </cell>
        </row>
        <row r="41">
          <cell r="D41" t="str">
            <v>40 - Treinamento áudio visual</v>
          </cell>
        </row>
        <row r="42">
          <cell r="D42" t="str">
            <v>41 - Apoio para atendimento de usuários '</v>
          </cell>
        </row>
        <row r="43">
          <cell r="D43" t="str">
            <v>42 - Resultado de pesquisa</v>
          </cell>
        </row>
        <row r="44">
          <cell r="D44" t="str">
            <v>43 - Levantamento de processos</v>
          </cell>
        </row>
        <row r="45">
          <cell r="D45" t="str">
            <v>44 - Documentação de Processos</v>
          </cell>
        </row>
        <row r="46">
          <cell r="D46" t="str">
            <v>45 - Melhoria de Processos</v>
          </cell>
        </row>
        <row r="47">
          <cell r="D47" t="str">
            <v>46 - Análise e Controle de Processos</v>
          </cell>
        </row>
        <row r="48">
          <cell r="D48" t="str">
            <v>47 - Automação de processos</v>
          </cell>
        </row>
        <row r="49">
          <cell r="D49" t="str">
            <v>48 - Elaboração de artefatos ou instrumentos de suporte para processo por campo</v>
          </cell>
        </row>
        <row r="50">
          <cell r="D50" t="str">
            <v>49 - Teste de processo automatizado</v>
          </cell>
        </row>
        <row r="51">
          <cell r="D51" t="str">
            <v>50 - Triagem de Demandas</v>
          </cell>
        </row>
        <row r="52">
          <cell r="D52" t="str">
            <v>51 - Painel de demandas</v>
          </cell>
        </row>
        <row r="53">
          <cell r="D53" t="str">
            <v>52 - Priorização de Demandas</v>
          </cell>
        </row>
      </sheetData>
      <sheetData sheetId="11"/>
    </sheetDataSet>
  </externalBook>
</externalLink>
</file>

<file path=xl/theme/theme1.xml><?xml version="1.0" encoding="utf-8"?>
<a:theme xmlns:a="http://schemas.openxmlformats.org/drawingml/2006/main" name="Tema do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2.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0000"/>
  </sheetPr>
  <dimension ref="A1"/>
  <sheetViews>
    <sheetView zoomScaleNormal="100" workbookViewId="0"/>
  </sheetViews>
  <sheetFormatPr defaultColWidth="11.54296875" defaultRowHeight="12.5"/>
  <cols>
    <col min="1" max="64" width="8.54296875" customWidth="1"/>
  </cols>
  <sheetData/>
  <pageMargins left="0.51180555555555496" right="0.51180555555555496" top="0.78749999999999998" bottom="0.78749999999999998" header="0.51180555555555496" footer="0.51180555555555496"/>
  <pageSetup paperSize="9" firstPageNumber="0" orientation="portrait" horizontalDpi="300" verticalDpi="300"/>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BL28"/>
  <sheetViews>
    <sheetView tabSelected="1" zoomScaleNormal="100" workbookViewId="0">
      <selection activeCell="B7" sqref="B7:D7"/>
    </sheetView>
  </sheetViews>
  <sheetFormatPr defaultColWidth="8.90625" defaultRowHeight="14.5"/>
  <cols>
    <col min="1" max="1" width="25.453125" style="1" customWidth="1"/>
    <col min="2" max="2" width="10" style="1" customWidth="1"/>
    <col min="3" max="3" width="14.36328125" style="1" customWidth="1"/>
    <col min="4" max="4" width="6.6328125" style="1" customWidth="1"/>
    <col min="5" max="5" width="27" style="1" customWidth="1"/>
    <col min="6" max="6" width="8.36328125" style="1" customWidth="1"/>
    <col min="7" max="7" width="23.54296875" style="1" customWidth="1"/>
    <col min="8" max="64" width="8.90625" style="1" customWidth="1"/>
  </cols>
  <sheetData>
    <row r="1" spans="1:64" ht="69" customHeight="1">
      <c r="A1" s="2" t="s">
        <v>0</v>
      </c>
      <c r="B1" s="197" t="s">
        <v>1</v>
      </c>
      <c r="C1" s="197"/>
      <c r="D1" s="197"/>
      <c r="E1" s="197"/>
      <c r="F1" s="197"/>
      <c r="G1" s="197"/>
      <c r="H1" s="3"/>
      <c r="I1" s="4"/>
      <c r="J1" s="4"/>
      <c r="K1" s="4"/>
      <c r="L1" s="4"/>
      <c r="M1" s="4"/>
      <c r="N1" s="4"/>
      <c r="O1" s="4"/>
      <c r="P1" s="4"/>
      <c r="Q1" s="4"/>
      <c r="R1" s="4"/>
      <c r="S1" s="4"/>
      <c r="T1" s="4"/>
      <c r="U1" s="4"/>
      <c r="V1" s="4"/>
      <c r="W1" s="4"/>
      <c r="X1" s="4"/>
      <c r="Y1" s="4"/>
      <c r="Z1" s="4"/>
      <c r="AA1" s="4"/>
      <c r="AB1" s="4"/>
      <c r="AC1" s="4"/>
      <c r="AD1" s="4"/>
      <c r="AE1" s="4"/>
      <c r="AF1" s="4"/>
      <c r="AG1" s="4"/>
      <c r="AH1" s="4"/>
      <c r="AI1" s="4"/>
      <c r="AJ1" s="4"/>
      <c r="AK1" s="4"/>
      <c r="AL1" s="4"/>
      <c r="AM1" s="4"/>
      <c r="AN1" s="4"/>
      <c r="AO1" s="4"/>
      <c r="AP1" s="4"/>
      <c r="AQ1" s="4"/>
      <c r="AR1" s="4"/>
      <c r="AS1" s="4"/>
      <c r="AT1" s="4"/>
      <c r="AU1" s="4"/>
      <c r="AV1" s="4"/>
      <c r="AW1" s="4"/>
      <c r="AX1" s="4"/>
      <c r="AY1" s="4"/>
      <c r="AZ1" s="4"/>
      <c r="BA1" s="4"/>
      <c r="BB1" s="4"/>
      <c r="BC1" s="4"/>
      <c r="BD1" s="4"/>
      <c r="BE1" s="4"/>
      <c r="BF1" s="4"/>
      <c r="BG1" s="4"/>
      <c r="BH1" s="4"/>
      <c r="BI1" s="4"/>
      <c r="BJ1" s="4"/>
      <c r="BK1" s="4"/>
      <c r="BL1" s="4"/>
    </row>
    <row r="2" spans="1:64" ht="9" customHeight="1"/>
    <row r="3" spans="1:64" ht="15.5">
      <c r="A3" s="198" t="s">
        <v>2</v>
      </c>
      <c r="B3" s="198"/>
      <c r="C3" s="198"/>
      <c r="D3" s="198"/>
      <c r="E3" s="198"/>
      <c r="F3" s="198"/>
      <c r="G3" s="198"/>
    </row>
    <row r="4" spans="1:64">
      <c r="A4" s="5" t="s">
        <v>3</v>
      </c>
      <c r="B4" s="199"/>
      <c r="C4" s="199"/>
      <c r="D4" s="199"/>
      <c r="E4" s="5" t="s">
        <v>4</v>
      </c>
      <c r="F4" s="199" t="s">
        <v>5</v>
      </c>
      <c r="G4" s="199"/>
    </row>
    <row r="5" spans="1:64">
      <c r="A5" s="5" t="s">
        <v>6</v>
      </c>
      <c r="B5" s="199"/>
      <c r="C5" s="199"/>
      <c r="D5" s="199"/>
      <c r="E5" s="5" t="s">
        <v>7</v>
      </c>
      <c r="F5" s="199"/>
      <c r="G5" s="199"/>
    </row>
    <row r="6" spans="1:64">
      <c r="A6" s="5" t="s">
        <v>8</v>
      </c>
      <c r="B6" s="200"/>
      <c r="C6" s="200"/>
      <c r="D6" s="200"/>
      <c r="E6" s="5" t="s">
        <v>9</v>
      </c>
      <c r="F6" s="201"/>
      <c r="G6" s="201"/>
    </row>
    <row r="7" spans="1:64">
      <c r="A7" s="5" t="s">
        <v>10</v>
      </c>
      <c r="B7" s="202" t="str">
        <f>IF($B$5="Detalhada",IF('AFP - Detalhada'!P5&lt;&gt;"",'AFP - Detalhada'!P5,""),IF($B$5="Estimativa",IF('AFP - Estimativa'!K5&lt;&gt;"",'AFP - Estimativa'!K5,""),IF($B$5="Indicativa",IF('AFP - Indicativa'!H5&lt;&gt;"",'AFP - Indicativa'!H5,""),"")))</f>
        <v/>
      </c>
      <c r="C7" s="202"/>
      <c r="D7" s="202"/>
      <c r="E7" s="5" t="s">
        <v>11</v>
      </c>
      <c r="F7" s="201" t="str">
        <f>IF($B$5="Detalhada",IF('AFP - Detalhada'!P6&lt;&gt;"",'AFP - Detalhada'!P6,""),IF($B$5="Estimativa",IF('AFP - Estimativa'!K6&lt;&gt;"",'AFP - Estimativa'!K6,""),IF($B$5="Indicativa",IF('AFP - Indicativa'!H6&lt;&gt;"",'AFP - Indicativa'!H6,""),"")))</f>
        <v/>
      </c>
      <c r="G7" s="201"/>
    </row>
    <row r="9" spans="1:64" ht="15.5">
      <c r="A9" s="198" t="s">
        <v>12</v>
      </c>
      <c r="B9" s="198"/>
      <c r="C9" s="198"/>
      <c r="D9" s="198"/>
      <c r="E9" s="198"/>
      <c r="F9" s="198"/>
      <c r="G9" s="198"/>
      <c r="J9" s="6"/>
    </row>
    <row r="10" spans="1:64" ht="42.65" customHeight="1">
      <c r="A10" s="203" t="str">
        <f>IF(Tipo_Contagem&lt;&gt;"","Obtenção do tamanho funcional (APF) "&amp;IF(Tipo_Contagem="Estimativa","Estimado", IF(Tipo_Contagem="Indicativa", "Indicativo", "Detalhado"))&amp;" das funcionalidades solicitadas/entregues na OS "&amp;IF(B4&lt;&gt;"",B4,"em questão"),"")</f>
        <v/>
      </c>
      <c r="B10" s="203"/>
      <c r="C10" s="203"/>
      <c r="D10" s="203"/>
      <c r="E10" s="203"/>
      <c r="F10" s="203"/>
      <c r="G10" s="203"/>
    </row>
    <row r="12" spans="1:64" ht="15.5">
      <c r="A12" s="198" t="s">
        <v>13</v>
      </c>
      <c r="B12" s="198"/>
      <c r="C12" s="198"/>
      <c r="D12" s="198"/>
      <c r="E12" s="198"/>
      <c r="F12" s="198"/>
      <c r="G12" s="198"/>
    </row>
    <row r="13" spans="1:64" ht="46.75" customHeight="1">
      <c r="A13" s="203"/>
      <c r="B13" s="203"/>
      <c r="C13" s="203"/>
      <c r="D13" s="203"/>
      <c r="E13" s="203"/>
      <c r="F13" s="203"/>
      <c r="G13" s="203"/>
    </row>
    <row r="15" spans="1:64" ht="15.5">
      <c r="A15" s="198" t="s">
        <v>14</v>
      </c>
      <c r="B15" s="198"/>
      <c r="C15" s="198"/>
      <c r="E15" s="198" t="s">
        <v>15</v>
      </c>
      <c r="F15" s="198"/>
      <c r="G15" s="198"/>
    </row>
    <row r="16" spans="1:64" ht="13.75" customHeight="1">
      <c r="A16" s="204" t="s">
        <v>16</v>
      </c>
      <c r="B16" s="204"/>
      <c r="C16" s="7" t="str">
        <f>IF((IF($B$5="Detalhada",SUMIF('AFP - Detalhada'!$J$10:$J382,"AIE",'AFP - Detalhada'!$S$10:$S382),IF($B$5="Estimativa",SUMIF('AFP - Estimativa'!$J$10:$J382,"AIE",'AFP - Estimativa'!$K$10:$K382)*(1+'AFP - Estimativa'!$D$6),IF($B$5="Indicativa",SUMIF('AFP - Indicativa'!$H$10:$H$109,"AIE",'AFP - Indicativa'!$I$10:$I$109)*(1+'AFP - Indicativa'!$F$6))))),(IF($B$5="Detalhada",SUMIF('AFP - Detalhada'!$J$10:$J382,"AIE",'AFP - Detalhada'!$S$10:$S382),IF($B$5="Estimativa",SUMIF('AFP - Estimativa'!$J$10:$J382,"AIE",'AFP - Estimativa'!$K$10:$K382)*(1+'AFP - Estimativa'!$D$6),IF($B$5="Indicativa",SUMIF('AFP - Indicativa'!$H$10:$H$109,"AIE",'AFP - Indicativa'!$I$10:$I$109)*(1+'AFP - Indicativa'!$F$6))))),"")</f>
        <v/>
      </c>
      <c r="E16" s="205" t="s">
        <v>17</v>
      </c>
      <c r="F16" s="205"/>
      <c r="G16" s="205"/>
    </row>
    <row r="17" spans="1:10" ht="15" customHeight="1">
      <c r="A17" s="204" t="s">
        <v>18</v>
      </c>
      <c r="B17" s="204"/>
      <c r="C17" s="7" t="str">
        <f>IF((IF($B$5="Detalhada",SUMIF('AFP - Detalhada'!$J$10:$J382,"ALI",'AFP - Detalhada'!$S$10:$S382),IF($B$5="Estimativa",SUMIF('AFP - Estimativa'!$J$10:$J382,"ALI",'AFP - Estimativa'!$K$10:$K382)*(1+'AFP - Estimativa'!$D$6),IF($B$5="Indicativa",SUMIF('AFP - Indicativa'!$H$10:$H$109,"ALI",'AFP - Indicativa'!$I$10:$I$109)*(1+'AFP - Indicativa'!$F$6))))),IF($B$5="Detalhada",SUMIF('AFP - Detalhada'!$J$10:$J382,"ALI",'AFP - Detalhada'!$S$10:$S382),IF($B$5="Estimativa",SUMIF('AFP - Estimativa'!$J$10:$J382,"ALI",'AFP - Estimativa'!$K$10:$K382)*(1+'AFP - Estimativa'!$D$6),IF($B$5="Indicativa",SUMIF('AFP - Indicativa'!$H$10:$H$109,"ALI",'AFP - Indicativa'!$I$10:$I$109)*(1+'AFP - Indicativa'!$F$6)))),"")</f>
        <v/>
      </c>
      <c r="E17" s="205"/>
      <c r="F17" s="205"/>
      <c r="G17" s="205"/>
    </row>
    <row r="18" spans="1:10">
      <c r="A18" s="204" t="s">
        <v>19</v>
      </c>
      <c r="B18" s="204"/>
      <c r="C18" s="7" t="str">
        <f>IF($B$5="Detalhada",SUMIF('AFP - Detalhada'!$J$10:$J382,"CE",'AFP - Detalhada'!$S$10:$S382),IF($B$5="Estimativa",SUMIF('AFP - Estimativa'!$J$10:$J382,"CE",'AFP - Estimativa'!$K$10:$K382)*(1+'AFP - Estimativa'!$D$6),""))</f>
        <v/>
      </c>
      <c r="E18" s="206" t="s">
        <v>20</v>
      </c>
      <c r="F18" s="206"/>
      <c r="G18" s="8">
        <v>0.25</v>
      </c>
    </row>
    <row r="19" spans="1:10">
      <c r="A19" s="204" t="s">
        <v>21</v>
      </c>
      <c r="B19" s="204"/>
      <c r="C19" s="7" t="str">
        <f>IF($B$5="Detalhada",SUMIF('AFP - Detalhada'!$J$10:$J382,"EE",'AFP - Detalhada'!$S$10:$S382),IF($B$5="Estimativa",SUMIF('AFP - Estimativa'!$J$10:$J382,"EE",'AFP - Estimativa'!$K$10:$K382)*(1+'AFP - Estimativa'!$D$6),""))</f>
        <v/>
      </c>
      <c r="E19" s="206" t="s">
        <v>22</v>
      </c>
      <c r="F19" s="206"/>
      <c r="G19" s="9">
        <v>0.1</v>
      </c>
    </row>
    <row r="20" spans="1:10">
      <c r="A20" s="204" t="s">
        <v>23</v>
      </c>
      <c r="B20" s="204"/>
      <c r="C20" s="7" t="str">
        <f>IF($B$5="Detalhada",SUMIF('AFP - Detalhada'!$J$10:$J382,"SE",'AFP - Detalhada'!$S$10:$S382),IF($B$5="Estimativa",SUMIF('AFP - Estimativa'!$J$10:$J382,"SE",'AFP - Estimativa'!$K$10:$K382)*(1+'AFP - Estimativa'!$D$6),""))</f>
        <v/>
      </c>
      <c r="E20" s="206" t="s">
        <v>24</v>
      </c>
      <c r="F20" s="206"/>
      <c r="G20" s="9">
        <v>0.4</v>
      </c>
    </row>
    <row r="21" spans="1:10">
      <c r="A21" s="204" t="s">
        <v>25</v>
      </c>
      <c r="B21" s="204"/>
      <c r="C21" s="10" t="str">
        <f>IF($B$5="Detalhada",SUMIF('AFP - Detalhada'!$J$10:$J382,"INM",'AFP - Detalhada'!$S$10:$S382),IF($B$5="Estimativa",SUMIF('AFP - Estimativa'!$J$10:$J382,"INM",'AFP - Estimativa'!$K$10:$K382)*(1+'AFP - Estimativa'!$D$6),""))</f>
        <v/>
      </c>
      <c r="E21" s="206" t="s">
        <v>26</v>
      </c>
      <c r="F21" s="206"/>
      <c r="G21" s="9">
        <v>0.15</v>
      </c>
    </row>
    <row r="22" spans="1:10">
      <c r="A22" s="204" t="s">
        <v>27</v>
      </c>
      <c r="B22" s="204"/>
      <c r="C22" s="11" t="str">
        <f>IF(B5="Estimativa",'INM - Estimativa'!K26,(IF(B5="Detalhada",'INM - Detalhada'!P27,"")))</f>
        <v/>
      </c>
      <c r="E22" s="206" t="s">
        <v>28</v>
      </c>
      <c r="F22" s="206"/>
      <c r="G22" s="9">
        <v>0.05</v>
      </c>
    </row>
    <row r="23" spans="1:10" ht="15.5">
      <c r="A23" s="211" t="s">
        <v>29</v>
      </c>
      <c r="B23" s="211"/>
      <c r="C23" s="12">
        <f>SUM(C16:C22)</f>
        <v>0</v>
      </c>
      <c r="E23" s="206" t="s">
        <v>30</v>
      </c>
      <c r="F23" s="206"/>
      <c r="G23" s="9">
        <v>0.05</v>
      </c>
    </row>
    <row r="24" spans="1:10" ht="15.75" customHeight="1">
      <c r="A24"/>
      <c r="B24"/>
      <c r="C24"/>
      <c r="E24" s="212" t="s">
        <v>31</v>
      </c>
      <c r="F24" s="212"/>
      <c r="G24" s="13">
        <f>SUM(G18:G23)</f>
        <v>1</v>
      </c>
      <c r="J24" s="6"/>
    </row>
    <row r="25" spans="1:10" ht="15.75" customHeight="1">
      <c r="E25" s="14"/>
      <c r="F25" s="14"/>
      <c r="G25" s="15"/>
    </row>
    <row r="26" spans="1:10" ht="15.5">
      <c r="A26" s="207" t="s">
        <v>32</v>
      </c>
      <c r="B26" s="207"/>
      <c r="C26" s="16" t="str">
        <f>IF($B$5="Estimativa",$C$23+($C$23*0.35),IF($B$5="Indicativa",$C$23+($C$23*0.5),"------"))</f>
        <v>------</v>
      </c>
      <c r="E26" s="208" t="str">
        <f>CONCATENATE("Quantidade Final (A) x ",IF(F4&lt;&gt;"",IF(F4="Desenvolvimento ou manutenção","(E1)","(E2)"),""))</f>
        <v>Quantidade Final (A) x (E1)</v>
      </c>
      <c r="F26" s="208"/>
      <c r="G26" s="12">
        <f>C23*IF(F4&lt;&gt;"",IF(F4="Desenvolvimento ou manutenção",G24,C30),0)</f>
        <v>0</v>
      </c>
    </row>
    <row r="27" spans="1:10" ht="15.65" customHeight="1">
      <c r="E27" s="209" t="s">
        <v>33</v>
      </c>
      <c r="F27" s="209"/>
      <c r="G27" s="17">
        <v>1</v>
      </c>
    </row>
    <row r="28" spans="1:10" ht="15.5">
      <c r="E28" s="210" t="s">
        <v>34</v>
      </c>
      <c r="F28" s="210"/>
      <c r="G28" s="12">
        <f>G26*G27</f>
        <v>0</v>
      </c>
    </row>
  </sheetData>
  <mergeCells count="36">
    <mergeCell ref="E24:F24"/>
    <mergeCell ref="A21:B21"/>
    <mergeCell ref="E21:F21"/>
    <mergeCell ref="A26:B26"/>
    <mergeCell ref="E26:F26"/>
    <mergeCell ref="E27:F27"/>
    <mergeCell ref="E28:F28"/>
    <mergeCell ref="A22:B22"/>
    <mergeCell ref="E22:F22"/>
    <mergeCell ref="A23:B23"/>
    <mergeCell ref="E23:F23"/>
    <mergeCell ref="A18:B18"/>
    <mergeCell ref="E18:F18"/>
    <mergeCell ref="A19:B19"/>
    <mergeCell ref="E19:F19"/>
    <mergeCell ref="A20:B20"/>
    <mergeCell ref="E20:F20"/>
    <mergeCell ref="A12:G12"/>
    <mergeCell ref="A13:G13"/>
    <mergeCell ref="A15:C15"/>
    <mergeCell ref="E15:G15"/>
    <mergeCell ref="A16:B16"/>
    <mergeCell ref="E16:G17"/>
    <mergeCell ref="A17:B17"/>
    <mergeCell ref="B6:D6"/>
    <mergeCell ref="F6:G6"/>
    <mergeCell ref="B7:D7"/>
    <mergeCell ref="F7:G7"/>
    <mergeCell ref="A9:G9"/>
    <mergeCell ref="A10:G10"/>
    <mergeCell ref="B1:G1"/>
    <mergeCell ref="A3:G3"/>
    <mergeCell ref="B4:D4"/>
    <mergeCell ref="F4:G4"/>
    <mergeCell ref="B5:D5"/>
    <mergeCell ref="F5:G5"/>
  </mergeCells>
  <dataValidations count="2">
    <dataValidation type="list" operator="equal" allowBlank="1" showInputMessage="1" showErrorMessage="1" sqref="F4:G4">
      <formula1>"Desenvolvimento ou Manutenção,Redocumentação"</formula1>
      <formula2>0</formula2>
    </dataValidation>
    <dataValidation type="list" operator="equal" allowBlank="1" showInputMessage="1" showErrorMessage="1" sqref="B5:D5">
      <formula1>"Indicativa,Estimativa,Detalhada"</formula1>
      <formula2>0</formula2>
    </dataValidation>
  </dataValidations>
  <pageMargins left="0.51180555555555496" right="0.51180555555555496" top="0.78749999999999998" bottom="0.78749999999999998" header="0.51180555555555496" footer="0.51180555555555496"/>
  <pageSetup paperSize="9" firstPageNumber="0" orientation="portrait" horizontalDpi="300" verticalDpi="300" r:id="rId1"/>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pageSetUpPr fitToPage="1"/>
  </sheetPr>
  <dimension ref="A1:BL384"/>
  <sheetViews>
    <sheetView zoomScaleNormal="100" workbookViewId="0"/>
  </sheetViews>
  <sheetFormatPr defaultColWidth="8.90625" defaultRowHeight="12.5"/>
  <cols>
    <col min="1" max="1" width="5.54296875" style="18" customWidth="1"/>
    <col min="2" max="2" width="38.6328125" style="19" customWidth="1"/>
    <col min="3" max="3" width="8.36328125" style="19" customWidth="1"/>
    <col min="4" max="4" width="7.54296875" style="20" customWidth="1"/>
    <col min="5" max="5" width="9.6328125" style="20" customWidth="1"/>
    <col min="6" max="6" width="11.54296875" style="20" customWidth="1"/>
    <col min="7" max="7" width="16.453125" style="20" customWidth="1"/>
    <col min="8" max="8" width="38.36328125" style="21" customWidth="1"/>
    <col min="9" max="9" width="8.08984375" style="18" customWidth="1"/>
    <col min="10" max="10" width="12.36328125" style="18" customWidth="1"/>
    <col min="11" max="11" width="8.08984375" style="18" customWidth="1"/>
    <col min="12" max="12" width="7.90625" style="18" customWidth="1"/>
    <col min="13" max="13" width="6.1796875" style="18" hidden="1" customWidth="1"/>
    <col min="14" max="14" width="5" style="19" hidden="1" customWidth="1"/>
    <col min="15" max="15" width="6.6328125" style="19" hidden="1" customWidth="1"/>
    <col min="16" max="16" width="15.08984375" style="18" customWidth="1"/>
    <col min="17" max="17" width="6.08984375" style="19" hidden="1" customWidth="1"/>
    <col min="18" max="18" width="7.90625" style="19" hidden="1" customWidth="1"/>
    <col min="19" max="20" width="8.36328125" style="19" customWidth="1"/>
    <col min="21" max="22" width="9.08984375" style="19" customWidth="1"/>
    <col min="23" max="23" width="9.6328125" style="19" customWidth="1"/>
    <col min="24" max="32" width="9.08984375" style="19" customWidth="1"/>
    <col min="33" max="64" width="8.90625" style="19" customWidth="1"/>
  </cols>
  <sheetData>
    <row r="1" spans="1:64" ht="69" customHeight="1">
      <c r="A1" s="2" t="str">
        <f>Resumo!A1</f>
        <v>Template V.1.6</v>
      </c>
      <c r="B1" s="22"/>
      <c r="C1" s="213" t="s">
        <v>35</v>
      </c>
      <c r="D1" s="213"/>
      <c r="E1" s="213"/>
      <c r="F1" s="213"/>
      <c r="G1" s="213"/>
      <c r="H1" s="213"/>
      <c r="I1" s="213"/>
      <c r="J1" s="213"/>
      <c r="K1" s="213"/>
      <c r="L1" s="213"/>
      <c r="M1" s="213"/>
      <c r="N1" s="213"/>
      <c r="O1" s="213"/>
      <c r="P1" s="213"/>
      <c r="Q1" s="213"/>
      <c r="R1" s="213"/>
      <c r="S1" s="213"/>
      <c r="T1" s="213"/>
    </row>
    <row r="2" spans="1:64" ht="9" customHeight="1">
      <c r="A2" s="23"/>
      <c r="B2" s="23"/>
      <c r="C2" s="24"/>
      <c r="D2" s="24"/>
      <c r="E2" s="24"/>
      <c r="F2" s="24"/>
      <c r="G2" s="24"/>
      <c r="H2" s="24"/>
      <c r="I2" s="24"/>
      <c r="J2" s="24"/>
      <c r="K2" s="24"/>
      <c r="L2" s="24"/>
      <c r="M2" s="24"/>
      <c r="N2" s="24"/>
      <c r="O2" s="24"/>
      <c r="P2" s="24"/>
      <c r="Q2" s="24"/>
      <c r="R2" s="24"/>
      <c r="S2" s="24"/>
      <c r="T2" s="24"/>
    </row>
    <row r="3" spans="1:64" ht="18.649999999999999" customHeight="1">
      <c r="A3" s="19"/>
      <c r="B3" s="25"/>
      <c r="C3" s="24"/>
      <c r="D3" s="24"/>
      <c r="E3" s="24"/>
      <c r="F3" s="24"/>
      <c r="G3" s="24"/>
      <c r="H3" s="24"/>
      <c r="I3" s="24"/>
      <c r="J3" s="214" t="s">
        <v>8</v>
      </c>
      <c r="K3" s="214"/>
      <c r="L3" s="214"/>
      <c r="M3" s="24"/>
      <c r="N3" s="26"/>
      <c r="O3" s="26"/>
      <c r="P3" s="215"/>
      <c r="Q3" s="215"/>
      <c r="R3" s="215"/>
      <c r="S3" s="215"/>
      <c r="T3" s="215"/>
    </row>
    <row r="4" spans="1:64" ht="18.649999999999999" customHeight="1">
      <c r="A4" s="19"/>
      <c r="B4" s="25"/>
      <c r="C4" s="24"/>
      <c r="D4" s="24"/>
      <c r="E4" s="24"/>
      <c r="F4" s="24"/>
      <c r="G4" s="24"/>
      <c r="H4" s="24"/>
      <c r="I4" s="24"/>
      <c r="J4" s="214" t="s">
        <v>9</v>
      </c>
      <c r="K4" s="214"/>
      <c r="L4" s="214"/>
      <c r="M4" s="24"/>
      <c r="N4" s="26"/>
      <c r="O4" s="26"/>
      <c r="P4" s="216"/>
      <c r="Q4" s="216"/>
      <c r="R4" s="216"/>
      <c r="S4" s="216"/>
      <c r="T4" s="216"/>
    </row>
    <row r="5" spans="1:64" ht="18.649999999999999" customHeight="1">
      <c r="A5" s="214" t="s">
        <v>36</v>
      </c>
      <c r="B5" s="214"/>
      <c r="C5" s="214"/>
      <c r="D5" s="218" t="str">
        <f>TEXT(S384,"#.##0,0#")</f>
        <v>0,0</v>
      </c>
      <c r="E5" s="218"/>
      <c r="F5" s="24"/>
      <c r="G5" s="24"/>
      <c r="H5" s="24"/>
      <c r="I5" s="24"/>
      <c r="J5" s="214" t="s">
        <v>10</v>
      </c>
      <c r="K5" s="214"/>
      <c r="L5" s="214"/>
      <c r="M5" s="24"/>
      <c r="N5" s="26"/>
      <c r="O5" s="26"/>
      <c r="P5" s="215"/>
      <c r="Q5" s="215"/>
      <c r="R5" s="215"/>
      <c r="S5" s="215"/>
      <c r="T5" s="215"/>
    </row>
    <row r="6" spans="1:64" ht="18.649999999999999" customHeight="1">
      <c r="A6" s="214"/>
      <c r="B6" s="214"/>
      <c r="C6" s="214"/>
      <c r="D6" s="218"/>
      <c r="E6" s="218"/>
      <c r="F6" s="24"/>
      <c r="G6" s="24"/>
      <c r="H6" s="24"/>
      <c r="I6" s="24"/>
      <c r="J6" s="214" t="s">
        <v>11</v>
      </c>
      <c r="K6" s="214"/>
      <c r="L6" s="214"/>
      <c r="M6" s="24"/>
      <c r="N6" s="26"/>
      <c r="O6" s="26"/>
      <c r="P6" s="216"/>
      <c r="Q6" s="216"/>
      <c r="R6" s="216"/>
      <c r="S6" s="216"/>
      <c r="T6" s="216"/>
    </row>
    <row r="7" spans="1:64" ht="9" customHeight="1">
      <c r="A7" s="27"/>
      <c r="B7" s="28"/>
      <c r="C7" s="28"/>
      <c r="D7" s="28"/>
      <c r="E7" s="28"/>
      <c r="F7" s="28"/>
      <c r="G7" s="28"/>
      <c r="H7" s="28"/>
      <c r="I7" s="28"/>
      <c r="J7" s="28"/>
      <c r="K7" s="28"/>
      <c r="L7" s="28"/>
      <c r="M7" s="28"/>
      <c r="N7" s="28"/>
      <c r="O7" s="28"/>
      <c r="P7" s="28"/>
      <c r="Q7" s="28"/>
      <c r="R7" s="28"/>
      <c r="S7" s="28"/>
      <c r="T7" s="28"/>
    </row>
    <row r="8" spans="1:64" ht="27.65" customHeight="1">
      <c r="A8" s="29" t="s">
        <v>37</v>
      </c>
      <c r="B8" s="30" t="s">
        <v>38</v>
      </c>
      <c r="C8" s="30" t="s">
        <v>39</v>
      </c>
      <c r="D8" s="30" t="s">
        <v>40</v>
      </c>
      <c r="E8" s="30" t="s">
        <v>41</v>
      </c>
      <c r="F8" s="30" t="s">
        <v>42</v>
      </c>
      <c r="G8" s="30" t="s">
        <v>43</v>
      </c>
      <c r="H8" s="31" t="s">
        <v>44</v>
      </c>
      <c r="I8" s="32" t="s">
        <v>45</v>
      </c>
      <c r="J8" s="33" t="s">
        <v>46</v>
      </c>
      <c r="K8" s="32" t="s">
        <v>47</v>
      </c>
      <c r="L8" s="32" t="s">
        <v>48</v>
      </c>
      <c r="M8" s="32" t="s">
        <v>49</v>
      </c>
      <c r="N8" s="33" t="s">
        <v>50</v>
      </c>
      <c r="O8" s="33" t="s">
        <v>51</v>
      </c>
      <c r="P8" s="33" t="s">
        <v>52</v>
      </c>
      <c r="Q8" s="33" t="s">
        <v>53</v>
      </c>
      <c r="R8" s="33" t="s">
        <v>54</v>
      </c>
      <c r="S8" s="33" t="s">
        <v>55</v>
      </c>
      <c r="T8" s="33" t="s">
        <v>56</v>
      </c>
      <c r="U8" s="34"/>
      <c r="V8" s="34"/>
      <c r="W8" s="34"/>
      <c r="X8" s="34"/>
      <c r="Y8" s="34"/>
      <c r="Z8" s="34"/>
      <c r="AA8" s="34"/>
      <c r="AB8" s="34"/>
      <c r="AC8" s="34"/>
      <c r="AD8" s="34"/>
      <c r="AE8" s="34"/>
      <c r="AF8" s="34"/>
      <c r="AG8" s="34"/>
      <c r="AH8" s="34"/>
      <c r="AI8" s="34"/>
      <c r="AJ8" s="34"/>
      <c r="AK8" s="34"/>
      <c r="AL8" s="34"/>
      <c r="AM8" s="34"/>
      <c r="AN8" s="34"/>
      <c r="AO8" s="34"/>
      <c r="AP8" s="34"/>
      <c r="AQ8" s="34"/>
      <c r="AR8" s="34"/>
      <c r="AS8" s="34"/>
      <c r="AT8" s="34"/>
      <c r="AU8" s="34"/>
      <c r="AV8" s="34"/>
      <c r="AW8" s="34"/>
      <c r="AX8" s="34"/>
      <c r="AY8" s="34"/>
      <c r="AZ8" s="34"/>
      <c r="BA8" s="34"/>
      <c r="BB8" s="34"/>
      <c r="BC8" s="34"/>
      <c r="BD8" s="34"/>
      <c r="BE8" s="34"/>
      <c r="BF8" s="34"/>
      <c r="BG8" s="34"/>
      <c r="BH8" s="34"/>
      <c r="BI8" s="34"/>
      <c r="BJ8" s="34"/>
      <c r="BK8" s="34"/>
      <c r="BL8" s="34"/>
    </row>
    <row r="9" spans="1:64" ht="14">
      <c r="A9" s="217" t="s">
        <v>57</v>
      </c>
      <c r="B9" s="217"/>
      <c r="C9" s="217"/>
      <c r="D9" s="217"/>
      <c r="E9" s="217"/>
      <c r="F9" s="217"/>
      <c r="G9" s="217"/>
      <c r="H9" s="217"/>
      <c r="I9" s="217"/>
      <c r="J9" s="217"/>
      <c r="K9" s="217"/>
      <c r="L9" s="217"/>
      <c r="M9" s="217"/>
      <c r="N9" s="217"/>
      <c r="O9" s="217"/>
      <c r="P9" s="217"/>
      <c r="Q9" s="217"/>
      <c r="R9" s="217"/>
      <c r="S9" s="217"/>
      <c r="T9" s="217"/>
      <c r="U9" s="35"/>
      <c r="V9" s="35"/>
      <c r="W9" s="35"/>
      <c r="X9" s="35"/>
      <c r="Y9" s="35"/>
      <c r="Z9" s="35"/>
      <c r="AA9" s="35"/>
      <c r="AB9" s="35"/>
      <c r="AC9" s="35"/>
      <c r="AD9" s="35"/>
      <c r="AE9" s="35"/>
      <c r="AF9" s="35"/>
      <c r="AG9" s="35"/>
      <c r="AH9" s="35"/>
      <c r="AI9" s="35"/>
      <c r="AJ9" s="35"/>
      <c r="AK9" s="35"/>
      <c r="AL9" s="35"/>
      <c r="AM9" s="35"/>
      <c r="AN9" s="35"/>
      <c r="AO9" s="35"/>
      <c r="AP9" s="35"/>
      <c r="AQ9" s="35"/>
      <c r="AR9" s="35"/>
      <c r="AS9" s="35"/>
      <c r="AT9" s="35"/>
      <c r="AU9" s="35"/>
      <c r="AV9" s="35"/>
      <c r="AW9" s="35"/>
      <c r="AX9" s="35"/>
      <c r="AY9" s="35"/>
      <c r="AZ9" s="35"/>
      <c r="BA9" s="35"/>
      <c r="BB9" s="35"/>
      <c r="BC9" s="35"/>
      <c r="BD9" s="35"/>
      <c r="BE9" s="35"/>
      <c r="BF9" s="35"/>
      <c r="BG9" s="35"/>
      <c r="BH9" s="35"/>
      <c r="BI9" s="35"/>
      <c r="BJ9" s="35"/>
      <c r="BK9" s="35"/>
      <c r="BL9" s="35"/>
    </row>
    <row r="10" spans="1:64" ht="14">
      <c r="A10" s="36"/>
      <c r="B10" s="37"/>
      <c r="C10" s="38">
        <f t="shared" ref="C10:C73" si="0">IF($B10&lt;&gt;"",VLOOKUP($B10,Matriz_INM,2,0),0)</f>
        <v>0</v>
      </c>
      <c r="D10" s="39"/>
      <c r="E10" s="39"/>
      <c r="F10" s="39"/>
      <c r="G10" s="39"/>
      <c r="H10" s="40"/>
      <c r="I10" s="41"/>
      <c r="J10" s="39"/>
      <c r="K10" s="41"/>
      <c r="L10" s="41"/>
      <c r="M10" s="42" t="str">
        <f t="shared" ref="M10:M73" si="1">IFERROR(VLOOKUP($B10,Matriz_INM,3,0),"")</f>
        <v/>
      </c>
      <c r="N10" s="40" t="str">
        <f t="shared" ref="N10:N73" si="2">IF(J10="EE",IF(OR(AND(OR(L10=1,L10=0),K10&gt;0,K10&lt;5),AND(OR(L10=1,L10=0),K10&gt;4,K10&lt;16),AND(L10=2,K10&gt;0,K10&lt;5)),"Simples",IF(OR(AND(OR(L10=1,L10=0),K10&gt;15),AND(L10=2,K10&gt;4,K10&lt;16),AND(L10&gt;2,K10&gt;0,K10&lt;5)),"Médio",IF(OR(AND(L10=2,K10&gt;15),AND(L10&gt;2,K10&gt;4,K10&lt;16),AND(L10&gt;2,K10&gt;15)),"Complexo",""))), IF(OR(J10="CE",J10="SE"),IF(OR(AND(OR(L10=1,L10=0),K10&gt;0,K10&lt;6),AND(OR(L10=1,L10=0),K10&gt;5,K10&lt;20),AND(L10&gt;1,L10&lt;4,K10&gt;0,K10&lt;6)),"Simples",IF(OR(AND(OR(L10=1,L10=0),K10&gt;19),AND(L10&gt;1,L10&lt;4,K10&gt;5,K10&lt;20),AND(L10&gt;3,K10&gt;0,K10&lt;6)),"Médio",IF(OR(AND(L10&gt;1,L10&lt;4,K10&gt;19),AND(L10&gt;3,K10&gt;5,K10&lt;20),AND(L10&gt;3,K10&gt;19)),"Complexo",""))),""))</f>
        <v/>
      </c>
      <c r="O10" s="40" t="str">
        <f t="shared" ref="O10:O73" si="3">IF(J10="ALI",IF(OR(AND(OR(L10=1,L10=0),K10&gt;0,K10&lt;20),AND(OR(L10=1,L10=0),K10&gt;19,K10&lt;51),AND(L10&gt;1,L10&lt;6,K10&gt;0,K10&lt;20)),"Simples",IF(OR(AND(OR(L10=1,L10=0),K10&gt;50),AND(L10&gt;1,L10&lt;6,K10&gt;19,K10&lt;51),AND(L10&gt;5,K10&gt;0,K10&lt;20)),"Médio",IF(OR(AND(L10&gt;1,L10&lt;6,K10&gt;50),AND(L10&gt;5,K10&gt;19,K10&lt;51),AND(L10&gt;5,K10&gt;50)),"Complexo",""))), IF(J10="AIE",IF(OR(AND(OR(L10=1, L10=0),K10&gt;0,K10&lt;20),AND(OR(L10=1, L10=0),K10&gt;19,K10&lt;51),AND(L10&gt;1,L10&lt;6,K10&gt;0,K10&lt;20)),"Simples",IF(OR(AND(OR(L10=1, L10=0),K10&gt;50),AND(L10&gt;1,L10&lt;6,K10&gt;19,K10&lt;51),AND(L10&gt;5,K10&gt;0,K10&lt;20)),"Médio",IF(OR(AND(L10&gt;1,L10&lt;6,K10&gt;50),AND(L10&gt;5,K10&gt;19,K10&lt;51),AND(L10&gt;5,K10&gt;50)),"Complexo",""))),""))</f>
        <v/>
      </c>
      <c r="P10" s="43" t="str">
        <f t="shared" ref="P10:P73" si="4">IF(N10="",O10,IF(O10="",N10,""))</f>
        <v/>
      </c>
      <c r="Q10" s="44">
        <f t="shared" ref="Q10:Q73" si="5">IF(AND(OR(J10="EE",J10="CE"),P10="Simples"),3, IF(AND(OR(J10="EE",J10="CE"),P10="Médio"),4, IF(AND(OR(J10="EE",J10="CE"),P10="Complexo"),6, IF(AND(J10="SE",P10="Simples"),4, IF(AND(J10="SE",P10="Médio"),5, IF(AND(J10="SE",P10="Complexo"),7,0))))))</f>
        <v>0</v>
      </c>
      <c r="R10" s="44">
        <f t="shared" ref="R10:R73" si="6">IF(AND(J10="ALI",O10="Simples"),7, IF(AND(J10="ALI",O10="Médio"),10, IF(AND(J10="ALI",O10="Complexo"),15, IF(AND(J10="AIE",O10="Simples"),5, IF(AND(J10="AIE",O10="Médio"),7, IF(AND(J10="AIE",O10="Complexo"),10,0))))))</f>
        <v>0</v>
      </c>
      <c r="S10" s="43">
        <f t="shared" ref="S10:S73" si="7">IF($M10="%",($Q10+$R10)*$C10,$C10*$I10)</f>
        <v>0</v>
      </c>
      <c r="T10" s="39"/>
      <c r="U10" s="35"/>
      <c r="V10" s="35"/>
      <c r="W10" s="35"/>
      <c r="X10" s="35"/>
      <c r="Y10" s="35"/>
      <c r="Z10" s="35"/>
      <c r="AA10" s="35"/>
      <c r="AB10" s="35"/>
      <c r="AC10" s="35"/>
      <c r="AD10" s="35"/>
      <c r="AE10" s="35"/>
      <c r="AF10" s="35"/>
      <c r="AG10" s="35"/>
      <c r="AH10" s="35"/>
      <c r="AI10" s="35"/>
      <c r="AJ10" s="35"/>
      <c r="AK10" s="35"/>
      <c r="AL10" s="35"/>
      <c r="AM10" s="35"/>
      <c r="AN10" s="35"/>
      <c r="AO10" s="35"/>
      <c r="AP10" s="35"/>
      <c r="AQ10" s="35"/>
      <c r="AR10" s="35"/>
      <c r="AS10" s="35"/>
      <c r="AT10" s="35"/>
      <c r="AU10" s="35"/>
      <c r="AV10" s="35"/>
      <c r="AW10" s="35"/>
      <c r="AX10" s="35"/>
      <c r="AY10" s="35"/>
      <c r="AZ10" s="35"/>
      <c r="BA10" s="35"/>
      <c r="BB10" s="35"/>
      <c r="BC10" s="35"/>
      <c r="BD10" s="35"/>
      <c r="BE10" s="35"/>
      <c r="BF10" s="35"/>
      <c r="BG10" s="35"/>
      <c r="BH10" s="35"/>
      <c r="BI10" s="35"/>
      <c r="BJ10" s="35"/>
      <c r="BK10" s="35"/>
      <c r="BL10" s="35"/>
    </row>
    <row r="11" spans="1:64" ht="14">
      <c r="A11" s="36"/>
      <c r="B11" s="37"/>
      <c r="C11" s="38">
        <f t="shared" si="0"/>
        <v>0</v>
      </c>
      <c r="D11" s="39"/>
      <c r="E11" s="39"/>
      <c r="F11" s="39"/>
      <c r="G11" s="39"/>
      <c r="H11" s="40"/>
      <c r="I11" s="41"/>
      <c r="J11" s="39"/>
      <c r="K11" s="41"/>
      <c r="L11" s="41"/>
      <c r="M11" s="42" t="str">
        <f t="shared" si="1"/>
        <v/>
      </c>
      <c r="N11" s="40" t="str">
        <f t="shared" si="2"/>
        <v/>
      </c>
      <c r="O11" s="40" t="str">
        <f t="shared" si="3"/>
        <v/>
      </c>
      <c r="P11" s="43" t="str">
        <f t="shared" si="4"/>
        <v/>
      </c>
      <c r="Q11" s="44">
        <f t="shared" si="5"/>
        <v>0</v>
      </c>
      <c r="R11" s="44">
        <f t="shared" si="6"/>
        <v>0</v>
      </c>
      <c r="S11" s="43">
        <f t="shared" si="7"/>
        <v>0</v>
      </c>
      <c r="T11" s="39"/>
      <c r="U11" s="35"/>
      <c r="V11" s="35"/>
      <c r="W11" s="35"/>
      <c r="X11" s="35"/>
      <c r="Y11" s="35"/>
      <c r="Z11" s="35"/>
      <c r="AA11" s="35"/>
      <c r="AB11" s="35"/>
      <c r="AC11" s="35"/>
      <c r="AD11" s="35"/>
      <c r="AE11" s="35"/>
      <c r="AF11" s="35"/>
      <c r="AG11" s="35"/>
      <c r="AH11" s="35"/>
      <c r="AI11" s="35"/>
      <c r="AJ11" s="35"/>
      <c r="AK11" s="35"/>
      <c r="AL11" s="35"/>
      <c r="AM11" s="35"/>
      <c r="AN11" s="35"/>
      <c r="AO11" s="35"/>
      <c r="AP11" s="35"/>
      <c r="AQ11" s="35"/>
      <c r="AR11" s="35"/>
      <c r="AS11" s="35"/>
      <c r="AT11" s="35"/>
      <c r="AU11" s="35"/>
      <c r="AV11" s="35"/>
      <c r="AW11" s="35"/>
      <c r="AX11" s="35"/>
      <c r="AY11" s="35"/>
      <c r="AZ11" s="35"/>
      <c r="BA11" s="35"/>
      <c r="BB11" s="35"/>
      <c r="BC11" s="35"/>
      <c r="BD11" s="35"/>
      <c r="BE11" s="35"/>
      <c r="BF11" s="35"/>
      <c r="BG11" s="35"/>
      <c r="BH11" s="35"/>
      <c r="BI11" s="35"/>
      <c r="BJ11" s="35"/>
      <c r="BK11" s="35"/>
      <c r="BL11" s="35"/>
    </row>
    <row r="12" spans="1:64" ht="14">
      <c r="A12" s="36"/>
      <c r="B12" s="37"/>
      <c r="C12" s="38">
        <f t="shared" si="0"/>
        <v>0</v>
      </c>
      <c r="D12" s="39"/>
      <c r="E12" s="39"/>
      <c r="F12" s="39"/>
      <c r="G12" s="39"/>
      <c r="H12" s="40"/>
      <c r="I12" s="41"/>
      <c r="J12" s="39"/>
      <c r="K12" s="41"/>
      <c r="L12" s="41"/>
      <c r="M12" s="42" t="str">
        <f t="shared" si="1"/>
        <v/>
      </c>
      <c r="N12" s="40" t="str">
        <f t="shared" si="2"/>
        <v/>
      </c>
      <c r="O12" s="40" t="str">
        <f t="shared" si="3"/>
        <v/>
      </c>
      <c r="P12" s="43" t="str">
        <f t="shared" si="4"/>
        <v/>
      </c>
      <c r="Q12" s="44">
        <f t="shared" si="5"/>
        <v>0</v>
      </c>
      <c r="R12" s="44">
        <f t="shared" si="6"/>
        <v>0</v>
      </c>
      <c r="S12" s="43">
        <f t="shared" si="7"/>
        <v>0</v>
      </c>
      <c r="T12" s="39"/>
      <c r="U12" s="35"/>
      <c r="V12" s="35"/>
      <c r="W12" s="35"/>
      <c r="X12" s="35"/>
      <c r="Y12" s="35"/>
      <c r="Z12" s="35"/>
      <c r="AA12" s="35"/>
      <c r="AB12" s="35"/>
      <c r="AC12" s="35"/>
      <c r="AD12" s="35"/>
      <c r="AE12" s="35"/>
      <c r="AF12" s="35"/>
      <c r="AG12" s="35"/>
      <c r="AH12" s="35"/>
      <c r="AI12" s="35"/>
      <c r="AJ12" s="35"/>
      <c r="AK12" s="35"/>
      <c r="AL12" s="35"/>
      <c r="AM12" s="35"/>
      <c r="AN12" s="35"/>
      <c r="AO12" s="35"/>
      <c r="AP12" s="35"/>
      <c r="AQ12" s="35"/>
      <c r="AR12" s="35"/>
      <c r="AS12" s="35"/>
      <c r="AT12" s="35"/>
      <c r="AU12" s="35"/>
      <c r="AV12" s="35"/>
      <c r="AW12" s="35"/>
      <c r="AX12" s="35"/>
      <c r="AY12" s="35"/>
      <c r="AZ12" s="35"/>
      <c r="BA12" s="35"/>
      <c r="BB12" s="35"/>
      <c r="BC12" s="35"/>
      <c r="BD12" s="35"/>
      <c r="BE12" s="35"/>
      <c r="BF12" s="35"/>
      <c r="BG12" s="35"/>
      <c r="BH12" s="35"/>
      <c r="BI12" s="35"/>
      <c r="BJ12" s="35"/>
      <c r="BK12" s="35"/>
      <c r="BL12" s="35"/>
    </row>
    <row r="13" spans="1:64" ht="14">
      <c r="A13" s="36"/>
      <c r="B13" s="37"/>
      <c r="C13" s="38">
        <f t="shared" si="0"/>
        <v>0</v>
      </c>
      <c r="D13" s="39"/>
      <c r="E13" s="39"/>
      <c r="F13" s="39"/>
      <c r="G13" s="39"/>
      <c r="H13" s="40"/>
      <c r="I13" s="41"/>
      <c r="J13" s="39"/>
      <c r="K13" s="41"/>
      <c r="L13" s="41"/>
      <c r="M13" s="42" t="str">
        <f t="shared" si="1"/>
        <v/>
      </c>
      <c r="N13" s="40" t="str">
        <f t="shared" si="2"/>
        <v/>
      </c>
      <c r="O13" s="40" t="str">
        <f t="shared" si="3"/>
        <v/>
      </c>
      <c r="P13" s="43" t="str">
        <f t="shared" si="4"/>
        <v/>
      </c>
      <c r="Q13" s="44">
        <f t="shared" si="5"/>
        <v>0</v>
      </c>
      <c r="R13" s="44">
        <f t="shared" si="6"/>
        <v>0</v>
      </c>
      <c r="S13" s="43">
        <f t="shared" si="7"/>
        <v>0</v>
      </c>
      <c r="T13" s="39"/>
      <c r="U13" s="35"/>
      <c r="V13" s="35"/>
      <c r="W13" s="35"/>
      <c r="X13" s="35"/>
      <c r="Y13" s="35"/>
      <c r="Z13" s="35"/>
      <c r="AA13" s="35"/>
      <c r="AB13" s="35"/>
      <c r="AC13" s="35"/>
      <c r="AD13" s="35"/>
      <c r="AE13" s="35"/>
      <c r="AF13" s="35"/>
      <c r="AG13" s="35"/>
      <c r="AH13" s="35"/>
      <c r="AI13" s="35"/>
      <c r="AJ13" s="35"/>
      <c r="AK13" s="35"/>
      <c r="AL13" s="35"/>
      <c r="AM13" s="35"/>
      <c r="AN13" s="35"/>
      <c r="AO13" s="35"/>
      <c r="AP13" s="35"/>
      <c r="AQ13" s="35"/>
      <c r="AR13" s="35"/>
      <c r="AS13" s="35"/>
      <c r="AT13" s="35"/>
      <c r="AU13" s="35"/>
      <c r="AV13" s="35"/>
      <c r="AW13" s="35"/>
      <c r="AX13" s="35"/>
      <c r="AY13" s="35"/>
      <c r="AZ13" s="35"/>
      <c r="BA13" s="35"/>
      <c r="BB13" s="35"/>
      <c r="BC13" s="35"/>
      <c r="BD13" s="35"/>
      <c r="BE13" s="35"/>
      <c r="BF13" s="35"/>
      <c r="BG13" s="35"/>
      <c r="BH13" s="35"/>
      <c r="BI13" s="35"/>
      <c r="BJ13" s="35"/>
      <c r="BK13" s="35"/>
      <c r="BL13" s="35"/>
    </row>
    <row r="14" spans="1:64" ht="14">
      <c r="A14" s="36"/>
      <c r="B14" s="37"/>
      <c r="C14" s="38">
        <f t="shared" si="0"/>
        <v>0</v>
      </c>
      <c r="D14" s="39"/>
      <c r="E14" s="39"/>
      <c r="F14" s="45"/>
      <c r="G14" s="39"/>
      <c r="H14" s="40"/>
      <c r="I14" s="41"/>
      <c r="J14" s="39"/>
      <c r="K14" s="41"/>
      <c r="L14" s="41"/>
      <c r="M14" s="42" t="str">
        <f t="shared" si="1"/>
        <v/>
      </c>
      <c r="N14" s="40" t="str">
        <f t="shared" si="2"/>
        <v/>
      </c>
      <c r="O14" s="40" t="str">
        <f t="shared" si="3"/>
        <v/>
      </c>
      <c r="P14" s="43" t="str">
        <f t="shared" si="4"/>
        <v/>
      </c>
      <c r="Q14" s="44">
        <f t="shared" si="5"/>
        <v>0</v>
      </c>
      <c r="R14" s="44">
        <f t="shared" si="6"/>
        <v>0</v>
      </c>
      <c r="S14" s="43">
        <f t="shared" si="7"/>
        <v>0</v>
      </c>
      <c r="T14" s="39"/>
      <c r="U14" s="35"/>
      <c r="V14" s="35"/>
      <c r="W14" s="35"/>
      <c r="X14" s="35"/>
      <c r="Y14" s="35"/>
      <c r="Z14" s="35"/>
      <c r="AA14" s="35"/>
      <c r="AB14" s="35"/>
      <c r="AC14" s="35"/>
      <c r="AD14" s="35"/>
      <c r="AE14" s="35"/>
      <c r="AF14" s="35"/>
      <c r="AG14" s="35"/>
      <c r="AH14" s="35"/>
      <c r="AI14" s="35"/>
      <c r="AJ14" s="35"/>
      <c r="AK14" s="35"/>
      <c r="AL14" s="35"/>
      <c r="AM14" s="35"/>
      <c r="AN14" s="35"/>
      <c r="AO14" s="35"/>
      <c r="AP14" s="35"/>
      <c r="AQ14" s="35"/>
      <c r="AR14" s="35"/>
      <c r="AS14" s="35"/>
      <c r="AT14" s="35"/>
      <c r="AU14" s="35"/>
      <c r="AV14" s="35"/>
      <c r="AW14" s="35"/>
      <c r="AX14" s="35"/>
      <c r="AY14" s="35"/>
      <c r="AZ14" s="35"/>
      <c r="BA14" s="35"/>
      <c r="BB14" s="35"/>
      <c r="BC14" s="35"/>
      <c r="BD14" s="35"/>
      <c r="BE14" s="35"/>
      <c r="BF14" s="35"/>
      <c r="BG14" s="35"/>
      <c r="BH14" s="35"/>
      <c r="BI14" s="35"/>
      <c r="BJ14" s="35"/>
      <c r="BK14" s="35"/>
      <c r="BL14" s="35"/>
    </row>
    <row r="15" spans="1:64" ht="14">
      <c r="A15" s="36"/>
      <c r="B15" s="37"/>
      <c r="C15" s="38">
        <f t="shared" si="0"/>
        <v>0</v>
      </c>
      <c r="D15" s="39"/>
      <c r="E15" s="39"/>
      <c r="F15" s="39"/>
      <c r="G15" s="39"/>
      <c r="H15" s="40"/>
      <c r="I15" s="41"/>
      <c r="J15" s="39"/>
      <c r="K15" s="41"/>
      <c r="L15" s="41"/>
      <c r="M15" s="42" t="str">
        <f t="shared" si="1"/>
        <v/>
      </c>
      <c r="N15" s="40" t="str">
        <f t="shared" si="2"/>
        <v/>
      </c>
      <c r="O15" s="40" t="str">
        <f t="shared" si="3"/>
        <v/>
      </c>
      <c r="P15" s="43" t="str">
        <f t="shared" si="4"/>
        <v/>
      </c>
      <c r="Q15" s="44">
        <f t="shared" si="5"/>
        <v>0</v>
      </c>
      <c r="R15" s="44">
        <f t="shared" si="6"/>
        <v>0</v>
      </c>
      <c r="S15" s="43">
        <f t="shared" si="7"/>
        <v>0</v>
      </c>
      <c r="T15" s="39"/>
      <c r="U15" s="35"/>
      <c r="V15" s="35"/>
      <c r="W15" s="35"/>
      <c r="X15" s="35"/>
      <c r="Y15" s="35"/>
      <c r="Z15" s="35"/>
      <c r="AA15" s="35"/>
      <c r="AB15" s="35"/>
      <c r="AC15" s="35"/>
      <c r="AD15" s="35"/>
      <c r="AE15" s="35"/>
      <c r="AF15" s="35"/>
      <c r="AG15" s="35"/>
      <c r="AH15" s="35"/>
      <c r="AI15" s="35"/>
      <c r="AJ15" s="35"/>
      <c r="AK15" s="35"/>
      <c r="AL15" s="35"/>
      <c r="AM15" s="35"/>
      <c r="AN15" s="35"/>
      <c r="AO15" s="35"/>
      <c r="AP15" s="35"/>
      <c r="AQ15" s="35"/>
      <c r="AR15" s="35"/>
      <c r="AS15" s="35"/>
      <c r="AT15" s="35"/>
      <c r="AU15" s="35"/>
      <c r="AV15" s="35"/>
      <c r="AW15" s="35"/>
      <c r="AX15" s="35"/>
      <c r="AY15" s="35"/>
      <c r="AZ15" s="35"/>
      <c r="BA15" s="35"/>
      <c r="BB15" s="35"/>
      <c r="BC15" s="35"/>
      <c r="BD15" s="35"/>
      <c r="BE15" s="35"/>
      <c r="BF15" s="35"/>
      <c r="BG15" s="35"/>
      <c r="BH15" s="35"/>
      <c r="BI15" s="35"/>
      <c r="BJ15" s="35"/>
      <c r="BK15" s="35"/>
      <c r="BL15" s="35"/>
    </row>
    <row r="16" spans="1:64" ht="14">
      <c r="A16" s="36"/>
      <c r="B16" s="37"/>
      <c r="C16" s="38">
        <f t="shared" si="0"/>
        <v>0</v>
      </c>
      <c r="D16" s="39"/>
      <c r="E16" s="39"/>
      <c r="F16" s="39"/>
      <c r="G16" s="39"/>
      <c r="H16" s="40"/>
      <c r="I16" s="41"/>
      <c r="J16" s="39"/>
      <c r="K16" s="41"/>
      <c r="L16" s="41"/>
      <c r="M16" s="42" t="str">
        <f t="shared" si="1"/>
        <v/>
      </c>
      <c r="N16" s="40" t="str">
        <f t="shared" si="2"/>
        <v/>
      </c>
      <c r="O16" s="40" t="str">
        <f t="shared" si="3"/>
        <v/>
      </c>
      <c r="P16" s="43" t="str">
        <f t="shared" si="4"/>
        <v/>
      </c>
      <c r="Q16" s="44">
        <f t="shared" si="5"/>
        <v>0</v>
      </c>
      <c r="R16" s="44">
        <f t="shared" si="6"/>
        <v>0</v>
      </c>
      <c r="S16" s="43">
        <f t="shared" si="7"/>
        <v>0</v>
      </c>
      <c r="T16" s="39"/>
      <c r="U16" s="35"/>
      <c r="V16" s="35"/>
      <c r="W16" s="35"/>
      <c r="X16" s="35"/>
      <c r="Y16" s="35"/>
      <c r="Z16" s="35"/>
      <c r="AA16" s="35"/>
      <c r="AB16" s="35"/>
      <c r="AC16" s="35"/>
      <c r="AD16" s="35"/>
      <c r="AE16" s="35"/>
      <c r="AF16" s="35"/>
      <c r="AG16" s="35"/>
      <c r="AH16" s="35"/>
      <c r="AI16" s="35"/>
      <c r="AJ16" s="35"/>
      <c r="AK16" s="35"/>
      <c r="AL16" s="35"/>
      <c r="AM16" s="35"/>
      <c r="AN16" s="35"/>
      <c r="AO16" s="35"/>
      <c r="AP16" s="35"/>
      <c r="AQ16" s="35"/>
      <c r="AR16" s="35"/>
      <c r="AS16" s="35"/>
      <c r="AT16" s="35"/>
      <c r="AU16" s="35"/>
      <c r="AV16" s="35"/>
      <c r="AW16" s="35"/>
      <c r="AX16" s="35"/>
      <c r="AY16" s="35"/>
      <c r="AZ16" s="35"/>
      <c r="BA16" s="35"/>
      <c r="BB16" s="35"/>
      <c r="BC16" s="35"/>
      <c r="BD16" s="35"/>
      <c r="BE16" s="35"/>
      <c r="BF16" s="35"/>
      <c r="BG16" s="35"/>
      <c r="BH16" s="35"/>
      <c r="BI16" s="35"/>
      <c r="BJ16" s="35"/>
      <c r="BK16" s="35"/>
      <c r="BL16" s="35"/>
    </row>
    <row r="17" spans="1:64" ht="14">
      <c r="A17" s="36"/>
      <c r="B17" s="37"/>
      <c r="C17" s="38">
        <f t="shared" si="0"/>
        <v>0</v>
      </c>
      <c r="D17" s="39"/>
      <c r="E17" s="39"/>
      <c r="F17" s="39"/>
      <c r="G17" s="39"/>
      <c r="H17" s="40"/>
      <c r="I17" s="41"/>
      <c r="J17" s="39"/>
      <c r="K17" s="41"/>
      <c r="L17" s="41"/>
      <c r="M17" s="42" t="str">
        <f t="shared" si="1"/>
        <v/>
      </c>
      <c r="N17" s="40" t="str">
        <f t="shared" si="2"/>
        <v/>
      </c>
      <c r="O17" s="40" t="str">
        <f t="shared" si="3"/>
        <v/>
      </c>
      <c r="P17" s="43" t="str">
        <f t="shared" si="4"/>
        <v/>
      </c>
      <c r="Q17" s="44">
        <f t="shared" si="5"/>
        <v>0</v>
      </c>
      <c r="R17" s="44">
        <f t="shared" si="6"/>
        <v>0</v>
      </c>
      <c r="S17" s="43">
        <f t="shared" si="7"/>
        <v>0</v>
      </c>
      <c r="T17" s="39"/>
      <c r="U17" s="35"/>
      <c r="V17" s="35"/>
      <c r="W17" s="35"/>
      <c r="X17" s="35"/>
      <c r="Y17" s="35"/>
      <c r="Z17" s="35"/>
      <c r="AA17" s="35"/>
      <c r="AB17" s="35"/>
      <c r="AC17" s="35"/>
      <c r="AD17" s="35"/>
      <c r="AE17" s="35"/>
      <c r="AF17" s="35"/>
      <c r="AG17" s="35"/>
      <c r="AH17" s="35"/>
      <c r="AI17" s="35"/>
      <c r="AJ17" s="35"/>
      <c r="AK17" s="35"/>
      <c r="AL17" s="35"/>
      <c r="AM17" s="35"/>
      <c r="AN17" s="35"/>
      <c r="AO17" s="35"/>
      <c r="AP17" s="35"/>
      <c r="AQ17" s="35"/>
      <c r="AR17" s="35"/>
      <c r="AS17" s="35"/>
      <c r="AT17" s="35"/>
      <c r="AU17" s="35"/>
      <c r="AV17" s="35"/>
      <c r="AW17" s="35"/>
      <c r="AX17" s="35"/>
      <c r="AY17" s="35"/>
      <c r="AZ17" s="35"/>
      <c r="BA17" s="35"/>
      <c r="BB17" s="35"/>
      <c r="BC17" s="35"/>
      <c r="BD17" s="35"/>
      <c r="BE17" s="35"/>
      <c r="BF17" s="35"/>
      <c r="BG17" s="35"/>
      <c r="BH17" s="35"/>
      <c r="BI17" s="35"/>
      <c r="BJ17" s="35"/>
      <c r="BK17" s="35"/>
      <c r="BL17" s="35"/>
    </row>
    <row r="18" spans="1:64" ht="14">
      <c r="A18" s="36"/>
      <c r="B18" s="37"/>
      <c r="C18" s="38">
        <f t="shared" si="0"/>
        <v>0</v>
      </c>
      <c r="D18" s="39"/>
      <c r="E18" s="39"/>
      <c r="F18" s="39"/>
      <c r="G18" s="39"/>
      <c r="H18" s="40"/>
      <c r="I18" s="41"/>
      <c r="J18" s="39"/>
      <c r="K18" s="41"/>
      <c r="L18" s="41"/>
      <c r="M18" s="42" t="str">
        <f t="shared" si="1"/>
        <v/>
      </c>
      <c r="N18" s="40" t="str">
        <f t="shared" si="2"/>
        <v/>
      </c>
      <c r="O18" s="40" t="str">
        <f t="shared" si="3"/>
        <v/>
      </c>
      <c r="P18" s="43" t="str">
        <f t="shared" si="4"/>
        <v/>
      </c>
      <c r="Q18" s="44">
        <f t="shared" si="5"/>
        <v>0</v>
      </c>
      <c r="R18" s="44">
        <f t="shared" si="6"/>
        <v>0</v>
      </c>
      <c r="S18" s="43">
        <f t="shared" si="7"/>
        <v>0</v>
      </c>
      <c r="T18" s="39"/>
      <c r="U18" s="35"/>
      <c r="V18" s="35"/>
      <c r="W18" s="35"/>
      <c r="X18" s="35"/>
      <c r="Y18" s="35"/>
      <c r="Z18" s="35"/>
      <c r="AA18" s="35"/>
      <c r="AB18" s="35"/>
      <c r="AC18" s="35"/>
      <c r="AD18" s="35"/>
      <c r="AE18" s="35"/>
      <c r="AF18" s="35"/>
      <c r="AG18" s="35"/>
      <c r="AH18" s="35"/>
      <c r="AI18" s="35"/>
      <c r="AJ18" s="35"/>
      <c r="AK18" s="35"/>
      <c r="AL18" s="35"/>
      <c r="AM18" s="35"/>
      <c r="AN18" s="35"/>
      <c r="AO18" s="35"/>
      <c r="AP18" s="35"/>
      <c r="AQ18" s="35"/>
      <c r="AR18" s="35"/>
      <c r="AS18" s="35"/>
      <c r="AT18" s="35"/>
      <c r="AU18" s="35"/>
      <c r="AV18" s="35"/>
      <c r="AW18" s="35"/>
      <c r="AX18" s="35"/>
      <c r="AY18" s="35"/>
      <c r="AZ18" s="35"/>
      <c r="BA18" s="35"/>
      <c r="BB18" s="35"/>
      <c r="BC18" s="35"/>
      <c r="BD18" s="35"/>
      <c r="BE18" s="35"/>
      <c r="BF18" s="35"/>
      <c r="BG18" s="35"/>
      <c r="BH18" s="35"/>
      <c r="BI18" s="35"/>
      <c r="BJ18" s="35"/>
      <c r="BK18" s="35"/>
      <c r="BL18" s="35"/>
    </row>
    <row r="19" spans="1:64" ht="14">
      <c r="A19" s="36"/>
      <c r="B19" s="37"/>
      <c r="C19" s="38">
        <f t="shared" si="0"/>
        <v>0</v>
      </c>
      <c r="D19" s="39"/>
      <c r="E19" s="39"/>
      <c r="F19" s="39"/>
      <c r="G19" s="39"/>
      <c r="H19" s="40"/>
      <c r="I19" s="41"/>
      <c r="J19" s="39"/>
      <c r="K19" s="41"/>
      <c r="L19" s="41"/>
      <c r="M19" s="42" t="str">
        <f t="shared" si="1"/>
        <v/>
      </c>
      <c r="N19" s="40" t="str">
        <f t="shared" si="2"/>
        <v/>
      </c>
      <c r="O19" s="40" t="str">
        <f t="shared" si="3"/>
        <v/>
      </c>
      <c r="P19" s="43" t="str">
        <f t="shared" si="4"/>
        <v/>
      </c>
      <c r="Q19" s="44">
        <f t="shared" si="5"/>
        <v>0</v>
      </c>
      <c r="R19" s="44">
        <f t="shared" si="6"/>
        <v>0</v>
      </c>
      <c r="S19" s="43">
        <f t="shared" si="7"/>
        <v>0</v>
      </c>
      <c r="T19" s="39"/>
      <c r="U19" s="35"/>
      <c r="V19" s="35"/>
      <c r="W19" s="35"/>
      <c r="X19" s="35"/>
      <c r="Y19" s="35"/>
      <c r="Z19" s="35"/>
      <c r="AA19" s="35"/>
      <c r="AB19" s="35"/>
      <c r="AC19" s="35"/>
      <c r="AD19" s="35"/>
      <c r="AE19" s="35"/>
      <c r="AF19" s="35"/>
      <c r="AG19" s="35"/>
      <c r="AH19" s="35"/>
      <c r="AI19" s="35"/>
      <c r="AJ19" s="35"/>
      <c r="AK19" s="35"/>
      <c r="AL19" s="35"/>
      <c r="AM19" s="35"/>
      <c r="AN19" s="35"/>
      <c r="AO19" s="35"/>
      <c r="AP19" s="35"/>
      <c r="AQ19" s="35"/>
      <c r="AR19" s="35"/>
      <c r="AS19" s="35"/>
      <c r="AT19" s="35"/>
      <c r="AU19" s="35"/>
      <c r="AV19" s="35"/>
      <c r="AW19" s="35"/>
      <c r="AX19" s="35"/>
      <c r="AY19" s="35"/>
      <c r="AZ19" s="35"/>
      <c r="BA19" s="35"/>
      <c r="BB19" s="35"/>
      <c r="BC19" s="35"/>
      <c r="BD19" s="35"/>
      <c r="BE19" s="35"/>
      <c r="BF19" s="35"/>
      <c r="BG19" s="35"/>
      <c r="BH19" s="35"/>
      <c r="BI19" s="35"/>
      <c r="BJ19" s="35"/>
      <c r="BK19" s="35"/>
      <c r="BL19" s="35"/>
    </row>
    <row r="20" spans="1:64" ht="14">
      <c r="A20" s="36"/>
      <c r="B20" s="37"/>
      <c r="C20" s="38">
        <f t="shared" si="0"/>
        <v>0</v>
      </c>
      <c r="D20" s="39"/>
      <c r="E20" s="39"/>
      <c r="F20" s="39"/>
      <c r="G20" s="39"/>
      <c r="H20" s="40"/>
      <c r="I20" s="41"/>
      <c r="J20" s="39"/>
      <c r="K20" s="41"/>
      <c r="L20" s="41"/>
      <c r="M20" s="42" t="str">
        <f t="shared" si="1"/>
        <v/>
      </c>
      <c r="N20" s="40" t="str">
        <f t="shared" si="2"/>
        <v/>
      </c>
      <c r="O20" s="40" t="str">
        <f t="shared" si="3"/>
        <v/>
      </c>
      <c r="P20" s="43" t="str">
        <f t="shared" si="4"/>
        <v/>
      </c>
      <c r="Q20" s="44">
        <f t="shared" si="5"/>
        <v>0</v>
      </c>
      <c r="R20" s="44">
        <f t="shared" si="6"/>
        <v>0</v>
      </c>
      <c r="S20" s="43">
        <f t="shared" si="7"/>
        <v>0</v>
      </c>
      <c r="T20" s="39"/>
      <c r="U20" s="35"/>
      <c r="V20" s="35"/>
      <c r="W20" s="35"/>
      <c r="X20" s="35"/>
      <c r="Y20" s="35"/>
      <c r="Z20" s="35"/>
      <c r="AA20" s="35"/>
      <c r="AB20" s="35"/>
      <c r="AC20" s="35"/>
      <c r="AD20" s="35"/>
      <c r="AE20" s="35"/>
      <c r="AF20" s="35"/>
      <c r="AG20" s="35"/>
      <c r="AH20" s="35"/>
      <c r="AI20" s="35"/>
      <c r="AJ20" s="35"/>
      <c r="AK20" s="35"/>
      <c r="AL20" s="35"/>
      <c r="AM20" s="35"/>
      <c r="AN20" s="35"/>
      <c r="AO20" s="35"/>
      <c r="AP20" s="35"/>
      <c r="AQ20" s="35"/>
      <c r="AR20" s="35"/>
      <c r="AS20" s="35"/>
      <c r="AT20" s="35"/>
      <c r="AU20" s="35"/>
      <c r="AV20" s="35"/>
      <c r="AW20" s="35"/>
      <c r="AX20" s="35"/>
      <c r="AY20" s="35"/>
      <c r="AZ20" s="35"/>
      <c r="BA20" s="35"/>
      <c r="BB20" s="35"/>
      <c r="BC20" s="35"/>
      <c r="BD20" s="35"/>
      <c r="BE20" s="35"/>
      <c r="BF20" s="35"/>
      <c r="BG20" s="35"/>
      <c r="BH20" s="35"/>
      <c r="BI20" s="35"/>
      <c r="BJ20" s="35"/>
      <c r="BK20" s="35"/>
      <c r="BL20" s="35"/>
    </row>
    <row r="21" spans="1:64" ht="14">
      <c r="A21" s="36"/>
      <c r="B21" s="37"/>
      <c r="C21" s="38">
        <f t="shared" si="0"/>
        <v>0</v>
      </c>
      <c r="D21" s="39"/>
      <c r="E21" s="39"/>
      <c r="F21" s="39"/>
      <c r="G21" s="39"/>
      <c r="H21" s="40"/>
      <c r="I21" s="41"/>
      <c r="J21" s="39"/>
      <c r="K21" s="41"/>
      <c r="L21" s="41"/>
      <c r="M21" s="42" t="str">
        <f t="shared" si="1"/>
        <v/>
      </c>
      <c r="N21" s="40" t="str">
        <f t="shared" si="2"/>
        <v/>
      </c>
      <c r="O21" s="40" t="str">
        <f t="shared" si="3"/>
        <v/>
      </c>
      <c r="P21" s="43" t="str">
        <f t="shared" si="4"/>
        <v/>
      </c>
      <c r="Q21" s="44">
        <f t="shared" si="5"/>
        <v>0</v>
      </c>
      <c r="R21" s="44">
        <f t="shared" si="6"/>
        <v>0</v>
      </c>
      <c r="S21" s="43">
        <f t="shared" si="7"/>
        <v>0</v>
      </c>
      <c r="T21" s="39"/>
      <c r="U21" s="35"/>
      <c r="V21" s="35"/>
      <c r="W21" s="35"/>
      <c r="X21" s="35"/>
      <c r="Y21" s="35"/>
      <c r="Z21" s="35"/>
      <c r="AA21" s="35"/>
      <c r="AB21" s="35"/>
      <c r="AC21" s="35"/>
      <c r="AD21" s="35"/>
      <c r="AE21" s="35"/>
      <c r="AF21" s="35"/>
      <c r="AG21" s="35"/>
      <c r="AH21" s="35"/>
      <c r="AI21" s="35"/>
      <c r="AJ21" s="35"/>
      <c r="AK21" s="35"/>
      <c r="AL21" s="35"/>
      <c r="AM21" s="35"/>
      <c r="AN21" s="35"/>
      <c r="AO21" s="35"/>
      <c r="AP21" s="35"/>
      <c r="AQ21" s="35"/>
      <c r="AR21" s="35"/>
      <c r="AS21" s="35"/>
      <c r="AT21" s="35"/>
      <c r="AU21" s="35"/>
      <c r="AV21" s="35"/>
      <c r="AW21" s="35"/>
      <c r="AX21" s="35"/>
      <c r="AY21" s="35"/>
      <c r="AZ21" s="35"/>
      <c r="BA21" s="35"/>
      <c r="BB21" s="35"/>
      <c r="BC21" s="35"/>
      <c r="BD21" s="35"/>
      <c r="BE21" s="35"/>
      <c r="BF21" s="35"/>
      <c r="BG21" s="35"/>
      <c r="BH21" s="35"/>
      <c r="BI21" s="35"/>
      <c r="BJ21" s="35"/>
      <c r="BK21" s="35"/>
      <c r="BL21" s="35"/>
    </row>
    <row r="22" spans="1:64" ht="14">
      <c r="A22" s="36"/>
      <c r="B22" s="37"/>
      <c r="C22" s="38">
        <f t="shared" si="0"/>
        <v>0</v>
      </c>
      <c r="D22" s="39"/>
      <c r="E22" s="39"/>
      <c r="F22" s="39"/>
      <c r="G22" s="39"/>
      <c r="H22" s="40"/>
      <c r="I22" s="41"/>
      <c r="J22" s="39"/>
      <c r="K22" s="41"/>
      <c r="L22" s="41"/>
      <c r="M22" s="42" t="str">
        <f t="shared" si="1"/>
        <v/>
      </c>
      <c r="N22" s="40" t="str">
        <f t="shared" si="2"/>
        <v/>
      </c>
      <c r="O22" s="40" t="str">
        <f t="shared" si="3"/>
        <v/>
      </c>
      <c r="P22" s="43" t="str">
        <f t="shared" si="4"/>
        <v/>
      </c>
      <c r="Q22" s="44">
        <f t="shared" si="5"/>
        <v>0</v>
      </c>
      <c r="R22" s="44">
        <f t="shared" si="6"/>
        <v>0</v>
      </c>
      <c r="S22" s="43">
        <f t="shared" si="7"/>
        <v>0</v>
      </c>
      <c r="T22" s="39"/>
      <c r="U22" s="35"/>
      <c r="V22" s="35"/>
      <c r="W22" s="35"/>
      <c r="X22" s="35"/>
      <c r="Y22" s="35"/>
      <c r="Z22" s="35"/>
      <c r="AA22" s="35"/>
      <c r="AB22" s="35"/>
      <c r="AC22" s="35"/>
      <c r="AD22" s="35"/>
      <c r="AE22" s="35"/>
      <c r="AF22" s="35"/>
      <c r="AG22" s="35"/>
      <c r="AH22" s="35"/>
      <c r="AI22" s="35"/>
      <c r="AJ22" s="35"/>
      <c r="AK22" s="35"/>
      <c r="AL22" s="35"/>
      <c r="AM22" s="35"/>
      <c r="AN22" s="35"/>
      <c r="AO22" s="35"/>
      <c r="AP22" s="35"/>
      <c r="AQ22" s="35"/>
      <c r="AR22" s="35"/>
      <c r="AS22" s="35"/>
      <c r="AT22" s="35"/>
      <c r="AU22" s="35"/>
      <c r="AV22" s="35"/>
      <c r="AW22" s="35"/>
      <c r="AX22" s="35"/>
      <c r="AY22" s="35"/>
      <c r="AZ22" s="35"/>
      <c r="BA22" s="35"/>
      <c r="BB22" s="35"/>
      <c r="BC22" s="35"/>
      <c r="BD22" s="35"/>
      <c r="BE22" s="35"/>
      <c r="BF22" s="35"/>
      <c r="BG22" s="35"/>
      <c r="BH22" s="35"/>
      <c r="BI22" s="35"/>
      <c r="BJ22" s="35"/>
      <c r="BK22" s="35"/>
      <c r="BL22" s="35"/>
    </row>
    <row r="23" spans="1:64" ht="14">
      <c r="A23" s="36"/>
      <c r="B23" s="37"/>
      <c r="C23" s="38">
        <f t="shared" si="0"/>
        <v>0</v>
      </c>
      <c r="D23" s="39"/>
      <c r="E23" s="39"/>
      <c r="F23" s="39"/>
      <c r="G23" s="39"/>
      <c r="H23" s="40"/>
      <c r="I23" s="41"/>
      <c r="J23" s="39"/>
      <c r="K23" s="41"/>
      <c r="L23" s="41"/>
      <c r="M23" s="42" t="str">
        <f t="shared" si="1"/>
        <v/>
      </c>
      <c r="N23" s="40" t="str">
        <f t="shared" si="2"/>
        <v/>
      </c>
      <c r="O23" s="40" t="str">
        <f t="shared" si="3"/>
        <v/>
      </c>
      <c r="P23" s="43" t="str">
        <f t="shared" si="4"/>
        <v/>
      </c>
      <c r="Q23" s="44">
        <f t="shared" si="5"/>
        <v>0</v>
      </c>
      <c r="R23" s="44">
        <f t="shared" si="6"/>
        <v>0</v>
      </c>
      <c r="S23" s="43">
        <f t="shared" si="7"/>
        <v>0</v>
      </c>
      <c r="T23" s="39"/>
      <c r="U23" s="35"/>
      <c r="V23" s="35"/>
      <c r="W23" s="35"/>
      <c r="X23" s="35"/>
      <c r="Y23" s="35"/>
      <c r="Z23" s="35"/>
      <c r="AA23" s="35"/>
      <c r="AB23" s="35"/>
      <c r="AC23" s="35"/>
      <c r="AD23" s="35"/>
      <c r="AE23" s="35"/>
      <c r="AF23" s="35"/>
      <c r="AG23" s="35"/>
      <c r="AH23" s="35"/>
      <c r="AI23" s="35"/>
      <c r="AJ23" s="35"/>
      <c r="AK23" s="35"/>
      <c r="AL23" s="35"/>
      <c r="AM23" s="35"/>
      <c r="AN23" s="35"/>
      <c r="AO23" s="35"/>
      <c r="AP23" s="35"/>
      <c r="AQ23" s="35"/>
      <c r="AR23" s="35"/>
      <c r="AS23" s="35"/>
      <c r="AT23" s="35"/>
      <c r="AU23" s="35"/>
      <c r="AV23" s="35"/>
      <c r="AW23" s="35"/>
      <c r="AX23" s="35"/>
      <c r="AY23" s="35"/>
      <c r="AZ23" s="35"/>
      <c r="BA23" s="35"/>
      <c r="BB23" s="35"/>
      <c r="BC23" s="35"/>
      <c r="BD23" s="35"/>
      <c r="BE23" s="35"/>
      <c r="BF23" s="35"/>
      <c r="BG23" s="35"/>
      <c r="BH23" s="35"/>
      <c r="BI23" s="35"/>
      <c r="BJ23" s="35"/>
      <c r="BK23" s="35"/>
      <c r="BL23" s="35"/>
    </row>
    <row r="24" spans="1:64" ht="14">
      <c r="A24" s="36"/>
      <c r="B24" s="37"/>
      <c r="C24" s="38">
        <f t="shared" si="0"/>
        <v>0</v>
      </c>
      <c r="D24" s="39"/>
      <c r="E24" s="39"/>
      <c r="F24" s="39"/>
      <c r="G24" s="39"/>
      <c r="H24" s="40"/>
      <c r="I24" s="41"/>
      <c r="J24" s="39"/>
      <c r="K24" s="41"/>
      <c r="L24" s="41"/>
      <c r="M24" s="42" t="str">
        <f t="shared" si="1"/>
        <v/>
      </c>
      <c r="N24" s="40" t="str">
        <f t="shared" si="2"/>
        <v/>
      </c>
      <c r="O24" s="40" t="str">
        <f t="shared" si="3"/>
        <v/>
      </c>
      <c r="P24" s="43" t="str">
        <f t="shared" si="4"/>
        <v/>
      </c>
      <c r="Q24" s="44">
        <f t="shared" si="5"/>
        <v>0</v>
      </c>
      <c r="R24" s="44">
        <f t="shared" si="6"/>
        <v>0</v>
      </c>
      <c r="S24" s="43">
        <f t="shared" si="7"/>
        <v>0</v>
      </c>
      <c r="T24" s="39"/>
      <c r="U24" s="35"/>
      <c r="V24" s="35"/>
      <c r="W24" s="35"/>
      <c r="X24" s="35"/>
      <c r="Y24" s="35"/>
      <c r="Z24" s="35"/>
      <c r="AA24" s="35"/>
      <c r="AB24" s="35"/>
      <c r="AC24" s="35"/>
      <c r="AD24" s="35"/>
      <c r="AE24" s="35"/>
      <c r="AF24" s="35"/>
      <c r="AG24" s="35"/>
      <c r="AH24" s="35"/>
      <c r="AI24" s="35"/>
      <c r="AJ24" s="35"/>
      <c r="AK24" s="35"/>
      <c r="AL24" s="35"/>
      <c r="AM24" s="35"/>
      <c r="AN24" s="35"/>
      <c r="AO24" s="35"/>
      <c r="AP24" s="35"/>
      <c r="AQ24" s="35"/>
      <c r="AR24" s="35"/>
      <c r="AS24" s="35"/>
      <c r="AT24" s="35"/>
      <c r="AU24" s="35"/>
      <c r="AV24" s="35"/>
      <c r="AW24" s="35"/>
      <c r="AX24" s="35"/>
      <c r="AY24" s="35"/>
      <c r="AZ24" s="35"/>
      <c r="BA24" s="35"/>
      <c r="BB24" s="35"/>
      <c r="BC24" s="35"/>
      <c r="BD24" s="35"/>
      <c r="BE24" s="35"/>
      <c r="BF24" s="35"/>
      <c r="BG24" s="35"/>
      <c r="BH24" s="35"/>
      <c r="BI24" s="35"/>
      <c r="BJ24" s="35"/>
      <c r="BK24" s="35"/>
      <c r="BL24" s="35"/>
    </row>
    <row r="25" spans="1:64" ht="14">
      <c r="A25" s="36"/>
      <c r="B25" s="37"/>
      <c r="C25" s="38">
        <f t="shared" si="0"/>
        <v>0</v>
      </c>
      <c r="D25" s="39"/>
      <c r="E25" s="39"/>
      <c r="F25" s="39"/>
      <c r="G25" s="39"/>
      <c r="H25" s="40"/>
      <c r="I25" s="41"/>
      <c r="J25" s="39"/>
      <c r="K25" s="41"/>
      <c r="L25" s="41"/>
      <c r="M25" s="42" t="str">
        <f t="shared" si="1"/>
        <v/>
      </c>
      <c r="N25" s="40" t="str">
        <f t="shared" si="2"/>
        <v/>
      </c>
      <c r="O25" s="40" t="str">
        <f t="shared" si="3"/>
        <v/>
      </c>
      <c r="P25" s="43" t="str">
        <f t="shared" si="4"/>
        <v/>
      </c>
      <c r="Q25" s="44">
        <f t="shared" si="5"/>
        <v>0</v>
      </c>
      <c r="R25" s="44">
        <f t="shared" si="6"/>
        <v>0</v>
      </c>
      <c r="S25" s="43">
        <f t="shared" si="7"/>
        <v>0</v>
      </c>
      <c r="T25" s="39"/>
      <c r="U25" s="35"/>
      <c r="V25" s="35"/>
      <c r="W25" s="35"/>
      <c r="X25" s="35"/>
      <c r="Y25" s="35"/>
      <c r="Z25" s="35"/>
      <c r="AA25" s="35"/>
      <c r="AB25" s="35"/>
      <c r="AC25" s="35"/>
      <c r="AD25" s="35"/>
      <c r="AE25" s="35"/>
      <c r="AF25" s="35"/>
      <c r="AG25" s="35"/>
      <c r="AH25" s="35"/>
      <c r="AI25" s="35"/>
      <c r="AJ25" s="35"/>
      <c r="AK25" s="35"/>
      <c r="AL25" s="35"/>
      <c r="AM25" s="35"/>
      <c r="AN25" s="35"/>
      <c r="AO25" s="35"/>
      <c r="AP25" s="35"/>
      <c r="AQ25" s="35"/>
      <c r="AR25" s="35"/>
      <c r="AS25" s="35"/>
      <c r="AT25" s="35"/>
      <c r="AU25" s="35"/>
      <c r="AV25" s="35"/>
      <c r="AW25" s="35"/>
      <c r="AX25" s="35"/>
      <c r="AY25" s="35"/>
      <c r="AZ25" s="35"/>
      <c r="BA25" s="35"/>
      <c r="BB25" s="35"/>
      <c r="BC25" s="35"/>
      <c r="BD25" s="35"/>
      <c r="BE25" s="35"/>
      <c r="BF25" s="35"/>
      <c r="BG25" s="35"/>
      <c r="BH25" s="35"/>
      <c r="BI25" s="35"/>
      <c r="BJ25" s="35"/>
      <c r="BK25" s="35"/>
      <c r="BL25" s="35"/>
    </row>
    <row r="26" spans="1:64" ht="14">
      <c r="A26" s="36"/>
      <c r="B26" s="37"/>
      <c r="C26" s="38">
        <f t="shared" si="0"/>
        <v>0</v>
      </c>
      <c r="D26" s="39"/>
      <c r="E26" s="39"/>
      <c r="F26" s="39"/>
      <c r="G26" s="39"/>
      <c r="H26" s="40"/>
      <c r="I26" s="41"/>
      <c r="J26" s="39"/>
      <c r="K26" s="41"/>
      <c r="L26" s="41"/>
      <c r="M26" s="42" t="str">
        <f t="shared" si="1"/>
        <v/>
      </c>
      <c r="N26" s="40" t="str">
        <f t="shared" si="2"/>
        <v/>
      </c>
      <c r="O26" s="40" t="str">
        <f t="shared" si="3"/>
        <v/>
      </c>
      <c r="P26" s="43" t="str">
        <f t="shared" si="4"/>
        <v/>
      </c>
      <c r="Q26" s="44">
        <f t="shared" si="5"/>
        <v>0</v>
      </c>
      <c r="R26" s="44">
        <f t="shared" si="6"/>
        <v>0</v>
      </c>
      <c r="S26" s="43">
        <f t="shared" si="7"/>
        <v>0</v>
      </c>
      <c r="T26" s="39"/>
      <c r="U26" s="35"/>
      <c r="V26" s="35"/>
      <c r="W26" s="35"/>
      <c r="X26" s="35"/>
      <c r="Y26" s="35"/>
      <c r="Z26" s="35"/>
      <c r="AA26" s="35"/>
      <c r="AB26" s="35"/>
      <c r="AC26" s="35"/>
      <c r="AD26" s="35"/>
      <c r="AE26" s="35"/>
      <c r="AF26" s="35"/>
      <c r="AG26" s="35"/>
      <c r="AH26" s="35"/>
      <c r="AI26" s="35"/>
      <c r="AJ26" s="35"/>
      <c r="AK26" s="35"/>
      <c r="AL26" s="35"/>
      <c r="AM26" s="35"/>
      <c r="AN26" s="35"/>
      <c r="AO26" s="35"/>
      <c r="AP26" s="35"/>
      <c r="AQ26" s="35"/>
      <c r="AR26" s="35"/>
      <c r="AS26" s="35"/>
      <c r="AT26" s="35"/>
      <c r="AU26" s="35"/>
      <c r="AV26" s="35"/>
      <c r="AW26" s="35"/>
      <c r="AX26" s="35"/>
      <c r="AY26" s="35"/>
      <c r="AZ26" s="35"/>
      <c r="BA26" s="35"/>
      <c r="BB26" s="35"/>
      <c r="BC26" s="35"/>
      <c r="BD26" s="35"/>
      <c r="BE26" s="35"/>
      <c r="BF26" s="35"/>
      <c r="BG26" s="35"/>
      <c r="BH26" s="35"/>
      <c r="BI26" s="35"/>
      <c r="BJ26" s="35"/>
      <c r="BK26" s="35"/>
      <c r="BL26" s="35"/>
    </row>
    <row r="27" spans="1:64" ht="14">
      <c r="A27" s="36"/>
      <c r="B27" s="37"/>
      <c r="C27" s="38">
        <f t="shared" si="0"/>
        <v>0</v>
      </c>
      <c r="D27" s="39"/>
      <c r="E27" s="39"/>
      <c r="F27" s="39"/>
      <c r="G27" s="39"/>
      <c r="H27" s="40"/>
      <c r="I27" s="41"/>
      <c r="J27" s="39"/>
      <c r="K27" s="41"/>
      <c r="L27" s="41"/>
      <c r="M27" s="42" t="str">
        <f t="shared" si="1"/>
        <v/>
      </c>
      <c r="N27" s="40" t="str">
        <f t="shared" si="2"/>
        <v/>
      </c>
      <c r="O27" s="40" t="str">
        <f t="shared" si="3"/>
        <v/>
      </c>
      <c r="P27" s="43" t="str">
        <f t="shared" si="4"/>
        <v/>
      </c>
      <c r="Q27" s="44">
        <f t="shared" si="5"/>
        <v>0</v>
      </c>
      <c r="R27" s="44">
        <f t="shared" si="6"/>
        <v>0</v>
      </c>
      <c r="S27" s="43">
        <f t="shared" si="7"/>
        <v>0</v>
      </c>
      <c r="T27" s="39"/>
      <c r="U27" s="35"/>
      <c r="V27" s="35"/>
      <c r="W27" s="35"/>
      <c r="X27" s="35"/>
      <c r="Y27" s="35"/>
      <c r="Z27" s="35"/>
      <c r="AA27" s="35"/>
      <c r="AB27" s="35"/>
      <c r="AC27" s="35"/>
      <c r="AD27" s="35"/>
      <c r="AE27" s="35"/>
      <c r="AF27" s="35"/>
      <c r="AG27" s="35"/>
      <c r="AH27" s="35"/>
      <c r="AI27" s="35"/>
      <c r="AJ27" s="35"/>
      <c r="AK27" s="35"/>
      <c r="AL27" s="35"/>
      <c r="AM27" s="35"/>
      <c r="AN27" s="35"/>
      <c r="AO27" s="35"/>
      <c r="AP27" s="35"/>
      <c r="AQ27" s="35"/>
      <c r="AR27" s="35"/>
      <c r="AS27" s="35"/>
      <c r="AT27" s="35"/>
      <c r="AU27" s="35"/>
      <c r="AV27" s="35"/>
      <c r="AW27" s="35"/>
      <c r="AX27" s="35"/>
      <c r="AY27" s="35"/>
      <c r="AZ27" s="35"/>
      <c r="BA27" s="35"/>
      <c r="BB27" s="35"/>
      <c r="BC27" s="35"/>
      <c r="BD27" s="35"/>
      <c r="BE27" s="35"/>
      <c r="BF27" s="35"/>
      <c r="BG27" s="35"/>
      <c r="BH27" s="35"/>
      <c r="BI27" s="35"/>
      <c r="BJ27" s="35"/>
      <c r="BK27" s="35"/>
      <c r="BL27" s="35"/>
    </row>
    <row r="28" spans="1:64" ht="14">
      <c r="A28" s="36"/>
      <c r="B28" s="37"/>
      <c r="C28" s="38">
        <f t="shared" si="0"/>
        <v>0</v>
      </c>
      <c r="D28" s="39"/>
      <c r="E28" s="39"/>
      <c r="F28" s="39"/>
      <c r="G28" s="39"/>
      <c r="H28" s="40"/>
      <c r="I28" s="41"/>
      <c r="J28" s="39"/>
      <c r="K28" s="41"/>
      <c r="L28" s="41"/>
      <c r="M28" s="42" t="str">
        <f t="shared" si="1"/>
        <v/>
      </c>
      <c r="N28" s="40" t="str">
        <f t="shared" si="2"/>
        <v/>
      </c>
      <c r="O28" s="40" t="str">
        <f t="shared" si="3"/>
        <v/>
      </c>
      <c r="P28" s="43" t="str">
        <f t="shared" si="4"/>
        <v/>
      </c>
      <c r="Q28" s="44">
        <f t="shared" si="5"/>
        <v>0</v>
      </c>
      <c r="R28" s="44">
        <f t="shared" si="6"/>
        <v>0</v>
      </c>
      <c r="S28" s="43">
        <f t="shared" si="7"/>
        <v>0</v>
      </c>
      <c r="T28" s="39"/>
      <c r="U28" s="35"/>
      <c r="V28" s="35"/>
      <c r="W28" s="35"/>
      <c r="X28" s="35"/>
      <c r="Y28" s="35"/>
      <c r="Z28" s="35"/>
      <c r="AA28" s="35"/>
      <c r="AB28" s="35"/>
      <c r="AC28" s="35"/>
      <c r="AD28" s="35"/>
      <c r="AE28" s="35"/>
      <c r="AF28" s="35"/>
      <c r="AG28" s="35"/>
      <c r="AH28" s="35"/>
      <c r="AI28" s="35"/>
      <c r="AJ28" s="35"/>
      <c r="AK28" s="35"/>
      <c r="AL28" s="35"/>
      <c r="AM28" s="35"/>
      <c r="AN28" s="35"/>
      <c r="AO28" s="35"/>
      <c r="AP28" s="35"/>
      <c r="AQ28" s="35"/>
      <c r="AR28" s="35"/>
      <c r="AS28" s="35"/>
      <c r="AT28" s="35"/>
      <c r="AU28" s="35"/>
      <c r="AV28" s="35"/>
      <c r="AW28" s="35"/>
      <c r="AX28" s="35"/>
      <c r="AY28" s="35"/>
      <c r="AZ28" s="35"/>
      <c r="BA28" s="35"/>
      <c r="BB28" s="35"/>
      <c r="BC28" s="35"/>
      <c r="BD28" s="35"/>
      <c r="BE28" s="35"/>
      <c r="BF28" s="35"/>
      <c r="BG28" s="35"/>
      <c r="BH28" s="35"/>
      <c r="BI28" s="35"/>
      <c r="BJ28" s="35"/>
      <c r="BK28" s="35"/>
      <c r="BL28" s="35"/>
    </row>
    <row r="29" spans="1:64" ht="14">
      <c r="A29" s="36"/>
      <c r="B29" s="37"/>
      <c r="C29" s="38">
        <f t="shared" si="0"/>
        <v>0</v>
      </c>
      <c r="D29" s="39"/>
      <c r="E29" s="39"/>
      <c r="F29" s="39"/>
      <c r="G29" s="39"/>
      <c r="H29" s="40"/>
      <c r="I29" s="41"/>
      <c r="J29" s="39"/>
      <c r="K29" s="41"/>
      <c r="L29" s="41"/>
      <c r="M29" s="42" t="str">
        <f t="shared" si="1"/>
        <v/>
      </c>
      <c r="N29" s="40" t="str">
        <f t="shared" si="2"/>
        <v/>
      </c>
      <c r="O29" s="40" t="str">
        <f t="shared" si="3"/>
        <v/>
      </c>
      <c r="P29" s="43" t="str">
        <f t="shared" si="4"/>
        <v/>
      </c>
      <c r="Q29" s="44">
        <f t="shared" si="5"/>
        <v>0</v>
      </c>
      <c r="R29" s="44">
        <f t="shared" si="6"/>
        <v>0</v>
      </c>
      <c r="S29" s="43">
        <f t="shared" si="7"/>
        <v>0</v>
      </c>
      <c r="T29" s="39"/>
      <c r="U29" s="35"/>
      <c r="V29" s="35"/>
      <c r="W29" s="35"/>
      <c r="X29" s="35"/>
      <c r="Y29" s="35"/>
      <c r="Z29" s="35"/>
      <c r="AA29" s="35"/>
      <c r="AB29" s="35"/>
      <c r="AC29" s="35"/>
      <c r="AD29" s="35"/>
      <c r="AE29" s="35"/>
      <c r="AF29" s="35"/>
      <c r="AG29" s="35"/>
      <c r="AH29" s="35"/>
      <c r="AI29" s="35"/>
      <c r="AJ29" s="35"/>
      <c r="AK29" s="35"/>
      <c r="AL29" s="35"/>
      <c r="AM29" s="35"/>
      <c r="AN29" s="35"/>
      <c r="AO29" s="35"/>
      <c r="AP29" s="35"/>
      <c r="AQ29" s="35"/>
      <c r="AR29" s="35"/>
      <c r="AS29" s="35"/>
      <c r="AT29" s="35"/>
      <c r="AU29" s="35"/>
      <c r="AV29" s="35"/>
      <c r="AW29" s="35"/>
      <c r="AX29" s="35"/>
      <c r="AY29" s="35"/>
      <c r="AZ29" s="35"/>
      <c r="BA29" s="35"/>
      <c r="BB29" s="35"/>
      <c r="BC29" s="35"/>
      <c r="BD29" s="35"/>
      <c r="BE29" s="35"/>
      <c r="BF29" s="35"/>
      <c r="BG29" s="35"/>
      <c r="BH29" s="35"/>
      <c r="BI29" s="35"/>
      <c r="BJ29" s="35"/>
      <c r="BK29" s="35"/>
      <c r="BL29" s="35"/>
    </row>
    <row r="30" spans="1:64" ht="14">
      <c r="A30" s="36"/>
      <c r="B30" s="37"/>
      <c r="C30" s="38">
        <f t="shared" si="0"/>
        <v>0</v>
      </c>
      <c r="D30" s="39"/>
      <c r="E30" s="39"/>
      <c r="F30" s="39"/>
      <c r="G30" s="39"/>
      <c r="H30" s="40"/>
      <c r="I30" s="41"/>
      <c r="J30" s="39"/>
      <c r="K30" s="41"/>
      <c r="L30" s="41"/>
      <c r="M30" s="42" t="str">
        <f t="shared" si="1"/>
        <v/>
      </c>
      <c r="N30" s="40" t="str">
        <f t="shared" si="2"/>
        <v/>
      </c>
      <c r="O30" s="40" t="str">
        <f t="shared" si="3"/>
        <v/>
      </c>
      <c r="P30" s="43" t="str">
        <f t="shared" si="4"/>
        <v/>
      </c>
      <c r="Q30" s="44">
        <f t="shared" si="5"/>
        <v>0</v>
      </c>
      <c r="R30" s="44">
        <f t="shared" si="6"/>
        <v>0</v>
      </c>
      <c r="S30" s="43">
        <f t="shared" si="7"/>
        <v>0</v>
      </c>
      <c r="T30" s="39"/>
      <c r="U30" s="35"/>
      <c r="V30" s="35"/>
      <c r="W30" s="35"/>
      <c r="X30" s="35"/>
      <c r="Y30" s="35"/>
      <c r="Z30" s="35"/>
      <c r="AA30" s="35"/>
      <c r="AB30" s="35"/>
      <c r="AC30" s="35"/>
      <c r="AD30" s="35"/>
      <c r="AE30" s="35"/>
      <c r="AF30" s="35"/>
      <c r="AG30" s="35"/>
      <c r="AH30" s="35"/>
      <c r="AI30" s="35"/>
      <c r="AJ30" s="35"/>
      <c r="AK30" s="35"/>
      <c r="AL30" s="35"/>
      <c r="AM30" s="35"/>
      <c r="AN30" s="35"/>
      <c r="AO30" s="35"/>
      <c r="AP30" s="35"/>
      <c r="AQ30" s="35"/>
      <c r="AR30" s="35"/>
      <c r="AS30" s="35"/>
      <c r="AT30" s="35"/>
      <c r="AU30" s="35"/>
      <c r="AV30" s="35"/>
      <c r="AW30" s="35"/>
      <c r="AX30" s="35"/>
      <c r="AY30" s="35"/>
      <c r="AZ30" s="35"/>
      <c r="BA30" s="35"/>
      <c r="BB30" s="35"/>
      <c r="BC30" s="35"/>
      <c r="BD30" s="35"/>
      <c r="BE30" s="35"/>
      <c r="BF30" s="35"/>
      <c r="BG30" s="35"/>
      <c r="BH30" s="35"/>
      <c r="BI30" s="35"/>
      <c r="BJ30" s="35"/>
      <c r="BK30" s="35"/>
      <c r="BL30" s="35"/>
    </row>
    <row r="31" spans="1:64" ht="14">
      <c r="A31" s="36"/>
      <c r="B31" s="37"/>
      <c r="C31" s="38">
        <f t="shared" si="0"/>
        <v>0</v>
      </c>
      <c r="D31" s="39"/>
      <c r="E31" s="39"/>
      <c r="F31" s="39"/>
      <c r="G31" s="39"/>
      <c r="H31" s="40"/>
      <c r="I31" s="41"/>
      <c r="J31" s="39"/>
      <c r="K31" s="41"/>
      <c r="L31" s="41"/>
      <c r="M31" s="42" t="str">
        <f t="shared" si="1"/>
        <v/>
      </c>
      <c r="N31" s="40" t="str">
        <f t="shared" si="2"/>
        <v/>
      </c>
      <c r="O31" s="40" t="str">
        <f t="shared" si="3"/>
        <v/>
      </c>
      <c r="P31" s="43" t="str">
        <f t="shared" si="4"/>
        <v/>
      </c>
      <c r="Q31" s="44">
        <f t="shared" si="5"/>
        <v>0</v>
      </c>
      <c r="R31" s="44">
        <f t="shared" si="6"/>
        <v>0</v>
      </c>
      <c r="S31" s="43">
        <f t="shared" si="7"/>
        <v>0</v>
      </c>
      <c r="T31" s="39"/>
      <c r="U31" s="35"/>
      <c r="V31" s="35"/>
      <c r="W31" s="35"/>
      <c r="X31" s="35"/>
      <c r="Y31" s="35"/>
      <c r="Z31" s="35"/>
      <c r="AA31" s="35"/>
      <c r="AB31" s="35"/>
      <c r="AC31" s="35"/>
      <c r="AD31" s="35"/>
      <c r="AE31" s="35"/>
      <c r="AF31" s="35"/>
      <c r="AG31" s="35"/>
      <c r="AH31" s="35"/>
      <c r="AI31" s="35"/>
      <c r="AJ31" s="35"/>
      <c r="AK31" s="35"/>
      <c r="AL31" s="35"/>
      <c r="AM31" s="35"/>
      <c r="AN31" s="35"/>
      <c r="AO31" s="35"/>
      <c r="AP31" s="35"/>
      <c r="AQ31" s="35"/>
      <c r="AR31" s="35"/>
      <c r="AS31" s="35"/>
      <c r="AT31" s="35"/>
      <c r="AU31" s="35"/>
      <c r="AV31" s="35"/>
      <c r="AW31" s="35"/>
      <c r="AX31" s="35"/>
      <c r="AY31" s="35"/>
      <c r="AZ31" s="35"/>
      <c r="BA31" s="35"/>
      <c r="BB31" s="35"/>
      <c r="BC31" s="35"/>
      <c r="BD31" s="35"/>
      <c r="BE31" s="35"/>
      <c r="BF31" s="35"/>
      <c r="BG31" s="35"/>
      <c r="BH31" s="35"/>
      <c r="BI31" s="35"/>
      <c r="BJ31" s="35"/>
      <c r="BK31" s="35"/>
      <c r="BL31" s="35"/>
    </row>
    <row r="32" spans="1:64" ht="14">
      <c r="A32" s="36"/>
      <c r="B32" s="37"/>
      <c r="C32" s="38">
        <f t="shared" si="0"/>
        <v>0</v>
      </c>
      <c r="D32" s="39"/>
      <c r="E32" s="39"/>
      <c r="F32" s="39"/>
      <c r="G32" s="39"/>
      <c r="H32" s="40"/>
      <c r="I32" s="41"/>
      <c r="J32" s="39"/>
      <c r="K32" s="41"/>
      <c r="L32" s="41"/>
      <c r="M32" s="42" t="str">
        <f t="shared" si="1"/>
        <v/>
      </c>
      <c r="N32" s="40" t="str">
        <f t="shared" si="2"/>
        <v/>
      </c>
      <c r="O32" s="40" t="str">
        <f t="shared" si="3"/>
        <v/>
      </c>
      <c r="P32" s="43" t="str">
        <f t="shared" si="4"/>
        <v/>
      </c>
      <c r="Q32" s="44">
        <f t="shared" si="5"/>
        <v>0</v>
      </c>
      <c r="R32" s="44">
        <f t="shared" si="6"/>
        <v>0</v>
      </c>
      <c r="S32" s="43">
        <f t="shared" si="7"/>
        <v>0</v>
      </c>
      <c r="T32" s="39"/>
      <c r="U32" s="35"/>
      <c r="V32" s="35"/>
      <c r="W32" s="35"/>
      <c r="X32" s="35"/>
      <c r="Y32" s="35"/>
      <c r="Z32" s="35"/>
      <c r="AA32" s="35"/>
      <c r="AB32" s="35"/>
      <c r="AC32" s="35"/>
      <c r="AD32" s="35"/>
      <c r="AE32" s="35"/>
      <c r="AF32" s="35"/>
      <c r="AG32" s="35"/>
      <c r="AH32" s="35"/>
      <c r="AI32" s="35"/>
      <c r="AJ32" s="35"/>
      <c r="AK32" s="35"/>
      <c r="AL32" s="35"/>
      <c r="AM32" s="35"/>
      <c r="AN32" s="35"/>
      <c r="AO32" s="35"/>
      <c r="AP32" s="35"/>
      <c r="AQ32" s="35"/>
      <c r="AR32" s="35"/>
      <c r="AS32" s="35"/>
      <c r="AT32" s="35"/>
      <c r="AU32" s="35"/>
      <c r="AV32" s="35"/>
      <c r="AW32" s="35"/>
      <c r="AX32" s="35"/>
      <c r="AY32" s="35"/>
      <c r="AZ32" s="35"/>
      <c r="BA32" s="35"/>
      <c r="BB32" s="35"/>
      <c r="BC32" s="35"/>
      <c r="BD32" s="35"/>
      <c r="BE32" s="35"/>
      <c r="BF32" s="35"/>
      <c r="BG32" s="35"/>
      <c r="BH32" s="35"/>
      <c r="BI32" s="35"/>
      <c r="BJ32" s="35"/>
      <c r="BK32" s="35"/>
      <c r="BL32" s="35"/>
    </row>
    <row r="33" spans="1:64" ht="14">
      <c r="A33" s="36"/>
      <c r="B33" s="37"/>
      <c r="C33" s="38">
        <f t="shared" si="0"/>
        <v>0</v>
      </c>
      <c r="D33" s="39"/>
      <c r="E33" s="39"/>
      <c r="F33" s="39"/>
      <c r="G33" s="39"/>
      <c r="H33" s="40"/>
      <c r="I33" s="41"/>
      <c r="J33" s="39"/>
      <c r="K33" s="41"/>
      <c r="L33" s="41"/>
      <c r="M33" s="42" t="str">
        <f t="shared" si="1"/>
        <v/>
      </c>
      <c r="N33" s="40" t="str">
        <f t="shared" si="2"/>
        <v/>
      </c>
      <c r="O33" s="40" t="str">
        <f t="shared" si="3"/>
        <v/>
      </c>
      <c r="P33" s="43" t="str">
        <f t="shared" si="4"/>
        <v/>
      </c>
      <c r="Q33" s="44">
        <f t="shared" si="5"/>
        <v>0</v>
      </c>
      <c r="R33" s="44">
        <f t="shared" si="6"/>
        <v>0</v>
      </c>
      <c r="S33" s="43">
        <f t="shared" si="7"/>
        <v>0</v>
      </c>
      <c r="T33" s="39"/>
      <c r="U33" s="35"/>
      <c r="V33" s="35"/>
      <c r="W33" s="35"/>
      <c r="X33" s="35"/>
      <c r="Y33" s="35"/>
      <c r="Z33" s="35"/>
      <c r="AA33" s="35"/>
      <c r="AB33" s="35"/>
      <c r="AC33" s="35"/>
      <c r="AD33" s="35"/>
      <c r="AE33" s="35"/>
      <c r="AF33" s="35"/>
      <c r="AG33" s="35"/>
      <c r="AH33" s="35"/>
      <c r="AI33" s="35"/>
      <c r="AJ33" s="35"/>
      <c r="AK33" s="35"/>
      <c r="AL33" s="35"/>
      <c r="AM33" s="35"/>
      <c r="AN33" s="35"/>
      <c r="AO33" s="35"/>
      <c r="AP33" s="35"/>
      <c r="AQ33" s="35"/>
      <c r="AR33" s="35"/>
      <c r="AS33" s="35"/>
      <c r="AT33" s="35"/>
      <c r="AU33" s="35"/>
      <c r="AV33" s="35"/>
      <c r="AW33" s="35"/>
      <c r="AX33" s="35"/>
      <c r="AY33" s="35"/>
      <c r="AZ33" s="35"/>
      <c r="BA33" s="35"/>
      <c r="BB33" s="35"/>
      <c r="BC33" s="35"/>
      <c r="BD33" s="35"/>
      <c r="BE33" s="35"/>
      <c r="BF33" s="35"/>
      <c r="BG33" s="35"/>
      <c r="BH33" s="35"/>
      <c r="BI33" s="35"/>
      <c r="BJ33" s="35"/>
      <c r="BK33" s="35"/>
      <c r="BL33" s="35"/>
    </row>
    <row r="34" spans="1:64" ht="14">
      <c r="A34" s="36"/>
      <c r="B34" s="37"/>
      <c r="C34" s="38">
        <f t="shared" si="0"/>
        <v>0</v>
      </c>
      <c r="D34" s="39"/>
      <c r="E34" s="39"/>
      <c r="F34" s="39"/>
      <c r="G34" s="39"/>
      <c r="H34" s="40"/>
      <c r="I34" s="41"/>
      <c r="J34" s="39"/>
      <c r="K34" s="41"/>
      <c r="L34" s="41"/>
      <c r="M34" s="42" t="str">
        <f t="shared" si="1"/>
        <v/>
      </c>
      <c r="N34" s="40" t="str">
        <f t="shared" si="2"/>
        <v/>
      </c>
      <c r="O34" s="40" t="str">
        <f t="shared" si="3"/>
        <v/>
      </c>
      <c r="P34" s="43" t="str">
        <f t="shared" si="4"/>
        <v/>
      </c>
      <c r="Q34" s="44">
        <f t="shared" si="5"/>
        <v>0</v>
      </c>
      <c r="R34" s="44">
        <f t="shared" si="6"/>
        <v>0</v>
      </c>
      <c r="S34" s="43">
        <f t="shared" si="7"/>
        <v>0</v>
      </c>
      <c r="T34" s="39"/>
      <c r="U34" s="35"/>
      <c r="V34" s="35"/>
      <c r="W34" s="35"/>
      <c r="X34" s="35"/>
      <c r="Y34" s="35"/>
      <c r="Z34" s="35"/>
      <c r="AA34" s="35"/>
      <c r="AB34" s="35"/>
      <c r="AC34" s="35"/>
      <c r="AD34" s="35"/>
      <c r="AE34" s="35"/>
      <c r="AF34" s="35"/>
      <c r="AG34" s="35"/>
      <c r="AH34" s="35"/>
      <c r="AI34" s="35"/>
      <c r="AJ34" s="35"/>
      <c r="AK34" s="35"/>
      <c r="AL34" s="35"/>
      <c r="AM34" s="35"/>
      <c r="AN34" s="35"/>
      <c r="AO34" s="35"/>
      <c r="AP34" s="35"/>
      <c r="AQ34" s="35"/>
      <c r="AR34" s="35"/>
      <c r="AS34" s="35"/>
      <c r="AT34" s="35"/>
      <c r="AU34" s="35"/>
      <c r="AV34" s="35"/>
      <c r="AW34" s="35"/>
      <c r="AX34" s="35"/>
      <c r="AY34" s="35"/>
      <c r="AZ34" s="35"/>
      <c r="BA34" s="35"/>
      <c r="BB34" s="35"/>
      <c r="BC34" s="35"/>
      <c r="BD34" s="35"/>
      <c r="BE34" s="35"/>
      <c r="BF34" s="35"/>
      <c r="BG34" s="35"/>
      <c r="BH34" s="35"/>
      <c r="BI34" s="35"/>
      <c r="BJ34" s="35"/>
      <c r="BK34" s="35"/>
      <c r="BL34" s="35"/>
    </row>
    <row r="35" spans="1:64" ht="14">
      <c r="A35" s="36"/>
      <c r="B35" s="37"/>
      <c r="C35" s="38">
        <f t="shared" si="0"/>
        <v>0</v>
      </c>
      <c r="D35" s="39"/>
      <c r="E35" s="39"/>
      <c r="F35" s="39"/>
      <c r="G35" s="39"/>
      <c r="H35" s="40"/>
      <c r="I35" s="41"/>
      <c r="J35" s="39"/>
      <c r="K35" s="41"/>
      <c r="L35" s="41"/>
      <c r="M35" s="42" t="str">
        <f t="shared" si="1"/>
        <v/>
      </c>
      <c r="N35" s="40" t="str">
        <f t="shared" si="2"/>
        <v/>
      </c>
      <c r="O35" s="40" t="str">
        <f t="shared" si="3"/>
        <v/>
      </c>
      <c r="P35" s="43" t="str">
        <f t="shared" si="4"/>
        <v/>
      </c>
      <c r="Q35" s="44">
        <f t="shared" si="5"/>
        <v>0</v>
      </c>
      <c r="R35" s="44">
        <f t="shared" si="6"/>
        <v>0</v>
      </c>
      <c r="S35" s="43">
        <f t="shared" si="7"/>
        <v>0</v>
      </c>
      <c r="T35" s="39"/>
      <c r="U35" s="35"/>
      <c r="V35" s="35"/>
      <c r="W35" s="35"/>
      <c r="X35" s="35"/>
      <c r="Y35" s="35"/>
      <c r="Z35" s="35"/>
      <c r="AA35" s="35"/>
      <c r="AB35" s="35"/>
      <c r="AC35" s="35"/>
      <c r="AD35" s="35"/>
      <c r="AE35" s="35"/>
      <c r="AF35" s="35"/>
      <c r="AG35" s="35"/>
      <c r="AH35" s="35"/>
      <c r="AI35" s="35"/>
      <c r="AJ35" s="35"/>
      <c r="AK35" s="35"/>
      <c r="AL35" s="35"/>
      <c r="AM35" s="35"/>
      <c r="AN35" s="35"/>
      <c r="AO35" s="35"/>
      <c r="AP35" s="35"/>
      <c r="AQ35" s="35"/>
      <c r="AR35" s="35"/>
      <c r="AS35" s="35"/>
      <c r="AT35" s="35"/>
      <c r="AU35" s="35"/>
      <c r="AV35" s="35"/>
      <c r="AW35" s="35"/>
      <c r="AX35" s="35"/>
      <c r="AY35" s="35"/>
      <c r="AZ35" s="35"/>
      <c r="BA35" s="35"/>
      <c r="BB35" s="35"/>
      <c r="BC35" s="35"/>
      <c r="BD35" s="35"/>
      <c r="BE35" s="35"/>
      <c r="BF35" s="35"/>
      <c r="BG35" s="35"/>
      <c r="BH35" s="35"/>
      <c r="BI35" s="35"/>
      <c r="BJ35" s="35"/>
      <c r="BK35" s="35"/>
      <c r="BL35" s="35"/>
    </row>
    <row r="36" spans="1:64" ht="14">
      <c r="A36" s="36"/>
      <c r="B36" s="37"/>
      <c r="C36" s="38">
        <f t="shared" si="0"/>
        <v>0</v>
      </c>
      <c r="D36" s="39"/>
      <c r="E36" s="39"/>
      <c r="F36" s="39"/>
      <c r="G36" s="39"/>
      <c r="H36" s="40"/>
      <c r="I36" s="41"/>
      <c r="J36" s="39"/>
      <c r="K36" s="41"/>
      <c r="L36" s="41"/>
      <c r="M36" s="42" t="str">
        <f t="shared" si="1"/>
        <v/>
      </c>
      <c r="N36" s="40" t="str">
        <f t="shared" si="2"/>
        <v/>
      </c>
      <c r="O36" s="40" t="str">
        <f t="shared" si="3"/>
        <v/>
      </c>
      <c r="P36" s="43" t="str">
        <f t="shared" si="4"/>
        <v/>
      </c>
      <c r="Q36" s="44">
        <f t="shared" si="5"/>
        <v>0</v>
      </c>
      <c r="R36" s="44">
        <f t="shared" si="6"/>
        <v>0</v>
      </c>
      <c r="S36" s="43">
        <f t="shared" si="7"/>
        <v>0</v>
      </c>
      <c r="T36" s="39"/>
      <c r="U36" s="35"/>
      <c r="V36" s="35"/>
      <c r="W36" s="35"/>
      <c r="X36" s="35"/>
      <c r="Y36" s="35"/>
      <c r="Z36" s="35"/>
      <c r="AA36" s="35"/>
      <c r="AB36" s="35"/>
      <c r="AC36" s="35"/>
      <c r="AD36" s="35"/>
      <c r="AE36" s="35"/>
      <c r="AF36" s="35"/>
      <c r="AG36" s="35"/>
      <c r="AH36" s="35"/>
      <c r="AI36" s="35"/>
      <c r="AJ36" s="35"/>
      <c r="AK36" s="35"/>
      <c r="AL36" s="35"/>
      <c r="AM36" s="35"/>
      <c r="AN36" s="35"/>
      <c r="AO36" s="35"/>
      <c r="AP36" s="35"/>
      <c r="AQ36" s="35"/>
      <c r="AR36" s="35"/>
      <c r="AS36" s="35"/>
      <c r="AT36" s="35"/>
      <c r="AU36" s="35"/>
      <c r="AV36" s="35"/>
      <c r="AW36" s="35"/>
      <c r="AX36" s="35"/>
      <c r="AY36" s="35"/>
      <c r="AZ36" s="35"/>
      <c r="BA36" s="35"/>
      <c r="BB36" s="35"/>
      <c r="BC36" s="35"/>
      <c r="BD36" s="35"/>
      <c r="BE36" s="35"/>
      <c r="BF36" s="35"/>
      <c r="BG36" s="35"/>
      <c r="BH36" s="35"/>
      <c r="BI36" s="35"/>
      <c r="BJ36" s="35"/>
      <c r="BK36" s="35"/>
      <c r="BL36" s="35"/>
    </row>
    <row r="37" spans="1:64" ht="14">
      <c r="A37" s="36"/>
      <c r="B37" s="37"/>
      <c r="C37" s="38">
        <f t="shared" si="0"/>
        <v>0</v>
      </c>
      <c r="D37" s="39"/>
      <c r="E37" s="39"/>
      <c r="F37" s="39"/>
      <c r="G37" s="39"/>
      <c r="H37" s="40"/>
      <c r="I37" s="41"/>
      <c r="J37" s="39"/>
      <c r="K37" s="41"/>
      <c r="L37" s="41"/>
      <c r="M37" s="42" t="str">
        <f t="shared" si="1"/>
        <v/>
      </c>
      <c r="N37" s="40" t="str">
        <f t="shared" si="2"/>
        <v/>
      </c>
      <c r="O37" s="40" t="str">
        <f t="shared" si="3"/>
        <v/>
      </c>
      <c r="P37" s="43" t="str">
        <f t="shared" si="4"/>
        <v/>
      </c>
      <c r="Q37" s="44">
        <f t="shared" si="5"/>
        <v>0</v>
      </c>
      <c r="R37" s="44">
        <f t="shared" si="6"/>
        <v>0</v>
      </c>
      <c r="S37" s="43">
        <f t="shared" si="7"/>
        <v>0</v>
      </c>
      <c r="T37" s="39"/>
      <c r="U37" s="35"/>
      <c r="V37" s="35"/>
      <c r="W37" s="35"/>
      <c r="X37" s="35"/>
      <c r="Y37" s="35"/>
      <c r="Z37" s="35"/>
      <c r="AA37" s="35"/>
      <c r="AB37" s="35"/>
      <c r="AC37" s="35"/>
      <c r="AD37" s="35"/>
      <c r="AE37" s="35"/>
      <c r="AF37" s="35"/>
      <c r="AG37" s="35"/>
      <c r="AH37" s="35"/>
      <c r="AI37" s="35"/>
      <c r="AJ37" s="35"/>
      <c r="AK37" s="35"/>
      <c r="AL37" s="35"/>
      <c r="AM37" s="35"/>
      <c r="AN37" s="35"/>
      <c r="AO37" s="35"/>
      <c r="AP37" s="35"/>
      <c r="AQ37" s="35"/>
      <c r="AR37" s="35"/>
      <c r="AS37" s="35"/>
      <c r="AT37" s="35"/>
      <c r="AU37" s="35"/>
      <c r="AV37" s="35"/>
      <c r="AW37" s="35"/>
      <c r="AX37" s="35"/>
      <c r="AY37" s="35"/>
      <c r="AZ37" s="35"/>
      <c r="BA37" s="35"/>
      <c r="BB37" s="35"/>
      <c r="BC37" s="35"/>
      <c r="BD37" s="35"/>
      <c r="BE37" s="35"/>
      <c r="BF37" s="35"/>
      <c r="BG37" s="35"/>
      <c r="BH37" s="35"/>
      <c r="BI37" s="35"/>
      <c r="BJ37" s="35"/>
      <c r="BK37" s="35"/>
      <c r="BL37" s="35"/>
    </row>
    <row r="38" spans="1:64" ht="14">
      <c r="A38" s="36"/>
      <c r="B38" s="37"/>
      <c r="C38" s="38">
        <f t="shared" si="0"/>
        <v>0</v>
      </c>
      <c r="D38" s="39"/>
      <c r="E38" s="39"/>
      <c r="F38" s="39"/>
      <c r="G38" s="39"/>
      <c r="H38" s="40"/>
      <c r="I38" s="41"/>
      <c r="J38" s="39"/>
      <c r="K38" s="41"/>
      <c r="L38" s="41"/>
      <c r="M38" s="42" t="str">
        <f t="shared" si="1"/>
        <v/>
      </c>
      <c r="N38" s="40" t="str">
        <f t="shared" si="2"/>
        <v/>
      </c>
      <c r="O38" s="40" t="str">
        <f t="shared" si="3"/>
        <v/>
      </c>
      <c r="P38" s="43" t="str">
        <f t="shared" si="4"/>
        <v/>
      </c>
      <c r="Q38" s="44">
        <f t="shared" si="5"/>
        <v>0</v>
      </c>
      <c r="R38" s="44">
        <f t="shared" si="6"/>
        <v>0</v>
      </c>
      <c r="S38" s="43">
        <f t="shared" si="7"/>
        <v>0</v>
      </c>
      <c r="T38" s="39"/>
      <c r="U38" s="35"/>
      <c r="V38" s="35"/>
      <c r="W38" s="35"/>
      <c r="X38" s="35"/>
      <c r="Y38" s="35"/>
      <c r="Z38" s="35"/>
      <c r="AA38" s="35"/>
      <c r="AB38" s="35"/>
      <c r="AC38" s="35"/>
      <c r="AD38" s="35"/>
      <c r="AE38" s="35"/>
      <c r="AF38" s="35"/>
      <c r="AG38" s="35"/>
      <c r="AH38" s="35"/>
      <c r="AI38" s="35"/>
      <c r="AJ38" s="35"/>
      <c r="AK38" s="35"/>
      <c r="AL38" s="35"/>
      <c r="AM38" s="35"/>
      <c r="AN38" s="35"/>
      <c r="AO38" s="35"/>
      <c r="AP38" s="35"/>
      <c r="AQ38" s="35"/>
      <c r="AR38" s="35"/>
      <c r="AS38" s="35"/>
      <c r="AT38" s="35"/>
      <c r="AU38" s="35"/>
      <c r="AV38" s="35"/>
      <c r="AW38" s="35"/>
      <c r="AX38" s="35"/>
      <c r="AY38" s="35"/>
      <c r="AZ38" s="35"/>
      <c r="BA38" s="35"/>
      <c r="BB38" s="35"/>
      <c r="BC38" s="35"/>
      <c r="BD38" s="35"/>
      <c r="BE38" s="35"/>
      <c r="BF38" s="35"/>
      <c r="BG38" s="35"/>
      <c r="BH38" s="35"/>
      <c r="BI38" s="35"/>
      <c r="BJ38" s="35"/>
      <c r="BK38" s="35"/>
      <c r="BL38" s="35"/>
    </row>
    <row r="39" spans="1:64" ht="14">
      <c r="A39" s="36"/>
      <c r="B39" s="37"/>
      <c r="C39" s="38">
        <f t="shared" si="0"/>
        <v>0</v>
      </c>
      <c r="D39" s="39"/>
      <c r="E39" s="39"/>
      <c r="F39" s="39"/>
      <c r="G39" s="39"/>
      <c r="H39" s="40"/>
      <c r="I39" s="41"/>
      <c r="J39" s="39"/>
      <c r="K39" s="41"/>
      <c r="L39" s="41"/>
      <c r="M39" s="42" t="str">
        <f t="shared" si="1"/>
        <v/>
      </c>
      <c r="N39" s="40" t="str">
        <f t="shared" si="2"/>
        <v/>
      </c>
      <c r="O39" s="40" t="str">
        <f t="shared" si="3"/>
        <v/>
      </c>
      <c r="P39" s="43" t="str">
        <f t="shared" si="4"/>
        <v/>
      </c>
      <c r="Q39" s="44">
        <f t="shared" si="5"/>
        <v>0</v>
      </c>
      <c r="R39" s="44">
        <f t="shared" si="6"/>
        <v>0</v>
      </c>
      <c r="S39" s="43">
        <f t="shared" si="7"/>
        <v>0</v>
      </c>
      <c r="T39" s="39"/>
      <c r="U39" s="35"/>
      <c r="V39" s="35"/>
      <c r="W39" s="35"/>
      <c r="X39" s="35"/>
      <c r="Y39" s="35"/>
      <c r="Z39" s="35"/>
      <c r="AA39" s="35"/>
      <c r="AB39" s="35"/>
      <c r="AC39" s="35"/>
      <c r="AD39" s="35"/>
      <c r="AE39" s="35"/>
      <c r="AF39" s="35"/>
      <c r="AG39" s="35"/>
      <c r="AH39" s="35"/>
      <c r="AI39" s="35"/>
      <c r="AJ39" s="35"/>
      <c r="AK39" s="35"/>
      <c r="AL39" s="35"/>
      <c r="AM39" s="35"/>
      <c r="AN39" s="35"/>
      <c r="AO39" s="35"/>
      <c r="AP39" s="35"/>
      <c r="AQ39" s="35"/>
      <c r="AR39" s="35"/>
      <c r="AS39" s="35"/>
      <c r="AT39" s="35"/>
      <c r="AU39" s="35"/>
      <c r="AV39" s="35"/>
      <c r="AW39" s="35"/>
      <c r="AX39" s="35"/>
      <c r="AY39" s="35"/>
      <c r="AZ39" s="35"/>
      <c r="BA39" s="35"/>
      <c r="BB39" s="35"/>
      <c r="BC39" s="35"/>
      <c r="BD39" s="35"/>
      <c r="BE39" s="35"/>
      <c r="BF39" s="35"/>
      <c r="BG39" s="35"/>
      <c r="BH39" s="35"/>
      <c r="BI39" s="35"/>
      <c r="BJ39" s="35"/>
      <c r="BK39" s="35"/>
      <c r="BL39" s="35"/>
    </row>
    <row r="40" spans="1:64" ht="14">
      <c r="A40" s="36"/>
      <c r="B40" s="37"/>
      <c r="C40" s="38">
        <f t="shared" si="0"/>
        <v>0</v>
      </c>
      <c r="D40" s="39"/>
      <c r="E40" s="39"/>
      <c r="F40" s="39"/>
      <c r="G40" s="39"/>
      <c r="H40" s="40"/>
      <c r="I40" s="41"/>
      <c r="J40" s="39"/>
      <c r="K40" s="41"/>
      <c r="L40" s="41"/>
      <c r="M40" s="42" t="str">
        <f t="shared" si="1"/>
        <v/>
      </c>
      <c r="N40" s="40" t="str">
        <f t="shared" si="2"/>
        <v/>
      </c>
      <c r="O40" s="40" t="str">
        <f t="shared" si="3"/>
        <v/>
      </c>
      <c r="P40" s="43" t="str">
        <f t="shared" si="4"/>
        <v/>
      </c>
      <c r="Q40" s="44">
        <f t="shared" si="5"/>
        <v>0</v>
      </c>
      <c r="R40" s="44">
        <f t="shared" si="6"/>
        <v>0</v>
      </c>
      <c r="S40" s="43">
        <f t="shared" si="7"/>
        <v>0</v>
      </c>
      <c r="T40" s="39"/>
      <c r="U40" s="35"/>
      <c r="V40" s="35"/>
      <c r="W40" s="35"/>
      <c r="X40" s="35"/>
      <c r="Y40" s="35"/>
      <c r="Z40" s="35"/>
      <c r="AA40" s="35"/>
      <c r="AB40" s="35"/>
      <c r="AC40" s="35"/>
      <c r="AD40" s="35"/>
      <c r="AE40" s="35"/>
      <c r="AF40" s="35"/>
      <c r="AG40" s="35"/>
      <c r="AH40" s="35"/>
      <c r="AI40" s="35"/>
      <c r="AJ40" s="35"/>
      <c r="AK40" s="35"/>
      <c r="AL40" s="35"/>
      <c r="AM40" s="35"/>
      <c r="AN40" s="35"/>
      <c r="AO40" s="35"/>
      <c r="AP40" s="35"/>
      <c r="AQ40" s="35"/>
      <c r="AR40" s="35"/>
      <c r="AS40" s="35"/>
      <c r="AT40" s="35"/>
      <c r="AU40" s="35"/>
      <c r="AV40" s="35"/>
      <c r="AW40" s="35"/>
      <c r="AX40" s="35"/>
      <c r="AY40" s="35"/>
      <c r="AZ40" s="35"/>
      <c r="BA40" s="35"/>
      <c r="BB40" s="35"/>
      <c r="BC40" s="35"/>
      <c r="BD40" s="35"/>
      <c r="BE40" s="35"/>
      <c r="BF40" s="35"/>
      <c r="BG40" s="35"/>
      <c r="BH40" s="35"/>
      <c r="BI40" s="35"/>
      <c r="BJ40" s="35"/>
      <c r="BK40" s="35"/>
      <c r="BL40" s="35"/>
    </row>
    <row r="41" spans="1:64" ht="14">
      <c r="A41" s="36"/>
      <c r="B41" s="37"/>
      <c r="C41" s="38">
        <f t="shared" si="0"/>
        <v>0</v>
      </c>
      <c r="D41" s="39"/>
      <c r="E41" s="39"/>
      <c r="F41" s="39"/>
      <c r="G41" s="39"/>
      <c r="H41" s="40"/>
      <c r="I41" s="41"/>
      <c r="J41" s="39"/>
      <c r="K41" s="41"/>
      <c r="L41" s="41"/>
      <c r="M41" s="42" t="str">
        <f t="shared" si="1"/>
        <v/>
      </c>
      <c r="N41" s="40" t="str">
        <f t="shared" si="2"/>
        <v/>
      </c>
      <c r="O41" s="40" t="str">
        <f t="shared" si="3"/>
        <v/>
      </c>
      <c r="P41" s="43" t="str">
        <f t="shared" si="4"/>
        <v/>
      </c>
      <c r="Q41" s="44">
        <f t="shared" si="5"/>
        <v>0</v>
      </c>
      <c r="R41" s="44">
        <f t="shared" si="6"/>
        <v>0</v>
      </c>
      <c r="S41" s="43">
        <f t="shared" si="7"/>
        <v>0</v>
      </c>
      <c r="T41" s="39"/>
      <c r="U41" s="35"/>
      <c r="V41" s="35"/>
      <c r="W41" s="35"/>
      <c r="X41" s="35"/>
      <c r="Y41" s="35"/>
      <c r="Z41" s="35"/>
      <c r="AA41" s="35"/>
      <c r="AB41" s="35"/>
      <c r="AC41" s="35"/>
      <c r="AD41" s="35"/>
      <c r="AE41" s="35"/>
      <c r="AF41" s="35"/>
      <c r="AG41" s="35"/>
      <c r="AH41" s="35"/>
      <c r="AI41" s="35"/>
      <c r="AJ41" s="35"/>
      <c r="AK41" s="35"/>
      <c r="AL41" s="35"/>
      <c r="AM41" s="35"/>
      <c r="AN41" s="35"/>
      <c r="AO41" s="35"/>
      <c r="AP41" s="35"/>
      <c r="AQ41" s="35"/>
      <c r="AR41" s="35"/>
      <c r="AS41" s="35"/>
      <c r="AT41" s="35"/>
      <c r="AU41" s="35"/>
      <c r="AV41" s="35"/>
      <c r="AW41" s="35"/>
      <c r="AX41" s="35"/>
      <c r="AY41" s="35"/>
      <c r="AZ41" s="35"/>
      <c r="BA41" s="35"/>
      <c r="BB41" s="35"/>
      <c r="BC41" s="35"/>
      <c r="BD41" s="35"/>
      <c r="BE41" s="35"/>
      <c r="BF41" s="35"/>
      <c r="BG41" s="35"/>
      <c r="BH41" s="35"/>
      <c r="BI41" s="35"/>
      <c r="BJ41" s="35"/>
      <c r="BK41" s="35"/>
      <c r="BL41" s="35"/>
    </row>
    <row r="42" spans="1:64" ht="14">
      <c r="A42" s="36"/>
      <c r="B42" s="37"/>
      <c r="C42" s="38">
        <f t="shared" si="0"/>
        <v>0</v>
      </c>
      <c r="D42" s="39"/>
      <c r="E42" s="39"/>
      <c r="F42" s="39"/>
      <c r="G42" s="39"/>
      <c r="H42" s="40"/>
      <c r="I42" s="41"/>
      <c r="J42" s="39"/>
      <c r="K42" s="41"/>
      <c r="L42" s="41"/>
      <c r="M42" s="42" t="str">
        <f t="shared" si="1"/>
        <v/>
      </c>
      <c r="N42" s="40" t="str">
        <f t="shared" si="2"/>
        <v/>
      </c>
      <c r="O42" s="40" t="str">
        <f t="shared" si="3"/>
        <v/>
      </c>
      <c r="P42" s="43" t="str">
        <f t="shared" si="4"/>
        <v/>
      </c>
      <c r="Q42" s="44">
        <f t="shared" si="5"/>
        <v>0</v>
      </c>
      <c r="R42" s="44">
        <f t="shared" si="6"/>
        <v>0</v>
      </c>
      <c r="S42" s="43">
        <f t="shared" si="7"/>
        <v>0</v>
      </c>
      <c r="T42" s="39"/>
      <c r="U42" s="35"/>
      <c r="V42" s="35"/>
      <c r="W42" s="35"/>
      <c r="X42" s="35"/>
      <c r="Y42" s="35"/>
      <c r="Z42" s="35"/>
      <c r="AA42" s="35"/>
      <c r="AB42" s="35"/>
      <c r="AC42" s="35"/>
      <c r="AD42" s="35"/>
      <c r="AE42" s="35"/>
      <c r="AF42" s="35"/>
      <c r="AG42" s="35"/>
      <c r="AH42" s="35"/>
      <c r="AI42" s="35"/>
      <c r="AJ42" s="35"/>
      <c r="AK42" s="35"/>
      <c r="AL42" s="35"/>
      <c r="AM42" s="35"/>
      <c r="AN42" s="35"/>
      <c r="AO42" s="35"/>
      <c r="AP42" s="35"/>
      <c r="AQ42" s="35"/>
      <c r="AR42" s="35"/>
      <c r="AS42" s="35"/>
      <c r="AT42" s="35"/>
      <c r="AU42" s="35"/>
      <c r="AV42" s="35"/>
      <c r="AW42" s="35"/>
      <c r="AX42" s="35"/>
      <c r="AY42" s="35"/>
      <c r="AZ42" s="35"/>
      <c r="BA42" s="35"/>
      <c r="BB42" s="35"/>
      <c r="BC42" s="35"/>
      <c r="BD42" s="35"/>
      <c r="BE42" s="35"/>
      <c r="BF42" s="35"/>
      <c r="BG42" s="35"/>
      <c r="BH42" s="35"/>
      <c r="BI42" s="35"/>
      <c r="BJ42" s="35"/>
      <c r="BK42" s="35"/>
      <c r="BL42" s="35"/>
    </row>
    <row r="43" spans="1:64" ht="14">
      <c r="A43" s="36"/>
      <c r="B43" s="37"/>
      <c r="C43" s="38">
        <f t="shared" si="0"/>
        <v>0</v>
      </c>
      <c r="D43" s="39"/>
      <c r="E43" s="39"/>
      <c r="F43" s="39"/>
      <c r="G43" s="39"/>
      <c r="H43" s="40"/>
      <c r="I43" s="41"/>
      <c r="J43" s="39"/>
      <c r="K43" s="41"/>
      <c r="L43" s="41"/>
      <c r="M43" s="42" t="str">
        <f t="shared" si="1"/>
        <v/>
      </c>
      <c r="N43" s="40" t="str">
        <f t="shared" si="2"/>
        <v/>
      </c>
      <c r="O43" s="40" t="str">
        <f t="shared" si="3"/>
        <v/>
      </c>
      <c r="P43" s="43" t="str">
        <f t="shared" si="4"/>
        <v/>
      </c>
      <c r="Q43" s="44">
        <f t="shared" si="5"/>
        <v>0</v>
      </c>
      <c r="R43" s="44">
        <f t="shared" si="6"/>
        <v>0</v>
      </c>
      <c r="S43" s="43">
        <f t="shared" si="7"/>
        <v>0</v>
      </c>
      <c r="T43" s="39"/>
      <c r="U43" s="35"/>
      <c r="V43" s="35"/>
      <c r="W43" s="35"/>
      <c r="X43" s="35"/>
      <c r="Y43" s="35"/>
      <c r="Z43" s="35"/>
      <c r="AA43" s="35"/>
      <c r="AB43" s="35"/>
      <c r="AC43" s="35"/>
      <c r="AD43" s="35"/>
      <c r="AE43" s="35"/>
      <c r="AF43" s="35"/>
      <c r="AG43" s="35"/>
      <c r="AH43" s="35"/>
      <c r="AI43" s="35"/>
      <c r="AJ43" s="35"/>
      <c r="AK43" s="35"/>
      <c r="AL43" s="35"/>
      <c r="AM43" s="35"/>
      <c r="AN43" s="35"/>
      <c r="AO43" s="35"/>
      <c r="AP43" s="35"/>
      <c r="AQ43" s="35"/>
      <c r="AR43" s="35"/>
      <c r="AS43" s="35"/>
      <c r="AT43" s="35"/>
      <c r="AU43" s="35"/>
      <c r="AV43" s="35"/>
      <c r="AW43" s="35"/>
      <c r="AX43" s="35"/>
      <c r="AY43" s="35"/>
      <c r="AZ43" s="35"/>
      <c r="BA43" s="35"/>
      <c r="BB43" s="35"/>
      <c r="BC43" s="35"/>
      <c r="BD43" s="35"/>
      <c r="BE43" s="35"/>
      <c r="BF43" s="35"/>
      <c r="BG43" s="35"/>
      <c r="BH43" s="35"/>
      <c r="BI43" s="35"/>
      <c r="BJ43" s="35"/>
      <c r="BK43" s="35"/>
      <c r="BL43" s="35"/>
    </row>
    <row r="44" spans="1:64" ht="14">
      <c r="A44" s="36"/>
      <c r="B44" s="37"/>
      <c r="C44" s="38">
        <f t="shared" si="0"/>
        <v>0</v>
      </c>
      <c r="D44" s="39"/>
      <c r="E44" s="39"/>
      <c r="F44" s="39"/>
      <c r="G44" s="39"/>
      <c r="H44" s="40"/>
      <c r="I44" s="41"/>
      <c r="J44" s="39"/>
      <c r="K44" s="41"/>
      <c r="L44" s="41"/>
      <c r="M44" s="42" t="str">
        <f t="shared" si="1"/>
        <v/>
      </c>
      <c r="N44" s="40" t="str">
        <f t="shared" si="2"/>
        <v/>
      </c>
      <c r="O44" s="40" t="str">
        <f t="shared" si="3"/>
        <v/>
      </c>
      <c r="P44" s="43" t="str">
        <f t="shared" si="4"/>
        <v/>
      </c>
      <c r="Q44" s="44">
        <f t="shared" si="5"/>
        <v>0</v>
      </c>
      <c r="R44" s="44">
        <f t="shared" si="6"/>
        <v>0</v>
      </c>
      <c r="S44" s="43">
        <f t="shared" si="7"/>
        <v>0</v>
      </c>
      <c r="T44" s="39"/>
      <c r="U44" s="35"/>
      <c r="V44" s="35"/>
      <c r="W44" s="35"/>
      <c r="X44" s="35"/>
      <c r="Y44" s="35"/>
      <c r="Z44" s="35"/>
      <c r="AA44" s="35"/>
      <c r="AB44" s="35"/>
      <c r="AC44" s="35"/>
      <c r="AD44" s="35"/>
      <c r="AE44" s="35"/>
      <c r="AF44" s="35"/>
      <c r="AG44" s="35"/>
      <c r="AH44" s="35"/>
      <c r="AI44" s="35"/>
      <c r="AJ44" s="35"/>
      <c r="AK44" s="35"/>
      <c r="AL44" s="35"/>
      <c r="AM44" s="35"/>
      <c r="AN44" s="35"/>
      <c r="AO44" s="35"/>
      <c r="AP44" s="35"/>
      <c r="AQ44" s="35"/>
      <c r="AR44" s="35"/>
      <c r="AS44" s="35"/>
      <c r="AT44" s="35"/>
      <c r="AU44" s="35"/>
      <c r="AV44" s="35"/>
      <c r="AW44" s="35"/>
      <c r="AX44" s="35"/>
      <c r="AY44" s="35"/>
      <c r="AZ44" s="35"/>
      <c r="BA44" s="35"/>
      <c r="BB44" s="35"/>
      <c r="BC44" s="35"/>
      <c r="BD44" s="35"/>
      <c r="BE44" s="35"/>
      <c r="BF44" s="35"/>
      <c r="BG44" s="35"/>
      <c r="BH44" s="35"/>
      <c r="BI44" s="35"/>
      <c r="BJ44" s="35"/>
      <c r="BK44" s="35"/>
      <c r="BL44" s="35"/>
    </row>
    <row r="45" spans="1:64" ht="14">
      <c r="A45" s="36"/>
      <c r="B45" s="37"/>
      <c r="C45" s="38">
        <f t="shared" si="0"/>
        <v>0</v>
      </c>
      <c r="D45" s="39"/>
      <c r="E45" s="39"/>
      <c r="F45" s="39"/>
      <c r="G45" s="39"/>
      <c r="H45" s="40"/>
      <c r="I45" s="41"/>
      <c r="J45" s="39"/>
      <c r="K45" s="41"/>
      <c r="L45" s="41"/>
      <c r="M45" s="42" t="str">
        <f t="shared" si="1"/>
        <v/>
      </c>
      <c r="N45" s="40" t="str">
        <f t="shared" si="2"/>
        <v/>
      </c>
      <c r="O45" s="40" t="str">
        <f t="shared" si="3"/>
        <v/>
      </c>
      <c r="P45" s="43" t="str">
        <f t="shared" si="4"/>
        <v/>
      </c>
      <c r="Q45" s="44">
        <f t="shared" si="5"/>
        <v>0</v>
      </c>
      <c r="R45" s="44">
        <f t="shared" si="6"/>
        <v>0</v>
      </c>
      <c r="S45" s="43">
        <f t="shared" si="7"/>
        <v>0</v>
      </c>
      <c r="T45" s="39"/>
      <c r="U45" s="35"/>
      <c r="V45" s="35"/>
      <c r="W45" s="35"/>
      <c r="X45" s="35"/>
      <c r="Y45" s="35"/>
      <c r="Z45" s="35"/>
      <c r="AA45" s="35"/>
      <c r="AB45" s="35"/>
      <c r="AC45" s="35"/>
      <c r="AD45" s="35"/>
      <c r="AE45" s="35"/>
      <c r="AF45" s="35"/>
      <c r="AG45" s="35"/>
      <c r="AH45" s="35"/>
      <c r="AI45" s="35"/>
      <c r="AJ45" s="35"/>
      <c r="AK45" s="35"/>
      <c r="AL45" s="35"/>
      <c r="AM45" s="35"/>
      <c r="AN45" s="35"/>
      <c r="AO45" s="35"/>
      <c r="AP45" s="35"/>
      <c r="AQ45" s="35"/>
      <c r="AR45" s="35"/>
      <c r="AS45" s="35"/>
      <c r="AT45" s="35"/>
      <c r="AU45" s="35"/>
      <c r="AV45" s="35"/>
      <c r="AW45" s="35"/>
      <c r="AX45" s="35"/>
      <c r="AY45" s="35"/>
      <c r="AZ45" s="35"/>
      <c r="BA45" s="35"/>
      <c r="BB45" s="35"/>
      <c r="BC45" s="35"/>
      <c r="BD45" s="35"/>
      <c r="BE45" s="35"/>
      <c r="BF45" s="35"/>
      <c r="BG45" s="35"/>
      <c r="BH45" s="35"/>
      <c r="BI45" s="35"/>
      <c r="BJ45" s="35"/>
      <c r="BK45" s="35"/>
      <c r="BL45" s="35"/>
    </row>
    <row r="46" spans="1:64" ht="14">
      <c r="A46" s="36"/>
      <c r="B46" s="37"/>
      <c r="C46" s="38">
        <f t="shared" si="0"/>
        <v>0</v>
      </c>
      <c r="D46" s="39"/>
      <c r="E46" s="39"/>
      <c r="F46" s="39"/>
      <c r="G46" s="39"/>
      <c r="H46" s="40"/>
      <c r="I46" s="41"/>
      <c r="J46" s="39"/>
      <c r="K46" s="41"/>
      <c r="L46" s="41"/>
      <c r="M46" s="42" t="str">
        <f t="shared" si="1"/>
        <v/>
      </c>
      <c r="N46" s="40" t="str">
        <f t="shared" si="2"/>
        <v/>
      </c>
      <c r="O46" s="40" t="str">
        <f t="shared" si="3"/>
        <v/>
      </c>
      <c r="P46" s="43" t="str">
        <f t="shared" si="4"/>
        <v/>
      </c>
      <c r="Q46" s="44">
        <f t="shared" si="5"/>
        <v>0</v>
      </c>
      <c r="R46" s="44">
        <f t="shared" si="6"/>
        <v>0</v>
      </c>
      <c r="S46" s="43">
        <f t="shared" si="7"/>
        <v>0</v>
      </c>
      <c r="T46" s="39"/>
      <c r="U46" s="35"/>
      <c r="V46" s="35"/>
      <c r="W46" s="35"/>
      <c r="X46" s="35"/>
      <c r="Y46" s="35"/>
      <c r="Z46" s="35"/>
      <c r="AA46" s="35"/>
      <c r="AB46" s="35"/>
      <c r="AC46" s="35"/>
      <c r="AD46" s="35"/>
      <c r="AE46" s="35"/>
      <c r="AF46" s="35"/>
      <c r="AG46" s="35"/>
      <c r="AH46" s="35"/>
      <c r="AI46" s="35"/>
      <c r="AJ46" s="35"/>
      <c r="AK46" s="35"/>
      <c r="AL46" s="35"/>
      <c r="AM46" s="35"/>
      <c r="AN46" s="35"/>
      <c r="AO46" s="35"/>
      <c r="AP46" s="35"/>
      <c r="AQ46" s="35"/>
      <c r="AR46" s="35"/>
      <c r="AS46" s="35"/>
      <c r="AT46" s="35"/>
      <c r="AU46" s="35"/>
      <c r="AV46" s="35"/>
      <c r="AW46" s="35"/>
      <c r="AX46" s="35"/>
      <c r="AY46" s="35"/>
      <c r="AZ46" s="35"/>
      <c r="BA46" s="35"/>
      <c r="BB46" s="35"/>
      <c r="BC46" s="35"/>
      <c r="BD46" s="35"/>
      <c r="BE46" s="35"/>
      <c r="BF46" s="35"/>
      <c r="BG46" s="35"/>
      <c r="BH46" s="35"/>
      <c r="BI46" s="35"/>
      <c r="BJ46" s="35"/>
      <c r="BK46" s="35"/>
      <c r="BL46" s="35"/>
    </row>
    <row r="47" spans="1:64" ht="14">
      <c r="A47" s="36"/>
      <c r="B47" s="37"/>
      <c r="C47" s="38">
        <f t="shared" si="0"/>
        <v>0</v>
      </c>
      <c r="D47" s="39"/>
      <c r="E47" s="39"/>
      <c r="F47" s="39"/>
      <c r="G47" s="39"/>
      <c r="H47" s="40"/>
      <c r="I47" s="41"/>
      <c r="J47" s="39"/>
      <c r="K47" s="41"/>
      <c r="L47" s="41"/>
      <c r="M47" s="42" t="str">
        <f t="shared" si="1"/>
        <v/>
      </c>
      <c r="N47" s="40" t="str">
        <f t="shared" si="2"/>
        <v/>
      </c>
      <c r="O47" s="40" t="str">
        <f t="shared" si="3"/>
        <v/>
      </c>
      <c r="P47" s="43" t="str">
        <f t="shared" si="4"/>
        <v/>
      </c>
      <c r="Q47" s="44">
        <f t="shared" si="5"/>
        <v>0</v>
      </c>
      <c r="R47" s="44">
        <f t="shared" si="6"/>
        <v>0</v>
      </c>
      <c r="S47" s="43">
        <f t="shared" si="7"/>
        <v>0</v>
      </c>
      <c r="T47" s="39"/>
      <c r="U47" s="35"/>
      <c r="V47" s="35"/>
      <c r="W47" s="35"/>
      <c r="X47" s="35"/>
      <c r="Y47" s="35"/>
      <c r="Z47" s="35"/>
      <c r="AA47" s="35"/>
      <c r="AB47" s="35"/>
      <c r="AC47" s="35"/>
      <c r="AD47" s="35"/>
      <c r="AE47" s="35"/>
      <c r="AF47" s="35"/>
      <c r="AG47" s="35"/>
      <c r="AH47" s="35"/>
      <c r="AI47" s="35"/>
      <c r="AJ47" s="35"/>
      <c r="AK47" s="35"/>
      <c r="AL47" s="35"/>
      <c r="AM47" s="35"/>
      <c r="AN47" s="35"/>
      <c r="AO47" s="35"/>
      <c r="AP47" s="35"/>
      <c r="AQ47" s="35"/>
      <c r="AR47" s="35"/>
      <c r="AS47" s="35"/>
      <c r="AT47" s="35"/>
      <c r="AU47" s="35"/>
      <c r="AV47" s="35"/>
      <c r="AW47" s="35"/>
      <c r="AX47" s="35"/>
      <c r="AY47" s="35"/>
      <c r="AZ47" s="35"/>
      <c r="BA47" s="35"/>
      <c r="BB47" s="35"/>
      <c r="BC47" s="35"/>
      <c r="BD47" s="35"/>
      <c r="BE47" s="35"/>
      <c r="BF47" s="35"/>
      <c r="BG47" s="35"/>
      <c r="BH47" s="35"/>
      <c r="BI47" s="35"/>
      <c r="BJ47" s="35"/>
      <c r="BK47" s="35"/>
      <c r="BL47" s="35"/>
    </row>
    <row r="48" spans="1:64" ht="14">
      <c r="A48" s="36"/>
      <c r="B48" s="37"/>
      <c r="C48" s="38">
        <f t="shared" si="0"/>
        <v>0</v>
      </c>
      <c r="D48" s="39"/>
      <c r="E48" s="39"/>
      <c r="F48" s="39"/>
      <c r="G48" s="39"/>
      <c r="H48" s="40"/>
      <c r="I48" s="41"/>
      <c r="J48" s="39"/>
      <c r="K48" s="41"/>
      <c r="L48" s="41"/>
      <c r="M48" s="42" t="str">
        <f t="shared" si="1"/>
        <v/>
      </c>
      <c r="N48" s="40" t="str">
        <f t="shared" si="2"/>
        <v/>
      </c>
      <c r="O48" s="40" t="str">
        <f t="shared" si="3"/>
        <v/>
      </c>
      <c r="P48" s="43" t="str">
        <f t="shared" si="4"/>
        <v/>
      </c>
      <c r="Q48" s="44">
        <f t="shared" si="5"/>
        <v>0</v>
      </c>
      <c r="R48" s="44">
        <f t="shared" si="6"/>
        <v>0</v>
      </c>
      <c r="S48" s="43">
        <f t="shared" si="7"/>
        <v>0</v>
      </c>
      <c r="T48" s="39"/>
      <c r="U48" s="35"/>
      <c r="V48" s="35"/>
      <c r="W48" s="35"/>
      <c r="X48" s="35"/>
      <c r="Y48" s="35"/>
      <c r="Z48" s="35"/>
      <c r="AA48" s="35"/>
      <c r="AB48" s="35"/>
      <c r="AC48" s="35"/>
      <c r="AD48" s="35"/>
      <c r="AE48" s="35"/>
      <c r="AF48" s="35"/>
      <c r="AG48" s="35"/>
      <c r="AH48" s="35"/>
      <c r="AI48" s="35"/>
      <c r="AJ48" s="35"/>
      <c r="AK48" s="35"/>
      <c r="AL48" s="35"/>
      <c r="AM48" s="35"/>
      <c r="AN48" s="35"/>
      <c r="AO48" s="35"/>
      <c r="AP48" s="35"/>
      <c r="AQ48" s="35"/>
      <c r="AR48" s="35"/>
      <c r="AS48" s="35"/>
      <c r="AT48" s="35"/>
      <c r="AU48" s="35"/>
      <c r="AV48" s="35"/>
      <c r="AW48" s="35"/>
      <c r="AX48" s="35"/>
      <c r="AY48" s="35"/>
      <c r="AZ48" s="35"/>
      <c r="BA48" s="35"/>
      <c r="BB48" s="35"/>
      <c r="BC48" s="35"/>
      <c r="BD48" s="35"/>
      <c r="BE48" s="35"/>
      <c r="BF48" s="35"/>
      <c r="BG48" s="35"/>
      <c r="BH48" s="35"/>
      <c r="BI48" s="35"/>
      <c r="BJ48" s="35"/>
      <c r="BK48" s="35"/>
      <c r="BL48" s="35"/>
    </row>
    <row r="49" spans="1:64" ht="14">
      <c r="A49" s="36"/>
      <c r="B49" s="37"/>
      <c r="C49" s="38">
        <f t="shared" si="0"/>
        <v>0</v>
      </c>
      <c r="D49" s="39"/>
      <c r="E49" s="39"/>
      <c r="F49" s="39"/>
      <c r="G49" s="39"/>
      <c r="H49" s="40"/>
      <c r="I49" s="41"/>
      <c r="J49" s="39"/>
      <c r="K49" s="41"/>
      <c r="L49" s="41"/>
      <c r="M49" s="42" t="str">
        <f t="shared" si="1"/>
        <v/>
      </c>
      <c r="N49" s="40" t="str">
        <f t="shared" si="2"/>
        <v/>
      </c>
      <c r="O49" s="40" t="str">
        <f t="shared" si="3"/>
        <v/>
      </c>
      <c r="P49" s="43" t="str">
        <f t="shared" si="4"/>
        <v/>
      </c>
      <c r="Q49" s="44">
        <f t="shared" si="5"/>
        <v>0</v>
      </c>
      <c r="R49" s="44">
        <f t="shared" si="6"/>
        <v>0</v>
      </c>
      <c r="S49" s="43">
        <f t="shared" si="7"/>
        <v>0</v>
      </c>
      <c r="T49" s="39"/>
      <c r="U49" s="35"/>
      <c r="V49" s="35"/>
      <c r="W49" s="35"/>
      <c r="X49" s="35"/>
      <c r="Y49" s="35"/>
      <c r="Z49" s="35"/>
      <c r="AA49" s="35"/>
      <c r="AB49" s="35"/>
      <c r="AC49" s="35"/>
      <c r="AD49" s="35"/>
      <c r="AE49" s="35"/>
      <c r="AF49" s="35"/>
      <c r="AG49" s="35"/>
      <c r="AH49" s="35"/>
      <c r="AI49" s="35"/>
      <c r="AJ49" s="35"/>
      <c r="AK49" s="35"/>
      <c r="AL49" s="35"/>
      <c r="AM49" s="35"/>
      <c r="AN49" s="35"/>
      <c r="AO49" s="35"/>
      <c r="AP49" s="35"/>
      <c r="AQ49" s="35"/>
      <c r="AR49" s="35"/>
      <c r="AS49" s="35"/>
      <c r="AT49" s="35"/>
      <c r="AU49" s="35"/>
      <c r="AV49" s="35"/>
      <c r="AW49" s="35"/>
      <c r="AX49" s="35"/>
      <c r="AY49" s="35"/>
      <c r="AZ49" s="35"/>
      <c r="BA49" s="35"/>
      <c r="BB49" s="35"/>
      <c r="BC49" s="35"/>
      <c r="BD49" s="35"/>
      <c r="BE49" s="35"/>
      <c r="BF49" s="35"/>
      <c r="BG49" s="35"/>
      <c r="BH49" s="35"/>
      <c r="BI49" s="35"/>
      <c r="BJ49" s="35"/>
      <c r="BK49" s="35"/>
      <c r="BL49" s="35"/>
    </row>
    <row r="50" spans="1:64" ht="14">
      <c r="A50" s="36"/>
      <c r="B50" s="37"/>
      <c r="C50" s="38">
        <f t="shared" si="0"/>
        <v>0</v>
      </c>
      <c r="D50" s="39"/>
      <c r="E50" s="39"/>
      <c r="F50" s="39"/>
      <c r="G50" s="39"/>
      <c r="H50" s="40"/>
      <c r="I50" s="41"/>
      <c r="J50" s="39"/>
      <c r="K50" s="41"/>
      <c r="L50" s="41"/>
      <c r="M50" s="42" t="str">
        <f t="shared" si="1"/>
        <v/>
      </c>
      <c r="N50" s="40" t="str">
        <f t="shared" si="2"/>
        <v/>
      </c>
      <c r="O50" s="40" t="str">
        <f t="shared" si="3"/>
        <v/>
      </c>
      <c r="P50" s="43" t="str">
        <f t="shared" si="4"/>
        <v/>
      </c>
      <c r="Q50" s="44">
        <f t="shared" si="5"/>
        <v>0</v>
      </c>
      <c r="R50" s="44">
        <f t="shared" si="6"/>
        <v>0</v>
      </c>
      <c r="S50" s="43">
        <f t="shared" si="7"/>
        <v>0</v>
      </c>
      <c r="T50" s="39"/>
      <c r="U50" s="35"/>
      <c r="V50" s="35"/>
      <c r="W50" s="35"/>
      <c r="X50" s="35"/>
      <c r="Y50" s="35"/>
      <c r="Z50" s="35"/>
      <c r="AA50" s="35"/>
      <c r="AB50" s="35"/>
      <c r="AC50" s="35"/>
      <c r="AD50" s="35"/>
      <c r="AE50" s="35"/>
      <c r="AF50" s="35"/>
      <c r="AG50" s="35"/>
      <c r="AH50" s="35"/>
      <c r="AI50" s="35"/>
      <c r="AJ50" s="35"/>
      <c r="AK50" s="35"/>
      <c r="AL50" s="35"/>
      <c r="AM50" s="35"/>
      <c r="AN50" s="35"/>
      <c r="AO50" s="35"/>
      <c r="AP50" s="35"/>
      <c r="AQ50" s="35"/>
      <c r="AR50" s="35"/>
      <c r="AS50" s="35"/>
      <c r="AT50" s="35"/>
      <c r="AU50" s="35"/>
      <c r="AV50" s="35"/>
      <c r="AW50" s="35"/>
      <c r="AX50" s="35"/>
      <c r="AY50" s="35"/>
      <c r="AZ50" s="35"/>
      <c r="BA50" s="35"/>
      <c r="BB50" s="35"/>
      <c r="BC50" s="35"/>
      <c r="BD50" s="35"/>
      <c r="BE50" s="35"/>
      <c r="BF50" s="35"/>
      <c r="BG50" s="35"/>
      <c r="BH50" s="35"/>
      <c r="BI50" s="35"/>
      <c r="BJ50" s="35"/>
      <c r="BK50" s="35"/>
      <c r="BL50" s="35"/>
    </row>
    <row r="51" spans="1:64" ht="14">
      <c r="A51" s="36"/>
      <c r="B51" s="37"/>
      <c r="C51" s="38">
        <f t="shared" si="0"/>
        <v>0</v>
      </c>
      <c r="D51" s="39"/>
      <c r="E51" s="39"/>
      <c r="F51" s="39"/>
      <c r="G51" s="39"/>
      <c r="H51" s="40"/>
      <c r="I51" s="41"/>
      <c r="J51" s="39"/>
      <c r="K51" s="41"/>
      <c r="L51" s="41"/>
      <c r="M51" s="42" t="str">
        <f t="shared" si="1"/>
        <v/>
      </c>
      <c r="N51" s="40" t="str">
        <f t="shared" si="2"/>
        <v/>
      </c>
      <c r="O51" s="40" t="str">
        <f t="shared" si="3"/>
        <v/>
      </c>
      <c r="P51" s="43" t="str">
        <f t="shared" si="4"/>
        <v/>
      </c>
      <c r="Q51" s="44">
        <f t="shared" si="5"/>
        <v>0</v>
      </c>
      <c r="R51" s="44">
        <f t="shared" si="6"/>
        <v>0</v>
      </c>
      <c r="S51" s="43">
        <f t="shared" si="7"/>
        <v>0</v>
      </c>
      <c r="T51" s="39"/>
      <c r="U51" s="35"/>
      <c r="V51" s="35"/>
      <c r="W51" s="35"/>
      <c r="X51" s="35"/>
      <c r="Y51" s="35"/>
      <c r="Z51" s="35"/>
      <c r="AA51" s="35"/>
      <c r="AB51" s="35"/>
      <c r="AC51" s="35"/>
      <c r="AD51" s="35"/>
      <c r="AE51" s="35"/>
      <c r="AF51" s="35"/>
      <c r="AG51" s="35"/>
      <c r="AH51" s="35"/>
      <c r="AI51" s="35"/>
      <c r="AJ51" s="35"/>
      <c r="AK51" s="35"/>
      <c r="AL51" s="35"/>
      <c r="AM51" s="35"/>
      <c r="AN51" s="35"/>
      <c r="AO51" s="35"/>
      <c r="AP51" s="35"/>
      <c r="AQ51" s="35"/>
      <c r="AR51" s="35"/>
      <c r="AS51" s="35"/>
      <c r="AT51" s="35"/>
      <c r="AU51" s="35"/>
      <c r="AV51" s="35"/>
      <c r="AW51" s="35"/>
      <c r="AX51" s="35"/>
      <c r="AY51" s="35"/>
      <c r="AZ51" s="35"/>
      <c r="BA51" s="35"/>
      <c r="BB51" s="35"/>
      <c r="BC51" s="35"/>
      <c r="BD51" s="35"/>
      <c r="BE51" s="35"/>
      <c r="BF51" s="35"/>
      <c r="BG51" s="35"/>
      <c r="BH51" s="35"/>
      <c r="BI51" s="35"/>
      <c r="BJ51" s="35"/>
      <c r="BK51" s="35"/>
      <c r="BL51" s="35"/>
    </row>
    <row r="52" spans="1:64" ht="14">
      <c r="A52" s="36"/>
      <c r="B52" s="37"/>
      <c r="C52" s="38">
        <f t="shared" si="0"/>
        <v>0</v>
      </c>
      <c r="D52" s="39"/>
      <c r="E52" s="39"/>
      <c r="F52" s="39"/>
      <c r="G52" s="39"/>
      <c r="H52" s="40"/>
      <c r="I52" s="41"/>
      <c r="J52" s="39"/>
      <c r="K52" s="41"/>
      <c r="L52" s="41"/>
      <c r="M52" s="42" t="str">
        <f t="shared" si="1"/>
        <v/>
      </c>
      <c r="N52" s="40" t="str">
        <f t="shared" si="2"/>
        <v/>
      </c>
      <c r="O52" s="40" t="str">
        <f t="shared" si="3"/>
        <v/>
      </c>
      <c r="P52" s="43" t="str">
        <f t="shared" si="4"/>
        <v/>
      </c>
      <c r="Q52" s="44">
        <f t="shared" si="5"/>
        <v>0</v>
      </c>
      <c r="R52" s="44">
        <f t="shared" si="6"/>
        <v>0</v>
      </c>
      <c r="S52" s="43">
        <f t="shared" si="7"/>
        <v>0</v>
      </c>
      <c r="T52" s="39"/>
      <c r="U52" s="35"/>
      <c r="V52" s="35"/>
      <c r="W52" s="35"/>
      <c r="X52" s="35"/>
      <c r="Y52" s="35"/>
      <c r="Z52" s="35"/>
      <c r="AA52" s="35"/>
      <c r="AB52" s="35"/>
      <c r="AC52" s="35"/>
      <c r="AD52" s="35"/>
      <c r="AE52" s="35"/>
      <c r="AF52" s="35"/>
      <c r="AG52" s="35"/>
      <c r="AH52" s="35"/>
      <c r="AI52" s="35"/>
      <c r="AJ52" s="35"/>
      <c r="AK52" s="35"/>
      <c r="AL52" s="35"/>
      <c r="AM52" s="35"/>
      <c r="AN52" s="35"/>
      <c r="AO52" s="35"/>
      <c r="AP52" s="35"/>
      <c r="AQ52" s="35"/>
      <c r="AR52" s="35"/>
      <c r="AS52" s="35"/>
      <c r="AT52" s="35"/>
      <c r="AU52" s="35"/>
      <c r="AV52" s="35"/>
      <c r="AW52" s="35"/>
      <c r="AX52" s="35"/>
      <c r="AY52" s="35"/>
      <c r="AZ52" s="35"/>
      <c r="BA52" s="35"/>
      <c r="BB52" s="35"/>
      <c r="BC52" s="35"/>
      <c r="BD52" s="35"/>
      <c r="BE52" s="35"/>
      <c r="BF52" s="35"/>
      <c r="BG52" s="35"/>
      <c r="BH52" s="35"/>
      <c r="BI52" s="35"/>
      <c r="BJ52" s="35"/>
      <c r="BK52" s="35"/>
      <c r="BL52" s="35"/>
    </row>
    <row r="53" spans="1:64" ht="14">
      <c r="A53" s="36"/>
      <c r="B53" s="37"/>
      <c r="C53" s="38">
        <f t="shared" si="0"/>
        <v>0</v>
      </c>
      <c r="D53" s="39"/>
      <c r="E53" s="39"/>
      <c r="F53" s="39"/>
      <c r="G53" s="39"/>
      <c r="H53" s="40"/>
      <c r="I53" s="41"/>
      <c r="J53" s="39"/>
      <c r="K53" s="41"/>
      <c r="L53" s="41"/>
      <c r="M53" s="42" t="str">
        <f t="shared" si="1"/>
        <v/>
      </c>
      <c r="N53" s="40" t="str">
        <f t="shared" si="2"/>
        <v/>
      </c>
      <c r="O53" s="40" t="str">
        <f t="shared" si="3"/>
        <v/>
      </c>
      <c r="P53" s="43" t="str">
        <f t="shared" si="4"/>
        <v/>
      </c>
      <c r="Q53" s="44">
        <f t="shared" si="5"/>
        <v>0</v>
      </c>
      <c r="R53" s="44">
        <f t="shared" si="6"/>
        <v>0</v>
      </c>
      <c r="S53" s="43">
        <f t="shared" si="7"/>
        <v>0</v>
      </c>
      <c r="T53" s="39"/>
      <c r="U53" s="35"/>
      <c r="V53" s="35"/>
      <c r="W53" s="35"/>
      <c r="X53" s="35"/>
      <c r="Y53" s="35"/>
      <c r="Z53" s="35"/>
      <c r="AA53" s="35"/>
      <c r="AB53" s="35"/>
      <c r="AC53" s="35"/>
      <c r="AD53" s="35"/>
      <c r="AE53" s="35"/>
      <c r="AF53" s="35"/>
      <c r="AG53" s="35"/>
      <c r="AH53" s="35"/>
      <c r="AI53" s="35"/>
      <c r="AJ53" s="35"/>
      <c r="AK53" s="35"/>
      <c r="AL53" s="35"/>
      <c r="AM53" s="35"/>
      <c r="AN53" s="35"/>
      <c r="AO53" s="35"/>
      <c r="AP53" s="35"/>
      <c r="AQ53" s="35"/>
      <c r="AR53" s="35"/>
      <c r="AS53" s="35"/>
      <c r="AT53" s="35"/>
      <c r="AU53" s="35"/>
      <c r="AV53" s="35"/>
      <c r="AW53" s="35"/>
      <c r="AX53" s="35"/>
      <c r="AY53" s="35"/>
      <c r="AZ53" s="35"/>
      <c r="BA53" s="35"/>
      <c r="BB53" s="35"/>
      <c r="BC53" s="35"/>
      <c r="BD53" s="35"/>
      <c r="BE53" s="35"/>
      <c r="BF53" s="35"/>
      <c r="BG53" s="35"/>
      <c r="BH53" s="35"/>
      <c r="BI53" s="35"/>
      <c r="BJ53" s="35"/>
      <c r="BK53" s="35"/>
      <c r="BL53" s="35"/>
    </row>
    <row r="54" spans="1:64" ht="14">
      <c r="A54" s="36"/>
      <c r="B54" s="37"/>
      <c r="C54" s="38">
        <f t="shared" si="0"/>
        <v>0</v>
      </c>
      <c r="D54" s="39"/>
      <c r="E54" s="39"/>
      <c r="F54" s="39"/>
      <c r="G54" s="39"/>
      <c r="H54" s="40"/>
      <c r="I54" s="41"/>
      <c r="J54" s="39"/>
      <c r="K54" s="41"/>
      <c r="L54" s="41"/>
      <c r="M54" s="42" t="str">
        <f t="shared" si="1"/>
        <v/>
      </c>
      <c r="N54" s="40" t="str">
        <f t="shared" si="2"/>
        <v/>
      </c>
      <c r="O54" s="40" t="str">
        <f t="shared" si="3"/>
        <v/>
      </c>
      <c r="P54" s="43" t="str">
        <f t="shared" si="4"/>
        <v/>
      </c>
      <c r="Q54" s="44">
        <f t="shared" si="5"/>
        <v>0</v>
      </c>
      <c r="R54" s="44">
        <f t="shared" si="6"/>
        <v>0</v>
      </c>
      <c r="S54" s="43">
        <f t="shared" si="7"/>
        <v>0</v>
      </c>
      <c r="T54" s="39"/>
      <c r="U54" s="35"/>
      <c r="V54" s="35"/>
      <c r="W54" s="35"/>
      <c r="X54" s="35"/>
      <c r="Y54" s="35"/>
      <c r="Z54" s="35"/>
      <c r="AA54" s="35"/>
      <c r="AB54" s="35"/>
      <c r="AC54" s="35"/>
      <c r="AD54" s="35"/>
      <c r="AE54" s="35"/>
      <c r="AF54" s="35"/>
      <c r="AG54" s="35"/>
      <c r="AH54" s="35"/>
      <c r="AI54" s="35"/>
      <c r="AJ54" s="35"/>
      <c r="AK54" s="35"/>
      <c r="AL54" s="35"/>
      <c r="AM54" s="35"/>
      <c r="AN54" s="35"/>
      <c r="AO54" s="35"/>
      <c r="AP54" s="35"/>
      <c r="AQ54" s="35"/>
      <c r="AR54" s="35"/>
      <c r="AS54" s="35"/>
      <c r="AT54" s="35"/>
      <c r="AU54" s="35"/>
      <c r="AV54" s="35"/>
      <c r="AW54" s="35"/>
      <c r="AX54" s="35"/>
      <c r="AY54" s="35"/>
      <c r="AZ54" s="35"/>
      <c r="BA54" s="35"/>
      <c r="BB54" s="35"/>
      <c r="BC54" s="35"/>
      <c r="BD54" s="35"/>
      <c r="BE54" s="35"/>
      <c r="BF54" s="35"/>
      <c r="BG54" s="35"/>
      <c r="BH54" s="35"/>
      <c r="BI54" s="35"/>
      <c r="BJ54" s="35"/>
      <c r="BK54" s="35"/>
      <c r="BL54" s="35"/>
    </row>
    <row r="55" spans="1:64" ht="14">
      <c r="A55" s="36"/>
      <c r="B55" s="37"/>
      <c r="C55" s="38">
        <f t="shared" si="0"/>
        <v>0</v>
      </c>
      <c r="D55" s="39"/>
      <c r="E55" s="39"/>
      <c r="F55" s="39"/>
      <c r="G55" s="39"/>
      <c r="H55" s="40"/>
      <c r="I55" s="41"/>
      <c r="J55" s="39"/>
      <c r="K55" s="41"/>
      <c r="L55" s="41"/>
      <c r="M55" s="42" t="str">
        <f t="shared" si="1"/>
        <v/>
      </c>
      <c r="N55" s="40" t="str">
        <f t="shared" si="2"/>
        <v/>
      </c>
      <c r="O55" s="40" t="str">
        <f t="shared" si="3"/>
        <v/>
      </c>
      <c r="P55" s="43" t="str">
        <f t="shared" si="4"/>
        <v/>
      </c>
      <c r="Q55" s="44">
        <f t="shared" si="5"/>
        <v>0</v>
      </c>
      <c r="R55" s="44">
        <f t="shared" si="6"/>
        <v>0</v>
      </c>
      <c r="S55" s="43">
        <f t="shared" si="7"/>
        <v>0</v>
      </c>
      <c r="T55" s="39"/>
      <c r="U55" s="35"/>
      <c r="V55" s="35"/>
      <c r="W55" s="35"/>
      <c r="X55" s="35"/>
      <c r="Y55" s="35"/>
      <c r="Z55" s="35"/>
      <c r="AA55" s="35"/>
      <c r="AB55" s="35"/>
      <c r="AC55" s="35"/>
      <c r="AD55" s="35"/>
      <c r="AE55" s="35"/>
      <c r="AF55" s="35"/>
      <c r="AG55" s="35"/>
      <c r="AH55" s="35"/>
      <c r="AI55" s="35"/>
      <c r="AJ55" s="35"/>
      <c r="AK55" s="35"/>
      <c r="AL55" s="35"/>
      <c r="AM55" s="35"/>
      <c r="AN55" s="35"/>
      <c r="AO55" s="35"/>
      <c r="AP55" s="35"/>
      <c r="AQ55" s="35"/>
      <c r="AR55" s="35"/>
      <c r="AS55" s="35"/>
      <c r="AT55" s="35"/>
      <c r="AU55" s="35"/>
      <c r="AV55" s="35"/>
      <c r="AW55" s="35"/>
      <c r="AX55" s="35"/>
      <c r="AY55" s="35"/>
      <c r="AZ55" s="35"/>
      <c r="BA55" s="35"/>
      <c r="BB55" s="35"/>
      <c r="BC55" s="35"/>
      <c r="BD55" s="35"/>
      <c r="BE55" s="35"/>
      <c r="BF55" s="35"/>
      <c r="BG55" s="35"/>
      <c r="BH55" s="35"/>
      <c r="BI55" s="35"/>
      <c r="BJ55" s="35"/>
      <c r="BK55" s="35"/>
      <c r="BL55" s="35"/>
    </row>
    <row r="56" spans="1:64" ht="14">
      <c r="A56" s="36"/>
      <c r="B56" s="37"/>
      <c r="C56" s="38">
        <f t="shared" si="0"/>
        <v>0</v>
      </c>
      <c r="D56" s="39"/>
      <c r="E56" s="39"/>
      <c r="F56" s="39"/>
      <c r="G56" s="39"/>
      <c r="H56" s="40"/>
      <c r="I56" s="41"/>
      <c r="J56" s="39"/>
      <c r="K56" s="41"/>
      <c r="L56" s="41"/>
      <c r="M56" s="42" t="str">
        <f t="shared" si="1"/>
        <v/>
      </c>
      <c r="N56" s="40" t="str">
        <f t="shared" si="2"/>
        <v/>
      </c>
      <c r="O56" s="40" t="str">
        <f t="shared" si="3"/>
        <v/>
      </c>
      <c r="P56" s="43" t="str">
        <f t="shared" si="4"/>
        <v/>
      </c>
      <c r="Q56" s="44">
        <f t="shared" si="5"/>
        <v>0</v>
      </c>
      <c r="R56" s="44">
        <f t="shared" si="6"/>
        <v>0</v>
      </c>
      <c r="S56" s="43">
        <f t="shared" si="7"/>
        <v>0</v>
      </c>
      <c r="T56" s="39"/>
      <c r="U56" s="35"/>
      <c r="V56" s="35"/>
      <c r="W56" s="35"/>
      <c r="X56" s="35"/>
      <c r="Y56" s="35"/>
      <c r="Z56" s="35"/>
      <c r="AA56" s="35"/>
      <c r="AB56" s="35"/>
      <c r="AC56" s="35"/>
      <c r="AD56" s="35"/>
      <c r="AE56" s="35"/>
      <c r="AF56" s="35"/>
      <c r="AG56" s="35"/>
      <c r="AH56" s="35"/>
      <c r="AI56" s="35"/>
      <c r="AJ56" s="35"/>
      <c r="AK56" s="35"/>
      <c r="AL56" s="35"/>
      <c r="AM56" s="35"/>
      <c r="AN56" s="35"/>
      <c r="AO56" s="35"/>
      <c r="AP56" s="35"/>
      <c r="AQ56" s="35"/>
      <c r="AR56" s="35"/>
      <c r="AS56" s="35"/>
      <c r="AT56" s="35"/>
      <c r="AU56" s="35"/>
      <c r="AV56" s="35"/>
      <c r="AW56" s="35"/>
      <c r="AX56" s="35"/>
      <c r="AY56" s="35"/>
      <c r="AZ56" s="35"/>
      <c r="BA56" s="35"/>
      <c r="BB56" s="35"/>
      <c r="BC56" s="35"/>
      <c r="BD56" s="35"/>
      <c r="BE56" s="35"/>
      <c r="BF56" s="35"/>
      <c r="BG56" s="35"/>
      <c r="BH56" s="35"/>
      <c r="BI56" s="35"/>
      <c r="BJ56" s="35"/>
      <c r="BK56" s="35"/>
      <c r="BL56" s="35"/>
    </row>
    <row r="57" spans="1:64" ht="14">
      <c r="A57" s="36"/>
      <c r="B57" s="37"/>
      <c r="C57" s="38">
        <f t="shared" si="0"/>
        <v>0</v>
      </c>
      <c r="D57" s="39"/>
      <c r="E57" s="39"/>
      <c r="F57" s="39"/>
      <c r="G57" s="39"/>
      <c r="H57" s="40"/>
      <c r="I57" s="41"/>
      <c r="J57" s="39"/>
      <c r="K57" s="41"/>
      <c r="L57" s="41"/>
      <c r="M57" s="42" t="str">
        <f t="shared" si="1"/>
        <v/>
      </c>
      <c r="N57" s="40" t="str">
        <f t="shared" si="2"/>
        <v/>
      </c>
      <c r="O57" s="40" t="str">
        <f t="shared" si="3"/>
        <v/>
      </c>
      <c r="P57" s="43" t="str">
        <f t="shared" si="4"/>
        <v/>
      </c>
      <c r="Q57" s="44">
        <f t="shared" si="5"/>
        <v>0</v>
      </c>
      <c r="R57" s="44">
        <f t="shared" si="6"/>
        <v>0</v>
      </c>
      <c r="S57" s="43">
        <f t="shared" si="7"/>
        <v>0</v>
      </c>
      <c r="T57" s="39"/>
      <c r="U57" s="35"/>
      <c r="V57" s="35"/>
      <c r="W57" s="35"/>
      <c r="X57" s="35"/>
      <c r="Y57" s="35"/>
      <c r="Z57" s="35"/>
      <c r="AA57" s="35"/>
      <c r="AB57" s="35"/>
      <c r="AC57" s="35"/>
      <c r="AD57" s="35"/>
      <c r="AE57" s="35"/>
      <c r="AF57" s="35"/>
      <c r="AG57" s="35"/>
      <c r="AH57" s="35"/>
      <c r="AI57" s="35"/>
      <c r="AJ57" s="35"/>
      <c r="AK57" s="35"/>
      <c r="AL57" s="35"/>
      <c r="AM57" s="35"/>
      <c r="AN57" s="35"/>
      <c r="AO57" s="35"/>
      <c r="AP57" s="35"/>
      <c r="AQ57" s="35"/>
      <c r="AR57" s="35"/>
      <c r="AS57" s="35"/>
      <c r="AT57" s="35"/>
      <c r="AU57" s="35"/>
      <c r="AV57" s="35"/>
      <c r="AW57" s="35"/>
      <c r="AX57" s="35"/>
      <c r="AY57" s="35"/>
      <c r="AZ57" s="35"/>
      <c r="BA57" s="35"/>
      <c r="BB57" s="35"/>
      <c r="BC57" s="35"/>
      <c r="BD57" s="35"/>
      <c r="BE57" s="35"/>
      <c r="BF57" s="35"/>
      <c r="BG57" s="35"/>
      <c r="BH57" s="35"/>
      <c r="BI57" s="35"/>
      <c r="BJ57" s="35"/>
      <c r="BK57" s="35"/>
      <c r="BL57" s="35"/>
    </row>
    <row r="58" spans="1:64" ht="14">
      <c r="A58" s="36"/>
      <c r="B58" s="37"/>
      <c r="C58" s="38">
        <f t="shared" si="0"/>
        <v>0</v>
      </c>
      <c r="D58" s="39"/>
      <c r="E58" s="39"/>
      <c r="F58" s="39"/>
      <c r="G58" s="39"/>
      <c r="H58" s="40"/>
      <c r="I58" s="41"/>
      <c r="J58" s="39"/>
      <c r="K58" s="41"/>
      <c r="L58" s="41"/>
      <c r="M58" s="42" t="str">
        <f t="shared" si="1"/>
        <v/>
      </c>
      <c r="N58" s="40" t="str">
        <f t="shared" si="2"/>
        <v/>
      </c>
      <c r="O58" s="40" t="str">
        <f t="shared" si="3"/>
        <v/>
      </c>
      <c r="P58" s="43" t="str">
        <f t="shared" si="4"/>
        <v/>
      </c>
      <c r="Q58" s="44">
        <f t="shared" si="5"/>
        <v>0</v>
      </c>
      <c r="R58" s="44">
        <f t="shared" si="6"/>
        <v>0</v>
      </c>
      <c r="S58" s="43">
        <f t="shared" si="7"/>
        <v>0</v>
      </c>
      <c r="T58" s="39"/>
      <c r="U58" s="35"/>
      <c r="V58" s="35"/>
      <c r="W58" s="35"/>
      <c r="X58" s="35"/>
      <c r="Y58" s="35"/>
      <c r="Z58" s="35"/>
      <c r="AA58" s="35"/>
      <c r="AB58" s="35"/>
      <c r="AC58" s="35"/>
      <c r="AD58" s="35"/>
      <c r="AE58" s="35"/>
      <c r="AF58" s="35"/>
      <c r="AG58" s="35"/>
      <c r="AH58" s="35"/>
      <c r="AI58" s="35"/>
      <c r="AJ58" s="35"/>
      <c r="AK58" s="35"/>
      <c r="AL58" s="35"/>
      <c r="AM58" s="35"/>
      <c r="AN58" s="35"/>
      <c r="AO58" s="35"/>
      <c r="AP58" s="35"/>
      <c r="AQ58" s="35"/>
      <c r="AR58" s="35"/>
      <c r="AS58" s="35"/>
      <c r="AT58" s="35"/>
      <c r="AU58" s="35"/>
      <c r="AV58" s="35"/>
      <c r="AW58" s="35"/>
      <c r="AX58" s="35"/>
      <c r="AY58" s="35"/>
      <c r="AZ58" s="35"/>
      <c r="BA58" s="35"/>
      <c r="BB58" s="35"/>
      <c r="BC58" s="35"/>
      <c r="BD58" s="35"/>
      <c r="BE58" s="35"/>
      <c r="BF58" s="35"/>
      <c r="BG58" s="35"/>
      <c r="BH58" s="35"/>
      <c r="BI58" s="35"/>
      <c r="BJ58" s="35"/>
      <c r="BK58" s="35"/>
      <c r="BL58" s="35"/>
    </row>
    <row r="59" spans="1:64" ht="14">
      <c r="A59" s="36"/>
      <c r="B59" s="37"/>
      <c r="C59" s="38">
        <f t="shared" si="0"/>
        <v>0</v>
      </c>
      <c r="D59" s="39"/>
      <c r="E59" s="39"/>
      <c r="F59" s="39"/>
      <c r="G59" s="39"/>
      <c r="H59" s="40"/>
      <c r="I59" s="41"/>
      <c r="J59" s="39"/>
      <c r="K59" s="41"/>
      <c r="L59" s="41"/>
      <c r="M59" s="42" t="str">
        <f t="shared" si="1"/>
        <v/>
      </c>
      <c r="N59" s="40" t="str">
        <f t="shared" si="2"/>
        <v/>
      </c>
      <c r="O59" s="40" t="str">
        <f t="shared" si="3"/>
        <v/>
      </c>
      <c r="P59" s="43" t="str">
        <f t="shared" si="4"/>
        <v/>
      </c>
      <c r="Q59" s="44">
        <f t="shared" si="5"/>
        <v>0</v>
      </c>
      <c r="R59" s="44">
        <f t="shared" si="6"/>
        <v>0</v>
      </c>
      <c r="S59" s="43">
        <f t="shared" si="7"/>
        <v>0</v>
      </c>
      <c r="T59" s="39"/>
      <c r="U59" s="35"/>
      <c r="V59" s="35"/>
      <c r="W59" s="35"/>
      <c r="X59" s="35"/>
      <c r="Y59" s="35"/>
      <c r="Z59" s="35"/>
      <c r="AA59" s="35"/>
      <c r="AB59" s="35"/>
      <c r="AC59" s="35"/>
      <c r="AD59" s="35"/>
      <c r="AE59" s="35"/>
      <c r="AF59" s="35"/>
      <c r="AG59" s="35"/>
      <c r="AH59" s="35"/>
      <c r="AI59" s="35"/>
      <c r="AJ59" s="35"/>
      <c r="AK59" s="35"/>
      <c r="AL59" s="35"/>
      <c r="AM59" s="35"/>
      <c r="AN59" s="35"/>
      <c r="AO59" s="35"/>
      <c r="AP59" s="35"/>
      <c r="AQ59" s="35"/>
      <c r="AR59" s="35"/>
      <c r="AS59" s="35"/>
      <c r="AT59" s="35"/>
      <c r="AU59" s="35"/>
      <c r="AV59" s="35"/>
      <c r="AW59" s="35"/>
      <c r="AX59" s="35"/>
      <c r="AY59" s="35"/>
      <c r="AZ59" s="35"/>
      <c r="BA59" s="35"/>
      <c r="BB59" s="35"/>
      <c r="BC59" s="35"/>
      <c r="BD59" s="35"/>
      <c r="BE59" s="35"/>
      <c r="BF59" s="35"/>
      <c r="BG59" s="35"/>
      <c r="BH59" s="35"/>
      <c r="BI59" s="35"/>
      <c r="BJ59" s="35"/>
      <c r="BK59" s="35"/>
      <c r="BL59" s="35"/>
    </row>
    <row r="60" spans="1:64" ht="14">
      <c r="A60" s="36"/>
      <c r="B60" s="37"/>
      <c r="C60" s="38">
        <f t="shared" si="0"/>
        <v>0</v>
      </c>
      <c r="D60" s="39"/>
      <c r="E60" s="39"/>
      <c r="F60" s="39"/>
      <c r="G60" s="39"/>
      <c r="H60" s="40"/>
      <c r="I60" s="41"/>
      <c r="J60" s="39"/>
      <c r="K60" s="41"/>
      <c r="L60" s="41"/>
      <c r="M60" s="42" t="str">
        <f t="shared" si="1"/>
        <v/>
      </c>
      <c r="N60" s="40" t="str">
        <f t="shared" si="2"/>
        <v/>
      </c>
      <c r="O60" s="40" t="str">
        <f t="shared" si="3"/>
        <v/>
      </c>
      <c r="P60" s="43" t="str">
        <f t="shared" si="4"/>
        <v/>
      </c>
      <c r="Q60" s="44">
        <f t="shared" si="5"/>
        <v>0</v>
      </c>
      <c r="R60" s="44">
        <f t="shared" si="6"/>
        <v>0</v>
      </c>
      <c r="S60" s="43">
        <f t="shared" si="7"/>
        <v>0</v>
      </c>
      <c r="T60" s="39"/>
      <c r="U60" s="35"/>
      <c r="V60" s="35"/>
      <c r="W60" s="35"/>
      <c r="X60" s="35"/>
      <c r="Y60" s="35"/>
      <c r="Z60" s="35"/>
      <c r="AA60" s="35"/>
      <c r="AB60" s="35"/>
      <c r="AC60" s="35"/>
      <c r="AD60" s="35"/>
      <c r="AE60" s="35"/>
      <c r="AF60" s="35"/>
      <c r="AG60" s="35"/>
      <c r="AH60" s="35"/>
      <c r="AI60" s="35"/>
      <c r="AJ60" s="35"/>
      <c r="AK60" s="35"/>
      <c r="AL60" s="35"/>
      <c r="AM60" s="35"/>
      <c r="AN60" s="35"/>
      <c r="AO60" s="35"/>
      <c r="AP60" s="35"/>
      <c r="AQ60" s="35"/>
      <c r="AR60" s="35"/>
      <c r="AS60" s="35"/>
      <c r="AT60" s="35"/>
      <c r="AU60" s="35"/>
      <c r="AV60" s="35"/>
      <c r="AW60" s="35"/>
      <c r="AX60" s="35"/>
      <c r="AY60" s="35"/>
      <c r="AZ60" s="35"/>
      <c r="BA60" s="35"/>
      <c r="BB60" s="35"/>
      <c r="BC60" s="35"/>
      <c r="BD60" s="35"/>
      <c r="BE60" s="35"/>
      <c r="BF60" s="35"/>
      <c r="BG60" s="35"/>
      <c r="BH60" s="35"/>
      <c r="BI60" s="35"/>
      <c r="BJ60" s="35"/>
      <c r="BK60" s="35"/>
      <c r="BL60" s="35"/>
    </row>
    <row r="61" spans="1:64" ht="14">
      <c r="A61" s="36"/>
      <c r="B61" s="37"/>
      <c r="C61" s="38">
        <f t="shared" si="0"/>
        <v>0</v>
      </c>
      <c r="D61" s="39"/>
      <c r="E61" s="39"/>
      <c r="F61" s="39"/>
      <c r="G61" s="39"/>
      <c r="H61" s="40"/>
      <c r="I61" s="41"/>
      <c r="J61" s="39"/>
      <c r="K61" s="41"/>
      <c r="L61" s="41"/>
      <c r="M61" s="42" t="str">
        <f t="shared" si="1"/>
        <v/>
      </c>
      <c r="N61" s="40" t="str">
        <f t="shared" si="2"/>
        <v/>
      </c>
      <c r="O61" s="40" t="str">
        <f t="shared" si="3"/>
        <v/>
      </c>
      <c r="P61" s="43" t="str">
        <f t="shared" si="4"/>
        <v/>
      </c>
      <c r="Q61" s="44">
        <f t="shared" si="5"/>
        <v>0</v>
      </c>
      <c r="R61" s="44">
        <f t="shared" si="6"/>
        <v>0</v>
      </c>
      <c r="S61" s="43">
        <f t="shared" si="7"/>
        <v>0</v>
      </c>
      <c r="T61" s="39"/>
      <c r="U61" s="35"/>
      <c r="V61" s="35"/>
      <c r="W61" s="35"/>
      <c r="X61" s="35"/>
      <c r="Y61" s="35"/>
      <c r="Z61" s="35"/>
      <c r="AA61" s="35"/>
      <c r="AB61" s="35"/>
      <c r="AC61" s="35"/>
      <c r="AD61" s="35"/>
      <c r="AE61" s="35"/>
      <c r="AF61" s="35"/>
      <c r="AG61" s="35"/>
      <c r="AH61" s="35"/>
      <c r="AI61" s="35"/>
      <c r="AJ61" s="35"/>
      <c r="AK61" s="35"/>
      <c r="AL61" s="35"/>
      <c r="AM61" s="35"/>
      <c r="AN61" s="35"/>
      <c r="AO61" s="35"/>
      <c r="AP61" s="35"/>
      <c r="AQ61" s="35"/>
      <c r="AR61" s="35"/>
      <c r="AS61" s="35"/>
      <c r="AT61" s="35"/>
      <c r="AU61" s="35"/>
      <c r="AV61" s="35"/>
      <c r="AW61" s="35"/>
      <c r="AX61" s="35"/>
      <c r="AY61" s="35"/>
      <c r="AZ61" s="35"/>
      <c r="BA61" s="35"/>
      <c r="BB61" s="35"/>
      <c r="BC61" s="35"/>
      <c r="BD61" s="35"/>
      <c r="BE61" s="35"/>
      <c r="BF61" s="35"/>
      <c r="BG61" s="35"/>
      <c r="BH61" s="35"/>
      <c r="BI61" s="35"/>
      <c r="BJ61" s="35"/>
      <c r="BK61" s="35"/>
      <c r="BL61" s="35"/>
    </row>
    <row r="62" spans="1:64" ht="14">
      <c r="A62" s="36"/>
      <c r="B62" s="37"/>
      <c r="C62" s="38">
        <f t="shared" si="0"/>
        <v>0</v>
      </c>
      <c r="D62" s="39"/>
      <c r="E62" s="39"/>
      <c r="F62" s="39"/>
      <c r="G62" s="39"/>
      <c r="H62" s="40"/>
      <c r="I62" s="41"/>
      <c r="J62" s="39"/>
      <c r="K62" s="41"/>
      <c r="L62" s="41"/>
      <c r="M62" s="42" t="str">
        <f t="shared" si="1"/>
        <v/>
      </c>
      <c r="N62" s="40" t="str">
        <f t="shared" si="2"/>
        <v/>
      </c>
      <c r="O62" s="40" t="str">
        <f t="shared" si="3"/>
        <v/>
      </c>
      <c r="P62" s="43" t="str">
        <f t="shared" si="4"/>
        <v/>
      </c>
      <c r="Q62" s="44">
        <f t="shared" si="5"/>
        <v>0</v>
      </c>
      <c r="R62" s="44">
        <f t="shared" si="6"/>
        <v>0</v>
      </c>
      <c r="S62" s="43">
        <f t="shared" si="7"/>
        <v>0</v>
      </c>
      <c r="T62" s="39"/>
      <c r="U62" s="35"/>
      <c r="V62" s="35"/>
      <c r="W62" s="35"/>
      <c r="X62" s="35"/>
      <c r="Y62" s="35"/>
      <c r="Z62" s="35"/>
      <c r="AA62" s="35"/>
      <c r="AB62" s="35"/>
      <c r="AC62" s="35"/>
      <c r="AD62" s="35"/>
      <c r="AE62" s="35"/>
      <c r="AF62" s="35"/>
      <c r="AG62" s="35"/>
      <c r="AH62" s="35"/>
      <c r="AI62" s="35"/>
      <c r="AJ62" s="35"/>
      <c r="AK62" s="35"/>
      <c r="AL62" s="35"/>
      <c r="AM62" s="35"/>
      <c r="AN62" s="35"/>
      <c r="AO62" s="35"/>
      <c r="AP62" s="35"/>
      <c r="AQ62" s="35"/>
      <c r="AR62" s="35"/>
      <c r="AS62" s="35"/>
      <c r="AT62" s="35"/>
      <c r="AU62" s="35"/>
      <c r="AV62" s="35"/>
      <c r="AW62" s="35"/>
      <c r="AX62" s="35"/>
      <c r="AY62" s="35"/>
      <c r="AZ62" s="35"/>
      <c r="BA62" s="35"/>
      <c r="BB62" s="35"/>
      <c r="BC62" s="35"/>
      <c r="BD62" s="35"/>
      <c r="BE62" s="35"/>
      <c r="BF62" s="35"/>
      <c r="BG62" s="35"/>
      <c r="BH62" s="35"/>
      <c r="BI62" s="35"/>
      <c r="BJ62" s="35"/>
      <c r="BK62" s="35"/>
      <c r="BL62" s="35"/>
    </row>
    <row r="63" spans="1:64" ht="14">
      <c r="A63" s="36"/>
      <c r="B63" s="37"/>
      <c r="C63" s="38">
        <f t="shared" si="0"/>
        <v>0</v>
      </c>
      <c r="D63" s="39"/>
      <c r="E63" s="39"/>
      <c r="F63" s="39"/>
      <c r="G63" s="39"/>
      <c r="H63" s="40"/>
      <c r="I63" s="41"/>
      <c r="J63" s="39"/>
      <c r="K63" s="41"/>
      <c r="L63" s="41"/>
      <c r="M63" s="42" t="str">
        <f t="shared" si="1"/>
        <v/>
      </c>
      <c r="N63" s="40" t="str">
        <f t="shared" si="2"/>
        <v/>
      </c>
      <c r="O63" s="40" t="str">
        <f t="shared" si="3"/>
        <v/>
      </c>
      <c r="P63" s="43" t="str">
        <f t="shared" si="4"/>
        <v/>
      </c>
      <c r="Q63" s="44">
        <f t="shared" si="5"/>
        <v>0</v>
      </c>
      <c r="R63" s="44">
        <f t="shared" si="6"/>
        <v>0</v>
      </c>
      <c r="S63" s="43">
        <f t="shared" si="7"/>
        <v>0</v>
      </c>
      <c r="T63" s="39"/>
      <c r="U63" s="35"/>
      <c r="V63" s="35"/>
      <c r="W63" s="35"/>
      <c r="X63" s="35"/>
      <c r="Y63" s="35"/>
      <c r="Z63" s="35"/>
      <c r="AA63" s="35"/>
      <c r="AB63" s="35"/>
      <c r="AC63" s="35"/>
      <c r="AD63" s="35"/>
      <c r="AE63" s="35"/>
      <c r="AF63" s="35"/>
      <c r="AG63" s="35"/>
      <c r="AH63" s="35"/>
      <c r="AI63" s="35"/>
      <c r="AJ63" s="35"/>
      <c r="AK63" s="35"/>
      <c r="AL63" s="35"/>
      <c r="AM63" s="35"/>
      <c r="AN63" s="35"/>
      <c r="AO63" s="35"/>
      <c r="AP63" s="35"/>
      <c r="AQ63" s="35"/>
      <c r="AR63" s="35"/>
      <c r="AS63" s="35"/>
      <c r="AT63" s="35"/>
      <c r="AU63" s="35"/>
      <c r="AV63" s="35"/>
      <c r="AW63" s="35"/>
      <c r="AX63" s="35"/>
      <c r="AY63" s="35"/>
      <c r="AZ63" s="35"/>
      <c r="BA63" s="35"/>
      <c r="BB63" s="35"/>
      <c r="BC63" s="35"/>
      <c r="BD63" s="35"/>
      <c r="BE63" s="35"/>
      <c r="BF63" s="35"/>
      <c r="BG63" s="35"/>
      <c r="BH63" s="35"/>
      <c r="BI63" s="35"/>
      <c r="BJ63" s="35"/>
      <c r="BK63" s="35"/>
      <c r="BL63" s="35"/>
    </row>
    <row r="64" spans="1:64" ht="14">
      <c r="A64" s="36"/>
      <c r="B64" s="37"/>
      <c r="C64" s="38">
        <f t="shared" si="0"/>
        <v>0</v>
      </c>
      <c r="D64" s="39"/>
      <c r="E64" s="39"/>
      <c r="F64" s="39"/>
      <c r="G64" s="39"/>
      <c r="H64" s="40"/>
      <c r="I64" s="41"/>
      <c r="J64" s="39"/>
      <c r="K64" s="41"/>
      <c r="L64" s="41"/>
      <c r="M64" s="42" t="str">
        <f t="shared" si="1"/>
        <v/>
      </c>
      <c r="N64" s="40" t="str">
        <f t="shared" si="2"/>
        <v/>
      </c>
      <c r="O64" s="40" t="str">
        <f t="shared" si="3"/>
        <v/>
      </c>
      <c r="P64" s="43" t="str">
        <f t="shared" si="4"/>
        <v/>
      </c>
      <c r="Q64" s="44">
        <f t="shared" si="5"/>
        <v>0</v>
      </c>
      <c r="R64" s="44">
        <f t="shared" si="6"/>
        <v>0</v>
      </c>
      <c r="S64" s="43">
        <f t="shared" si="7"/>
        <v>0</v>
      </c>
      <c r="T64" s="39"/>
      <c r="U64" s="35"/>
      <c r="V64" s="35"/>
      <c r="W64" s="35"/>
      <c r="X64" s="35"/>
      <c r="Y64" s="35"/>
      <c r="Z64" s="35"/>
      <c r="AA64" s="35"/>
      <c r="AB64" s="35"/>
      <c r="AC64" s="35"/>
      <c r="AD64" s="35"/>
      <c r="AE64" s="35"/>
      <c r="AF64" s="35"/>
      <c r="AG64" s="35"/>
      <c r="AH64" s="35"/>
      <c r="AI64" s="35"/>
      <c r="AJ64" s="35"/>
      <c r="AK64" s="35"/>
      <c r="AL64" s="35"/>
      <c r="AM64" s="35"/>
      <c r="AN64" s="35"/>
      <c r="AO64" s="35"/>
      <c r="AP64" s="35"/>
      <c r="AQ64" s="35"/>
      <c r="AR64" s="35"/>
      <c r="AS64" s="35"/>
      <c r="AT64" s="35"/>
      <c r="AU64" s="35"/>
      <c r="AV64" s="35"/>
      <c r="AW64" s="35"/>
      <c r="AX64" s="35"/>
      <c r="AY64" s="35"/>
      <c r="AZ64" s="35"/>
      <c r="BA64" s="35"/>
      <c r="BB64" s="35"/>
      <c r="BC64" s="35"/>
      <c r="BD64" s="35"/>
      <c r="BE64" s="35"/>
      <c r="BF64" s="35"/>
      <c r="BG64" s="35"/>
      <c r="BH64" s="35"/>
      <c r="BI64" s="35"/>
      <c r="BJ64" s="35"/>
      <c r="BK64" s="35"/>
      <c r="BL64" s="35"/>
    </row>
    <row r="65" spans="1:64" ht="14">
      <c r="A65" s="36"/>
      <c r="B65" s="37"/>
      <c r="C65" s="38">
        <f t="shared" si="0"/>
        <v>0</v>
      </c>
      <c r="D65" s="39"/>
      <c r="E65" s="39"/>
      <c r="F65" s="39"/>
      <c r="G65" s="39"/>
      <c r="H65" s="40"/>
      <c r="I65" s="41"/>
      <c r="J65" s="39"/>
      <c r="K65" s="41"/>
      <c r="L65" s="41"/>
      <c r="M65" s="42" t="str">
        <f t="shared" si="1"/>
        <v/>
      </c>
      <c r="N65" s="40" t="str">
        <f t="shared" si="2"/>
        <v/>
      </c>
      <c r="O65" s="40" t="str">
        <f t="shared" si="3"/>
        <v/>
      </c>
      <c r="P65" s="43" t="str">
        <f t="shared" si="4"/>
        <v/>
      </c>
      <c r="Q65" s="44">
        <f t="shared" si="5"/>
        <v>0</v>
      </c>
      <c r="R65" s="44">
        <f t="shared" si="6"/>
        <v>0</v>
      </c>
      <c r="S65" s="43">
        <f t="shared" si="7"/>
        <v>0</v>
      </c>
      <c r="T65" s="39"/>
      <c r="U65" s="35"/>
      <c r="V65" s="35"/>
      <c r="W65" s="35"/>
      <c r="X65" s="35"/>
      <c r="Y65" s="35"/>
      <c r="Z65" s="35"/>
      <c r="AA65" s="35"/>
      <c r="AB65" s="35"/>
      <c r="AC65" s="35"/>
      <c r="AD65" s="35"/>
      <c r="AE65" s="35"/>
      <c r="AF65" s="35"/>
      <c r="AG65" s="35"/>
      <c r="AH65" s="35"/>
      <c r="AI65" s="35"/>
      <c r="AJ65" s="35"/>
      <c r="AK65" s="35"/>
      <c r="AL65" s="35"/>
      <c r="AM65" s="35"/>
      <c r="AN65" s="35"/>
      <c r="AO65" s="35"/>
      <c r="AP65" s="35"/>
      <c r="AQ65" s="35"/>
      <c r="AR65" s="35"/>
      <c r="AS65" s="35"/>
      <c r="AT65" s="35"/>
      <c r="AU65" s="35"/>
      <c r="AV65" s="35"/>
      <c r="AW65" s="35"/>
      <c r="AX65" s="35"/>
      <c r="AY65" s="35"/>
      <c r="AZ65" s="35"/>
      <c r="BA65" s="35"/>
      <c r="BB65" s="35"/>
      <c r="BC65" s="35"/>
      <c r="BD65" s="35"/>
      <c r="BE65" s="35"/>
      <c r="BF65" s="35"/>
      <c r="BG65" s="35"/>
      <c r="BH65" s="35"/>
      <c r="BI65" s="35"/>
      <c r="BJ65" s="35"/>
      <c r="BK65" s="35"/>
      <c r="BL65" s="35"/>
    </row>
    <row r="66" spans="1:64" ht="14">
      <c r="A66" s="36"/>
      <c r="B66" s="37"/>
      <c r="C66" s="38">
        <f t="shared" si="0"/>
        <v>0</v>
      </c>
      <c r="D66" s="39"/>
      <c r="E66" s="39"/>
      <c r="F66" s="39"/>
      <c r="G66" s="39"/>
      <c r="H66" s="40"/>
      <c r="I66" s="41"/>
      <c r="J66" s="39"/>
      <c r="K66" s="41"/>
      <c r="L66" s="41"/>
      <c r="M66" s="42" t="str">
        <f t="shared" si="1"/>
        <v/>
      </c>
      <c r="N66" s="40" t="str">
        <f t="shared" si="2"/>
        <v/>
      </c>
      <c r="O66" s="40" t="str">
        <f t="shared" si="3"/>
        <v/>
      </c>
      <c r="P66" s="43" t="str">
        <f t="shared" si="4"/>
        <v/>
      </c>
      <c r="Q66" s="44">
        <f t="shared" si="5"/>
        <v>0</v>
      </c>
      <c r="R66" s="44">
        <f t="shared" si="6"/>
        <v>0</v>
      </c>
      <c r="S66" s="43">
        <f t="shared" si="7"/>
        <v>0</v>
      </c>
      <c r="T66" s="39"/>
      <c r="U66" s="35"/>
      <c r="V66" s="35"/>
      <c r="W66" s="35"/>
      <c r="X66" s="35"/>
      <c r="Y66" s="35"/>
      <c r="Z66" s="35"/>
      <c r="AA66" s="35"/>
      <c r="AB66" s="35"/>
      <c r="AC66" s="35"/>
      <c r="AD66" s="35"/>
      <c r="AE66" s="35"/>
      <c r="AF66" s="35"/>
      <c r="AG66" s="35"/>
      <c r="AH66" s="35"/>
      <c r="AI66" s="35"/>
      <c r="AJ66" s="35"/>
      <c r="AK66" s="35"/>
      <c r="AL66" s="35"/>
      <c r="AM66" s="35"/>
      <c r="AN66" s="35"/>
      <c r="AO66" s="35"/>
      <c r="AP66" s="35"/>
      <c r="AQ66" s="35"/>
      <c r="AR66" s="35"/>
      <c r="AS66" s="35"/>
      <c r="AT66" s="35"/>
      <c r="AU66" s="35"/>
      <c r="AV66" s="35"/>
      <c r="AW66" s="35"/>
      <c r="AX66" s="35"/>
      <c r="AY66" s="35"/>
      <c r="AZ66" s="35"/>
      <c r="BA66" s="35"/>
      <c r="BB66" s="35"/>
      <c r="BC66" s="35"/>
      <c r="BD66" s="35"/>
      <c r="BE66" s="35"/>
      <c r="BF66" s="35"/>
      <c r="BG66" s="35"/>
      <c r="BH66" s="35"/>
      <c r="BI66" s="35"/>
      <c r="BJ66" s="35"/>
      <c r="BK66" s="35"/>
      <c r="BL66" s="35"/>
    </row>
    <row r="67" spans="1:64" ht="14">
      <c r="A67" s="36"/>
      <c r="B67" s="37"/>
      <c r="C67" s="38">
        <f t="shared" si="0"/>
        <v>0</v>
      </c>
      <c r="D67" s="39"/>
      <c r="E67" s="39"/>
      <c r="F67" s="39"/>
      <c r="G67" s="39"/>
      <c r="H67" s="40"/>
      <c r="I67" s="41"/>
      <c r="J67" s="39"/>
      <c r="K67" s="41"/>
      <c r="L67" s="41"/>
      <c r="M67" s="42" t="str">
        <f t="shared" si="1"/>
        <v/>
      </c>
      <c r="N67" s="40" t="str">
        <f t="shared" si="2"/>
        <v/>
      </c>
      <c r="O67" s="40" t="str">
        <f t="shared" si="3"/>
        <v/>
      </c>
      <c r="P67" s="43" t="str">
        <f t="shared" si="4"/>
        <v/>
      </c>
      <c r="Q67" s="44">
        <f t="shared" si="5"/>
        <v>0</v>
      </c>
      <c r="R67" s="44">
        <f t="shared" si="6"/>
        <v>0</v>
      </c>
      <c r="S67" s="43">
        <f t="shared" si="7"/>
        <v>0</v>
      </c>
      <c r="T67" s="39"/>
      <c r="U67" s="35"/>
      <c r="V67" s="35"/>
      <c r="W67" s="35"/>
      <c r="X67" s="35"/>
      <c r="Y67" s="35"/>
      <c r="Z67" s="35"/>
      <c r="AA67" s="35"/>
      <c r="AB67" s="35"/>
      <c r="AC67" s="35"/>
      <c r="AD67" s="35"/>
      <c r="AE67" s="35"/>
      <c r="AF67" s="35"/>
      <c r="AG67" s="35"/>
      <c r="AH67" s="35"/>
      <c r="AI67" s="35"/>
      <c r="AJ67" s="35"/>
      <c r="AK67" s="35"/>
      <c r="AL67" s="35"/>
      <c r="AM67" s="35"/>
      <c r="AN67" s="35"/>
      <c r="AO67" s="35"/>
      <c r="AP67" s="35"/>
      <c r="AQ67" s="35"/>
      <c r="AR67" s="35"/>
      <c r="AS67" s="35"/>
      <c r="AT67" s="35"/>
      <c r="AU67" s="35"/>
      <c r="AV67" s="35"/>
      <c r="AW67" s="35"/>
      <c r="AX67" s="35"/>
      <c r="AY67" s="35"/>
      <c r="AZ67" s="35"/>
      <c r="BA67" s="35"/>
      <c r="BB67" s="35"/>
      <c r="BC67" s="35"/>
      <c r="BD67" s="35"/>
      <c r="BE67" s="35"/>
      <c r="BF67" s="35"/>
      <c r="BG67" s="35"/>
      <c r="BH67" s="35"/>
      <c r="BI67" s="35"/>
      <c r="BJ67" s="35"/>
      <c r="BK67" s="35"/>
      <c r="BL67" s="35"/>
    </row>
    <row r="68" spans="1:64" ht="14">
      <c r="A68" s="36"/>
      <c r="B68" s="37"/>
      <c r="C68" s="38">
        <f t="shared" si="0"/>
        <v>0</v>
      </c>
      <c r="D68" s="39"/>
      <c r="E68" s="39"/>
      <c r="F68" s="39"/>
      <c r="G68" s="39"/>
      <c r="H68" s="40"/>
      <c r="I68" s="41"/>
      <c r="J68" s="39"/>
      <c r="K68" s="41"/>
      <c r="L68" s="41"/>
      <c r="M68" s="42" t="str">
        <f t="shared" si="1"/>
        <v/>
      </c>
      <c r="N68" s="40" t="str">
        <f t="shared" si="2"/>
        <v/>
      </c>
      <c r="O68" s="40" t="str">
        <f t="shared" si="3"/>
        <v/>
      </c>
      <c r="P68" s="43" t="str">
        <f t="shared" si="4"/>
        <v/>
      </c>
      <c r="Q68" s="44">
        <f t="shared" si="5"/>
        <v>0</v>
      </c>
      <c r="R68" s="44">
        <f t="shared" si="6"/>
        <v>0</v>
      </c>
      <c r="S68" s="43">
        <f t="shared" si="7"/>
        <v>0</v>
      </c>
      <c r="T68" s="39"/>
      <c r="U68" s="35"/>
      <c r="V68" s="35"/>
      <c r="W68" s="35"/>
      <c r="X68" s="35"/>
      <c r="Y68" s="35"/>
      <c r="Z68" s="35"/>
      <c r="AA68" s="35"/>
      <c r="AB68" s="35"/>
      <c r="AC68" s="35"/>
      <c r="AD68" s="35"/>
      <c r="AE68" s="35"/>
      <c r="AF68" s="35"/>
      <c r="AG68" s="35"/>
      <c r="AH68" s="35"/>
      <c r="AI68" s="35"/>
      <c r="AJ68" s="35"/>
      <c r="AK68" s="35"/>
      <c r="AL68" s="35"/>
      <c r="AM68" s="35"/>
      <c r="AN68" s="35"/>
      <c r="AO68" s="35"/>
      <c r="AP68" s="35"/>
      <c r="AQ68" s="35"/>
      <c r="AR68" s="35"/>
      <c r="AS68" s="35"/>
      <c r="AT68" s="35"/>
      <c r="AU68" s="35"/>
      <c r="AV68" s="35"/>
      <c r="AW68" s="35"/>
      <c r="AX68" s="35"/>
      <c r="AY68" s="35"/>
      <c r="AZ68" s="35"/>
      <c r="BA68" s="35"/>
      <c r="BB68" s="35"/>
      <c r="BC68" s="35"/>
      <c r="BD68" s="35"/>
      <c r="BE68" s="35"/>
      <c r="BF68" s="35"/>
      <c r="BG68" s="35"/>
      <c r="BH68" s="35"/>
      <c r="BI68" s="35"/>
      <c r="BJ68" s="35"/>
      <c r="BK68" s="35"/>
      <c r="BL68" s="35"/>
    </row>
    <row r="69" spans="1:64" ht="14">
      <c r="A69" s="36"/>
      <c r="B69" s="37"/>
      <c r="C69" s="38">
        <f t="shared" si="0"/>
        <v>0</v>
      </c>
      <c r="D69" s="39"/>
      <c r="E69" s="39"/>
      <c r="F69" s="39"/>
      <c r="G69" s="39"/>
      <c r="H69" s="40"/>
      <c r="I69" s="41"/>
      <c r="J69" s="39"/>
      <c r="K69" s="41"/>
      <c r="L69" s="41"/>
      <c r="M69" s="42" t="str">
        <f t="shared" si="1"/>
        <v/>
      </c>
      <c r="N69" s="40" t="str">
        <f t="shared" si="2"/>
        <v/>
      </c>
      <c r="O69" s="40" t="str">
        <f t="shared" si="3"/>
        <v/>
      </c>
      <c r="P69" s="43" t="str">
        <f t="shared" si="4"/>
        <v/>
      </c>
      <c r="Q69" s="44">
        <f t="shared" si="5"/>
        <v>0</v>
      </c>
      <c r="R69" s="44">
        <f t="shared" si="6"/>
        <v>0</v>
      </c>
      <c r="S69" s="43">
        <f t="shared" si="7"/>
        <v>0</v>
      </c>
      <c r="T69" s="39"/>
      <c r="U69" s="35"/>
      <c r="V69" s="35"/>
      <c r="W69" s="35"/>
      <c r="X69" s="35"/>
      <c r="Y69" s="35"/>
      <c r="Z69" s="35"/>
      <c r="AA69" s="35"/>
      <c r="AB69" s="35"/>
      <c r="AC69" s="35"/>
      <c r="AD69" s="35"/>
      <c r="AE69" s="35"/>
      <c r="AF69" s="35"/>
      <c r="AG69" s="35"/>
      <c r="AH69" s="35"/>
      <c r="AI69" s="35"/>
      <c r="AJ69" s="35"/>
      <c r="AK69" s="35"/>
      <c r="AL69" s="35"/>
      <c r="AM69" s="35"/>
      <c r="AN69" s="35"/>
      <c r="AO69" s="35"/>
      <c r="AP69" s="35"/>
      <c r="AQ69" s="35"/>
      <c r="AR69" s="35"/>
      <c r="AS69" s="35"/>
      <c r="AT69" s="35"/>
      <c r="AU69" s="35"/>
      <c r="AV69" s="35"/>
      <c r="AW69" s="35"/>
      <c r="AX69" s="35"/>
      <c r="AY69" s="35"/>
      <c r="AZ69" s="35"/>
      <c r="BA69" s="35"/>
      <c r="BB69" s="35"/>
      <c r="BC69" s="35"/>
      <c r="BD69" s="35"/>
      <c r="BE69" s="35"/>
      <c r="BF69" s="35"/>
      <c r="BG69" s="35"/>
      <c r="BH69" s="35"/>
      <c r="BI69" s="35"/>
      <c r="BJ69" s="35"/>
      <c r="BK69" s="35"/>
      <c r="BL69" s="35"/>
    </row>
    <row r="70" spans="1:64" ht="14">
      <c r="A70" s="36"/>
      <c r="B70" s="37"/>
      <c r="C70" s="38">
        <f t="shared" si="0"/>
        <v>0</v>
      </c>
      <c r="D70" s="39"/>
      <c r="E70" s="39"/>
      <c r="F70" s="39"/>
      <c r="G70" s="39"/>
      <c r="H70" s="40"/>
      <c r="I70" s="41"/>
      <c r="J70" s="39"/>
      <c r="K70" s="41"/>
      <c r="L70" s="41"/>
      <c r="M70" s="42" t="str">
        <f t="shared" si="1"/>
        <v/>
      </c>
      <c r="N70" s="40" t="str">
        <f t="shared" si="2"/>
        <v/>
      </c>
      <c r="O70" s="40" t="str">
        <f t="shared" si="3"/>
        <v/>
      </c>
      <c r="P70" s="43" t="str">
        <f t="shared" si="4"/>
        <v/>
      </c>
      <c r="Q70" s="44">
        <f t="shared" si="5"/>
        <v>0</v>
      </c>
      <c r="R70" s="44">
        <f t="shared" si="6"/>
        <v>0</v>
      </c>
      <c r="S70" s="43">
        <f t="shared" si="7"/>
        <v>0</v>
      </c>
      <c r="T70" s="39"/>
      <c r="U70" s="35"/>
      <c r="V70" s="35"/>
      <c r="W70" s="35"/>
      <c r="X70" s="35"/>
      <c r="Y70" s="35"/>
      <c r="Z70" s="35"/>
      <c r="AA70" s="35"/>
      <c r="AB70" s="35"/>
      <c r="AC70" s="35"/>
      <c r="AD70" s="35"/>
      <c r="AE70" s="35"/>
      <c r="AF70" s="35"/>
      <c r="AG70" s="35"/>
      <c r="AH70" s="35"/>
      <c r="AI70" s="35"/>
      <c r="AJ70" s="35"/>
      <c r="AK70" s="35"/>
      <c r="AL70" s="35"/>
      <c r="AM70" s="35"/>
      <c r="AN70" s="35"/>
      <c r="AO70" s="35"/>
      <c r="AP70" s="35"/>
      <c r="AQ70" s="35"/>
      <c r="AR70" s="35"/>
      <c r="AS70" s="35"/>
      <c r="AT70" s="35"/>
      <c r="AU70" s="35"/>
      <c r="AV70" s="35"/>
      <c r="AW70" s="35"/>
      <c r="AX70" s="35"/>
      <c r="AY70" s="35"/>
      <c r="AZ70" s="35"/>
      <c r="BA70" s="35"/>
      <c r="BB70" s="35"/>
      <c r="BC70" s="35"/>
      <c r="BD70" s="35"/>
      <c r="BE70" s="35"/>
      <c r="BF70" s="35"/>
      <c r="BG70" s="35"/>
      <c r="BH70" s="35"/>
      <c r="BI70" s="35"/>
      <c r="BJ70" s="35"/>
      <c r="BK70" s="35"/>
      <c r="BL70" s="35"/>
    </row>
    <row r="71" spans="1:64" ht="14">
      <c r="A71" s="36"/>
      <c r="B71" s="37"/>
      <c r="C71" s="38">
        <f t="shared" si="0"/>
        <v>0</v>
      </c>
      <c r="D71" s="39"/>
      <c r="E71" s="39"/>
      <c r="F71" s="39"/>
      <c r="G71" s="39"/>
      <c r="H71" s="40"/>
      <c r="I71" s="41"/>
      <c r="J71" s="39"/>
      <c r="K71" s="41"/>
      <c r="L71" s="41"/>
      <c r="M71" s="42" t="str">
        <f t="shared" si="1"/>
        <v/>
      </c>
      <c r="N71" s="40" t="str">
        <f t="shared" si="2"/>
        <v/>
      </c>
      <c r="O71" s="40" t="str">
        <f t="shared" si="3"/>
        <v/>
      </c>
      <c r="P71" s="43" t="str">
        <f t="shared" si="4"/>
        <v/>
      </c>
      <c r="Q71" s="44">
        <f t="shared" si="5"/>
        <v>0</v>
      </c>
      <c r="R71" s="44">
        <f t="shared" si="6"/>
        <v>0</v>
      </c>
      <c r="S71" s="43">
        <f t="shared" si="7"/>
        <v>0</v>
      </c>
      <c r="T71" s="39"/>
      <c r="U71" s="35"/>
      <c r="V71" s="35"/>
      <c r="W71" s="35"/>
      <c r="X71" s="35"/>
      <c r="Y71" s="35"/>
      <c r="Z71" s="35"/>
      <c r="AA71" s="35"/>
      <c r="AB71" s="35"/>
      <c r="AC71" s="35"/>
      <c r="AD71" s="35"/>
      <c r="AE71" s="35"/>
      <c r="AF71" s="35"/>
      <c r="AG71" s="35"/>
      <c r="AH71" s="35"/>
      <c r="AI71" s="35"/>
      <c r="AJ71" s="35"/>
      <c r="AK71" s="35"/>
      <c r="AL71" s="35"/>
      <c r="AM71" s="35"/>
      <c r="AN71" s="35"/>
      <c r="AO71" s="35"/>
      <c r="AP71" s="35"/>
      <c r="AQ71" s="35"/>
      <c r="AR71" s="35"/>
      <c r="AS71" s="35"/>
      <c r="AT71" s="35"/>
      <c r="AU71" s="35"/>
      <c r="AV71" s="35"/>
      <c r="AW71" s="35"/>
      <c r="AX71" s="35"/>
      <c r="AY71" s="35"/>
      <c r="AZ71" s="35"/>
      <c r="BA71" s="35"/>
      <c r="BB71" s="35"/>
      <c r="BC71" s="35"/>
      <c r="BD71" s="35"/>
      <c r="BE71" s="35"/>
      <c r="BF71" s="35"/>
      <c r="BG71" s="35"/>
      <c r="BH71" s="35"/>
      <c r="BI71" s="35"/>
      <c r="BJ71" s="35"/>
      <c r="BK71" s="35"/>
      <c r="BL71" s="35"/>
    </row>
    <row r="72" spans="1:64" ht="14">
      <c r="A72" s="36"/>
      <c r="B72" s="37"/>
      <c r="C72" s="38">
        <f t="shared" si="0"/>
        <v>0</v>
      </c>
      <c r="D72" s="39"/>
      <c r="E72" s="39"/>
      <c r="F72" s="39"/>
      <c r="G72" s="39"/>
      <c r="H72" s="40"/>
      <c r="I72" s="41"/>
      <c r="J72" s="39"/>
      <c r="K72" s="41"/>
      <c r="L72" s="41"/>
      <c r="M72" s="42" t="str">
        <f t="shared" si="1"/>
        <v/>
      </c>
      <c r="N72" s="40" t="str">
        <f t="shared" si="2"/>
        <v/>
      </c>
      <c r="O72" s="40" t="str">
        <f t="shared" si="3"/>
        <v/>
      </c>
      <c r="P72" s="43" t="str">
        <f t="shared" si="4"/>
        <v/>
      </c>
      <c r="Q72" s="44">
        <f t="shared" si="5"/>
        <v>0</v>
      </c>
      <c r="R72" s="44">
        <f t="shared" si="6"/>
        <v>0</v>
      </c>
      <c r="S72" s="43">
        <f t="shared" si="7"/>
        <v>0</v>
      </c>
      <c r="T72" s="39"/>
      <c r="U72" s="35"/>
      <c r="V72" s="35"/>
      <c r="W72" s="35"/>
      <c r="X72" s="35"/>
      <c r="Y72" s="35"/>
      <c r="Z72" s="35"/>
      <c r="AA72" s="35"/>
      <c r="AB72" s="35"/>
      <c r="AC72" s="35"/>
      <c r="AD72" s="35"/>
      <c r="AE72" s="35"/>
      <c r="AF72" s="35"/>
      <c r="AG72" s="35"/>
      <c r="AH72" s="35"/>
      <c r="AI72" s="35"/>
      <c r="AJ72" s="35"/>
      <c r="AK72" s="35"/>
      <c r="AL72" s="35"/>
      <c r="AM72" s="35"/>
      <c r="AN72" s="35"/>
      <c r="AO72" s="35"/>
      <c r="AP72" s="35"/>
      <c r="AQ72" s="35"/>
      <c r="AR72" s="35"/>
      <c r="AS72" s="35"/>
      <c r="AT72" s="35"/>
      <c r="AU72" s="35"/>
      <c r="AV72" s="35"/>
      <c r="AW72" s="35"/>
      <c r="AX72" s="35"/>
      <c r="AY72" s="35"/>
      <c r="AZ72" s="35"/>
      <c r="BA72" s="35"/>
      <c r="BB72" s="35"/>
      <c r="BC72" s="35"/>
      <c r="BD72" s="35"/>
      <c r="BE72" s="35"/>
      <c r="BF72" s="35"/>
      <c r="BG72" s="35"/>
      <c r="BH72" s="35"/>
      <c r="BI72" s="35"/>
      <c r="BJ72" s="35"/>
      <c r="BK72" s="35"/>
      <c r="BL72" s="35"/>
    </row>
    <row r="73" spans="1:64" ht="14">
      <c r="A73" s="36"/>
      <c r="B73" s="37"/>
      <c r="C73" s="38">
        <f t="shared" si="0"/>
        <v>0</v>
      </c>
      <c r="D73" s="39"/>
      <c r="E73" s="39"/>
      <c r="F73" s="39"/>
      <c r="G73" s="39"/>
      <c r="H73" s="40"/>
      <c r="I73" s="41"/>
      <c r="J73" s="39"/>
      <c r="K73" s="41"/>
      <c r="L73" s="41"/>
      <c r="M73" s="42" t="str">
        <f t="shared" si="1"/>
        <v/>
      </c>
      <c r="N73" s="40" t="str">
        <f t="shared" si="2"/>
        <v/>
      </c>
      <c r="O73" s="40" t="str">
        <f t="shared" si="3"/>
        <v/>
      </c>
      <c r="P73" s="43" t="str">
        <f t="shared" si="4"/>
        <v/>
      </c>
      <c r="Q73" s="44">
        <f t="shared" si="5"/>
        <v>0</v>
      </c>
      <c r="R73" s="44">
        <f t="shared" si="6"/>
        <v>0</v>
      </c>
      <c r="S73" s="43">
        <f t="shared" si="7"/>
        <v>0</v>
      </c>
      <c r="T73" s="39"/>
      <c r="U73" s="35"/>
      <c r="V73" s="35"/>
      <c r="W73" s="35"/>
      <c r="X73" s="35"/>
      <c r="Y73" s="35"/>
      <c r="Z73" s="35"/>
      <c r="AA73" s="35"/>
      <c r="AB73" s="35"/>
      <c r="AC73" s="35"/>
      <c r="AD73" s="35"/>
      <c r="AE73" s="35"/>
      <c r="AF73" s="35"/>
      <c r="AG73" s="35"/>
      <c r="AH73" s="35"/>
      <c r="AI73" s="35"/>
      <c r="AJ73" s="35"/>
      <c r="AK73" s="35"/>
      <c r="AL73" s="35"/>
      <c r="AM73" s="35"/>
      <c r="AN73" s="35"/>
      <c r="AO73" s="35"/>
      <c r="AP73" s="35"/>
      <c r="AQ73" s="35"/>
      <c r="AR73" s="35"/>
      <c r="AS73" s="35"/>
      <c r="AT73" s="35"/>
      <c r="AU73" s="35"/>
      <c r="AV73" s="35"/>
      <c r="AW73" s="35"/>
      <c r="AX73" s="35"/>
      <c r="AY73" s="35"/>
      <c r="AZ73" s="35"/>
      <c r="BA73" s="35"/>
      <c r="BB73" s="35"/>
      <c r="BC73" s="35"/>
      <c r="BD73" s="35"/>
      <c r="BE73" s="35"/>
      <c r="BF73" s="35"/>
      <c r="BG73" s="35"/>
      <c r="BH73" s="35"/>
      <c r="BI73" s="35"/>
      <c r="BJ73" s="35"/>
      <c r="BK73" s="35"/>
      <c r="BL73" s="35"/>
    </row>
    <row r="74" spans="1:64" ht="14">
      <c r="A74" s="36"/>
      <c r="B74" s="37"/>
      <c r="C74" s="38">
        <f t="shared" ref="C74:C137" si="8">IF($B74&lt;&gt;"",VLOOKUP($B74,Matriz_INM,2,0),0)</f>
        <v>0</v>
      </c>
      <c r="D74" s="39"/>
      <c r="E74" s="39"/>
      <c r="F74" s="39"/>
      <c r="G74" s="39"/>
      <c r="H74" s="40"/>
      <c r="I74" s="41"/>
      <c r="J74" s="39"/>
      <c r="K74" s="41"/>
      <c r="L74" s="41"/>
      <c r="M74" s="42" t="str">
        <f t="shared" ref="M74:M137" si="9">IFERROR(VLOOKUP($B74,Matriz_INM,3,0),"")</f>
        <v/>
      </c>
      <c r="N74" s="40" t="str">
        <f t="shared" ref="N74:N137" si="10">IF(J74="EE",IF(OR(AND(OR(L74=1,L74=0),K74&gt;0,K74&lt;5),AND(OR(L74=1,L74=0),K74&gt;4,K74&lt;16),AND(L74=2,K74&gt;0,K74&lt;5)),"Simples",IF(OR(AND(OR(L74=1,L74=0),K74&gt;15),AND(L74=2,K74&gt;4,K74&lt;16),AND(L74&gt;2,K74&gt;0,K74&lt;5)),"Médio",IF(OR(AND(L74=2,K74&gt;15),AND(L74&gt;2,K74&gt;4,K74&lt;16),AND(L74&gt;2,K74&gt;15)),"Complexo",""))), IF(OR(J74="CE",J74="SE"),IF(OR(AND(OR(L74=1,L74=0),K74&gt;0,K74&lt;6),AND(OR(L74=1,L74=0),K74&gt;5,K74&lt;20),AND(L74&gt;1,L74&lt;4,K74&gt;0,K74&lt;6)),"Simples",IF(OR(AND(OR(L74=1,L74=0),K74&gt;19),AND(L74&gt;1,L74&lt;4,K74&gt;5,K74&lt;20),AND(L74&gt;3,K74&gt;0,K74&lt;6)),"Médio",IF(OR(AND(L74&gt;1,L74&lt;4,K74&gt;19),AND(L74&gt;3,K74&gt;5,K74&lt;20),AND(L74&gt;3,K74&gt;19)),"Complexo",""))),""))</f>
        <v/>
      </c>
      <c r="O74" s="40" t="str">
        <f t="shared" ref="O74:O137" si="11">IF(J74="ALI",IF(OR(AND(OR(L74=1,L74=0),K74&gt;0,K74&lt;20),AND(OR(L74=1,L74=0),K74&gt;19,K74&lt;51),AND(L74&gt;1,L74&lt;6,K74&gt;0,K74&lt;20)),"Simples",IF(OR(AND(OR(L74=1,L74=0),K74&gt;50),AND(L74&gt;1,L74&lt;6,K74&gt;19,K74&lt;51),AND(L74&gt;5,K74&gt;0,K74&lt;20)),"Médio",IF(OR(AND(L74&gt;1,L74&lt;6,K74&gt;50),AND(L74&gt;5,K74&gt;19,K74&lt;51),AND(L74&gt;5,K74&gt;50)),"Complexo",""))), IF(J74="AIE",IF(OR(AND(OR(L74=1, L74=0),K74&gt;0,K74&lt;20),AND(OR(L74=1, L74=0),K74&gt;19,K74&lt;51),AND(L74&gt;1,L74&lt;6,K74&gt;0,K74&lt;20)),"Simples",IF(OR(AND(OR(L74=1, L74=0),K74&gt;50),AND(L74&gt;1,L74&lt;6,K74&gt;19,K74&lt;51),AND(L74&gt;5,K74&gt;0,K74&lt;20)),"Médio",IF(OR(AND(L74&gt;1,L74&lt;6,K74&gt;50),AND(L74&gt;5,K74&gt;19,K74&lt;51),AND(L74&gt;5,K74&gt;50)),"Complexo",""))),""))</f>
        <v/>
      </c>
      <c r="P74" s="43" t="str">
        <f t="shared" ref="P74:P137" si="12">IF(N74="",O74,IF(O74="",N74,""))</f>
        <v/>
      </c>
      <c r="Q74" s="44">
        <f t="shared" ref="Q74:Q137" si="13">IF(AND(OR(J74="EE",J74="CE"),P74="Simples"),3, IF(AND(OR(J74="EE",J74="CE"),P74="Médio"),4, IF(AND(OR(J74="EE",J74="CE"),P74="Complexo"),6, IF(AND(J74="SE",P74="Simples"),4, IF(AND(J74="SE",P74="Médio"),5, IF(AND(J74="SE",P74="Complexo"),7,0))))))</f>
        <v>0</v>
      </c>
      <c r="R74" s="44">
        <f t="shared" ref="R74:R137" si="14">IF(AND(J74="ALI",O74="Simples"),7, IF(AND(J74="ALI",O74="Médio"),10, IF(AND(J74="ALI",O74="Complexo"),15, IF(AND(J74="AIE",O74="Simples"),5, IF(AND(J74="AIE",O74="Médio"),7, IF(AND(J74="AIE",O74="Complexo"),10,0))))))</f>
        <v>0</v>
      </c>
      <c r="S74" s="43">
        <f t="shared" ref="S74:S137" si="15">IF($M74="%",($Q74+$R74)*$C74,$C74*$I74)</f>
        <v>0</v>
      </c>
      <c r="T74" s="39"/>
      <c r="U74" s="35"/>
      <c r="V74" s="35"/>
      <c r="W74" s="35"/>
      <c r="X74" s="35"/>
      <c r="Y74" s="35"/>
      <c r="Z74" s="35"/>
      <c r="AA74" s="35"/>
      <c r="AB74" s="35"/>
      <c r="AC74" s="35"/>
      <c r="AD74" s="35"/>
      <c r="AE74" s="35"/>
      <c r="AF74" s="35"/>
      <c r="AG74" s="35"/>
      <c r="AH74" s="35"/>
      <c r="AI74" s="35"/>
      <c r="AJ74" s="35"/>
      <c r="AK74" s="35"/>
      <c r="AL74" s="35"/>
      <c r="AM74" s="35"/>
      <c r="AN74" s="35"/>
      <c r="AO74" s="35"/>
      <c r="AP74" s="35"/>
      <c r="AQ74" s="35"/>
      <c r="AR74" s="35"/>
      <c r="AS74" s="35"/>
      <c r="AT74" s="35"/>
      <c r="AU74" s="35"/>
      <c r="AV74" s="35"/>
      <c r="AW74" s="35"/>
      <c r="AX74" s="35"/>
      <c r="AY74" s="35"/>
      <c r="AZ74" s="35"/>
      <c r="BA74" s="35"/>
      <c r="BB74" s="35"/>
      <c r="BC74" s="35"/>
      <c r="BD74" s="35"/>
      <c r="BE74" s="35"/>
      <c r="BF74" s="35"/>
      <c r="BG74" s="35"/>
      <c r="BH74" s="35"/>
      <c r="BI74" s="35"/>
      <c r="BJ74" s="35"/>
      <c r="BK74" s="35"/>
      <c r="BL74" s="35"/>
    </row>
    <row r="75" spans="1:64" ht="14">
      <c r="A75" s="36"/>
      <c r="B75" s="37"/>
      <c r="C75" s="38">
        <f t="shared" si="8"/>
        <v>0</v>
      </c>
      <c r="D75" s="39"/>
      <c r="E75" s="39"/>
      <c r="F75" s="39"/>
      <c r="G75" s="39"/>
      <c r="H75" s="40"/>
      <c r="I75" s="41"/>
      <c r="J75" s="39"/>
      <c r="K75" s="41"/>
      <c r="L75" s="41"/>
      <c r="M75" s="42" t="str">
        <f t="shared" si="9"/>
        <v/>
      </c>
      <c r="N75" s="40" t="str">
        <f t="shared" si="10"/>
        <v/>
      </c>
      <c r="O75" s="40" t="str">
        <f t="shared" si="11"/>
        <v/>
      </c>
      <c r="P75" s="43" t="str">
        <f t="shared" si="12"/>
        <v/>
      </c>
      <c r="Q75" s="44">
        <f t="shared" si="13"/>
        <v>0</v>
      </c>
      <c r="R75" s="44">
        <f t="shared" si="14"/>
        <v>0</v>
      </c>
      <c r="S75" s="43">
        <f t="shared" si="15"/>
        <v>0</v>
      </c>
      <c r="T75" s="39"/>
      <c r="U75" s="35"/>
      <c r="V75" s="35"/>
      <c r="W75" s="35"/>
      <c r="X75" s="35"/>
      <c r="Y75" s="35"/>
      <c r="Z75" s="35"/>
      <c r="AA75" s="35"/>
      <c r="AB75" s="35"/>
      <c r="AC75" s="35"/>
      <c r="AD75" s="35"/>
      <c r="AE75" s="35"/>
      <c r="AF75" s="35"/>
      <c r="AG75" s="35"/>
      <c r="AH75" s="35"/>
      <c r="AI75" s="35"/>
      <c r="AJ75" s="35"/>
      <c r="AK75" s="35"/>
      <c r="AL75" s="35"/>
      <c r="AM75" s="35"/>
      <c r="AN75" s="35"/>
      <c r="AO75" s="35"/>
      <c r="AP75" s="35"/>
      <c r="AQ75" s="35"/>
      <c r="AR75" s="35"/>
      <c r="AS75" s="35"/>
      <c r="AT75" s="35"/>
      <c r="AU75" s="35"/>
      <c r="AV75" s="35"/>
      <c r="AW75" s="35"/>
      <c r="AX75" s="35"/>
      <c r="AY75" s="35"/>
      <c r="AZ75" s="35"/>
      <c r="BA75" s="35"/>
      <c r="BB75" s="35"/>
      <c r="BC75" s="35"/>
      <c r="BD75" s="35"/>
      <c r="BE75" s="35"/>
      <c r="BF75" s="35"/>
      <c r="BG75" s="35"/>
      <c r="BH75" s="35"/>
      <c r="BI75" s="35"/>
      <c r="BJ75" s="35"/>
      <c r="BK75" s="35"/>
      <c r="BL75" s="35"/>
    </row>
    <row r="76" spans="1:64" ht="14">
      <c r="A76" s="36"/>
      <c r="B76" s="37"/>
      <c r="C76" s="38">
        <f t="shared" si="8"/>
        <v>0</v>
      </c>
      <c r="D76" s="39"/>
      <c r="E76" s="39"/>
      <c r="F76" s="39"/>
      <c r="G76" s="39"/>
      <c r="H76" s="40"/>
      <c r="I76" s="41"/>
      <c r="J76" s="39"/>
      <c r="K76" s="41"/>
      <c r="L76" s="41"/>
      <c r="M76" s="42" t="str">
        <f t="shared" si="9"/>
        <v/>
      </c>
      <c r="N76" s="40" t="str">
        <f t="shared" si="10"/>
        <v/>
      </c>
      <c r="O76" s="40" t="str">
        <f t="shared" si="11"/>
        <v/>
      </c>
      <c r="P76" s="43" t="str">
        <f t="shared" si="12"/>
        <v/>
      </c>
      <c r="Q76" s="44">
        <f t="shared" si="13"/>
        <v>0</v>
      </c>
      <c r="R76" s="44">
        <f t="shared" si="14"/>
        <v>0</v>
      </c>
      <c r="S76" s="43">
        <f t="shared" si="15"/>
        <v>0</v>
      </c>
      <c r="T76" s="39"/>
      <c r="U76" s="35"/>
      <c r="V76" s="35"/>
      <c r="W76" s="35"/>
      <c r="X76" s="35"/>
      <c r="Y76" s="35"/>
      <c r="Z76" s="35"/>
      <c r="AA76" s="35"/>
      <c r="AB76" s="35"/>
      <c r="AC76" s="35"/>
      <c r="AD76" s="35"/>
      <c r="AE76" s="35"/>
      <c r="AF76" s="35"/>
      <c r="AG76" s="35"/>
      <c r="AH76" s="35"/>
      <c r="AI76" s="35"/>
      <c r="AJ76" s="35"/>
      <c r="AK76" s="35"/>
      <c r="AL76" s="35"/>
      <c r="AM76" s="35"/>
      <c r="AN76" s="35"/>
      <c r="AO76" s="35"/>
      <c r="AP76" s="35"/>
      <c r="AQ76" s="35"/>
      <c r="AR76" s="35"/>
      <c r="AS76" s="35"/>
      <c r="AT76" s="35"/>
      <c r="AU76" s="35"/>
      <c r="AV76" s="35"/>
      <c r="AW76" s="35"/>
      <c r="AX76" s="35"/>
      <c r="AY76" s="35"/>
      <c r="AZ76" s="35"/>
      <c r="BA76" s="35"/>
      <c r="BB76" s="35"/>
      <c r="BC76" s="35"/>
      <c r="BD76" s="35"/>
      <c r="BE76" s="35"/>
      <c r="BF76" s="35"/>
      <c r="BG76" s="35"/>
      <c r="BH76" s="35"/>
      <c r="BI76" s="35"/>
      <c r="BJ76" s="35"/>
      <c r="BK76" s="35"/>
      <c r="BL76" s="35"/>
    </row>
    <row r="77" spans="1:64" ht="14">
      <c r="A77" s="36"/>
      <c r="B77" s="37"/>
      <c r="C77" s="38">
        <f t="shared" si="8"/>
        <v>0</v>
      </c>
      <c r="D77" s="39"/>
      <c r="E77" s="39"/>
      <c r="F77" s="39"/>
      <c r="G77" s="39"/>
      <c r="H77" s="40"/>
      <c r="I77" s="41"/>
      <c r="J77" s="39"/>
      <c r="K77" s="41"/>
      <c r="L77" s="41"/>
      <c r="M77" s="42" t="str">
        <f t="shared" si="9"/>
        <v/>
      </c>
      <c r="N77" s="40" t="str">
        <f t="shared" si="10"/>
        <v/>
      </c>
      <c r="O77" s="40" t="str">
        <f t="shared" si="11"/>
        <v/>
      </c>
      <c r="P77" s="43" t="str">
        <f t="shared" si="12"/>
        <v/>
      </c>
      <c r="Q77" s="44">
        <f t="shared" si="13"/>
        <v>0</v>
      </c>
      <c r="R77" s="44">
        <f t="shared" si="14"/>
        <v>0</v>
      </c>
      <c r="S77" s="43">
        <f t="shared" si="15"/>
        <v>0</v>
      </c>
      <c r="T77" s="39"/>
      <c r="U77" s="35"/>
      <c r="V77" s="35"/>
      <c r="W77" s="35"/>
      <c r="X77" s="35"/>
      <c r="Y77" s="35"/>
      <c r="Z77" s="35"/>
      <c r="AA77" s="35"/>
      <c r="AB77" s="35"/>
      <c r="AC77" s="35"/>
      <c r="AD77" s="35"/>
      <c r="AE77" s="35"/>
      <c r="AF77" s="35"/>
      <c r="AG77" s="35"/>
      <c r="AH77" s="35"/>
      <c r="AI77" s="35"/>
      <c r="AJ77" s="35"/>
      <c r="AK77" s="35"/>
      <c r="AL77" s="35"/>
      <c r="AM77" s="35"/>
      <c r="AN77" s="35"/>
      <c r="AO77" s="35"/>
      <c r="AP77" s="35"/>
      <c r="AQ77" s="35"/>
      <c r="AR77" s="35"/>
      <c r="AS77" s="35"/>
      <c r="AT77" s="35"/>
      <c r="AU77" s="35"/>
      <c r="AV77" s="35"/>
      <c r="AW77" s="35"/>
      <c r="AX77" s="35"/>
      <c r="AY77" s="35"/>
      <c r="AZ77" s="35"/>
      <c r="BA77" s="35"/>
      <c r="BB77" s="35"/>
      <c r="BC77" s="35"/>
      <c r="BD77" s="35"/>
      <c r="BE77" s="35"/>
      <c r="BF77" s="35"/>
      <c r="BG77" s="35"/>
      <c r="BH77" s="35"/>
      <c r="BI77" s="35"/>
      <c r="BJ77" s="35"/>
      <c r="BK77" s="35"/>
      <c r="BL77" s="35"/>
    </row>
    <row r="78" spans="1:64" ht="14">
      <c r="A78" s="36"/>
      <c r="B78" s="37"/>
      <c r="C78" s="38">
        <f t="shared" si="8"/>
        <v>0</v>
      </c>
      <c r="D78" s="39"/>
      <c r="E78" s="39"/>
      <c r="F78" s="39"/>
      <c r="G78" s="39"/>
      <c r="H78" s="40"/>
      <c r="I78" s="41"/>
      <c r="J78" s="39"/>
      <c r="K78" s="41"/>
      <c r="L78" s="41"/>
      <c r="M78" s="42" t="str">
        <f t="shared" si="9"/>
        <v/>
      </c>
      <c r="N78" s="40" t="str">
        <f t="shared" si="10"/>
        <v/>
      </c>
      <c r="O78" s="40" t="str">
        <f t="shared" si="11"/>
        <v/>
      </c>
      <c r="P78" s="43" t="str">
        <f t="shared" si="12"/>
        <v/>
      </c>
      <c r="Q78" s="44">
        <f t="shared" si="13"/>
        <v>0</v>
      </c>
      <c r="R78" s="44">
        <f t="shared" si="14"/>
        <v>0</v>
      </c>
      <c r="S78" s="43">
        <f t="shared" si="15"/>
        <v>0</v>
      </c>
      <c r="T78" s="39"/>
      <c r="U78" s="35"/>
      <c r="V78" s="35"/>
      <c r="W78" s="35"/>
      <c r="X78" s="35"/>
      <c r="Y78" s="35"/>
      <c r="Z78" s="35"/>
      <c r="AA78" s="35"/>
      <c r="AB78" s="35"/>
      <c r="AC78" s="35"/>
      <c r="AD78" s="35"/>
      <c r="AE78" s="35"/>
      <c r="AF78" s="35"/>
      <c r="AG78" s="35"/>
      <c r="AH78" s="35"/>
      <c r="AI78" s="35"/>
      <c r="AJ78" s="35"/>
      <c r="AK78" s="35"/>
      <c r="AL78" s="35"/>
      <c r="AM78" s="35"/>
      <c r="AN78" s="35"/>
      <c r="AO78" s="35"/>
      <c r="AP78" s="35"/>
      <c r="AQ78" s="35"/>
      <c r="AR78" s="35"/>
      <c r="AS78" s="35"/>
      <c r="AT78" s="35"/>
      <c r="AU78" s="35"/>
      <c r="AV78" s="35"/>
      <c r="AW78" s="35"/>
      <c r="AX78" s="35"/>
      <c r="AY78" s="35"/>
      <c r="AZ78" s="35"/>
      <c r="BA78" s="35"/>
      <c r="BB78" s="35"/>
      <c r="BC78" s="35"/>
      <c r="BD78" s="35"/>
      <c r="BE78" s="35"/>
      <c r="BF78" s="35"/>
      <c r="BG78" s="35"/>
      <c r="BH78" s="35"/>
      <c r="BI78" s="35"/>
      <c r="BJ78" s="35"/>
      <c r="BK78" s="35"/>
      <c r="BL78" s="35"/>
    </row>
    <row r="79" spans="1:64" ht="14">
      <c r="A79" s="36"/>
      <c r="B79" s="37"/>
      <c r="C79" s="38">
        <f t="shared" si="8"/>
        <v>0</v>
      </c>
      <c r="D79" s="39"/>
      <c r="E79" s="39"/>
      <c r="F79" s="39"/>
      <c r="G79" s="39"/>
      <c r="H79" s="40"/>
      <c r="I79" s="41"/>
      <c r="J79" s="39"/>
      <c r="K79" s="41"/>
      <c r="L79" s="41"/>
      <c r="M79" s="42" t="str">
        <f t="shared" si="9"/>
        <v/>
      </c>
      <c r="N79" s="40" t="str">
        <f t="shared" si="10"/>
        <v/>
      </c>
      <c r="O79" s="40" t="str">
        <f t="shared" si="11"/>
        <v/>
      </c>
      <c r="P79" s="43" t="str">
        <f t="shared" si="12"/>
        <v/>
      </c>
      <c r="Q79" s="44">
        <f t="shared" si="13"/>
        <v>0</v>
      </c>
      <c r="R79" s="44">
        <f t="shared" si="14"/>
        <v>0</v>
      </c>
      <c r="S79" s="43">
        <f t="shared" si="15"/>
        <v>0</v>
      </c>
      <c r="T79" s="39"/>
      <c r="U79" s="35"/>
      <c r="V79" s="35"/>
      <c r="W79" s="35"/>
      <c r="X79" s="35"/>
      <c r="Y79" s="35"/>
      <c r="Z79" s="35"/>
      <c r="AA79" s="35"/>
      <c r="AB79" s="35"/>
      <c r="AC79" s="35"/>
      <c r="AD79" s="35"/>
      <c r="AE79" s="35"/>
      <c r="AF79" s="35"/>
      <c r="AG79" s="35"/>
      <c r="AH79" s="35"/>
      <c r="AI79" s="35"/>
      <c r="AJ79" s="35"/>
      <c r="AK79" s="35"/>
      <c r="AL79" s="35"/>
      <c r="AM79" s="35"/>
      <c r="AN79" s="35"/>
      <c r="AO79" s="35"/>
      <c r="AP79" s="35"/>
      <c r="AQ79" s="35"/>
      <c r="AR79" s="35"/>
      <c r="AS79" s="35"/>
      <c r="AT79" s="35"/>
      <c r="AU79" s="35"/>
      <c r="AV79" s="35"/>
      <c r="AW79" s="35"/>
      <c r="AX79" s="35"/>
      <c r="AY79" s="35"/>
      <c r="AZ79" s="35"/>
      <c r="BA79" s="35"/>
      <c r="BB79" s="35"/>
      <c r="BC79" s="35"/>
      <c r="BD79" s="35"/>
      <c r="BE79" s="35"/>
      <c r="BF79" s="35"/>
      <c r="BG79" s="35"/>
      <c r="BH79" s="35"/>
      <c r="BI79" s="35"/>
      <c r="BJ79" s="35"/>
      <c r="BK79" s="35"/>
      <c r="BL79" s="35"/>
    </row>
    <row r="80" spans="1:64" ht="14">
      <c r="A80" s="36"/>
      <c r="B80" s="37"/>
      <c r="C80" s="38">
        <f t="shared" si="8"/>
        <v>0</v>
      </c>
      <c r="D80" s="39"/>
      <c r="E80" s="39"/>
      <c r="F80" s="39"/>
      <c r="G80" s="39"/>
      <c r="H80" s="40"/>
      <c r="I80" s="41"/>
      <c r="J80" s="39"/>
      <c r="K80" s="41"/>
      <c r="L80" s="41"/>
      <c r="M80" s="42" t="str">
        <f t="shared" si="9"/>
        <v/>
      </c>
      <c r="N80" s="40" t="str">
        <f t="shared" si="10"/>
        <v/>
      </c>
      <c r="O80" s="40" t="str">
        <f t="shared" si="11"/>
        <v/>
      </c>
      <c r="P80" s="43" t="str">
        <f t="shared" si="12"/>
        <v/>
      </c>
      <c r="Q80" s="44">
        <f t="shared" si="13"/>
        <v>0</v>
      </c>
      <c r="R80" s="44">
        <f t="shared" si="14"/>
        <v>0</v>
      </c>
      <c r="S80" s="43">
        <f t="shared" si="15"/>
        <v>0</v>
      </c>
      <c r="T80" s="39"/>
      <c r="U80" s="35"/>
      <c r="V80" s="35"/>
      <c r="W80" s="35"/>
      <c r="X80" s="35"/>
      <c r="Y80" s="35"/>
      <c r="Z80" s="35"/>
      <c r="AA80" s="35"/>
      <c r="AB80" s="35"/>
      <c r="AC80" s="35"/>
      <c r="AD80" s="35"/>
      <c r="AE80" s="35"/>
      <c r="AF80" s="35"/>
      <c r="AG80" s="35"/>
      <c r="AH80" s="35"/>
      <c r="AI80" s="35"/>
      <c r="AJ80" s="35"/>
      <c r="AK80" s="35"/>
      <c r="AL80" s="35"/>
      <c r="AM80" s="35"/>
      <c r="AN80" s="35"/>
      <c r="AO80" s="35"/>
      <c r="AP80" s="35"/>
      <c r="AQ80" s="35"/>
      <c r="AR80" s="35"/>
      <c r="AS80" s="35"/>
      <c r="AT80" s="35"/>
      <c r="AU80" s="35"/>
      <c r="AV80" s="35"/>
      <c r="AW80" s="35"/>
      <c r="AX80" s="35"/>
      <c r="AY80" s="35"/>
      <c r="AZ80" s="35"/>
      <c r="BA80" s="35"/>
      <c r="BB80" s="35"/>
      <c r="BC80" s="35"/>
      <c r="BD80" s="35"/>
      <c r="BE80" s="35"/>
      <c r="BF80" s="35"/>
      <c r="BG80" s="35"/>
      <c r="BH80" s="35"/>
      <c r="BI80" s="35"/>
      <c r="BJ80" s="35"/>
      <c r="BK80" s="35"/>
      <c r="BL80" s="35"/>
    </row>
    <row r="81" spans="1:64" ht="14">
      <c r="A81" s="36"/>
      <c r="B81" s="37"/>
      <c r="C81" s="38">
        <f t="shared" si="8"/>
        <v>0</v>
      </c>
      <c r="D81" s="39"/>
      <c r="E81" s="39"/>
      <c r="F81" s="39"/>
      <c r="G81" s="39"/>
      <c r="H81" s="40"/>
      <c r="I81" s="41"/>
      <c r="J81" s="39"/>
      <c r="K81" s="41"/>
      <c r="L81" s="41"/>
      <c r="M81" s="42" t="str">
        <f t="shared" si="9"/>
        <v/>
      </c>
      <c r="N81" s="40" t="str">
        <f t="shared" si="10"/>
        <v/>
      </c>
      <c r="O81" s="40" t="str">
        <f t="shared" si="11"/>
        <v/>
      </c>
      <c r="P81" s="43" t="str">
        <f t="shared" si="12"/>
        <v/>
      </c>
      <c r="Q81" s="44">
        <f t="shared" si="13"/>
        <v>0</v>
      </c>
      <c r="R81" s="44">
        <f t="shared" si="14"/>
        <v>0</v>
      </c>
      <c r="S81" s="43">
        <f t="shared" si="15"/>
        <v>0</v>
      </c>
      <c r="T81" s="39"/>
      <c r="U81" s="35"/>
      <c r="V81" s="35"/>
      <c r="W81" s="35"/>
      <c r="X81" s="35"/>
      <c r="Y81" s="35"/>
      <c r="Z81" s="35"/>
      <c r="AA81" s="35"/>
      <c r="AB81" s="35"/>
      <c r="AC81" s="35"/>
      <c r="AD81" s="35"/>
      <c r="AE81" s="35"/>
      <c r="AF81" s="35"/>
      <c r="AG81" s="35"/>
      <c r="AH81" s="35"/>
      <c r="AI81" s="35"/>
      <c r="AJ81" s="35"/>
      <c r="AK81" s="35"/>
      <c r="AL81" s="35"/>
      <c r="AM81" s="35"/>
      <c r="AN81" s="35"/>
      <c r="AO81" s="35"/>
      <c r="AP81" s="35"/>
      <c r="AQ81" s="35"/>
      <c r="AR81" s="35"/>
      <c r="AS81" s="35"/>
      <c r="AT81" s="35"/>
      <c r="AU81" s="35"/>
      <c r="AV81" s="35"/>
      <c r="AW81" s="35"/>
      <c r="AX81" s="35"/>
      <c r="AY81" s="35"/>
      <c r="AZ81" s="35"/>
      <c r="BA81" s="35"/>
      <c r="BB81" s="35"/>
      <c r="BC81" s="35"/>
      <c r="BD81" s="35"/>
      <c r="BE81" s="35"/>
      <c r="BF81" s="35"/>
      <c r="BG81" s="35"/>
      <c r="BH81" s="35"/>
      <c r="BI81" s="35"/>
      <c r="BJ81" s="35"/>
      <c r="BK81" s="35"/>
      <c r="BL81" s="35"/>
    </row>
    <row r="82" spans="1:64" ht="14">
      <c r="A82" s="36"/>
      <c r="B82" s="37"/>
      <c r="C82" s="38">
        <f t="shared" si="8"/>
        <v>0</v>
      </c>
      <c r="D82" s="39"/>
      <c r="E82" s="39"/>
      <c r="F82" s="39"/>
      <c r="G82" s="39"/>
      <c r="H82" s="40"/>
      <c r="I82" s="41"/>
      <c r="J82" s="39"/>
      <c r="K82" s="41"/>
      <c r="L82" s="41"/>
      <c r="M82" s="42" t="str">
        <f t="shared" si="9"/>
        <v/>
      </c>
      <c r="N82" s="40" t="str">
        <f t="shared" si="10"/>
        <v/>
      </c>
      <c r="O82" s="40" t="str">
        <f t="shared" si="11"/>
        <v/>
      </c>
      <c r="P82" s="43" t="str">
        <f t="shared" si="12"/>
        <v/>
      </c>
      <c r="Q82" s="44">
        <f t="shared" si="13"/>
        <v>0</v>
      </c>
      <c r="R82" s="44">
        <f t="shared" si="14"/>
        <v>0</v>
      </c>
      <c r="S82" s="43">
        <f t="shared" si="15"/>
        <v>0</v>
      </c>
      <c r="T82" s="39"/>
      <c r="U82" s="35"/>
      <c r="V82" s="35"/>
      <c r="W82" s="35"/>
      <c r="X82" s="35"/>
      <c r="Y82" s="35"/>
      <c r="Z82" s="35"/>
      <c r="AA82" s="35"/>
      <c r="AB82" s="35"/>
      <c r="AC82" s="35"/>
      <c r="AD82" s="35"/>
      <c r="AE82" s="35"/>
      <c r="AF82" s="35"/>
      <c r="AG82" s="35"/>
      <c r="AH82" s="35"/>
      <c r="AI82" s="35"/>
      <c r="AJ82" s="35"/>
      <c r="AK82" s="35"/>
      <c r="AL82" s="35"/>
      <c r="AM82" s="35"/>
      <c r="AN82" s="35"/>
      <c r="AO82" s="35"/>
      <c r="AP82" s="35"/>
      <c r="AQ82" s="35"/>
      <c r="AR82" s="35"/>
      <c r="AS82" s="35"/>
      <c r="AT82" s="35"/>
      <c r="AU82" s="35"/>
      <c r="AV82" s="35"/>
      <c r="AW82" s="35"/>
      <c r="AX82" s="35"/>
      <c r="AY82" s="35"/>
      <c r="AZ82" s="35"/>
      <c r="BA82" s="35"/>
      <c r="BB82" s="35"/>
      <c r="BC82" s="35"/>
      <c r="BD82" s="35"/>
      <c r="BE82" s="35"/>
      <c r="BF82" s="35"/>
      <c r="BG82" s="35"/>
      <c r="BH82" s="35"/>
      <c r="BI82" s="35"/>
      <c r="BJ82" s="35"/>
      <c r="BK82" s="35"/>
      <c r="BL82" s="35"/>
    </row>
    <row r="83" spans="1:64" ht="14">
      <c r="A83" s="36"/>
      <c r="B83" s="37"/>
      <c r="C83" s="38">
        <f t="shared" si="8"/>
        <v>0</v>
      </c>
      <c r="D83" s="39"/>
      <c r="E83" s="39"/>
      <c r="F83" s="39"/>
      <c r="G83" s="39"/>
      <c r="H83" s="40"/>
      <c r="I83" s="41"/>
      <c r="J83" s="39"/>
      <c r="K83" s="41"/>
      <c r="L83" s="41"/>
      <c r="M83" s="42" t="str">
        <f t="shared" si="9"/>
        <v/>
      </c>
      <c r="N83" s="40" t="str">
        <f t="shared" si="10"/>
        <v/>
      </c>
      <c r="O83" s="40" t="str">
        <f t="shared" si="11"/>
        <v/>
      </c>
      <c r="P83" s="43" t="str">
        <f t="shared" si="12"/>
        <v/>
      </c>
      <c r="Q83" s="44">
        <f t="shared" si="13"/>
        <v>0</v>
      </c>
      <c r="R83" s="44">
        <f t="shared" si="14"/>
        <v>0</v>
      </c>
      <c r="S83" s="43">
        <f t="shared" si="15"/>
        <v>0</v>
      </c>
      <c r="T83" s="39"/>
      <c r="U83" s="35"/>
      <c r="V83" s="35"/>
      <c r="W83" s="35"/>
      <c r="X83" s="35"/>
      <c r="Y83" s="35"/>
      <c r="Z83" s="35"/>
      <c r="AA83" s="35"/>
      <c r="AB83" s="35"/>
      <c r="AC83" s="35"/>
      <c r="AD83" s="35"/>
      <c r="AE83" s="35"/>
      <c r="AF83" s="35"/>
      <c r="AG83" s="35"/>
      <c r="AH83" s="35"/>
      <c r="AI83" s="35"/>
      <c r="AJ83" s="35"/>
      <c r="AK83" s="35"/>
      <c r="AL83" s="35"/>
      <c r="AM83" s="35"/>
      <c r="AN83" s="35"/>
      <c r="AO83" s="35"/>
      <c r="AP83" s="35"/>
      <c r="AQ83" s="35"/>
      <c r="AR83" s="35"/>
      <c r="AS83" s="35"/>
      <c r="AT83" s="35"/>
      <c r="AU83" s="35"/>
      <c r="AV83" s="35"/>
      <c r="AW83" s="35"/>
      <c r="AX83" s="35"/>
      <c r="AY83" s="35"/>
      <c r="AZ83" s="35"/>
      <c r="BA83" s="35"/>
      <c r="BB83" s="35"/>
      <c r="BC83" s="35"/>
      <c r="BD83" s="35"/>
      <c r="BE83" s="35"/>
      <c r="BF83" s="35"/>
      <c r="BG83" s="35"/>
      <c r="BH83" s="35"/>
      <c r="BI83" s="35"/>
      <c r="BJ83" s="35"/>
      <c r="BK83" s="35"/>
      <c r="BL83" s="35"/>
    </row>
    <row r="84" spans="1:64" ht="14">
      <c r="A84" s="36"/>
      <c r="B84" s="37"/>
      <c r="C84" s="38">
        <f t="shared" si="8"/>
        <v>0</v>
      </c>
      <c r="D84" s="39"/>
      <c r="E84" s="39"/>
      <c r="F84" s="39"/>
      <c r="G84" s="39"/>
      <c r="H84" s="40"/>
      <c r="I84" s="41"/>
      <c r="J84" s="39"/>
      <c r="K84" s="41"/>
      <c r="L84" s="41"/>
      <c r="M84" s="42" t="str">
        <f t="shared" si="9"/>
        <v/>
      </c>
      <c r="N84" s="40" t="str">
        <f t="shared" si="10"/>
        <v/>
      </c>
      <c r="O84" s="40" t="str">
        <f t="shared" si="11"/>
        <v/>
      </c>
      <c r="P84" s="43" t="str">
        <f t="shared" si="12"/>
        <v/>
      </c>
      <c r="Q84" s="44">
        <f t="shared" si="13"/>
        <v>0</v>
      </c>
      <c r="R84" s="44">
        <f t="shared" si="14"/>
        <v>0</v>
      </c>
      <c r="S84" s="43">
        <f t="shared" si="15"/>
        <v>0</v>
      </c>
      <c r="T84" s="39"/>
      <c r="U84" s="35"/>
      <c r="V84" s="35"/>
      <c r="W84" s="35"/>
      <c r="X84" s="35"/>
      <c r="Y84" s="35"/>
      <c r="Z84" s="35"/>
      <c r="AA84" s="35"/>
      <c r="AB84" s="35"/>
      <c r="AC84" s="35"/>
      <c r="AD84" s="35"/>
      <c r="AE84" s="35"/>
      <c r="AF84" s="35"/>
      <c r="AG84" s="35"/>
      <c r="AH84" s="35"/>
      <c r="AI84" s="35"/>
      <c r="AJ84" s="35"/>
      <c r="AK84" s="35"/>
      <c r="AL84" s="35"/>
      <c r="AM84" s="35"/>
      <c r="AN84" s="35"/>
      <c r="AO84" s="35"/>
      <c r="AP84" s="35"/>
      <c r="AQ84" s="35"/>
      <c r="AR84" s="35"/>
      <c r="AS84" s="35"/>
      <c r="AT84" s="35"/>
      <c r="AU84" s="35"/>
      <c r="AV84" s="35"/>
      <c r="AW84" s="35"/>
      <c r="AX84" s="35"/>
      <c r="AY84" s="35"/>
      <c r="AZ84" s="35"/>
      <c r="BA84" s="35"/>
      <c r="BB84" s="35"/>
      <c r="BC84" s="35"/>
      <c r="BD84" s="35"/>
      <c r="BE84" s="35"/>
      <c r="BF84" s="35"/>
      <c r="BG84" s="35"/>
      <c r="BH84" s="35"/>
      <c r="BI84" s="35"/>
      <c r="BJ84" s="35"/>
      <c r="BK84" s="35"/>
      <c r="BL84" s="35"/>
    </row>
    <row r="85" spans="1:64" ht="14">
      <c r="A85" s="36"/>
      <c r="B85" s="37"/>
      <c r="C85" s="38">
        <f t="shared" si="8"/>
        <v>0</v>
      </c>
      <c r="D85" s="39"/>
      <c r="E85" s="39"/>
      <c r="F85" s="39"/>
      <c r="G85" s="39"/>
      <c r="H85" s="40"/>
      <c r="I85" s="41"/>
      <c r="J85" s="39"/>
      <c r="K85" s="41"/>
      <c r="L85" s="41"/>
      <c r="M85" s="42" t="str">
        <f t="shared" si="9"/>
        <v/>
      </c>
      <c r="N85" s="40" t="str">
        <f t="shared" si="10"/>
        <v/>
      </c>
      <c r="O85" s="40" t="str">
        <f t="shared" si="11"/>
        <v/>
      </c>
      <c r="P85" s="43" t="str">
        <f t="shared" si="12"/>
        <v/>
      </c>
      <c r="Q85" s="44">
        <f t="shared" si="13"/>
        <v>0</v>
      </c>
      <c r="R85" s="44">
        <f t="shared" si="14"/>
        <v>0</v>
      </c>
      <c r="S85" s="43">
        <f t="shared" si="15"/>
        <v>0</v>
      </c>
      <c r="T85" s="39"/>
      <c r="U85" s="35"/>
      <c r="V85" s="35"/>
      <c r="W85" s="35"/>
      <c r="X85" s="35"/>
      <c r="Y85" s="35"/>
      <c r="Z85" s="35"/>
      <c r="AA85" s="35"/>
      <c r="AB85" s="35"/>
      <c r="AC85" s="35"/>
      <c r="AD85" s="35"/>
      <c r="AE85" s="35"/>
      <c r="AF85" s="35"/>
      <c r="AG85" s="35"/>
      <c r="AH85" s="35"/>
      <c r="AI85" s="35"/>
      <c r="AJ85" s="35"/>
      <c r="AK85" s="35"/>
      <c r="AL85" s="35"/>
      <c r="AM85" s="35"/>
      <c r="AN85" s="35"/>
      <c r="AO85" s="35"/>
      <c r="AP85" s="35"/>
      <c r="AQ85" s="35"/>
      <c r="AR85" s="35"/>
      <c r="AS85" s="35"/>
      <c r="AT85" s="35"/>
      <c r="AU85" s="35"/>
      <c r="AV85" s="35"/>
      <c r="AW85" s="35"/>
      <c r="AX85" s="35"/>
      <c r="AY85" s="35"/>
      <c r="AZ85" s="35"/>
      <c r="BA85" s="35"/>
      <c r="BB85" s="35"/>
      <c r="BC85" s="35"/>
      <c r="BD85" s="35"/>
      <c r="BE85" s="35"/>
      <c r="BF85" s="35"/>
      <c r="BG85" s="35"/>
      <c r="BH85" s="35"/>
      <c r="BI85" s="35"/>
      <c r="BJ85" s="35"/>
      <c r="BK85" s="35"/>
      <c r="BL85" s="35"/>
    </row>
    <row r="86" spans="1:64" ht="14">
      <c r="A86" s="36"/>
      <c r="B86" s="37"/>
      <c r="C86" s="38">
        <f t="shared" si="8"/>
        <v>0</v>
      </c>
      <c r="D86" s="39"/>
      <c r="E86" s="39"/>
      <c r="F86" s="39"/>
      <c r="G86" s="39"/>
      <c r="H86" s="40"/>
      <c r="I86" s="41"/>
      <c r="J86" s="39"/>
      <c r="K86" s="41"/>
      <c r="L86" s="41"/>
      <c r="M86" s="42" t="str">
        <f t="shared" si="9"/>
        <v/>
      </c>
      <c r="N86" s="40" t="str">
        <f t="shared" si="10"/>
        <v/>
      </c>
      <c r="O86" s="40" t="str">
        <f t="shared" si="11"/>
        <v/>
      </c>
      <c r="P86" s="43" t="str">
        <f t="shared" si="12"/>
        <v/>
      </c>
      <c r="Q86" s="44">
        <f t="shared" si="13"/>
        <v>0</v>
      </c>
      <c r="R86" s="44">
        <f t="shared" si="14"/>
        <v>0</v>
      </c>
      <c r="S86" s="43">
        <f t="shared" si="15"/>
        <v>0</v>
      </c>
      <c r="T86" s="39"/>
      <c r="U86" s="35"/>
      <c r="V86" s="35"/>
      <c r="W86" s="35"/>
      <c r="X86" s="35"/>
      <c r="Y86" s="35"/>
      <c r="Z86" s="35"/>
      <c r="AA86" s="35"/>
      <c r="AB86" s="35"/>
      <c r="AC86" s="35"/>
      <c r="AD86" s="35"/>
      <c r="AE86" s="35"/>
      <c r="AF86" s="35"/>
      <c r="AG86" s="35"/>
      <c r="AH86" s="35"/>
      <c r="AI86" s="35"/>
      <c r="AJ86" s="35"/>
      <c r="AK86" s="35"/>
      <c r="AL86" s="35"/>
      <c r="AM86" s="35"/>
      <c r="AN86" s="35"/>
      <c r="AO86" s="35"/>
      <c r="AP86" s="35"/>
      <c r="AQ86" s="35"/>
      <c r="AR86" s="35"/>
      <c r="AS86" s="35"/>
      <c r="AT86" s="35"/>
      <c r="AU86" s="35"/>
      <c r="AV86" s="35"/>
      <c r="AW86" s="35"/>
      <c r="AX86" s="35"/>
      <c r="AY86" s="35"/>
      <c r="AZ86" s="35"/>
      <c r="BA86" s="35"/>
      <c r="BB86" s="35"/>
      <c r="BC86" s="35"/>
      <c r="BD86" s="35"/>
      <c r="BE86" s="35"/>
      <c r="BF86" s="35"/>
      <c r="BG86" s="35"/>
      <c r="BH86" s="35"/>
      <c r="BI86" s="35"/>
      <c r="BJ86" s="35"/>
      <c r="BK86" s="35"/>
      <c r="BL86" s="35"/>
    </row>
    <row r="87" spans="1:64" ht="14">
      <c r="A87" s="36"/>
      <c r="B87" s="37"/>
      <c r="C87" s="38">
        <f t="shared" si="8"/>
        <v>0</v>
      </c>
      <c r="D87" s="39"/>
      <c r="E87" s="39"/>
      <c r="F87" s="39"/>
      <c r="G87" s="39"/>
      <c r="H87" s="40"/>
      <c r="I87" s="41"/>
      <c r="J87" s="39"/>
      <c r="K87" s="41"/>
      <c r="L87" s="41"/>
      <c r="M87" s="42" t="str">
        <f t="shared" si="9"/>
        <v/>
      </c>
      <c r="N87" s="40" t="str">
        <f t="shared" si="10"/>
        <v/>
      </c>
      <c r="O87" s="40" t="str">
        <f t="shared" si="11"/>
        <v/>
      </c>
      <c r="P87" s="43" t="str">
        <f t="shared" si="12"/>
        <v/>
      </c>
      <c r="Q87" s="44">
        <f t="shared" si="13"/>
        <v>0</v>
      </c>
      <c r="R87" s="44">
        <f t="shared" si="14"/>
        <v>0</v>
      </c>
      <c r="S87" s="43">
        <f t="shared" si="15"/>
        <v>0</v>
      </c>
      <c r="T87" s="39"/>
      <c r="U87" s="35"/>
      <c r="V87" s="35"/>
      <c r="W87" s="35"/>
      <c r="X87" s="35"/>
      <c r="Y87" s="35"/>
      <c r="Z87" s="35"/>
      <c r="AA87" s="35"/>
      <c r="AB87" s="35"/>
      <c r="AC87" s="35"/>
      <c r="AD87" s="35"/>
      <c r="AE87" s="35"/>
      <c r="AF87" s="35"/>
      <c r="AG87" s="35"/>
      <c r="AH87" s="35"/>
      <c r="AI87" s="35"/>
      <c r="AJ87" s="35"/>
      <c r="AK87" s="35"/>
      <c r="AL87" s="35"/>
      <c r="AM87" s="35"/>
      <c r="AN87" s="35"/>
      <c r="AO87" s="35"/>
      <c r="AP87" s="35"/>
      <c r="AQ87" s="35"/>
      <c r="AR87" s="35"/>
      <c r="AS87" s="35"/>
      <c r="AT87" s="35"/>
      <c r="AU87" s="35"/>
      <c r="AV87" s="35"/>
      <c r="AW87" s="35"/>
      <c r="AX87" s="35"/>
      <c r="AY87" s="35"/>
      <c r="AZ87" s="35"/>
      <c r="BA87" s="35"/>
      <c r="BB87" s="35"/>
      <c r="BC87" s="35"/>
      <c r="BD87" s="35"/>
      <c r="BE87" s="35"/>
      <c r="BF87" s="35"/>
      <c r="BG87" s="35"/>
      <c r="BH87" s="35"/>
      <c r="BI87" s="35"/>
      <c r="BJ87" s="35"/>
      <c r="BK87" s="35"/>
      <c r="BL87" s="35"/>
    </row>
    <row r="88" spans="1:64" ht="14">
      <c r="A88" s="36"/>
      <c r="B88" s="37"/>
      <c r="C88" s="38">
        <f t="shared" si="8"/>
        <v>0</v>
      </c>
      <c r="D88" s="39"/>
      <c r="E88" s="39"/>
      <c r="F88" s="39"/>
      <c r="G88" s="39"/>
      <c r="H88" s="40"/>
      <c r="I88" s="41"/>
      <c r="J88" s="39"/>
      <c r="K88" s="41"/>
      <c r="L88" s="41"/>
      <c r="M88" s="42" t="str">
        <f t="shared" si="9"/>
        <v/>
      </c>
      <c r="N88" s="40" t="str">
        <f t="shared" si="10"/>
        <v/>
      </c>
      <c r="O88" s="40" t="str">
        <f t="shared" si="11"/>
        <v/>
      </c>
      <c r="P88" s="43" t="str">
        <f t="shared" si="12"/>
        <v/>
      </c>
      <c r="Q88" s="44">
        <f t="shared" si="13"/>
        <v>0</v>
      </c>
      <c r="R88" s="44">
        <f t="shared" si="14"/>
        <v>0</v>
      </c>
      <c r="S88" s="43">
        <f t="shared" si="15"/>
        <v>0</v>
      </c>
      <c r="T88" s="39"/>
      <c r="U88" s="35"/>
      <c r="V88" s="35"/>
      <c r="W88" s="35"/>
      <c r="X88" s="35"/>
      <c r="Y88" s="35"/>
      <c r="Z88" s="35"/>
      <c r="AA88" s="35"/>
      <c r="AB88" s="35"/>
      <c r="AC88" s="35"/>
      <c r="AD88" s="35"/>
      <c r="AE88" s="35"/>
      <c r="AF88" s="35"/>
      <c r="AG88" s="35"/>
      <c r="AH88" s="35"/>
      <c r="AI88" s="35"/>
      <c r="AJ88" s="35"/>
      <c r="AK88" s="35"/>
      <c r="AL88" s="35"/>
      <c r="AM88" s="35"/>
      <c r="AN88" s="35"/>
      <c r="AO88" s="35"/>
      <c r="AP88" s="35"/>
      <c r="AQ88" s="35"/>
      <c r="AR88" s="35"/>
      <c r="AS88" s="35"/>
      <c r="AT88" s="35"/>
      <c r="AU88" s="35"/>
      <c r="AV88" s="35"/>
      <c r="AW88" s="35"/>
      <c r="AX88" s="35"/>
      <c r="AY88" s="35"/>
      <c r="AZ88" s="35"/>
      <c r="BA88" s="35"/>
      <c r="BB88" s="35"/>
      <c r="BC88" s="35"/>
      <c r="BD88" s="35"/>
      <c r="BE88" s="35"/>
      <c r="BF88" s="35"/>
      <c r="BG88" s="35"/>
      <c r="BH88" s="35"/>
      <c r="BI88" s="35"/>
      <c r="BJ88" s="35"/>
      <c r="BK88" s="35"/>
      <c r="BL88" s="35"/>
    </row>
    <row r="89" spans="1:64" ht="14">
      <c r="A89" s="36"/>
      <c r="B89" s="37"/>
      <c r="C89" s="38">
        <f t="shared" si="8"/>
        <v>0</v>
      </c>
      <c r="D89" s="39"/>
      <c r="E89" s="39"/>
      <c r="F89" s="39"/>
      <c r="G89" s="39"/>
      <c r="H89" s="40"/>
      <c r="I89" s="41"/>
      <c r="J89" s="39"/>
      <c r="K89" s="41"/>
      <c r="L89" s="41"/>
      <c r="M89" s="42" t="str">
        <f t="shared" si="9"/>
        <v/>
      </c>
      <c r="N89" s="40" t="str">
        <f t="shared" si="10"/>
        <v/>
      </c>
      <c r="O89" s="40" t="str">
        <f t="shared" si="11"/>
        <v/>
      </c>
      <c r="P89" s="43" t="str">
        <f t="shared" si="12"/>
        <v/>
      </c>
      <c r="Q89" s="44">
        <f t="shared" si="13"/>
        <v>0</v>
      </c>
      <c r="R89" s="44">
        <f t="shared" si="14"/>
        <v>0</v>
      </c>
      <c r="S89" s="43">
        <f t="shared" si="15"/>
        <v>0</v>
      </c>
      <c r="T89" s="39"/>
      <c r="U89" s="35"/>
      <c r="V89" s="35"/>
      <c r="W89" s="35"/>
      <c r="X89" s="35"/>
      <c r="Y89" s="35"/>
      <c r="Z89" s="35"/>
      <c r="AA89" s="35"/>
      <c r="AB89" s="35"/>
      <c r="AC89" s="35"/>
      <c r="AD89" s="35"/>
      <c r="AE89" s="35"/>
      <c r="AF89" s="35"/>
      <c r="AG89" s="35"/>
      <c r="AH89" s="35"/>
      <c r="AI89" s="35"/>
      <c r="AJ89" s="35"/>
      <c r="AK89" s="35"/>
      <c r="AL89" s="35"/>
      <c r="AM89" s="35"/>
      <c r="AN89" s="35"/>
      <c r="AO89" s="35"/>
      <c r="AP89" s="35"/>
      <c r="AQ89" s="35"/>
      <c r="AR89" s="35"/>
      <c r="AS89" s="35"/>
      <c r="AT89" s="35"/>
      <c r="AU89" s="35"/>
      <c r="AV89" s="35"/>
      <c r="AW89" s="35"/>
      <c r="AX89" s="35"/>
      <c r="AY89" s="35"/>
      <c r="AZ89" s="35"/>
      <c r="BA89" s="35"/>
      <c r="BB89" s="35"/>
      <c r="BC89" s="35"/>
      <c r="BD89" s="35"/>
      <c r="BE89" s="35"/>
      <c r="BF89" s="35"/>
      <c r="BG89" s="35"/>
      <c r="BH89" s="35"/>
      <c r="BI89" s="35"/>
      <c r="BJ89" s="35"/>
      <c r="BK89" s="35"/>
      <c r="BL89" s="35"/>
    </row>
    <row r="90" spans="1:64" ht="14">
      <c r="A90" s="36"/>
      <c r="B90" s="37"/>
      <c r="C90" s="38">
        <f t="shared" si="8"/>
        <v>0</v>
      </c>
      <c r="D90" s="39"/>
      <c r="E90" s="39"/>
      <c r="F90" s="39"/>
      <c r="G90" s="39"/>
      <c r="H90" s="40"/>
      <c r="I90" s="41"/>
      <c r="J90" s="39"/>
      <c r="K90" s="41"/>
      <c r="L90" s="41"/>
      <c r="M90" s="42" t="str">
        <f t="shared" si="9"/>
        <v/>
      </c>
      <c r="N90" s="40" t="str">
        <f t="shared" si="10"/>
        <v/>
      </c>
      <c r="O90" s="40" t="str">
        <f t="shared" si="11"/>
        <v/>
      </c>
      <c r="P90" s="43" t="str">
        <f t="shared" si="12"/>
        <v/>
      </c>
      <c r="Q90" s="44">
        <f t="shared" si="13"/>
        <v>0</v>
      </c>
      <c r="R90" s="44">
        <f t="shared" si="14"/>
        <v>0</v>
      </c>
      <c r="S90" s="43">
        <f t="shared" si="15"/>
        <v>0</v>
      </c>
      <c r="T90" s="39"/>
      <c r="U90" s="35"/>
      <c r="V90" s="35"/>
      <c r="W90" s="35"/>
      <c r="X90" s="35"/>
      <c r="Y90" s="35"/>
      <c r="Z90" s="35"/>
      <c r="AA90" s="35"/>
      <c r="AB90" s="35"/>
      <c r="AC90" s="35"/>
      <c r="AD90" s="35"/>
      <c r="AE90" s="35"/>
      <c r="AF90" s="35"/>
      <c r="AG90" s="35"/>
      <c r="AH90" s="35"/>
      <c r="AI90" s="35"/>
      <c r="AJ90" s="35"/>
      <c r="AK90" s="35"/>
      <c r="AL90" s="35"/>
      <c r="AM90" s="35"/>
      <c r="AN90" s="35"/>
      <c r="AO90" s="35"/>
      <c r="AP90" s="35"/>
      <c r="AQ90" s="35"/>
      <c r="AR90" s="35"/>
      <c r="AS90" s="35"/>
      <c r="AT90" s="35"/>
      <c r="AU90" s="35"/>
      <c r="AV90" s="35"/>
      <c r="AW90" s="35"/>
      <c r="AX90" s="35"/>
      <c r="AY90" s="35"/>
      <c r="AZ90" s="35"/>
      <c r="BA90" s="35"/>
      <c r="BB90" s="35"/>
      <c r="BC90" s="35"/>
      <c r="BD90" s="35"/>
      <c r="BE90" s="35"/>
      <c r="BF90" s="35"/>
      <c r="BG90" s="35"/>
      <c r="BH90" s="35"/>
      <c r="BI90" s="35"/>
      <c r="BJ90" s="35"/>
      <c r="BK90" s="35"/>
      <c r="BL90" s="35"/>
    </row>
    <row r="91" spans="1:64" ht="14">
      <c r="A91" s="36"/>
      <c r="B91" s="37"/>
      <c r="C91" s="38">
        <f t="shared" si="8"/>
        <v>0</v>
      </c>
      <c r="D91" s="39"/>
      <c r="E91" s="39"/>
      <c r="F91" s="39"/>
      <c r="G91" s="39"/>
      <c r="H91" s="40"/>
      <c r="I91" s="41"/>
      <c r="J91" s="39"/>
      <c r="K91" s="41"/>
      <c r="L91" s="41"/>
      <c r="M91" s="42" t="str">
        <f t="shared" si="9"/>
        <v/>
      </c>
      <c r="N91" s="40" t="str">
        <f t="shared" si="10"/>
        <v/>
      </c>
      <c r="O91" s="40" t="str">
        <f t="shared" si="11"/>
        <v/>
      </c>
      <c r="P91" s="43" t="str">
        <f t="shared" si="12"/>
        <v/>
      </c>
      <c r="Q91" s="44">
        <f t="shared" si="13"/>
        <v>0</v>
      </c>
      <c r="R91" s="44">
        <f t="shared" si="14"/>
        <v>0</v>
      </c>
      <c r="S91" s="43">
        <f t="shared" si="15"/>
        <v>0</v>
      </c>
      <c r="T91" s="39"/>
      <c r="U91" s="35"/>
      <c r="V91" s="35"/>
      <c r="W91" s="35"/>
      <c r="X91" s="35"/>
      <c r="Y91" s="35"/>
      <c r="Z91" s="35"/>
      <c r="AA91" s="35"/>
      <c r="AB91" s="35"/>
      <c r="AC91" s="35"/>
      <c r="AD91" s="35"/>
      <c r="AE91" s="35"/>
      <c r="AF91" s="35"/>
      <c r="AG91" s="35"/>
      <c r="AH91" s="35"/>
      <c r="AI91" s="35"/>
      <c r="AJ91" s="35"/>
      <c r="AK91" s="35"/>
      <c r="AL91" s="35"/>
      <c r="AM91" s="35"/>
      <c r="AN91" s="35"/>
      <c r="AO91" s="35"/>
      <c r="AP91" s="35"/>
      <c r="AQ91" s="35"/>
      <c r="AR91" s="35"/>
      <c r="AS91" s="35"/>
      <c r="AT91" s="35"/>
      <c r="AU91" s="35"/>
      <c r="AV91" s="35"/>
      <c r="AW91" s="35"/>
      <c r="AX91" s="35"/>
      <c r="AY91" s="35"/>
      <c r="AZ91" s="35"/>
      <c r="BA91" s="35"/>
      <c r="BB91" s="35"/>
      <c r="BC91" s="35"/>
      <c r="BD91" s="35"/>
      <c r="BE91" s="35"/>
      <c r="BF91" s="35"/>
      <c r="BG91" s="35"/>
      <c r="BH91" s="35"/>
      <c r="BI91" s="35"/>
      <c r="BJ91" s="35"/>
      <c r="BK91" s="35"/>
      <c r="BL91" s="35"/>
    </row>
    <row r="92" spans="1:64" ht="14">
      <c r="A92" s="36"/>
      <c r="B92" s="37"/>
      <c r="C92" s="38">
        <f t="shared" si="8"/>
        <v>0</v>
      </c>
      <c r="D92" s="39"/>
      <c r="E92" s="39"/>
      <c r="F92" s="39"/>
      <c r="G92" s="39"/>
      <c r="H92" s="40"/>
      <c r="I92" s="41"/>
      <c r="J92" s="39"/>
      <c r="K92" s="41"/>
      <c r="L92" s="41"/>
      <c r="M92" s="42" t="str">
        <f t="shared" si="9"/>
        <v/>
      </c>
      <c r="N92" s="40" t="str">
        <f t="shared" si="10"/>
        <v/>
      </c>
      <c r="O92" s="40" t="str">
        <f t="shared" si="11"/>
        <v/>
      </c>
      <c r="P92" s="43" t="str">
        <f t="shared" si="12"/>
        <v/>
      </c>
      <c r="Q92" s="44">
        <f t="shared" si="13"/>
        <v>0</v>
      </c>
      <c r="R92" s="44">
        <f t="shared" si="14"/>
        <v>0</v>
      </c>
      <c r="S92" s="43">
        <f t="shared" si="15"/>
        <v>0</v>
      </c>
      <c r="T92" s="39"/>
      <c r="U92" s="35"/>
      <c r="V92" s="35"/>
      <c r="W92" s="35"/>
      <c r="X92" s="35"/>
      <c r="Y92" s="35"/>
      <c r="Z92" s="35"/>
      <c r="AA92" s="35"/>
      <c r="AB92" s="35"/>
      <c r="AC92" s="35"/>
      <c r="AD92" s="35"/>
      <c r="AE92" s="35"/>
      <c r="AF92" s="35"/>
      <c r="AG92" s="35"/>
      <c r="AH92" s="35"/>
      <c r="AI92" s="35"/>
      <c r="AJ92" s="35"/>
      <c r="AK92" s="35"/>
      <c r="AL92" s="35"/>
      <c r="AM92" s="35"/>
      <c r="AN92" s="35"/>
      <c r="AO92" s="35"/>
      <c r="AP92" s="35"/>
      <c r="AQ92" s="35"/>
      <c r="AR92" s="35"/>
      <c r="AS92" s="35"/>
      <c r="AT92" s="35"/>
      <c r="AU92" s="35"/>
      <c r="AV92" s="35"/>
      <c r="AW92" s="35"/>
      <c r="AX92" s="35"/>
      <c r="AY92" s="35"/>
      <c r="AZ92" s="35"/>
      <c r="BA92" s="35"/>
      <c r="BB92" s="35"/>
      <c r="BC92" s="35"/>
      <c r="BD92" s="35"/>
      <c r="BE92" s="35"/>
      <c r="BF92" s="35"/>
      <c r="BG92" s="35"/>
      <c r="BH92" s="35"/>
      <c r="BI92" s="35"/>
      <c r="BJ92" s="35"/>
      <c r="BK92" s="35"/>
      <c r="BL92" s="35"/>
    </row>
    <row r="93" spans="1:64" ht="14">
      <c r="A93" s="36"/>
      <c r="B93" s="37"/>
      <c r="C93" s="38">
        <f t="shared" si="8"/>
        <v>0</v>
      </c>
      <c r="D93" s="39"/>
      <c r="E93" s="39"/>
      <c r="F93" s="39"/>
      <c r="G93" s="39"/>
      <c r="H93" s="40"/>
      <c r="I93" s="41"/>
      <c r="J93" s="39"/>
      <c r="K93" s="41"/>
      <c r="L93" s="41"/>
      <c r="M93" s="42" t="str">
        <f t="shared" si="9"/>
        <v/>
      </c>
      <c r="N93" s="40" t="str">
        <f t="shared" si="10"/>
        <v/>
      </c>
      <c r="O93" s="40" t="str">
        <f t="shared" si="11"/>
        <v/>
      </c>
      <c r="P93" s="43" t="str">
        <f t="shared" si="12"/>
        <v/>
      </c>
      <c r="Q93" s="44">
        <f t="shared" si="13"/>
        <v>0</v>
      </c>
      <c r="R93" s="44">
        <f t="shared" si="14"/>
        <v>0</v>
      </c>
      <c r="S93" s="43">
        <f t="shared" si="15"/>
        <v>0</v>
      </c>
      <c r="T93" s="39"/>
      <c r="U93" s="35"/>
      <c r="V93" s="35"/>
      <c r="W93" s="35"/>
      <c r="X93" s="35"/>
      <c r="Y93" s="35"/>
      <c r="Z93" s="35"/>
      <c r="AA93" s="35"/>
      <c r="AB93" s="35"/>
      <c r="AC93" s="35"/>
      <c r="AD93" s="35"/>
      <c r="AE93" s="35"/>
      <c r="AF93" s="35"/>
      <c r="AG93" s="35"/>
      <c r="AH93" s="35"/>
      <c r="AI93" s="35"/>
      <c r="AJ93" s="35"/>
      <c r="AK93" s="35"/>
      <c r="AL93" s="35"/>
      <c r="AM93" s="35"/>
      <c r="AN93" s="35"/>
      <c r="AO93" s="35"/>
      <c r="AP93" s="35"/>
      <c r="AQ93" s="35"/>
      <c r="AR93" s="35"/>
      <c r="AS93" s="35"/>
      <c r="AT93" s="35"/>
      <c r="AU93" s="35"/>
      <c r="AV93" s="35"/>
      <c r="AW93" s="35"/>
      <c r="AX93" s="35"/>
      <c r="AY93" s="35"/>
      <c r="AZ93" s="35"/>
      <c r="BA93" s="35"/>
      <c r="BB93" s="35"/>
      <c r="BC93" s="35"/>
      <c r="BD93" s="35"/>
      <c r="BE93" s="35"/>
      <c r="BF93" s="35"/>
      <c r="BG93" s="35"/>
      <c r="BH93" s="35"/>
      <c r="BI93" s="35"/>
      <c r="BJ93" s="35"/>
      <c r="BK93" s="35"/>
      <c r="BL93" s="35"/>
    </row>
    <row r="94" spans="1:64" ht="14">
      <c r="A94" s="36"/>
      <c r="B94" s="37"/>
      <c r="C94" s="38">
        <f t="shared" si="8"/>
        <v>0</v>
      </c>
      <c r="D94" s="39"/>
      <c r="E94" s="39"/>
      <c r="F94" s="39"/>
      <c r="G94" s="39"/>
      <c r="H94" s="40"/>
      <c r="I94" s="41"/>
      <c r="J94" s="39"/>
      <c r="K94" s="41"/>
      <c r="L94" s="41"/>
      <c r="M94" s="42" t="str">
        <f t="shared" si="9"/>
        <v/>
      </c>
      <c r="N94" s="40" t="str">
        <f t="shared" si="10"/>
        <v/>
      </c>
      <c r="O94" s="40" t="str">
        <f t="shared" si="11"/>
        <v/>
      </c>
      <c r="P94" s="43" t="str">
        <f t="shared" si="12"/>
        <v/>
      </c>
      <c r="Q94" s="44">
        <f t="shared" si="13"/>
        <v>0</v>
      </c>
      <c r="R94" s="44">
        <f t="shared" si="14"/>
        <v>0</v>
      </c>
      <c r="S94" s="43">
        <f t="shared" si="15"/>
        <v>0</v>
      </c>
      <c r="T94" s="39"/>
      <c r="U94" s="35"/>
      <c r="V94" s="35"/>
      <c r="W94" s="35"/>
      <c r="X94" s="35"/>
      <c r="Y94" s="35"/>
      <c r="Z94" s="35"/>
      <c r="AA94" s="35"/>
      <c r="AB94" s="35"/>
      <c r="AC94" s="35"/>
      <c r="AD94" s="35"/>
      <c r="AE94" s="35"/>
      <c r="AF94" s="35"/>
      <c r="AG94" s="35"/>
      <c r="AH94" s="35"/>
      <c r="AI94" s="35"/>
      <c r="AJ94" s="35"/>
      <c r="AK94" s="35"/>
      <c r="AL94" s="35"/>
      <c r="AM94" s="35"/>
      <c r="AN94" s="35"/>
      <c r="AO94" s="35"/>
      <c r="AP94" s="35"/>
      <c r="AQ94" s="35"/>
      <c r="AR94" s="35"/>
      <c r="AS94" s="35"/>
      <c r="AT94" s="35"/>
      <c r="AU94" s="35"/>
      <c r="AV94" s="35"/>
      <c r="AW94" s="35"/>
      <c r="AX94" s="35"/>
      <c r="AY94" s="35"/>
      <c r="AZ94" s="35"/>
      <c r="BA94" s="35"/>
      <c r="BB94" s="35"/>
      <c r="BC94" s="35"/>
      <c r="BD94" s="35"/>
      <c r="BE94" s="35"/>
      <c r="BF94" s="35"/>
      <c r="BG94" s="35"/>
      <c r="BH94" s="35"/>
      <c r="BI94" s="35"/>
      <c r="BJ94" s="35"/>
      <c r="BK94" s="35"/>
      <c r="BL94" s="35"/>
    </row>
    <row r="95" spans="1:64" ht="14">
      <c r="A95" s="36"/>
      <c r="B95" s="37"/>
      <c r="C95" s="38">
        <f t="shared" si="8"/>
        <v>0</v>
      </c>
      <c r="D95" s="39"/>
      <c r="E95" s="39"/>
      <c r="F95" s="39"/>
      <c r="G95" s="39"/>
      <c r="H95" s="40"/>
      <c r="I95" s="41"/>
      <c r="J95" s="39"/>
      <c r="K95" s="41"/>
      <c r="L95" s="41"/>
      <c r="M95" s="42" t="str">
        <f t="shared" si="9"/>
        <v/>
      </c>
      <c r="N95" s="40" t="str">
        <f t="shared" si="10"/>
        <v/>
      </c>
      <c r="O95" s="40" t="str">
        <f t="shared" si="11"/>
        <v/>
      </c>
      <c r="P95" s="43" t="str">
        <f t="shared" si="12"/>
        <v/>
      </c>
      <c r="Q95" s="44">
        <f t="shared" si="13"/>
        <v>0</v>
      </c>
      <c r="R95" s="44">
        <f t="shared" si="14"/>
        <v>0</v>
      </c>
      <c r="S95" s="43">
        <f t="shared" si="15"/>
        <v>0</v>
      </c>
      <c r="T95" s="39"/>
      <c r="U95" s="35"/>
      <c r="V95" s="35"/>
      <c r="W95" s="35"/>
      <c r="X95" s="35"/>
      <c r="Y95" s="35"/>
      <c r="Z95" s="35"/>
      <c r="AA95" s="35"/>
      <c r="AB95" s="35"/>
      <c r="AC95" s="35"/>
      <c r="AD95" s="35"/>
      <c r="AE95" s="35"/>
      <c r="AF95" s="35"/>
      <c r="AG95" s="35"/>
      <c r="AH95" s="35"/>
      <c r="AI95" s="35"/>
      <c r="AJ95" s="35"/>
      <c r="AK95" s="35"/>
      <c r="AL95" s="35"/>
      <c r="AM95" s="35"/>
      <c r="AN95" s="35"/>
      <c r="AO95" s="35"/>
      <c r="AP95" s="35"/>
      <c r="AQ95" s="35"/>
      <c r="AR95" s="35"/>
      <c r="AS95" s="35"/>
      <c r="AT95" s="35"/>
      <c r="AU95" s="35"/>
      <c r="AV95" s="35"/>
      <c r="AW95" s="35"/>
      <c r="AX95" s="35"/>
      <c r="AY95" s="35"/>
      <c r="AZ95" s="35"/>
      <c r="BA95" s="35"/>
      <c r="BB95" s="35"/>
      <c r="BC95" s="35"/>
      <c r="BD95" s="35"/>
      <c r="BE95" s="35"/>
      <c r="BF95" s="35"/>
      <c r="BG95" s="35"/>
      <c r="BH95" s="35"/>
      <c r="BI95" s="35"/>
      <c r="BJ95" s="35"/>
      <c r="BK95" s="35"/>
      <c r="BL95" s="35"/>
    </row>
    <row r="96" spans="1:64" ht="14">
      <c r="A96" s="36"/>
      <c r="B96" s="37"/>
      <c r="C96" s="38">
        <f t="shared" si="8"/>
        <v>0</v>
      </c>
      <c r="D96" s="39"/>
      <c r="E96" s="39"/>
      <c r="F96" s="39"/>
      <c r="G96" s="39"/>
      <c r="H96" s="40"/>
      <c r="I96" s="41"/>
      <c r="J96" s="39"/>
      <c r="K96" s="41"/>
      <c r="L96" s="41"/>
      <c r="M96" s="42" t="str">
        <f t="shared" si="9"/>
        <v/>
      </c>
      <c r="N96" s="40" t="str">
        <f t="shared" si="10"/>
        <v/>
      </c>
      <c r="O96" s="40" t="str">
        <f t="shared" si="11"/>
        <v/>
      </c>
      <c r="P96" s="43" t="str">
        <f t="shared" si="12"/>
        <v/>
      </c>
      <c r="Q96" s="44">
        <f t="shared" si="13"/>
        <v>0</v>
      </c>
      <c r="R96" s="44">
        <f t="shared" si="14"/>
        <v>0</v>
      </c>
      <c r="S96" s="43">
        <f t="shared" si="15"/>
        <v>0</v>
      </c>
      <c r="T96" s="39"/>
      <c r="U96" s="35"/>
      <c r="V96" s="35"/>
      <c r="W96" s="35"/>
      <c r="X96" s="35"/>
      <c r="Y96" s="35"/>
      <c r="Z96" s="35"/>
      <c r="AA96" s="35"/>
      <c r="AB96" s="35"/>
      <c r="AC96" s="35"/>
      <c r="AD96" s="35"/>
      <c r="AE96" s="35"/>
      <c r="AF96" s="35"/>
      <c r="AG96" s="35"/>
      <c r="AH96" s="35"/>
      <c r="AI96" s="35"/>
      <c r="AJ96" s="35"/>
      <c r="AK96" s="35"/>
      <c r="AL96" s="35"/>
      <c r="AM96" s="35"/>
      <c r="AN96" s="35"/>
      <c r="AO96" s="35"/>
      <c r="AP96" s="35"/>
      <c r="AQ96" s="35"/>
      <c r="AR96" s="35"/>
      <c r="AS96" s="35"/>
      <c r="AT96" s="35"/>
      <c r="AU96" s="35"/>
      <c r="AV96" s="35"/>
      <c r="AW96" s="35"/>
      <c r="AX96" s="35"/>
      <c r="AY96" s="35"/>
      <c r="AZ96" s="35"/>
      <c r="BA96" s="35"/>
      <c r="BB96" s="35"/>
      <c r="BC96" s="35"/>
      <c r="BD96" s="35"/>
      <c r="BE96" s="35"/>
      <c r="BF96" s="35"/>
      <c r="BG96" s="35"/>
      <c r="BH96" s="35"/>
      <c r="BI96" s="35"/>
      <c r="BJ96" s="35"/>
      <c r="BK96" s="35"/>
      <c r="BL96" s="35"/>
    </row>
    <row r="97" spans="1:64" ht="14">
      <c r="A97" s="36"/>
      <c r="B97" s="37"/>
      <c r="C97" s="38">
        <f t="shared" si="8"/>
        <v>0</v>
      </c>
      <c r="D97" s="39"/>
      <c r="E97" s="39"/>
      <c r="F97" s="39"/>
      <c r="G97" s="39"/>
      <c r="H97" s="40"/>
      <c r="I97" s="41"/>
      <c r="J97" s="39"/>
      <c r="K97" s="41"/>
      <c r="L97" s="41"/>
      <c r="M97" s="42" t="str">
        <f t="shared" si="9"/>
        <v/>
      </c>
      <c r="N97" s="40" t="str">
        <f t="shared" si="10"/>
        <v/>
      </c>
      <c r="O97" s="40" t="str">
        <f t="shared" si="11"/>
        <v/>
      </c>
      <c r="P97" s="43" t="str">
        <f t="shared" si="12"/>
        <v/>
      </c>
      <c r="Q97" s="44">
        <f t="shared" si="13"/>
        <v>0</v>
      </c>
      <c r="R97" s="44">
        <f t="shared" si="14"/>
        <v>0</v>
      </c>
      <c r="S97" s="43">
        <f t="shared" si="15"/>
        <v>0</v>
      </c>
      <c r="T97" s="39"/>
      <c r="U97" s="35"/>
      <c r="V97" s="35"/>
      <c r="W97" s="35"/>
      <c r="X97" s="35"/>
      <c r="Y97" s="35"/>
      <c r="Z97" s="35"/>
      <c r="AA97" s="35"/>
      <c r="AB97" s="35"/>
      <c r="AC97" s="35"/>
      <c r="AD97" s="35"/>
      <c r="AE97" s="35"/>
      <c r="AF97" s="35"/>
      <c r="AG97" s="35"/>
      <c r="AH97" s="35"/>
      <c r="AI97" s="35"/>
      <c r="AJ97" s="35"/>
      <c r="AK97" s="35"/>
      <c r="AL97" s="35"/>
      <c r="AM97" s="35"/>
      <c r="AN97" s="35"/>
      <c r="AO97" s="35"/>
      <c r="AP97" s="35"/>
      <c r="AQ97" s="35"/>
      <c r="AR97" s="35"/>
      <c r="AS97" s="35"/>
      <c r="AT97" s="35"/>
      <c r="AU97" s="35"/>
      <c r="AV97" s="35"/>
      <c r="AW97" s="35"/>
      <c r="AX97" s="35"/>
      <c r="AY97" s="35"/>
      <c r="AZ97" s="35"/>
      <c r="BA97" s="35"/>
      <c r="BB97" s="35"/>
      <c r="BC97" s="35"/>
      <c r="BD97" s="35"/>
      <c r="BE97" s="35"/>
      <c r="BF97" s="35"/>
      <c r="BG97" s="35"/>
      <c r="BH97" s="35"/>
      <c r="BI97" s="35"/>
      <c r="BJ97" s="35"/>
      <c r="BK97" s="35"/>
      <c r="BL97" s="35"/>
    </row>
    <row r="98" spans="1:64" ht="14">
      <c r="A98" s="36"/>
      <c r="B98" s="37"/>
      <c r="C98" s="38">
        <f t="shared" si="8"/>
        <v>0</v>
      </c>
      <c r="D98" s="39"/>
      <c r="E98" s="39"/>
      <c r="F98" s="39"/>
      <c r="G98" s="39"/>
      <c r="H98" s="40"/>
      <c r="I98" s="41"/>
      <c r="J98" s="39"/>
      <c r="K98" s="41"/>
      <c r="L98" s="41"/>
      <c r="M98" s="42" t="str">
        <f t="shared" si="9"/>
        <v/>
      </c>
      <c r="N98" s="40" t="str">
        <f t="shared" si="10"/>
        <v/>
      </c>
      <c r="O98" s="40" t="str">
        <f t="shared" si="11"/>
        <v/>
      </c>
      <c r="P98" s="43" t="str">
        <f t="shared" si="12"/>
        <v/>
      </c>
      <c r="Q98" s="44">
        <f t="shared" si="13"/>
        <v>0</v>
      </c>
      <c r="R98" s="44">
        <f t="shared" si="14"/>
        <v>0</v>
      </c>
      <c r="S98" s="43">
        <f t="shared" si="15"/>
        <v>0</v>
      </c>
      <c r="T98" s="39"/>
      <c r="U98" s="35"/>
      <c r="V98" s="35"/>
      <c r="W98" s="35"/>
      <c r="X98" s="35"/>
      <c r="Y98" s="35"/>
      <c r="Z98" s="35"/>
      <c r="AA98" s="35"/>
      <c r="AB98" s="35"/>
      <c r="AC98" s="35"/>
      <c r="AD98" s="35"/>
      <c r="AE98" s="35"/>
      <c r="AF98" s="35"/>
      <c r="AG98" s="35"/>
      <c r="AH98" s="35"/>
      <c r="AI98" s="35"/>
      <c r="AJ98" s="35"/>
      <c r="AK98" s="35"/>
      <c r="AL98" s="35"/>
      <c r="AM98" s="35"/>
      <c r="AN98" s="35"/>
      <c r="AO98" s="35"/>
      <c r="AP98" s="35"/>
      <c r="AQ98" s="35"/>
      <c r="AR98" s="35"/>
      <c r="AS98" s="35"/>
      <c r="AT98" s="35"/>
      <c r="AU98" s="35"/>
      <c r="AV98" s="35"/>
      <c r="AW98" s="35"/>
      <c r="AX98" s="35"/>
      <c r="AY98" s="35"/>
      <c r="AZ98" s="35"/>
      <c r="BA98" s="35"/>
      <c r="BB98" s="35"/>
      <c r="BC98" s="35"/>
      <c r="BD98" s="35"/>
      <c r="BE98" s="35"/>
      <c r="BF98" s="35"/>
      <c r="BG98" s="35"/>
      <c r="BH98" s="35"/>
      <c r="BI98" s="35"/>
      <c r="BJ98" s="35"/>
      <c r="BK98" s="35"/>
      <c r="BL98" s="35"/>
    </row>
    <row r="99" spans="1:64" ht="14">
      <c r="A99" s="36"/>
      <c r="B99" s="37"/>
      <c r="C99" s="38">
        <f t="shared" si="8"/>
        <v>0</v>
      </c>
      <c r="D99" s="39"/>
      <c r="E99" s="39"/>
      <c r="F99" s="39"/>
      <c r="G99" s="39"/>
      <c r="H99" s="40"/>
      <c r="I99" s="41"/>
      <c r="J99" s="39"/>
      <c r="K99" s="41"/>
      <c r="L99" s="41"/>
      <c r="M99" s="42" t="str">
        <f t="shared" si="9"/>
        <v/>
      </c>
      <c r="N99" s="40" t="str">
        <f t="shared" si="10"/>
        <v/>
      </c>
      <c r="O99" s="40" t="str">
        <f t="shared" si="11"/>
        <v/>
      </c>
      <c r="P99" s="43" t="str">
        <f t="shared" si="12"/>
        <v/>
      </c>
      <c r="Q99" s="44">
        <f t="shared" si="13"/>
        <v>0</v>
      </c>
      <c r="R99" s="44">
        <f t="shared" si="14"/>
        <v>0</v>
      </c>
      <c r="S99" s="43">
        <f t="shared" si="15"/>
        <v>0</v>
      </c>
      <c r="T99" s="39"/>
      <c r="U99" s="35"/>
      <c r="V99" s="35"/>
      <c r="W99" s="35"/>
      <c r="X99" s="35"/>
      <c r="Y99" s="35"/>
      <c r="Z99" s="35"/>
      <c r="AA99" s="35"/>
      <c r="AB99" s="35"/>
      <c r="AC99" s="35"/>
      <c r="AD99" s="35"/>
      <c r="AE99" s="35"/>
      <c r="AF99" s="35"/>
      <c r="AG99" s="35"/>
      <c r="AH99" s="35"/>
      <c r="AI99" s="35"/>
      <c r="AJ99" s="35"/>
      <c r="AK99" s="35"/>
      <c r="AL99" s="35"/>
      <c r="AM99" s="35"/>
      <c r="AN99" s="35"/>
      <c r="AO99" s="35"/>
      <c r="AP99" s="35"/>
      <c r="AQ99" s="35"/>
      <c r="AR99" s="35"/>
      <c r="AS99" s="35"/>
      <c r="AT99" s="35"/>
      <c r="AU99" s="35"/>
      <c r="AV99" s="35"/>
      <c r="AW99" s="35"/>
      <c r="AX99" s="35"/>
      <c r="AY99" s="35"/>
      <c r="AZ99" s="35"/>
      <c r="BA99" s="35"/>
      <c r="BB99" s="35"/>
      <c r="BC99" s="35"/>
      <c r="BD99" s="35"/>
      <c r="BE99" s="35"/>
      <c r="BF99" s="35"/>
      <c r="BG99" s="35"/>
      <c r="BH99" s="35"/>
      <c r="BI99" s="35"/>
      <c r="BJ99" s="35"/>
      <c r="BK99" s="35"/>
      <c r="BL99" s="35"/>
    </row>
    <row r="100" spans="1:64" ht="14">
      <c r="A100" s="36"/>
      <c r="B100" s="37"/>
      <c r="C100" s="38">
        <f t="shared" si="8"/>
        <v>0</v>
      </c>
      <c r="D100" s="39"/>
      <c r="E100" s="39"/>
      <c r="F100" s="39"/>
      <c r="G100" s="39"/>
      <c r="H100" s="40"/>
      <c r="I100" s="41"/>
      <c r="J100" s="39"/>
      <c r="K100" s="41"/>
      <c r="L100" s="41"/>
      <c r="M100" s="42" t="str">
        <f t="shared" si="9"/>
        <v/>
      </c>
      <c r="N100" s="40" t="str">
        <f t="shared" si="10"/>
        <v/>
      </c>
      <c r="O100" s="40" t="str">
        <f t="shared" si="11"/>
        <v/>
      </c>
      <c r="P100" s="43" t="str">
        <f t="shared" si="12"/>
        <v/>
      </c>
      <c r="Q100" s="44">
        <f t="shared" si="13"/>
        <v>0</v>
      </c>
      <c r="R100" s="44">
        <f t="shared" si="14"/>
        <v>0</v>
      </c>
      <c r="S100" s="43">
        <f t="shared" si="15"/>
        <v>0</v>
      </c>
      <c r="T100" s="39"/>
      <c r="U100" s="35"/>
      <c r="V100" s="35"/>
      <c r="W100" s="35"/>
      <c r="X100" s="35"/>
      <c r="Y100" s="35"/>
      <c r="Z100" s="35"/>
      <c r="AA100" s="35"/>
      <c r="AB100" s="35"/>
      <c r="AC100" s="35"/>
      <c r="AD100" s="35"/>
      <c r="AE100" s="35"/>
      <c r="AF100" s="35"/>
      <c r="AG100" s="35"/>
      <c r="AH100" s="35"/>
      <c r="AI100" s="35"/>
      <c r="AJ100" s="35"/>
      <c r="AK100" s="35"/>
      <c r="AL100" s="35"/>
      <c r="AM100" s="35"/>
      <c r="AN100" s="35"/>
      <c r="AO100" s="35"/>
      <c r="AP100" s="35"/>
      <c r="AQ100" s="35"/>
      <c r="AR100" s="35"/>
      <c r="AS100" s="35"/>
      <c r="AT100" s="35"/>
      <c r="AU100" s="35"/>
      <c r="AV100" s="35"/>
      <c r="AW100" s="35"/>
      <c r="AX100" s="35"/>
      <c r="AY100" s="35"/>
      <c r="AZ100" s="35"/>
      <c r="BA100" s="35"/>
      <c r="BB100" s="35"/>
      <c r="BC100" s="35"/>
      <c r="BD100" s="35"/>
      <c r="BE100" s="35"/>
      <c r="BF100" s="35"/>
      <c r="BG100" s="35"/>
      <c r="BH100" s="35"/>
      <c r="BI100" s="35"/>
      <c r="BJ100" s="35"/>
      <c r="BK100" s="35"/>
      <c r="BL100" s="35"/>
    </row>
    <row r="101" spans="1:64" ht="14">
      <c r="A101" s="36"/>
      <c r="B101" s="37"/>
      <c r="C101" s="38">
        <f t="shared" si="8"/>
        <v>0</v>
      </c>
      <c r="D101" s="39"/>
      <c r="E101" s="39"/>
      <c r="F101" s="39"/>
      <c r="G101" s="39"/>
      <c r="H101" s="40"/>
      <c r="I101" s="41"/>
      <c r="J101" s="39"/>
      <c r="K101" s="41"/>
      <c r="L101" s="41"/>
      <c r="M101" s="42" t="str">
        <f t="shared" si="9"/>
        <v/>
      </c>
      <c r="N101" s="40" t="str">
        <f t="shared" si="10"/>
        <v/>
      </c>
      <c r="O101" s="40" t="str">
        <f t="shared" si="11"/>
        <v/>
      </c>
      <c r="P101" s="43" t="str">
        <f t="shared" si="12"/>
        <v/>
      </c>
      <c r="Q101" s="44">
        <f t="shared" si="13"/>
        <v>0</v>
      </c>
      <c r="R101" s="44">
        <f t="shared" si="14"/>
        <v>0</v>
      </c>
      <c r="S101" s="43">
        <f t="shared" si="15"/>
        <v>0</v>
      </c>
      <c r="T101" s="39"/>
      <c r="U101" s="35"/>
      <c r="V101" s="35"/>
      <c r="W101" s="35"/>
      <c r="X101" s="35"/>
      <c r="Y101" s="35"/>
      <c r="Z101" s="35"/>
      <c r="AA101" s="35"/>
      <c r="AB101" s="35"/>
      <c r="AC101" s="35"/>
      <c r="AD101" s="35"/>
      <c r="AE101" s="35"/>
      <c r="AF101" s="35"/>
      <c r="AG101" s="35"/>
      <c r="AH101" s="35"/>
      <c r="AI101" s="35"/>
      <c r="AJ101" s="35"/>
      <c r="AK101" s="35"/>
      <c r="AL101" s="35"/>
      <c r="AM101" s="35"/>
      <c r="AN101" s="35"/>
      <c r="AO101" s="35"/>
      <c r="AP101" s="35"/>
      <c r="AQ101" s="35"/>
      <c r="AR101" s="35"/>
      <c r="AS101" s="35"/>
      <c r="AT101" s="35"/>
      <c r="AU101" s="35"/>
      <c r="AV101" s="35"/>
      <c r="AW101" s="35"/>
      <c r="AX101" s="35"/>
      <c r="AY101" s="35"/>
      <c r="AZ101" s="35"/>
      <c r="BA101" s="35"/>
      <c r="BB101" s="35"/>
      <c r="BC101" s="35"/>
      <c r="BD101" s="35"/>
      <c r="BE101" s="35"/>
      <c r="BF101" s="35"/>
      <c r="BG101" s="35"/>
      <c r="BH101" s="35"/>
      <c r="BI101" s="35"/>
      <c r="BJ101" s="35"/>
      <c r="BK101" s="35"/>
      <c r="BL101" s="35"/>
    </row>
    <row r="102" spans="1:64" ht="14">
      <c r="A102" s="36"/>
      <c r="B102" s="37"/>
      <c r="C102" s="38">
        <f t="shared" si="8"/>
        <v>0</v>
      </c>
      <c r="D102" s="39"/>
      <c r="E102" s="39"/>
      <c r="F102" s="39"/>
      <c r="G102" s="39"/>
      <c r="H102" s="40"/>
      <c r="I102" s="41"/>
      <c r="J102" s="39"/>
      <c r="K102" s="41"/>
      <c r="L102" s="41"/>
      <c r="M102" s="42" t="str">
        <f t="shared" si="9"/>
        <v/>
      </c>
      <c r="N102" s="40" t="str">
        <f t="shared" si="10"/>
        <v/>
      </c>
      <c r="O102" s="40" t="str">
        <f t="shared" si="11"/>
        <v/>
      </c>
      <c r="P102" s="43" t="str">
        <f t="shared" si="12"/>
        <v/>
      </c>
      <c r="Q102" s="44">
        <f t="shared" si="13"/>
        <v>0</v>
      </c>
      <c r="R102" s="44">
        <f t="shared" si="14"/>
        <v>0</v>
      </c>
      <c r="S102" s="43">
        <f t="shared" si="15"/>
        <v>0</v>
      </c>
      <c r="T102" s="39"/>
      <c r="U102" s="35"/>
      <c r="V102" s="35"/>
      <c r="W102" s="35"/>
      <c r="X102" s="35"/>
      <c r="Y102" s="35"/>
      <c r="Z102" s="35"/>
      <c r="AA102" s="35"/>
      <c r="AB102" s="35"/>
      <c r="AC102" s="35"/>
      <c r="AD102" s="35"/>
      <c r="AE102" s="35"/>
      <c r="AF102" s="35"/>
      <c r="AG102" s="35"/>
      <c r="AH102" s="35"/>
      <c r="AI102" s="35"/>
      <c r="AJ102" s="35"/>
      <c r="AK102" s="35"/>
      <c r="AL102" s="35"/>
      <c r="AM102" s="35"/>
      <c r="AN102" s="35"/>
      <c r="AO102" s="35"/>
      <c r="AP102" s="35"/>
      <c r="AQ102" s="35"/>
      <c r="AR102" s="35"/>
      <c r="AS102" s="35"/>
      <c r="AT102" s="35"/>
      <c r="AU102" s="35"/>
      <c r="AV102" s="35"/>
      <c r="AW102" s="35"/>
      <c r="AX102" s="35"/>
      <c r="AY102" s="35"/>
      <c r="AZ102" s="35"/>
      <c r="BA102" s="35"/>
      <c r="BB102" s="35"/>
      <c r="BC102" s="35"/>
      <c r="BD102" s="35"/>
      <c r="BE102" s="35"/>
      <c r="BF102" s="35"/>
      <c r="BG102" s="35"/>
      <c r="BH102" s="35"/>
      <c r="BI102" s="35"/>
      <c r="BJ102" s="35"/>
      <c r="BK102" s="35"/>
      <c r="BL102" s="35"/>
    </row>
    <row r="103" spans="1:64" ht="14">
      <c r="A103" s="36"/>
      <c r="B103" s="37"/>
      <c r="C103" s="38">
        <f t="shared" si="8"/>
        <v>0</v>
      </c>
      <c r="D103" s="39"/>
      <c r="E103" s="39"/>
      <c r="F103" s="39"/>
      <c r="G103" s="39"/>
      <c r="H103" s="40"/>
      <c r="I103" s="41"/>
      <c r="J103" s="39"/>
      <c r="K103" s="41"/>
      <c r="L103" s="41"/>
      <c r="M103" s="42" t="str">
        <f t="shared" si="9"/>
        <v/>
      </c>
      <c r="N103" s="40" t="str">
        <f t="shared" si="10"/>
        <v/>
      </c>
      <c r="O103" s="40" t="str">
        <f t="shared" si="11"/>
        <v/>
      </c>
      <c r="P103" s="43" t="str">
        <f t="shared" si="12"/>
        <v/>
      </c>
      <c r="Q103" s="44">
        <f t="shared" si="13"/>
        <v>0</v>
      </c>
      <c r="R103" s="44">
        <f t="shared" si="14"/>
        <v>0</v>
      </c>
      <c r="S103" s="43">
        <f t="shared" si="15"/>
        <v>0</v>
      </c>
      <c r="T103" s="39"/>
      <c r="U103" s="35"/>
      <c r="V103" s="35"/>
      <c r="W103" s="35"/>
      <c r="X103" s="35"/>
      <c r="Y103" s="35"/>
      <c r="Z103" s="35"/>
      <c r="AA103" s="35"/>
      <c r="AB103" s="35"/>
      <c r="AC103" s="35"/>
      <c r="AD103" s="35"/>
      <c r="AE103" s="35"/>
      <c r="AF103" s="35"/>
      <c r="AG103" s="35"/>
      <c r="AH103" s="35"/>
      <c r="AI103" s="35"/>
      <c r="AJ103" s="35"/>
      <c r="AK103" s="35"/>
      <c r="AL103" s="35"/>
      <c r="AM103" s="35"/>
      <c r="AN103" s="35"/>
      <c r="AO103" s="35"/>
      <c r="AP103" s="35"/>
      <c r="AQ103" s="35"/>
      <c r="AR103" s="35"/>
      <c r="AS103" s="35"/>
      <c r="AT103" s="35"/>
      <c r="AU103" s="35"/>
      <c r="AV103" s="35"/>
      <c r="AW103" s="35"/>
      <c r="AX103" s="35"/>
      <c r="AY103" s="35"/>
      <c r="AZ103" s="35"/>
      <c r="BA103" s="35"/>
      <c r="BB103" s="35"/>
      <c r="BC103" s="35"/>
      <c r="BD103" s="35"/>
      <c r="BE103" s="35"/>
      <c r="BF103" s="35"/>
      <c r="BG103" s="35"/>
      <c r="BH103" s="35"/>
      <c r="BI103" s="35"/>
      <c r="BJ103" s="35"/>
      <c r="BK103" s="35"/>
      <c r="BL103" s="35"/>
    </row>
    <row r="104" spans="1:64" ht="14">
      <c r="A104" s="36"/>
      <c r="B104" s="37"/>
      <c r="C104" s="38">
        <f t="shared" si="8"/>
        <v>0</v>
      </c>
      <c r="D104" s="39"/>
      <c r="E104" s="39"/>
      <c r="F104" s="39"/>
      <c r="G104" s="39"/>
      <c r="H104" s="40"/>
      <c r="I104" s="41"/>
      <c r="J104" s="39"/>
      <c r="K104" s="41"/>
      <c r="L104" s="41"/>
      <c r="M104" s="42" t="str">
        <f t="shared" si="9"/>
        <v/>
      </c>
      <c r="N104" s="40" t="str">
        <f t="shared" si="10"/>
        <v/>
      </c>
      <c r="O104" s="40" t="str">
        <f t="shared" si="11"/>
        <v/>
      </c>
      <c r="P104" s="43" t="str">
        <f t="shared" si="12"/>
        <v/>
      </c>
      <c r="Q104" s="44">
        <f t="shared" si="13"/>
        <v>0</v>
      </c>
      <c r="R104" s="44">
        <f t="shared" si="14"/>
        <v>0</v>
      </c>
      <c r="S104" s="43">
        <f t="shared" si="15"/>
        <v>0</v>
      </c>
      <c r="T104" s="39"/>
      <c r="U104" s="35"/>
      <c r="V104" s="35"/>
      <c r="W104" s="35"/>
      <c r="X104" s="35"/>
      <c r="Y104" s="35"/>
      <c r="Z104" s="35"/>
      <c r="AA104" s="35"/>
      <c r="AB104" s="35"/>
      <c r="AC104" s="35"/>
      <c r="AD104" s="35"/>
      <c r="AE104" s="35"/>
      <c r="AF104" s="35"/>
      <c r="AG104" s="35"/>
      <c r="AH104" s="35"/>
      <c r="AI104" s="35"/>
      <c r="AJ104" s="35"/>
      <c r="AK104" s="35"/>
      <c r="AL104" s="35"/>
      <c r="AM104" s="35"/>
      <c r="AN104" s="35"/>
      <c r="AO104" s="35"/>
      <c r="AP104" s="35"/>
      <c r="AQ104" s="35"/>
      <c r="AR104" s="35"/>
      <c r="AS104" s="35"/>
      <c r="AT104" s="35"/>
      <c r="AU104" s="35"/>
      <c r="AV104" s="35"/>
      <c r="AW104" s="35"/>
      <c r="AX104" s="35"/>
      <c r="AY104" s="35"/>
      <c r="AZ104" s="35"/>
      <c r="BA104" s="35"/>
      <c r="BB104" s="35"/>
      <c r="BC104" s="35"/>
      <c r="BD104" s="35"/>
      <c r="BE104" s="35"/>
      <c r="BF104" s="35"/>
      <c r="BG104" s="35"/>
      <c r="BH104" s="35"/>
      <c r="BI104" s="35"/>
      <c r="BJ104" s="35"/>
      <c r="BK104" s="35"/>
      <c r="BL104" s="35"/>
    </row>
    <row r="105" spans="1:64" ht="14">
      <c r="A105" s="36"/>
      <c r="B105" s="37"/>
      <c r="C105" s="38">
        <f t="shared" si="8"/>
        <v>0</v>
      </c>
      <c r="D105" s="39"/>
      <c r="E105" s="39"/>
      <c r="F105" s="39"/>
      <c r="G105" s="39"/>
      <c r="H105" s="40"/>
      <c r="I105" s="41"/>
      <c r="J105" s="39"/>
      <c r="K105" s="41"/>
      <c r="L105" s="41"/>
      <c r="M105" s="42" t="str">
        <f t="shared" si="9"/>
        <v/>
      </c>
      <c r="N105" s="40" t="str">
        <f t="shared" si="10"/>
        <v/>
      </c>
      <c r="O105" s="40" t="str">
        <f t="shared" si="11"/>
        <v/>
      </c>
      <c r="P105" s="43" t="str">
        <f t="shared" si="12"/>
        <v/>
      </c>
      <c r="Q105" s="44">
        <f t="shared" si="13"/>
        <v>0</v>
      </c>
      <c r="R105" s="44">
        <f t="shared" si="14"/>
        <v>0</v>
      </c>
      <c r="S105" s="43">
        <f t="shared" si="15"/>
        <v>0</v>
      </c>
      <c r="T105" s="39"/>
      <c r="U105" s="35"/>
      <c r="V105" s="35"/>
      <c r="W105" s="35"/>
      <c r="X105" s="35"/>
      <c r="Y105" s="35"/>
      <c r="Z105" s="35"/>
      <c r="AA105" s="35"/>
      <c r="AB105" s="35"/>
      <c r="AC105" s="35"/>
      <c r="AD105" s="35"/>
      <c r="AE105" s="35"/>
      <c r="AF105" s="35"/>
      <c r="AG105" s="35"/>
      <c r="AH105" s="35"/>
      <c r="AI105" s="35"/>
      <c r="AJ105" s="35"/>
      <c r="AK105" s="35"/>
      <c r="AL105" s="35"/>
      <c r="AM105" s="35"/>
      <c r="AN105" s="35"/>
      <c r="AO105" s="35"/>
      <c r="AP105" s="35"/>
      <c r="AQ105" s="35"/>
      <c r="AR105" s="35"/>
      <c r="AS105" s="35"/>
      <c r="AT105" s="35"/>
      <c r="AU105" s="35"/>
      <c r="AV105" s="35"/>
      <c r="AW105" s="35"/>
      <c r="AX105" s="35"/>
      <c r="AY105" s="35"/>
      <c r="AZ105" s="35"/>
      <c r="BA105" s="35"/>
      <c r="BB105" s="35"/>
      <c r="BC105" s="35"/>
      <c r="BD105" s="35"/>
      <c r="BE105" s="35"/>
      <c r="BF105" s="35"/>
      <c r="BG105" s="35"/>
      <c r="BH105" s="35"/>
      <c r="BI105" s="35"/>
      <c r="BJ105" s="35"/>
      <c r="BK105" s="35"/>
      <c r="BL105" s="35"/>
    </row>
    <row r="106" spans="1:64" ht="14">
      <c r="A106" s="36"/>
      <c r="B106" s="37"/>
      <c r="C106" s="38">
        <f t="shared" si="8"/>
        <v>0</v>
      </c>
      <c r="D106" s="39"/>
      <c r="E106" s="39"/>
      <c r="F106" s="39"/>
      <c r="G106" s="39"/>
      <c r="H106" s="40"/>
      <c r="I106" s="41"/>
      <c r="J106" s="39"/>
      <c r="K106" s="41"/>
      <c r="L106" s="41"/>
      <c r="M106" s="42" t="str">
        <f t="shared" si="9"/>
        <v/>
      </c>
      <c r="N106" s="40" t="str">
        <f t="shared" si="10"/>
        <v/>
      </c>
      <c r="O106" s="40" t="str">
        <f t="shared" si="11"/>
        <v/>
      </c>
      <c r="P106" s="43" t="str">
        <f t="shared" si="12"/>
        <v/>
      </c>
      <c r="Q106" s="44">
        <f t="shared" si="13"/>
        <v>0</v>
      </c>
      <c r="R106" s="44">
        <f t="shared" si="14"/>
        <v>0</v>
      </c>
      <c r="S106" s="43">
        <f t="shared" si="15"/>
        <v>0</v>
      </c>
      <c r="T106" s="39"/>
      <c r="U106" s="35"/>
      <c r="V106" s="35"/>
      <c r="W106" s="35"/>
      <c r="X106" s="35"/>
      <c r="Y106" s="35"/>
      <c r="Z106" s="35"/>
      <c r="AA106" s="35"/>
      <c r="AB106" s="35"/>
      <c r="AC106" s="35"/>
      <c r="AD106" s="35"/>
      <c r="AE106" s="35"/>
      <c r="AF106" s="35"/>
      <c r="AG106" s="35"/>
      <c r="AH106" s="35"/>
      <c r="AI106" s="35"/>
      <c r="AJ106" s="35"/>
      <c r="AK106" s="35"/>
      <c r="AL106" s="35"/>
      <c r="AM106" s="35"/>
      <c r="AN106" s="35"/>
      <c r="AO106" s="35"/>
      <c r="AP106" s="35"/>
      <c r="AQ106" s="35"/>
      <c r="AR106" s="35"/>
      <c r="AS106" s="35"/>
      <c r="AT106" s="35"/>
      <c r="AU106" s="35"/>
      <c r="AV106" s="35"/>
      <c r="AW106" s="35"/>
      <c r="AX106" s="35"/>
      <c r="AY106" s="35"/>
      <c r="AZ106" s="35"/>
      <c r="BA106" s="35"/>
      <c r="BB106" s="35"/>
      <c r="BC106" s="35"/>
      <c r="BD106" s="35"/>
      <c r="BE106" s="35"/>
      <c r="BF106" s="35"/>
      <c r="BG106" s="35"/>
      <c r="BH106" s="35"/>
      <c r="BI106" s="35"/>
      <c r="BJ106" s="35"/>
      <c r="BK106" s="35"/>
      <c r="BL106" s="35"/>
    </row>
    <row r="107" spans="1:64" ht="14">
      <c r="A107" s="36"/>
      <c r="B107" s="37"/>
      <c r="C107" s="38">
        <f t="shared" si="8"/>
        <v>0</v>
      </c>
      <c r="D107" s="39"/>
      <c r="E107" s="39"/>
      <c r="F107" s="39"/>
      <c r="G107" s="39"/>
      <c r="H107" s="40"/>
      <c r="I107" s="41"/>
      <c r="J107" s="39"/>
      <c r="K107" s="41"/>
      <c r="L107" s="41"/>
      <c r="M107" s="42" t="str">
        <f t="shared" si="9"/>
        <v/>
      </c>
      <c r="N107" s="40" t="str">
        <f t="shared" si="10"/>
        <v/>
      </c>
      <c r="O107" s="40" t="str">
        <f t="shared" si="11"/>
        <v/>
      </c>
      <c r="P107" s="43" t="str">
        <f t="shared" si="12"/>
        <v/>
      </c>
      <c r="Q107" s="44">
        <f t="shared" si="13"/>
        <v>0</v>
      </c>
      <c r="R107" s="44">
        <f t="shared" si="14"/>
        <v>0</v>
      </c>
      <c r="S107" s="43">
        <f t="shared" si="15"/>
        <v>0</v>
      </c>
      <c r="T107" s="39"/>
      <c r="U107" s="35"/>
      <c r="V107" s="35"/>
      <c r="W107" s="35"/>
      <c r="X107" s="35"/>
      <c r="Y107" s="35"/>
      <c r="Z107" s="35"/>
      <c r="AA107" s="35"/>
      <c r="AB107" s="35"/>
      <c r="AC107" s="35"/>
      <c r="AD107" s="35"/>
      <c r="AE107" s="35"/>
      <c r="AF107" s="35"/>
      <c r="AG107" s="35"/>
      <c r="AH107" s="35"/>
      <c r="AI107" s="35"/>
      <c r="AJ107" s="35"/>
      <c r="AK107" s="35"/>
      <c r="AL107" s="35"/>
      <c r="AM107" s="35"/>
      <c r="AN107" s="35"/>
      <c r="AO107" s="35"/>
      <c r="AP107" s="35"/>
      <c r="AQ107" s="35"/>
      <c r="AR107" s="35"/>
      <c r="AS107" s="35"/>
      <c r="AT107" s="35"/>
      <c r="AU107" s="35"/>
      <c r="AV107" s="35"/>
      <c r="AW107" s="35"/>
      <c r="AX107" s="35"/>
      <c r="AY107" s="35"/>
      <c r="AZ107" s="35"/>
      <c r="BA107" s="35"/>
      <c r="BB107" s="35"/>
      <c r="BC107" s="35"/>
      <c r="BD107" s="35"/>
      <c r="BE107" s="35"/>
      <c r="BF107" s="35"/>
      <c r="BG107" s="35"/>
      <c r="BH107" s="35"/>
      <c r="BI107" s="35"/>
      <c r="BJ107" s="35"/>
      <c r="BK107" s="35"/>
      <c r="BL107" s="35"/>
    </row>
    <row r="108" spans="1:64" ht="14">
      <c r="A108" s="36"/>
      <c r="B108" s="37"/>
      <c r="C108" s="38">
        <f t="shared" si="8"/>
        <v>0</v>
      </c>
      <c r="D108" s="39"/>
      <c r="E108" s="39"/>
      <c r="F108" s="39"/>
      <c r="G108" s="39"/>
      <c r="H108" s="40"/>
      <c r="I108" s="41"/>
      <c r="J108" s="39"/>
      <c r="K108" s="41"/>
      <c r="L108" s="41"/>
      <c r="M108" s="42" t="str">
        <f t="shared" si="9"/>
        <v/>
      </c>
      <c r="N108" s="40" t="str">
        <f t="shared" si="10"/>
        <v/>
      </c>
      <c r="O108" s="40" t="str">
        <f t="shared" si="11"/>
        <v/>
      </c>
      <c r="P108" s="43" t="str">
        <f t="shared" si="12"/>
        <v/>
      </c>
      <c r="Q108" s="44">
        <f t="shared" si="13"/>
        <v>0</v>
      </c>
      <c r="R108" s="44">
        <f t="shared" si="14"/>
        <v>0</v>
      </c>
      <c r="S108" s="43">
        <f t="shared" si="15"/>
        <v>0</v>
      </c>
      <c r="T108" s="39"/>
      <c r="U108" s="35"/>
      <c r="V108" s="35"/>
      <c r="W108" s="35"/>
      <c r="X108" s="35"/>
      <c r="Y108" s="35"/>
      <c r="Z108" s="35"/>
      <c r="AA108" s="35"/>
      <c r="AB108" s="35"/>
      <c r="AC108" s="35"/>
      <c r="AD108" s="35"/>
      <c r="AE108" s="35"/>
      <c r="AF108" s="35"/>
      <c r="AG108" s="35"/>
      <c r="AH108" s="35"/>
      <c r="AI108" s="35"/>
      <c r="AJ108" s="35"/>
      <c r="AK108" s="35"/>
      <c r="AL108" s="35"/>
      <c r="AM108" s="35"/>
      <c r="AN108" s="35"/>
      <c r="AO108" s="35"/>
      <c r="AP108" s="35"/>
      <c r="AQ108" s="35"/>
      <c r="AR108" s="35"/>
      <c r="AS108" s="35"/>
      <c r="AT108" s="35"/>
      <c r="AU108" s="35"/>
      <c r="AV108" s="35"/>
      <c r="AW108" s="35"/>
      <c r="AX108" s="35"/>
      <c r="AY108" s="35"/>
      <c r="AZ108" s="35"/>
      <c r="BA108" s="35"/>
      <c r="BB108" s="35"/>
      <c r="BC108" s="35"/>
      <c r="BD108" s="35"/>
      <c r="BE108" s="35"/>
      <c r="BF108" s="35"/>
      <c r="BG108" s="35"/>
      <c r="BH108" s="35"/>
      <c r="BI108" s="35"/>
      <c r="BJ108" s="35"/>
      <c r="BK108" s="35"/>
      <c r="BL108" s="35"/>
    </row>
    <row r="109" spans="1:64" ht="14">
      <c r="A109" s="36"/>
      <c r="B109" s="37"/>
      <c r="C109" s="38">
        <f t="shared" si="8"/>
        <v>0</v>
      </c>
      <c r="D109" s="39"/>
      <c r="E109" s="39"/>
      <c r="F109" s="39"/>
      <c r="G109" s="39"/>
      <c r="H109" s="40"/>
      <c r="I109" s="41"/>
      <c r="J109" s="39"/>
      <c r="K109" s="41"/>
      <c r="L109" s="41"/>
      <c r="M109" s="42" t="str">
        <f t="shared" si="9"/>
        <v/>
      </c>
      <c r="N109" s="40" t="str">
        <f t="shared" si="10"/>
        <v/>
      </c>
      <c r="O109" s="40" t="str">
        <f t="shared" si="11"/>
        <v/>
      </c>
      <c r="P109" s="43" t="str">
        <f t="shared" si="12"/>
        <v/>
      </c>
      <c r="Q109" s="44">
        <f t="shared" si="13"/>
        <v>0</v>
      </c>
      <c r="R109" s="44">
        <f t="shared" si="14"/>
        <v>0</v>
      </c>
      <c r="S109" s="43">
        <f t="shared" si="15"/>
        <v>0</v>
      </c>
      <c r="T109" s="39"/>
      <c r="U109" s="35"/>
      <c r="V109" s="35"/>
      <c r="W109" s="35"/>
      <c r="X109" s="35"/>
      <c r="Y109" s="35"/>
      <c r="Z109" s="35"/>
      <c r="AA109" s="35"/>
      <c r="AB109" s="35"/>
      <c r="AC109" s="35"/>
      <c r="AD109" s="35"/>
      <c r="AE109" s="35"/>
      <c r="AF109" s="35"/>
      <c r="AG109" s="35"/>
      <c r="AH109" s="35"/>
      <c r="AI109" s="35"/>
      <c r="AJ109" s="35"/>
      <c r="AK109" s="35"/>
      <c r="AL109" s="35"/>
      <c r="AM109" s="35"/>
      <c r="AN109" s="35"/>
      <c r="AO109" s="35"/>
      <c r="AP109" s="35"/>
      <c r="AQ109" s="35"/>
      <c r="AR109" s="35"/>
      <c r="AS109" s="35"/>
      <c r="AT109" s="35"/>
      <c r="AU109" s="35"/>
      <c r="AV109" s="35"/>
      <c r="AW109" s="35"/>
      <c r="AX109" s="35"/>
      <c r="AY109" s="35"/>
      <c r="AZ109" s="35"/>
      <c r="BA109" s="35"/>
      <c r="BB109" s="35"/>
      <c r="BC109" s="35"/>
      <c r="BD109" s="35"/>
      <c r="BE109" s="35"/>
      <c r="BF109" s="35"/>
      <c r="BG109" s="35"/>
      <c r="BH109" s="35"/>
      <c r="BI109" s="35"/>
      <c r="BJ109" s="35"/>
      <c r="BK109" s="35"/>
      <c r="BL109" s="35"/>
    </row>
    <row r="110" spans="1:64" ht="14">
      <c r="A110" s="36"/>
      <c r="B110" s="37"/>
      <c r="C110" s="38">
        <f t="shared" si="8"/>
        <v>0</v>
      </c>
      <c r="D110" s="39"/>
      <c r="E110" s="39"/>
      <c r="F110" s="39"/>
      <c r="G110" s="39"/>
      <c r="H110" s="40"/>
      <c r="I110" s="41"/>
      <c r="J110" s="39"/>
      <c r="K110" s="41"/>
      <c r="L110" s="41"/>
      <c r="M110" s="42" t="str">
        <f t="shared" si="9"/>
        <v/>
      </c>
      <c r="N110" s="40" t="str">
        <f t="shared" si="10"/>
        <v/>
      </c>
      <c r="O110" s="40" t="str">
        <f t="shared" si="11"/>
        <v/>
      </c>
      <c r="P110" s="43" t="str">
        <f t="shared" si="12"/>
        <v/>
      </c>
      <c r="Q110" s="44">
        <f t="shared" si="13"/>
        <v>0</v>
      </c>
      <c r="R110" s="44">
        <f t="shared" si="14"/>
        <v>0</v>
      </c>
      <c r="S110" s="43">
        <f t="shared" si="15"/>
        <v>0</v>
      </c>
      <c r="T110" s="39"/>
      <c r="U110" s="35"/>
      <c r="V110" s="35"/>
      <c r="W110" s="35"/>
      <c r="X110" s="35"/>
      <c r="Y110" s="35"/>
      <c r="Z110" s="35"/>
      <c r="AA110" s="35"/>
      <c r="AB110" s="35"/>
      <c r="AC110" s="35"/>
      <c r="AD110" s="35"/>
      <c r="AE110" s="35"/>
      <c r="AF110" s="35"/>
      <c r="AG110" s="35"/>
      <c r="AH110" s="35"/>
      <c r="AI110" s="35"/>
      <c r="AJ110" s="35"/>
      <c r="AK110" s="35"/>
      <c r="AL110" s="35"/>
      <c r="AM110" s="35"/>
      <c r="AN110" s="35"/>
      <c r="AO110" s="35"/>
      <c r="AP110" s="35"/>
      <c r="AQ110" s="35"/>
      <c r="AR110" s="35"/>
      <c r="AS110" s="35"/>
      <c r="AT110" s="35"/>
      <c r="AU110" s="35"/>
      <c r="AV110" s="35"/>
      <c r="AW110" s="35"/>
      <c r="AX110" s="35"/>
      <c r="AY110" s="35"/>
      <c r="AZ110" s="35"/>
      <c r="BA110" s="35"/>
      <c r="BB110" s="35"/>
      <c r="BC110" s="35"/>
      <c r="BD110" s="35"/>
      <c r="BE110" s="35"/>
      <c r="BF110" s="35"/>
      <c r="BG110" s="35"/>
      <c r="BH110" s="35"/>
      <c r="BI110" s="35"/>
      <c r="BJ110" s="35"/>
      <c r="BK110" s="35"/>
      <c r="BL110" s="35"/>
    </row>
    <row r="111" spans="1:64" ht="14">
      <c r="A111" s="36"/>
      <c r="B111" s="37"/>
      <c r="C111" s="38">
        <f t="shared" si="8"/>
        <v>0</v>
      </c>
      <c r="D111" s="39"/>
      <c r="E111" s="39"/>
      <c r="F111" s="39"/>
      <c r="G111" s="39"/>
      <c r="H111" s="40"/>
      <c r="I111" s="41"/>
      <c r="J111" s="39"/>
      <c r="K111" s="41"/>
      <c r="L111" s="41"/>
      <c r="M111" s="42" t="str">
        <f t="shared" si="9"/>
        <v/>
      </c>
      <c r="N111" s="40" t="str">
        <f t="shared" si="10"/>
        <v/>
      </c>
      <c r="O111" s="40" t="str">
        <f t="shared" si="11"/>
        <v/>
      </c>
      <c r="P111" s="43" t="str">
        <f t="shared" si="12"/>
        <v/>
      </c>
      <c r="Q111" s="44">
        <f t="shared" si="13"/>
        <v>0</v>
      </c>
      <c r="R111" s="44">
        <f t="shared" si="14"/>
        <v>0</v>
      </c>
      <c r="S111" s="43">
        <f t="shared" si="15"/>
        <v>0</v>
      </c>
      <c r="T111" s="39"/>
      <c r="U111" s="35"/>
      <c r="V111" s="35"/>
      <c r="W111" s="35"/>
      <c r="X111" s="35"/>
      <c r="Y111" s="35"/>
      <c r="Z111" s="35"/>
      <c r="AA111" s="35"/>
      <c r="AB111" s="35"/>
      <c r="AC111" s="35"/>
      <c r="AD111" s="35"/>
      <c r="AE111" s="35"/>
      <c r="AF111" s="35"/>
      <c r="AG111" s="35"/>
      <c r="AH111" s="35"/>
      <c r="AI111" s="35"/>
      <c r="AJ111" s="35"/>
      <c r="AK111" s="35"/>
      <c r="AL111" s="35"/>
      <c r="AM111" s="35"/>
      <c r="AN111" s="35"/>
      <c r="AO111" s="35"/>
      <c r="AP111" s="35"/>
      <c r="AQ111" s="35"/>
      <c r="AR111" s="35"/>
      <c r="AS111" s="35"/>
      <c r="AT111" s="35"/>
      <c r="AU111" s="35"/>
      <c r="AV111" s="35"/>
      <c r="AW111" s="35"/>
      <c r="AX111" s="35"/>
      <c r="AY111" s="35"/>
      <c r="AZ111" s="35"/>
      <c r="BA111" s="35"/>
      <c r="BB111" s="35"/>
      <c r="BC111" s="35"/>
      <c r="BD111" s="35"/>
      <c r="BE111" s="35"/>
      <c r="BF111" s="35"/>
      <c r="BG111" s="35"/>
      <c r="BH111" s="35"/>
      <c r="BI111" s="35"/>
      <c r="BJ111" s="35"/>
      <c r="BK111" s="35"/>
      <c r="BL111" s="35"/>
    </row>
    <row r="112" spans="1:64" ht="14">
      <c r="A112" s="36"/>
      <c r="B112" s="37"/>
      <c r="C112" s="38">
        <f t="shared" si="8"/>
        <v>0</v>
      </c>
      <c r="D112" s="39"/>
      <c r="E112" s="39"/>
      <c r="F112" s="39"/>
      <c r="G112" s="39"/>
      <c r="H112" s="40"/>
      <c r="I112" s="41"/>
      <c r="J112" s="39"/>
      <c r="K112" s="41"/>
      <c r="L112" s="41"/>
      <c r="M112" s="42" t="str">
        <f t="shared" si="9"/>
        <v/>
      </c>
      <c r="N112" s="40" t="str">
        <f t="shared" si="10"/>
        <v/>
      </c>
      <c r="O112" s="40" t="str">
        <f t="shared" si="11"/>
        <v/>
      </c>
      <c r="P112" s="43" t="str">
        <f t="shared" si="12"/>
        <v/>
      </c>
      <c r="Q112" s="44">
        <f t="shared" si="13"/>
        <v>0</v>
      </c>
      <c r="R112" s="44">
        <f t="shared" si="14"/>
        <v>0</v>
      </c>
      <c r="S112" s="43">
        <f t="shared" si="15"/>
        <v>0</v>
      </c>
      <c r="T112" s="39"/>
      <c r="U112" s="35"/>
      <c r="V112" s="35"/>
      <c r="W112" s="35"/>
      <c r="X112" s="35"/>
      <c r="Y112" s="35"/>
      <c r="Z112" s="35"/>
      <c r="AA112" s="35"/>
      <c r="AB112" s="35"/>
      <c r="AC112" s="35"/>
      <c r="AD112" s="35"/>
      <c r="AE112" s="35"/>
      <c r="AF112" s="35"/>
      <c r="AG112" s="35"/>
      <c r="AH112" s="35"/>
      <c r="AI112" s="35"/>
      <c r="AJ112" s="35"/>
      <c r="AK112" s="35"/>
      <c r="AL112" s="35"/>
      <c r="AM112" s="35"/>
      <c r="AN112" s="35"/>
      <c r="AO112" s="35"/>
      <c r="AP112" s="35"/>
      <c r="AQ112" s="35"/>
      <c r="AR112" s="35"/>
      <c r="AS112" s="35"/>
      <c r="AT112" s="35"/>
      <c r="AU112" s="35"/>
      <c r="AV112" s="35"/>
      <c r="AW112" s="35"/>
      <c r="AX112" s="35"/>
      <c r="AY112" s="35"/>
      <c r="AZ112" s="35"/>
      <c r="BA112" s="35"/>
      <c r="BB112" s="35"/>
      <c r="BC112" s="35"/>
      <c r="BD112" s="35"/>
      <c r="BE112" s="35"/>
      <c r="BF112" s="35"/>
      <c r="BG112" s="35"/>
      <c r="BH112" s="35"/>
      <c r="BI112" s="35"/>
      <c r="BJ112" s="35"/>
      <c r="BK112" s="35"/>
      <c r="BL112" s="35"/>
    </row>
    <row r="113" spans="1:64" ht="14">
      <c r="A113" s="36"/>
      <c r="B113" s="37"/>
      <c r="C113" s="38">
        <f t="shared" si="8"/>
        <v>0</v>
      </c>
      <c r="D113" s="39"/>
      <c r="E113" s="39"/>
      <c r="F113" s="39"/>
      <c r="G113" s="39"/>
      <c r="H113" s="40"/>
      <c r="I113" s="41"/>
      <c r="J113" s="39"/>
      <c r="K113" s="41"/>
      <c r="L113" s="41"/>
      <c r="M113" s="42" t="str">
        <f t="shared" si="9"/>
        <v/>
      </c>
      <c r="N113" s="40" t="str">
        <f t="shared" si="10"/>
        <v/>
      </c>
      <c r="O113" s="40" t="str">
        <f t="shared" si="11"/>
        <v/>
      </c>
      <c r="P113" s="43" t="str">
        <f t="shared" si="12"/>
        <v/>
      </c>
      <c r="Q113" s="44">
        <f t="shared" si="13"/>
        <v>0</v>
      </c>
      <c r="R113" s="44">
        <f t="shared" si="14"/>
        <v>0</v>
      </c>
      <c r="S113" s="43">
        <f t="shared" si="15"/>
        <v>0</v>
      </c>
      <c r="T113" s="39"/>
      <c r="U113" s="35"/>
      <c r="V113" s="35"/>
      <c r="W113" s="35"/>
      <c r="X113" s="35"/>
      <c r="Y113" s="35"/>
      <c r="Z113" s="35"/>
      <c r="AA113" s="35"/>
      <c r="AB113" s="35"/>
      <c r="AC113" s="35"/>
      <c r="AD113" s="35"/>
      <c r="AE113" s="35"/>
      <c r="AF113" s="35"/>
      <c r="AG113" s="35"/>
      <c r="AH113" s="35"/>
      <c r="AI113" s="35"/>
      <c r="AJ113" s="35"/>
      <c r="AK113" s="35"/>
      <c r="AL113" s="35"/>
      <c r="AM113" s="35"/>
      <c r="AN113" s="35"/>
      <c r="AO113" s="35"/>
      <c r="AP113" s="35"/>
      <c r="AQ113" s="35"/>
      <c r="AR113" s="35"/>
      <c r="AS113" s="35"/>
      <c r="AT113" s="35"/>
      <c r="AU113" s="35"/>
      <c r="AV113" s="35"/>
      <c r="AW113" s="35"/>
      <c r="AX113" s="35"/>
      <c r="AY113" s="35"/>
      <c r="AZ113" s="35"/>
      <c r="BA113" s="35"/>
      <c r="BB113" s="35"/>
      <c r="BC113" s="35"/>
      <c r="BD113" s="35"/>
      <c r="BE113" s="35"/>
      <c r="BF113" s="35"/>
      <c r="BG113" s="35"/>
      <c r="BH113" s="35"/>
      <c r="BI113" s="35"/>
      <c r="BJ113" s="35"/>
      <c r="BK113" s="35"/>
      <c r="BL113" s="35"/>
    </row>
    <row r="114" spans="1:64" ht="14">
      <c r="A114" s="36"/>
      <c r="B114" s="37"/>
      <c r="C114" s="38">
        <f t="shared" si="8"/>
        <v>0</v>
      </c>
      <c r="D114" s="39"/>
      <c r="E114" s="39"/>
      <c r="F114" s="39"/>
      <c r="G114" s="39"/>
      <c r="H114" s="40"/>
      <c r="I114" s="41"/>
      <c r="J114" s="39"/>
      <c r="K114" s="41"/>
      <c r="L114" s="41"/>
      <c r="M114" s="42" t="str">
        <f t="shared" si="9"/>
        <v/>
      </c>
      <c r="N114" s="40" t="str">
        <f t="shared" si="10"/>
        <v/>
      </c>
      <c r="O114" s="40" t="str">
        <f t="shared" si="11"/>
        <v/>
      </c>
      <c r="P114" s="43" t="str">
        <f t="shared" si="12"/>
        <v/>
      </c>
      <c r="Q114" s="44">
        <f t="shared" si="13"/>
        <v>0</v>
      </c>
      <c r="R114" s="44">
        <f t="shared" si="14"/>
        <v>0</v>
      </c>
      <c r="S114" s="43">
        <f t="shared" si="15"/>
        <v>0</v>
      </c>
      <c r="T114" s="39"/>
      <c r="U114" s="35"/>
      <c r="V114" s="35"/>
      <c r="W114" s="35"/>
      <c r="X114" s="35"/>
      <c r="Y114" s="35"/>
      <c r="Z114" s="35"/>
      <c r="AA114" s="35"/>
      <c r="AB114" s="35"/>
      <c r="AC114" s="35"/>
      <c r="AD114" s="35"/>
      <c r="AE114" s="35"/>
      <c r="AF114" s="35"/>
      <c r="AG114" s="35"/>
      <c r="AH114" s="35"/>
      <c r="AI114" s="35"/>
      <c r="AJ114" s="35"/>
      <c r="AK114" s="35"/>
      <c r="AL114" s="35"/>
      <c r="AM114" s="35"/>
      <c r="AN114" s="35"/>
      <c r="AO114" s="35"/>
      <c r="AP114" s="35"/>
      <c r="AQ114" s="35"/>
      <c r="AR114" s="35"/>
      <c r="AS114" s="35"/>
      <c r="AT114" s="35"/>
      <c r="AU114" s="35"/>
      <c r="AV114" s="35"/>
      <c r="AW114" s="35"/>
      <c r="AX114" s="35"/>
      <c r="AY114" s="35"/>
      <c r="AZ114" s="35"/>
      <c r="BA114" s="35"/>
      <c r="BB114" s="35"/>
      <c r="BC114" s="35"/>
      <c r="BD114" s="35"/>
      <c r="BE114" s="35"/>
      <c r="BF114" s="35"/>
      <c r="BG114" s="35"/>
      <c r="BH114" s="35"/>
      <c r="BI114" s="35"/>
      <c r="BJ114" s="35"/>
      <c r="BK114" s="35"/>
      <c r="BL114" s="35"/>
    </row>
    <row r="115" spans="1:64" ht="14">
      <c r="A115" s="36"/>
      <c r="B115" s="37"/>
      <c r="C115" s="38">
        <f t="shared" si="8"/>
        <v>0</v>
      </c>
      <c r="D115" s="39"/>
      <c r="E115" s="39"/>
      <c r="F115" s="39"/>
      <c r="G115" s="39"/>
      <c r="H115" s="40"/>
      <c r="I115" s="41"/>
      <c r="J115" s="39"/>
      <c r="K115" s="41"/>
      <c r="L115" s="41"/>
      <c r="M115" s="42" t="str">
        <f t="shared" si="9"/>
        <v/>
      </c>
      <c r="N115" s="40" t="str">
        <f t="shared" si="10"/>
        <v/>
      </c>
      <c r="O115" s="40" t="str">
        <f t="shared" si="11"/>
        <v/>
      </c>
      <c r="P115" s="43" t="str">
        <f t="shared" si="12"/>
        <v/>
      </c>
      <c r="Q115" s="44">
        <f t="shared" si="13"/>
        <v>0</v>
      </c>
      <c r="R115" s="44">
        <f t="shared" si="14"/>
        <v>0</v>
      </c>
      <c r="S115" s="43">
        <f t="shared" si="15"/>
        <v>0</v>
      </c>
      <c r="T115" s="39"/>
      <c r="U115" s="35"/>
      <c r="V115" s="35"/>
      <c r="W115" s="35"/>
      <c r="X115" s="35"/>
      <c r="Y115" s="35"/>
      <c r="Z115" s="35"/>
      <c r="AA115" s="35"/>
      <c r="AB115" s="35"/>
      <c r="AC115" s="35"/>
      <c r="AD115" s="35"/>
      <c r="AE115" s="35"/>
      <c r="AF115" s="35"/>
      <c r="AG115" s="35"/>
      <c r="AH115" s="35"/>
      <c r="AI115" s="35"/>
      <c r="AJ115" s="35"/>
      <c r="AK115" s="35"/>
      <c r="AL115" s="35"/>
      <c r="AM115" s="35"/>
      <c r="AN115" s="35"/>
      <c r="AO115" s="35"/>
      <c r="AP115" s="35"/>
      <c r="AQ115" s="35"/>
      <c r="AR115" s="35"/>
      <c r="AS115" s="35"/>
      <c r="AT115" s="35"/>
      <c r="AU115" s="35"/>
      <c r="AV115" s="35"/>
      <c r="AW115" s="35"/>
      <c r="AX115" s="35"/>
      <c r="AY115" s="35"/>
      <c r="AZ115" s="35"/>
      <c r="BA115" s="35"/>
      <c r="BB115" s="35"/>
      <c r="BC115" s="35"/>
      <c r="BD115" s="35"/>
      <c r="BE115" s="35"/>
      <c r="BF115" s="35"/>
      <c r="BG115" s="35"/>
      <c r="BH115" s="35"/>
      <c r="BI115" s="35"/>
      <c r="BJ115" s="35"/>
      <c r="BK115" s="35"/>
      <c r="BL115" s="35"/>
    </row>
    <row r="116" spans="1:64" ht="14">
      <c r="A116" s="36"/>
      <c r="B116" s="37"/>
      <c r="C116" s="38">
        <f t="shared" si="8"/>
        <v>0</v>
      </c>
      <c r="D116" s="39"/>
      <c r="E116" s="39"/>
      <c r="F116" s="39"/>
      <c r="G116" s="39"/>
      <c r="H116" s="40"/>
      <c r="I116" s="41"/>
      <c r="J116" s="39"/>
      <c r="K116" s="41"/>
      <c r="L116" s="41"/>
      <c r="M116" s="42" t="str">
        <f t="shared" si="9"/>
        <v/>
      </c>
      <c r="N116" s="40" t="str">
        <f t="shared" si="10"/>
        <v/>
      </c>
      <c r="O116" s="40" t="str">
        <f t="shared" si="11"/>
        <v/>
      </c>
      <c r="P116" s="43" t="str">
        <f t="shared" si="12"/>
        <v/>
      </c>
      <c r="Q116" s="44">
        <f t="shared" si="13"/>
        <v>0</v>
      </c>
      <c r="R116" s="44">
        <f t="shared" si="14"/>
        <v>0</v>
      </c>
      <c r="S116" s="43">
        <f t="shared" si="15"/>
        <v>0</v>
      </c>
      <c r="T116" s="39"/>
      <c r="U116" s="35"/>
      <c r="V116" s="35"/>
      <c r="W116" s="35"/>
      <c r="X116" s="35"/>
      <c r="Y116" s="35"/>
      <c r="Z116" s="35"/>
      <c r="AA116" s="35"/>
      <c r="AB116" s="35"/>
      <c r="AC116" s="35"/>
      <c r="AD116" s="35"/>
      <c r="AE116" s="35"/>
      <c r="AF116" s="35"/>
      <c r="AG116" s="35"/>
      <c r="AH116" s="35"/>
      <c r="AI116" s="35"/>
      <c r="AJ116" s="35"/>
      <c r="AK116" s="35"/>
      <c r="AL116" s="35"/>
      <c r="AM116" s="35"/>
      <c r="AN116" s="35"/>
      <c r="AO116" s="35"/>
      <c r="AP116" s="35"/>
      <c r="AQ116" s="35"/>
      <c r="AR116" s="35"/>
      <c r="AS116" s="35"/>
      <c r="AT116" s="35"/>
      <c r="AU116" s="35"/>
      <c r="AV116" s="35"/>
      <c r="AW116" s="35"/>
      <c r="AX116" s="35"/>
      <c r="AY116" s="35"/>
      <c r="AZ116" s="35"/>
      <c r="BA116" s="35"/>
      <c r="BB116" s="35"/>
      <c r="BC116" s="35"/>
      <c r="BD116" s="35"/>
      <c r="BE116" s="35"/>
      <c r="BF116" s="35"/>
      <c r="BG116" s="35"/>
      <c r="BH116" s="35"/>
      <c r="BI116" s="35"/>
      <c r="BJ116" s="35"/>
      <c r="BK116" s="35"/>
      <c r="BL116" s="35"/>
    </row>
    <row r="117" spans="1:64" ht="14">
      <c r="A117" s="36"/>
      <c r="B117" s="37"/>
      <c r="C117" s="38">
        <f t="shared" si="8"/>
        <v>0</v>
      </c>
      <c r="D117" s="39"/>
      <c r="E117" s="39"/>
      <c r="F117" s="39"/>
      <c r="G117" s="39"/>
      <c r="H117" s="40"/>
      <c r="I117" s="41"/>
      <c r="J117" s="39"/>
      <c r="K117" s="41"/>
      <c r="L117" s="41"/>
      <c r="M117" s="42" t="str">
        <f t="shared" si="9"/>
        <v/>
      </c>
      <c r="N117" s="40" t="str">
        <f t="shared" si="10"/>
        <v/>
      </c>
      <c r="O117" s="40" t="str">
        <f t="shared" si="11"/>
        <v/>
      </c>
      <c r="P117" s="43" t="str">
        <f t="shared" si="12"/>
        <v/>
      </c>
      <c r="Q117" s="44">
        <f t="shared" si="13"/>
        <v>0</v>
      </c>
      <c r="R117" s="44">
        <f t="shared" si="14"/>
        <v>0</v>
      </c>
      <c r="S117" s="43">
        <f t="shared" si="15"/>
        <v>0</v>
      </c>
      <c r="T117" s="39"/>
      <c r="U117" s="35"/>
      <c r="V117" s="35"/>
      <c r="W117" s="35"/>
      <c r="X117" s="35"/>
      <c r="Y117" s="35"/>
      <c r="Z117" s="35"/>
      <c r="AA117" s="35"/>
      <c r="AB117" s="35"/>
      <c r="AC117" s="35"/>
      <c r="AD117" s="35"/>
      <c r="AE117" s="35"/>
      <c r="AF117" s="35"/>
      <c r="AG117" s="35"/>
      <c r="AH117" s="35"/>
      <c r="AI117" s="35"/>
      <c r="AJ117" s="35"/>
      <c r="AK117" s="35"/>
      <c r="AL117" s="35"/>
      <c r="AM117" s="35"/>
      <c r="AN117" s="35"/>
      <c r="AO117" s="35"/>
      <c r="AP117" s="35"/>
      <c r="AQ117" s="35"/>
      <c r="AR117" s="35"/>
      <c r="AS117" s="35"/>
      <c r="AT117" s="35"/>
      <c r="AU117" s="35"/>
      <c r="AV117" s="35"/>
      <c r="AW117" s="35"/>
      <c r="AX117" s="35"/>
      <c r="AY117" s="35"/>
      <c r="AZ117" s="35"/>
      <c r="BA117" s="35"/>
      <c r="BB117" s="35"/>
      <c r="BC117" s="35"/>
      <c r="BD117" s="35"/>
      <c r="BE117" s="35"/>
      <c r="BF117" s="35"/>
      <c r="BG117" s="35"/>
      <c r="BH117" s="35"/>
      <c r="BI117" s="35"/>
      <c r="BJ117" s="35"/>
      <c r="BK117" s="35"/>
      <c r="BL117" s="35"/>
    </row>
    <row r="118" spans="1:64" ht="14">
      <c r="A118" s="36"/>
      <c r="B118" s="37"/>
      <c r="C118" s="38">
        <f t="shared" si="8"/>
        <v>0</v>
      </c>
      <c r="D118" s="39"/>
      <c r="E118" s="39"/>
      <c r="F118" s="39"/>
      <c r="G118" s="39"/>
      <c r="H118" s="40"/>
      <c r="I118" s="41"/>
      <c r="J118" s="39"/>
      <c r="K118" s="41"/>
      <c r="L118" s="41"/>
      <c r="M118" s="42" t="str">
        <f t="shared" si="9"/>
        <v/>
      </c>
      <c r="N118" s="40" t="str">
        <f t="shared" si="10"/>
        <v/>
      </c>
      <c r="O118" s="40" t="str">
        <f t="shared" si="11"/>
        <v/>
      </c>
      <c r="P118" s="43" t="str">
        <f t="shared" si="12"/>
        <v/>
      </c>
      <c r="Q118" s="44">
        <f t="shared" si="13"/>
        <v>0</v>
      </c>
      <c r="R118" s="44">
        <f t="shared" si="14"/>
        <v>0</v>
      </c>
      <c r="S118" s="43">
        <f t="shared" si="15"/>
        <v>0</v>
      </c>
      <c r="T118" s="39"/>
      <c r="U118" s="35"/>
      <c r="V118" s="35"/>
      <c r="W118" s="35"/>
      <c r="X118" s="35"/>
      <c r="Y118" s="35"/>
      <c r="Z118" s="35"/>
      <c r="AA118" s="35"/>
      <c r="AB118" s="35"/>
      <c r="AC118" s="35"/>
      <c r="AD118" s="35"/>
      <c r="AE118" s="35"/>
      <c r="AF118" s="35"/>
      <c r="AG118" s="35"/>
      <c r="AH118" s="35"/>
      <c r="AI118" s="35"/>
      <c r="AJ118" s="35"/>
      <c r="AK118" s="35"/>
      <c r="AL118" s="35"/>
      <c r="AM118" s="35"/>
      <c r="AN118" s="35"/>
      <c r="AO118" s="35"/>
      <c r="AP118" s="35"/>
      <c r="AQ118" s="35"/>
      <c r="AR118" s="35"/>
      <c r="AS118" s="35"/>
      <c r="AT118" s="35"/>
      <c r="AU118" s="35"/>
      <c r="AV118" s="35"/>
      <c r="AW118" s="35"/>
      <c r="AX118" s="35"/>
      <c r="AY118" s="35"/>
      <c r="AZ118" s="35"/>
      <c r="BA118" s="35"/>
      <c r="BB118" s="35"/>
      <c r="BC118" s="35"/>
      <c r="BD118" s="35"/>
      <c r="BE118" s="35"/>
      <c r="BF118" s="35"/>
      <c r="BG118" s="35"/>
      <c r="BH118" s="35"/>
      <c r="BI118" s="35"/>
      <c r="BJ118" s="35"/>
      <c r="BK118" s="35"/>
      <c r="BL118" s="35"/>
    </row>
    <row r="119" spans="1:64" ht="14">
      <c r="A119" s="36"/>
      <c r="B119" s="37"/>
      <c r="C119" s="38">
        <f t="shared" si="8"/>
        <v>0</v>
      </c>
      <c r="D119" s="39"/>
      <c r="E119" s="39"/>
      <c r="F119" s="39"/>
      <c r="G119" s="39"/>
      <c r="H119" s="40"/>
      <c r="I119" s="41"/>
      <c r="J119" s="39"/>
      <c r="K119" s="41"/>
      <c r="L119" s="41"/>
      <c r="M119" s="42" t="str">
        <f t="shared" si="9"/>
        <v/>
      </c>
      <c r="N119" s="40" t="str">
        <f t="shared" si="10"/>
        <v/>
      </c>
      <c r="O119" s="40" t="str">
        <f t="shared" si="11"/>
        <v/>
      </c>
      <c r="P119" s="43" t="str">
        <f t="shared" si="12"/>
        <v/>
      </c>
      <c r="Q119" s="44">
        <f t="shared" si="13"/>
        <v>0</v>
      </c>
      <c r="R119" s="44">
        <f t="shared" si="14"/>
        <v>0</v>
      </c>
      <c r="S119" s="43">
        <f t="shared" si="15"/>
        <v>0</v>
      </c>
      <c r="T119" s="39"/>
      <c r="U119" s="35"/>
      <c r="V119" s="35"/>
      <c r="W119" s="35"/>
      <c r="X119" s="35"/>
      <c r="Y119" s="35"/>
      <c r="Z119" s="35"/>
      <c r="AA119" s="35"/>
      <c r="AB119" s="35"/>
      <c r="AC119" s="35"/>
      <c r="AD119" s="35"/>
      <c r="AE119" s="35"/>
      <c r="AF119" s="35"/>
      <c r="AG119" s="35"/>
      <c r="AH119" s="35"/>
      <c r="AI119" s="35"/>
      <c r="AJ119" s="35"/>
      <c r="AK119" s="35"/>
      <c r="AL119" s="35"/>
      <c r="AM119" s="35"/>
      <c r="AN119" s="35"/>
      <c r="AO119" s="35"/>
      <c r="AP119" s="35"/>
      <c r="AQ119" s="35"/>
      <c r="AR119" s="35"/>
      <c r="AS119" s="35"/>
      <c r="AT119" s="35"/>
      <c r="AU119" s="35"/>
      <c r="AV119" s="35"/>
      <c r="AW119" s="35"/>
      <c r="AX119" s="35"/>
      <c r="AY119" s="35"/>
      <c r="AZ119" s="35"/>
      <c r="BA119" s="35"/>
      <c r="BB119" s="35"/>
      <c r="BC119" s="35"/>
      <c r="BD119" s="35"/>
      <c r="BE119" s="35"/>
      <c r="BF119" s="35"/>
      <c r="BG119" s="35"/>
      <c r="BH119" s="35"/>
      <c r="BI119" s="35"/>
      <c r="BJ119" s="35"/>
      <c r="BK119" s="35"/>
      <c r="BL119" s="35"/>
    </row>
    <row r="120" spans="1:64" ht="14">
      <c r="A120" s="36"/>
      <c r="B120" s="37"/>
      <c r="C120" s="38">
        <f t="shared" si="8"/>
        <v>0</v>
      </c>
      <c r="D120" s="39"/>
      <c r="E120" s="39"/>
      <c r="F120" s="39"/>
      <c r="G120" s="39"/>
      <c r="H120" s="40"/>
      <c r="I120" s="41"/>
      <c r="J120" s="39"/>
      <c r="K120" s="41"/>
      <c r="L120" s="41"/>
      <c r="M120" s="42" t="str">
        <f t="shared" si="9"/>
        <v/>
      </c>
      <c r="N120" s="40" t="str">
        <f t="shared" si="10"/>
        <v/>
      </c>
      <c r="O120" s="40" t="str">
        <f t="shared" si="11"/>
        <v/>
      </c>
      <c r="P120" s="43" t="str">
        <f t="shared" si="12"/>
        <v/>
      </c>
      <c r="Q120" s="44">
        <f t="shared" si="13"/>
        <v>0</v>
      </c>
      <c r="R120" s="44">
        <f t="shared" si="14"/>
        <v>0</v>
      </c>
      <c r="S120" s="43">
        <f t="shared" si="15"/>
        <v>0</v>
      </c>
      <c r="T120" s="39"/>
      <c r="U120" s="35"/>
      <c r="V120" s="35"/>
      <c r="W120" s="35"/>
      <c r="X120" s="35"/>
      <c r="Y120" s="35"/>
      <c r="Z120" s="35"/>
      <c r="AA120" s="35"/>
      <c r="AB120" s="35"/>
      <c r="AC120" s="35"/>
      <c r="AD120" s="35"/>
      <c r="AE120" s="35"/>
      <c r="AF120" s="35"/>
      <c r="AG120" s="35"/>
      <c r="AH120" s="35"/>
      <c r="AI120" s="35"/>
      <c r="AJ120" s="35"/>
      <c r="AK120" s="35"/>
      <c r="AL120" s="35"/>
      <c r="AM120" s="35"/>
      <c r="AN120" s="35"/>
      <c r="AO120" s="35"/>
      <c r="AP120" s="35"/>
      <c r="AQ120" s="35"/>
      <c r="AR120" s="35"/>
      <c r="AS120" s="35"/>
      <c r="AT120" s="35"/>
      <c r="AU120" s="35"/>
      <c r="AV120" s="35"/>
      <c r="AW120" s="35"/>
      <c r="AX120" s="35"/>
      <c r="AY120" s="35"/>
      <c r="AZ120" s="35"/>
      <c r="BA120" s="35"/>
      <c r="BB120" s="35"/>
      <c r="BC120" s="35"/>
      <c r="BD120" s="35"/>
      <c r="BE120" s="35"/>
      <c r="BF120" s="35"/>
      <c r="BG120" s="35"/>
      <c r="BH120" s="35"/>
      <c r="BI120" s="35"/>
      <c r="BJ120" s="35"/>
      <c r="BK120" s="35"/>
      <c r="BL120" s="35"/>
    </row>
    <row r="121" spans="1:64" ht="14">
      <c r="A121" s="36"/>
      <c r="B121" s="37"/>
      <c r="C121" s="38">
        <f t="shared" si="8"/>
        <v>0</v>
      </c>
      <c r="D121" s="39"/>
      <c r="E121" s="39"/>
      <c r="F121" s="39"/>
      <c r="G121" s="39"/>
      <c r="H121" s="40"/>
      <c r="I121" s="41"/>
      <c r="J121" s="39"/>
      <c r="K121" s="41"/>
      <c r="L121" s="41"/>
      <c r="M121" s="42" t="str">
        <f t="shared" si="9"/>
        <v/>
      </c>
      <c r="N121" s="40" t="str">
        <f t="shared" si="10"/>
        <v/>
      </c>
      <c r="O121" s="40" t="str">
        <f t="shared" si="11"/>
        <v/>
      </c>
      <c r="P121" s="43" t="str">
        <f t="shared" si="12"/>
        <v/>
      </c>
      <c r="Q121" s="44">
        <f t="shared" si="13"/>
        <v>0</v>
      </c>
      <c r="R121" s="44">
        <f t="shared" si="14"/>
        <v>0</v>
      </c>
      <c r="S121" s="43">
        <f t="shared" si="15"/>
        <v>0</v>
      </c>
      <c r="T121" s="39"/>
      <c r="U121" s="35"/>
      <c r="V121" s="35"/>
      <c r="W121" s="35"/>
      <c r="X121" s="35"/>
      <c r="Y121" s="35"/>
      <c r="Z121" s="35"/>
      <c r="AA121" s="35"/>
      <c r="AB121" s="35"/>
      <c r="AC121" s="35"/>
      <c r="AD121" s="35"/>
      <c r="AE121" s="35"/>
      <c r="AF121" s="35"/>
      <c r="AG121" s="35"/>
      <c r="AH121" s="35"/>
      <c r="AI121" s="35"/>
      <c r="AJ121" s="35"/>
      <c r="AK121" s="35"/>
      <c r="AL121" s="35"/>
      <c r="AM121" s="35"/>
      <c r="AN121" s="35"/>
      <c r="AO121" s="35"/>
      <c r="AP121" s="35"/>
      <c r="AQ121" s="35"/>
      <c r="AR121" s="35"/>
      <c r="AS121" s="35"/>
      <c r="AT121" s="35"/>
      <c r="AU121" s="35"/>
      <c r="AV121" s="35"/>
      <c r="AW121" s="35"/>
      <c r="AX121" s="35"/>
      <c r="AY121" s="35"/>
      <c r="AZ121" s="35"/>
      <c r="BA121" s="35"/>
      <c r="BB121" s="35"/>
      <c r="BC121" s="35"/>
      <c r="BD121" s="35"/>
      <c r="BE121" s="35"/>
      <c r="BF121" s="35"/>
      <c r="BG121" s="35"/>
      <c r="BH121" s="35"/>
      <c r="BI121" s="35"/>
      <c r="BJ121" s="35"/>
      <c r="BK121" s="35"/>
      <c r="BL121" s="35"/>
    </row>
    <row r="122" spans="1:64" ht="14">
      <c r="A122" s="36"/>
      <c r="B122" s="37"/>
      <c r="C122" s="38">
        <f t="shared" si="8"/>
        <v>0</v>
      </c>
      <c r="D122" s="39"/>
      <c r="E122" s="39"/>
      <c r="F122" s="39"/>
      <c r="G122" s="39"/>
      <c r="H122" s="40"/>
      <c r="I122" s="41"/>
      <c r="J122" s="39"/>
      <c r="K122" s="41"/>
      <c r="L122" s="41"/>
      <c r="M122" s="42" t="str">
        <f t="shared" si="9"/>
        <v/>
      </c>
      <c r="N122" s="40" t="str">
        <f t="shared" si="10"/>
        <v/>
      </c>
      <c r="O122" s="40" t="str">
        <f t="shared" si="11"/>
        <v/>
      </c>
      <c r="P122" s="43" t="str">
        <f t="shared" si="12"/>
        <v/>
      </c>
      <c r="Q122" s="44">
        <f t="shared" si="13"/>
        <v>0</v>
      </c>
      <c r="R122" s="44">
        <f t="shared" si="14"/>
        <v>0</v>
      </c>
      <c r="S122" s="43">
        <f t="shared" si="15"/>
        <v>0</v>
      </c>
      <c r="T122" s="39"/>
      <c r="U122" s="35"/>
      <c r="V122" s="35"/>
      <c r="W122" s="35"/>
      <c r="X122" s="35"/>
      <c r="Y122" s="35"/>
      <c r="Z122" s="35"/>
      <c r="AA122" s="35"/>
      <c r="AB122" s="35"/>
      <c r="AC122" s="35"/>
      <c r="AD122" s="35"/>
      <c r="AE122" s="35"/>
      <c r="AF122" s="35"/>
      <c r="AG122" s="35"/>
      <c r="AH122" s="35"/>
      <c r="AI122" s="35"/>
      <c r="AJ122" s="35"/>
      <c r="AK122" s="35"/>
      <c r="AL122" s="35"/>
      <c r="AM122" s="35"/>
      <c r="AN122" s="35"/>
      <c r="AO122" s="35"/>
      <c r="AP122" s="35"/>
      <c r="AQ122" s="35"/>
      <c r="AR122" s="35"/>
      <c r="AS122" s="35"/>
      <c r="AT122" s="35"/>
      <c r="AU122" s="35"/>
      <c r="AV122" s="35"/>
      <c r="AW122" s="35"/>
      <c r="AX122" s="35"/>
      <c r="AY122" s="35"/>
      <c r="AZ122" s="35"/>
      <c r="BA122" s="35"/>
      <c r="BB122" s="35"/>
      <c r="BC122" s="35"/>
      <c r="BD122" s="35"/>
      <c r="BE122" s="35"/>
      <c r="BF122" s="35"/>
      <c r="BG122" s="35"/>
      <c r="BH122" s="35"/>
      <c r="BI122" s="35"/>
      <c r="BJ122" s="35"/>
      <c r="BK122" s="35"/>
      <c r="BL122" s="35"/>
    </row>
    <row r="123" spans="1:64" ht="14">
      <c r="A123" s="36"/>
      <c r="B123" s="37"/>
      <c r="C123" s="38">
        <f t="shared" si="8"/>
        <v>0</v>
      </c>
      <c r="D123" s="39"/>
      <c r="E123" s="39"/>
      <c r="F123" s="39"/>
      <c r="G123" s="39"/>
      <c r="H123" s="40"/>
      <c r="I123" s="41"/>
      <c r="J123" s="39"/>
      <c r="K123" s="41"/>
      <c r="L123" s="41"/>
      <c r="M123" s="42" t="str">
        <f t="shared" si="9"/>
        <v/>
      </c>
      <c r="N123" s="40" t="str">
        <f t="shared" si="10"/>
        <v/>
      </c>
      <c r="O123" s="40" t="str">
        <f t="shared" si="11"/>
        <v/>
      </c>
      <c r="P123" s="43" t="str">
        <f t="shared" si="12"/>
        <v/>
      </c>
      <c r="Q123" s="44">
        <f t="shared" si="13"/>
        <v>0</v>
      </c>
      <c r="R123" s="44">
        <f t="shared" si="14"/>
        <v>0</v>
      </c>
      <c r="S123" s="43">
        <f t="shared" si="15"/>
        <v>0</v>
      </c>
      <c r="T123" s="39"/>
      <c r="U123" s="35"/>
      <c r="V123" s="35"/>
      <c r="W123" s="35"/>
      <c r="X123" s="35"/>
      <c r="Y123" s="35"/>
      <c r="Z123" s="35"/>
      <c r="AA123" s="35"/>
      <c r="AB123" s="35"/>
      <c r="AC123" s="35"/>
      <c r="AD123" s="35"/>
      <c r="AE123" s="35"/>
      <c r="AF123" s="35"/>
      <c r="AG123" s="35"/>
      <c r="AH123" s="35"/>
      <c r="AI123" s="35"/>
      <c r="AJ123" s="35"/>
      <c r="AK123" s="35"/>
      <c r="AL123" s="35"/>
      <c r="AM123" s="35"/>
      <c r="AN123" s="35"/>
      <c r="AO123" s="35"/>
      <c r="AP123" s="35"/>
      <c r="AQ123" s="35"/>
      <c r="AR123" s="35"/>
      <c r="AS123" s="35"/>
      <c r="AT123" s="35"/>
      <c r="AU123" s="35"/>
      <c r="AV123" s="35"/>
      <c r="AW123" s="35"/>
      <c r="AX123" s="35"/>
      <c r="AY123" s="35"/>
      <c r="AZ123" s="35"/>
      <c r="BA123" s="35"/>
      <c r="BB123" s="35"/>
      <c r="BC123" s="35"/>
      <c r="BD123" s="35"/>
      <c r="BE123" s="35"/>
      <c r="BF123" s="35"/>
      <c r="BG123" s="35"/>
      <c r="BH123" s="35"/>
      <c r="BI123" s="35"/>
      <c r="BJ123" s="35"/>
      <c r="BK123" s="35"/>
      <c r="BL123" s="35"/>
    </row>
    <row r="124" spans="1:64" ht="14">
      <c r="A124" s="36"/>
      <c r="B124" s="37"/>
      <c r="C124" s="38">
        <f t="shared" si="8"/>
        <v>0</v>
      </c>
      <c r="D124" s="39"/>
      <c r="E124" s="39"/>
      <c r="F124" s="39"/>
      <c r="G124" s="39"/>
      <c r="H124" s="40"/>
      <c r="I124" s="41"/>
      <c r="J124" s="39"/>
      <c r="K124" s="41"/>
      <c r="L124" s="41"/>
      <c r="M124" s="42" t="str">
        <f t="shared" si="9"/>
        <v/>
      </c>
      <c r="N124" s="40" t="str">
        <f t="shared" si="10"/>
        <v/>
      </c>
      <c r="O124" s="40" t="str">
        <f t="shared" si="11"/>
        <v/>
      </c>
      <c r="P124" s="43" t="str">
        <f t="shared" si="12"/>
        <v/>
      </c>
      <c r="Q124" s="44">
        <f t="shared" si="13"/>
        <v>0</v>
      </c>
      <c r="R124" s="44">
        <f t="shared" si="14"/>
        <v>0</v>
      </c>
      <c r="S124" s="43">
        <f t="shared" si="15"/>
        <v>0</v>
      </c>
      <c r="T124" s="39"/>
      <c r="U124" s="35"/>
      <c r="V124" s="35"/>
      <c r="W124" s="35"/>
      <c r="X124" s="35"/>
      <c r="Y124" s="35"/>
      <c r="Z124" s="35"/>
      <c r="AA124" s="35"/>
      <c r="AB124" s="35"/>
      <c r="AC124" s="35"/>
      <c r="AD124" s="35"/>
      <c r="AE124" s="35"/>
      <c r="AF124" s="35"/>
      <c r="AG124" s="35"/>
      <c r="AH124" s="35"/>
      <c r="AI124" s="35"/>
      <c r="AJ124" s="35"/>
      <c r="AK124" s="35"/>
      <c r="AL124" s="35"/>
      <c r="AM124" s="35"/>
      <c r="AN124" s="35"/>
      <c r="AO124" s="35"/>
      <c r="AP124" s="35"/>
      <c r="AQ124" s="35"/>
      <c r="AR124" s="35"/>
      <c r="AS124" s="35"/>
      <c r="AT124" s="35"/>
      <c r="AU124" s="35"/>
      <c r="AV124" s="35"/>
      <c r="AW124" s="35"/>
      <c r="AX124" s="35"/>
      <c r="AY124" s="35"/>
      <c r="AZ124" s="35"/>
      <c r="BA124" s="35"/>
      <c r="BB124" s="35"/>
      <c r="BC124" s="35"/>
      <c r="BD124" s="35"/>
      <c r="BE124" s="35"/>
      <c r="BF124" s="35"/>
      <c r="BG124" s="35"/>
      <c r="BH124" s="35"/>
      <c r="BI124" s="35"/>
      <c r="BJ124" s="35"/>
      <c r="BK124" s="35"/>
      <c r="BL124" s="35"/>
    </row>
    <row r="125" spans="1:64" ht="14">
      <c r="A125" s="36"/>
      <c r="B125" s="37"/>
      <c r="C125" s="38">
        <f t="shared" si="8"/>
        <v>0</v>
      </c>
      <c r="D125" s="39"/>
      <c r="E125" s="39"/>
      <c r="F125" s="39"/>
      <c r="G125" s="39"/>
      <c r="H125" s="40"/>
      <c r="I125" s="41"/>
      <c r="J125" s="39"/>
      <c r="K125" s="41"/>
      <c r="L125" s="41"/>
      <c r="M125" s="42" t="str">
        <f t="shared" si="9"/>
        <v/>
      </c>
      <c r="N125" s="40" t="str">
        <f t="shared" si="10"/>
        <v/>
      </c>
      <c r="O125" s="40" t="str">
        <f t="shared" si="11"/>
        <v/>
      </c>
      <c r="P125" s="43" t="str">
        <f t="shared" si="12"/>
        <v/>
      </c>
      <c r="Q125" s="44">
        <f t="shared" si="13"/>
        <v>0</v>
      </c>
      <c r="R125" s="44">
        <f t="shared" si="14"/>
        <v>0</v>
      </c>
      <c r="S125" s="43">
        <f t="shared" si="15"/>
        <v>0</v>
      </c>
      <c r="T125" s="39"/>
      <c r="U125" s="35"/>
      <c r="V125" s="35"/>
      <c r="W125" s="35"/>
      <c r="X125" s="35"/>
      <c r="Y125" s="35"/>
      <c r="Z125" s="35"/>
      <c r="AA125" s="35"/>
      <c r="AB125" s="35"/>
      <c r="AC125" s="35"/>
      <c r="AD125" s="35"/>
      <c r="AE125" s="35"/>
      <c r="AF125" s="35"/>
      <c r="AG125" s="35"/>
      <c r="AH125" s="35"/>
      <c r="AI125" s="35"/>
      <c r="AJ125" s="35"/>
      <c r="AK125" s="35"/>
      <c r="AL125" s="35"/>
      <c r="AM125" s="35"/>
      <c r="AN125" s="35"/>
      <c r="AO125" s="35"/>
      <c r="AP125" s="35"/>
      <c r="AQ125" s="35"/>
      <c r="AR125" s="35"/>
      <c r="AS125" s="35"/>
      <c r="AT125" s="35"/>
      <c r="AU125" s="35"/>
      <c r="AV125" s="35"/>
      <c r="AW125" s="35"/>
      <c r="AX125" s="35"/>
      <c r="AY125" s="35"/>
      <c r="AZ125" s="35"/>
      <c r="BA125" s="35"/>
      <c r="BB125" s="35"/>
      <c r="BC125" s="35"/>
      <c r="BD125" s="35"/>
      <c r="BE125" s="35"/>
      <c r="BF125" s="35"/>
      <c r="BG125" s="35"/>
      <c r="BH125" s="35"/>
      <c r="BI125" s="35"/>
      <c r="BJ125" s="35"/>
      <c r="BK125" s="35"/>
      <c r="BL125" s="35"/>
    </row>
    <row r="126" spans="1:64" ht="14">
      <c r="A126" s="36"/>
      <c r="B126" s="37"/>
      <c r="C126" s="38">
        <f t="shared" si="8"/>
        <v>0</v>
      </c>
      <c r="D126" s="39"/>
      <c r="E126" s="39"/>
      <c r="F126" s="39"/>
      <c r="G126" s="39"/>
      <c r="H126" s="40"/>
      <c r="I126" s="41"/>
      <c r="J126" s="39"/>
      <c r="K126" s="41"/>
      <c r="L126" s="41"/>
      <c r="M126" s="42" t="str">
        <f t="shared" si="9"/>
        <v/>
      </c>
      <c r="N126" s="40" t="str">
        <f t="shared" si="10"/>
        <v/>
      </c>
      <c r="O126" s="40" t="str">
        <f t="shared" si="11"/>
        <v/>
      </c>
      <c r="P126" s="43" t="str">
        <f t="shared" si="12"/>
        <v/>
      </c>
      <c r="Q126" s="44">
        <f t="shared" si="13"/>
        <v>0</v>
      </c>
      <c r="R126" s="44">
        <f t="shared" si="14"/>
        <v>0</v>
      </c>
      <c r="S126" s="43">
        <f t="shared" si="15"/>
        <v>0</v>
      </c>
      <c r="T126" s="39"/>
      <c r="U126" s="35"/>
      <c r="V126" s="35"/>
      <c r="W126" s="35"/>
      <c r="X126" s="35"/>
      <c r="Y126" s="35"/>
      <c r="Z126" s="35"/>
      <c r="AA126" s="35"/>
      <c r="AB126" s="35"/>
      <c r="AC126" s="35"/>
      <c r="AD126" s="35"/>
      <c r="AE126" s="35"/>
      <c r="AF126" s="35"/>
      <c r="AG126" s="35"/>
      <c r="AH126" s="35"/>
      <c r="AI126" s="35"/>
      <c r="AJ126" s="35"/>
      <c r="AK126" s="35"/>
      <c r="AL126" s="35"/>
      <c r="AM126" s="35"/>
      <c r="AN126" s="35"/>
      <c r="AO126" s="35"/>
      <c r="AP126" s="35"/>
      <c r="AQ126" s="35"/>
      <c r="AR126" s="35"/>
      <c r="AS126" s="35"/>
      <c r="AT126" s="35"/>
      <c r="AU126" s="35"/>
      <c r="AV126" s="35"/>
      <c r="AW126" s="35"/>
      <c r="AX126" s="35"/>
      <c r="AY126" s="35"/>
      <c r="AZ126" s="35"/>
      <c r="BA126" s="35"/>
      <c r="BB126" s="35"/>
      <c r="BC126" s="35"/>
      <c r="BD126" s="35"/>
      <c r="BE126" s="35"/>
      <c r="BF126" s="35"/>
      <c r="BG126" s="35"/>
      <c r="BH126" s="35"/>
      <c r="BI126" s="35"/>
      <c r="BJ126" s="35"/>
      <c r="BK126" s="35"/>
      <c r="BL126" s="35"/>
    </row>
    <row r="127" spans="1:64" ht="14">
      <c r="A127" s="36"/>
      <c r="B127" s="37"/>
      <c r="C127" s="38">
        <f t="shared" si="8"/>
        <v>0</v>
      </c>
      <c r="D127" s="39"/>
      <c r="E127" s="39"/>
      <c r="F127" s="39"/>
      <c r="G127" s="39"/>
      <c r="H127" s="40"/>
      <c r="I127" s="41"/>
      <c r="J127" s="39"/>
      <c r="K127" s="41"/>
      <c r="L127" s="41"/>
      <c r="M127" s="42" t="str">
        <f t="shared" si="9"/>
        <v/>
      </c>
      <c r="N127" s="40" t="str">
        <f t="shared" si="10"/>
        <v/>
      </c>
      <c r="O127" s="40" t="str">
        <f t="shared" si="11"/>
        <v/>
      </c>
      <c r="P127" s="43" t="str">
        <f t="shared" si="12"/>
        <v/>
      </c>
      <c r="Q127" s="44">
        <f t="shared" si="13"/>
        <v>0</v>
      </c>
      <c r="R127" s="44">
        <f t="shared" si="14"/>
        <v>0</v>
      </c>
      <c r="S127" s="43">
        <f t="shared" si="15"/>
        <v>0</v>
      </c>
      <c r="T127" s="39"/>
      <c r="U127" s="35"/>
      <c r="V127" s="35"/>
      <c r="W127" s="35"/>
      <c r="X127" s="35"/>
      <c r="Y127" s="35"/>
      <c r="Z127" s="35"/>
      <c r="AA127" s="35"/>
      <c r="AB127" s="35"/>
      <c r="AC127" s="35"/>
      <c r="AD127" s="35"/>
      <c r="AE127" s="35"/>
      <c r="AF127" s="35"/>
      <c r="AG127" s="35"/>
      <c r="AH127" s="35"/>
      <c r="AI127" s="35"/>
      <c r="AJ127" s="35"/>
      <c r="AK127" s="35"/>
      <c r="AL127" s="35"/>
      <c r="AM127" s="35"/>
      <c r="AN127" s="35"/>
      <c r="AO127" s="35"/>
      <c r="AP127" s="35"/>
      <c r="AQ127" s="35"/>
      <c r="AR127" s="35"/>
      <c r="AS127" s="35"/>
      <c r="AT127" s="35"/>
      <c r="AU127" s="35"/>
      <c r="AV127" s="35"/>
      <c r="AW127" s="35"/>
      <c r="AX127" s="35"/>
      <c r="AY127" s="35"/>
      <c r="AZ127" s="35"/>
      <c r="BA127" s="35"/>
      <c r="BB127" s="35"/>
      <c r="BC127" s="35"/>
      <c r="BD127" s="35"/>
      <c r="BE127" s="35"/>
      <c r="BF127" s="35"/>
      <c r="BG127" s="35"/>
      <c r="BH127" s="35"/>
      <c r="BI127" s="35"/>
      <c r="BJ127" s="35"/>
      <c r="BK127" s="35"/>
      <c r="BL127" s="35"/>
    </row>
    <row r="128" spans="1:64" ht="14">
      <c r="A128" s="36"/>
      <c r="B128" s="37"/>
      <c r="C128" s="38">
        <f t="shared" si="8"/>
        <v>0</v>
      </c>
      <c r="D128" s="39"/>
      <c r="E128" s="39"/>
      <c r="F128" s="39"/>
      <c r="G128" s="39"/>
      <c r="H128" s="40"/>
      <c r="I128" s="41"/>
      <c r="J128" s="39"/>
      <c r="K128" s="41"/>
      <c r="L128" s="41"/>
      <c r="M128" s="42" t="str">
        <f t="shared" si="9"/>
        <v/>
      </c>
      <c r="N128" s="40" t="str">
        <f t="shared" si="10"/>
        <v/>
      </c>
      <c r="O128" s="40" t="str">
        <f t="shared" si="11"/>
        <v/>
      </c>
      <c r="P128" s="43" t="str">
        <f t="shared" si="12"/>
        <v/>
      </c>
      <c r="Q128" s="44">
        <f t="shared" si="13"/>
        <v>0</v>
      </c>
      <c r="R128" s="44">
        <f t="shared" si="14"/>
        <v>0</v>
      </c>
      <c r="S128" s="43">
        <f t="shared" si="15"/>
        <v>0</v>
      </c>
      <c r="T128" s="39"/>
      <c r="U128" s="35"/>
      <c r="V128" s="35"/>
      <c r="W128" s="35"/>
      <c r="X128" s="35"/>
      <c r="Y128" s="35"/>
      <c r="Z128" s="35"/>
      <c r="AA128" s="35"/>
      <c r="AB128" s="35"/>
      <c r="AC128" s="35"/>
      <c r="AD128" s="35"/>
      <c r="AE128" s="35"/>
      <c r="AF128" s="35"/>
      <c r="AG128" s="35"/>
      <c r="AH128" s="35"/>
      <c r="AI128" s="35"/>
      <c r="AJ128" s="35"/>
      <c r="AK128" s="35"/>
      <c r="AL128" s="35"/>
      <c r="AM128" s="35"/>
      <c r="AN128" s="35"/>
      <c r="AO128" s="35"/>
      <c r="AP128" s="35"/>
      <c r="AQ128" s="35"/>
      <c r="AR128" s="35"/>
      <c r="AS128" s="35"/>
      <c r="AT128" s="35"/>
      <c r="AU128" s="35"/>
      <c r="AV128" s="35"/>
      <c r="AW128" s="35"/>
      <c r="AX128" s="35"/>
      <c r="AY128" s="35"/>
      <c r="AZ128" s="35"/>
      <c r="BA128" s="35"/>
      <c r="BB128" s="35"/>
      <c r="BC128" s="35"/>
      <c r="BD128" s="35"/>
      <c r="BE128" s="35"/>
      <c r="BF128" s="35"/>
      <c r="BG128" s="35"/>
      <c r="BH128" s="35"/>
      <c r="BI128" s="35"/>
      <c r="BJ128" s="35"/>
      <c r="BK128" s="35"/>
      <c r="BL128" s="35"/>
    </row>
    <row r="129" spans="1:64" ht="14">
      <c r="A129" s="36"/>
      <c r="B129" s="37"/>
      <c r="C129" s="38">
        <f t="shared" si="8"/>
        <v>0</v>
      </c>
      <c r="D129" s="39"/>
      <c r="E129" s="39"/>
      <c r="F129" s="39"/>
      <c r="G129" s="39"/>
      <c r="H129" s="40"/>
      <c r="I129" s="41"/>
      <c r="J129" s="39"/>
      <c r="K129" s="41"/>
      <c r="L129" s="41"/>
      <c r="M129" s="42" t="str">
        <f t="shared" si="9"/>
        <v/>
      </c>
      <c r="N129" s="40" t="str">
        <f t="shared" si="10"/>
        <v/>
      </c>
      <c r="O129" s="40" t="str">
        <f t="shared" si="11"/>
        <v/>
      </c>
      <c r="P129" s="43" t="str">
        <f t="shared" si="12"/>
        <v/>
      </c>
      <c r="Q129" s="44">
        <f t="shared" si="13"/>
        <v>0</v>
      </c>
      <c r="R129" s="44">
        <f t="shared" si="14"/>
        <v>0</v>
      </c>
      <c r="S129" s="43">
        <f t="shared" si="15"/>
        <v>0</v>
      </c>
      <c r="T129" s="39"/>
      <c r="U129" s="35"/>
      <c r="V129" s="35"/>
      <c r="W129" s="35"/>
      <c r="X129" s="35"/>
      <c r="Y129" s="35"/>
      <c r="Z129" s="35"/>
      <c r="AA129" s="35"/>
      <c r="AB129" s="35"/>
      <c r="AC129" s="35"/>
      <c r="AD129" s="35"/>
      <c r="AE129" s="35"/>
      <c r="AF129" s="35"/>
      <c r="AG129" s="35"/>
      <c r="AH129" s="35"/>
      <c r="AI129" s="35"/>
      <c r="AJ129" s="35"/>
      <c r="AK129" s="35"/>
      <c r="AL129" s="35"/>
      <c r="AM129" s="35"/>
      <c r="AN129" s="35"/>
      <c r="AO129" s="35"/>
      <c r="AP129" s="35"/>
      <c r="AQ129" s="35"/>
      <c r="AR129" s="35"/>
      <c r="AS129" s="35"/>
      <c r="AT129" s="35"/>
      <c r="AU129" s="35"/>
      <c r="AV129" s="35"/>
      <c r="AW129" s="35"/>
      <c r="AX129" s="35"/>
      <c r="AY129" s="35"/>
      <c r="AZ129" s="35"/>
      <c r="BA129" s="35"/>
      <c r="BB129" s="35"/>
      <c r="BC129" s="35"/>
      <c r="BD129" s="35"/>
      <c r="BE129" s="35"/>
      <c r="BF129" s="35"/>
      <c r="BG129" s="35"/>
      <c r="BH129" s="35"/>
      <c r="BI129" s="35"/>
      <c r="BJ129" s="35"/>
      <c r="BK129" s="35"/>
      <c r="BL129" s="35"/>
    </row>
    <row r="130" spans="1:64" ht="14">
      <c r="A130" s="36"/>
      <c r="B130" s="37"/>
      <c r="C130" s="38">
        <f t="shared" si="8"/>
        <v>0</v>
      </c>
      <c r="D130" s="39"/>
      <c r="E130" s="39"/>
      <c r="F130" s="39"/>
      <c r="G130" s="39"/>
      <c r="H130" s="40"/>
      <c r="I130" s="41"/>
      <c r="J130" s="39"/>
      <c r="K130" s="41"/>
      <c r="L130" s="41"/>
      <c r="M130" s="42" t="str">
        <f t="shared" si="9"/>
        <v/>
      </c>
      <c r="N130" s="40" t="str">
        <f t="shared" si="10"/>
        <v/>
      </c>
      <c r="O130" s="40" t="str">
        <f t="shared" si="11"/>
        <v/>
      </c>
      <c r="P130" s="43" t="str">
        <f t="shared" si="12"/>
        <v/>
      </c>
      <c r="Q130" s="44">
        <f t="shared" si="13"/>
        <v>0</v>
      </c>
      <c r="R130" s="44">
        <f t="shared" si="14"/>
        <v>0</v>
      </c>
      <c r="S130" s="43">
        <f t="shared" si="15"/>
        <v>0</v>
      </c>
      <c r="T130" s="39"/>
      <c r="U130" s="35"/>
      <c r="V130" s="35"/>
      <c r="W130" s="35"/>
      <c r="X130" s="35"/>
      <c r="Y130" s="35"/>
      <c r="Z130" s="35"/>
      <c r="AA130" s="35"/>
      <c r="AB130" s="35"/>
      <c r="AC130" s="35"/>
      <c r="AD130" s="35"/>
      <c r="AE130" s="35"/>
      <c r="AF130" s="35"/>
      <c r="AG130" s="35"/>
      <c r="AH130" s="35"/>
      <c r="AI130" s="35"/>
      <c r="AJ130" s="35"/>
      <c r="AK130" s="35"/>
      <c r="AL130" s="35"/>
      <c r="AM130" s="35"/>
      <c r="AN130" s="35"/>
      <c r="AO130" s="35"/>
      <c r="AP130" s="35"/>
      <c r="AQ130" s="35"/>
      <c r="AR130" s="35"/>
      <c r="AS130" s="35"/>
      <c r="AT130" s="35"/>
      <c r="AU130" s="35"/>
      <c r="AV130" s="35"/>
      <c r="AW130" s="35"/>
      <c r="AX130" s="35"/>
      <c r="AY130" s="35"/>
      <c r="AZ130" s="35"/>
      <c r="BA130" s="35"/>
      <c r="BB130" s="35"/>
      <c r="BC130" s="35"/>
      <c r="BD130" s="35"/>
      <c r="BE130" s="35"/>
      <c r="BF130" s="35"/>
      <c r="BG130" s="35"/>
      <c r="BH130" s="35"/>
      <c r="BI130" s="35"/>
      <c r="BJ130" s="35"/>
      <c r="BK130" s="35"/>
      <c r="BL130" s="35"/>
    </row>
    <row r="131" spans="1:64" ht="14">
      <c r="A131" s="36"/>
      <c r="B131" s="37"/>
      <c r="C131" s="38">
        <f t="shared" si="8"/>
        <v>0</v>
      </c>
      <c r="D131" s="39"/>
      <c r="E131" s="39"/>
      <c r="F131" s="39"/>
      <c r="G131" s="39"/>
      <c r="H131" s="40"/>
      <c r="I131" s="41"/>
      <c r="J131" s="39"/>
      <c r="K131" s="41"/>
      <c r="L131" s="41"/>
      <c r="M131" s="42" t="str">
        <f t="shared" si="9"/>
        <v/>
      </c>
      <c r="N131" s="40" t="str">
        <f t="shared" si="10"/>
        <v/>
      </c>
      <c r="O131" s="40" t="str">
        <f t="shared" si="11"/>
        <v/>
      </c>
      <c r="P131" s="43" t="str">
        <f t="shared" si="12"/>
        <v/>
      </c>
      <c r="Q131" s="44">
        <f t="shared" si="13"/>
        <v>0</v>
      </c>
      <c r="R131" s="44">
        <f t="shared" si="14"/>
        <v>0</v>
      </c>
      <c r="S131" s="43">
        <f t="shared" si="15"/>
        <v>0</v>
      </c>
      <c r="T131" s="39"/>
      <c r="U131" s="35"/>
      <c r="V131" s="35"/>
      <c r="W131" s="35"/>
      <c r="X131" s="35"/>
      <c r="Y131" s="35"/>
      <c r="Z131" s="35"/>
      <c r="AA131" s="35"/>
      <c r="AB131" s="35"/>
      <c r="AC131" s="35"/>
      <c r="AD131" s="35"/>
      <c r="AE131" s="35"/>
      <c r="AF131" s="35"/>
      <c r="AG131" s="35"/>
      <c r="AH131" s="35"/>
      <c r="AI131" s="35"/>
      <c r="AJ131" s="35"/>
      <c r="AK131" s="35"/>
      <c r="AL131" s="35"/>
      <c r="AM131" s="35"/>
      <c r="AN131" s="35"/>
      <c r="AO131" s="35"/>
      <c r="AP131" s="35"/>
      <c r="AQ131" s="35"/>
      <c r="AR131" s="35"/>
      <c r="AS131" s="35"/>
      <c r="AT131" s="35"/>
      <c r="AU131" s="35"/>
      <c r="AV131" s="35"/>
      <c r="AW131" s="35"/>
      <c r="AX131" s="35"/>
      <c r="AY131" s="35"/>
      <c r="AZ131" s="35"/>
      <c r="BA131" s="35"/>
      <c r="BB131" s="35"/>
      <c r="BC131" s="35"/>
      <c r="BD131" s="35"/>
      <c r="BE131" s="35"/>
      <c r="BF131" s="35"/>
      <c r="BG131" s="35"/>
      <c r="BH131" s="35"/>
      <c r="BI131" s="35"/>
      <c r="BJ131" s="35"/>
      <c r="BK131" s="35"/>
      <c r="BL131" s="35"/>
    </row>
    <row r="132" spans="1:64" ht="14">
      <c r="A132" s="36"/>
      <c r="B132" s="37"/>
      <c r="C132" s="38">
        <f t="shared" si="8"/>
        <v>0</v>
      </c>
      <c r="D132" s="39"/>
      <c r="E132" s="39"/>
      <c r="F132" s="39"/>
      <c r="G132" s="39"/>
      <c r="H132" s="40"/>
      <c r="I132" s="41"/>
      <c r="J132" s="39"/>
      <c r="K132" s="41"/>
      <c r="L132" s="41"/>
      <c r="M132" s="42" t="str">
        <f t="shared" si="9"/>
        <v/>
      </c>
      <c r="N132" s="40" t="str">
        <f t="shared" si="10"/>
        <v/>
      </c>
      <c r="O132" s="40" t="str">
        <f t="shared" si="11"/>
        <v/>
      </c>
      <c r="P132" s="43" t="str">
        <f t="shared" si="12"/>
        <v/>
      </c>
      <c r="Q132" s="44">
        <f t="shared" si="13"/>
        <v>0</v>
      </c>
      <c r="R132" s="44">
        <f t="shared" si="14"/>
        <v>0</v>
      </c>
      <c r="S132" s="43">
        <f t="shared" si="15"/>
        <v>0</v>
      </c>
      <c r="T132" s="39"/>
      <c r="U132" s="35"/>
      <c r="V132" s="35"/>
      <c r="W132" s="35"/>
      <c r="X132" s="35"/>
      <c r="Y132" s="35"/>
      <c r="Z132" s="35"/>
      <c r="AA132" s="35"/>
      <c r="AB132" s="35"/>
      <c r="AC132" s="35"/>
      <c r="AD132" s="35"/>
      <c r="AE132" s="35"/>
      <c r="AF132" s="35"/>
      <c r="AG132" s="35"/>
      <c r="AH132" s="35"/>
      <c r="AI132" s="35"/>
      <c r="AJ132" s="35"/>
      <c r="AK132" s="35"/>
      <c r="AL132" s="35"/>
      <c r="AM132" s="35"/>
      <c r="AN132" s="35"/>
      <c r="AO132" s="35"/>
      <c r="AP132" s="35"/>
      <c r="AQ132" s="35"/>
      <c r="AR132" s="35"/>
      <c r="AS132" s="35"/>
      <c r="AT132" s="35"/>
      <c r="AU132" s="35"/>
      <c r="AV132" s="35"/>
      <c r="AW132" s="35"/>
      <c r="AX132" s="35"/>
      <c r="AY132" s="35"/>
      <c r="AZ132" s="35"/>
      <c r="BA132" s="35"/>
      <c r="BB132" s="35"/>
      <c r="BC132" s="35"/>
      <c r="BD132" s="35"/>
      <c r="BE132" s="35"/>
      <c r="BF132" s="35"/>
      <c r="BG132" s="35"/>
      <c r="BH132" s="35"/>
      <c r="BI132" s="35"/>
      <c r="BJ132" s="35"/>
      <c r="BK132" s="35"/>
      <c r="BL132" s="35"/>
    </row>
    <row r="133" spans="1:64" ht="14">
      <c r="A133" s="36"/>
      <c r="B133" s="37"/>
      <c r="C133" s="38">
        <f t="shared" si="8"/>
        <v>0</v>
      </c>
      <c r="D133" s="39"/>
      <c r="E133" s="39"/>
      <c r="F133" s="39"/>
      <c r="G133" s="39"/>
      <c r="H133" s="40"/>
      <c r="I133" s="41"/>
      <c r="J133" s="39"/>
      <c r="K133" s="41"/>
      <c r="L133" s="41"/>
      <c r="M133" s="42" t="str">
        <f t="shared" si="9"/>
        <v/>
      </c>
      <c r="N133" s="40" t="str">
        <f t="shared" si="10"/>
        <v/>
      </c>
      <c r="O133" s="40" t="str">
        <f t="shared" si="11"/>
        <v/>
      </c>
      <c r="P133" s="43" t="str">
        <f t="shared" si="12"/>
        <v/>
      </c>
      <c r="Q133" s="44">
        <f t="shared" si="13"/>
        <v>0</v>
      </c>
      <c r="R133" s="44">
        <f t="shared" si="14"/>
        <v>0</v>
      </c>
      <c r="S133" s="43">
        <f t="shared" si="15"/>
        <v>0</v>
      </c>
      <c r="T133" s="39"/>
      <c r="U133" s="35"/>
      <c r="V133" s="35"/>
      <c r="W133" s="35"/>
      <c r="X133" s="35"/>
      <c r="Y133" s="35"/>
      <c r="Z133" s="35"/>
      <c r="AA133" s="35"/>
      <c r="AB133" s="35"/>
      <c r="AC133" s="35"/>
      <c r="AD133" s="35"/>
      <c r="AE133" s="35"/>
      <c r="AF133" s="35"/>
      <c r="AG133" s="35"/>
      <c r="AH133" s="35"/>
      <c r="AI133" s="35"/>
      <c r="AJ133" s="35"/>
      <c r="AK133" s="35"/>
      <c r="AL133" s="35"/>
      <c r="AM133" s="35"/>
      <c r="AN133" s="35"/>
      <c r="AO133" s="35"/>
      <c r="AP133" s="35"/>
      <c r="AQ133" s="35"/>
      <c r="AR133" s="35"/>
      <c r="AS133" s="35"/>
      <c r="AT133" s="35"/>
      <c r="AU133" s="35"/>
      <c r="AV133" s="35"/>
      <c r="AW133" s="35"/>
      <c r="AX133" s="35"/>
      <c r="AY133" s="35"/>
      <c r="AZ133" s="35"/>
      <c r="BA133" s="35"/>
      <c r="BB133" s="35"/>
      <c r="BC133" s="35"/>
      <c r="BD133" s="35"/>
      <c r="BE133" s="35"/>
      <c r="BF133" s="35"/>
      <c r="BG133" s="35"/>
      <c r="BH133" s="35"/>
      <c r="BI133" s="35"/>
      <c r="BJ133" s="35"/>
      <c r="BK133" s="35"/>
      <c r="BL133" s="35"/>
    </row>
    <row r="134" spans="1:64" ht="14">
      <c r="A134" s="36"/>
      <c r="B134" s="37"/>
      <c r="C134" s="38">
        <f t="shared" si="8"/>
        <v>0</v>
      </c>
      <c r="D134" s="39"/>
      <c r="E134" s="39"/>
      <c r="F134" s="39"/>
      <c r="G134" s="39"/>
      <c r="H134" s="40"/>
      <c r="I134" s="41"/>
      <c r="J134" s="39"/>
      <c r="K134" s="41"/>
      <c r="L134" s="41"/>
      <c r="M134" s="42" t="str">
        <f t="shared" si="9"/>
        <v/>
      </c>
      <c r="N134" s="40" t="str">
        <f t="shared" si="10"/>
        <v/>
      </c>
      <c r="O134" s="40" t="str">
        <f t="shared" si="11"/>
        <v/>
      </c>
      <c r="P134" s="43" t="str">
        <f t="shared" si="12"/>
        <v/>
      </c>
      <c r="Q134" s="44">
        <f t="shared" si="13"/>
        <v>0</v>
      </c>
      <c r="R134" s="44">
        <f t="shared" si="14"/>
        <v>0</v>
      </c>
      <c r="S134" s="43">
        <f t="shared" si="15"/>
        <v>0</v>
      </c>
      <c r="T134" s="39"/>
      <c r="U134" s="35"/>
      <c r="V134" s="35"/>
      <c r="W134" s="35"/>
      <c r="X134" s="35"/>
      <c r="Y134" s="35"/>
      <c r="Z134" s="35"/>
      <c r="AA134" s="35"/>
      <c r="AB134" s="35"/>
      <c r="AC134" s="35"/>
      <c r="AD134" s="35"/>
      <c r="AE134" s="35"/>
      <c r="AF134" s="35"/>
      <c r="AG134" s="35"/>
      <c r="AH134" s="35"/>
      <c r="AI134" s="35"/>
      <c r="AJ134" s="35"/>
      <c r="AK134" s="35"/>
      <c r="AL134" s="35"/>
      <c r="AM134" s="35"/>
      <c r="AN134" s="35"/>
      <c r="AO134" s="35"/>
      <c r="AP134" s="35"/>
      <c r="AQ134" s="35"/>
      <c r="AR134" s="35"/>
      <c r="AS134" s="35"/>
      <c r="AT134" s="35"/>
      <c r="AU134" s="35"/>
      <c r="AV134" s="35"/>
      <c r="AW134" s="35"/>
      <c r="AX134" s="35"/>
      <c r="AY134" s="35"/>
      <c r="AZ134" s="35"/>
      <c r="BA134" s="35"/>
      <c r="BB134" s="35"/>
      <c r="BC134" s="35"/>
      <c r="BD134" s="35"/>
      <c r="BE134" s="35"/>
      <c r="BF134" s="35"/>
      <c r="BG134" s="35"/>
      <c r="BH134" s="35"/>
      <c r="BI134" s="35"/>
      <c r="BJ134" s="35"/>
      <c r="BK134" s="35"/>
      <c r="BL134" s="35"/>
    </row>
    <row r="135" spans="1:64" ht="14">
      <c r="A135" s="36"/>
      <c r="B135" s="37"/>
      <c r="C135" s="38">
        <f t="shared" si="8"/>
        <v>0</v>
      </c>
      <c r="D135" s="39"/>
      <c r="E135" s="39"/>
      <c r="F135" s="39"/>
      <c r="G135" s="39"/>
      <c r="H135" s="40"/>
      <c r="I135" s="41"/>
      <c r="J135" s="39"/>
      <c r="K135" s="41"/>
      <c r="L135" s="41"/>
      <c r="M135" s="42" t="str">
        <f t="shared" si="9"/>
        <v/>
      </c>
      <c r="N135" s="40" t="str">
        <f t="shared" si="10"/>
        <v/>
      </c>
      <c r="O135" s="40" t="str">
        <f t="shared" si="11"/>
        <v/>
      </c>
      <c r="P135" s="43" t="str">
        <f t="shared" si="12"/>
        <v/>
      </c>
      <c r="Q135" s="44">
        <f t="shared" si="13"/>
        <v>0</v>
      </c>
      <c r="R135" s="44">
        <f t="shared" si="14"/>
        <v>0</v>
      </c>
      <c r="S135" s="43">
        <f t="shared" si="15"/>
        <v>0</v>
      </c>
      <c r="T135" s="39"/>
      <c r="U135" s="35"/>
      <c r="V135" s="35"/>
      <c r="W135" s="35"/>
      <c r="X135" s="35"/>
      <c r="Y135" s="35"/>
      <c r="Z135" s="35"/>
      <c r="AA135" s="35"/>
      <c r="AB135" s="35"/>
      <c r="AC135" s="35"/>
      <c r="AD135" s="35"/>
      <c r="AE135" s="35"/>
      <c r="AF135" s="35"/>
      <c r="AG135" s="35"/>
      <c r="AH135" s="35"/>
      <c r="AI135" s="35"/>
      <c r="AJ135" s="35"/>
      <c r="AK135" s="35"/>
      <c r="AL135" s="35"/>
      <c r="AM135" s="35"/>
      <c r="AN135" s="35"/>
      <c r="AO135" s="35"/>
      <c r="AP135" s="35"/>
      <c r="AQ135" s="35"/>
      <c r="AR135" s="35"/>
      <c r="AS135" s="35"/>
      <c r="AT135" s="35"/>
      <c r="AU135" s="35"/>
      <c r="AV135" s="35"/>
      <c r="AW135" s="35"/>
      <c r="AX135" s="35"/>
      <c r="AY135" s="35"/>
      <c r="AZ135" s="35"/>
      <c r="BA135" s="35"/>
      <c r="BB135" s="35"/>
      <c r="BC135" s="35"/>
      <c r="BD135" s="35"/>
      <c r="BE135" s="35"/>
      <c r="BF135" s="35"/>
      <c r="BG135" s="35"/>
      <c r="BH135" s="35"/>
      <c r="BI135" s="35"/>
      <c r="BJ135" s="35"/>
      <c r="BK135" s="35"/>
      <c r="BL135" s="35"/>
    </row>
    <row r="136" spans="1:64" ht="14">
      <c r="A136" s="36"/>
      <c r="B136" s="37"/>
      <c r="C136" s="38">
        <f t="shared" si="8"/>
        <v>0</v>
      </c>
      <c r="D136" s="39"/>
      <c r="E136" s="39"/>
      <c r="F136" s="39"/>
      <c r="G136" s="39"/>
      <c r="H136" s="40"/>
      <c r="I136" s="41"/>
      <c r="J136" s="39"/>
      <c r="K136" s="41"/>
      <c r="L136" s="41"/>
      <c r="M136" s="42" t="str">
        <f t="shared" si="9"/>
        <v/>
      </c>
      <c r="N136" s="40" t="str">
        <f t="shared" si="10"/>
        <v/>
      </c>
      <c r="O136" s="40" t="str">
        <f t="shared" si="11"/>
        <v/>
      </c>
      <c r="P136" s="43" t="str">
        <f t="shared" si="12"/>
        <v/>
      </c>
      <c r="Q136" s="44">
        <f t="shared" si="13"/>
        <v>0</v>
      </c>
      <c r="R136" s="44">
        <f t="shared" si="14"/>
        <v>0</v>
      </c>
      <c r="S136" s="43">
        <f t="shared" si="15"/>
        <v>0</v>
      </c>
      <c r="T136" s="39"/>
      <c r="U136" s="35"/>
      <c r="V136" s="35"/>
      <c r="W136" s="35"/>
      <c r="X136" s="35"/>
      <c r="Y136" s="35"/>
      <c r="Z136" s="35"/>
      <c r="AA136" s="35"/>
      <c r="AB136" s="35"/>
      <c r="AC136" s="35"/>
      <c r="AD136" s="35"/>
      <c r="AE136" s="35"/>
      <c r="AF136" s="35"/>
      <c r="AG136" s="35"/>
      <c r="AH136" s="35"/>
      <c r="AI136" s="35"/>
      <c r="AJ136" s="35"/>
      <c r="AK136" s="35"/>
      <c r="AL136" s="35"/>
      <c r="AM136" s="35"/>
      <c r="AN136" s="35"/>
      <c r="AO136" s="35"/>
      <c r="AP136" s="35"/>
      <c r="AQ136" s="35"/>
      <c r="AR136" s="35"/>
      <c r="AS136" s="35"/>
      <c r="AT136" s="35"/>
      <c r="AU136" s="35"/>
      <c r="AV136" s="35"/>
      <c r="AW136" s="35"/>
      <c r="AX136" s="35"/>
      <c r="AY136" s="35"/>
      <c r="AZ136" s="35"/>
      <c r="BA136" s="35"/>
      <c r="BB136" s="35"/>
      <c r="BC136" s="35"/>
      <c r="BD136" s="35"/>
      <c r="BE136" s="35"/>
      <c r="BF136" s="35"/>
      <c r="BG136" s="35"/>
      <c r="BH136" s="35"/>
      <c r="BI136" s="35"/>
      <c r="BJ136" s="35"/>
      <c r="BK136" s="35"/>
      <c r="BL136" s="35"/>
    </row>
    <row r="137" spans="1:64" ht="14">
      <c r="A137" s="36"/>
      <c r="B137" s="37"/>
      <c r="C137" s="38">
        <f t="shared" si="8"/>
        <v>0</v>
      </c>
      <c r="D137" s="39"/>
      <c r="E137" s="39"/>
      <c r="F137" s="39"/>
      <c r="G137" s="39"/>
      <c r="H137" s="40"/>
      <c r="I137" s="41"/>
      <c r="J137" s="39"/>
      <c r="K137" s="41"/>
      <c r="L137" s="41"/>
      <c r="M137" s="42" t="str">
        <f t="shared" si="9"/>
        <v/>
      </c>
      <c r="N137" s="40" t="str">
        <f t="shared" si="10"/>
        <v/>
      </c>
      <c r="O137" s="40" t="str">
        <f t="shared" si="11"/>
        <v/>
      </c>
      <c r="P137" s="43" t="str">
        <f t="shared" si="12"/>
        <v/>
      </c>
      <c r="Q137" s="44">
        <f t="shared" si="13"/>
        <v>0</v>
      </c>
      <c r="R137" s="44">
        <f t="shared" si="14"/>
        <v>0</v>
      </c>
      <c r="S137" s="43">
        <f t="shared" si="15"/>
        <v>0</v>
      </c>
      <c r="T137" s="39"/>
      <c r="U137" s="35"/>
      <c r="V137" s="35"/>
      <c r="W137" s="35"/>
      <c r="X137" s="35"/>
      <c r="Y137" s="35"/>
      <c r="Z137" s="35"/>
      <c r="AA137" s="35"/>
      <c r="AB137" s="35"/>
      <c r="AC137" s="35"/>
      <c r="AD137" s="35"/>
      <c r="AE137" s="35"/>
      <c r="AF137" s="35"/>
      <c r="AG137" s="35"/>
      <c r="AH137" s="35"/>
      <c r="AI137" s="35"/>
      <c r="AJ137" s="35"/>
      <c r="AK137" s="35"/>
      <c r="AL137" s="35"/>
      <c r="AM137" s="35"/>
      <c r="AN137" s="35"/>
      <c r="AO137" s="35"/>
      <c r="AP137" s="35"/>
      <c r="AQ137" s="35"/>
      <c r="AR137" s="35"/>
      <c r="AS137" s="35"/>
      <c r="AT137" s="35"/>
      <c r="AU137" s="35"/>
      <c r="AV137" s="35"/>
      <c r="AW137" s="35"/>
      <c r="AX137" s="35"/>
      <c r="AY137" s="35"/>
      <c r="AZ137" s="35"/>
      <c r="BA137" s="35"/>
      <c r="BB137" s="35"/>
      <c r="BC137" s="35"/>
      <c r="BD137" s="35"/>
      <c r="BE137" s="35"/>
      <c r="BF137" s="35"/>
      <c r="BG137" s="35"/>
      <c r="BH137" s="35"/>
      <c r="BI137" s="35"/>
      <c r="BJ137" s="35"/>
      <c r="BK137" s="35"/>
      <c r="BL137" s="35"/>
    </row>
    <row r="138" spans="1:64" ht="14">
      <c r="A138" s="36"/>
      <c r="B138" s="37"/>
      <c r="C138" s="38">
        <f t="shared" ref="C138:C201" si="16">IF($B138&lt;&gt;"",VLOOKUP($B138,Matriz_INM,2,0),0)</f>
        <v>0</v>
      </c>
      <c r="D138" s="39"/>
      <c r="E138" s="39"/>
      <c r="F138" s="39"/>
      <c r="G138" s="39"/>
      <c r="H138" s="40"/>
      <c r="I138" s="41"/>
      <c r="J138" s="39"/>
      <c r="K138" s="41"/>
      <c r="L138" s="41"/>
      <c r="M138" s="42" t="str">
        <f t="shared" ref="M138:M201" si="17">IFERROR(VLOOKUP($B138,Matriz_INM,3,0),"")</f>
        <v/>
      </c>
      <c r="N138" s="40" t="str">
        <f t="shared" ref="N138:N201" si="18">IF(J138="EE",IF(OR(AND(OR(L138=1,L138=0),K138&gt;0,K138&lt;5),AND(OR(L138=1,L138=0),K138&gt;4,K138&lt;16),AND(L138=2,K138&gt;0,K138&lt;5)),"Simples",IF(OR(AND(OR(L138=1,L138=0),K138&gt;15),AND(L138=2,K138&gt;4,K138&lt;16),AND(L138&gt;2,K138&gt;0,K138&lt;5)),"Médio",IF(OR(AND(L138=2,K138&gt;15),AND(L138&gt;2,K138&gt;4,K138&lt;16),AND(L138&gt;2,K138&gt;15)),"Complexo",""))), IF(OR(J138="CE",J138="SE"),IF(OR(AND(OR(L138=1,L138=0),K138&gt;0,K138&lt;6),AND(OR(L138=1,L138=0),K138&gt;5,K138&lt;20),AND(L138&gt;1,L138&lt;4,K138&gt;0,K138&lt;6)),"Simples",IF(OR(AND(OR(L138=1,L138=0),K138&gt;19),AND(L138&gt;1,L138&lt;4,K138&gt;5,K138&lt;20),AND(L138&gt;3,K138&gt;0,K138&lt;6)),"Médio",IF(OR(AND(L138&gt;1,L138&lt;4,K138&gt;19),AND(L138&gt;3,K138&gt;5,K138&lt;20),AND(L138&gt;3,K138&gt;19)),"Complexo",""))),""))</f>
        <v/>
      </c>
      <c r="O138" s="40" t="str">
        <f t="shared" ref="O138:O201" si="19">IF(J138="ALI",IF(OR(AND(OR(L138=1,L138=0),K138&gt;0,K138&lt;20),AND(OR(L138=1,L138=0),K138&gt;19,K138&lt;51),AND(L138&gt;1,L138&lt;6,K138&gt;0,K138&lt;20)),"Simples",IF(OR(AND(OR(L138=1,L138=0),K138&gt;50),AND(L138&gt;1,L138&lt;6,K138&gt;19,K138&lt;51),AND(L138&gt;5,K138&gt;0,K138&lt;20)),"Médio",IF(OR(AND(L138&gt;1,L138&lt;6,K138&gt;50),AND(L138&gt;5,K138&gt;19,K138&lt;51),AND(L138&gt;5,K138&gt;50)),"Complexo",""))), IF(J138="AIE",IF(OR(AND(OR(L138=1, L138=0),K138&gt;0,K138&lt;20),AND(OR(L138=1, L138=0),K138&gt;19,K138&lt;51),AND(L138&gt;1,L138&lt;6,K138&gt;0,K138&lt;20)),"Simples",IF(OR(AND(OR(L138=1, L138=0),K138&gt;50),AND(L138&gt;1,L138&lt;6,K138&gt;19,K138&lt;51),AND(L138&gt;5,K138&gt;0,K138&lt;20)),"Médio",IF(OR(AND(L138&gt;1,L138&lt;6,K138&gt;50),AND(L138&gt;5,K138&gt;19,K138&lt;51),AND(L138&gt;5,K138&gt;50)),"Complexo",""))),""))</f>
        <v/>
      </c>
      <c r="P138" s="43" t="str">
        <f t="shared" ref="P138:P201" si="20">IF(N138="",O138,IF(O138="",N138,""))</f>
        <v/>
      </c>
      <c r="Q138" s="44">
        <f t="shared" ref="Q138:Q201" si="21">IF(AND(OR(J138="EE",J138="CE"),P138="Simples"),3, IF(AND(OR(J138="EE",J138="CE"),P138="Médio"),4, IF(AND(OR(J138="EE",J138="CE"),P138="Complexo"),6, IF(AND(J138="SE",P138="Simples"),4, IF(AND(J138="SE",P138="Médio"),5, IF(AND(J138="SE",P138="Complexo"),7,0))))))</f>
        <v>0</v>
      </c>
      <c r="R138" s="44">
        <f t="shared" ref="R138:R201" si="22">IF(AND(J138="ALI",O138="Simples"),7, IF(AND(J138="ALI",O138="Médio"),10, IF(AND(J138="ALI",O138="Complexo"),15, IF(AND(J138="AIE",O138="Simples"),5, IF(AND(J138="AIE",O138="Médio"),7, IF(AND(J138="AIE",O138="Complexo"),10,0))))))</f>
        <v>0</v>
      </c>
      <c r="S138" s="43">
        <f t="shared" ref="S138:S201" si="23">IF($M138="%",($Q138+$R138)*$C138,$C138*$I138)</f>
        <v>0</v>
      </c>
      <c r="T138" s="39"/>
      <c r="U138" s="35"/>
      <c r="V138" s="35"/>
      <c r="W138" s="35"/>
      <c r="X138" s="35"/>
      <c r="Y138" s="35"/>
      <c r="Z138" s="35"/>
      <c r="AA138" s="35"/>
      <c r="AB138" s="35"/>
      <c r="AC138" s="35"/>
      <c r="AD138" s="35"/>
      <c r="AE138" s="35"/>
      <c r="AF138" s="35"/>
      <c r="AG138" s="35"/>
      <c r="AH138" s="35"/>
      <c r="AI138" s="35"/>
      <c r="AJ138" s="35"/>
      <c r="AK138" s="35"/>
      <c r="AL138" s="35"/>
      <c r="AM138" s="35"/>
      <c r="AN138" s="35"/>
      <c r="AO138" s="35"/>
      <c r="AP138" s="35"/>
      <c r="AQ138" s="35"/>
      <c r="AR138" s="35"/>
      <c r="AS138" s="35"/>
      <c r="AT138" s="35"/>
      <c r="AU138" s="35"/>
      <c r="AV138" s="35"/>
      <c r="AW138" s="35"/>
      <c r="AX138" s="35"/>
      <c r="AY138" s="35"/>
      <c r="AZ138" s="35"/>
      <c r="BA138" s="35"/>
      <c r="BB138" s="35"/>
      <c r="BC138" s="35"/>
      <c r="BD138" s="35"/>
      <c r="BE138" s="35"/>
      <c r="BF138" s="35"/>
      <c r="BG138" s="35"/>
      <c r="BH138" s="35"/>
      <c r="BI138" s="35"/>
      <c r="BJ138" s="35"/>
      <c r="BK138" s="35"/>
      <c r="BL138" s="35"/>
    </row>
    <row r="139" spans="1:64" ht="14">
      <c r="A139" s="36"/>
      <c r="B139" s="37"/>
      <c r="C139" s="38">
        <f t="shared" si="16"/>
        <v>0</v>
      </c>
      <c r="D139" s="39"/>
      <c r="E139" s="39"/>
      <c r="F139" s="39"/>
      <c r="G139" s="39"/>
      <c r="H139" s="40"/>
      <c r="I139" s="41"/>
      <c r="J139" s="39"/>
      <c r="K139" s="41"/>
      <c r="L139" s="41"/>
      <c r="M139" s="42" t="str">
        <f t="shared" si="17"/>
        <v/>
      </c>
      <c r="N139" s="40" t="str">
        <f t="shared" si="18"/>
        <v/>
      </c>
      <c r="O139" s="40" t="str">
        <f t="shared" si="19"/>
        <v/>
      </c>
      <c r="P139" s="43" t="str">
        <f t="shared" si="20"/>
        <v/>
      </c>
      <c r="Q139" s="44">
        <f t="shared" si="21"/>
        <v>0</v>
      </c>
      <c r="R139" s="44">
        <f t="shared" si="22"/>
        <v>0</v>
      </c>
      <c r="S139" s="43">
        <f t="shared" si="23"/>
        <v>0</v>
      </c>
      <c r="T139" s="39"/>
      <c r="U139" s="35"/>
      <c r="V139" s="35"/>
      <c r="W139" s="35"/>
      <c r="X139" s="35"/>
      <c r="Y139" s="35"/>
      <c r="Z139" s="35"/>
      <c r="AA139" s="35"/>
      <c r="AB139" s="35"/>
      <c r="AC139" s="35"/>
      <c r="AD139" s="35"/>
      <c r="AE139" s="35"/>
      <c r="AF139" s="35"/>
      <c r="AG139" s="35"/>
      <c r="AH139" s="35"/>
      <c r="AI139" s="35"/>
      <c r="AJ139" s="35"/>
      <c r="AK139" s="35"/>
      <c r="AL139" s="35"/>
      <c r="AM139" s="35"/>
      <c r="AN139" s="35"/>
      <c r="AO139" s="35"/>
      <c r="AP139" s="35"/>
      <c r="AQ139" s="35"/>
      <c r="AR139" s="35"/>
      <c r="AS139" s="35"/>
      <c r="AT139" s="35"/>
      <c r="AU139" s="35"/>
      <c r="AV139" s="35"/>
      <c r="AW139" s="35"/>
      <c r="AX139" s="35"/>
      <c r="AY139" s="35"/>
      <c r="AZ139" s="35"/>
      <c r="BA139" s="35"/>
      <c r="BB139" s="35"/>
      <c r="BC139" s="35"/>
      <c r="BD139" s="35"/>
      <c r="BE139" s="35"/>
      <c r="BF139" s="35"/>
      <c r="BG139" s="35"/>
      <c r="BH139" s="35"/>
      <c r="BI139" s="35"/>
      <c r="BJ139" s="35"/>
      <c r="BK139" s="35"/>
      <c r="BL139" s="35"/>
    </row>
    <row r="140" spans="1:64" ht="14">
      <c r="A140" s="36"/>
      <c r="B140" s="37"/>
      <c r="C140" s="38">
        <f t="shared" si="16"/>
        <v>0</v>
      </c>
      <c r="D140" s="39"/>
      <c r="E140" s="39"/>
      <c r="F140" s="39"/>
      <c r="G140" s="39"/>
      <c r="H140" s="40"/>
      <c r="I140" s="41"/>
      <c r="J140" s="39"/>
      <c r="K140" s="41"/>
      <c r="L140" s="41"/>
      <c r="M140" s="42" t="str">
        <f t="shared" si="17"/>
        <v/>
      </c>
      <c r="N140" s="40" t="str">
        <f t="shared" si="18"/>
        <v/>
      </c>
      <c r="O140" s="40" t="str">
        <f t="shared" si="19"/>
        <v/>
      </c>
      <c r="P140" s="43" t="str">
        <f t="shared" si="20"/>
        <v/>
      </c>
      <c r="Q140" s="44">
        <f t="shared" si="21"/>
        <v>0</v>
      </c>
      <c r="R140" s="44">
        <f t="shared" si="22"/>
        <v>0</v>
      </c>
      <c r="S140" s="43">
        <f t="shared" si="23"/>
        <v>0</v>
      </c>
      <c r="T140" s="39"/>
      <c r="U140" s="35"/>
      <c r="V140" s="35"/>
      <c r="W140" s="35"/>
      <c r="X140" s="35"/>
      <c r="Y140" s="35"/>
      <c r="Z140" s="35"/>
      <c r="AA140" s="35"/>
      <c r="AB140" s="35"/>
      <c r="AC140" s="35"/>
      <c r="AD140" s="35"/>
      <c r="AE140" s="35"/>
      <c r="AF140" s="35"/>
      <c r="AG140" s="35"/>
      <c r="AH140" s="35"/>
      <c r="AI140" s="35"/>
      <c r="AJ140" s="35"/>
      <c r="AK140" s="35"/>
      <c r="AL140" s="35"/>
      <c r="AM140" s="35"/>
      <c r="AN140" s="35"/>
      <c r="AO140" s="35"/>
      <c r="AP140" s="35"/>
      <c r="AQ140" s="35"/>
      <c r="AR140" s="35"/>
      <c r="AS140" s="35"/>
      <c r="AT140" s="35"/>
      <c r="AU140" s="35"/>
      <c r="AV140" s="35"/>
      <c r="AW140" s="35"/>
      <c r="AX140" s="35"/>
      <c r="AY140" s="35"/>
      <c r="AZ140" s="35"/>
      <c r="BA140" s="35"/>
      <c r="BB140" s="35"/>
      <c r="BC140" s="35"/>
      <c r="BD140" s="35"/>
      <c r="BE140" s="35"/>
      <c r="BF140" s="35"/>
      <c r="BG140" s="35"/>
      <c r="BH140" s="35"/>
      <c r="BI140" s="35"/>
      <c r="BJ140" s="35"/>
      <c r="BK140" s="35"/>
      <c r="BL140" s="35"/>
    </row>
    <row r="141" spans="1:64" ht="14">
      <c r="A141" s="36"/>
      <c r="B141" s="37"/>
      <c r="C141" s="38">
        <f t="shared" si="16"/>
        <v>0</v>
      </c>
      <c r="D141" s="39"/>
      <c r="E141" s="39"/>
      <c r="F141" s="39"/>
      <c r="G141" s="39"/>
      <c r="H141" s="40"/>
      <c r="I141" s="41"/>
      <c r="J141" s="39"/>
      <c r="K141" s="41"/>
      <c r="L141" s="41"/>
      <c r="M141" s="42" t="str">
        <f t="shared" si="17"/>
        <v/>
      </c>
      <c r="N141" s="40" t="str">
        <f t="shared" si="18"/>
        <v/>
      </c>
      <c r="O141" s="40" t="str">
        <f t="shared" si="19"/>
        <v/>
      </c>
      <c r="P141" s="43" t="str">
        <f t="shared" si="20"/>
        <v/>
      </c>
      <c r="Q141" s="44">
        <f t="shared" si="21"/>
        <v>0</v>
      </c>
      <c r="R141" s="44">
        <f t="shared" si="22"/>
        <v>0</v>
      </c>
      <c r="S141" s="43">
        <f t="shared" si="23"/>
        <v>0</v>
      </c>
      <c r="T141" s="39"/>
      <c r="U141" s="35"/>
      <c r="V141" s="35"/>
      <c r="W141" s="35"/>
      <c r="X141" s="35"/>
      <c r="Y141" s="35"/>
      <c r="Z141" s="35"/>
      <c r="AA141" s="35"/>
      <c r="AB141" s="35"/>
      <c r="AC141" s="35"/>
      <c r="AD141" s="35"/>
      <c r="AE141" s="35"/>
      <c r="AF141" s="35"/>
      <c r="AG141" s="35"/>
      <c r="AH141" s="35"/>
      <c r="AI141" s="35"/>
      <c r="AJ141" s="35"/>
      <c r="AK141" s="35"/>
      <c r="AL141" s="35"/>
      <c r="AM141" s="35"/>
      <c r="AN141" s="35"/>
      <c r="AO141" s="35"/>
      <c r="AP141" s="35"/>
      <c r="AQ141" s="35"/>
      <c r="AR141" s="35"/>
      <c r="AS141" s="35"/>
      <c r="AT141" s="35"/>
      <c r="AU141" s="35"/>
      <c r="AV141" s="35"/>
      <c r="AW141" s="35"/>
      <c r="AX141" s="35"/>
      <c r="AY141" s="35"/>
      <c r="AZ141" s="35"/>
      <c r="BA141" s="35"/>
      <c r="BB141" s="35"/>
      <c r="BC141" s="35"/>
      <c r="BD141" s="35"/>
      <c r="BE141" s="35"/>
      <c r="BF141" s="35"/>
      <c r="BG141" s="35"/>
      <c r="BH141" s="35"/>
      <c r="BI141" s="35"/>
      <c r="BJ141" s="35"/>
      <c r="BK141" s="35"/>
      <c r="BL141" s="35"/>
    </row>
    <row r="142" spans="1:64" ht="14">
      <c r="A142" s="36"/>
      <c r="B142" s="37"/>
      <c r="C142" s="38">
        <f t="shared" si="16"/>
        <v>0</v>
      </c>
      <c r="D142" s="39"/>
      <c r="E142" s="39"/>
      <c r="F142" s="39"/>
      <c r="G142" s="39"/>
      <c r="H142" s="40"/>
      <c r="I142" s="41"/>
      <c r="J142" s="39"/>
      <c r="K142" s="41"/>
      <c r="L142" s="41"/>
      <c r="M142" s="42" t="str">
        <f t="shared" si="17"/>
        <v/>
      </c>
      <c r="N142" s="40" t="str">
        <f t="shared" si="18"/>
        <v/>
      </c>
      <c r="O142" s="40" t="str">
        <f t="shared" si="19"/>
        <v/>
      </c>
      <c r="P142" s="43" t="str">
        <f t="shared" si="20"/>
        <v/>
      </c>
      <c r="Q142" s="44">
        <f t="shared" si="21"/>
        <v>0</v>
      </c>
      <c r="R142" s="44">
        <f t="shared" si="22"/>
        <v>0</v>
      </c>
      <c r="S142" s="43">
        <f t="shared" si="23"/>
        <v>0</v>
      </c>
      <c r="T142" s="39"/>
      <c r="U142" s="35"/>
      <c r="V142" s="35"/>
      <c r="W142" s="35"/>
      <c r="X142" s="35"/>
      <c r="Y142" s="35"/>
      <c r="Z142" s="35"/>
      <c r="AA142" s="35"/>
      <c r="AB142" s="35"/>
      <c r="AC142" s="35"/>
      <c r="AD142" s="35"/>
      <c r="AE142" s="35"/>
      <c r="AF142" s="35"/>
      <c r="AG142" s="35"/>
      <c r="AH142" s="35"/>
      <c r="AI142" s="35"/>
      <c r="AJ142" s="35"/>
      <c r="AK142" s="35"/>
      <c r="AL142" s="35"/>
      <c r="AM142" s="35"/>
      <c r="AN142" s="35"/>
      <c r="AO142" s="35"/>
      <c r="AP142" s="35"/>
      <c r="AQ142" s="35"/>
      <c r="AR142" s="35"/>
      <c r="AS142" s="35"/>
      <c r="AT142" s="35"/>
      <c r="AU142" s="35"/>
      <c r="AV142" s="35"/>
      <c r="AW142" s="35"/>
      <c r="AX142" s="35"/>
      <c r="AY142" s="35"/>
      <c r="AZ142" s="35"/>
      <c r="BA142" s="35"/>
      <c r="BB142" s="35"/>
      <c r="BC142" s="35"/>
      <c r="BD142" s="35"/>
      <c r="BE142" s="35"/>
      <c r="BF142" s="35"/>
      <c r="BG142" s="35"/>
      <c r="BH142" s="35"/>
      <c r="BI142" s="35"/>
      <c r="BJ142" s="35"/>
      <c r="BK142" s="35"/>
      <c r="BL142" s="35"/>
    </row>
    <row r="143" spans="1:64" ht="14">
      <c r="A143" s="36"/>
      <c r="B143" s="37"/>
      <c r="C143" s="38">
        <f t="shared" si="16"/>
        <v>0</v>
      </c>
      <c r="D143" s="39"/>
      <c r="E143" s="39"/>
      <c r="F143" s="39"/>
      <c r="G143" s="39"/>
      <c r="H143" s="40"/>
      <c r="I143" s="41"/>
      <c r="J143" s="39"/>
      <c r="K143" s="41"/>
      <c r="L143" s="41"/>
      <c r="M143" s="42" t="str">
        <f t="shared" si="17"/>
        <v/>
      </c>
      <c r="N143" s="40" t="str">
        <f t="shared" si="18"/>
        <v/>
      </c>
      <c r="O143" s="40" t="str">
        <f t="shared" si="19"/>
        <v/>
      </c>
      <c r="P143" s="43" t="str">
        <f t="shared" si="20"/>
        <v/>
      </c>
      <c r="Q143" s="44">
        <f t="shared" si="21"/>
        <v>0</v>
      </c>
      <c r="R143" s="44">
        <f t="shared" si="22"/>
        <v>0</v>
      </c>
      <c r="S143" s="43">
        <f t="shared" si="23"/>
        <v>0</v>
      </c>
      <c r="T143" s="39"/>
      <c r="U143" s="35"/>
      <c r="V143" s="35"/>
      <c r="W143" s="35"/>
      <c r="X143" s="35"/>
      <c r="Y143" s="35"/>
      <c r="Z143" s="35"/>
      <c r="AA143" s="35"/>
      <c r="AB143" s="35"/>
      <c r="AC143" s="35"/>
      <c r="AD143" s="35"/>
      <c r="AE143" s="35"/>
      <c r="AF143" s="35"/>
      <c r="AG143" s="35"/>
      <c r="AH143" s="35"/>
      <c r="AI143" s="35"/>
      <c r="AJ143" s="35"/>
      <c r="AK143" s="35"/>
      <c r="AL143" s="35"/>
      <c r="AM143" s="35"/>
      <c r="AN143" s="35"/>
      <c r="AO143" s="35"/>
      <c r="AP143" s="35"/>
      <c r="AQ143" s="35"/>
      <c r="AR143" s="35"/>
      <c r="AS143" s="35"/>
      <c r="AT143" s="35"/>
      <c r="AU143" s="35"/>
      <c r="AV143" s="35"/>
      <c r="AW143" s="35"/>
      <c r="AX143" s="35"/>
      <c r="AY143" s="35"/>
      <c r="AZ143" s="35"/>
      <c r="BA143" s="35"/>
      <c r="BB143" s="35"/>
      <c r="BC143" s="35"/>
      <c r="BD143" s="35"/>
      <c r="BE143" s="35"/>
      <c r="BF143" s="35"/>
      <c r="BG143" s="35"/>
      <c r="BH143" s="35"/>
      <c r="BI143" s="35"/>
      <c r="BJ143" s="35"/>
      <c r="BK143" s="35"/>
      <c r="BL143" s="35"/>
    </row>
    <row r="144" spans="1:64" ht="14">
      <c r="A144" s="36"/>
      <c r="B144" s="37"/>
      <c r="C144" s="38">
        <f t="shared" si="16"/>
        <v>0</v>
      </c>
      <c r="D144" s="39"/>
      <c r="E144" s="39"/>
      <c r="F144" s="39"/>
      <c r="G144" s="39"/>
      <c r="H144" s="40"/>
      <c r="I144" s="41"/>
      <c r="J144" s="39"/>
      <c r="K144" s="41"/>
      <c r="L144" s="41"/>
      <c r="M144" s="42" t="str">
        <f t="shared" si="17"/>
        <v/>
      </c>
      <c r="N144" s="40" t="str">
        <f t="shared" si="18"/>
        <v/>
      </c>
      <c r="O144" s="40" t="str">
        <f t="shared" si="19"/>
        <v/>
      </c>
      <c r="P144" s="43" t="str">
        <f t="shared" si="20"/>
        <v/>
      </c>
      <c r="Q144" s="44">
        <f t="shared" si="21"/>
        <v>0</v>
      </c>
      <c r="R144" s="44">
        <f t="shared" si="22"/>
        <v>0</v>
      </c>
      <c r="S144" s="43">
        <f t="shared" si="23"/>
        <v>0</v>
      </c>
      <c r="T144" s="39"/>
      <c r="U144" s="35"/>
      <c r="V144" s="35"/>
      <c r="W144" s="35"/>
      <c r="X144" s="35"/>
      <c r="Y144" s="35"/>
      <c r="Z144" s="35"/>
      <c r="AA144" s="35"/>
      <c r="AB144" s="35"/>
      <c r="AC144" s="35"/>
      <c r="AD144" s="35"/>
      <c r="AE144" s="35"/>
      <c r="AF144" s="35"/>
      <c r="AG144" s="35"/>
      <c r="AH144" s="35"/>
      <c r="AI144" s="35"/>
      <c r="AJ144" s="35"/>
      <c r="AK144" s="35"/>
      <c r="AL144" s="35"/>
      <c r="AM144" s="35"/>
      <c r="AN144" s="35"/>
      <c r="AO144" s="35"/>
      <c r="AP144" s="35"/>
      <c r="AQ144" s="35"/>
      <c r="AR144" s="35"/>
      <c r="AS144" s="35"/>
      <c r="AT144" s="35"/>
      <c r="AU144" s="35"/>
      <c r="AV144" s="35"/>
      <c r="AW144" s="35"/>
      <c r="AX144" s="35"/>
      <c r="AY144" s="35"/>
      <c r="AZ144" s="35"/>
      <c r="BA144" s="35"/>
      <c r="BB144" s="35"/>
      <c r="BC144" s="35"/>
      <c r="BD144" s="35"/>
      <c r="BE144" s="35"/>
      <c r="BF144" s="35"/>
      <c r="BG144" s="35"/>
      <c r="BH144" s="35"/>
      <c r="BI144" s="35"/>
      <c r="BJ144" s="35"/>
      <c r="BK144" s="35"/>
      <c r="BL144" s="35"/>
    </row>
    <row r="145" spans="1:64" ht="14">
      <c r="A145" s="36"/>
      <c r="B145" s="37"/>
      <c r="C145" s="38">
        <f t="shared" si="16"/>
        <v>0</v>
      </c>
      <c r="D145" s="39"/>
      <c r="E145" s="39"/>
      <c r="F145" s="39"/>
      <c r="G145" s="39"/>
      <c r="H145" s="40"/>
      <c r="I145" s="41"/>
      <c r="J145" s="39"/>
      <c r="K145" s="41"/>
      <c r="L145" s="41"/>
      <c r="M145" s="42" t="str">
        <f t="shared" si="17"/>
        <v/>
      </c>
      <c r="N145" s="40" t="str">
        <f t="shared" si="18"/>
        <v/>
      </c>
      <c r="O145" s="40" t="str">
        <f t="shared" si="19"/>
        <v/>
      </c>
      <c r="P145" s="43" t="str">
        <f t="shared" si="20"/>
        <v/>
      </c>
      <c r="Q145" s="44">
        <f t="shared" si="21"/>
        <v>0</v>
      </c>
      <c r="R145" s="44">
        <f t="shared" si="22"/>
        <v>0</v>
      </c>
      <c r="S145" s="43">
        <f t="shared" si="23"/>
        <v>0</v>
      </c>
      <c r="T145" s="39"/>
      <c r="U145" s="35"/>
      <c r="V145" s="35"/>
      <c r="W145" s="35"/>
      <c r="X145" s="35"/>
      <c r="Y145" s="35"/>
      <c r="Z145" s="35"/>
      <c r="AA145" s="35"/>
      <c r="AB145" s="35"/>
      <c r="AC145" s="35"/>
      <c r="AD145" s="35"/>
      <c r="AE145" s="35"/>
      <c r="AF145" s="35"/>
      <c r="AG145" s="35"/>
      <c r="AH145" s="35"/>
      <c r="AI145" s="35"/>
      <c r="AJ145" s="35"/>
      <c r="AK145" s="35"/>
      <c r="AL145" s="35"/>
      <c r="AM145" s="35"/>
      <c r="AN145" s="35"/>
      <c r="AO145" s="35"/>
      <c r="AP145" s="35"/>
      <c r="AQ145" s="35"/>
      <c r="AR145" s="35"/>
      <c r="AS145" s="35"/>
      <c r="AT145" s="35"/>
      <c r="AU145" s="35"/>
      <c r="AV145" s="35"/>
      <c r="AW145" s="35"/>
      <c r="AX145" s="35"/>
      <c r="AY145" s="35"/>
      <c r="AZ145" s="35"/>
      <c r="BA145" s="35"/>
      <c r="BB145" s="35"/>
      <c r="BC145" s="35"/>
      <c r="BD145" s="35"/>
      <c r="BE145" s="35"/>
      <c r="BF145" s="35"/>
      <c r="BG145" s="35"/>
      <c r="BH145" s="35"/>
      <c r="BI145" s="35"/>
      <c r="BJ145" s="35"/>
      <c r="BK145" s="35"/>
      <c r="BL145" s="35"/>
    </row>
    <row r="146" spans="1:64" ht="14">
      <c r="A146" s="36"/>
      <c r="B146" s="37"/>
      <c r="C146" s="38">
        <f t="shared" si="16"/>
        <v>0</v>
      </c>
      <c r="D146" s="39"/>
      <c r="E146" s="39"/>
      <c r="F146" s="39"/>
      <c r="G146" s="39"/>
      <c r="H146" s="40"/>
      <c r="I146" s="41"/>
      <c r="J146" s="39"/>
      <c r="K146" s="41"/>
      <c r="L146" s="41"/>
      <c r="M146" s="42" t="str">
        <f t="shared" si="17"/>
        <v/>
      </c>
      <c r="N146" s="40" t="str">
        <f t="shared" si="18"/>
        <v/>
      </c>
      <c r="O146" s="40" t="str">
        <f t="shared" si="19"/>
        <v/>
      </c>
      <c r="P146" s="43" t="str">
        <f t="shared" si="20"/>
        <v/>
      </c>
      <c r="Q146" s="44">
        <f t="shared" si="21"/>
        <v>0</v>
      </c>
      <c r="R146" s="44">
        <f t="shared" si="22"/>
        <v>0</v>
      </c>
      <c r="S146" s="43">
        <f t="shared" si="23"/>
        <v>0</v>
      </c>
      <c r="T146" s="39"/>
      <c r="U146" s="35"/>
      <c r="V146" s="35"/>
      <c r="W146" s="35"/>
      <c r="X146" s="35"/>
      <c r="Y146" s="35"/>
      <c r="Z146" s="35"/>
      <c r="AA146" s="35"/>
      <c r="AB146" s="35"/>
      <c r="AC146" s="35"/>
      <c r="AD146" s="35"/>
      <c r="AE146" s="35"/>
      <c r="AF146" s="35"/>
      <c r="AG146" s="35"/>
      <c r="AH146" s="35"/>
      <c r="AI146" s="35"/>
      <c r="AJ146" s="35"/>
      <c r="AK146" s="35"/>
      <c r="AL146" s="35"/>
      <c r="AM146" s="35"/>
      <c r="AN146" s="35"/>
      <c r="AO146" s="35"/>
      <c r="AP146" s="35"/>
      <c r="AQ146" s="35"/>
      <c r="AR146" s="35"/>
      <c r="AS146" s="35"/>
      <c r="AT146" s="35"/>
      <c r="AU146" s="35"/>
      <c r="AV146" s="35"/>
      <c r="AW146" s="35"/>
      <c r="AX146" s="35"/>
      <c r="AY146" s="35"/>
      <c r="AZ146" s="35"/>
      <c r="BA146" s="35"/>
      <c r="BB146" s="35"/>
      <c r="BC146" s="35"/>
      <c r="BD146" s="35"/>
      <c r="BE146" s="35"/>
      <c r="BF146" s="35"/>
      <c r="BG146" s="35"/>
      <c r="BH146" s="35"/>
      <c r="BI146" s="35"/>
      <c r="BJ146" s="35"/>
      <c r="BK146" s="35"/>
      <c r="BL146" s="35"/>
    </row>
    <row r="147" spans="1:64" ht="14">
      <c r="A147" s="36"/>
      <c r="B147" s="37"/>
      <c r="C147" s="38">
        <f t="shared" si="16"/>
        <v>0</v>
      </c>
      <c r="D147" s="39"/>
      <c r="E147" s="39"/>
      <c r="F147" s="39"/>
      <c r="G147" s="39"/>
      <c r="H147" s="40"/>
      <c r="I147" s="41"/>
      <c r="J147" s="39"/>
      <c r="K147" s="41"/>
      <c r="L147" s="41"/>
      <c r="M147" s="42" t="str">
        <f t="shared" si="17"/>
        <v/>
      </c>
      <c r="N147" s="40" t="str">
        <f t="shared" si="18"/>
        <v/>
      </c>
      <c r="O147" s="40" t="str">
        <f t="shared" si="19"/>
        <v/>
      </c>
      <c r="P147" s="43" t="str">
        <f t="shared" si="20"/>
        <v/>
      </c>
      <c r="Q147" s="44">
        <f t="shared" si="21"/>
        <v>0</v>
      </c>
      <c r="R147" s="44">
        <f t="shared" si="22"/>
        <v>0</v>
      </c>
      <c r="S147" s="43">
        <f t="shared" si="23"/>
        <v>0</v>
      </c>
      <c r="T147" s="39"/>
      <c r="U147" s="35"/>
      <c r="V147" s="35"/>
      <c r="W147" s="35"/>
      <c r="X147" s="35"/>
      <c r="Y147" s="35"/>
      <c r="Z147" s="35"/>
      <c r="AA147" s="35"/>
      <c r="AB147" s="35"/>
      <c r="AC147" s="35"/>
      <c r="AD147" s="35"/>
      <c r="AE147" s="35"/>
      <c r="AF147" s="35"/>
      <c r="AG147" s="35"/>
      <c r="AH147" s="35"/>
      <c r="AI147" s="35"/>
      <c r="AJ147" s="35"/>
      <c r="AK147" s="35"/>
      <c r="AL147" s="35"/>
      <c r="AM147" s="35"/>
      <c r="AN147" s="35"/>
      <c r="AO147" s="35"/>
      <c r="AP147" s="35"/>
      <c r="AQ147" s="35"/>
      <c r="AR147" s="35"/>
      <c r="AS147" s="35"/>
      <c r="AT147" s="35"/>
      <c r="AU147" s="35"/>
      <c r="AV147" s="35"/>
      <c r="AW147" s="35"/>
      <c r="AX147" s="35"/>
      <c r="AY147" s="35"/>
      <c r="AZ147" s="35"/>
      <c r="BA147" s="35"/>
      <c r="BB147" s="35"/>
      <c r="BC147" s="35"/>
      <c r="BD147" s="35"/>
      <c r="BE147" s="35"/>
      <c r="BF147" s="35"/>
      <c r="BG147" s="35"/>
      <c r="BH147" s="35"/>
      <c r="BI147" s="35"/>
      <c r="BJ147" s="35"/>
      <c r="BK147" s="35"/>
      <c r="BL147" s="35"/>
    </row>
    <row r="148" spans="1:64" ht="14">
      <c r="A148" s="36"/>
      <c r="B148" s="37"/>
      <c r="C148" s="38">
        <f t="shared" si="16"/>
        <v>0</v>
      </c>
      <c r="D148" s="39"/>
      <c r="E148" s="39"/>
      <c r="F148" s="39"/>
      <c r="G148" s="39"/>
      <c r="H148" s="40"/>
      <c r="I148" s="41"/>
      <c r="J148" s="39"/>
      <c r="K148" s="41"/>
      <c r="L148" s="41"/>
      <c r="M148" s="42" t="str">
        <f t="shared" si="17"/>
        <v/>
      </c>
      <c r="N148" s="40" t="str">
        <f t="shared" si="18"/>
        <v/>
      </c>
      <c r="O148" s="40" t="str">
        <f t="shared" si="19"/>
        <v/>
      </c>
      <c r="P148" s="43" t="str">
        <f t="shared" si="20"/>
        <v/>
      </c>
      <c r="Q148" s="44">
        <f t="shared" si="21"/>
        <v>0</v>
      </c>
      <c r="R148" s="44">
        <f t="shared" si="22"/>
        <v>0</v>
      </c>
      <c r="S148" s="43">
        <f t="shared" si="23"/>
        <v>0</v>
      </c>
      <c r="T148" s="39"/>
      <c r="U148" s="35"/>
      <c r="V148" s="35"/>
      <c r="W148" s="35"/>
      <c r="X148" s="35"/>
      <c r="Y148" s="35"/>
      <c r="Z148" s="35"/>
      <c r="AA148" s="35"/>
      <c r="AB148" s="35"/>
      <c r="AC148" s="35"/>
      <c r="AD148" s="35"/>
      <c r="AE148" s="35"/>
      <c r="AF148" s="35"/>
      <c r="AG148" s="35"/>
      <c r="AH148" s="35"/>
      <c r="AI148" s="35"/>
      <c r="AJ148" s="35"/>
      <c r="AK148" s="35"/>
      <c r="AL148" s="35"/>
      <c r="AM148" s="35"/>
      <c r="AN148" s="35"/>
      <c r="AO148" s="35"/>
      <c r="AP148" s="35"/>
      <c r="AQ148" s="35"/>
      <c r="AR148" s="35"/>
      <c r="AS148" s="35"/>
      <c r="AT148" s="35"/>
      <c r="AU148" s="35"/>
      <c r="AV148" s="35"/>
      <c r="AW148" s="35"/>
      <c r="AX148" s="35"/>
      <c r="AY148" s="35"/>
      <c r="AZ148" s="35"/>
      <c r="BA148" s="35"/>
      <c r="BB148" s="35"/>
      <c r="BC148" s="35"/>
      <c r="BD148" s="35"/>
      <c r="BE148" s="35"/>
      <c r="BF148" s="35"/>
      <c r="BG148" s="35"/>
      <c r="BH148" s="35"/>
      <c r="BI148" s="35"/>
      <c r="BJ148" s="35"/>
      <c r="BK148" s="35"/>
      <c r="BL148" s="35"/>
    </row>
    <row r="149" spans="1:64" ht="14">
      <c r="A149" s="36"/>
      <c r="B149" s="37"/>
      <c r="C149" s="38">
        <f t="shared" si="16"/>
        <v>0</v>
      </c>
      <c r="D149" s="39"/>
      <c r="E149" s="39"/>
      <c r="F149" s="39"/>
      <c r="G149" s="39"/>
      <c r="H149" s="40"/>
      <c r="I149" s="41"/>
      <c r="J149" s="39"/>
      <c r="K149" s="41"/>
      <c r="L149" s="41"/>
      <c r="M149" s="42" t="str">
        <f t="shared" si="17"/>
        <v/>
      </c>
      <c r="N149" s="40" t="str">
        <f t="shared" si="18"/>
        <v/>
      </c>
      <c r="O149" s="40" t="str">
        <f t="shared" si="19"/>
        <v/>
      </c>
      <c r="P149" s="43" t="str">
        <f t="shared" si="20"/>
        <v/>
      </c>
      <c r="Q149" s="44">
        <f t="shared" si="21"/>
        <v>0</v>
      </c>
      <c r="R149" s="44">
        <f t="shared" si="22"/>
        <v>0</v>
      </c>
      <c r="S149" s="43">
        <f t="shared" si="23"/>
        <v>0</v>
      </c>
      <c r="T149" s="39"/>
      <c r="U149" s="35"/>
      <c r="V149" s="35"/>
      <c r="W149" s="35"/>
      <c r="X149" s="35"/>
      <c r="Y149" s="35"/>
      <c r="Z149" s="35"/>
      <c r="AA149" s="35"/>
      <c r="AB149" s="35"/>
      <c r="AC149" s="35"/>
      <c r="AD149" s="35"/>
      <c r="AE149" s="35"/>
      <c r="AF149" s="35"/>
      <c r="AG149" s="35"/>
      <c r="AH149" s="35"/>
      <c r="AI149" s="35"/>
      <c r="AJ149" s="35"/>
      <c r="AK149" s="35"/>
      <c r="AL149" s="35"/>
      <c r="AM149" s="35"/>
      <c r="AN149" s="35"/>
      <c r="AO149" s="35"/>
      <c r="AP149" s="35"/>
      <c r="AQ149" s="35"/>
      <c r="AR149" s="35"/>
      <c r="AS149" s="35"/>
      <c r="AT149" s="35"/>
      <c r="AU149" s="35"/>
      <c r="AV149" s="35"/>
      <c r="AW149" s="35"/>
      <c r="AX149" s="35"/>
      <c r="AY149" s="35"/>
      <c r="AZ149" s="35"/>
      <c r="BA149" s="35"/>
      <c r="BB149" s="35"/>
      <c r="BC149" s="35"/>
      <c r="BD149" s="35"/>
      <c r="BE149" s="35"/>
      <c r="BF149" s="35"/>
      <c r="BG149" s="35"/>
      <c r="BH149" s="35"/>
      <c r="BI149" s="35"/>
      <c r="BJ149" s="35"/>
      <c r="BK149" s="35"/>
      <c r="BL149" s="35"/>
    </row>
    <row r="150" spans="1:64" ht="14">
      <c r="A150" s="36"/>
      <c r="B150" s="37"/>
      <c r="C150" s="38">
        <f t="shared" si="16"/>
        <v>0</v>
      </c>
      <c r="D150" s="39"/>
      <c r="E150" s="39"/>
      <c r="F150" s="39"/>
      <c r="G150" s="39"/>
      <c r="H150" s="40"/>
      <c r="I150" s="41"/>
      <c r="J150" s="39"/>
      <c r="K150" s="41"/>
      <c r="L150" s="41"/>
      <c r="M150" s="42" t="str">
        <f t="shared" si="17"/>
        <v/>
      </c>
      <c r="N150" s="40" t="str">
        <f t="shared" si="18"/>
        <v/>
      </c>
      <c r="O150" s="40" t="str">
        <f t="shared" si="19"/>
        <v/>
      </c>
      <c r="P150" s="43" t="str">
        <f t="shared" si="20"/>
        <v/>
      </c>
      <c r="Q150" s="44">
        <f t="shared" si="21"/>
        <v>0</v>
      </c>
      <c r="R150" s="44">
        <f t="shared" si="22"/>
        <v>0</v>
      </c>
      <c r="S150" s="43">
        <f t="shared" si="23"/>
        <v>0</v>
      </c>
      <c r="T150" s="39"/>
      <c r="U150" s="35"/>
      <c r="V150" s="35"/>
      <c r="W150" s="35"/>
      <c r="X150" s="35"/>
      <c r="Y150" s="35"/>
      <c r="Z150" s="35"/>
      <c r="AA150" s="35"/>
      <c r="AB150" s="35"/>
      <c r="AC150" s="35"/>
      <c r="AD150" s="35"/>
      <c r="AE150" s="35"/>
      <c r="AF150" s="35"/>
      <c r="AG150" s="35"/>
      <c r="AH150" s="35"/>
      <c r="AI150" s="35"/>
      <c r="AJ150" s="35"/>
      <c r="AK150" s="35"/>
      <c r="AL150" s="35"/>
      <c r="AM150" s="35"/>
      <c r="AN150" s="35"/>
      <c r="AO150" s="35"/>
      <c r="AP150" s="35"/>
      <c r="AQ150" s="35"/>
      <c r="AR150" s="35"/>
      <c r="AS150" s="35"/>
      <c r="AT150" s="35"/>
      <c r="AU150" s="35"/>
      <c r="AV150" s="35"/>
      <c r="AW150" s="35"/>
      <c r="AX150" s="35"/>
      <c r="AY150" s="35"/>
      <c r="AZ150" s="35"/>
      <c r="BA150" s="35"/>
      <c r="BB150" s="35"/>
      <c r="BC150" s="35"/>
      <c r="BD150" s="35"/>
      <c r="BE150" s="35"/>
      <c r="BF150" s="35"/>
      <c r="BG150" s="35"/>
      <c r="BH150" s="35"/>
      <c r="BI150" s="35"/>
      <c r="BJ150" s="35"/>
      <c r="BK150" s="35"/>
      <c r="BL150" s="35"/>
    </row>
    <row r="151" spans="1:64" ht="14">
      <c r="A151" s="36"/>
      <c r="B151" s="37"/>
      <c r="C151" s="38">
        <f t="shared" si="16"/>
        <v>0</v>
      </c>
      <c r="D151" s="39"/>
      <c r="E151" s="39"/>
      <c r="F151" s="39"/>
      <c r="G151" s="39"/>
      <c r="H151" s="40"/>
      <c r="I151" s="41"/>
      <c r="J151" s="39"/>
      <c r="K151" s="41"/>
      <c r="L151" s="41"/>
      <c r="M151" s="42" t="str">
        <f t="shared" si="17"/>
        <v/>
      </c>
      <c r="N151" s="40" t="str">
        <f t="shared" si="18"/>
        <v/>
      </c>
      <c r="O151" s="40" t="str">
        <f t="shared" si="19"/>
        <v/>
      </c>
      <c r="P151" s="43" t="str">
        <f t="shared" si="20"/>
        <v/>
      </c>
      <c r="Q151" s="44">
        <f t="shared" si="21"/>
        <v>0</v>
      </c>
      <c r="R151" s="44">
        <f t="shared" si="22"/>
        <v>0</v>
      </c>
      <c r="S151" s="43">
        <f t="shared" si="23"/>
        <v>0</v>
      </c>
      <c r="T151" s="39"/>
      <c r="U151" s="35"/>
      <c r="V151" s="35"/>
      <c r="W151" s="46"/>
      <c r="X151" s="35"/>
      <c r="Y151" s="35"/>
      <c r="Z151" s="35"/>
      <c r="AA151" s="35"/>
      <c r="AB151" s="35"/>
      <c r="AC151" s="35"/>
      <c r="AD151" s="35"/>
      <c r="AE151" s="35"/>
      <c r="AF151" s="35"/>
      <c r="AG151" s="35"/>
      <c r="AH151" s="35"/>
      <c r="AI151" s="35"/>
      <c r="AJ151" s="35"/>
      <c r="AK151" s="35"/>
      <c r="AL151" s="35"/>
      <c r="AM151" s="35"/>
      <c r="AN151" s="35"/>
      <c r="AO151" s="35"/>
      <c r="AP151" s="35"/>
      <c r="AQ151" s="35"/>
      <c r="AR151" s="35"/>
      <c r="AS151" s="35"/>
      <c r="AT151" s="35"/>
      <c r="AU151" s="35"/>
      <c r="AV151" s="35"/>
      <c r="AW151" s="35"/>
      <c r="AX151" s="35"/>
      <c r="AY151" s="35"/>
      <c r="AZ151" s="35"/>
      <c r="BA151" s="35"/>
      <c r="BB151" s="35"/>
      <c r="BC151" s="35"/>
      <c r="BD151" s="35"/>
      <c r="BE151" s="35"/>
      <c r="BF151" s="35"/>
      <c r="BG151" s="35"/>
      <c r="BH151" s="35"/>
      <c r="BI151" s="35"/>
      <c r="BJ151" s="35"/>
      <c r="BK151" s="35"/>
      <c r="BL151" s="35"/>
    </row>
    <row r="152" spans="1:64" ht="14">
      <c r="A152" s="36"/>
      <c r="B152" s="37"/>
      <c r="C152" s="38">
        <f t="shared" si="16"/>
        <v>0</v>
      </c>
      <c r="D152" s="39"/>
      <c r="E152" s="39"/>
      <c r="F152" s="39"/>
      <c r="G152" s="39"/>
      <c r="H152" s="40"/>
      <c r="I152" s="41"/>
      <c r="J152" s="39"/>
      <c r="K152" s="41"/>
      <c r="L152" s="41"/>
      <c r="M152" s="42" t="str">
        <f t="shared" si="17"/>
        <v/>
      </c>
      <c r="N152" s="40" t="str">
        <f t="shared" si="18"/>
        <v/>
      </c>
      <c r="O152" s="40" t="str">
        <f t="shared" si="19"/>
        <v/>
      </c>
      <c r="P152" s="43" t="str">
        <f t="shared" si="20"/>
        <v/>
      </c>
      <c r="Q152" s="44">
        <f t="shared" si="21"/>
        <v>0</v>
      </c>
      <c r="R152" s="44">
        <f t="shared" si="22"/>
        <v>0</v>
      </c>
      <c r="S152" s="43">
        <f t="shared" si="23"/>
        <v>0</v>
      </c>
      <c r="T152" s="39"/>
      <c r="U152" s="35"/>
      <c r="V152" s="35"/>
      <c r="W152" s="35"/>
      <c r="X152" s="35"/>
      <c r="Y152" s="35"/>
      <c r="Z152" s="35"/>
      <c r="AA152" s="35"/>
      <c r="AB152" s="35"/>
      <c r="AC152" s="35"/>
      <c r="AD152" s="35"/>
      <c r="AE152" s="35"/>
      <c r="AF152" s="35"/>
      <c r="AG152" s="35"/>
      <c r="AH152" s="35"/>
      <c r="AI152" s="35"/>
      <c r="AJ152" s="35"/>
      <c r="AK152" s="35"/>
      <c r="AL152" s="35"/>
      <c r="AM152" s="35"/>
      <c r="AN152" s="35"/>
      <c r="AO152" s="35"/>
      <c r="AP152" s="35"/>
      <c r="AQ152" s="35"/>
      <c r="AR152" s="35"/>
      <c r="AS152" s="35"/>
      <c r="AT152" s="35"/>
      <c r="AU152" s="35"/>
      <c r="AV152" s="35"/>
      <c r="AW152" s="35"/>
      <c r="AX152" s="35"/>
      <c r="AY152" s="35"/>
      <c r="AZ152" s="35"/>
      <c r="BA152" s="35"/>
      <c r="BB152" s="35"/>
      <c r="BC152" s="35"/>
      <c r="BD152" s="35"/>
      <c r="BE152" s="35"/>
      <c r="BF152" s="35"/>
      <c r="BG152" s="35"/>
      <c r="BH152" s="35"/>
      <c r="BI152" s="35"/>
      <c r="BJ152" s="35"/>
      <c r="BK152" s="35"/>
      <c r="BL152" s="35"/>
    </row>
    <row r="153" spans="1:64" ht="14">
      <c r="A153" s="36"/>
      <c r="B153" s="37"/>
      <c r="C153" s="38">
        <f t="shared" si="16"/>
        <v>0</v>
      </c>
      <c r="D153" s="39"/>
      <c r="E153" s="39"/>
      <c r="F153" s="39"/>
      <c r="G153" s="39"/>
      <c r="H153" s="40"/>
      <c r="I153" s="41"/>
      <c r="J153" s="39"/>
      <c r="K153" s="41"/>
      <c r="L153" s="41"/>
      <c r="M153" s="42" t="str">
        <f t="shared" si="17"/>
        <v/>
      </c>
      <c r="N153" s="40" t="str">
        <f t="shared" si="18"/>
        <v/>
      </c>
      <c r="O153" s="40" t="str">
        <f t="shared" si="19"/>
        <v/>
      </c>
      <c r="P153" s="43" t="str">
        <f t="shared" si="20"/>
        <v/>
      </c>
      <c r="Q153" s="44">
        <f t="shared" si="21"/>
        <v>0</v>
      </c>
      <c r="R153" s="44">
        <f t="shared" si="22"/>
        <v>0</v>
      </c>
      <c r="S153" s="43">
        <f t="shared" si="23"/>
        <v>0</v>
      </c>
      <c r="T153" s="39"/>
      <c r="U153" s="35"/>
      <c r="V153" s="35"/>
      <c r="W153" s="35"/>
      <c r="X153" s="35"/>
      <c r="Y153" s="35"/>
      <c r="Z153" s="35"/>
      <c r="AA153" s="35"/>
      <c r="AB153" s="35"/>
      <c r="AC153" s="35"/>
      <c r="AD153" s="35"/>
      <c r="AE153" s="35"/>
      <c r="AF153" s="35"/>
      <c r="AG153" s="35"/>
      <c r="AH153" s="35"/>
      <c r="AI153" s="35"/>
      <c r="AJ153" s="35"/>
      <c r="AK153" s="35"/>
      <c r="AL153" s="35"/>
      <c r="AM153" s="35"/>
      <c r="AN153" s="35"/>
      <c r="AO153" s="35"/>
      <c r="AP153" s="35"/>
      <c r="AQ153" s="35"/>
      <c r="AR153" s="35"/>
      <c r="AS153" s="35"/>
      <c r="AT153" s="35"/>
      <c r="AU153" s="35"/>
      <c r="AV153" s="35"/>
      <c r="AW153" s="35"/>
      <c r="AX153" s="35"/>
      <c r="AY153" s="35"/>
      <c r="AZ153" s="35"/>
      <c r="BA153" s="35"/>
      <c r="BB153" s="35"/>
      <c r="BC153" s="35"/>
      <c r="BD153" s="35"/>
      <c r="BE153" s="35"/>
      <c r="BF153" s="35"/>
      <c r="BG153" s="35"/>
      <c r="BH153" s="35"/>
      <c r="BI153" s="35"/>
      <c r="BJ153" s="35"/>
      <c r="BK153" s="35"/>
      <c r="BL153" s="35"/>
    </row>
    <row r="154" spans="1:64" ht="14">
      <c r="A154" s="36"/>
      <c r="B154" s="37"/>
      <c r="C154" s="38">
        <f t="shared" si="16"/>
        <v>0</v>
      </c>
      <c r="D154" s="39"/>
      <c r="E154" s="39"/>
      <c r="F154" s="39"/>
      <c r="G154" s="39"/>
      <c r="H154" s="40"/>
      <c r="I154" s="41"/>
      <c r="J154" s="39"/>
      <c r="K154" s="41"/>
      <c r="L154" s="41"/>
      <c r="M154" s="42" t="str">
        <f t="shared" si="17"/>
        <v/>
      </c>
      <c r="N154" s="40" t="str">
        <f t="shared" si="18"/>
        <v/>
      </c>
      <c r="O154" s="40" t="str">
        <f t="shared" si="19"/>
        <v/>
      </c>
      <c r="P154" s="43" t="str">
        <f t="shared" si="20"/>
        <v/>
      </c>
      <c r="Q154" s="44">
        <f t="shared" si="21"/>
        <v>0</v>
      </c>
      <c r="R154" s="44">
        <f t="shared" si="22"/>
        <v>0</v>
      </c>
      <c r="S154" s="43">
        <f t="shared" si="23"/>
        <v>0</v>
      </c>
      <c r="T154" s="39"/>
      <c r="U154" s="35"/>
      <c r="V154" s="35"/>
      <c r="W154" s="35"/>
      <c r="X154" s="35"/>
      <c r="Y154" s="35"/>
      <c r="Z154" s="35"/>
      <c r="AA154" s="35"/>
      <c r="AB154" s="35"/>
      <c r="AC154" s="35"/>
      <c r="AD154" s="35"/>
      <c r="AE154" s="35"/>
      <c r="AF154" s="35"/>
      <c r="AG154" s="35"/>
      <c r="AH154" s="35"/>
      <c r="AI154" s="35"/>
      <c r="AJ154" s="35"/>
      <c r="AK154" s="35"/>
      <c r="AL154" s="35"/>
      <c r="AM154" s="35"/>
      <c r="AN154" s="35"/>
      <c r="AO154" s="35"/>
      <c r="AP154" s="35"/>
      <c r="AQ154" s="35"/>
      <c r="AR154" s="35"/>
      <c r="AS154" s="35"/>
      <c r="AT154" s="35"/>
      <c r="AU154" s="35"/>
      <c r="AV154" s="35"/>
      <c r="AW154" s="35"/>
      <c r="AX154" s="35"/>
      <c r="AY154" s="35"/>
      <c r="AZ154" s="35"/>
      <c r="BA154" s="35"/>
      <c r="BB154" s="35"/>
      <c r="BC154" s="35"/>
      <c r="BD154" s="35"/>
      <c r="BE154" s="35"/>
      <c r="BF154" s="35"/>
      <c r="BG154" s="35"/>
      <c r="BH154" s="35"/>
      <c r="BI154" s="35"/>
      <c r="BJ154" s="35"/>
      <c r="BK154" s="35"/>
      <c r="BL154" s="35"/>
    </row>
    <row r="155" spans="1:64" ht="14">
      <c r="A155" s="36"/>
      <c r="B155" s="37"/>
      <c r="C155" s="38">
        <f t="shared" si="16"/>
        <v>0</v>
      </c>
      <c r="D155" s="39"/>
      <c r="E155" s="39"/>
      <c r="F155" s="39"/>
      <c r="G155" s="39"/>
      <c r="H155" s="40"/>
      <c r="I155" s="41"/>
      <c r="J155" s="39"/>
      <c r="K155" s="41"/>
      <c r="L155" s="41"/>
      <c r="M155" s="42" t="str">
        <f t="shared" si="17"/>
        <v/>
      </c>
      <c r="N155" s="40" t="str">
        <f t="shared" si="18"/>
        <v/>
      </c>
      <c r="O155" s="40" t="str">
        <f t="shared" si="19"/>
        <v/>
      </c>
      <c r="P155" s="43" t="str">
        <f t="shared" si="20"/>
        <v/>
      </c>
      <c r="Q155" s="44">
        <f t="shared" si="21"/>
        <v>0</v>
      </c>
      <c r="R155" s="44">
        <f t="shared" si="22"/>
        <v>0</v>
      </c>
      <c r="S155" s="43">
        <f t="shared" si="23"/>
        <v>0</v>
      </c>
      <c r="T155" s="39"/>
      <c r="U155" s="35"/>
      <c r="V155" s="35"/>
      <c r="W155" s="35"/>
      <c r="X155" s="35"/>
      <c r="Y155" s="35"/>
      <c r="Z155" s="35"/>
      <c r="AA155" s="35"/>
      <c r="AB155" s="35"/>
      <c r="AC155" s="35"/>
      <c r="AD155" s="35"/>
      <c r="AE155" s="35"/>
      <c r="AF155" s="35"/>
      <c r="AG155" s="35"/>
      <c r="AH155" s="35"/>
      <c r="AI155" s="35"/>
      <c r="AJ155" s="35"/>
      <c r="AK155" s="35"/>
      <c r="AL155" s="35"/>
      <c r="AM155" s="35"/>
      <c r="AN155" s="35"/>
      <c r="AO155" s="35"/>
      <c r="AP155" s="35"/>
      <c r="AQ155" s="35"/>
      <c r="AR155" s="35"/>
      <c r="AS155" s="35"/>
      <c r="AT155" s="35"/>
      <c r="AU155" s="35"/>
      <c r="AV155" s="35"/>
      <c r="AW155" s="35"/>
      <c r="AX155" s="35"/>
      <c r="AY155" s="35"/>
      <c r="AZ155" s="35"/>
      <c r="BA155" s="35"/>
      <c r="BB155" s="35"/>
      <c r="BC155" s="35"/>
      <c r="BD155" s="35"/>
      <c r="BE155" s="35"/>
      <c r="BF155" s="35"/>
      <c r="BG155" s="35"/>
      <c r="BH155" s="35"/>
      <c r="BI155" s="35"/>
      <c r="BJ155" s="35"/>
      <c r="BK155" s="35"/>
      <c r="BL155" s="35"/>
    </row>
    <row r="156" spans="1:64" ht="14">
      <c r="A156" s="36"/>
      <c r="B156" s="37"/>
      <c r="C156" s="38">
        <f t="shared" si="16"/>
        <v>0</v>
      </c>
      <c r="D156" s="39"/>
      <c r="E156" s="39"/>
      <c r="F156" s="39"/>
      <c r="G156" s="39"/>
      <c r="H156" s="40"/>
      <c r="I156" s="41"/>
      <c r="J156" s="39"/>
      <c r="K156" s="41"/>
      <c r="L156" s="41"/>
      <c r="M156" s="42" t="str">
        <f t="shared" si="17"/>
        <v/>
      </c>
      <c r="N156" s="40" t="str">
        <f t="shared" si="18"/>
        <v/>
      </c>
      <c r="O156" s="40" t="str">
        <f t="shared" si="19"/>
        <v/>
      </c>
      <c r="P156" s="43" t="str">
        <f t="shared" si="20"/>
        <v/>
      </c>
      <c r="Q156" s="44">
        <f t="shared" si="21"/>
        <v>0</v>
      </c>
      <c r="R156" s="44">
        <f t="shared" si="22"/>
        <v>0</v>
      </c>
      <c r="S156" s="43">
        <f t="shared" si="23"/>
        <v>0</v>
      </c>
      <c r="T156" s="39"/>
      <c r="U156" s="35"/>
      <c r="V156" s="35"/>
      <c r="W156" s="35"/>
      <c r="X156" s="35"/>
      <c r="Y156" s="35"/>
      <c r="Z156" s="35"/>
      <c r="AA156" s="35"/>
      <c r="AB156" s="35"/>
      <c r="AC156" s="35"/>
      <c r="AD156" s="35"/>
      <c r="AE156" s="35"/>
      <c r="AF156" s="35"/>
      <c r="AG156" s="35"/>
      <c r="AH156" s="35"/>
      <c r="AI156" s="35"/>
      <c r="AJ156" s="35"/>
      <c r="AK156" s="35"/>
      <c r="AL156" s="35"/>
      <c r="AM156" s="35"/>
      <c r="AN156" s="35"/>
      <c r="AO156" s="35"/>
      <c r="AP156" s="35"/>
      <c r="AQ156" s="35"/>
      <c r="AR156" s="35"/>
      <c r="AS156" s="35"/>
      <c r="AT156" s="35"/>
      <c r="AU156" s="35"/>
      <c r="AV156" s="35"/>
      <c r="AW156" s="35"/>
      <c r="AX156" s="35"/>
      <c r="AY156" s="35"/>
      <c r="AZ156" s="35"/>
      <c r="BA156" s="35"/>
      <c r="BB156" s="35"/>
      <c r="BC156" s="35"/>
      <c r="BD156" s="35"/>
      <c r="BE156" s="35"/>
      <c r="BF156" s="35"/>
      <c r="BG156" s="35"/>
      <c r="BH156" s="35"/>
      <c r="BI156" s="35"/>
      <c r="BJ156" s="35"/>
      <c r="BK156" s="35"/>
      <c r="BL156" s="35"/>
    </row>
    <row r="157" spans="1:64" ht="14">
      <c r="A157" s="36"/>
      <c r="B157" s="37"/>
      <c r="C157" s="38">
        <f t="shared" si="16"/>
        <v>0</v>
      </c>
      <c r="D157" s="39"/>
      <c r="E157" s="39"/>
      <c r="F157" s="39"/>
      <c r="G157" s="39"/>
      <c r="H157" s="40"/>
      <c r="I157" s="41"/>
      <c r="J157" s="39"/>
      <c r="K157" s="41"/>
      <c r="L157" s="41"/>
      <c r="M157" s="42" t="str">
        <f t="shared" si="17"/>
        <v/>
      </c>
      <c r="N157" s="40" t="str">
        <f t="shared" si="18"/>
        <v/>
      </c>
      <c r="O157" s="40" t="str">
        <f t="shared" si="19"/>
        <v/>
      </c>
      <c r="P157" s="43" t="str">
        <f t="shared" si="20"/>
        <v/>
      </c>
      <c r="Q157" s="44">
        <f t="shared" si="21"/>
        <v>0</v>
      </c>
      <c r="R157" s="44">
        <f t="shared" si="22"/>
        <v>0</v>
      </c>
      <c r="S157" s="43">
        <f t="shared" si="23"/>
        <v>0</v>
      </c>
      <c r="T157" s="39"/>
      <c r="U157" s="35"/>
      <c r="V157" s="35"/>
      <c r="W157" s="35"/>
      <c r="X157" s="35"/>
      <c r="Y157" s="35"/>
      <c r="Z157" s="35"/>
      <c r="AA157" s="35"/>
      <c r="AB157" s="35"/>
      <c r="AC157" s="35"/>
      <c r="AD157" s="35"/>
      <c r="AE157" s="35"/>
      <c r="AF157" s="35"/>
      <c r="AG157" s="35"/>
      <c r="AH157" s="35"/>
      <c r="AI157" s="35"/>
      <c r="AJ157" s="35"/>
      <c r="AK157" s="35"/>
      <c r="AL157" s="35"/>
      <c r="AM157" s="35"/>
      <c r="AN157" s="35"/>
      <c r="AO157" s="35"/>
      <c r="AP157" s="35"/>
      <c r="AQ157" s="35"/>
      <c r="AR157" s="35"/>
      <c r="AS157" s="35"/>
      <c r="AT157" s="35"/>
      <c r="AU157" s="35"/>
      <c r="AV157" s="35"/>
      <c r="AW157" s="35"/>
      <c r="AX157" s="35"/>
      <c r="AY157" s="35"/>
      <c r="AZ157" s="35"/>
      <c r="BA157" s="35"/>
      <c r="BB157" s="35"/>
      <c r="BC157" s="35"/>
      <c r="BD157" s="35"/>
      <c r="BE157" s="35"/>
      <c r="BF157" s="35"/>
      <c r="BG157" s="35"/>
      <c r="BH157" s="35"/>
      <c r="BI157" s="35"/>
      <c r="BJ157" s="35"/>
      <c r="BK157" s="35"/>
      <c r="BL157" s="35"/>
    </row>
    <row r="158" spans="1:64" ht="14">
      <c r="A158" s="36"/>
      <c r="B158" s="37"/>
      <c r="C158" s="38">
        <f t="shared" si="16"/>
        <v>0</v>
      </c>
      <c r="D158" s="39"/>
      <c r="E158" s="39"/>
      <c r="F158" s="39"/>
      <c r="G158" s="39"/>
      <c r="H158" s="40"/>
      <c r="I158" s="41"/>
      <c r="J158" s="39"/>
      <c r="K158" s="41"/>
      <c r="L158" s="41"/>
      <c r="M158" s="42" t="str">
        <f t="shared" si="17"/>
        <v/>
      </c>
      <c r="N158" s="40" t="str">
        <f t="shared" si="18"/>
        <v/>
      </c>
      <c r="O158" s="40" t="str">
        <f t="shared" si="19"/>
        <v/>
      </c>
      <c r="P158" s="43" t="str">
        <f t="shared" si="20"/>
        <v/>
      </c>
      <c r="Q158" s="44">
        <f t="shared" si="21"/>
        <v>0</v>
      </c>
      <c r="R158" s="44">
        <f t="shared" si="22"/>
        <v>0</v>
      </c>
      <c r="S158" s="43">
        <f t="shared" si="23"/>
        <v>0</v>
      </c>
      <c r="T158" s="39"/>
      <c r="U158" s="35"/>
      <c r="V158" s="35"/>
      <c r="W158" s="35"/>
      <c r="X158" s="35"/>
      <c r="Y158" s="35"/>
      <c r="Z158" s="35"/>
      <c r="AA158" s="35"/>
      <c r="AB158" s="35"/>
      <c r="AC158" s="35"/>
      <c r="AD158" s="35"/>
      <c r="AE158" s="35"/>
      <c r="AF158" s="35"/>
      <c r="AG158" s="35"/>
      <c r="AH158" s="35"/>
      <c r="AI158" s="35"/>
      <c r="AJ158" s="35"/>
      <c r="AK158" s="35"/>
      <c r="AL158" s="35"/>
      <c r="AM158" s="35"/>
      <c r="AN158" s="35"/>
      <c r="AO158" s="35"/>
      <c r="AP158" s="35"/>
      <c r="AQ158" s="35"/>
      <c r="AR158" s="35"/>
      <c r="AS158" s="35"/>
      <c r="AT158" s="35"/>
      <c r="AU158" s="35"/>
      <c r="AV158" s="35"/>
      <c r="AW158" s="35"/>
      <c r="AX158" s="35"/>
      <c r="AY158" s="35"/>
      <c r="AZ158" s="35"/>
      <c r="BA158" s="35"/>
      <c r="BB158" s="35"/>
      <c r="BC158" s="35"/>
      <c r="BD158" s="35"/>
      <c r="BE158" s="35"/>
      <c r="BF158" s="35"/>
      <c r="BG158" s="35"/>
      <c r="BH158" s="35"/>
      <c r="BI158" s="35"/>
      <c r="BJ158" s="35"/>
      <c r="BK158" s="35"/>
      <c r="BL158" s="35"/>
    </row>
    <row r="159" spans="1:64" ht="14">
      <c r="A159" s="36"/>
      <c r="B159" s="37"/>
      <c r="C159" s="38">
        <f t="shared" si="16"/>
        <v>0</v>
      </c>
      <c r="D159" s="39"/>
      <c r="E159" s="39"/>
      <c r="F159" s="39"/>
      <c r="G159" s="39"/>
      <c r="H159" s="40"/>
      <c r="I159" s="41"/>
      <c r="J159" s="39"/>
      <c r="K159" s="41"/>
      <c r="L159" s="41"/>
      <c r="M159" s="42" t="str">
        <f t="shared" si="17"/>
        <v/>
      </c>
      <c r="N159" s="40" t="str">
        <f t="shared" si="18"/>
        <v/>
      </c>
      <c r="O159" s="40" t="str">
        <f t="shared" si="19"/>
        <v/>
      </c>
      <c r="P159" s="43" t="str">
        <f t="shared" si="20"/>
        <v/>
      </c>
      <c r="Q159" s="44">
        <f t="shared" si="21"/>
        <v>0</v>
      </c>
      <c r="R159" s="44">
        <f t="shared" si="22"/>
        <v>0</v>
      </c>
      <c r="S159" s="43">
        <f t="shared" si="23"/>
        <v>0</v>
      </c>
      <c r="T159" s="39"/>
      <c r="U159" s="35"/>
      <c r="V159" s="35"/>
      <c r="W159" s="35"/>
      <c r="X159" s="35"/>
      <c r="Y159" s="35"/>
      <c r="Z159" s="35"/>
      <c r="AA159" s="35"/>
      <c r="AB159" s="35"/>
      <c r="AC159" s="35"/>
      <c r="AD159" s="35"/>
      <c r="AE159" s="35"/>
      <c r="AF159" s="35"/>
      <c r="AG159" s="35"/>
      <c r="AH159" s="35"/>
      <c r="AI159" s="35"/>
      <c r="AJ159" s="35"/>
      <c r="AK159" s="35"/>
      <c r="AL159" s="35"/>
      <c r="AM159" s="35"/>
      <c r="AN159" s="35"/>
      <c r="AO159" s="35"/>
      <c r="AP159" s="35"/>
      <c r="AQ159" s="35"/>
      <c r="AR159" s="35"/>
      <c r="AS159" s="35"/>
      <c r="AT159" s="35"/>
      <c r="AU159" s="35"/>
      <c r="AV159" s="35"/>
      <c r="AW159" s="35"/>
      <c r="AX159" s="35"/>
      <c r="AY159" s="35"/>
      <c r="AZ159" s="35"/>
      <c r="BA159" s="35"/>
      <c r="BB159" s="35"/>
      <c r="BC159" s="35"/>
      <c r="BD159" s="35"/>
      <c r="BE159" s="35"/>
      <c r="BF159" s="35"/>
      <c r="BG159" s="35"/>
      <c r="BH159" s="35"/>
      <c r="BI159" s="35"/>
      <c r="BJ159" s="35"/>
      <c r="BK159" s="35"/>
      <c r="BL159" s="35"/>
    </row>
    <row r="160" spans="1:64" ht="14">
      <c r="A160" s="36"/>
      <c r="B160" s="37"/>
      <c r="C160" s="38">
        <f t="shared" si="16"/>
        <v>0</v>
      </c>
      <c r="D160" s="39"/>
      <c r="E160" s="39"/>
      <c r="F160" s="39"/>
      <c r="G160" s="39"/>
      <c r="H160" s="40"/>
      <c r="I160" s="41"/>
      <c r="J160" s="39"/>
      <c r="K160" s="41"/>
      <c r="L160" s="41"/>
      <c r="M160" s="42" t="str">
        <f t="shared" si="17"/>
        <v/>
      </c>
      <c r="N160" s="40" t="str">
        <f t="shared" si="18"/>
        <v/>
      </c>
      <c r="O160" s="40" t="str">
        <f t="shared" si="19"/>
        <v/>
      </c>
      <c r="P160" s="43" t="str">
        <f t="shared" si="20"/>
        <v/>
      </c>
      <c r="Q160" s="44">
        <f t="shared" si="21"/>
        <v>0</v>
      </c>
      <c r="R160" s="44">
        <f t="shared" si="22"/>
        <v>0</v>
      </c>
      <c r="S160" s="43">
        <f t="shared" si="23"/>
        <v>0</v>
      </c>
      <c r="T160" s="39"/>
      <c r="U160" s="35"/>
      <c r="V160" s="35"/>
      <c r="W160" s="35"/>
      <c r="X160" s="35"/>
      <c r="Y160" s="35"/>
      <c r="Z160" s="35"/>
      <c r="AA160" s="35"/>
      <c r="AB160" s="35"/>
      <c r="AC160" s="35"/>
      <c r="AD160" s="35"/>
      <c r="AE160" s="35"/>
      <c r="AF160" s="35"/>
      <c r="AG160" s="35"/>
      <c r="AH160" s="35"/>
      <c r="AI160" s="35"/>
      <c r="AJ160" s="35"/>
      <c r="AK160" s="35"/>
      <c r="AL160" s="35"/>
      <c r="AM160" s="35"/>
      <c r="AN160" s="35"/>
      <c r="AO160" s="35"/>
      <c r="AP160" s="35"/>
      <c r="AQ160" s="35"/>
      <c r="AR160" s="35"/>
      <c r="AS160" s="35"/>
      <c r="AT160" s="35"/>
      <c r="AU160" s="35"/>
      <c r="AV160" s="35"/>
      <c r="AW160" s="35"/>
      <c r="AX160" s="35"/>
      <c r="AY160" s="35"/>
      <c r="AZ160" s="35"/>
      <c r="BA160" s="35"/>
      <c r="BB160" s="35"/>
      <c r="BC160" s="35"/>
      <c r="BD160" s="35"/>
      <c r="BE160" s="35"/>
      <c r="BF160" s="35"/>
      <c r="BG160" s="35"/>
      <c r="BH160" s="35"/>
      <c r="BI160" s="35"/>
      <c r="BJ160" s="35"/>
      <c r="BK160" s="35"/>
      <c r="BL160" s="35"/>
    </row>
    <row r="161" spans="1:64" ht="14">
      <c r="A161" s="36"/>
      <c r="B161" s="37"/>
      <c r="C161" s="38">
        <f t="shared" si="16"/>
        <v>0</v>
      </c>
      <c r="D161" s="39"/>
      <c r="E161" s="39"/>
      <c r="F161" s="39"/>
      <c r="G161" s="39"/>
      <c r="H161" s="40"/>
      <c r="I161" s="41"/>
      <c r="J161" s="39"/>
      <c r="K161" s="41"/>
      <c r="L161" s="41"/>
      <c r="M161" s="42" t="str">
        <f t="shared" si="17"/>
        <v/>
      </c>
      <c r="N161" s="40" t="str">
        <f t="shared" si="18"/>
        <v/>
      </c>
      <c r="O161" s="40" t="str">
        <f t="shared" si="19"/>
        <v/>
      </c>
      <c r="P161" s="43" t="str">
        <f t="shared" si="20"/>
        <v/>
      </c>
      <c r="Q161" s="44">
        <f t="shared" si="21"/>
        <v>0</v>
      </c>
      <c r="R161" s="44">
        <f t="shared" si="22"/>
        <v>0</v>
      </c>
      <c r="S161" s="43">
        <f t="shared" si="23"/>
        <v>0</v>
      </c>
      <c r="T161" s="39"/>
      <c r="U161" s="35"/>
      <c r="V161" s="35"/>
      <c r="W161" s="35"/>
      <c r="X161" s="35"/>
      <c r="Y161" s="35"/>
      <c r="Z161" s="35"/>
      <c r="AA161" s="35"/>
      <c r="AB161" s="35"/>
      <c r="AC161" s="35"/>
      <c r="AD161" s="35"/>
      <c r="AE161" s="35"/>
      <c r="AF161" s="35"/>
      <c r="AG161" s="35"/>
      <c r="AH161" s="35"/>
      <c r="AI161" s="35"/>
      <c r="AJ161" s="35"/>
      <c r="AK161" s="35"/>
      <c r="AL161" s="35"/>
      <c r="AM161" s="35"/>
      <c r="AN161" s="35"/>
      <c r="AO161" s="35"/>
      <c r="AP161" s="35"/>
      <c r="AQ161" s="35"/>
      <c r="AR161" s="35"/>
      <c r="AS161" s="35"/>
      <c r="AT161" s="35"/>
      <c r="AU161" s="35"/>
      <c r="AV161" s="35"/>
      <c r="AW161" s="35"/>
      <c r="AX161" s="35"/>
      <c r="AY161" s="35"/>
      <c r="AZ161" s="35"/>
      <c r="BA161" s="35"/>
      <c r="BB161" s="35"/>
      <c r="BC161" s="35"/>
      <c r="BD161" s="35"/>
      <c r="BE161" s="35"/>
      <c r="BF161" s="35"/>
      <c r="BG161" s="35"/>
      <c r="BH161" s="35"/>
      <c r="BI161" s="35"/>
      <c r="BJ161" s="35"/>
      <c r="BK161" s="35"/>
      <c r="BL161" s="35"/>
    </row>
    <row r="162" spans="1:64" ht="14">
      <c r="A162" s="36"/>
      <c r="B162" s="37"/>
      <c r="C162" s="38">
        <f t="shared" si="16"/>
        <v>0</v>
      </c>
      <c r="D162" s="39"/>
      <c r="E162" s="39"/>
      <c r="F162" s="39"/>
      <c r="G162" s="39"/>
      <c r="H162" s="40"/>
      <c r="I162" s="41"/>
      <c r="J162" s="39"/>
      <c r="K162" s="41"/>
      <c r="L162" s="41"/>
      <c r="M162" s="42" t="str">
        <f t="shared" si="17"/>
        <v/>
      </c>
      <c r="N162" s="40" t="str">
        <f t="shared" si="18"/>
        <v/>
      </c>
      <c r="O162" s="40" t="str">
        <f t="shared" si="19"/>
        <v/>
      </c>
      <c r="P162" s="43" t="str">
        <f t="shared" si="20"/>
        <v/>
      </c>
      <c r="Q162" s="44">
        <f t="shared" si="21"/>
        <v>0</v>
      </c>
      <c r="R162" s="44">
        <f t="shared" si="22"/>
        <v>0</v>
      </c>
      <c r="S162" s="43">
        <f t="shared" si="23"/>
        <v>0</v>
      </c>
      <c r="T162" s="39"/>
      <c r="U162" s="35"/>
      <c r="V162" s="35"/>
      <c r="W162" s="35"/>
      <c r="X162" s="35"/>
      <c r="Y162" s="35"/>
      <c r="Z162" s="35"/>
      <c r="AA162" s="35"/>
      <c r="AB162" s="35"/>
      <c r="AC162" s="35"/>
      <c r="AD162" s="35"/>
      <c r="AE162" s="35"/>
      <c r="AF162" s="35"/>
      <c r="AG162" s="35"/>
      <c r="AH162" s="35"/>
      <c r="AI162" s="35"/>
      <c r="AJ162" s="35"/>
      <c r="AK162" s="35"/>
      <c r="AL162" s="35"/>
      <c r="AM162" s="35"/>
      <c r="AN162" s="35"/>
      <c r="AO162" s="35"/>
      <c r="AP162" s="35"/>
      <c r="AQ162" s="35"/>
      <c r="AR162" s="35"/>
      <c r="AS162" s="35"/>
      <c r="AT162" s="35"/>
      <c r="AU162" s="35"/>
      <c r="AV162" s="35"/>
      <c r="AW162" s="35"/>
      <c r="AX162" s="35"/>
      <c r="AY162" s="35"/>
      <c r="AZ162" s="35"/>
      <c r="BA162" s="35"/>
      <c r="BB162" s="35"/>
      <c r="BC162" s="35"/>
      <c r="BD162" s="35"/>
      <c r="BE162" s="35"/>
      <c r="BF162" s="35"/>
      <c r="BG162" s="35"/>
      <c r="BH162" s="35"/>
      <c r="BI162" s="35"/>
      <c r="BJ162" s="35"/>
      <c r="BK162" s="35"/>
      <c r="BL162" s="35"/>
    </row>
    <row r="163" spans="1:64" ht="14">
      <c r="A163" s="36"/>
      <c r="B163" s="37"/>
      <c r="C163" s="38">
        <f t="shared" si="16"/>
        <v>0</v>
      </c>
      <c r="D163" s="39"/>
      <c r="E163" s="39"/>
      <c r="F163" s="39"/>
      <c r="G163" s="39"/>
      <c r="H163" s="40"/>
      <c r="I163" s="41"/>
      <c r="J163" s="39"/>
      <c r="K163" s="41"/>
      <c r="L163" s="41"/>
      <c r="M163" s="42" t="str">
        <f t="shared" si="17"/>
        <v/>
      </c>
      <c r="N163" s="40" t="str">
        <f t="shared" si="18"/>
        <v/>
      </c>
      <c r="O163" s="40" t="str">
        <f t="shared" si="19"/>
        <v/>
      </c>
      <c r="P163" s="43" t="str">
        <f t="shared" si="20"/>
        <v/>
      </c>
      <c r="Q163" s="44">
        <f t="shared" si="21"/>
        <v>0</v>
      </c>
      <c r="R163" s="44">
        <f t="shared" si="22"/>
        <v>0</v>
      </c>
      <c r="S163" s="43">
        <f t="shared" si="23"/>
        <v>0</v>
      </c>
      <c r="T163" s="39"/>
      <c r="U163" s="35"/>
      <c r="V163" s="35"/>
      <c r="W163" s="35"/>
      <c r="X163" s="35"/>
      <c r="Y163" s="35"/>
      <c r="Z163" s="35"/>
      <c r="AA163" s="35"/>
      <c r="AB163" s="35"/>
      <c r="AC163" s="35"/>
      <c r="AD163" s="35"/>
      <c r="AE163" s="35"/>
      <c r="AF163" s="35"/>
      <c r="AG163" s="35"/>
      <c r="AH163" s="35"/>
      <c r="AI163" s="35"/>
      <c r="AJ163" s="35"/>
      <c r="AK163" s="35"/>
      <c r="AL163" s="35"/>
      <c r="AM163" s="35"/>
      <c r="AN163" s="35"/>
      <c r="AO163" s="35"/>
      <c r="AP163" s="35"/>
      <c r="AQ163" s="35"/>
      <c r="AR163" s="35"/>
      <c r="AS163" s="35"/>
      <c r="AT163" s="35"/>
      <c r="AU163" s="35"/>
      <c r="AV163" s="35"/>
      <c r="AW163" s="35"/>
      <c r="AX163" s="35"/>
      <c r="AY163" s="35"/>
      <c r="AZ163" s="35"/>
      <c r="BA163" s="35"/>
      <c r="BB163" s="35"/>
      <c r="BC163" s="35"/>
      <c r="BD163" s="35"/>
      <c r="BE163" s="35"/>
      <c r="BF163" s="35"/>
      <c r="BG163" s="35"/>
      <c r="BH163" s="35"/>
      <c r="BI163" s="35"/>
      <c r="BJ163" s="35"/>
      <c r="BK163" s="35"/>
      <c r="BL163" s="35"/>
    </row>
    <row r="164" spans="1:64" ht="14">
      <c r="A164" s="36"/>
      <c r="B164" s="37"/>
      <c r="C164" s="38">
        <f t="shared" si="16"/>
        <v>0</v>
      </c>
      <c r="D164" s="39"/>
      <c r="E164" s="39"/>
      <c r="F164" s="39"/>
      <c r="G164" s="39"/>
      <c r="H164" s="40"/>
      <c r="I164" s="41"/>
      <c r="J164" s="39"/>
      <c r="K164" s="41"/>
      <c r="L164" s="41"/>
      <c r="M164" s="42" t="str">
        <f t="shared" si="17"/>
        <v/>
      </c>
      <c r="N164" s="40" t="str">
        <f t="shared" si="18"/>
        <v/>
      </c>
      <c r="O164" s="40" t="str">
        <f t="shared" si="19"/>
        <v/>
      </c>
      <c r="P164" s="43" t="str">
        <f t="shared" si="20"/>
        <v/>
      </c>
      <c r="Q164" s="44">
        <f t="shared" si="21"/>
        <v>0</v>
      </c>
      <c r="R164" s="44">
        <f t="shared" si="22"/>
        <v>0</v>
      </c>
      <c r="S164" s="43">
        <f t="shared" si="23"/>
        <v>0</v>
      </c>
      <c r="T164" s="39"/>
      <c r="U164" s="35"/>
      <c r="V164" s="35"/>
      <c r="W164" s="35"/>
      <c r="X164" s="35"/>
      <c r="Y164" s="35"/>
      <c r="Z164" s="35"/>
      <c r="AA164" s="35"/>
      <c r="AB164" s="35"/>
      <c r="AC164" s="35"/>
      <c r="AD164" s="35"/>
      <c r="AE164" s="35"/>
      <c r="AF164" s="35"/>
      <c r="AG164" s="35"/>
      <c r="AH164" s="35"/>
      <c r="AI164" s="35"/>
      <c r="AJ164" s="35"/>
      <c r="AK164" s="35"/>
      <c r="AL164" s="35"/>
      <c r="AM164" s="35"/>
      <c r="AN164" s="35"/>
      <c r="AO164" s="35"/>
      <c r="AP164" s="35"/>
      <c r="AQ164" s="35"/>
      <c r="AR164" s="35"/>
      <c r="AS164" s="35"/>
      <c r="AT164" s="35"/>
      <c r="AU164" s="35"/>
      <c r="AV164" s="35"/>
      <c r="AW164" s="35"/>
      <c r="AX164" s="35"/>
      <c r="AY164" s="35"/>
      <c r="AZ164" s="35"/>
      <c r="BA164" s="35"/>
      <c r="BB164" s="35"/>
      <c r="BC164" s="35"/>
      <c r="BD164" s="35"/>
      <c r="BE164" s="35"/>
      <c r="BF164" s="35"/>
      <c r="BG164" s="35"/>
      <c r="BH164" s="35"/>
      <c r="BI164" s="35"/>
      <c r="BJ164" s="35"/>
      <c r="BK164" s="35"/>
      <c r="BL164" s="35"/>
    </row>
    <row r="165" spans="1:64" ht="14">
      <c r="A165" s="36"/>
      <c r="B165" s="37"/>
      <c r="C165" s="38">
        <f t="shared" si="16"/>
        <v>0</v>
      </c>
      <c r="D165" s="39"/>
      <c r="E165" s="39"/>
      <c r="F165" s="39"/>
      <c r="G165" s="39"/>
      <c r="H165" s="40"/>
      <c r="I165" s="41"/>
      <c r="J165" s="39"/>
      <c r="K165" s="41"/>
      <c r="L165" s="41"/>
      <c r="M165" s="42" t="str">
        <f t="shared" si="17"/>
        <v/>
      </c>
      <c r="N165" s="40" t="str">
        <f t="shared" si="18"/>
        <v/>
      </c>
      <c r="O165" s="40" t="str">
        <f t="shared" si="19"/>
        <v/>
      </c>
      <c r="P165" s="43" t="str">
        <f t="shared" si="20"/>
        <v/>
      </c>
      <c r="Q165" s="44">
        <f t="shared" si="21"/>
        <v>0</v>
      </c>
      <c r="R165" s="44">
        <f t="shared" si="22"/>
        <v>0</v>
      </c>
      <c r="S165" s="43">
        <f t="shared" si="23"/>
        <v>0</v>
      </c>
      <c r="T165" s="39"/>
      <c r="U165" s="35"/>
      <c r="V165" s="35"/>
      <c r="W165" s="35"/>
      <c r="X165" s="35"/>
      <c r="Y165" s="35"/>
      <c r="Z165" s="35"/>
      <c r="AA165" s="35"/>
      <c r="AB165" s="35"/>
      <c r="AC165" s="35"/>
      <c r="AD165" s="35"/>
      <c r="AE165" s="35"/>
      <c r="AF165" s="35"/>
      <c r="AG165" s="35"/>
      <c r="AH165" s="35"/>
      <c r="AI165" s="35"/>
      <c r="AJ165" s="35"/>
      <c r="AK165" s="35"/>
      <c r="AL165" s="35"/>
      <c r="AM165" s="35"/>
      <c r="AN165" s="35"/>
      <c r="AO165" s="35"/>
      <c r="AP165" s="35"/>
      <c r="AQ165" s="35"/>
      <c r="AR165" s="35"/>
      <c r="AS165" s="35"/>
      <c r="AT165" s="35"/>
      <c r="AU165" s="35"/>
      <c r="AV165" s="35"/>
      <c r="AW165" s="35"/>
      <c r="AX165" s="35"/>
      <c r="AY165" s="35"/>
      <c r="AZ165" s="35"/>
      <c r="BA165" s="35"/>
      <c r="BB165" s="35"/>
      <c r="BC165" s="35"/>
      <c r="BD165" s="35"/>
      <c r="BE165" s="35"/>
      <c r="BF165" s="35"/>
      <c r="BG165" s="35"/>
      <c r="BH165" s="35"/>
      <c r="BI165" s="35"/>
      <c r="BJ165" s="35"/>
      <c r="BK165" s="35"/>
      <c r="BL165" s="35"/>
    </row>
    <row r="166" spans="1:64" ht="14">
      <c r="A166" s="36"/>
      <c r="B166" s="37"/>
      <c r="C166" s="38">
        <f t="shared" si="16"/>
        <v>0</v>
      </c>
      <c r="D166" s="39"/>
      <c r="E166" s="39"/>
      <c r="F166" s="39"/>
      <c r="G166" s="39"/>
      <c r="H166" s="40"/>
      <c r="I166" s="41"/>
      <c r="J166" s="39"/>
      <c r="K166" s="41"/>
      <c r="L166" s="41"/>
      <c r="M166" s="42" t="str">
        <f t="shared" si="17"/>
        <v/>
      </c>
      <c r="N166" s="40" t="str">
        <f t="shared" si="18"/>
        <v/>
      </c>
      <c r="O166" s="40" t="str">
        <f t="shared" si="19"/>
        <v/>
      </c>
      <c r="P166" s="43" t="str">
        <f t="shared" si="20"/>
        <v/>
      </c>
      <c r="Q166" s="44">
        <f t="shared" si="21"/>
        <v>0</v>
      </c>
      <c r="R166" s="44">
        <f t="shared" si="22"/>
        <v>0</v>
      </c>
      <c r="S166" s="43">
        <f t="shared" si="23"/>
        <v>0</v>
      </c>
      <c r="T166" s="39"/>
      <c r="U166" s="35"/>
      <c r="V166" s="35"/>
      <c r="W166" s="35"/>
      <c r="X166" s="35"/>
      <c r="Y166" s="35"/>
      <c r="Z166" s="35"/>
      <c r="AA166" s="35"/>
      <c r="AB166" s="35"/>
      <c r="AC166" s="35"/>
      <c r="AD166" s="35"/>
      <c r="AE166" s="35"/>
      <c r="AF166" s="35"/>
      <c r="AG166" s="35"/>
      <c r="AH166" s="35"/>
      <c r="AI166" s="35"/>
      <c r="AJ166" s="35"/>
      <c r="AK166" s="35"/>
      <c r="AL166" s="35"/>
      <c r="AM166" s="35"/>
      <c r="AN166" s="35"/>
      <c r="AO166" s="35"/>
      <c r="AP166" s="35"/>
      <c r="AQ166" s="35"/>
      <c r="AR166" s="35"/>
      <c r="AS166" s="35"/>
      <c r="AT166" s="35"/>
      <c r="AU166" s="35"/>
      <c r="AV166" s="35"/>
      <c r="AW166" s="35"/>
      <c r="AX166" s="35"/>
      <c r="AY166" s="35"/>
      <c r="AZ166" s="35"/>
      <c r="BA166" s="35"/>
      <c r="BB166" s="35"/>
      <c r="BC166" s="35"/>
      <c r="BD166" s="35"/>
      <c r="BE166" s="35"/>
      <c r="BF166" s="35"/>
      <c r="BG166" s="35"/>
      <c r="BH166" s="35"/>
      <c r="BI166" s="35"/>
      <c r="BJ166" s="35"/>
      <c r="BK166" s="35"/>
      <c r="BL166" s="35"/>
    </row>
    <row r="167" spans="1:64" ht="14">
      <c r="A167" s="36"/>
      <c r="B167" s="37"/>
      <c r="C167" s="38">
        <f t="shared" si="16"/>
        <v>0</v>
      </c>
      <c r="D167" s="39"/>
      <c r="E167" s="39"/>
      <c r="F167" s="39"/>
      <c r="G167" s="39"/>
      <c r="H167" s="40"/>
      <c r="I167" s="41"/>
      <c r="J167" s="39"/>
      <c r="K167" s="41"/>
      <c r="L167" s="41"/>
      <c r="M167" s="42" t="str">
        <f t="shared" si="17"/>
        <v/>
      </c>
      <c r="N167" s="40" t="str">
        <f t="shared" si="18"/>
        <v/>
      </c>
      <c r="O167" s="40" t="str">
        <f t="shared" si="19"/>
        <v/>
      </c>
      <c r="P167" s="43" t="str">
        <f t="shared" si="20"/>
        <v/>
      </c>
      <c r="Q167" s="44">
        <f t="shared" si="21"/>
        <v>0</v>
      </c>
      <c r="R167" s="44">
        <f t="shared" si="22"/>
        <v>0</v>
      </c>
      <c r="S167" s="43">
        <f t="shared" si="23"/>
        <v>0</v>
      </c>
      <c r="T167" s="39"/>
      <c r="U167" s="35"/>
      <c r="V167" s="35"/>
      <c r="W167" s="35"/>
      <c r="X167" s="35"/>
      <c r="Y167" s="35"/>
      <c r="Z167" s="35"/>
      <c r="AA167" s="35"/>
      <c r="AB167" s="35"/>
      <c r="AC167" s="35"/>
      <c r="AD167" s="35"/>
      <c r="AE167" s="35"/>
      <c r="AF167" s="35"/>
      <c r="AG167" s="35"/>
      <c r="AH167" s="35"/>
      <c r="AI167" s="35"/>
      <c r="AJ167" s="35"/>
      <c r="AK167" s="35"/>
      <c r="AL167" s="35"/>
      <c r="AM167" s="35"/>
      <c r="AN167" s="35"/>
      <c r="AO167" s="35"/>
      <c r="AP167" s="35"/>
      <c r="AQ167" s="35"/>
      <c r="AR167" s="35"/>
      <c r="AS167" s="35"/>
      <c r="AT167" s="35"/>
      <c r="AU167" s="35"/>
      <c r="AV167" s="35"/>
      <c r="AW167" s="35"/>
      <c r="AX167" s="35"/>
      <c r="AY167" s="35"/>
      <c r="AZ167" s="35"/>
      <c r="BA167" s="35"/>
      <c r="BB167" s="35"/>
      <c r="BC167" s="35"/>
      <c r="BD167" s="35"/>
      <c r="BE167" s="35"/>
      <c r="BF167" s="35"/>
      <c r="BG167" s="35"/>
      <c r="BH167" s="35"/>
      <c r="BI167" s="35"/>
      <c r="BJ167" s="35"/>
      <c r="BK167" s="35"/>
      <c r="BL167" s="35"/>
    </row>
    <row r="168" spans="1:64" ht="14">
      <c r="A168" s="36"/>
      <c r="B168" s="37"/>
      <c r="C168" s="38">
        <f t="shared" si="16"/>
        <v>0</v>
      </c>
      <c r="D168" s="39"/>
      <c r="E168" s="39"/>
      <c r="F168" s="39"/>
      <c r="G168" s="39"/>
      <c r="H168" s="40"/>
      <c r="I168" s="41"/>
      <c r="J168" s="39"/>
      <c r="K168" s="41"/>
      <c r="L168" s="41"/>
      <c r="M168" s="42" t="str">
        <f t="shared" si="17"/>
        <v/>
      </c>
      <c r="N168" s="40" t="str">
        <f t="shared" si="18"/>
        <v/>
      </c>
      <c r="O168" s="40" t="str">
        <f t="shared" si="19"/>
        <v/>
      </c>
      <c r="P168" s="43" t="str">
        <f t="shared" si="20"/>
        <v/>
      </c>
      <c r="Q168" s="44">
        <f t="shared" si="21"/>
        <v>0</v>
      </c>
      <c r="R168" s="44">
        <f t="shared" si="22"/>
        <v>0</v>
      </c>
      <c r="S168" s="43">
        <f t="shared" si="23"/>
        <v>0</v>
      </c>
      <c r="T168" s="39"/>
      <c r="U168" s="35"/>
      <c r="V168" s="35"/>
      <c r="W168" s="35"/>
      <c r="X168" s="35"/>
      <c r="Y168" s="35"/>
      <c r="Z168" s="35"/>
      <c r="AA168" s="35"/>
      <c r="AB168" s="35"/>
      <c r="AC168" s="35"/>
      <c r="AD168" s="35"/>
      <c r="AE168" s="35"/>
      <c r="AF168" s="35"/>
      <c r="AG168" s="35"/>
      <c r="AH168" s="35"/>
      <c r="AI168" s="35"/>
      <c r="AJ168" s="35"/>
      <c r="AK168" s="35"/>
      <c r="AL168" s="35"/>
      <c r="AM168" s="35"/>
      <c r="AN168" s="35"/>
      <c r="AO168" s="35"/>
      <c r="AP168" s="35"/>
      <c r="AQ168" s="35"/>
      <c r="AR168" s="35"/>
      <c r="AS168" s="35"/>
      <c r="AT168" s="35"/>
      <c r="AU168" s="35"/>
      <c r="AV168" s="35"/>
      <c r="AW168" s="35"/>
      <c r="AX168" s="35"/>
      <c r="AY168" s="35"/>
      <c r="AZ168" s="35"/>
      <c r="BA168" s="35"/>
      <c r="BB168" s="35"/>
      <c r="BC168" s="35"/>
      <c r="BD168" s="35"/>
      <c r="BE168" s="35"/>
      <c r="BF168" s="35"/>
      <c r="BG168" s="35"/>
      <c r="BH168" s="35"/>
      <c r="BI168" s="35"/>
      <c r="BJ168" s="35"/>
      <c r="BK168" s="35"/>
      <c r="BL168" s="35"/>
    </row>
    <row r="169" spans="1:64" ht="14">
      <c r="A169" s="36"/>
      <c r="B169" s="37"/>
      <c r="C169" s="38">
        <f t="shared" si="16"/>
        <v>0</v>
      </c>
      <c r="D169" s="39"/>
      <c r="E169" s="39"/>
      <c r="F169" s="39"/>
      <c r="G169" s="39"/>
      <c r="H169" s="40"/>
      <c r="I169" s="41"/>
      <c r="J169" s="39"/>
      <c r="K169" s="41"/>
      <c r="L169" s="41"/>
      <c r="M169" s="42" t="str">
        <f t="shared" si="17"/>
        <v/>
      </c>
      <c r="N169" s="40" t="str">
        <f t="shared" si="18"/>
        <v/>
      </c>
      <c r="O169" s="40" t="str">
        <f t="shared" si="19"/>
        <v/>
      </c>
      <c r="P169" s="43" t="str">
        <f t="shared" si="20"/>
        <v/>
      </c>
      <c r="Q169" s="44">
        <f t="shared" si="21"/>
        <v>0</v>
      </c>
      <c r="R169" s="44">
        <f t="shared" si="22"/>
        <v>0</v>
      </c>
      <c r="S169" s="43">
        <f t="shared" si="23"/>
        <v>0</v>
      </c>
      <c r="T169" s="39"/>
      <c r="U169" s="35"/>
      <c r="V169" s="35"/>
      <c r="W169" s="35"/>
      <c r="X169" s="35"/>
      <c r="Y169" s="35"/>
      <c r="Z169" s="35"/>
      <c r="AA169" s="35"/>
      <c r="AB169" s="35"/>
      <c r="AC169" s="35"/>
      <c r="AD169" s="35"/>
      <c r="AE169" s="35"/>
      <c r="AF169" s="35"/>
      <c r="AG169" s="35"/>
      <c r="AH169" s="35"/>
      <c r="AI169" s="35"/>
      <c r="AJ169" s="35"/>
      <c r="AK169" s="35"/>
      <c r="AL169" s="35"/>
      <c r="AM169" s="35"/>
      <c r="AN169" s="35"/>
      <c r="AO169" s="35"/>
      <c r="AP169" s="35"/>
      <c r="AQ169" s="35"/>
      <c r="AR169" s="35"/>
      <c r="AS169" s="35"/>
      <c r="AT169" s="35"/>
      <c r="AU169" s="35"/>
      <c r="AV169" s="35"/>
      <c r="AW169" s="35"/>
      <c r="AX169" s="35"/>
      <c r="AY169" s="35"/>
      <c r="AZ169" s="35"/>
      <c r="BA169" s="35"/>
      <c r="BB169" s="35"/>
      <c r="BC169" s="35"/>
      <c r="BD169" s="35"/>
      <c r="BE169" s="35"/>
      <c r="BF169" s="35"/>
      <c r="BG169" s="35"/>
      <c r="BH169" s="35"/>
      <c r="BI169" s="35"/>
      <c r="BJ169" s="35"/>
      <c r="BK169" s="35"/>
      <c r="BL169" s="35"/>
    </row>
    <row r="170" spans="1:64" ht="14">
      <c r="A170" s="36"/>
      <c r="B170" s="37"/>
      <c r="C170" s="38">
        <f t="shared" si="16"/>
        <v>0</v>
      </c>
      <c r="D170" s="39"/>
      <c r="E170" s="39"/>
      <c r="F170" s="39"/>
      <c r="G170" s="39"/>
      <c r="H170" s="40"/>
      <c r="I170" s="41"/>
      <c r="J170" s="39"/>
      <c r="K170" s="41"/>
      <c r="L170" s="41"/>
      <c r="M170" s="42" t="str">
        <f t="shared" si="17"/>
        <v/>
      </c>
      <c r="N170" s="40" t="str">
        <f t="shared" si="18"/>
        <v/>
      </c>
      <c r="O170" s="40" t="str">
        <f t="shared" si="19"/>
        <v/>
      </c>
      <c r="P170" s="43" t="str">
        <f t="shared" si="20"/>
        <v/>
      </c>
      <c r="Q170" s="44">
        <f t="shared" si="21"/>
        <v>0</v>
      </c>
      <c r="R170" s="44">
        <f t="shared" si="22"/>
        <v>0</v>
      </c>
      <c r="S170" s="43">
        <f t="shared" si="23"/>
        <v>0</v>
      </c>
      <c r="T170" s="39"/>
      <c r="U170" s="35"/>
      <c r="V170" s="35"/>
      <c r="W170" s="35"/>
      <c r="X170" s="35"/>
      <c r="Y170" s="35"/>
      <c r="Z170" s="35"/>
      <c r="AA170" s="35"/>
      <c r="AB170" s="35"/>
      <c r="AC170" s="35"/>
      <c r="AD170" s="35"/>
      <c r="AE170" s="35"/>
      <c r="AF170" s="35"/>
      <c r="AG170" s="35"/>
      <c r="AH170" s="35"/>
      <c r="AI170" s="35"/>
      <c r="AJ170" s="35"/>
      <c r="AK170" s="35"/>
      <c r="AL170" s="35"/>
      <c r="AM170" s="35"/>
      <c r="AN170" s="35"/>
      <c r="AO170" s="35"/>
      <c r="AP170" s="35"/>
      <c r="AQ170" s="35"/>
      <c r="AR170" s="35"/>
      <c r="AS170" s="35"/>
      <c r="AT170" s="35"/>
      <c r="AU170" s="35"/>
      <c r="AV170" s="35"/>
      <c r="AW170" s="35"/>
      <c r="AX170" s="35"/>
      <c r="AY170" s="35"/>
      <c r="AZ170" s="35"/>
      <c r="BA170" s="35"/>
      <c r="BB170" s="35"/>
      <c r="BC170" s="35"/>
      <c r="BD170" s="35"/>
      <c r="BE170" s="35"/>
      <c r="BF170" s="35"/>
      <c r="BG170" s="35"/>
      <c r="BH170" s="35"/>
      <c r="BI170" s="35"/>
      <c r="BJ170" s="35"/>
      <c r="BK170" s="35"/>
      <c r="BL170" s="35"/>
    </row>
    <row r="171" spans="1:64" ht="14">
      <c r="A171" s="36"/>
      <c r="B171" s="37"/>
      <c r="C171" s="38">
        <f t="shared" si="16"/>
        <v>0</v>
      </c>
      <c r="D171" s="39"/>
      <c r="E171" s="39"/>
      <c r="F171" s="39"/>
      <c r="G171" s="39"/>
      <c r="H171" s="40"/>
      <c r="I171" s="41"/>
      <c r="J171" s="39"/>
      <c r="K171" s="41"/>
      <c r="L171" s="41"/>
      <c r="M171" s="42" t="str">
        <f t="shared" si="17"/>
        <v/>
      </c>
      <c r="N171" s="40" t="str">
        <f t="shared" si="18"/>
        <v/>
      </c>
      <c r="O171" s="40" t="str">
        <f t="shared" si="19"/>
        <v/>
      </c>
      <c r="P171" s="43" t="str">
        <f t="shared" si="20"/>
        <v/>
      </c>
      <c r="Q171" s="44">
        <f t="shared" si="21"/>
        <v>0</v>
      </c>
      <c r="R171" s="44">
        <f t="shared" si="22"/>
        <v>0</v>
      </c>
      <c r="S171" s="43">
        <f t="shared" si="23"/>
        <v>0</v>
      </c>
      <c r="T171" s="39"/>
      <c r="U171" s="35"/>
      <c r="V171" s="35"/>
      <c r="W171" s="35"/>
      <c r="X171" s="35"/>
      <c r="Y171" s="35"/>
      <c r="Z171" s="35"/>
      <c r="AA171" s="35"/>
      <c r="AB171" s="35"/>
      <c r="AC171" s="35"/>
      <c r="AD171" s="35"/>
      <c r="AE171" s="35"/>
      <c r="AF171" s="35"/>
      <c r="AG171" s="35"/>
      <c r="AH171" s="35"/>
      <c r="AI171" s="35"/>
      <c r="AJ171" s="35"/>
      <c r="AK171" s="35"/>
      <c r="AL171" s="35"/>
      <c r="AM171" s="35"/>
      <c r="AN171" s="35"/>
      <c r="AO171" s="35"/>
      <c r="AP171" s="35"/>
      <c r="AQ171" s="35"/>
      <c r="AR171" s="35"/>
      <c r="AS171" s="35"/>
      <c r="AT171" s="35"/>
      <c r="AU171" s="35"/>
      <c r="AV171" s="35"/>
      <c r="AW171" s="35"/>
      <c r="AX171" s="35"/>
      <c r="AY171" s="35"/>
      <c r="AZ171" s="35"/>
      <c r="BA171" s="35"/>
      <c r="BB171" s="35"/>
      <c r="BC171" s="35"/>
      <c r="BD171" s="35"/>
      <c r="BE171" s="35"/>
      <c r="BF171" s="35"/>
      <c r="BG171" s="35"/>
      <c r="BH171" s="35"/>
      <c r="BI171" s="35"/>
      <c r="BJ171" s="35"/>
      <c r="BK171" s="35"/>
      <c r="BL171" s="35"/>
    </row>
    <row r="172" spans="1:64" ht="14">
      <c r="A172" s="36"/>
      <c r="B172" s="37"/>
      <c r="C172" s="38">
        <f t="shared" si="16"/>
        <v>0</v>
      </c>
      <c r="D172" s="39"/>
      <c r="E172" s="39"/>
      <c r="F172" s="39"/>
      <c r="G172" s="39"/>
      <c r="H172" s="40"/>
      <c r="I172" s="41"/>
      <c r="J172" s="39"/>
      <c r="K172" s="41"/>
      <c r="L172" s="41"/>
      <c r="M172" s="42" t="str">
        <f t="shared" si="17"/>
        <v/>
      </c>
      <c r="N172" s="40" t="str">
        <f t="shared" si="18"/>
        <v/>
      </c>
      <c r="O172" s="40" t="str">
        <f t="shared" si="19"/>
        <v/>
      </c>
      <c r="P172" s="43" t="str">
        <f t="shared" si="20"/>
        <v/>
      </c>
      <c r="Q172" s="44">
        <f t="shared" si="21"/>
        <v>0</v>
      </c>
      <c r="R172" s="44">
        <f t="shared" si="22"/>
        <v>0</v>
      </c>
      <c r="S172" s="43">
        <f t="shared" si="23"/>
        <v>0</v>
      </c>
      <c r="T172" s="39"/>
      <c r="U172" s="35"/>
      <c r="V172" s="35"/>
      <c r="W172" s="35"/>
      <c r="X172" s="35"/>
      <c r="Y172" s="35"/>
      <c r="Z172" s="35"/>
      <c r="AA172" s="35"/>
      <c r="AB172" s="35"/>
      <c r="AC172" s="35"/>
      <c r="AD172" s="35"/>
      <c r="AE172" s="35"/>
      <c r="AF172" s="35"/>
      <c r="AG172" s="35"/>
      <c r="AH172" s="35"/>
      <c r="AI172" s="35"/>
      <c r="AJ172" s="35"/>
      <c r="AK172" s="35"/>
      <c r="AL172" s="35"/>
      <c r="AM172" s="35"/>
      <c r="AN172" s="35"/>
      <c r="AO172" s="35"/>
      <c r="AP172" s="35"/>
      <c r="AQ172" s="35"/>
      <c r="AR172" s="35"/>
      <c r="AS172" s="35"/>
      <c r="AT172" s="35"/>
      <c r="AU172" s="35"/>
      <c r="AV172" s="35"/>
      <c r="AW172" s="35"/>
      <c r="AX172" s="35"/>
      <c r="AY172" s="35"/>
      <c r="AZ172" s="35"/>
      <c r="BA172" s="35"/>
      <c r="BB172" s="35"/>
      <c r="BC172" s="35"/>
      <c r="BD172" s="35"/>
      <c r="BE172" s="35"/>
      <c r="BF172" s="35"/>
      <c r="BG172" s="35"/>
      <c r="BH172" s="35"/>
      <c r="BI172" s="35"/>
      <c r="BJ172" s="35"/>
      <c r="BK172" s="35"/>
      <c r="BL172" s="35"/>
    </row>
    <row r="173" spans="1:64" ht="14">
      <c r="A173" s="36"/>
      <c r="B173" s="37"/>
      <c r="C173" s="38">
        <f t="shared" si="16"/>
        <v>0</v>
      </c>
      <c r="D173" s="39"/>
      <c r="E173" s="39"/>
      <c r="F173" s="39"/>
      <c r="G173" s="39"/>
      <c r="H173" s="40"/>
      <c r="I173" s="41"/>
      <c r="J173" s="39"/>
      <c r="K173" s="41"/>
      <c r="L173" s="41"/>
      <c r="M173" s="42" t="str">
        <f t="shared" si="17"/>
        <v/>
      </c>
      <c r="N173" s="40" t="str">
        <f t="shared" si="18"/>
        <v/>
      </c>
      <c r="O173" s="40" t="str">
        <f t="shared" si="19"/>
        <v/>
      </c>
      <c r="P173" s="43" t="str">
        <f t="shared" si="20"/>
        <v/>
      </c>
      <c r="Q173" s="44">
        <f t="shared" si="21"/>
        <v>0</v>
      </c>
      <c r="R173" s="44">
        <f t="shared" si="22"/>
        <v>0</v>
      </c>
      <c r="S173" s="43">
        <f t="shared" si="23"/>
        <v>0</v>
      </c>
      <c r="T173" s="39"/>
      <c r="U173" s="35"/>
      <c r="V173" s="35"/>
      <c r="W173" s="35"/>
      <c r="X173" s="35"/>
      <c r="Y173" s="35"/>
      <c r="Z173" s="35"/>
      <c r="AA173" s="35"/>
      <c r="AB173" s="35"/>
      <c r="AC173" s="35"/>
      <c r="AD173" s="35"/>
      <c r="AE173" s="35"/>
      <c r="AF173" s="35"/>
      <c r="AG173" s="35"/>
      <c r="AH173" s="35"/>
      <c r="AI173" s="35"/>
      <c r="AJ173" s="35"/>
      <c r="AK173" s="35"/>
      <c r="AL173" s="35"/>
      <c r="AM173" s="35"/>
      <c r="AN173" s="35"/>
      <c r="AO173" s="35"/>
      <c r="AP173" s="35"/>
      <c r="AQ173" s="35"/>
      <c r="AR173" s="35"/>
      <c r="AS173" s="35"/>
      <c r="AT173" s="35"/>
      <c r="AU173" s="35"/>
      <c r="AV173" s="35"/>
      <c r="AW173" s="35"/>
      <c r="AX173" s="35"/>
      <c r="AY173" s="35"/>
      <c r="AZ173" s="35"/>
      <c r="BA173" s="35"/>
      <c r="BB173" s="35"/>
      <c r="BC173" s="35"/>
      <c r="BD173" s="35"/>
      <c r="BE173" s="35"/>
      <c r="BF173" s="35"/>
      <c r="BG173" s="35"/>
      <c r="BH173" s="35"/>
      <c r="BI173" s="35"/>
      <c r="BJ173" s="35"/>
      <c r="BK173" s="35"/>
      <c r="BL173" s="35"/>
    </row>
    <row r="174" spans="1:64" ht="14">
      <c r="A174" s="36"/>
      <c r="B174" s="37"/>
      <c r="C174" s="38">
        <f t="shared" si="16"/>
        <v>0</v>
      </c>
      <c r="D174" s="39"/>
      <c r="E174" s="39"/>
      <c r="F174" s="39"/>
      <c r="G174" s="39"/>
      <c r="H174" s="40"/>
      <c r="I174" s="41"/>
      <c r="J174" s="39"/>
      <c r="K174" s="41"/>
      <c r="L174" s="41"/>
      <c r="M174" s="42" t="str">
        <f t="shared" si="17"/>
        <v/>
      </c>
      <c r="N174" s="40" t="str">
        <f t="shared" si="18"/>
        <v/>
      </c>
      <c r="O174" s="40" t="str">
        <f t="shared" si="19"/>
        <v/>
      </c>
      <c r="P174" s="43" t="str">
        <f t="shared" si="20"/>
        <v/>
      </c>
      <c r="Q174" s="44">
        <f t="shared" si="21"/>
        <v>0</v>
      </c>
      <c r="R174" s="44">
        <f t="shared" si="22"/>
        <v>0</v>
      </c>
      <c r="S174" s="43">
        <f t="shared" si="23"/>
        <v>0</v>
      </c>
      <c r="T174" s="39"/>
      <c r="U174" s="35"/>
      <c r="V174" s="35"/>
      <c r="W174" s="35"/>
      <c r="X174" s="35"/>
      <c r="Y174" s="35"/>
      <c r="Z174" s="35"/>
      <c r="AA174" s="35"/>
      <c r="AB174" s="35"/>
      <c r="AC174" s="35"/>
      <c r="AD174" s="35"/>
      <c r="AE174" s="35"/>
      <c r="AF174" s="35"/>
      <c r="AG174" s="35"/>
      <c r="AH174" s="35"/>
      <c r="AI174" s="35"/>
      <c r="AJ174" s="35"/>
      <c r="AK174" s="35"/>
      <c r="AL174" s="35"/>
      <c r="AM174" s="35"/>
      <c r="AN174" s="35"/>
      <c r="AO174" s="35"/>
      <c r="AP174" s="35"/>
      <c r="AQ174" s="35"/>
      <c r="AR174" s="35"/>
      <c r="AS174" s="35"/>
      <c r="AT174" s="35"/>
      <c r="AU174" s="35"/>
      <c r="AV174" s="35"/>
      <c r="AW174" s="35"/>
      <c r="AX174" s="35"/>
      <c r="AY174" s="35"/>
      <c r="AZ174" s="35"/>
      <c r="BA174" s="35"/>
      <c r="BB174" s="35"/>
      <c r="BC174" s="35"/>
      <c r="BD174" s="35"/>
      <c r="BE174" s="35"/>
      <c r="BF174" s="35"/>
      <c r="BG174" s="35"/>
      <c r="BH174" s="35"/>
      <c r="BI174" s="35"/>
      <c r="BJ174" s="35"/>
      <c r="BK174" s="35"/>
      <c r="BL174" s="35"/>
    </row>
    <row r="175" spans="1:64" ht="14">
      <c r="A175" s="36"/>
      <c r="B175" s="37"/>
      <c r="C175" s="38">
        <f t="shared" si="16"/>
        <v>0</v>
      </c>
      <c r="D175" s="39"/>
      <c r="E175" s="39"/>
      <c r="F175" s="39"/>
      <c r="G175" s="39"/>
      <c r="H175" s="40"/>
      <c r="I175" s="41"/>
      <c r="J175" s="39"/>
      <c r="K175" s="41"/>
      <c r="L175" s="41"/>
      <c r="M175" s="42" t="str">
        <f t="shared" si="17"/>
        <v/>
      </c>
      <c r="N175" s="40" t="str">
        <f t="shared" si="18"/>
        <v/>
      </c>
      <c r="O175" s="40" t="str">
        <f t="shared" si="19"/>
        <v/>
      </c>
      <c r="P175" s="43" t="str">
        <f t="shared" si="20"/>
        <v/>
      </c>
      <c r="Q175" s="44">
        <f t="shared" si="21"/>
        <v>0</v>
      </c>
      <c r="R175" s="44">
        <f t="shared" si="22"/>
        <v>0</v>
      </c>
      <c r="S175" s="43">
        <f t="shared" si="23"/>
        <v>0</v>
      </c>
      <c r="T175" s="39"/>
      <c r="U175" s="35"/>
      <c r="V175" s="35"/>
      <c r="W175" s="35"/>
      <c r="X175" s="35"/>
      <c r="Y175" s="35"/>
      <c r="Z175" s="35"/>
      <c r="AA175" s="35"/>
      <c r="AB175" s="35"/>
      <c r="AC175" s="35"/>
      <c r="AD175" s="35"/>
      <c r="AE175" s="35"/>
      <c r="AF175" s="35"/>
      <c r="AG175" s="35"/>
      <c r="AH175" s="35"/>
      <c r="AI175" s="35"/>
      <c r="AJ175" s="35"/>
      <c r="AK175" s="35"/>
      <c r="AL175" s="35"/>
      <c r="AM175" s="35"/>
      <c r="AN175" s="35"/>
      <c r="AO175" s="35"/>
      <c r="AP175" s="35"/>
      <c r="AQ175" s="35"/>
      <c r="AR175" s="35"/>
      <c r="AS175" s="35"/>
      <c r="AT175" s="35"/>
      <c r="AU175" s="35"/>
      <c r="AV175" s="35"/>
      <c r="AW175" s="35"/>
      <c r="AX175" s="35"/>
      <c r="AY175" s="35"/>
      <c r="AZ175" s="35"/>
      <c r="BA175" s="35"/>
      <c r="BB175" s="35"/>
      <c r="BC175" s="35"/>
      <c r="BD175" s="35"/>
      <c r="BE175" s="35"/>
      <c r="BF175" s="35"/>
      <c r="BG175" s="35"/>
      <c r="BH175" s="35"/>
      <c r="BI175" s="35"/>
      <c r="BJ175" s="35"/>
      <c r="BK175" s="35"/>
      <c r="BL175" s="35"/>
    </row>
    <row r="176" spans="1:64" ht="14">
      <c r="A176" s="36"/>
      <c r="B176" s="37"/>
      <c r="C176" s="38">
        <f t="shared" si="16"/>
        <v>0</v>
      </c>
      <c r="D176" s="39"/>
      <c r="E176" s="39"/>
      <c r="F176" s="39"/>
      <c r="G176" s="39"/>
      <c r="H176" s="40"/>
      <c r="I176" s="41"/>
      <c r="J176" s="39"/>
      <c r="K176" s="41"/>
      <c r="L176" s="41"/>
      <c r="M176" s="42" t="str">
        <f t="shared" si="17"/>
        <v/>
      </c>
      <c r="N176" s="40" t="str">
        <f t="shared" si="18"/>
        <v/>
      </c>
      <c r="O176" s="40" t="str">
        <f t="shared" si="19"/>
        <v/>
      </c>
      <c r="P176" s="43" t="str">
        <f t="shared" si="20"/>
        <v/>
      </c>
      <c r="Q176" s="44">
        <f t="shared" si="21"/>
        <v>0</v>
      </c>
      <c r="R176" s="44">
        <f t="shared" si="22"/>
        <v>0</v>
      </c>
      <c r="S176" s="43">
        <f t="shared" si="23"/>
        <v>0</v>
      </c>
      <c r="T176" s="39"/>
      <c r="U176" s="35"/>
      <c r="V176" s="35"/>
      <c r="W176" s="35"/>
      <c r="X176" s="35"/>
      <c r="Y176" s="35"/>
      <c r="Z176" s="35"/>
      <c r="AA176" s="35"/>
      <c r="AB176" s="35"/>
      <c r="AC176" s="35"/>
      <c r="AD176" s="35"/>
      <c r="AE176" s="35"/>
      <c r="AF176" s="35"/>
      <c r="AG176" s="35"/>
      <c r="AH176" s="35"/>
      <c r="AI176" s="35"/>
      <c r="AJ176" s="35"/>
      <c r="AK176" s="35"/>
      <c r="AL176" s="35"/>
      <c r="AM176" s="35"/>
      <c r="AN176" s="35"/>
      <c r="AO176" s="35"/>
      <c r="AP176" s="35"/>
      <c r="AQ176" s="35"/>
      <c r="AR176" s="35"/>
      <c r="AS176" s="35"/>
      <c r="AT176" s="35"/>
      <c r="AU176" s="35"/>
      <c r="AV176" s="35"/>
      <c r="AW176" s="35"/>
      <c r="AX176" s="35"/>
      <c r="AY176" s="35"/>
      <c r="AZ176" s="35"/>
      <c r="BA176" s="35"/>
      <c r="BB176" s="35"/>
      <c r="BC176" s="35"/>
      <c r="BD176" s="35"/>
      <c r="BE176" s="35"/>
      <c r="BF176" s="35"/>
      <c r="BG176" s="35"/>
      <c r="BH176" s="35"/>
      <c r="BI176" s="35"/>
      <c r="BJ176" s="35"/>
      <c r="BK176" s="35"/>
      <c r="BL176" s="35"/>
    </row>
    <row r="177" spans="1:64" ht="14">
      <c r="A177" s="36"/>
      <c r="B177" s="37"/>
      <c r="C177" s="38">
        <f t="shared" si="16"/>
        <v>0</v>
      </c>
      <c r="D177" s="39"/>
      <c r="E177" s="39"/>
      <c r="F177" s="39"/>
      <c r="G177" s="39"/>
      <c r="H177" s="40"/>
      <c r="I177" s="41"/>
      <c r="J177" s="39"/>
      <c r="K177" s="41"/>
      <c r="L177" s="41"/>
      <c r="M177" s="42" t="str">
        <f t="shared" si="17"/>
        <v/>
      </c>
      <c r="N177" s="40" t="str">
        <f t="shared" si="18"/>
        <v/>
      </c>
      <c r="O177" s="40" t="str">
        <f t="shared" si="19"/>
        <v/>
      </c>
      <c r="P177" s="43" t="str">
        <f t="shared" si="20"/>
        <v/>
      </c>
      <c r="Q177" s="44">
        <f t="shared" si="21"/>
        <v>0</v>
      </c>
      <c r="R177" s="44">
        <f t="shared" si="22"/>
        <v>0</v>
      </c>
      <c r="S177" s="43">
        <f t="shared" si="23"/>
        <v>0</v>
      </c>
      <c r="T177" s="39"/>
      <c r="U177" s="35"/>
      <c r="V177" s="35"/>
      <c r="W177" s="35"/>
      <c r="X177" s="35"/>
      <c r="Y177" s="35"/>
      <c r="Z177" s="35"/>
      <c r="AA177" s="35"/>
      <c r="AB177" s="35"/>
      <c r="AC177" s="35"/>
      <c r="AD177" s="35"/>
      <c r="AE177" s="35"/>
      <c r="AF177" s="35"/>
      <c r="AG177" s="35"/>
      <c r="AH177" s="35"/>
      <c r="AI177" s="35"/>
      <c r="AJ177" s="35"/>
      <c r="AK177" s="35"/>
      <c r="AL177" s="35"/>
      <c r="AM177" s="35"/>
      <c r="AN177" s="35"/>
      <c r="AO177" s="35"/>
      <c r="AP177" s="35"/>
      <c r="AQ177" s="35"/>
      <c r="AR177" s="35"/>
      <c r="AS177" s="35"/>
      <c r="AT177" s="35"/>
      <c r="AU177" s="35"/>
      <c r="AV177" s="35"/>
      <c r="AW177" s="35"/>
      <c r="AX177" s="35"/>
      <c r="AY177" s="35"/>
      <c r="AZ177" s="35"/>
      <c r="BA177" s="35"/>
      <c r="BB177" s="35"/>
      <c r="BC177" s="35"/>
      <c r="BD177" s="35"/>
      <c r="BE177" s="35"/>
      <c r="BF177" s="35"/>
      <c r="BG177" s="35"/>
      <c r="BH177" s="35"/>
      <c r="BI177" s="35"/>
      <c r="BJ177" s="35"/>
      <c r="BK177" s="35"/>
      <c r="BL177" s="35"/>
    </row>
    <row r="178" spans="1:64" ht="14">
      <c r="A178" s="36"/>
      <c r="B178" s="37"/>
      <c r="C178" s="38">
        <f t="shared" si="16"/>
        <v>0</v>
      </c>
      <c r="D178" s="39"/>
      <c r="E178" s="39"/>
      <c r="F178" s="39"/>
      <c r="G178" s="39"/>
      <c r="H178" s="40"/>
      <c r="I178" s="41"/>
      <c r="J178" s="39"/>
      <c r="K178" s="41"/>
      <c r="L178" s="41"/>
      <c r="M178" s="42" t="str">
        <f t="shared" si="17"/>
        <v/>
      </c>
      <c r="N178" s="40" t="str">
        <f t="shared" si="18"/>
        <v/>
      </c>
      <c r="O178" s="40" t="str">
        <f t="shared" si="19"/>
        <v/>
      </c>
      <c r="P178" s="43" t="str">
        <f t="shared" si="20"/>
        <v/>
      </c>
      <c r="Q178" s="44">
        <f t="shared" si="21"/>
        <v>0</v>
      </c>
      <c r="R178" s="44">
        <f t="shared" si="22"/>
        <v>0</v>
      </c>
      <c r="S178" s="43">
        <f t="shared" si="23"/>
        <v>0</v>
      </c>
      <c r="T178" s="39"/>
      <c r="U178" s="35"/>
      <c r="V178" s="35"/>
      <c r="W178" s="35"/>
      <c r="X178" s="35"/>
      <c r="Y178" s="35"/>
      <c r="Z178" s="35"/>
      <c r="AA178" s="35"/>
      <c r="AB178" s="35"/>
      <c r="AC178" s="35"/>
      <c r="AD178" s="35"/>
      <c r="AE178" s="35"/>
      <c r="AF178" s="35"/>
      <c r="AG178" s="35"/>
      <c r="AH178" s="35"/>
      <c r="AI178" s="35"/>
      <c r="AJ178" s="35"/>
      <c r="AK178" s="35"/>
      <c r="AL178" s="35"/>
      <c r="AM178" s="35"/>
      <c r="AN178" s="35"/>
      <c r="AO178" s="35"/>
      <c r="AP178" s="35"/>
      <c r="AQ178" s="35"/>
      <c r="AR178" s="35"/>
      <c r="AS178" s="35"/>
      <c r="AT178" s="35"/>
      <c r="AU178" s="35"/>
      <c r="AV178" s="35"/>
      <c r="AW178" s="35"/>
      <c r="AX178" s="35"/>
      <c r="AY178" s="35"/>
      <c r="AZ178" s="35"/>
      <c r="BA178" s="35"/>
      <c r="BB178" s="35"/>
      <c r="BC178" s="35"/>
      <c r="BD178" s="35"/>
      <c r="BE178" s="35"/>
      <c r="BF178" s="35"/>
      <c r="BG178" s="35"/>
      <c r="BH178" s="35"/>
      <c r="BI178" s="35"/>
      <c r="BJ178" s="35"/>
      <c r="BK178" s="35"/>
      <c r="BL178" s="35"/>
    </row>
    <row r="179" spans="1:64" ht="14">
      <c r="A179" s="36"/>
      <c r="B179" s="37"/>
      <c r="C179" s="38">
        <f t="shared" si="16"/>
        <v>0</v>
      </c>
      <c r="D179" s="39"/>
      <c r="E179" s="39"/>
      <c r="F179" s="39"/>
      <c r="G179" s="39"/>
      <c r="H179" s="40"/>
      <c r="I179" s="41"/>
      <c r="J179" s="39"/>
      <c r="K179" s="41"/>
      <c r="L179" s="41"/>
      <c r="M179" s="42" t="str">
        <f t="shared" si="17"/>
        <v/>
      </c>
      <c r="N179" s="40" t="str">
        <f t="shared" si="18"/>
        <v/>
      </c>
      <c r="O179" s="40" t="str">
        <f t="shared" si="19"/>
        <v/>
      </c>
      <c r="P179" s="43" t="str">
        <f t="shared" si="20"/>
        <v/>
      </c>
      <c r="Q179" s="44">
        <f t="shared" si="21"/>
        <v>0</v>
      </c>
      <c r="R179" s="44">
        <f t="shared" si="22"/>
        <v>0</v>
      </c>
      <c r="S179" s="43">
        <f t="shared" si="23"/>
        <v>0</v>
      </c>
      <c r="T179" s="39"/>
      <c r="U179" s="35"/>
      <c r="V179" s="35"/>
      <c r="W179" s="35"/>
      <c r="X179" s="35"/>
      <c r="Y179" s="35"/>
      <c r="Z179" s="35"/>
      <c r="AA179" s="35"/>
      <c r="AB179" s="35"/>
      <c r="AC179" s="35"/>
      <c r="AD179" s="35"/>
      <c r="AE179" s="35"/>
      <c r="AF179" s="35"/>
      <c r="AG179" s="35"/>
      <c r="AH179" s="35"/>
      <c r="AI179" s="35"/>
      <c r="AJ179" s="35"/>
      <c r="AK179" s="35"/>
      <c r="AL179" s="35"/>
      <c r="AM179" s="35"/>
      <c r="AN179" s="35"/>
      <c r="AO179" s="35"/>
      <c r="AP179" s="35"/>
      <c r="AQ179" s="35"/>
      <c r="AR179" s="35"/>
      <c r="AS179" s="35"/>
      <c r="AT179" s="35"/>
      <c r="AU179" s="35"/>
      <c r="AV179" s="35"/>
      <c r="AW179" s="35"/>
      <c r="AX179" s="35"/>
      <c r="AY179" s="35"/>
      <c r="AZ179" s="35"/>
      <c r="BA179" s="35"/>
      <c r="BB179" s="35"/>
      <c r="BC179" s="35"/>
      <c r="BD179" s="35"/>
      <c r="BE179" s="35"/>
      <c r="BF179" s="35"/>
      <c r="BG179" s="35"/>
      <c r="BH179" s="35"/>
      <c r="BI179" s="35"/>
      <c r="BJ179" s="35"/>
      <c r="BK179" s="35"/>
      <c r="BL179" s="35"/>
    </row>
    <row r="180" spans="1:64" ht="14">
      <c r="A180" s="36"/>
      <c r="B180" s="37"/>
      <c r="C180" s="38">
        <f t="shared" si="16"/>
        <v>0</v>
      </c>
      <c r="D180" s="39"/>
      <c r="E180" s="39"/>
      <c r="F180" s="39"/>
      <c r="G180" s="39"/>
      <c r="H180" s="40"/>
      <c r="I180" s="41"/>
      <c r="J180" s="39"/>
      <c r="K180" s="41"/>
      <c r="L180" s="41"/>
      <c r="M180" s="42" t="str">
        <f t="shared" si="17"/>
        <v/>
      </c>
      <c r="N180" s="40" t="str">
        <f t="shared" si="18"/>
        <v/>
      </c>
      <c r="O180" s="40" t="str">
        <f t="shared" si="19"/>
        <v/>
      </c>
      <c r="P180" s="43" t="str">
        <f t="shared" si="20"/>
        <v/>
      </c>
      <c r="Q180" s="44">
        <f t="shared" si="21"/>
        <v>0</v>
      </c>
      <c r="R180" s="44">
        <f t="shared" si="22"/>
        <v>0</v>
      </c>
      <c r="S180" s="43">
        <f t="shared" si="23"/>
        <v>0</v>
      </c>
      <c r="T180" s="39"/>
      <c r="U180" s="35"/>
      <c r="V180" s="35"/>
      <c r="W180" s="35"/>
      <c r="X180" s="35"/>
      <c r="Y180" s="35"/>
      <c r="Z180" s="35"/>
      <c r="AA180" s="35"/>
      <c r="AB180" s="35"/>
      <c r="AC180" s="35"/>
      <c r="AD180" s="35"/>
      <c r="AE180" s="35"/>
      <c r="AF180" s="35"/>
      <c r="AG180" s="35"/>
      <c r="AH180" s="35"/>
      <c r="AI180" s="35"/>
      <c r="AJ180" s="35"/>
      <c r="AK180" s="35"/>
      <c r="AL180" s="35"/>
      <c r="AM180" s="35"/>
      <c r="AN180" s="35"/>
      <c r="AO180" s="35"/>
      <c r="AP180" s="35"/>
      <c r="AQ180" s="35"/>
      <c r="AR180" s="35"/>
      <c r="AS180" s="35"/>
      <c r="AT180" s="35"/>
      <c r="AU180" s="35"/>
      <c r="AV180" s="35"/>
      <c r="AW180" s="35"/>
      <c r="AX180" s="35"/>
      <c r="AY180" s="35"/>
      <c r="AZ180" s="35"/>
      <c r="BA180" s="35"/>
      <c r="BB180" s="35"/>
      <c r="BC180" s="35"/>
      <c r="BD180" s="35"/>
      <c r="BE180" s="35"/>
      <c r="BF180" s="35"/>
      <c r="BG180" s="35"/>
      <c r="BH180" s="35"/>
      <c r="BI180" s="35"/>
      <c r="BJ180" s="35"/>
      <c r="BK180" s="35"/>
      <c r="BL180" s="35"/>
    </row>
    <row r="181" spans="1:64" ht="14">
      <c r="A181" s="36"/>
      <c r="B181" s="37"/>
      <c r="C181" s="38">
        <f t="shared" si="16"/>
        <v>0</v>
      </c>
      <c r="D181" s="39"/>
      <c r="E181" s="39"/>
      <c r="F181" s="39"/>
      <c r="G181" s="39"/>
      <c r="H181" s="40"/>
      <c r="I181" s="41"/>
      <c r="J181" s="39"/>
      <c r="K181" s="41"/>
      <c r="L181" s="41"/>
      <c r="M181" s="42" t="str">
        <f t="shared" si="17"/>
        <v/>
      </c>
      <c r="N181" s="40" t="str">
        <f t="shared" si="18"/>
        <v/>
      </c>
      <c r="O181" s="40" t="str">
        <f t="shared" si="19"/>
        <v/>
      </c>
      <c r="P181" s="43" t="str">
        <f t="shared" si="20"/>
        <v/>
      </c>
      <c r="Q181" s="44">
        <f t="shared" si="21"/>
        <v>0</v>
      </c>
      <c r="R181" s="44">
        <f t="shared" si="22"/>
        <v>0</v>
      </c>
      <c r="S181" s="43">
        <f t="shared" si="23"/>
        <v>0</v>
      </c>
      <c r="T181" s="39"/>
      <c r="U181" s="35"/>
      <c r="V181" s="35"/>
      <c r="W181" s="35"/>
      <c r="X181" s="35"/>
      <c r="Y181" s="35"/>
      <c r="Z181" s="35"/>
      <c r="AA181" s="35"/>
      <c r="AB181" s="35"/>
      <c r="AC181" s="35"/>
      <c r="AD181" s="35"/>
      <c r="AE181" s="35"/>
      <c r="AF181" s="35"/>
      <c r="AG181" s="35"/>
      <c r="AH181" s="35"/>
      <c r="AI181" s="35"/>
      <c r="AJ181" s="35"/>
      <c r="AK181" s="35"/>
      <c r="AL181" s="35"/>
      <c r="AM181" s="35"/>
      <c r="AN181" s="35"/>
      <c r="AO181" s="35"/>
      <c r="AP181" s="35"/>
      <c r="AQ181" s="35"/>
      <c r="AR181" s="35"/>
      <c r="AS181" s="35"/>
      <c r="AT181" s="35"/>
      <c r="AU181" s="35"/>
      <c r="AV181" s="35"/>
      <c r="AW181" s="35"/>
      <c r="AX181" s="35"/>
      <c r="AY181" s="35"/>
      <c r="AZ181" s="35"/>
      <c r="BA181" s="35"/>
      <c r="BB181" s="35"/>
      <c r="BC181" s="35"/>
      <c r="BD181" s="35"/>
      <c r="BE181" s="35"/>
      <c r="BF181" s="35"/>
      <c r="BG181" s="35"/>
      <c r="BH181" s="35"/>
      <c r="BI181" s="35"/>
      <c r="BJ181" s="35"/>
      <c r="BK181" s="35"/>
      <c r="BL181" s="35"/>
    </row>
    <row r="182" spans="1:64" ht="14">
      <c r="A182" s="36"/>
      <c r="B182" s="37"/>
      <c r="C182" s="38">
        <f t="shared" si="16"/>
        <v>0</v>
      </c>
      <c r="D182" s="39"/>
      <c r="E182" s="39"/>
      <c r="F182" s="39"/>
      <c r="G182" s="39"/>
      <c r="H182" s="40"/>
      <c r="I182" s="41"/>
      <c r="J182" s="39"/>
      <c r="K182" s="41"/>
      <c r="L182" s="41"/>
      <c r="M182" s="42" t="str">
        <f t="shared" si="17"/>
        <v/>
      </c>
      <c r="N182" s="40" t="str">
        <f t="shared" si="18"/>
        <v/>
      </c>
      <c r="O182" s="40" t="str">
        <f t="shared" si="19"/>
        <v/>
      </c>
      <c r="P182" s="43" t="str">
        <f t="shared" si="20"/>
        <v/>
      </c>
      <c r="Q182" s="44">
        <f t="shared" si="21"/>
        <v>0</v>
      </c>
      <c r="R182" s="44">
        <f t="shared" si="22"/>
        <v>0</v>
      </c>
      <c r="S182" s="43">
        <f t="shared" si="23"/>
        <v>0</v>
      </c>
      <c r="T182" s="39"/>
      <c r="U182" s="35"/>
      <c r="V182" s="35"/>
      <c r="W182" s="35"/>
      <c r="X182" s="35"/>
      <c r="Y182" s="35"/>
      <c r="Z182" s="35"/>
      <c r="AA182" s="35"/>
      <c r="AB182" s="35"/>
      <c r="AC182" s="35"/>
      <c r="AD182" s="35"/>
      <c r="AE182" s="35"/>
      <c r="AF182" s="35"/>
      <c r="AG182" s="35"/>
      <c r="AH182" s="35"/>
      <c r="AI182" s="35"/>
      <c r="AJ182" s="35"/>
      <c r="AK182" s="35"/>
      <c r="AL182" s="35"/>
      <c r="AM182" s="35"/>
      <c r="AN182" s="35"/>
      <c r="AO182" s="35"/>
      <c r="AP182" s="35"/>
      <c r="AQ182" s="35"/>
      <c r="AR182" s="35"/>
      <c r="AS182" s="35"/>
      <c r="AT182" s="35"/>
      <c r="AU182" s="35"/>
      <c r="AV182" s="35"/>
      <c r="AW182" s="35"/>
      <c r="AX182" s="35"/>
      <c r="AY182" s="35"/>
      <c r="AZ182" s="35"/>
      <c r="BA182" s="35"/>
      <c r="BB182" s="35"/>
      <c r="BC182" s="35"/>
      <c r="BD182" s="35"/>
      <c r="BE182" s="35"/>
      <c r="BF182" s="35"/>
      <c r="BG182" s="35"/>
      <c r="BH182" s="35"/>
      <c r="BI182" s="35"/>
      <c r="BJ182" s="35"/>
      <c r="BK182" s="35"/>
      <c r="BL182" s="35"/>
    </row>
    <row r="183" spans="1:64" ht="14">
      <c r="A183" s="36"/>
      <c r="B183" s="37"/>
      <c r="C183" s="38">
        <f t="shared" si="16"/>
        <v>0</v>
      </c>
      <c r="D183" s="39"/>
      <c r="E183" s="39"/>
      <c r="F183" s="39"/>
      <c r="G183" s="39"/>
      <c r="H183" s="40"/>
      <c r="I183" s="41"/>
      <c r="J183" s="39"/>
      <c r="K183" s="41"/>
      <c r="L183" s="41"/>
      <c r="M183" s="42" t="str">
        <f t="shared" si="17"/>
        <v/>
      </c>
      <c r="N183" s="40" t="str">
        <f t="shared" si="18"/>
        <v/>
      </c>
      <c r="O183" s="40" t="str">
        <f t="shared" si="19"/>
        <v/>
      </c>
      <c r="P183" s="43" t="str">
        <f t="shared" si="20"/>
        <v/>
      </c>
      <c r="Q183" s="44">
        <f t="shared" si="21"/>
        <v>0</v>
      </c>
      <c r="R183" s="44">
        <f t="shared" si="22"/>
        <v>0</v>
      </c>
      <c r="S183" s="43">
        <f t="shared" si="23"/>
        <v>0</v>
      </c>
      <c r="T183" s="39"/>
      <c r="U183" s="35"/>
      <c r="V183" s="35"/>
      <c r="W183" s="35"/>
      <c r="X183" s="35"/>
      <c r="Y183" s="35"/>
      <c r="Z183" s="35"/>
      <c r="AA183" s="35"/>
      <c r="AB183" s="35"/>
      <c r="AC183" s="35"/>
      <c r="AD183" s="35"/>
      <c r="AE183" s="35"/>
      <c r="AF183" s="35"/>
      <c r="AG183" s="35"/>
      <c r="AH183" s="35"/>
      <c r="AI183" s="35"/>
      <c r="AJ183" s="35"/>
      <c r="AK183" s="35"/>
      <c r="AL183" s="35"/>
      <c r="AM183" s="35"/>
      <c r="AN183" s="35"/>
      <c r="AO183" s="35"/>
      <c r="AP183" s="35"/>
      <c r="AQ183" s="35"/>
      <c r="AR183" s="35"/>
      <c r="AS183" s="35"/>
      <c r="AT183" s="35"/>
      <c r="AU183" s="35"/>
      <c r="AV183" s="35"/>
      <c r="AW183" s="35"/>
      <c r="AX183" s="35"/>
      <c r="AY183" s="35"/>
      <c r="AZ183" s="35"/>
      <c r="BA183" s="35"/>
      <c r="BB183" s="35"/>
      <c r="BC183" s="35"/>
      <c r="BD183" s="35"/>
      <c r="BE183" s="35"/>
      <c r="BF183" s="35"/>
      <c r="BG183" s="35"/>
      <c r="BH183" s="35"/>
      <c r="BI183" s="35"/>
      <c r="BJ183" s="35"/>
      <c r="BK183" s="35"/>
      <c r="BL183" s="35"/>
    </row>
    <row r="184" spans="1:64" ht="14">
      <c r="A184" s="36"/>
      <c r="B184" s="37"/>
      <c r="C184" s="38">
        <f t="shared" si="16"/>
        <v>0</v>
      </c>
      <c r="D184" s="39"/>
      <c r="E184" s="39"/>
      <c r="F184" s="39"/>
      <c r="G184" s="39"/>
      <c r="H184" s="40"/>
      <c r="I184" s="41"/>
      <c r="J184" s="39"/>
      <c r="K184" s="41"/>
      <c r="L184" s="41"/>
      <c r="M184" s="42" t="str">
        <f t="shared" si="17"/>
        <v/>
      </c>
      <c r="N184" s="40" t="str">
        <f t="shared" si="18"/>
        <v/>
      </c>
      <c r="O184" s="40" t="str">
        <f t="shared" si="19"/>
        <v/>
      </c>
      <c r="P184" s="43" t="str">
        <f t="shared" si="20"/>
        <v/>
      </c>
      <c r="Q184" s="44">
        <f t="shared" si="21"/>
        <v>0</v>
      </c>
      <c r="R184" s="44">
        <f t="shared" si="22"/>
        <v>0</v>
      </c>
      <c r="S184" s="43">
        <f t="shared" si="23"/>
        <v>0</v>
      </c>
      <c r="T184" s="39"/>
      <c r="U184" s="35"/>
      <c r="V184" s="35"/>
      <c r="W184" s="35"/>
      <c r="X184" s="35"/>
      <c r="Y184" s="35"/>
      <c r="Z184" s="35"/>
      <c r="AA184" s="35"/>
      <c r="AB184" s="35"/>
      <c r="AC184" s="35"/>
      <c r="AD184" s="35"/>
      <c r="AE184" s="35"/>
      <c r="AF184" s="35"/>
      <c r="AG184" s="35"/>
      <c r="AH184" s="35"/>
      <c r="AI184" s="35"/>
      <c r="AJ184" s="35"/>
      <c r="AK184" s="35"/>
      <c r="AL184" s="35"/>
      <c r="AM184" s="35"/>
      <c r="AN184" s="35"/>
      <c r="AO184" s="35"/>
      <c r="AP184" s="35"/>
      <c r="AQ184" s="35"/>
      <c r="AR184" s="35"/>
      <c r="AS184" s="35"/>
      <c r="AT184" s="35"/>
      <c r="AU184" s="35"/>
      <c r="AV184" s="35"/>
      <c r="AW184" s="35"/>
      <c r="AX184" s="35"/>
      <c r="AY184" s="35"/>
      <c r="AZ184" s="35"/>
      <c r="BA184" s="35"/>
      <c r="BB184" s="35"/>
      <c r="BC184" s="35"/>
      <c r="BD184" s="35"/>
      <c r="BE184" s="35"/>
      <c r="BF184" s="35"/>
      <c r="BG184" s="35"/>
      <c r="BH184" s="35"/>
      <c r="BI184" s="35"/>
      <c r="BJ184" s="35"/>
      <c r="BK184" s="35"/>
      <c r="BL184" s="35"/>
    </row>
    <row r="185" spans="1:64" ht="14">
      <c r="A185" s="36"/>
      <c r="B185" s="37"/>
      <c r="C185" s="38">
        <f t="shared" si="16"/>
        <v>0</v>
      </c>
      <c r="D185" s="39"/>
      <c r="E185" s="39"/>
      <c r="F185" s="39"/>
      <c r="G185" s="39"/>
      <c r="H185" s="40"/>
      <c r="I185" s="41"/>
      <c r="J185" s="39"/>
      <c r="K185" s="41"/>
      <c r="L185" s="41"/>
      <c r="M185" s="42" t="str">
        <f t="shared" si="17"/>
        <v/>
      </c>
      <c r="N185" s="40" t="str">
        <f t="shared" si="18"/>
        <v/>
      </c>
      <c r="O185" s="40" t="str">
        <f t="shared" si="19"/>
        <v/>
      </c>
      <c r="P185" s="43" t="str">
        <f t="shared" si="20"/>
        <v/>
      </c>
      <c r="Q185" s="44">
        <f t="shared" si="21"/>
        <v>0</v>
      </c>
      <c r="R185" s="44">
        <f t="shared" si="22"/>
        <v>0</v>
      </c>
      <c r="S185" s="43">
        <f t="shared" si="23"/>
        <v>0</v>
      </c>
      <c r="T185" s="39"/>
      <c r="U185" s="35"/>
      <c r="V185" s="35"/>
      <c r="W185" s="35"/>
      <c r="X185" s="35"/>
      <c r="Y185" s="35"/>
      <c r="Z185" s="35"/>
      <c r="AA185" s="35"/>
      <c r="AB185" s="35"/>
      <c r="AC185" s="35"/>
      <c r="AD185" s="35"/>
      <c r="AE185" s="35"/>
      <c r="AF185" s="35"/>
      <c r="AG185" s="35"/>
      <c r="AH185" s="35"/>
      <c r="AI185" s="35"/>
      <c r="AJ185" s="35"/>
      <c r="AK185" s="35"/>
      <c r="AL185" s="35"/>
      <c r="AM185" s="35"/>
      <c r="AN185" s="35"/>
      <c r="AO185" s="35"/>
      <c r="AP185" s="35"/>
      <c r="AQ185" s="35"/>
      <c r="AR185" s="35"/>
      <c r="AS185" s="35"/>
      <c r="AT185" s="35"/>
      <c r="AU185" s="35"/>
      <c r="AV185" s="35"/>
      <c r="AW185" s="35"/>
      <c r="AX185" s="35"/>
      <c r="AY185" s="35"/>
      <c r="AZ185" s="35"/>
      <c r="BA185" s="35"/>
      <c r="BB185" s="35"/>
      <c r="BC185" s="35"/>
      <c r="BD185" s="35"/>
      <c r="BE185" s="35"/>
      <c r="BF185" s="35"/>
      <c r="BG185" s="35"/>
      <c r="BH185" s="35"/>
      <c r="BI185" s="35"/>
      <c r="BJ185" s="35"/>
      <c r="BK185" s="35"/>
      <c r="BL185" s="35"/>
    </row>
    <row r="186" spans="1:64" ht="14">
      <c r="A186" s="36"/>
      <c r="B186" s="37"/>
      <c r="C186" s="38">
        <f t="shared" si="16"/>
        <v>0</v>
      </c>
      <c r="D186" s="39"/>
      <c r="E186" s="39"/>
      <c r="F186" s="39"/>
      <c r="G186" s="39"/>
      <c r="H186" s="40"/>
      <c r="I186" s="41"/>
      <c r="J186" s="39"/>
      <c r="K186" s="41"/>
      <c r="L186" s="41"/>
      <c r="M186" s="42" t="str">
        <f t="shared" si="17"/>
        <v/>
      </c>
      <c r="N186" s="40" t="str">
        <f t="shared" si="18"/>
        <v/>
      </c>
      <c r="O186" s="40" t="str">
        <f t="shared" si="19"/>
        <v/>
      </c>
      <c r="P186" s="43" t="str">
        <f t="shared" si="20"/>
        <v/>
      </c>
      <c r="Q186" s="44">
        <f t="shared" si="21"/>
        <v>0</v>
      </c>
      <c r="R186" s="44">
        <f t="shared" si="22"/>
        <v>0</v>
      </c>
      <c r="S186" s="43">
        <f t="shared" si="23"/>
        <v>0</v>
      </c>
      <c r="T186" s="39"/>
      <c r="U186" s="35"/>
      <c r="V186" s="35"/>
      <c r="W186" s="35"/>
      <c r="X186" s="35"/>
      <c r="Y186" s="35"/>
      <c r="Z186" s="35"/>
      <c r="AA186" s="35"/>
      <c r="AB186" s="35"/>
      <c r="AC186" s="35"/>
      <c r="AD186" s="35"/>
      <c r="AE186" s="35"/>
      <c r="AF186" s="35"/>
      <c r="AG186" s="35"/>
      <c r="AH186" s="35"/>
      <c r="AI186" s="35"/>
      <c r="AJ186" s="35"/>
      <c r="AK186" s="35"/>
      <c r="AL186" s="35"/>
      <c r="AM186" s="35"/>
      <c r="AN186" s="35"/>
      <c r="AO186" s="35"/>
      <c r="AP186" s="35"/>
      <c r="AQ186" s="35"/>
      <c r="AR186" s="35"/>
      <c r="AS186" s="35"/>
      <c r="AT186" s="35"/>
      <c r="AU186" s="35"/>
      <c r="AV186" s="35"/>
      <c r="AW186" s="35"/>
      <c r="AX186" s="35"/>
      <c r="AY186" s="35"/>
      <c r="AZ186" s="35"/>
      <c r="BA186" s="35"/>
      <c r="BB186" s="35"/>
      <c r="BC186" s="35"/>
      <c r="BD186" s="35"/>
      <c r="BE186" s="35"/>
      <c r="BF186" s="35"/>
      <c r="BG186" s="35"/>
      <c r="BH186" s="35"/>
      <c r="BI186" s="35"/>
      <c r="BJ186" s="35"/>
      <c r="BK186" s="35"/>
      <c r="BL186" s="35"/>
    </row>
    <row r="187" spans="1:64" ht="14">
      <c r="A187" s="36"/>
      <c r="B187" s="37"/>
      <c r="C187" s="38">
        <f t="shared" si="16"/>
        <v>0</v>
      </c>
      <c r="D187" s="39"/>
      <c r="E187" s="39"/>
      <c r="F187" s="39"/>
      <c r="G187" s="39"/>
      <c r="H187" s="40"/>
      <c r="I187" s="41"/>
      <c r="J187" s="39"/>
      <c r="K187" s="41"/>
      <c r="L187" s="41"/>
      <c r="M187" s="42" t="str">
        <f t="shared" si="17"/>
        <v/>
      </c>
      <c r="N187" s="40" t="str">
        <f t="shared" si="18"/>
        <v/>
      </c>
      <c r="O187" s="40" t="str">
        <f t="shared" si="19"/>
        <v/>
      </c>
      <c r="P187" s="43" t="str">
        <f t="shared" si="20"/>
        <v/>
      </c>
      <c r="Q187" s="44">
        <f t="shared" si="21"/>
        <v>0</v>
      </c>
      <c r="R187" s="44">
        <f t="shared" si="22"/>
        <v>0</v>
      </c>
      <c r="S187" s="43">
        <f t="shared" si="23"/>
        <v>0</v>
      </c>
      <c r="T187" s="39"/>
      <c r="U187" s="35"/>
      <c r="V187" s="35"/>
      <c r="W187" s="35"/>
      <c r="X187" s="35"/>
      <c r="Y187" s="35"/>
      <c r="Z187" s="35"/>
      <c r="AA187" s="35"/>
      <c r="AB187" s="35"/>
      <c r="AC187" s="35"/>
      <c r="AD187" s="35"/>
      <c r="AE187" s="35"/>
      <c r="AF187" s="35"/>
      <c r="AG187" s="35"/>
      <c r="AH187" s="35"/>
      <c r="AI187" s="35"/>
      <c r="AJ187" s="35"/>
      <c r="AK187" s="35"/>
      <c r="AL187" s="35"/>
      <c r="AM187" s="35"/>
      <c r="AN187" s="35"/>
      <c r="AO187" s="35"/>
      <c r="AP187" s="35"/>
      <c r="AQ187" s="35"/>
      <c r="AR187" s="35"/>
      <c r="AS187" s="35"/>
      <c r="AT187" s="35"/>
      <c r="AU187" s="35"/>
      <c r="AV187" s="35"/>
      <c r="AW187" s="35"/>
      <c r="AX187" s="35"/>
      <c r="AY187" s="35"/>
      <c r="AZ187" s="35"/>
      <c r="BA187" s="35"/>
      <c r="BB187" s="35"/>
      <c r="BC187" s="35"/>
      <c r="BD187" s="35"/>
      <c r="BE187" s="35"/>
      <c r="BF187" s="35"/>
      <c r="BG187" s="35"/>
      <c r="BH187" s="35"/>
      <c r="BI187" s="35"/>
      <c r="BJ187" s="35"/>
      <c r="BK187" s="35"/>
      <c r="BL187" s="35"/>
    </row>
    <row r="188" spans="1:64" ht="14">
      <c r="A188" s="36"/>
      <c r="B188" s="37"/>
      <c r="C188" s="38">
        <f t="shared" si="16"/>
        <v>0</v>
      </c>
      <c r="D188" s="39"/>
      <c r="E188" s="39"/>
      <c r="F188" s="39"/>
      <c r="G188" s="39"/>
      <c r="H188" s="40"/>
      <c r="I188" s="41"/>
      <c r="J188" s="39"/>
      <c r="K188" s="41"/>
      <c r="L188" s="41"/>
      <c r="M188" s="42" t="str">
        <f t="shared" si="17"/>
        <v/>
      </c>
      <c r="N188" s="40" t="str">
        <f t="shared" si="18"/>
        <v/>
      </c>
      <c r="O188" s="40" t="str">
        <f t="shared" si="19"/>
        <v/>
      </c>
      <c r="P188" s="43" t="str">
        <f t="shared" si="20"/>
        <v/>
      </c>
      <c r="Q188" s="44">
        <f t="shared" si="21"/>
        <v>0</v>
      </c>
      <c r="R188" s="44">
        <f t="shared" si="22"/>
        <v>0</v>
      </c>
      <c r="S188" s="43">
        <f t="shared" si="23"/>
        <v>0</v>
      </c>
      <c r="T188" s="39"/>
      <c r="U188" s="35"/>
      <c r="V188" s="35"/>
      <c r="W188" s="35"/>
      <c r="X188" s="35"/>
      <c r="Y188" s="35"/>
      <c r="Z188" s="35"/>
      <c r="AA188" s="35"/>
      <c r="AB188" s="35"/>
      <c r="AC188" s="35"/>
      <c r="AD188" s="35"/>
      <c r="AE188" s="35"/>
      <c r="AF188" s="35"/>
      <c r="AG188" s="35"/>
      <c r="AH188" s="35"/>
      <c r="AI188" s="35"/>
      <c r="AJ188" s="35"/>
      <c r="AK188" s="35"/>
      <c r="AL188" s="35"/>
      <c r="AM188" s="35"/>
      <c r="AN188" s="35"/>
      <c r="AO188" s="35"/>
      <c r="AP188" s="35"/>
      <c r="AQ188" s="35"/>
      <c r="AR188" s="35"/>
      <c r="AS188" s="35"/>
      <c r="AT188" s="35"/>
      <c r="AU188" s="35"/>
      <c r="AV188" s="35"/>
      <c r="AW188" s="35"/>
      <c r="AX188" s="35"/>
      <c r="AY188" s="35"/>
      <c r="AZ188" s="35"/>
      <c r="BA188" s="35"/>
      <c r="BB188" s="35"/>
      <c r="BC188" s="35"/>
      <c r="BD188" s="35"/>
      <c r="BE188" s="35"/>
      <c r="BF188" s="35"/>
      <c r="BG188" s="35"/>
      <c r="BH188" s="35"/>
      <c r="BI188" s="35"/>
      <c r="BJ188" s="35"/>
      <c r="BK188" s="35"/>
      <c r="BL188" s="35"/>
    </row>
    <row r="189" spans="1:64" ht="14">
      <c r="A189" s="36"/>
      <c r="B189" s="37"/>
      <c r="C189" s="38">
        <f t="shared" si="16"/>
        <v>0</v>
      </c>
      <c r="D189" s="39"/>
      <c r="E189" s="39"/>
      <c r="F189" s="39"/>
      <c r="G189" s="39"/>
      <c r="H189" s="40"/>
      <c r="I189" s="41"/>
      <c r="J189" s="39"/>
      <c r="K189" s="41"/>
      <c r="L189" s="41"/>
      <c r="M189" s="42" t="str">
        <f t="shared" si="17"/>
        <v/>
      </c>
      <c r="N189" s="40" t="str">
        <f t="shared" si="18"/>
        <v/>
      </c>
      <c r="O189" s="40" t="str">
        <f t="shared" si="19"/>
        <v/>
      </c>
      <c r="P189" s="43" t="str">
        <f t="shared" si="20"/>
        <v/>
      </c>
      <c r="Q189" s="44">
        <f t="shared" si="21"/>
        <v>0</v>
      </c>
      <c r="R189" s="44">
        <f t="shared" si="22"/>
        <v>0</v>
      </c>
      <c r="S189" s="43">
        <f t="shared" si="23"/>
        <v>0</v>
      </c>
      <c r="T189" s="39"/>
      <c r="U189" s="35"/>
      <c r="V189" s="35"/>
      <c r="W189" s="35"/>
      <c r="X189" s="35"/>
      <c r="Y189" s="35"/>
      <c r="Z189" s="35"/>
      <c r="AA189" s="35"/>
      <c r="AB189" s="35"/>
      <c r="AC189" s="35"/>
      <c r="AD189" s="35"/>
      <c r="AE189" s="35"/>
      <c r="AF189" s="35"/>
      <c r="AG189" s="35"/>
      <c r="AH189" s="35"/>
      <c r="AI189" s="35"/>
      <c r="AJ189" s="35"/>
      <c r="AK189" s="35"/>
      <c r="AL189" s="35"/>
      <c r="AM189" s="35"/>
      <c r="AN189" s="35"/>
      <c r="AO189" s="35"/>
      <c r="AP189" s="35"/>
      <c r="AQ189" s="35"/>
      <c r="AR189" s="35"/>
      <c r="AS189" s="35"/>
      <c r="AT189" s="35"/>
      <c r="AU189" s="35"/>
      <c r="AV189" s="35"/>
      <c r="AW189" s="35"/>
      <c r="AX189" s="35"/>
      <c r="AY189" s="35"/>
      <c r="AZ189" s="35"/>
      <c r="BA189" s="35"/>
      <c r="BB189" s="35"/>
      <c r="BC189" s="35"/>
      <c r="BD189" s="35"/>
      <c r="BE189" s="35"/>
      <c r="BF189" s="35"/>
      <c r="BG189" s="35"/>
      <c r="BH189" s="35"/>
      <c r="BI189" s="35"/>
      <c r="BJ189" s="35"/>
      <c r="BK189" s="35"/>
      <c r="BL189" s="35"/>
    </row>
    <row r="190" spans="1:64" ht="14">
      <c r="A190" s="36"/>
      <c r="B190" s="37"/>
      <c r="C190" s="38">
        <f t="shared" si="16"/>
        <v>0</v>
      </c>
      <c r="D190" s="39"/>
      <c r="E190" s="39"/>
      <c r="F190" s="39"/>
      <c r="G190" s="39"/>
      <c r="H190" s="40"/>
      <c r="I190" s="41"/>
      <c r="J190" s="39"/>
      <c r="K190" s="41"/>
      <c r="L190" s="41"/>
      <c r="M190" s="42" t="str">
        <f t="shared" si="17"/>
        <v/>
      </c>
      <c r="N190" s="40" t="str">
        <f t="shared" si="18"/>
        <v/>
      </c>
      <c r="O190" s="40" t="str">
        <f t="shared" si="19"/>
        <v/>
      </c>
      <c r="P190" s="43" t="str">
        <f t="shared" si="20"/>
        <v/>
      </c>
      <c r="Q190" s="44">
        <f t="shared" si="21"/>
        <v>0</v>
      </c>
      <c r="R190" s="44">
        <f t="shared" si="22"/>
        <v>0</v>
      </c>
      <c r="S190" s="43">
        <f t="shared" si="23"/>
        <v>0</v>
      </c>
      <c r="T190" s="39"/>
      <c r="U190" s="35"/>
      <c r="V190" s="35"/>
      <c r="W190" s="35"/>
      <c r="X190" s="35"/>
      <c r="Y190" s="35"/>
      <c r="Z190" s="35"/>
      <c r="AA190" s="35"/>
      <c r="AB190" s="35"/>
      <c r="AC190" s="35"/>
      <c r="AD190" s="35"/>
      <c r="AE190" s="35"/>
      <c r="AF190" s="35"/>
      <c r="AG190" s="35"/>
      <c r="AH190" s="35"/>
      <c r="AI190" s="35"/>
      <c r="AJ190" s="35"/>
      <c r="AK190" s="35"/>
      <c r="AL190" s="35"/>
      <c r="AM190" s="35"/>
      <c r="AN190" s="35"/>
      <c r="AO190" s="35"/>
      <c r="AP190" s="35"/>
      <c r="AQ190" s="35"/>
      <c r="AR190" s="35"/>
      <c r="AS190" s="35"/>
      <c r="AT190" s="35"/>
      <c r="AU190" s="35"/>
      <c r="AV190" s="35"/>
      <c r="AW190" s="35"/>
      <c r="AX190" s="35"/>
      <c r="AY190" s="35"/>
      <c r="AZ190" s="35"/>
      <c r="BA190" s="35"/>
      <c r="BB190" s="35"/>
      <c r="BC190" s="35"/>
      <c r="BD190" s="35"/>
      <c r="BE190" s="35"/>
      <c r="BF190" s="35"/>
      <c r="BG190" s="35"/>
      <c r="BH190" s="35"/>
      <c r="BI190" s="35"/>
      <c r="BJ190" s="35"/>
      <c r="BK190" s="35"/>
      <c r="BL190" s="35"/>
    </row>
    <row r="191" spans="1:64" ht="14">
      <c r="A191" s="36"/>
      <c r="B191" s="37"/>
      <c r="C191" s="38">
        <f t="shared" si="16"/>
        <v>0</v>
      </c>
      <c r="D191" s="39"/>
      <c r="E191" s="39"/>
      <c r="F191" s="39"/>
      <c r="G191" s="39"/>
      <c r="H191" s="40"/>
      <c r="I191" s="41"/>
      <c r="J191" s="39"/>
      <c r="K191" s="41"/>
      <c r="L191" s="41"/>
      <c r="M191" s="42" t="str">
        <f t="shared" si="17"/>
        <v/>
      </c>
      <c r="N191" s="40" t="str">
        <f t="shared" si="18"/>
        <v/>
      </c>
      <c r="O191" s="40" t="str">
        <f t="shared" si="19"/>
        <v/>
      </c>
      <c r="P191" s="43" t="str">
        <f t="shared" si="20"/>
        <v/>
      </c>
      <c r="Q191" s="44">
        <f t="shared" si="21"/>
        <v>0</v>
      </c>
      <c r="R191" s="44">
        <f t="shared" si="22"/>
        <v>0</v>
      </c>
      <c r="S191" s="43">
        <f t="shared" si="23"/>
        <v>0</v>
      </c>
      <c r="T191" s="39"/>
      <c r="U191" s="35"/>
      <c r="V191" s="35"/>
      <c r="W191" s="35"/>
      <c r="X191" s="35"/>
      <c r="Y191" s="35"/>
      <c r="Z191" s="35"/>
      <c r="AA191" s="35"/>
      <c r="AB191" s="35"/>
      <c r="AC191" s="35"/>
      <c r="AD191" s="35"/>
      <c r="AE191" s="35"/>
      <c r="AF191" s="35"/>
      <c r="AG191" s="35"/>
      <c r="AH191" s="35"/>
      <c r="AI191" s="35"/>
      <c r="AJ191" s="35"/>
      <c r="AK191" s="35"/>
      <c r="AL191" s="35"/>
      <c r="AM191" s="35"/>
      <c r="AN191" s="35"/>
      <c r="AO191" s="35"/>
      <c r="AP191" s="35"/>
      <c r="AQ191" s="35"/>
      <c r="AR191" s="35"/>
      <c r="AS191" s="35"/>
      <c r="AT191" s="35"/>
      <c r="AU191" s="35"/>
      <c r="AV191" s="35"/>
      <c r="AW191" s="35"/>
      <c r="AX191" s="35"/>
      <c r="AY191" s="35"/>
      <c r="AZ191" s="35"/>
      <c r="BA191" s="35"/>
      <c r="BB191" s="35"/>
      <c r="BC191" s="35"/>
      <c r="BD191" s="35"/>
      <c r="BE191" s="35"/>
      <c r="BF191" s="35"/>
      <c r="BG191" s="35"/>
      <c r="BH191" s="35"/>
      <c r="BI191" s="35"/>
      <c r="BJ191" s="35"/>
      <c r="BK191" s="35"/>
      <c r="BL191" s="35"/>
    </row>
    <row r="192" spans="1:64" ht="14">
      <c r="A192" s="36"/>
      <c r="B192" s="37"/>
      <c r="C192" s="38">
        <f t="shared" si="16"/>
        <v>0</v>
      </c>
      <c r="D192" s="39"/>
      <c r="E192" s="39"/>
      <c r="F192" s="39"/>
      <c r="G192" s="39"/>
      <c r="H192" s="40"/>
      <c r="I192" s="41"/>
      <c r="J192" s="39"/>
      <c r="K192" s="41"/>
      <c r="L192" s="41"/>
      <c r="M192" s="42" t="str">
        <f t="shared" si="17"/>
        <v/>
      </c>
      <c r="N192" s="40" t="str">
        <f t="shared" si="18"/>
        <v/>
      </c>
      <c r="O192" s="40" t="str">
        <f t="shared" si="19"/>
        <v/>
      </c>
      <c r="P192" s="43" t="str">
        <f t="shared" si="20"/>
        <v/>
      </c>
      <c r="Q192" s="44">
        <f t="shared" si="21"/>
        <v>0</v>
      </c>
      <c r="R192" s="44">
        <f t="shared" si="22"/>
        <v>0</v>
      </c>
      <c r="S192" s="43">
        <f t="shared" si="23"/>
        <v>0</v>
      </c>
      <c r="T192" s="39"/>
      <c r="U192" s="35"/>
      <c r="V192" s="35"/>
      <c r="W192" s="35"/>
      <c r="X192" s="35"/>
      <c r="Y192" s="35"/>
      <c r="Z192" s="35"/>
      <c r="AA192" s="35"/>
      <c r="AB192" s="35"/>
      <c r="AC192" s="35"/>
      <c r="AD192" s="35"/>
      <c r="AE192" s="35"/>
      <c r="AF192" s="35"/>
      <c r="AG192" s="35"/>
      <c r="AH192" s="35"/>
      <c r="AI192" s="35"/>
      <c r="AJ192" s="35"/>
      <c r="AK192" s="35"/>
      <c r="AL192" s="35"/>
      <c r="AM192" s="35"/>
      <c r="AN192" s="35"/>
      <c r="AO192" s="35"/>
      <c r="AP192" s="35"/>
      <c r="AQ192" s="35"/>
      <c r="AR192" s="35"/>
      <c r="AS192" s="35"/>
      <c r="AT192" s="35"/>
      <c r="AU192" s="35"/>
      <c r="AV192" s="35"/>
      <c r="AW192" s="35"/>
      <c r="AX192" s="35"/>
      <c r="AY192" s="35"/>
      <c r="AZ192" s="35"/>
      <c r="BA192" s="35"/>
      <c r="BB192" s="35"/>
      <c r="BC192" s="35"/>
      <c r="BD192" s="35"/>
      <c r="BE192" s="35"/>
      <c r="BF192" s="35"/>
      <c r="BG192" s="35"/>
      <c r="BH192" s="35"/>
      <c r="BI192" s="35"/>
      <c r="BJ192" s="35"/>
      <c r="BK192" s="35"/>
      <c r="BL192" s="35"/>
    </row>
    <row r="193" spans="1:64" ht="14">
      <c r="A193" s="36"/>
      <c r="B193" s="37"/>
      <c r="C193" s="38">
        <f t="shared" si="16"/>
        <v>0</v>
      </c>
      <c r="D193" s="39"/>
      <c r="E193" s="39"/>
      <c r="F193" s="39"/>
      <c r="G193" s="39"/>
      <c r="H193" s="40"/>
      <c r="I193" s="41"/>
      <c r="J193" s="39"/>
      <c r="K193" s="41"/>
      <c r="L193" s="41"/>
      <c r="M193" s="42" t="str">
        <f t="shared" si="17"/>
        <v/>
      </c>
      <c r="N193" s="40" t="str">
        <f t="shared" si="18"/>
        <v/>
      </c>
      <c r="O193" s="40" t="str">
        <f t="shared" si="19"/>
        <v/>
      </c>
      <c r="P193" s="43" t="str">
        <f t="shared" si="20"/>
        <v/>
      </c>
      <c r="Q193" s="44">
        <f t="shared" si="21"/>
        <v>0</v>
      </c>
      <c r="R193" s="44">
        <f t="shared" si="22"/>
        <v>0</v>
      </c>
      <c r="S193" s="43">
        <f t="shared" si="23"/>
        <v>0</v>
      </c>
      <c r="T193" s="39"/>
      <c r="U193" s="35"/>
      <c r="V193" s="35"/>
      <c r="W193" s="35"/>
      <c r="X193" s="35"/>
      <c r="Y193" s="35"/>
      <c r="Z193" s="35"/>
      <c r="AA193" s="35"/>
      <c r="AB193" s="35"/>
      <c r="AC193" s="35"/>
      <c r="AD193" s="35"/>
      <c r="AE193" s="35"/>
      <c r="AF193" s="35"/>
      <c r="AG193" s="35"/>
      <c r="AH193" s="35"/>
      <c r="AI193" s="35"/>
      <c r="AJ193" s="35"/>
      <c r="AK193" s="35"/>
      <c r="AL193" s="35"/>
      <c r="AM193" s="35"/>
      <c r="AN193" s="35"/>
      <c r="AO193" s="35"/>
      <c r="AP193" s="35"/>
      <c r="AQ193" s="35"/>
      <c r="AR193" s="35"/>
      <c r="AS193" s="35"/>
      <c r="AT193" s="35"/>
      <c r="AU193" s="35"/>
      <c r="AV193" s="35"/>
      <c r="AW193" s="35"/>
      <c r="AX193" s="35"/>
      <c r="AY193" s="35"/>
      <c r="AZ193" s="35"/>
      <c r="BA193" s="35"/>
      <c r="BB193" s="35"/>
      <c r="BC193" s="35"/>
      <c r="BD193" s="35"/>
      <c r="BE193" s="35"/>
      <c r="BF193" s="35"/>
      <c r="BG193" s="35"/>
      <c r="BH193" s="35"/>
      <c r="BI193" s="35"/>
      <c r="BJ193" s="35"/>
      <c r="BK193" s="35"/>
      <c r="BL193" s="35"/>
    </row>
    <row r="194" spans="1:64" ht="14">
      <c r="A194" s="36"/>
      <c r="B194" s="37"/>
      <c r="C194" s="38">
        <f t="shared" si="16"/>
        <v>0</v>
      </c>
      <c r="D194" s="39"/>
      <c r="E194" s="39"/>
      <c r="F194" s="39"/>
      <c r="G194" s="39"/>
      <c r="H194" s="40"/>
      <c r="I194" s="41"/>
      <c r="J194" s="39"/>
      <c r="K194" s="41"/>
      <c r="L194" s="41"/>
      <c r="M194" s="42" t="str">
        <f t="shared" si="17"/>
        <v/>
      </c>
      <c r="N194" s="40" t="str">
        <f t="shared" si="18"/>
        <v/>
      </c>
      <c r="O194" s="40" t="str">
        <f t="shared" si="19"/>
        <v/>
      </c>
      <c r="P194" s="43" t="str">
        <f t="shared" si="20"/>
        <v/>
      </c>
      <c r="Q194" s="44">
        <f t="shared" si="21"/>
        <v>0</v>
      </c>
      <c r="R194" s="44">
        <f t="shared" si="22"/>
        <v>0</v>
      </c>
      <c r="S194" s="43">
        <f t="shared" si="23"/>
        <v>0</v>
      </c>
      <c r="T194" s="39"/>
      <c r="U194" s="35"/>
      <c r="V194" s="35"/>
      <c r="W194" s="35"/>
      <c r="X194" s="35"/>
      <c r="Y194" s="35"/>
      <c r="Z194" s="35"/>
      <c r="AA194" s="35"/>
      <c r="AB194" s="35"/>
      <c r="AC194" s="35"/>
      <c r="AD194" s="35"/>
      <c r="AE194" s="35"/>
      <c r="AF194" s="35"/>
      <c r="AG194" s="35"/>
      <c r="AH194" s="35"/>
      <c r="AI194" s="35"/>
      <c r="AJ194" s="35"/>
      <c r="AK194" s="35"/>
      <c r="AL194" s="35"/>
      <c r="AM194" s="35"/>
      <c r="AN194" s="35"/>
      <c r="AO194" s="35"/>
      <c r="AP194" s="35"/>
      <c r="AQ194" s="35"/>
      <c r="AR194" s="35"/>
      <c r="AS194" s="35"/>
      <c r="AT194" s="35"/>
      <c r="AU194" s="35"/>
      <c r="AV194" s="35"/>
      <c r="AW194" s="35"/>
      <c r="AX194" s="35"/>
      <c r="AY194" s="35"/>
      <c r="AZ194" s="35"/>
      <c r="BA194" s="35"/>
      <c r="BB194" s="35"/>
      <c r="BC194" s="35"/>
      <c r="BD194" s="35"/>
      <c r="BE194" s="35"/>
      <c r="BF194" s="35"/>
      <c r="BG194" s="35"/>
      <c r="BH194" s="35"/>
      <c r="BI194" s="35"/>
      <c r="BJ194" s="35"/>
      <c r="BK194" s="35"/>
      <c r="BL194" s="35"/>
    </row>
    <row r="195" spans="1:64" ht="14">
      <c r="A195" s="36"/>
      <c r="B195" s="37"/>
      <c r="C195" s="38">
        <f t="shared" si="16"/>
        <v>0</v>
      </c>
      <c r="D195" s="39"/>
      <c r="E195" s="39"/>
      <c r="F195" s="39"/>
      <c r="G195" s="39"/>
      <c r="H195" s="40"/>
      <c r="I195" s="41"/>
      <c r="J195" s="39"/>
      <c r="K195" s="41"/>
      <c r="L195" s="41"/>
      <c r="M195" s="42" t="str">
        <f t="shared" si="17"/>
        <v/>
      </c>
      <c r="N195" s="40" t="str">
        <f t="shared" si="18"/>
        <v/>
      </c>
      <c r="O195" s="40" t="str">
        <f t="shared" si="19"/>
        <v/>
      </c>
      <c r="P195" s="43" t="str">
        <f t="shared" si="20"/>
        <v/>
      </c>
      <c r="Q195" s="44">
        <f t="shared" si="21"/>
        <v>0</v>
      </c>
      <c r="R195" s="44">
        <f t="shared" si="22"/>
        <v>0</v>
      </c>
      <c r="S195" s="43">
        <f t="shared" si="23"/>
        <v>0</v>
      </c>
      <c r="T195" s="39"/>
      <c r="U195" s="35"/>
      <c r="V195" s="35"/>
      <c r="W195" s="35"/>
      <c r="X195" s="35"/>
      <c r="Y195" s="35"/>
      <c r="Z195" s="35"/>
      <c r="AA195" s="35"/>
      <c r="AB195" s="35"/>
      <c r="AC195" s="35"/>
      <c r="AD195" s="35"/>
      <c r="AE195" s="35"/>
      <c r="AF195" s="35"/>
      <c r="AG195" s="35"/>
      <c r="AH195" s="35"/>
      <c r="AI195" s="35"/>
      <c r="AJ195" s="35"/>
      <c r="AK195" s="35"/>
      <c r="AL195" s="35"/>
      <c r="AM195" s="35"/>
      <c r="AN195" s="35"/>
      <c r="AO195" s="35"/>
      <c r="AP195" s="35"/>
      <c r="AQ195" s="35"/>
      <c r="AR195" s="35"/>
      <c r="AS195" s="35"/>
      <c r="AT195" s="35"/>
      <c r="AU195" s="35"/>
      <c r="AV195" s="35"/>
      <c r="AW195" s="35"/>
      <c r="AX195" s="35"/>
      <c r="AY195" s="35"/>
      <c r="AZ195" s="35"/>
      <c r="BA195" s="35"/>
      <c r="BB195" s="35"/>
      <c r="BC195" s="35"/>
      <c r="BD195" s="35"/>
      <c r="BE195" s="35"/>
      <c r="BF195" s="35"/>
      <c r="BG195" s="35"/>
      <c r="BH195" s="35"/>
      <c r="BI195" s="35"/>
      <c r="BJ195" s="35"/>
      <c r="BK195" s="35"/>
      <c r="BL195" s="35"/>
    </row>
    <row r="196" spans="1:64" ht="14">
      <c r="A196" s="36"/>
      <c r="B196" s="37"/>
      <c r="C196" s="38">
        <f t="shared" si="16"/>
        <v>0</v>
      </c>
      <c r="D196" s="39"/>
      <c r="E196" s="39"/>
      <c r="F196" s="39"/>
      <c r="G196" s="39"/>
      <c r="H196" s="40"/>
      <c r="I196" s="41"/>
      <c r="J196" s="39"/>
      <c r="K196" s="41"/>
      <c r="L196" s="41"/>
      <c r="M196" s="42" t="str">
        <f t="shared" si="17"/>
        <v/>
      </c>
      <c r="N196" s="40" t="str">
        <f t="shared" si="18"/>
        <v/>
      </c>
      <c r="O196" s="40" t="str">
        <f t="shared" si="19"/>
        <v/>
      </c>
      <c r="P196" s="43" t="str">
        <f t="shared" si="20"/>
        <v/>
      </c>
      <c r="Q196" s="44">
        <f t="shared" si="21"/>
        <v>0</v>
      </c>
      <c r="R196" s="44">
        <f t="shared" si="22"/>
        <v>0</v>
      </c>
      <c r="S196" s="43">
        <f t="shared" si="23"/>
        <v>0</v>
      </c>
      <c r="T196" s="39"/>
      <c r="U196" s="35"/>
      <c r="V196" s="35"/>
      <c r="W196" s="35"/>
      <c r="X196" s="35"/>
      <c r="Y196" s="35"/>
      <c r="Z196" s="35"/>
      <c r="AA196" s="35"/>
      <c r="AB196" s="35"/>
      <c r="AC196" s="35"/>
      <c r="AD196" s="35"/>
      <c r="AE196" s="35"/>
      <c r="AF196" s="35"/>
      <c r="AG196" s="35"/>
      <c r="AH196" s="35"/>
      <c r="AI196" s="35"/>
      <c r="AJ196" s="35"/>
      <c r="AK196" s="35"/>
      <c r="AL196" s="35"/>
      <c r="AM196" s="35"/>
      <c r="AN196" s="35"/>
      <c r="AO196" s="35"/>
      <c r="AP196" s="35"/>
      <c r="AQ196" s="35"/>
      <c r="AR196" s="35"/>
      <c r="AS196" s="35"/>
      <c r="AT196" s="35"/>
      <c r="AU196" s="35"/>
      <c r="AV196" s="35"/>
      <c r="AW196" s="35"/>
      <c r="AX196" s="35"/>
      <c r="AY196" s="35"/>
      <c r="AZ196" s="35"/>
      <c r="BA196" s="35"/>
      <c r="BB196" s="35"/>
      <c r="BC196" s="35"/>
      <c r="BD196" s="35"/>
      <c r="BE196" s="35"/>
      <c r="BF196" s="35"/>
      <c r="BG196" s="35"/>
      <c r="BH196" s="35"/>
      <c r="BI196" s="35"/>
      <c r="BJ196" s="35"/>
      <c r="BK196" s="35"/>
      <c r="BL196" s="35"/>
    </row>
    <row r="197" spans="1:64" ht="14">
      <c r="A197" s="36"/>
      <c r="B197" s="37"/>
      <c r="C197" s="38">
        <f t="shared" si="16"/>
        <v>0</v>
      </c>
      <c r="D197" s="39"/>
      <c r="E197" s="39"/>
      <c r="F197" s="39"/>
      <c r="G197" s="39"/>
      <c r="H197" s="40"/>
      <c r="I197" s="41"/>
      <c r="J197" s="39"/>
      <c r="K197" s="41"/>
      <c r="L197" s="41"/>
      <c r="M197" s="42" t="str">
        <f t="shared" si="17"/>
        <v/>
      </c>
      <c r="N197" s="40" t="str">
        <f t="shared" si="18"/>
        <v/>
      </c>
      <c r="O197" s="40" t="str">
        <f t="shared" si="19"/>
        <v/>
      </c>
      <c r="P197" s="43" t="str">
        <f t="shared" si="20"/>
        <v/>
      </c>
      <c r="Q197" s="44">
        <f t="shared" si="21"/>
        <v>0</v>
      </c>
      <c r="R197" s="44">
        <f t="shared" si="22"/>
        <v>0</v>
      </c>
      <c r="S197" s="43">
        <f t="shared" si="23"/>
        <v>0</v>
      </c>
      <c r="T197" s="39"/>
      <c r="U197" s="35"/>
      <c r="V197" s="35"/>
      <c r="W197" s="35"/>
      <c r="X197" s="35"/>
      <c r="Y197" s="35"/>
      <c r="Z197" s="35"/>
      <c r="AA197" s="35"/>
      <c r="AB197" s="35"/>
      <c r="AC197" s="35"/>
      <c r="AD197" s="35"/>
      <c r="AE197" s="35"/>
      <c r="AF197" s="35"/>
      <c r="AG197" s="35"/>
      <c r="AH197" s="35"/>
      <c r="AI197" s="35"/>
      <c r="AJ197" s="35"/>
      <c r="AK197" s="35"/>
      <c r="AL197" s="35"/>
      <c r="AM197" s="35"/>
      <c r="AN197" s="35"/>
      <c r="AO197" s="35"/>
      <c r="AP197" s="35"/>
      <c r="AQ197" s="35"/>
      <c r="AR197" s="35"/>
      <c r="AS197" s="35"/>
      <c r="AT197" s="35"/>
      <c r="AU197" s="35"/>
      <c r="AV197" s="35"/>
      <c r="AW197" s="35"/>
      <c r="AX197" s="35"/>
      <c r="AY197" s="35"/>
      <c r="AZ197" s="35"/>
      <c r="BA197" s="35"/>
      <c r="BB197" s="35"/>
      <c r="BC197" s="35"/>
      <c r="BD197" s="35"/>
      <c r="BE197" s="35"/>
      <c r="BF197" s="35"/>
      <c r="BG197" s="35"/>
      <c r="BH197" s="35"/>
      <c r="BI197" s="35"/>
      <c r="BJ197" s="35"/>
      <c r="BK197" s="35"/>
      <c r="BL197" s="35"/>
    </row>
    <row r="198" spans="1:64" ht="14">
      <c r="A198" s="36"/>
      <c r="B198" s="37"/>
      <c r="C198" s="38">
        <f t="shared" si="16"/>
        <v>0</v>
      </c>
      <c r="D198" s="39"/>
      <c r="E198" s="39"/>
      <c r="F198" s="39"/>
      <c r="G198" s="39"/>
      <c r="H198" s="40"/>
      <c r="I198" s="41"/>
      <c r="J198" s="39"/>
      <c r="K198" s="41"/>
      <c r="L198" s="41"/>
      <c r="M198" s="42" t="str">
        <f t="shared" si="17"/>
        <v/>
      </c>
      <c r="N198" s="40" t="str">
        <f t="shared" si="18"/>
        <v/>
      </c>
      <c r="O198" s="40" t="str">
        <f t="shared" si="19"/>
        <v/>
      </c>
      <c r="P198" s="43" t="str">
        <f t="shared" si="20"/>
        <v/>
      </c>
      <c r="Q198" s="44">
        <f t="shared" si="21"/>
        <v>0</v>
      </c>
      <c r="R198" s="44">
        <f t="shared" si="22"/>
        <v>0</v>
      </c>
      <c r="S198" s="43">
        <f t="shared" si="23"/>
        <v>0</v>
      </c>
      <c r="T198" s="39"/>
      <c r="U198" s="35"/>
      <c r="V198" s="35"/>
      <c r="W198" s="35"/>
      <c r="X198" s="35"/>
      <c r="Y198" s="35"/>
      <c r="Z198" s="35"/>
      <c r="AA198" s="35"/>
      <c r="AB198" s="35"/>
      <c r="AC198" s="35"/>
      <c r="AD198" s="35"/>
      <c r="AE198" s="35"/>
      <c r="AF198" s="35"/>
      <c r="AG198" s="35"/>
      <c r="AH198" s="35"/>
      <c r="AI198" s="35"/>
      <c r="AJ198" s="35"/>
      <c r="AK198" s="35"/>
      <c r="AL198" s="35"/>
      <c r="AM198" s="35"/>
      <c r="AN198" s="35"/>
      <c r="AO198" s="35"/>
      <c r="AP198" s="35"/>
      <c r="AQ198" s="35"/>
      <c r="AR198" s="35"/>
      <c r="AS198" s="35"/>
      <c r="AT198" s="35"/>
      <c r="AU198" s="35"/>
      <c r="AV198" s="35"/>
      <c r="AW198" s="35"/>
      <c r="AX198" s="35"/>
      <c r="AY198" s="35"/>
      <c r="AZ198" s="35"/>
      <c r="BA198" s="35"/>
      <c r="BB198" s="35"/>
      <c r="BC198" s="35"/>
      <c r="BD198" s="35"/>
      <c r="BE198" s="35"/>
      <c r="BF198" s="35"/>
      <c r="BG198" s="35"/>
      <c r="BH198" s="35"/>
      <c r="BI198" s="35"/>
      <c r="BJ198" s="35"/>
      <c r="BK198" s="35"/>
      <c r="BL198" s="35"/>
    </row>
    <row r="199" spans="1:64" ht="14">
      <c r="A199" s="36"/>
      <c r="B199" s="37"/>
      <c r="C199" s="38">
        <f t="shared" si="16"/>
        <v>0</v>
      </c>
      <c r="D199" s="39"/>
      <c r="E199" s="39"/>
      <c r="F199" s="39"/>
      <c r="G199" s="39"/>
      <c r="H199" s="40"/>
      <c r="I199" s="41"/>
      <c r="J199" s="39"/>
      <c r="K199" s="41"/>
      <c r="L199" s="41"/>
      <c r="M199" s="42" t="str">
        <f t="shared" si="17"/>
        <v/>
      </c>
      <c r="N199" s="40" t="str">
        <f t="shared" si="18"/>
        <v/>
      </c>
      <c r="O199" s="40" t="str">
        <f t="shared" si="19"/>
        <v/>
      </c>
      <c r="P199" s="43" t="str">
        <f t="shared" si="20"/>
        <v/>
      </c>
      <c r="Q199" s="44">
        <f t="shared" si="21"/>
        <v>0</v>
      </c>
      <c r="R199" s="44">
        <f t="shared" si="22"/>
        <v>0</v>
      </c>
      <c r="S199" s="43">
        <f t="shared" si="23"/>
        <v>0</v>
      </c>
      <c r="T199" s="39"/>
      <c r="U199" s="35"/>
      <c r="V199" s="35"/>
      <c r="W199" s="35"/>
      <c r="X199" s="35"/>
      <c r="Y199" s="35"/>
      <c r="Z199" s="35"/>
      <c r="AA199" s="35"/>
      <c r="AB199" s="35"/>
      <c r="AC199" s="35"/>
      <c r="AD199" s="35"/>
      <c r="AE199" s="35"/>
      <c r="AF199" s="35"/>
      <c r="AG199" s="35"/>
      <c r="AH199" s="35"/>
      <c r="AI199" s="35"/>
      <c r="AJ199" s="35"/>
      <c r="AK199" s="35"/>
      <c r="AL199" s="35"/>
      <c r="AM199" s="35"/>
      <c r="AN199" s="35"/>
      <c r="AO199" s="35"/>
      <c r="AP199" s="35"/>
      <c r="AQ199" s="35"/>
      <c r="AR199" s="35"/>
      <c r="AS199" s="35"/>
      <c r="AT199" s="35"/>
      <c r="AU199" s="35"/>
      <c r="AV199" s="35"/>
      <c r="AW199" s="35"/>
      <c r="AX199" s="35"/>
      <c r="AY199" s="35"/>
      <c r="AZ199" s="35"/>
      <c r="BA199" s="35"/>
      <c r="BB199" s="35"/>
      <c r="BC199" s="35"/>
      <c r="BD199" s="35"/>
      <c r="BE199" s="35"/>
      <c r="BF199" s="35"/>
      <c r="BG199" s="35"/>
      <c r="BH199" s="35"/>
      <c r="BI199" s="35"/>
      <c r="BJ199" s="35"/>
      <c r="BK199" s="35"/>
      <c r="BL199" s="35"/>
    </row>
    <row r="200" spans="1:64" ht="14">
      <c r="A200" s="36"/>
      <c r="B200" s="37"/>
      <c r="C200" s="38">
        <f t="shared" si="16"/>
        <v>0</v>
      </c>
      <c r="D200" s="39"/>
      <c r="E200" s="39"/>
      <c r="F200" s="39"/>
      <c r="G200" s="39"/>
      <c r="H200" s="40"/>
      <c r="I200" s="41"/>
      <c r="J200" s="39"/>
      <c r="K200" s="41"/>
      <c r="L200" s="41"/>
      <c r="M200" s="42" t="str">
        <f t="shared" si="17"/>
        <v/>
      </c>
      <c r="N200" s="40" t="str">
        <f t="shared" si="18"/>
        <v/>
      </c>
      <c r="O200" s="40" t="str">
        <f t="shared" si="19"/>
        <v/>
      </c>
      <c r="P200" s="43" t="str">
        <f t="shared" si="20"/>
        <v/>
      </c>
      <c r="Q200" s="44">
        <f t="shared" si="21"/>
        <v>0</v>
      </c>
      <c r="R200" s="44">
        <f t="shared" si="22"/>
        <v>0</v>
      </c>
      <c r="S200" s="43">
        <f t="shared" si="23"/>
        <v>0</v>
      </c>
      <c r="T200" s="39"/>
      <c r="U200" s="35"/>
      <c r="V200" s="35"/>
      <c r="W200" s="35"/>
      <c r="X200" s="35"/>
      <c r="Y200" s="35"/>
      <c r="Z200" s="35"/>
      <c r="AA200" s="35"/>
      <c r="AB200" s="35"/>
      <c r="AC200" s="35"/>
      <c r="AD200" s="35"/>
      <c r="AE200" s="35"/>
      <c r="AF200" s="35"/>
      <c r="AG200" s="35"/>
      <c r="AH200" s="35"/>
      <c r="AI200" s="35"/>
      <c r="AJ200" s="35"/>
      <c r="AK200" s="35"/>
      <c r="AL200" s="35"/>
      <c r="AM200" s="35"/>
      <c r="AN200" s="35"/>
      <c r="AO200" s="35"/>
      <c r="AP200" s="35"/>
      <c r="AQ200" s="35"/>
      <c r="AR200" s="35"/>
      <c r="AS200" s="35"/>
      <c r="AT200" s="35"/>
      <c r="AU200" s="35"/>
      <c r="AV200" s="35"/>
      <c r="AW200" s="35"/>
      <c r="AX200" s="35"/>
      <c r="AY200" s="35"/>
      <c r="AZ200" s="35"/>
      <c r="BA200" s="35"/>
      <c r="BB200" s="35"/>
      <c r="BC200" s="35"/>
      <c r="BD200" s="35"/>
      <c r="BE200" s="35"/>
      <c r="BF200" s="35"/>
      <c r="BG200" s="35"/>
      <c r="BH200" s="35"/>
      <c r="BI200" s="35"/>
      <c r="BJ200" s="35"/>
      <c r="BK200" s="35"/>
      <c r="BL200" s="35"/>
    </row>
    <row r="201" spans="1:64" ht="14">
      <c r="A201" s="36"/>
      <c r="B201" s="37"/>
      <c r="C201" s="38">
        <f t="shared" si="16"/>
        <v>0</v>
      </c>
      <c r="D201" s="39"/>
      <c r="E201" s="39"/>
      <c r="F201" s="39"/>
      <c r="G201" s="39"/>
      <c r="H201" s="40"/>
      <c r="I201" s="41"/>
      <c r="J201" s="39"/>
      <c r="K201" s="41"/>
      <c r="L201" s="41"/>
      <c r="M201" s="42" t="str">
        <f t="shared" si="17"/>
        <v/>
      </c>
      <c r="N201" s="40" t="str">
        <f t="shared" si="18"/>
        <v/>
      </c>
      <c r="O201" s="40" t="str">
        <f t="shared" si="19"/>
        <v/>
      </c>
      <c r="P201" s="43" t="str">
        <f t="shared" si="20"/>
        <v/>
      </c>
      <c r="Q201" s="44">
        <f t="shared" si="21"/>
        <v>0</v>
      </c>
      <c r="R201" s="44">
        <f t="shared" si="22"/>
        <v>0</v>
      </c>
      <c r="S201" s="43">
        <f t="shared" si="23"/>
        <v>0</v>
      </c>
      <c r="T201" s="39"/>
      <c r="U201" s="35"/>
      <c r="V201" s="35"/>
      <c r="W201" s="35"/>
      <c r="X201" s="35"/>
      <c r="Y201" s="35"/>
      <c r="Z201" s="35"/>
      <c r="AA201" s="35"/>
      <c r="AB201" s="35"/>
      <c r="AC201" s="35"/>
      <c r="AD201" s="35"/>
      <c r="AE201" s="35"/>
      <c r="AF201" s="35"/>
      <c r="AG201" s="35"/>
      <c r="AH201" s="35"/>
      <c r="AI201" s="35"/>
      <c r="AJ201" s="35"/>
      <c r="AK201" s="35"/>
      <c r="AL201" s="35"/>
      <c r="AM201" s="35"/>
      <c r="AN201" s="35"/>
      <c r="AO201" s="35"/>
      <c r="AP201" s="35"/>
      <c r="AQ201" s="35"/>
      <c r="AR201" s="35"/>
      <c r="AS201" s="35"/>
      <c r="AT201" s="35"/>
      <c r="AU201" s="35"/>
      <c r="AV201" s="35"/>
      <c r="AW201" s="35"/>
      <c r="AX201" s="35"/>
      <c r="AY201" s="35"/>
      <c r="AZ201" s="35"/>
      <c r="BA201" s="35"/>
      <c r="BB201" s="35"/>
      <c r="BC201" s="35"/>
      <c r="BD201" s="35"/>
      <c r="BE201" s="35"/>
      <c r="BF201" s="35"/>
      <c r="BG201" s="35"/>
      <c r="BH201" s="35"/>
      <c r="BI201" s="35"/>
      <c r="BJ201" s="35"/>
      <c r="BK201" s="35"/>
      <c r="BL201" s="35"/>
    </row>
    <row r="202" spans="1:64" ht="14">
      <c r="A202" s="36"/>
      <c r="B202" s="37"/>
      <c r="C202" s="38">
        <f t="shared" ref="C202:C265" si="24">IF($B202&lt;&gt;"",VLOOKUP($B202,Matriz_INM,2,0),0)</f>
        <v>0</v>
      </c>
      <c r="D202" s="39"/>
      <c r="E202" s="39"/>
      <c r="F202" s="39"/>
      <c r="G202" s="39"/>
      <c r="H202" s="40"/>
      <c r="I202" s="41"/>
      <c r="J202" s="39"/>
      <c r="K202" s="41"/>
      <c r="L202" s="41"/>
      <c r="M202" s="42" t="str">
        <f t="shared" ref="M202:M265" si="25">IFERROR(VLOOKUP($B202,Matriz_INM,3,0),"")</f>
        <v/>
      </c>
      <c r="N202" s="40" t="str">
        <f t="shared" ref="N202:N265" si="26">IF(J202="EE",IF(OR(AND(OR(L202=1,L202=0),K202&gt;0,K202&lt;5),AND(OR(L202=1,L202=0),K202&gt;4,K202&lt;16),AND(L202=2,K202&gt;0,K202&lt;5)),"Simples",IF(OR(AND(OR(L202=1,L202=0),K202&gt;15),AND(L202=2,K202&gt;4,K202&lt;16),AND(L202&gt;2,K202&gt;0,K202&lt;5)),"Médio",IF(OR(AND(L202=2,K202&gt;15),AND(L202&gt;2,K202&gt;4,K202&lt;16),AND(L202&gt;2,K202&gt;15)),"Complexo",""))), IF(OR(J202="CE",J202="SE"),IF(OR(AND(OR(L202=1,L202=0),K202&gt;0,K202&lt;6),AND(OR(L202=1,L202=0),K202&gt;5,K202&lt;20),AND(L202&gt;1,L202&lt;4,K202&gt;0,K202&lt;6)),"Simples",IF(OR(AND(OR(L202=1,L202=0),K202&gt;19),AND(L202&gt;1,L202&lt;4,K202&gt;5,K202&lt;20),AND(L202&gt;3,K202&gt;0,K202&lt;6)),"Médio",IF(OR(AND(L202&gt;1,L202&lt;4,K202&gt;19),AND(L202&gt;3,K202&gt;5,K202&lt;20),AND(L202&gt;3,K202&gt;19)),"Complexo",""))),""))</f>
        <v/>
      </c>
      <c r="O202" s="40" t="str">
        <f t="shared" ref="O202:O265" si="27">IF(J202="ALI",IF(OR(AND(OR(L202=1,L202=0),K202&gt;0,K202&lt;20),AND(OR(L202=1,L202=0),K202&gt;19,K202&lt;51),AND(L202&gt;1,L202&lt;6,K202&gt;0,K202&lt;20)),"Simples",IF(OR(AND(OR(L202=1,L202=0),K202&gt;50),AND(L202&gt;1,L202&lt;6,K202&gt;19,K202&lt;51),AND(L202&gt;5,K202&gt;0,K202&lt;20)),"Médio",IF(OR(AND(L202&gt;1,L202&lt;6,K202&gt;50),AND(L202&gt;5,K202&gt;19,K202&lt;51),AND(L202&gt;5,K202&gt;50)),"Complexo",""))), IF(J202="AIE",IF(OR(AND(OR(L202=1, L202=0),K202&gt;0,K202&lt;20),AND(OR(L202=1, L202=0),K202&gt;19,K202&lt;51),AND(L202&gt;1,L202&lt;6,K202&gt;0,K202&lt;20)),"Simples",IF(OR(AND(OR(L202=1, L202=0),K202&gt;50),AND(L202&gt;1,L202&lt;6,K202&gt;19,K202&lt;51),AND(L202&gt;5,K202&gt;0,K202&lt;20)),"Médio",IF(OR(AND(L202&gt;1,L202&lt;6,K202&gt;50),AND(L202&gt;5,K202&gt;19,K202&lt;51),AND(L202&gt;5,K202&gt;50)),"Complexo",""))),""))</f>
        <v/>
      </c>
      <c r="P202" s="43" t="str">
        <f t="shared" ref="P202:P265" si="28">IF(N202="",O202,IF(O202="",N202,""))</f>
        <v/>
      </c>
      <c r="Q202" s="44">
        <f t="shared" ref="Q202:Q265" si="29">IF(AND(OR(J202="EE",J202="CE"),P202="Simples"),3, IF(AND(OR(J202="EE",J202="CE"),P202="Médio"),4, IF(AND(OR(J202="EE",J202="CE"),P202="Complexo"),6, IF(AND(J202="SE",P202="Simples"),4, IF(AND(J202="SE",P202="Médio"),5, IF(AND(J202="SE",P202="Complexo"),7,0))))))</f>
        <v>0</v>
      </c>
      <c r="R202" s="44">
        <f t="shared" ref="R202:R265" si="30">IF(AND(J202="ALI",O202="Simples"),7, IF(AND(J202="ALI",O202="Médio"),10, IF(AND(J202="ALI",O202="Complexo"),15, IF(AND(J202="AIE",O202="Simples"),5, IF(AND(J202="AIE",O202="Médio"),7, IF(AND(J202="AIE",O202="Complexo"),10,0))))))</f>
        <v>0</v>
      </c>
      <c r="S202" s="43">
        <f t="shared" ref="S202:S265" si="31">IF($M202="%",($Q202+$R202)*$C202,$C202*$I202)</f>
        <v>0</v>
      </c>
      <c r="T202" s="39"/>
      <c r="U202" s="35"/>
      <c r="V202" s="35"/>
      <c r="W202" s="35"/>
      <c r="X202" s="35"/>
      <c r="Y202" s="35"/>
      <c r="Z202" s="35"/>
      <c r="AA202" s="35"/>
      <c r="AB202" s="35"/>
      <c r="AC202" s="35"/>
      <c r="AD202" s="35"/>
      <c r="AE202" s="35"/>
      <c r="AF202" s="35"/>
      <c r="AG202" s="35"/>
      <c r="AH202" s="35"/>
      <c r="AI202" s="35"/>
      <c r="AJ202" s="35"/>
      <c r="AK202" s="35"/>
      <c r="AL202" s="35"/>
      <c r="AM202" s="35"/>
      <c r="AN202" s="35"/>
      <c r="AO202" s="35"/>
      <c r="AP202" s="35"/>
      <c r="AQ202" s="35"/>
      <c r="AR202" s="35"/>
      <c r="AS202" s="35"/>
      <c r="AT202" s="35"/>
      <c r="AU202" s="35"/>
      <c r="AV202" s="35"/>
      <c r="AW202" s="35"/>
      <c r="AX202" s="35"/>
      <c r="AY202" s="35"/>
      <c r="AZ202" s="35"/>
      <c r="BA202" s="35"/>
      <c r="BB202" s="35"/>
      <c r="BC202" s="35"/>
      <c r="BD202" s="35"/>
      <c r="BE202" s="35"/>
      <c r="BF202" s="35"/>
      <c r="BG202" s="35"/>
      <c r="BH202" s="35"/>
      <c r="BI202" s="35"/>
      <c r="BJ202" s="35"/>
      <c r="BK202" s="35"/>
      <c r="BL202" s="35"/>
    </row>
    <row r="203" spans="1:64" ht="14">
      <c r="A203" s="36"/>
      <c r="B203" s="37"/>
      <c r="C203" s="38">
        <f t="shared" si="24"/>
        <v>0</v>
      </c>
      <c r="D203" s="39"/>
      <c r="E203" s="39"/>
      <c r="F203" s="39"/>
      <c r="G203" s="39"/>
      <c r="H203" s="40"/>
      <c r="I203" s="41"/>
      <c r="J203" s="39"/>
      <c r="K203" s="41"/>
      <c r="L203" s="41"/>
      <c r="M203" s="42" t="str">
        <f t="shared" si="25"/>
        <v/>
      </c>
      <c r="N203" s="40" t="str">
        <f t="shared" si="26"/>
        <v/>
      </c>
      <c r="O203" s="40" t="str">
        <f t="shared" si="27"/>
        <v/>
      </c>
      <c r="P203" s="43" t="str">
        <f t="shared" si="28"/>
        <v/>
      </c>
      <c r="Q203" s="44">
        <f t="shared" si="29"/>
        <v>0</v>
      </c>
      <c r="R203" s="44">
        <f t="shared" si="30"/>
        <v>0</v>
      </c>
      <c r="S203" s="43">
        <f t="shared" si="31"/>
        <v>0</v>
      </c>
      <c r="T203" s="39"/>
      <c r="U203" s="35"/>
      <c r="V203" s="35"/>
      <c r="W203" s="35"/>
      <c r="X203" s="35"/>
      <c r="Y203" s="35"/>
      <c r="Z203" s="35"/>
      <c r="AA203" s="35"/>
      <c r="AB203" s="35"/>
      <c r="AC203" s="35"/>
      <c r="AD203" s="35"/>
      <c r="AE203" s="35"/>
      <c r="AF203" s="35"/>
      <c r="AG203" s="35"/>
      <c r="AH203" s="35"/>
      <c r="AI203" s="35"/>
      <c r="AJ203" s="35"/>
      <c r="AK203" s="35"/>
      <c r="AL203" s="35"/>
      <c r="AM203" s="35"/>
      <c r="AN203" s="35"/>
      <c r="AO203" s="35"/>
      <c r="AP203" s="35"/>
      <c r="AQ203" s="35"/>
      <c r="AR203" s="35"/>
      <c r="AS203" s="35"/>
      <c r="AT203" s="35"/>
      <c r="AU203" s="35"/>
      <c r="AV203" s="35"/>
      <c r="AW203" s="35"/>
      <c r="AX203" s="35"/>
      <c r="AY203" s="35"/>
      <c r="AZ203" s="35"/>
      <c r="BA203" s="35"/>
      <c r="BB203" s="35"/>
      <c r="BC203" s="35"/>
      <c r="BD203" s="35"/>
      <c r="BE203" s="35"/>
      <c r="BF203" s="35"/>
      <c r="BG203" s="35"/>
      <c r="BH203" s="35"/>
      <c r="BI203" s="35"/>
      <c r="BJ203" s="35"/>
      <c r="BK203" s="35"/>
      <c r="BL203" s="35"/>
    </row>
    <row r="204" spans="1:64" ht="14">
      <c r="A204" s="36"/>
      <c r="B204" s="37"/>
      <c r="C204" s="38">
        <f t="shared" si="24"/>
        <v>0</v>
      </c>
      <c r="D204" s="39"/>
      <c r="E204" s="39"/>
      <c r="F204" s="39"/>
      <c r="G204" s="39"/>
      <c r="H204" s="40"/>
      <c r="I204" s="41"/>
      <c r="J204" s="39"/>
      <c r="K204" s="41"/>
      <c r="L204" s="41"/>
      <c r="M204" s="42" t="str">
        <f t="shared" si="25"/>
        <v/>
      </c>
      <c r="N204" s="40" t="str">
        <f t="shared" si="26"/>
        <v/>
      </c>
      <c r="O204" s="40" t="str">
        <f t="shared" si="27"/>
        <v/>
      </c>
      <c r="P204" s="43" t="str">
        <f t="shared" si="28"/>
        <v/>
      </c>
      <c r="Q204" s="44">
        <f t="shared" si="29"/>
        <v>0</v>
      </c>
      <c r="R204" s="44">
        <f t="shared" si="30"/>
        <v>0</v>
      </c>
      <c r="S204" s="43">
        <f t="shared" si="31"/>
        <v>0</v>
      </c>
      <c r="T204" s="39"/>
      <c r="U204" s="35"/>
      <c r="V204" s="35"/>
      <c r="W204" s="35"/>
      <c r="X204" s="35"/>
      <c r="Y204" s="35"/>
      <c r="Z204" s="35"/>
      <c r="AA204" s="35"/>
      <c r="AB204" s="35"/>
      <c r="AC204" s="35"/>
      <c r="AD204" s="35"/>
      <c r="AE204" s="35"/>
      <c r="AF204" s="35"/>
      <c r="AG204" s="35"/>
      <c r="AH204" s="35"/>
      <c r="AI204" s="35"/>
      <c r="AJ204" s="35"/>
      <c r="AK204" s="35"/>
      <c r="AL204" s="35"/>
      <c r="AM204" s="35"/>
      <c r="AN204" s="35"/>
      <c r="AO204" s="35"/>
      <c r="AP204" s="35"/>
      <c r="AQ204" s="35"/>
      <c r="AR204" s="35"/>
      <c r="AS204" s="35"/>
      <c r="AT204" s="35"/>
      <c r="AU204" s="35"/>
      <c r="AV204" s="35"/>
      <c r="AW204" s="35"/>
      <c r="AX204" s="35"/>
      <c r="AY204" s="35"/>
      <c r="AZ204" s="35"/>
      <c r="BA204" s="35"/>
      <c r="BB204" s="35"/>
      <c r="BC204" s="35"/>
      <c r="BD204" s="35"/>
      <c r="BE204" s="35"/>
      <c r="BF204" s="35"/>
      <c r="BG204" s="35"/>
      <c r="BH204" s="35"/>
      <c r="BI204" s="35"/>
      <c r="BJ204" s="35"/>
      <c r="BK204" s="35"/>
      <c r="BL204" s="35"/>
    </row>
    <row r="205" spans="1:64" ht="14">
      <c r="A205" s="36"/>
      <c r="B205" s="37"/>
      <c r="C205" s="38">
        <f t="shared" si="24"/>
        <v>0</v>
      </c>
      <c r="D205" s="39"/>
      <c r="E205" s="39"/>
      <c r="F205" s="39"/>
      <c r="G205" s="39"/>
      <c r="H205" s="40"/>
      <c r="I205" s="41"/>
      <c r="J205" s="39"/>
      <c r="K205" s="41"/>
      <c r="L205" s="41"/>
      <c r="M205" s="42" t="str">
        <f t="shared" si="25"/>
        <v/>
      </c>
      <c r="N205" s="40" t="str">
        <f t="shared" si="26"/>
        <v/>
      </c>
      <c r="O205" s="40" t="str">
        <f t="shared" si="27"/>
        <v/>
      </c>
      <c r="P205" s="43" t="str">
        <f t="shared" si="28"/>
        <v/>
      </c>
      <c r="Q205" s="44">
        <f t="shared" si="29"/>
        <v>0</v>
      </c>
      <c r="R205" s="44">
        <f t="shared" si="30"/>
        <v>0</v>
      </c>
      <c r="S205" s="43">
        <f t="shared" si="31"/>
        <v>0</v>
      </c>
      <c r="T205" s="39"/>
      <c r="U205" s="35"/>
      <c r="V205" s="35"/>
      <c r="W205" s="35"/>
      <c r="X205" s="35"/>
      <c r="Y205" s="35"/>
      <c r="Z205" s="35"/>
      <c r="AA205" s="35"/>
      <c r="AB205" s="35"/>
      <c r="AC205" s="35"/>
      <c r="AD205" s="35"/>
      <c r="AE205" s="35"/>
      <c r="AF205" s="35"/>
      <c r="AG205" s="35"/>
      <c r="AH205" s="35"/>
      <c r="AI205" s="35"/>
      <c r="AJ205" s="35"/>
      <c r="AK205" s="35"/>
      <c r="AL205" s="35"/>
      <c r="AM205" s="35"/>
      <c r="AN205" s="35"/>
      <c r="AO205" s="35"/>
      <c r="AP205" s="35"/>
      <c r="AQ205" s="35"/>
      <c r="AR205" s="35"/>
      <c r="AS205" s="35"/>
      <c r="AT205" s="35"/>
      <c r="AU205" s="35"/>
      <c r="AV205" s="35"/>
      <c r="AW205" s="35"/>
      <c r="AX205" s="35"/>
      <c r="AY205" s="35"/>
      <c r="AZ205" s="35"/>
      <c r="BA205" s="35"/>
      <c r="BB205" s="35"/>
      <c r="BC205" s="35"/>
      <c r="BD205" s="35"/>
      <c r="BE205" s="35"/>
      <c r="BF205" s="35"/>
      <c r="BG205" s="35"/>
      <c r="BH205" s="35"/>
      <c r="BI205" s="35"/>
      <c r="BJ205" s="35"/>
      <c r="BK205" s="35"/>
      <c r="BL205" s="35"/>
    </row>
    <row r="206" spans="1:64" ht="14">
      <c r="A206" s="36"/>
      <c r="B206" s="37"/>
      <c r="C206" s="38">
        <f t="shared" si="24"/>
        <v>0</v>
      </c>
      <c r="D206" s="39"/>
      <c r="E206" s="39"/>
      <c r="F206" s="39"/>
      <c r="G206" s="39"/>
      <c r="H206" s="40"/>
      <c r="I206" s="41"/>
      <c r="J206" s="39"/>
      <c r="K206" s="41"/>
      <c r="L206" s="41"/>
      <c r="M206" s="42" t="str">
        <f t="shared" si="25"/>
        <v/>
      </c>
      <c r="N206" s="40" t="str">
        <f t="shared" si="26"/>
        <v/>
      </c>
      <c r="O206" s="40" t="str">
        <f t="shared" si="27"/>
        <v/>
      </c>
      <c r="P206" s="43" t="str">
        <f t="shared" si="28"/>
        <v/>
      </c>
      <c r="Q206" s="44">
        <f t="shared" si="29"/>
        <v>0</v>
      </c>
      <c r="R206" s="44">
        <f t="shared" si="30"/>
        <v>0</v>
      </c>
      <c r="S206" s="43">
        <f t="shared" si="31"/>
        <v>0</v>
      </c>
      <c r="T206" s="39"/>
      <c r="U206" s="35"/>
      <c r="V206" s="35"/>
      <c r="W206" s="35"/>
      <c r="X206" s="35"/>
      <c r="Y206" s="35"/>
      <c r="Z206" s="35"/>
      <c r="AA206" s="35"/>
      <c r="AB206" s="35"/>
      <c r="AC206" s="35"/>
      <c r="AD206" s="35"/>
      <c r="AE206" s="35"/>
      <c r="AF206" s="35"/>
      <c r="AG206" s="35"/>
      <c r="AH206" s="35"/>
      <c r="AI206" s="35"/>
      <c r="AJ206" s="35"/>
      <c r="AK206" s="35"/>
      <c r="AL206" s="35"/>
      <c r="AM206" s="35"/>
      <c r="AN206" s="35"/>
      <c r="AO206" s="35"/>
      <c r="AP206" s="35"/>
      <c r="AQ206" s="35"/>
      <c r="AR206" s="35"/>
      <c r="AS206" s="35"/>
      <c r="AT206" s="35"/>
      <c r="AU206" s="35"/>
      <c r="AV206" s="35"/>
      <c r="AW206" s="35"/>
      <c r="AX206" s="35"/>
      <c r="AY206" s="35"/>
      <c r="AZ206" s="35"/>
      <c r="BA206" s="35"/>
      <c r="BB206" s="35"/>
      <c r="BC206" s="35"/>
      <c r="BD206" s="35"/>
      <c r="BE206" s="35"/>
      <c r="BF206" s="35"/>
      <c r="BG206" s="35"/>
      <c r="BH206" s="35"/>
      <c r="BI206" s="35"/>
      <c r="BJ206" s="35"/>
      <c r="BK206" s="35"/>
      <c r="BL206" s="35"/>
    </row>
    <row r="207" spans="1:64" ht="14">
      <c r="A207" s="36"/>
      <c r="B207" s="37"/>
      <c r="C207" s="38">
        <f t="shared" si="24"/>
        <v>0</v>
      </c>
      <c r="D207" s="39"/>
      <c r="E207" s="39"/>
      <c r="F207" s="39"/>
      <c r="G207" s="39"/>
      <c r="H207" s="40"/>
      <c r="I207" s="41"/>
      <c r="J207" s="39"/>
      <c r="K207" s="41"/>
      <c r="L207" s="41"/>
      <c r="M207" s="42" t="str">
        <f t="shared" si="25"/>
        <v/>
      </c>
      <c r="N207" s="40" t="str">
        <f t="shared" si="26"/>
        <v/>
      </c>
      <c r="O207" s="40" t="str">
        <f t="shared" si="27"/>
        <v/>
      </c>
      <c r="P207" s="43" t="str">
        <f t="shared" si="28"/>
        <v/>
      </c>
      <c r="Q207" s="44">
        <f t="shared" si="29"/>
        <v>0</v>
      </c>
      <c r="R207" s="44">
        <f t="shared" si="30"/>
        <v>0</v>
      </c>
      <c r="S207" s="43">
        <f t="shared" si="31"/>
        <v>0</v>
      </c>
      <c r="T207" s="39"/>
      <c r="U207" s="35"/>
      <c r="V207" s="35"/>
      <c r="W207" s="35"/>
      <c r="X207" s="35"/>
      <c r="Y207" s="35"/>
      <c r="Z207" s="35"/>
      <c r="AA207" s="35"/>
      <c r="AB207" s="35"/>
      <c r="AC207" s="35"/>
      <c r="AD207" s="35"/>
      <c r="AE207" s="35"/>
      <c r="AF207" s="35"/>
      <c r="AG207" s="35"/>
      <c r="AH207" s="35"/>
      <c r="AI207" s="35"/>
      <c r="AJ207" s="35"/>
      <c r="AK207" s="35"/>
      <c r="AL207" s="35"/>
      <c r="AM207" s="35"/>
      <c r="AN207" s="35"/>
      <c r="AO207" s="35"/>
      <c r="AP207" s="35"/>
      <c r="AQ207" s="35"/>
      <c r="AR207" s="35"/>
      <c r="AS207" s="35"/>
      <c r="AT207" s="35"/>
      <c r="AU207" s="35"/>
      <c r="AV207" s="35"/>
      <c r="AW207" s="35"/>
      <c r="AX207" s="35"/>
      <c r="AY207" s="35"/>
      <c r="AZ207" s="35"/>
      <c r="BA207" s="35"/>
      <c r="BB207" s="35"/>
      <c r="BC207" s="35"/>
      <c r="BD207" s="35"/>
      <c r="BE207" s="35"/>
      <c r="BF207" s="35"/>
      <c r="BG207" s="35"/>
      <c r="BH207" s="35"/>
      <c r="BI207" s="35"/>
      <c r="BJ207" s="35"/>
      <c r="BK207" s="35"/>
      <c r="BL207" s="35"/>
    </row>
    <row r="208" spans="1:64" ht="14">
      <c r="A208" s="36"/>
      <c r="B208" s="37"/>
      <c r="C208" s="38">
        <f t="shared" si="24"/>
        <v>0</v>
      </c>
      <c r="D208" s="39"/>
      <c r="E208" s="39"/>
      <c r="F208" s="39"/>
      <c r="G208" s="39"/>
      <c r="H208" s="40"/>
      <c r="I208" s="41"/>
      <c r="J208" s="39"/>
      <c r="K208" s="41"/>
      <c r="L208" s="41"/>
      <c r="M208" s="42" t="str">
        <f t="shared" si="25"/>
        <v/>
      </c>
      <c r="N208" s="40" t="str">
        <f t="shared" si="26"/>
        <v/>
      </c>
      <c r="O208" s="40" t="str">
        <f t="shared" si="27"/>
        <v/>
      </c>
      <c r="P208" s="43" t="str">
        <f t="shared" si="28"/>
        <v/>
      </c>
      <c r="Q208" s="44">
        <f t="shared" si="29"/>
        <v>0</v>
      </c>
      <c r="R208" s="44">
        <f t="shared" si="30"/>
        <v>0</v>
      </c>
      <c r="S208" s="43">
        <f t="shared" si="31"/>
        <v>0</v>
      </c>
      <c r="T208" s="39"/>
      <c r="U208" s="35"/>
      <c r="V208" s="35"/>
      <c r="W208" s="35"/>
      <c r="X208" s="35"/>
      <c r="Y208" s="35"/>
      <c r="Z208" s="35"/>
      <c r="AA208" s="35"/>
      <c r="AB208" s="35"/>
      <c r="AC208" s="35"/>
      <c r="AD208" s="35"/>
      <c r="AE208" s="35"/>
      <c r="AF208" s="35"/>
      <c r="AG208" s="35"/>
      <c r="AH208" s="35"/>
      <c r="AI208" s="35"/>
      <c r="AJ208" s="35"/>
      <c r="AK208" s="35"/>
      <c r="AL208" s="35"/>
      <c r="AM208" s="35"/>
      <c r="AN208" s="35"/>
      <c r="AO208" s="35"/>
      <c r="AP208" s="35"/>
      <c r="AQ208" s="35"/>
      <c r="AR208" s="35"/>
      <c r="AS208" s="35"/>
      <c r="AT208" s="35"/>
      <c r="AU208" s="35"/>
      <c r="AV208" s="35"/>
      <c r="AW208" s="35"/>
      <c r="AX208" s="35"/>
      <c r="AY208" s="35"/>
      <c r="AZ208" s="35"/>
      <c r="BA208" s="35"/>
      <c r="BB208" s="35"/>
      <c r="BC208" s="35"/>
      <c r="BD208" s="35"/>
      <c r="BE208" s="35"/>
      <c r="BF208" s="35"/>
      <c r="BG208" s="35"/>
      <c r="BH208" s="35"/>
      <c r="BI208" s="35"/>
      <c r="BJ208" s="35"/>
      <c r="BK208" s="35"/>
      <c r="BL208" s="35"/>
    </row>
    <row r="209" spans="1:64" ht="14">
      <c r="A209" s="36"/>
      <c r="B209" s="37"/>
      <c r="C209" s="38">
        <f t="shared" si="24"/>
        <v>0</v>
      </c>
      <c r="D209" s="39"/>
      <c r="E209" s="39"/>
      <c r="F209" s="39"/>
      <c r="G209" s="39"/>
      <c r="H209" s="40"/>
      <c r="I209" s="41"/>
      <c r="J209" s="39"/>
      <c r="K209" s="41"/>
      <c r="L209" s="41"/>
      <c r="M209" s="42" t="str">
        <f t="shared" si="25"/>
        <v/>
      </c>
      <c r="N209" s="40" t="str">
        <f t="shared" si="26"/>
        <v/>
      </c>
      <c r="O209" s="40" t="str">
        <f t="shared" si="27"/>
        <v/>
      </c>
      <c r="P209" s="43" t="str">
        <f t="shared" si="28"/>
        <v/>
      </c>
      <c r="Q209" s="44">
        <f t="shared" si="29"/>
        <v>0</v>
      </c>
      <c r="R209" s="44">
        <f t="shared" si="30"/>
        <v>0</v>
      </c>
      <c r="S209" s="43">
        <f t="shared" si="31"/>
        <v>0</v>
      </c>
      <c r="T209" s="39"/>
      <c r="U209" s="35"/>
      <c r="V209" s="35"/>
      <c r="W209" s="35"/>
      <c r="X209" s="35"/>
      <c r="Y209" s="35"/>
      <c r="Z209" s="35"/>
      <c r="AA209" s="35"/>
      <c r="AB209" s="35"/>
      <c r="AC209" s="35"/>
      <c r="AD209" s="35"/>
      <c r="AE209" s="35"/>
      <c r="AF209" s="35"/>
      <c r="AG209" s="35"/>
      <c r="AH209" s="35"/>
      <c r="AI209" s="35"/>
      <c r="AJ209" s="35"/>
      <c r="AK209" s="35"/>
      <c r="AL209" s="35"/>
      <c r="AM209" s="35"/>
      <c r="AN209" s="35"/>
      <c r="AO209" s="35"/>
      <c r="AP209" s="35"/>
      <c r="AQ209" s="35"/>
      <c r="AR209" s="35"/>
      <c r="AS209" s="35"/>
      <c r="AT209" s="35"/>
      <c r="AU209" s="35"/>
      <c r="AV209" s="35"/>
      <c r="AW209" s="35"/>
      <c r="AX209" s="35"/>
      <c r="AY209" s="35"/>
      <c r="AZ209" s="35"/>
      <c r="BA209" s="35"/>
      <c r="BB209" s="35"/>
      <c r="BC209" s="35"/>
      <c r="BD209" s="35"/>
      <c r="BE209" s="35"/>
      <c r="BF209" s="35"/>
      <c r="BG209" s="35"/>
      <c r="BH209" s="35"/>
      <c r="BI209" s="35"/>
      <c r="BJ209" s="35"/>
      <c r="BK209" s="35"/>
      <c r="BL209" s="35"/>
    </row>
    <row r="210" spans="1:64" ht="14">
      <c r="A210" s="36"/>
      <c r="B210" s="37"/>
      <c r="C210" s="38">
        <f t="shared" si="24"/>
        <v>0</v>
      </c>
      <c r="D210" s="39"/>
      <c r="E210" s="39"/>
      <c r="F210" s="39"/>
      <c r="G210" s="39"/>
      <c r="H210" s="40"/>
      <c r="I210" s="41"/>
      <c r="J210" s="39"/>
      <c r="K210" s="41"/>
      <c r="L210" s="41"/>
      <c r="M210" s="42" t="str">
        <f t="shared" si="25"/>
        <v/>
      </c>
      <c r="N210" s="40" t="str">
        <f t="shared" si="26"/>
        <v/>
      </c>
      <c r="O210" s="40" t="str">
        <f t="shared" si="27"/>
        <v/>
      </c>
      <c r="P210" s="43" t="str">
        <f t="shared" si="28"/>
        <v/>
      </c>
      <c r="Q210" s="44">
        <f t="shared" si="29"/>
        <v>0</v>
      </c>
      <c r="R210" s="44">
        <f t="shared" si="30"/>
        <v>0</v>
      </c>
      <c r="S210" s="43">
        <f t="shared" si="31"/>
        <v>0</v>
      </c>
      <c r="T210" s="39"/>
      <c r="U210" s="35"/>
      <c r="V210" s="35"/>
      <c r="W210" s="35"/>
      <c r="X210" s="35"/>
      <c r="Y210" s="35"/>
      <c r="Z210" s="35"/>
      <c r="AA210" s="35"/>
      <c r="AB210" s="35"/>
      <c r="AC210" s="35"/>
      <c r="AD210" s="35"/>
      <c r="AE210" s="35"/>
      <c r="AF210" s="35"/>
      <c r="AG210" s="35"/>
      <c r="AH210" s="35"/>
      <c r="AI210" s="35"/>
      <c r="AJ210" s="35"/>
      <c r="AK210" s="35"/>
      <c r="AL210" s="35"/>
      <c r="AM210" s="35"/>
      <c r="AN210" s="35"/>
      <c r="AO210" s="35"/>
      <c r="AP210" s="35"/>
      <c r="AQ210" s="35"/>
      <c r="AR210" s="35"/>
      <c r="AS210" s="35"/>
      <c r="AT210" s="35"/>
      <c r="AU210" s="35"/>
      <c r="AV210" s="35"/>
      <c r="AW210" s="35"/>
      <c r="AX210" s="35"/>
      <c r="AY210" s="35"/>
      <c r="AZ210" s="35"/>
      <c r="BA210" s="35"/>
      <c r="BB210" s="35"/>
      <c r="BC210" s="35"/>
      <c r="BD210" s="35"/>
      <c r="BE210" s="35"/>
      <c r="BF210" s="35"/>
      <c r="BG210" s="35"/>
      <c r="BH210" s="35"/>
      <c r="BI210" s="35"/>
      <c r="BJ210" s="35"/>
      <c r="BK210" s="35"/>
      <c r="BL210" s="35"/>
    </row>
    <row r="211" spans="1:64" ht="14">
      <c r="A211" s="36"/>
      <c r="B211" s="37"/>
      <c r="C211" s="38">
        <f t="shared" si="24"/>
        <v>0</v>
      </c>
      <c r="D211" s="39"/>
      <c r="E211" s="39"/>
      <c r="F211" s="39"/>
      <c r="G211" s="39"/>
      <c r="H211" s="40"/>
      <c r="I211" s="41"/>
      <c r="J211" s="39"/>
      <c r="K211" s="41"/>
      <c r="L211" s="41"/>
      <c r="M211" s="42" t="str">
        <f t="shared" si="25"/>
        <v/>
      </c>
      <c r="N211" s="40" t="str">
        <f t="shared" si="26"/>
        <v/>
      </c>
      <c r="O211" s="40" t="str">
        <f t="shared" si="27"/>
        <v/>
      </c>
      <c r="P211" s="43" t="str">
        <f t="shared" si="28"/>
        <v/>
      </c>
      <c r="Q211" s="44">
        <f t="shared" si="29"/>
        <v>0</v>
      </c>
      <c r="R211" s="44">
        <f t="shared" si="30"/>
        <v>0</v>
      </c>
      <c r="S211" s="43">
        <f t="shared" si="31"/>
        <v>0</v>
      </c>
      <c r="T211" s="39"/>
      <c r="U211" s="35"/>
      <c r="V211" s="35"/>
      <c r="W211" s="35"/>
      <c r="X211" s="35"/>
      <c r="Y211" s="35"/>
      <c r="Z211" s="35"/>
      <c r="AA211" s="35"/>
      <c r="AB211" s="35"/>
      <c r="AC211" s="35"/>
      <c r="AD211" s="35"/>
      <c r="AE211" s="35"/>
      <c r="AF211" s="35"/>
      <c r="AG211" s="35"/>
      <c r="AH211" s="35"/>
      <c r="AI211" s="35"/>
      <c r="AJ211" s="35"/>
      <c r="AK211" s="35"/>
      <c r="AL211" s="35"/>
      <c r="AM211" s="35"/>
      <c r="AN211" s="35"/>
      <c r="AO211" s="35"/>
      <c r="AP211" s="35"/>
      <c r="AQ211" s="35"/>
      <c r="AR211" s="35"/>
      <c r="AS211" s="35"/>
      <c r="AT211" s="35"/>
      <c r="AU211" s="35"/>
      <c r="AV211" s="35"/>
      <c r="AW211" s="35"/>
      <c r="AX211" s="35"/>
      <c r="AY211" s="35"/>
      <c r="AZ211" s="35"/>
      <c r="BA211" s="35"/>
      <c r="BB211" s="35"/>
      <c r="BC211" s="35"/>
      <c r="BD211" s="35"/>
      <c r="BE211" s="35"/>
      <c r="BF211" s="35"/>
      <c r="BG211" s="35"/>
      <c r="BH211" s="35"/>
      <c r="BI211" s="35"/>
      <c r="BJ211" s="35"/>
      <c r="BK211" s="35"/>
      <c r="BL211" s="35"/>
    </row>
    <row r="212" spans="1:64" ht="14">
      <c r="A212" s="36"/>
      <c r="B212" s="37"/>
      <c r="C212" s="38">
        <f t="shared" si="24"/>
        <v>0</v>
      </c>
      <c r="D212" s="39"/>
      <c r="E212" s="39"/>
      <c r="F212" s="39"/>
      <c r="G212" s="39"/>
      <c r="H212" s="40"/>
      <c r="I212" s="41"/>
      <c r="J212" s="39"/>
      <c r="K212" s="41"/>
      <c r="L212" s="41"/>
      <c r="M212" s="42" t="str">
        <f t="shared" si="25"/>
        <v/>
      </c>
      <c r="N212" s="40" t="str">
        <f t="shared" si="26"/>
        <v/>
      </c>
      <c r="O212" s="40" t="str">
        <f t="shared" si="27"/>
        <v/>
      </c>
      <c r="P212" s="43" t="str">
        <f t="shared" si="28"/>
        <v/>
      </c>
      <c r="Q212" s="44">
        <f t="shared" si="29"/>
        <v>0</v>
      </c>
      <c r="R212" s="44">
        <f t="shared" si="30"/>
        <v>0</v>
      </c>
      <c r="S212" s="43">
        <f t="shared" si="31"/>
        <v>0</v>
      </c>
      <c r="T212" s="39"/>
      <c r="U212" s="35"/>
      <c r="V212" s="35"/>
      <c r="W212" s="35"/>
      <c r="X212" s="35"/>
      <c r="Y212" s="35"/>
      <c r="Z212" s="35"/>
      <c r="AA212" s="35"/>
      <c r="AB212" s="35"/>
      <c r="AC212" s="35"/>
      <c r="AD212" s="35"/>
      <c r="AE212" s="35"/>
      <c r="AF212" s="35"/>
      <c r="AG212" s="35"/>
      <c r="AH212" s="35"/>
      <c r="AI212" s="35"/>
      <c r="AJ212" s="35"/>
      <c r="AK212" s="35"/>
      <c r="AL212" s="35"/>
      <c r="AM212" s="35"/>
      <c r="AN212" s="35"/>
      <c r="AO212" s="35"/>
      <c r="AP212" s="35"/>
      <c r="AQ212" s="35"/>
      <c r="AR212" s="35"/>
      <c r="AS212" s="35"/>
      <c r="AT212" s="35"/>
      <c r="AU212" s="35"/>
      <c r="AV212" s="35"/>
      <c r="AW212" s="35"/>
      <c r="AX212" s="35"/>
      <c r="AY212" s="35"/>
      <c r="AZ212" s="35"/>
      <c r="BA212" s="35"/>
      <c r="BB212" s="35"/>
      <c r="BC212" s="35"/>
      <c r="BD212" s="35"/>
      <c r="BE212" s="35"/>
      <c r="BF212" s="35"/>
      <c r="BG212" s="35"/>
      <c r="BH212" s="35"/>
      <c r="BI212" s="35"/>
      <c r="BJ212" s="35"/>
      <c r="BK212" s="35"/>
      <c r="BL212" s="35"/>
    </row>
    <row r="213" spans="1:64" ht="14">
      <c r="A213" s="36"/>
      <c r="B213" s="37"/>
      <c r="C213" s="38">
        <f t="shared" si="24"/>
        <v>0</v>
      </c>
      <c r="D213" s="39"/>
      <c r="E213" s="39"/>
      <c r="F213" s="39"/>
      <c r="G213" s="39"/>
      <c r="H213" s="40"/>
      <c r="I213" s="41"/>
      <c r="J213" s="39"/>
      <c r="K213" s="41"/>
      <c r="L213" s="41"/>
      <c r="M213" s="42" t="str">
        <f t="shared" si="25"/>
        <v/>
      </c>
      <c r="N213" s="40" t="str">
        <f t="shared" si="26"/>
        <v/>
      </c>
      <c r="O213" s="40" t="str">
        <f t="shared" si="27"/>
        <v/>
      </c>
      <c r="P213" s="43" t="str">
        <f t="shared" si="28"/>
        <v/>
      </c>
      <c r="Q213" s="44">
        <f t="shared" si="29"/>
        <v>0</v>
      </c>
      <c r="R213" s="44">
        <f t="shared" si="30"/>
        <v>0</v>
      </c>
      <c r="S213" s="43">
        <f t="shared" si="31"/>
        <v>0</v>
      </c>
      <c r="T213" s="39"/>
      <c r="U213" s="35"/>
      <c r="V213" s="35"/>
      <c r="W213" s="35"/>
      <c r="X213" s="35"/>
      <c r="Y213" s="35"/>
      <c r="Z213" s="35"/>
      <c r="AA213" s="35"/>
      <c r="AB213" s="35"/>
      <c r="AC213" s="35"/>
      <c r="AD213" s="35"/>
      <c r="AE213" s="35"/>
      <c r="AF213" s="35"/>
      <c r="AG213" s="35"/>
      <c r="AH213" s="35"/>
      <c r="AI213" s="35"/>
      <c r="AJ213" s="35"/>
      <c r="AK213" s="35"/>
      <c r="AL213" s="35"/>
      <c r="AM213" s="35"/>
      <c r="AN213" s="35"/>
      <c r="AO213" s="35"/>
      <c r="AP213" s="35"/>
      <c r="AQ213" s="35"/>
      <c r="AR213" s="35"/>
      <c r="AS213" s="35"/>
      <c r="AT213" s="35"/>
      <c r="AU213" s="35"/>
      <c r="AV213" s="35"/>
      <c r="AW213" s="35"/>
      <c r="AX213" s="35"/>
      <c r="AY213" s="35"/>
      <c r="AZ213" s="35"/>
      <c r="BA213" s="35"/>
      <c r="BB213" s="35"/>
      <c r="BC213" s="35"/>
      <c r="BD213" s="35"/>
      <c r="BE213" s="35"/>
      <c r="BF213" s="35"/>
      <c r="BG213" s="35"/>
      <c r="BH213" s="35"/>
      <c r="BI213" s="35"/>
      <c r="BJ213" s="35"/>
      <c r="BK213" s="35"/>
      <c r="BL213" s="35"/>
    </row>
    <row r="214" spans="1:64" ht="14">
      <c r="A214" s="36"/>
      <c r="B214" s="37"/>
      <c r="C214" s="38">
        <f t="shared" si="24"/>
        <v>0</v>
      </c>
      <c r="D214" s="39"/>
      <c r="E214" s="39"/>
      <c r="F214" s="39"/>
      <c r="G214" s="39"/>
      <c r="H214" s="40"/>
      <c r="I214" s="41"/>
      <c r="J214" s="39"/>
      <c r="K214" s="41"/>
      <c r="L214" s="41"/>
      <c r="M214" s="42" t="str">
        <f t="shared" si="25"/>
        <v/>
      </c>
      <c r="N214" s="40" t="str">
        <f t="shared" si="26"/>
        <v/>
      </c>
      <c r="O214" s="40" t="str">
        <f t="shared" si="27"/>
        <v/>
      </c>
      <c r="P214" s="43" t="str">
        <f t="shared" si="28"/>
        <v/>
      </c>
      <c r="Q214" s="44">
        <f t="shared" si="29"/>
        <v>0</v>
      </c>
      <c r="R214" s="44">
        <f t="shared" si="30"/>
        <v>0</v>
      </c>
      <c r="S214" s="43">
        <f t="shared" si="31"/>
        <v>0</v>
      </c>
      <c r="T214" s="39"/>
      <c r="U214" s="35"/>
      <c r="V214" s="35"/>
      <c r="W214" s="35"/>
      <c r="X214" s="35"/>
      <c r="Y214" s="35"/>
      <c r="Z214" s="35"/>
      <c r="AA214" s="35"/>
      <c r="AB214" s="35"/>
      <c r="AC214" s="35"/>
      <c r="AD214" s="35"/>
      <c r="AE214" s="35"/>
      <c r="AF214" s="35"/>
      <c r="AG214" s="35"/>
      <c r="AH214" s="35"/>
      <c r="AI214" s="35"/>
      <c r="AJ214" s="35"/>
      <c r="AK214" s="35"/>
      <c r="AL214" s="35"/>
      <c r="AM214" s="35"/>
      <c r="AN214" s="35"/>
      <c r="AO214" s="35"/>
      <c r="AP214" s="35"/>
      <c r="AQ214" s="35"/>
      <c r="AR214" s="35"/>
      <c r="AS214" s="35"/>
      <c r="AT214" s="35"/>
      <c r="AU214" s="35"/>
      <c r="AV214" s="35"/>
      <c r="AW214" s="35"/>
      <c r="AX214" s="35"/>
      <c r="AY214" s="35"/>
      <c r="AZ214" s="35"/>
      <c r="BA214" s="35"/>
      <c r="BB214" s="35"/>
      <c r="BC214" s="35"/>
      <c r="BD214" s="35"/>
      <c r="BE214" s="35"/>
      <c r="BF214" s="35"/>
      <c r="BG214" s="35"/>
      <c r="BH214" s="35"/>
      <c r="BI214" s="35"/>
      <c r="BJ214" s="35"/>
      <c r="BK214" s="35"/>
      <c r="BL214" s="35"/>
    </row>
    <row r="215" spans="1:64" ht="14">
      <c r="A215" s="36"/>
      <c r="B215" s="37"/>
      <c r="C215" s="38">
        <f t="shared" si="24"/>
        <v>0</v>
      </c>
      <c r="D215" s="39"/>
      <c r="E215" s="39"/>
      <c r="F215" s="39"/>
      <c r="G215" s="39"/>
      <c r="H215" s="40"/>
      <c r="I215" s="41"/>
      <c r="J215" s="39"/>
      <c r="K215" s="41"/>
      <c r="L215" s="41"/>
      <c r="M215" s="42" t="str">
        <f t="shared" si="25"/>
        <v/>
      </c>
      <c r="N215" s="40" t="str">
        <f t="shared" si="26"/>
        <v/>
      </c>
      <c r="O215" s="40" t="str">
        <f t="shared" si="27"/>
        <v/>
      </c>
      <c r="P215" s="43" t="str">
        <f t="shared" si="28"/>
        <v/>
      </c>
      <c r="Q215" s="44">
        <f t="shared" si="29"/>
        <v>0</v>
      </c>
      <c r="R215" s="44">
        <f t="shared" si="30"/>
        <v>0</v>
      </c>
      <c r="S215" s="43">
        <f t="shared" si="31"/>
        <v>0</v>
      </c>
      <c r="T215" s="39"/>
      <c r="U215" s="35"/>
      <c r="V215" s="35"/>
      <c r="W215" s="35"/>
      <c r="X215" s="35"/>
      <c r="Y215" s="35"/>
      <c r="Z215" s="35"/>
      <c r="AA215" s="35"/>
      <c r="AB215" s="35"/>
      <c r="AC215" s="35"/>
      <c r="AD215" s="35"/>
      <c r="AE215" s="35"/>
      <c r="AF215" s="35"/>
      <c r="AG215" s="35"/>
      <c r="AH215" s="35"/>
      <c r="AI215" s="35"/>
      <c r="AJ215" s="35"/>
      <c r="AK215" s="35"/>
      <c r="AL215" s="35"/>
      <c r="AM215" s="35"/>
      <c r="AN215" s="35"/>
      <c r="AO215" s="35"/>
      <c r="AP215" s="35"/>
      <c r="AQ215" s="35"/>
      <c r="AR215" s="35"/>
      <c r="AS215" s="35"/>
      <c r="AT215" s="35"/>
      <c r="AU215" s="35"/>
      <c r="AV215" s="35"/>
      <c r="AW215" s="35"/>
      <c r="AX215" s="35"/>
      <c r="AY215" s="35"/>
      <c r="AZ215" s="35"/>
      <c r="BA215" s="35"/>
      <c r="BB215" s="35"/>
      <c r="BC215" s="35"/>
      <c r="BD215" s="35"/>
      <c r="BE215" s="35"/>
      <c r="BF215" s="35"/>
      <c r="BG215" s="35"/>
      <c r="BH215" s="35"/>
      <c r="BI215" s="35"/>
      <c r="BJ215" s="35"/>
      <c r="BK215" s="35"/>
      <c r="BL215" s="35"/>
    </row>
    <row r="216" spans="1:64" ht="14">
      <c r="A216" s="36"/>
      <c r="B216" s="37"/>
      <c r="C216" s="38">
        <f t="shared" si="24"/>
        <v>0</v>
      </c>
      <c r="D216" s="39"/>
      <c r="E216" s="39"/>
      <c r="F216" s="39"/>
      <c r="G216" s="39"/>
      <c r="H216" s="40"/>
      <c r="I216" s="41"/>
      <c r="J216" s="39"/>
      <c r="K216" s="41"/>
      <c r="L216" s="41"/>
      <c r="M216" s="42" t="str">
        <f t="shared" si="25"/>
        <v/>
      </c>
      <c r="N216" s="40" t="str">
        <f t="shared" si="26"/>
        <v/>
      </c>
      <c r="O216" s="40" t="str">
        <f t="shared" si="27"/>
        <v/>
      </c>
      <c r="P216" s="43" t="str">
        <f t="shared" si="28"/>
        <v/>
      </c>
      <c r="Q216" s="44">
        <f t="shared" si="29"/>
        <v>0</v>
      </c>
      <c r="R216" s="44">
        <f t="shared" si="30"/>
        <v>0</v>
      </c>
      <c r="S216" s="43">
        <f t="shared" si="31"/>
        <v>0</v>
      </c>
      <c r="T216" s="39"/>
      <c r="U216" s="35"/>
      <c r="V216" s="35"/>
      <c r="W216" s="35"/>
      <c r="X216" s="35"/>
      <c r="Y216" s="35"/>
      <c r="Z216" s="35"/>
      <c r="AA216" s="35"/>
      <c r="AB216" s="35"/>
      <c r="AC216" s="35"/>
      <c r="AD216" s="35"/>
      <c r="AE216" s="35"/>
      <c r="AF216" s="35"/>
      <c r="AG216" s="35"/>
      <c r="AH216" s="35"/>
      <c r="AI216" s="35"/>
      <c r="AJ216" s="35"/>
      <c r="AK216" s="35"/>
      <c r="AL216" s="35"/>
      <c r="AM216" s="35"/>
      <c r="AN216" s="35"/>
      <c r="AO216" s="35"/>
      <c r="AP216" s="35"/>
      <c r="AQ216" s="35"/>
      <c r="AR216" s="35"/>
      <c r="AS216" s="35"/>
      <c r="AT216" s="35"/>
      <c r="AU216" s="35"/>
      <c r="AV216" s="35"/>
      <c r="AW216" s="35"/>
      <c r="AX216" s="35"/>
      <c r="AY216" s="35"/>
      <c r="AZ216" s="35"/>
      <c r="BA216" s="35"/>
      <c r="BB216" s="35"/>
      <c r="BC216" s="35"/>
      <c r="BD216" s="35"/>
      <c r="BE216" s="35"/>
      <c r="BF216" s="35"/>
      <c r="BG216" s="35"/>
      <c r="BH216" s="35"/>
      <c r="BI216" s="35"/>
      <c r="BJ216" s="35"/>
      <c r="BK216" s="35"/>
      <c r="BL216" s="35"/>
    </row>
    <row r="217" spans="1:64" ht="14">
      <c r="A217" s="36"/>
      <c r="B217" s="37"/>
      <c r="C217" s="38">
        <f t="shared" si="24"/>
        <v>0</v>
      </c>
      <c r="D217" s="39"/>
      <c r="E217" s="39"/>
      <c r="F217" s="39"/>
      <c r="G217" s="39"/>
      <c r="H217" s="40"/>
      <c r="I217" s="41"/>
      <c r="J217" s="39"/>
      <c r="K217" s="41"/>
      <c r="L217" s="41"/>
      <c r="M217" s="42" t="str">
        <f t="shared" si="25"/>
        <v/>
      </c>
      <c r="N217" s="40" t="str">
        <f t="shared" si="26"/>
        <v/>
      </c>
      <c r="O217" s="40" t="str">
        <f t="shared" si="27"/>
        <v/>
      </c>
      <c r="P217" s="43" t="str">
        <f t="shared" si="28"/>
        <v/>
      </c>
      <c r="Q217" s="44">
        <f t="shared" si="29"/>
        <v>0</v>
      </c>
      <c r="R217" s="44">
        <f t="shared" si="30"/>
        <v>0</v>
      </c>
      <c r="S217" s="43">
        <f t="shared" si="31"/>
        <v>0</v>
      </c>
      <c r="T217" s="39"/>
      <c r="U217" s="35"/>
      <c r="V217" s="35"/>
      <c r="W217" s="35"/>
      <c r="X217" s="35"/>
      <c r="Y217" s="35"/>
      <c r="Z217" s="35"/>
      <c r="AA217" s="35"/>
      <c r="AB217" s="35"/>
      <c r="AC217" s="35"/>
      <c r="AD217" s="35"/>
      <c r="AE217" s="35"/>
      <c r="AF217" s="35"/>
      <c r="AG217" s="35"/>
      <c r="AH217" s="35"/>
      <c r="AI217" s="35"/>
      <c r="AJ217" s="35"/>
      <c r="AK217" s="35"/>
      <c r="AL217" s="35"/>
      <c r="AM217" s="35"/>
      <c r="AN217" s="35"/>
      <c r="AO217" s="35"/>
      <c r="AP217" s="35"/>
      <c r="AQ217" s="35"/>
      <c r="AR217" s="35"/>
      <c r="AS217" s="35"/>
      <c r="AT217" s="35"/>
      <c r="AU217" s="35"/>
      <c r="AV217" s="35"/>
      <c r="AW217" s="35"/>
      <c r="AX217" s="35"/>
      <c r="AY217" s="35"/>
      <c r="AZ217" s="35"/>
      <c r="BA217" s="35"/>
      <c r="BB217" s="35"/>
      <c r="BC217" s="35"/>
      <c r="BD217" s="35"/>
      <c r="BE217" s="35"/>
      <c r="BF217" s="35"/>
      <c r="BG217" s="35"/>
      <c r="BH217" s="35"/>
      <c r="BI217" s="35"/>
      <c r="BJ217" s="35"/>
      <c r="BK217" s="35"/>
      <c r="BL217" s="35"/>
    </row>
    <row r="218" spans="1:64" ht="14">
      <c r="A218" s="36"/>
      <c r="B218" s="37"/>
      <c r="C218" s="38">
        <f t="shared" si="24"/>
        <v>0</v>
      </c>
      <c r="D218" s="39"/>
      <c r="E218" s="39"/>
      <c r="F218" s="39"/>
      <c r="G218" s="39"/>
      <c r="H218" s="40"/>
      <c r="I218" s="41"/>
      <c r="J218" s="39"/>
      <c r="K218" s="41"/>
      <c r="L218" s="41"/>
      <c r="M218" s="42" t="str">
        <f t="shared" si="25"/>
        <v/>
      </c>
      <c r="N218" s="40" t="str">
        <f t="shared" si="26"/>
        <v/>
      </c>
      <c r="O218" s="40" t="str">
        <f t="shared" si="27"/>
        <v/>
      </c>
      <c r="P218" s="43" t="str">
        <f t="shared" si="28"/>
        <v/>
      </c>
      <c r="Q218" s="44">
        <f t="shared" si="29"/>
        <v>0</v>
      </c>
      <c r="R218" s="44">
        <f t="shared" si="30"/>
        <v>0</v>
      </c>
      <c r="S218" s="43">
        <f t="shared" si="31"/>
        <v>0</v>
      </c>
      <c r="T218" s="39"/>
      <c r="U218" s="35"/>
      <c r="V218" s="35"/>
      <c r="W218" s="35"/>
      <c r="X218" s="35"/>
      <c r="Y218" s="35"/>
      <c r="Z218" s="35"/>
      <c r="AA218" s="35"/>
      <c r="AB218" s="35"/>
      <c r="AC218" s="35"/>
      <c r="AD218" s="35"/>
      <c r="AE218" s="35"/>
      <c r="AF218" s="35"/>
      <c r="AG218" s="35"/>
      <c r="AH218" s="35"/>
      <c r="AI218" s="35"/>
      <c r="AJ218" s="35"/>
      <c r="AK218" s="35"/>
      <c r="AL218" s="35"/>
      <c r="AM218" s="35"/>
      <c r="AN218" s="35"/>
      <c r="AO218" s="35"/>
      <c r="AP218" s="35"/>
      <c r="AQ218" s="35"/>
      <c r="AR218" s="35"/>
      <c r="AS218" s="35"/>
      <c r="AT218" s="35"/>
      <c r="AU218" s="35"/>
      <c r="AV218" s="35"/>
      <c r="AW218" s="35"/>
      <c r="AX218" s="35"/>
      <c r="AY218" s="35"/>
      <c r="AZ218" s="35"/>
      <c r="BA218" s="35"/>
      <c r="BB218" s="35"/>
      <c r="BC218" s="35"/>
      <c r="BD218" s="35"/>
      <c r="BE218" s="35"/>
      <c r="BF218" s="35"/>
      <c r="BG218" s="35"/>
      <c r="BH218" s="35"/>
      <c r="BI218" s="35"/>
      <c r="BJ218" s="35"/>
      <c r="BK218" s="35"/>
      <c r="BL218" s="35"/>
    </row>
    <row r="219" spans="1:64" ht="14">
      <c r="A219" s="36"/>
      <c r="B219" s="37"/>
      <c r="C219" s="38">
        <f t="shared" si="24"/>
        <v>0</v>
      </c>
      <c r="D219" s="39"/>
      <c r="E219" s="39"/>
      <c r="F219" s="39"/>
      <c r="G219" s="39"/>
      <c r="H219" s="40"/>
      <c r="I219" s="41"/>
      <c r="J219" s="39"/>
      <c r="K219" s="41"/>
      <c r="L219" s="41"/>
      <c r="M219" s="42" t="str">
        <f t="shared" si="25"/>
        <v/>
      </c>
      <c r="N219" s="40" t="str">
        <f t="shared" si="26"/>
        <v/>
      </c>
      <c r="O219" s="40" t="str">
        <f t="shared" si="27"/>
        <v/>
      </c>
      <c r="P219" s="43" t="str">
        <f t="shared" si="28"/>
        <v/>
      </c>
      <c r="Q219" s="44">
        <f t="shared" si="29"/>
        <v>0</v>
      </c>
      <c r="R219" s="44">
        <f t="shared" si="30"/>
        <v>0</v>
      </c>
      <c r="S219" s="43">
        <f t="shared" si="31"/>
        <v>0</v>
      </c>
      <c r="T219" s="39"/>
      <c r="U219" s="35"/>
      <c r="V219" s="35"/>
      <c r="W219" s="35"/>
      <c r="X219" s="35"/>
      <c r="Y219" s="35"/>
      <c r="Z219" s="35"/>
      <c r="AA219" s="35"/>
      <c r="AB219" s="35"/>
      <c r="AC219" s="35"/>
      <c r="AD219" s="35"/>
      <c r="AE219" s="35"/>
      <c r="AF219" s="35"/>
      <c r="AG219" s="35"/>
      <c r="AH219" s="35"/>
      <c r="AI219" s="35"/>
      <c r="AJ219" s="35"/>
      <c r="AK219" s="35"/>
      <c r="AL219" s="35"/>
      <c r="AM219" s="35"/>
      <c r="AN219" s="35"/>
      <c r="AO219" s="35"/>
      <c r="AP219" s="35"/>
      <c r="AQ219" s="35"/>
      <c r="AR219" s="35"/>
      <c r="AS219" s="35"/>
      <c r="AT219" s="35"/>
      <c r="AU219" s="35"/>
      <c r="AV219" s="35"/>
      <c r="AW219" s="35"/>
      <c r="AX219" s="35"/>
      <c r="AY219" s="35"/>
      <c r="AZ219" s="35"/>
      <c r="BA219" s="35"/>
      <c r="BB219" s="35"/>
      <c r="BC219" s="35"/>
      <c r="BD219" s="35"/>
      <c r="BE219" s="35"/>
      <c r="BF219" s="35"/>
      <c r="BG219" s="35"/>
      <c r="BH219" s="35"/>
      <c r="BI219" s="35"/>
      <c r="BJ219" s="35"/>
      <c r="BK219" s="35"/>
      <c r="BL219" s="35"/>
    </row>
    <row r="220" spans="1:64" ht="14">
      <c r="A220" s="36"/>
      <c r="B220" s="37"/>
      <c r="C220" s="38">
        <f t="shared" si="24"/>
        <v>0</v>
      </c>
      <c r="D220" s="39"/>
      <c r="E220" s="39"/>
      <c r="F220" s="39"/>
      <c r="G220" s="39"/>
      <c r="H220" s="40"/>
      <c r="I220" s="41"/>
      <c r="J220" s="39"/>
      <c r="K220" s="41"/>
      <c r="L220" s="41"/>
      <c r="M220" s="42" t="str">
        <f t="shared" si="25"/>
        <v/>
      </c>
      <c r="N220" s="40" t="str">
        <f t="shared" si="26"/>
        <v/>
      </c>
      <c r="O220" s="40" t="str">
        <f t="shared" si="27"/>
        <v/>
      </c>
      <c r="P220" s="43" t="str">
        <f t="shared" si="28"/>
        <v/>
      </c>
      <c r="Q220" s="44">
        <f t="shared" si="29"/>
        <v>0</v>
      </c>
      <c r="R220" s="44">
        <f t="shared" si="30"/>
        <v>0</v>
      </c>
      <c r="S220" s="43">
        <f t="shared" si="31"/>
        <v>0</v>
      </c>
      <c r="T220" s="39"/>
      <c r="U220" s="35"/>
      <c r="V220" s="35"/>
      <c r="W220" s="35"/>
      <c r="X220" s="35"/>
      <c r="Y220" s="35"/>
      <c r="Z220" s="35"/>
      <c r="AA220" s="35"/>
      <c r="AB220" s="35"/>
      <c r="AC220" s="35"/>
      <c r="AD220" s="35"/>
      <c r="AE220" s="35"/>
      <c r="AF220" s="35"/>
      <c r="AG220" s="35"/>
      <c r="AH220" s="35"/>
      <c r="AI220" s="35"/>
      <c r="AJ220" s="35"/>
      <c r="AK220" s="35"/>
      <c r="AL220" s="35"/>
      <c r="AM220" s="35"/>
      <c r="AN220" s="35"/>
      <c r="AO220" s="35"/>
      <c r="AP220" s="35"/>
      <c r="AQ220" s="35"/>
      <c r="AR220" s="35"/>
      <c r="AS220" s="35"/>
      <c r="AT220" s="35"/>
      <c r="AU220" s="35"/>
      <c r="AV220" s="35"/>
      <c r="AW220" s="35"/>
      <c r="AX220" s="35"/>
      <c r="AY220" s="35"/>
      <c r="AZ220" s="35"/>
      <c r="BA220" s="35"/>
      <c r="BB220" s="35"/>
      <c r="BC220" s="35"/>
      <c r="BD220" s="35"/>
      <c r="BE220" s="35"/>
      <c r="BF220" s="35"/>
      <c r="BG220" s="35"/>
      <c r="BH220" s="35"/>
      <c r="BI220" s="35"/>
      <c r="BJ220" s="35"/>
      <c r="BK220" s="35"/>
      <c r="BL220" s="35"/>
    </row>
    <row r="221" spans="1:64" ht="14">
      <c r="A221" s="36"/>
      <c r="B221" s="37"/>
      <c r="C221" s="38">
        <f t="shared" si="24"/>
        <v>0</v>
      </c>
      <c r="D221" s="39"/>
      <c r="E221" s="39"/>
      <c r="F221" s="39"/>
      <c r="G221" s="39"/>
      <c r="H221" s="40"/>
      <c r="I221" s="41"/>
      <c r="J221" s="39"/>
      <c r="K221" s="41"/>
      <c r="L221" s="41"/>
      <c r="M221" s="42" t="str">
        <f t="shared" si="25"/>
        <v/>
      </c>
      <c r="N221" s="40" t="str">
        <f t="shared" si="26"/>
        <v/>
      </c>
      <c r="O221" s="40" t="str">
        <f t="shared" si="27"/>
        <v/>
      </c>
      <c r="P221" s="43" t="str">
        <f t="shared" si="28"/>
        <v/>
      </c>
      <c r="Q221" s="44">
        <f t="shared" si="29"/>
        <v>0</v>
      </c>
      <c r="R221" s="44">
        <f t="shared" si="30"/>
        <v>0</v>
      </c>
      <c r="S221" s="43">
        <f t="shared" si="31"/>
        <v>0</v>
      </c>
      <c r="T221" s="39"/>
      <c r="U221" s="35"/>
      <c r="V221" s="35"/>
      <c r="W221" s="35"/>
      <c r="X221" s="35"/>
      <c r="Y221" s="35"/>
      <c r="Z221" s="35"/>
      <c r="AA221" s="35"/>
      <c r="AB221" s="35"/>
      <c r="AC221" s="35"/>
      <c r="AD221" s="35"/>
      <c r="AE221" s="35"/>
      <c r="AF221" s="35"/>
      <c r="AG221" s="35"/>
      <c r="AH221" s="35"/>
      <c r="AI221" s="35"/>
      <c r="AJ221" s="35"/>
      <c r="AK221" s="35"/>
      <c r="AL221" s="35"/>
      <c r="AM221" s="35"/>
      <c r="AN221" s="35"/>
      <c r="AO221" s="35"/>
      <c r="AP221" s="35"/>
      <c r="AQ221" s="35"/>
      <c r="AR221" s="35"/>
      <c r="AS221" s="35"/>
      <c r="AT221" s="35"/>
      <c r="AU221" s="35"/>
      <c r="AV221" s="35"/>
      <c r="AW221" s="35"/>
      <c r="AX221" s="35"/>
      <c r="AY221" s="35"/>
      <c r="AZ221" s="35"/>
      <c r="BA221" s="35"/>
      <c r="BB221" s="35"/>
      <c r="BC221" s="35"/>
      <c r="BD221" s="35"/>
      <c r="BE221" s="35"/>
      <c r="BF221" s="35"/>
      <c r="BG221" s="35"/>
      <c r="BH221" s="35"/>
      <c r="BI221" s="35"/>
      <c r="BJ221" s="35"/>
      <c r="BK221" s="35"/>
      <c r="BL221" s="35"/>
    </row>
    <row r="222" spans="1:64" ht="14">
      <c r="A222" s="36"/>
      <c r="B222" s="37"/>
      <c r="C222" s="38">
        <f t="shared" si="24"/>
        <v>0</v>
      </c>
      <c r="D222" s="39"/>
      <c r="E222" s="39"/>
      <c r="F222" s="39"/>
      <c r="G222" s="39"/>
      <c r="H222" s="40"/>
      <c r="I222" s="41"/>
      <c r="J222" s="39"/>
      <c r="K222" s="41"/>
      <c r="L222" s="41"/>
      <c r="M222" s="42" t="str">
        <f t="shared" si="25"/>
        <v/>
      </c>
      <c r="N222" s="40" t="str">
        <f t="shared" si="26"/>
        <v/>
      </c>
      <c r="O222" s="40" t="str">
        <f t="shared" si="27"/>
        <v/>
      </c>
      <c r="P222" s="43" t="str">
        <f t="shared" si="28"/>
        <v/>
      </c>
      <c r="Q222" s="44">
        <f t="shared" si="29"/>
        <v>0</v>
      </c>
      <c r="R222" s="44">
        <f t="shared" si="30"/>
        <v>0</v>
      </c>
      <c r="S222" s="43">
        <f t="shared" si="31"/>
        <v>0</v>
      </c>
      <c r="T222" s="39"/>
      <c r="U222" s="35"/>
      <c r="V222" s="35"/>
      <c r="W222" s="35"/>
      <c r="X222" s="35"/>
      <c r="Y222" s="35"/>
      <c r="Z222" s="35"/>
      <c r="AA222" s="35"/>
      <c r="AB222" s="35"/>
      <c r="AC222" s="35"/>
      <c r="AD222" s="35"/>
      <c r="AE222" s="35"/>
      <c r="AF222" s="35"/>
      <c r="AG222" s="35"/>
      <c r="AH222" s="35"/>
      <c r="AI222" s="35"/>
      <c r="AJ222" s="35"/>
      <c r="AK222" s="35"/>
      <c r="AL222" s="35"/>
      <c r="AM222" s="35"/>
      <c r="AN222" s="35"/>
      <c r="AO222" s="35"/>
      <c r="AP222" s="35"/>
      <c r="AQ222" s="35"/>
      <c r="AR222" s="35"/>
      <c r="AS222" s="35"/>
      <c r="AT222" s="35"/>
      <c r="AU222" s="35"/>
      <c r="AV222" s="35"/>
      <c r="AW222" s="35"/>
      <c r="AX222" s="35"/>
      <c r="AY222" s="35"/>
      <c r="AZ222" s="35"/>
      <c r="BA222" s="35"/>
      <c r="BB222" s="35"/>
      <c r="BC222" s="35"/>
      <c r="BD222" s="35"/>
      <c r="BE222" s="35"/>
      <c r="BF222" s="35"/>
      <c r="BG222" s="35"/>
      <c r="BH222" s="35"/>
      <c r="BI222" s="35"/>
      <c r="BJ222" s="35"/>
      <c r="BK222" s="35"/>
      <c r="BL222" s="35"/>
    </row>
    <row r="223" spans="1:64" ht="14">
      <c r="A223" s="36"/>
      <c r="B223" s="37"/>
      <c r="C223" s="38">
        <f t="shared" si="24"/>
        <v>0</v>
      </c>
      <c r="D223" s="39"/>
      <c r="E223" s="39"/>
      <c r="F223" s="39"/>
      <c r="G223" s="39"/>
      <c r="H223" s="40"/>
      <c r="I223" s="41"/>
      <c r="J223" s="39"/>
      <c r="K223" s="41"/>
      <c r="L223" s="41"/>
      <c r="M223" s="42" t="str">
        <f t="shared" si="25"/>
        <v/>
      </c>
      <c r="N223" s="40" t="str">
        <f t="shared" si="26"/>
        <v/>
      </c>
      <c r="O223" s="40" t="str">
        <f t="shared" si="27"/>
        <v/>
      </c>
      <c r="P223" s="43" t="str">
        <f t="shared" si="28"/>
        <v/>
      </c>
      <c r="Q223" s="44">
        <f t="shared" si="29"/>
        <v>0</v>
      </c>
      <c r="R223" s="44">
        <f t="shared" si="30"/>
        <v>0</v>
      </c>
      <c r="S223" s="43">
        <f t="shared" si="31"/>
        <v>0</v>
      </c>
      <c r="T223" s="39"/>
      <c r="U223" s="35"/>
      <c r="V223" s="35"/>
      <c r="W223" s="35"/>
      <c r="X223" s="35"/>
      <c r="Y223" s="35"/>
      <c r="Z223" s="35"/>
      <c r="AA223" s="35"/>
      <c r="AB223" s="35"/>
      <c r="AC223" s="35"/>
      <c r="AD223" s="35"/>
      <c r="AE223" s="35"/>
      <c r="AF223" s="35"/>
      <c r="AG223" s="35"/>
      <c r="AH223" s="35"/>
      <c r="AI223" s="35"/>
      <c r="AJ223" s="35"/>
      <c r="AK223" s="35"/>
      <c r="AL223" s="35"/>
      <c r="AM223" s="35"/>
      <c r="AN223" s="35"/>
      <c r="AO223" s="35"/>
      <c r="AP223" s="35"/>
      <c r="AQ223" s="35"/>
      <c r="AR223" s="35"/>
      <c r="AS223" s="35"/>
      <c r="AT223" s="35"/>
      <c r="AU223" s="35"/>
      <c r="AV223" s="35"/>
      <c r="AW223" s="35"/>
      <c r="AX223" s="35"/>
      <c r="AY223" s="35"/>
      <c r="AZ223" s="35"/>
      <c r="BA223" s="35"/>
      <c r="BB223" s="35"/>
      <c r="BC223" s="35"/>
      <c r="BD223" s="35"/>
      <c r="BE223" s="35"/>
      <c r="BF223" s="35"/>
      <c r="BG223" s="35"/>
      <c r="BH223" s="35"/>
      <c r="BI223" s="35"/>
      <c r="BJ223" s="35"/>
      <c r="BK223" s="35"/>
      <c r="BL223" s="35"/>
    </row>
    <row r="224" spans="1:64" ht="14">
      <c r="A224" s="36"/>
      <c r="B224" s="37"/>
      <c r="C224" s="38">
        <f t="shared" si="24"/>
        <v>0</v>
      </c>
      <c r="D224" s="39"/>
      <c r="E224" s="39"/>
      <c r="F224" s="39"/>
      <c r="G224" s="39"/>
      <c r="H224" s="40"/>
      <c r="I224" s="41"/>
      <c r="J224" s="39"/>
      <c r="K224" s="41"/>
      <c r="L224" s="41"/>
      <c r="M224" s="42" t="str">
        <f t="shared" si="25"/>
        <v/>
      </c>
      <c r="N224" s="40" t="str">
        <f t="shared" si="26"/>
        <v/>
      </c>
      <c r="O224" s="40" t="str">
        <f t="shared" si="27"/>
        <v/>
      </c>
      <c r="P224" s="43" t="str">
        <f t="shared" si="28"/>
        <v/>
      </c>
      <c r="Q224" s="44">
        <f t="shared" si="29"/>
        <v>0</v>
      </c>
      <c r="R224" s="44">
        <f t="shared" si="30"/>
        <v>0</v>
      </c>
      <c r="S224" s="43">
        <f t="shared" si="31"/>
        <v>0</v>
      </c>
      <c r="T224" s="39"/>
      <c r="U224" s="35"/>
      <c r="V224" s="35"/>
      <c r="W224" s="35"/>
      <c r="X224" s="35"/>
      <c r="Y224" s="35"/>
      <c r="Z224" s="35"/>
      <c r="AA224" s="35"/>
      <c r="AB224" s="35"/>
      <c r="AC224" s="35"/>
      <c r="AD224" s="35"/>
      <c r="AE224" s="35"/>
      <c r="AF224" s="35"/>
      <c r="AG224" s="35"/>
      <c r="AH224" s="35"/>
      <c r="AI224" s="35"/>
      <c r="AJ224" s="35"/>
      <c r="AK224" s="35"/>
      <c r="AL224" s="35"/>
      <c r="AM224" s="35"/>
      <c r="AN224" s="35"/>
      <c r="AO224" s="35"/>
      <c r="AP224" s="35"/>
      <c r="AQ224" s="35"/>
      <c r="AR224" s="35"/>
      <c r="AS224" s="35"/>
      <c r="AT224" s="35"/>
      <c r="AU224" s="35"/>
      <c r="AV224" s="35"/>
      <c r="AW224" s="35"/>
      <c r="AX224" s="35"/>
      <c r="AY224" s="35"/>
      <c r="AZ224" s="35"/>
      <c r="BA224" s="35"/>
      <c r="BB224" s="35"/>
      <c r="BC224" s="35"/>
      <c r="BD224" s="35"/>
      <c r="BE224" s="35"/>
      <c r="BF224" s="35"/>
      <c r="BG224" s="35"/>
      <c r="BH224" s="35"/>
      <c r="BI224" s="35"/>
      <c r="BJ224" s="35"/>
      <c r="BK224" s="35"/>
      <c r="BL224" s="35"/>
    </row>
    <row r="225" spans="1:64" ht="14">
      <c r="A225" s="36"/>
      <c r="B225" s="37"/>
      <c r="C225" s="38">
        <f t="shared" si="24"/>
        <v>0</v>
      </c>
      <c r="D225" s="39"/>
      <c r="E225" s="39"/>
      <c r="F225" s="39"/>
      <c r="G225" s="39"/>
      <c r="H225" s="40"/>
      <c r="I225" s="41"/>
      <c r="J225" s="39"/>
      <c r="K225" s="41"/>
      <c r="L225" s="41"/>
      <c r="M225" s="42" t="str">
        <f t="shared" si="25"/>
        <v/>
      </c>
      <c r="N225" s="40" t="str">
        <f t="shared" si="26"/>
        <v/>
      </c>
      <c r="O225" s="40" t="str">
        <f t="shared" si="27"/>
        <v/>
      </c>
      <c r="P225" s="43" t="str">
        <f t="shared" si="28"/>
        <v/>
      </c>
      <c r="Q225" s="44">
        <f t="shared" si="29"/>
        <v>0</v>
      </c>
      <c r="R225" s="44">
        <f t="shared" si="30"/>
        <v>0</v>
      </c>
      <c r="S225" s="43">
        <f t="shared" si="31"/>
        <v>0</v>
      </c>
      <c r="T225" s="39"/>
      <c r="U225" s="35"/>
      <c r="V225" s="35"/>
      <c r="W225" s="35"/>
      <c r="X225" s="35"/>
      <c r="Y225" s="35"/>
      <c r="Z225" s="35"/>
      <c r="AA225" s="35"/>
      <c r="AB225" s="35"/>
      <c r="AC225" s="35"/>
      <c r="AD225" s="35"/>
      <c r="AE225" s="35"/>
      <c r="AF225" s="35"/>
      <c r="AG225" s="35"/>
      <c r="AH225" s="35"/>
      <c r="AI225" s="35"/>
      <c r="AJ225" s="35"/>
      <c r="AK225" s="35"/>
      <c r="AL225" s="35"/>
      <c r="AM225" s="35"/>
      <c r="AN225" s="35"/>
      <c r="AO225" s="35"/>
      <c r="AP225" s="35"/>
      <c r="AQ225" s="35"/>
      <c r="AR225" s="35"/>
      <c r="AS225" s="35"/>
      <c r="AT225" s="35"/>
      <c r="AU225" s="35"/>
      <c r="AV225" s="35"/>
      <c r="AW225" s="35"/>
      <c r="AX225" s="35"/>
      <c r="AY225" s="35"/>
      <c r="AZ225" s="35"/>
      <c r="BA225" s="35"/>
      <c r="BB225" s="35"/>
      <c r="BC225" s="35"/>
      <c r="BD225" s="35"/>
      <c r="BE225" s="35"/>
      <c r="BF225" s="35"/>
      <c r="BG225" s="35"/>
      <c r="BH225" s="35"/>
      <c r="BI225" s="35"/>
      <c r="BJ225" s="35"/>
      <c r="BK225" s="35"/>
      <c r="BL225" s="35"/>
    </row>
    <row r="226" spans="1:64" ht="14">
      <c r="A226" s="36"/>
      <c r="B226" s="37"/>
      <c r="C226" s="38">
        <f t="shared" si="24"/>
        <v>0</v>
      </c>
      <c r="D226" s="39"/>
      <c r="E226" s="39"/>
      <c r="F226" s="39"/>
      <c r="G226" s="39"/>
      <c r="H226" s="40"/>
      <c r="I226" s="41"/>
      <c r="J226" s="39"/>
      <c r="K226" s="41"/>
      <c r="L226" s="41"/>
      <c r="M226" s="42" t="str">
        <f t="shared" si="25"/>
        <v/>
      </c>
      <c r="N226" s="40" t="str">
        <f t="shared" si="26"/>
        <v/>
      </c>
      <c r="O226" s="40" t="str">
        <f t="shared" si="27"/>
        <v/>
      </c>
      <c r="P226" s="43" t="str">
        <f t="shared" si="28"/>
        <v/>
      </c>
      <c r="Q226" s="44">
        <f t="shared" si="29"/>
        <v>0</v>
      </c>
      <c r="R226" s="44">
        <f t="shared" si="30"/>
        <v>0</v>
      </c>
      <c r="S226" s="43">
        <f t="shared" si="31"/>
        <v>0</v>
      </c>
      <c r="T226" s="39"/>
      <c r="U226" s="35"/>
      <c r="V226" s="35"/>
      <c r="W226" s="35"/>
      <c r="X226" s="35"/>
      <c r="Y226" s="35"/>
      <c r="Z226" s="35"/>
      <c r="AA226" s="35"/>
      <c r="AB226" s="35"/>
      <c r="AC226" s="35"/>
      <c r="AD226" s="35"/>
      <c r="AE226" s="35"/>
      <c r="AF226" s="35"/>
      <c r="AG226" s="35"/>
      <c r="AH226" s="35"/>
      <c r="AI226" s="35"/>
      <c r="AJ226" s="35"/>
      <c r="AK226" s="35"/>
      <c r="AL226" s="35"/>
      <c r="AM226" s="35"/>
      <c r="AN226" s="35"/>
      <c r="AO226" s="35"/>
      <c r="AP226" s="35"/>
      <c r="AQ226" s="35"/>
      <c r="AR226" s="35"/>
      <c r="AS226" s="35"/>
      <c r="AT226" s="35"/>
      <c r="AU226" s="35"/>
      <c r="AV226" s="35"/>
      <c r="AW226" s="35"/>
      <c r="AX226" s="35"/>
      <c r="AY226" s="35"/>
      <c r="AZ226" s="35"/>
      <c r="BA226" s="35"/>
      <c r="BB226" s="35"/>
      <c r="BC226" s="35"/>
      <c r="BD226" s="35"/>
      <c r="BE226" s="35"/>
      <c r="BF226" s="35"/>
      <c r="BG226" s="35"/>
      <c r="BH226" s="35"/>
      <c r="BI226" s="35"/>
      <c r="BJ226" s="35"/>
      <c r="BK226" s="35"/>
      <c r="BL226" s="35"/>
    </row>
    <row r="227" spans="1:64" ht="14">
      <c r="A227" s="36"/>
      <c r="B227" s="37"/>
      <c r="C227" s="38">
        <f t="shared" si="24"/>
        <v>0</v>
      </c>
      <c r="D227" s="39"/>
      <c r="E227" s="39"/>
      <c r="F227" s="39"/>
      <c r="G227" s="39"/>
      <c r="H227" s="40"/>
      <c r="I227" s="41"/>
      <c r="J227" s="39"/>
      <c r="K227" s="41"/>
      <c r="L227" s="41"/>
      <c r="M227" s="42" t="str">
        <f t="shared" si="25"/>
        <v/>
      </c>
      <c r="N227" s="40" t="str">
        <f t="shared" si="26"/>
        <v/>
      </c>
      <c r="O227" s="40" t="str">
        <f t="shared" si="27"/>
        <v/>
      </c>
      <c r="P227" s="43" t="str">
        <f t="shared" si="28"/>
        <v/>
      </c>
      <c r="Q227" s="44">
        <f t="shared" si="29"/>
        <v>0</v>
      </c>
      <c r="R227" s="44">
        <f t="shared" si="30"/>
        <v>0</v>
      </c>
      <c r="S227" s="43">
        <f t="shared" si="31"/>
        <v>0</v>
      </c>
      <c r="T227" s="39"/>
      <c r="U227" s="35"/>
      <c r="V227" s="35"/>
      <c r="W227" s="35"/>
      <c r="X227" s="35"/>
      <c r="Y227" s="35"/>
      <c r="Z227" s="35"/>
      <c r="AA227" s="35"/>
      <c r="AB227" s="35"/>
      <c r="AC227" s="35"/>
      <c r="AD227" s="35"/>
      <c r="AE227" s="35"/>
      <c r="AF227" s="35"/>
      <c r="AG227" s="35"/>
      <c r="AH227" s="35"/>
      <c r="AI227" s="35"/>
      <c r="AJ227" s="35"/>
      <c r="AK227" s="35"/>
      <c r="AL227" s="35"/>
      <c r="AM227" s="35"/>
      <c r="AN227" s="35"/>
      <c r="AO227" s="35"/>
      <c r="AP227" s="35"/>
      <c r="AQ227" s="35"/>
      <c r="AR227" s="35"/>
      <c r="AS227" s="35"/>
      <c r="AT227" s="35"/>
      <c r="AU227" s="35"/>
      <c r="AV227" s="35"/>
      <c r="AW227" s="35"/>
      <c r="AX227" s="35"/>
      <c r="AY227" s="35"/>
      <c r="AZ227" s="35"/>
      <c r="BA227" s="35"/>
      <c r="BB227" s="35"/>
      <c r="BC227" s="35"/>
      <c r="BD227" s="35"/>
      <c r="BE227" s="35"/>
      <c r="BF227" s="35"/>
      <c r="BG227" s="35"/>
      <c r="BH227" s="35"/>
      <c r="BI227" s="35"/>
      <c r="BJ227" s="35"/>
      <c r="BK227" s="35"/>
      <c r="BL227" s="35"/>
    </row>
    <row r="228" spans="1:64" ht="14">
      <c r="A228" s="36"/>
      <c r="B228" s="37"/>
      <c r="C228" s="38">
        <f t="shared" si="24"/>
        <v>0</v>
      </c>
      <c r="D228" s="39"/>
      <c r="E228" s="39"/>
      <c r="F228" s="39"/>
      <c r="G228" s="39"/>
      <c r="H228" s="40"/>
      <c r="I228" s="41"/>
      <c r="J228" s="39"/>
      <c r="K228" s="41"/>
      <c r="L228" s="41"/>
      <c r="M228" s="42" t="str">
        <f t="shared" si="25"/>
        <v/>
      </c>
      <c r="N228" s="40" t="str">
        <f t="shared" si="26"/>
        <v/>
      </c>
      <c r="O228" s="40" t="str">
        <f t="shared" si="27"/>
        <v/>
      </c>
      <c r="P228" s="43" t="str">
        <f t="shared" si="28"/>
        <v/>
      </c>
      <c r="Q228" s="44">
        <f t="shared" si="29"/>
        <v>0</v>
      </c>
      <c r="R228" s="44">
        <f t="shared" si="30"/>
        <v>0</v>
      </c>
      <c r="S228" s="43">
        <f t="shared" si="31"/>
        <v>0</v>
      </c>
      <c r="T228" s="39"/>
      <c r="U228" s="35"/>
      <c r="V228" s="35"/>
      <c r="W228" s="35"/>
      <c r="X228" s="35"/>
      <c r="Y228" s="35"/>
      <c r="Z228" s="35"/>
      <c r="AA228" s="35"/>
      <c r="AB228" s="35"/>
      <c r="AC228" s="35"/>
      <c r="AD228" s="35"/>
      <c r="AE228" s="35"/>
      <c r="AF228" s="35"/>
      <c r="AG228" s="35"/>
      <c r="AH228" s="35"/>
      <c r="AI228" s="35"/>
      <c r="AJ228" s="35"/>
      <c r="AK228" s="35"/>
      <c r="AL228" s="35"/>
      <c r="AM228" s="35"/>
      <c r="AN228" s="35"/>
      <c r="AO228" s="35"/>
      <c r="AP228" s="35"/>
      <c r="AQ228" s="35"/>
      <c r="AR228" s="35"/>
      <c r="AS228" s="35"/>
      <c r="AT228" s="35"/>
      <c r="AU228" s="35"/>
      <c r="AV228" s="35"/>
      <c r="AW228" s="35"/>
      <c r="AX228" s="35"/>
      <c r="AY228" s="35"/>
      <c r="AZ228" s="35"/>
      <c r="BA228" s="35"/>
      <c r="BB228" s="35"/>
      <c r="BC228" s="35"/>
      <c r="BD228" s="35"/>
      <c r="BE228" s="35"/>
      <c r="BF228" s="35"/>
      <c r="BG228" s="35"/>
      <c r="BH228" s="35"/>
      <c r="BI228" s="35"/>
      <c r="BJ228" s="35"/>
      <c r="BK228" s="35"/>
      <c r="BL228" s="35"/>
    </row>
    <row r="229" spans="1:64" ht="14">
      <c r="A229" s="36"/>
      <c r="B229" s="37"/>
      <c r="C229" s="38">
        <f t="shared" si="24"/>
        <v>0</v>
      </c>
      <c r="D229" s="39"/>
      <c r="E229" s="39"/>
      <c r="F229" s="39"/>
      <c r="G229" s="39"/>
      <c r="H229" s="40"/>
      <c r="I229" s="41"/>
      <c r="J229" s="39"/>
      <c r="K229" s="41"/>
      <c r="L229" s="41"/>
      <c r="M229" s="42" t="str">
        <f t="shared" si="25"/>
        <v/>
      </c>
      <c r="N229" s="40" t="str">
        <f t="shared" si="26"/>
        <v/>
      </c>
      <c r="O229" s="40" t="str">
        <f t="shared" si="27"/>
        <v/>
      </c>
      <c r="P229" s="43" t="str">
        <f t="shared" si="28"/>
        <v/>
      </c>
      <c r="Q229" s="44">
        <f t="shared" si="29"/>
        <v>0</v>
      </c>
      <c r="R229" s="44">
        <f t="shared" si="30"/>
        <v>0</v>
      </c>
      <c r="S229" s="43">
        <f t="shared" si="31"/>
        <v>0</v>
      </c>
      <c r="T229" s="39"/>
      <c r="U229" s="35"/>
      <c r="V229" s="35"/>
      <c r="W229" s="35"/>
      <c r="X229" s="35"/>
      <c r="Y229" s="35"/>
      <c r="Z229" s="35"/>
      <c r="AA229" s="35"/>
      <c r="AB229" s="35"/>
      <c r="AC229" s="35"/>
      <c r="AD229" s="35"/>
      <c r="AE229" s="35"/>
      <c r="AF229" s="35"/>
      <c r="AG229" s="35"/>
      <c r="AH229" s="35"/>
      <c r="AI229" s="35"/>
      <c r="AJ229" s="35"/>
      <c r="AK229" s="35"/>
      <c r="AL229" s="35"/>
      <c r="AM229" s="35"/>
      <c r="AN229" s="35"/>
      <c r="AO229" s="35"/>
      <c r="AP229" s="35"/>
      <c r="AQ229" s="35"/>
      <c r="AR229" s="35"/>
      <c r="AS229" s="35"/>
      <c r="AT229" s="35"/>
      <c r="AU229" s="35"/>
      <c r="AV229" s="35"/>
      <c r="AW229" s="35"/>
      <c r="AX229" s="35"/>
      <c r="AY229" s="35"/>
      <c r="AZ229" s="35"/>
      <c r="BA229" s="35"/>
      <c r="BB229" s="35"/>
      <c r="BC229" s="35"/>
      <c r="BD229" s="35"/>
      <c r="BE229" s="35"/>
      <c r="BF229" s="35"/>
      <c r="BG229" s="35"/>
      <c r="BH229" s="35"/>
      <c r="BI229" s="35"/>
      <c r="BJ229" s="35"/>
      <c r="BK229" s="35"/>
      <c r="BL229" s="35"/>
    </row>
    <row r="230" spans="1:64" ht="14">
      <c r="A230" s="36"/>
      <c r="B230" s="37"/>
      <c r="C230" s="38">
        <f t="shared" si="24"/>
        <v>0</v>
      </c>
      <c r="D230" s="39"/>
      <c r="E230" s="39"/>
      <c r="F230" s="39"/>
      <c r="G230" s="39"/>
      <c r="H230" s="40"/>
      <c r="I230" s="41"/>
      <c r="J230" s="39"/>
      <c r="K230" s="41"/>
      <c r="L230" s="41"/>
      <c r="M230" s="42" t="str">
        <f t="shared" si="25"/>
        <v/>
      </c>
      <c r="N230" s="40" t="str">
        <f t="shared" si="26"/>
        <v/>
      </c>
      <c r="O230" s="40" t="str">
        <f t="shared" si="27"/>
        <v/>
      </c>
      <c r="P230" s="43" t="str">
        <f t="shared" si="28"/>
        <v/>
      </c>
      <c r="Q230" s="44">
        <f t="shared" si="29"/>
        <v>0</v>
      </c>
      <c r="R230" s="44">
        <f t="shared" si="30"/>
        <v>0</v>
      </c>
      <c r="S230" s="43">
        <f t="shared" si="31"/>
        <v>0</v>
      </c>
      <c r="T230" s="39"/>
      <c r="U230" s="35"/>
      <c r="V230" s="35"/>
      <c r="W230" s="35"/>
      <c r="X230" s="35"/>
      <c r="Y230" s="35"/>
      <c r="Z230" s="35"/>
      <c r="AA230" s="35"/>
      <c r="AB230" s="35"/>
      <c r="AC230" s="35"/>
      <c r="AD230" s="35"/>
      <c r="AE230" s="35"/>
      <c r="AF230" s="35"/>
      <c r="AG230" s="35"/>
      <c r="AH230" s="35"/>
      <c r="AI230" s="35"/>
      <c r="AJ230" s="35"/>
      <c r="AK230" s="35"/>
      <c r="AL230" s="35"/>
      <c r="AM230" s="35"/>
      <c r="AN230" s="35"/>
      <c r="AO230" s="35"/>
      <c r="AP230" s="35"/>
      <c r="AQ230" s="35"/>
      <c r="AR230" s="35"/>
      <c r="AS230" s="35"/>
      <c r="AT230" s="35"/>
      <c r="AU230" s="35"/>
      <c r="AV230" s="35"/>
      <c r="AW230" s="35"/>
      <c r="AX230" s="35"/>
      <c r="AY230" s="35"/>
      <c r="AZ230" s="35"/>
      <c r="BA230" s="35"/>
      <c r="BB230" s="35"/>
      <c r="BC230" s="35"/>
      <c r="BD230" s="35"/>
      <c r="BE230" s="35"/>
      <c r="BF230" s="35"/>
      <c r="BG230" s="35"/>
      <c r="BH230" s="35"/>
      <c r="BI230" s="35"/>
      <c r="BJ230" s="35"/>
      <c r="BK230" s="35"/>
      <c r="BL230" s="35"/>
    </row>
    <row r="231" spans="1:64" ht="14">
      <c r="A231" s="36"/>
      <c r="B231" s="37"/>
      <c r="C231" s="38">
        <f t="shared" si="24"/>
        <v>0</v>
      </c>
      <c r="D231" s="39"/>
      <c r="E231" s="39"/>
      <c r="F231" s="39"/>
      <c r="G231" s="39"/>
      <c r="H231" s="40"/>
      <c r="I231" s="41"/>
      <c r="J231" s="39"/>
      <c r="K231" s="41"/>
      <c r="L231" s="41"/>
      <c r="M231" s="42" t="str">
        <f t="shared" si="25"/>
        <v/>
      </c>
      <c r="N231" s="40" t="str">
        <f t="shared" si="26"/>
        <v/>
      </c>
      <c r="O231" s="40" t="str">
        <f t="shared" si="27"/>
        <v/>
      </c>
      <c r="P231" s="43" t="str">
        <f t="shared" si="28"/>
        <v/>
      </c>
      <c r="Q231" s="44">
        <f t="shared" si="29"/>
        <v>0</v>
      </c>
      <c r="R231" s="44">
        <f t="shared" si="30"/>
        <v>0</v>
      </c>
      <c r="S231" s="43">
        <f t="shared" si="31"/>
        <v>0</v>
      </c>
      <c r="T231" s="39"/>
      <c r="U231" s="35"/>
      <c r="V231" s="35"/>
      <c r="W231" s="35"/>
      <c r="X231" s="35"/>
      <c r="Y231" s="35"/>
      <c r="Z231" s="35"/>
      <c r="AA231" s="35"/>
      <c r="AB231" s="35"/>
      <c r="AC231" s="35"/>
      <c r="AD231" s="35"/>
      <c r="AE231" s="35"/>
      <c r="AF231" s="35"/>
      <c r="AG231" s="35"/>
      <c r="AH231" s="35"/>
      <c r="AI231" s="35"/>
      <c r="AJ231" s="35"/>
      <c r="AK231" s="35"/>
      <c r="AL231" s="35"/>
      <c r="AM231" s="35"/>
      <c r="AN231" s="35"/>
      <c r="AO231" s="35"/>
      <c r="AP231" s="35"/>
      <c r="AQ231" s="35"/>
      <c r="AR231" s="35"/>
      <c r="AS231" s="35"/>
      <c r="AT231" s="35"/>
      <c r="AU231" s="35"/>
      <c r="AV231" s="35"/>
      <c r="AW231" s="35"/>
      <c r="AX231" s="35"/>
      <c r="AY231" s="35"/>
      <c r="AZ231" s="35"/>
      <c r="BA231" s="35"/>
      <c r="BB231" s="35"/>
      <c r="BC231" s="35"/>
      <c r="BD231" s="35"/>
      <c r="BE231" s="35"/>
      <c r="BF231" s="35"/>
      <c r="BG231" s="35"/>
      <c r="BH231" s="35"/>
      <c r="BI231" s="35"/>
      <c r="BJ231" s="35"/>
      <c r="BK231" s="35"/>
      <c r="BL231" s="35"/>
    </row>
    <row r="232" spans="1:64" ht="14">
      <c r="A232" s="36"/>
      <c r="B232" s="37"/>
      <c r="C232" s="38">
        <f t="shared" si="24"/>
        <v>0</v>
      </c>
      <c r="D232" s="39"/>
      <c r="E232" s="39"/>
      <c r="F232" s="39"/>
      <c r="G232" s="39"/>
      <c r="H232" s="40"/>
      <c r="I232" s="41"/>
      <c r="J232" s="39"/>
      <c r="K232" s="41"/>
      <c r="L232" s="41"/>
      <c r="M232" s="42" t="str">
        <f t="shared" si="25"/>
        <v/>
      </c>
      <c r="N232" s="40" t="str">
        <f t="shared" si="26"/>
        <v/>
      </c>
      <c r="O232" s="40" t="str">
        <f t="shared" si="27"/>
        <v/>
      </c>
      <c r="P232" s="43" t="str">
        <f t="shared" si="28"/>
        <v/>
      </c>
      <c r="Q232" s="44">
        <f t="shared" si="29"/>
        <v>0</v>
      </c>
      <c r="R232" s="44">
        <f t="shared" si="30"/>
        <v>0</v>
      </c>
      <c r="S232" s="43">
        <f t="shared" si="31"/>
        <v>0</v>
      </c>
      <c r="T232" s="39"/>
      <c r="U232" s="35"/>
      <c r="V232" s="35"/>
      <c r="W232" s="35"/>
      <c r="X232" s="35"/>
      <c r="Y232" s="35"/>
      <c r="Z232" s="35"/>
      <c r="AA232" s="35"/>
      <c r="AB232" s="35"/>
      <c r="AC232" s="35"/>
      <c r="AD232" s="35"/>
      <c r="AE232" s="35"/>
      <c r="AF232" s="35"/>
      <c r="AG232" s="35"/>
      <c r="AH232" s="35"/>
      <c r="AI232" s="35"/>
      <c r="AJ232" s="35"/>
      <c r="AK232" s="35"/>
      <c r="AL232" s="35"/>
      <c r="AM232" s="35"/>
      <c r="AN232" s="35"/>
      <c r="AO232" s="35"/>
      <c r="AP232" s="35"/>
      <c r="AQ232" s="35"/>
      <c r="AR232" s="35"/>
      <c r="AS232" s="35"/>
      <c r="AT232" s="35"/>
      <c r="AU232" s="35"/>
      <c r="AV232" s="35"/>
      <c r="AW232" s="35"/>
      <c r="AX232" s="35"/>
      <c r="AY232" s="35"/>
      <c r="AZ232" s="35"/>
      <c r="BA232" s="35"/>
      <c r="BB232" s="35"/>
      <c r="BC232" s="35"/>
      <c r="BD232" s="35"/>
      <c r="BE232" s="35"/>
      <c r="BF232" s="35"/>
      <c r="BG232" s="35"/>
      <c r="BH232" s="35"/>
      <c r="BI232" s="35"/>
      <c r="BJ232" s="35"/>
      <c r="BK232" s="35"/>
      <c r="BL232" s="35"/>
    </row>
    <row r="233" spans="1:64" ht="14">
      <c r="A233" s="36"/>
      <c r="B233" s="37"/>
      <c r="C233" s="38">
        <f t="shared" si="24"/>
        <v>0</v>
      </c>
      <c r="D233" s="39"/>
      <c r="E233" s="39"/>
      <c r="F233" s="39"/>
      <c r="G233" s="39"/>
      <c r="H233" s="40"/>
      <c r="I233" s="41"/>
      <c r="J233" s="39"/>
      <c r="K233" s="41"/>
      <c r="L233" s="41"/>
      <c r="M233" s="42" t="str">
        <f t="shared" si="25"/>
        <v/>
      </c>
      <c r="N233" s="40" t="str">
        <f t="shared" si="26"/>
        <v/>
      </c>
      <c r="O233" s="40" t="str">
        <f t="shared" si="27"/>
        <v/>
      </c>
      <c r="P233" s="43" t="str">
        <f t="shared" si="28"/>
        <v/>
      </c>
      <c r="Q233" s="44">
        <f t="shared" si="29"/>
        <v>0</v>
      </c>
      <c r="R233" s="44">
        <f t="shared" si="30"/>
        <v>0</v>
      </c>
      <c r="S233" s="43">
        <f t="shared" si="31"/>
        <v>0</v>
      </c>
      <c r="T233" s="39"/>
      <c r="U233" s="35"/>
      <c r="V233" s="35"/>
      <c r="W233" s="35"/>
      <c r="X233" s="35"/>
      <c r="Y233" s="35"/>
      <c r="Z233" s="35"/>
      <c r="AA233" s="35"/>
      <c r="AB233" s="35"/>
      <c r="AC233" s="35"/>
      <c r="AD233" s="35"/>
      <c r="AE233" s="35"/>
      <c r="AF233" s="35"/>
      <c r="AG233" s="35"/>
      <c r="AH233" s="35"/>
      <c r="AI233" s="35"/>
      <c r="AJ233" s="35"/>
      <c r="AK233" s="35"/>
      <c r="AL233" s="35"/>
      <c r="AM233" s="35"/>
      <c r="AN233" s="35"/>
      <c r="AO233" s="35"/>
      <c r="AP233" s="35"/>
      <c r="AQ233" s="35"/>
      <c r="AR233" s="35"/>
      <c r="AS233" s="35"/>
      <c r="AT233" s="35"/>
      <c r="AU233" s="35"/>
      <c r="AV233" s="35"/>
      <c r="AW233" s="35"/>
      <c r="AX233" s="35"/>
      <c r="AY233" s="35"/>
      <c r="AZ233" s="35"/>
      <c r="BA233" s="35"/>
      <c r="BB233" s="35"/>
      <c r="BC233" s="35"/>
      <c r="BD233" s="35"/>
      <c r="BE233" s="35"/>
      <c r="BF233" s="35"/>
      <c r="BG233" s="35"/>
      <c r="BH233" s="35"/>
      <c r="BI233" s="35"/>
      <c r="BJ233" s="35"/>
      <c r="BK233" s="35"/>
      <c r="BL233" s="35"/>
    </row>
    <row r="234" spans="1:64" ht="14">
      <c r="A234" s="36"/>
      <c r="B234" s="37"/>
      <c r="C234" s="38">
        <f t="shared" si="24"/>
        <v>0</v>
      </c>
      <c r="D234" s="39"/>
      <c r="E234" s="39"/>
      <c r="F234" s="39"/>
      <c r="G234" s="39"/>
      <c r="H234" s="40"/>
      <c r="I234" s="41"/>
      <c r="J234" s="39"/>
      <c r="K234" s="41"/>
      <c r="L234" s="41"/>
      <c r="M234" s="42" t="str">
        <f t="shared" si="25"/>
        <v/>
      </c>
      <c r="N234" s="40" t="str">
        <f t="shared" si="26"/>
        <v/>
      </c>
      <c r="O234" s="40" t="str">
        <f t="shared" si="27"/>
        <v/>
      </c>
      <c r="P234" s="43" t="str">
        <f t="shared" si="28"/>
        <v/>
      </c>
      <c r="Q234" s="44">
        <f t="shared" si="29"/>
        <v>0</v>
      </c>
      <c r="R234" s="44">
        <f t="shared" si="30"/>
        <v>0</v>
      </c>
      <c r="S234" s="43">
        <f t="shared" si="31"/>
        <v>0</v>
      </c>
      <c r="T234" s="39"/>
      <c r="U234" s="35"/>
      <c r="V234" s="35"/>
      <c r="W234" s="35"/>
      <c r="X234" s="35"/>
      <c r="Y234" s="35"/>
      <c r="Z234" s="35"/>
      <c r="AA234" s="35"/>
      <c r="AB234" s="35"/>
      <c r="AC234" s="35"/>
      <c r="AD234" s="35"/>
      <c r="AE234" s="35"/>
      <c r="AF234" s="35"/>
      <c r="AG234" s="35"/>
      <c r="AH234" s="35"/>
      <c r="AI234" s="35"/>
      <c r="AJ234" s="35"/>
      <c r="AK234" s="35"/>
      <c r="AL234" s="35"/>
      <c r="AM234" s="35"/>
      <c r="AN234" s="35"/>
      <c r="AO234" s="35"/>
      <c r="AP234" s="35"/>
      <c r="AQ234" s="35"/>
      <c r="AR234" s="35"/>
      <c r="AS234" s="35"/>
      <c r="AT234" s="35"/>
      <c r="AU234" s="35"/>
      <c r="AV234" s="35"/>
      <c r="AW234" s="35"/>
      <c r="AX234" s="35"/>
      <c r="AY234" s="35"/>
      <c r="AZ234" s="35"/>
      <c r="BA234" s="35"/>
      <c r="BB234" s="35"/>
      <c r="BC234" s="35"/>
      <c r="BD234" s="35"/>
      <c r="BE234" s="35"/>
      <c r="BF234" s="35"/>
      <c r="BG234" s="35"/>
      <c r="BH234" s="35"/>
      <c r="BI234" s="35"/>
      <c r="BJ234" s="35"/>
      <c r="BK234" s="35"/>
      <c r="BL234" s="35"/>
    </row>
    <row r="235" spans="1:64" ht="14">
      <c r="A235" s="36"/>
      <c r="B235" s="37"/>
      <c r="C235" s="38">
        <f t="shared" si="24"/>
        <v>0</v>
      </c>
      <c r="D235" s="39"/>
      <c r="E235" s="39"/>
      <c r="F235" s="39"/>
      <c r="G235" s="39"/>
      <c r="H235" s="40"/>
      <c r="I235" s="41"/>
      <c r="J235" s="39"/>
      <c r="K235" s="41"/>
      <c r="L235" s="41"/>
      <c r="M235" s="42" t="str">
        <f t="shared" si="25"/>
        <v/>
      </c>
      <c r="N235" s="40" t="str">
        <f t="shared" si="26"/>
        <v/>
      </c>
      <c r="O235" s="40" t="str">
        <f t="shared" si="27"/>
        <v/>
      </c>
      <c r="P235" s="43" t="str">
        <f t="shared" si="28"/>
        <v/>
      </c>
      <c r="Q235" s="44">
        <f t="shared" si="29"/>
        <v>0</v>
      </c>
      <c r="R235" s="44">
        <f t="shared" si="30"/>
        <v>0</v>
      </c>
      <c r="S235" s="43">
        <f t="shared" si="31"/>
        <v>0</v>
      </c>
      <c r="T235" s="39"/>
      <c r="U235" s="35"/>
      <c r="V235" s="35"/>
      <c r="W235" s="35"/>
      <c r="X235" s="35"/>
      <c r="Y235" s="35"/>
      <c r="Z235" s="35"/>
      <c r="AA235" s="35"/>
      <c r="AB235" s="35"/>
      <c r="AC235" s="35"/>
      <c r="AD235" s="35"/>
      <c r="AE235" s="35"/>
      <c r="AF235" s="35"/>
      <c r="AG235" s="35"/>
      <c r="AH235" s="35"/>
      <c r="AI235" s="35"/>
      <c r="AJ235" s="35"/>
      <c r="AK235" s="35"/>
      <c r="AL235" s="35"/>
      <c r="AM235" s="35"/>
      <c r="AN235" s="35"/>
      <c r="AO235" s="35"/>
      <c r="AP235" s="35"/>
      <c r="AQ235" s="35"/>
      <c r="AR235" s="35"/>
      <c r="AS235" s="35"/>
      <c r="AT235" s="35"/>
      <c r="AU235" s="35"/>
      <c r="AV235" s="35"/>
      <c r="AW235" s="35"/>
      <c r="AX235" s="35"/>
      <c r="AY235" s="35"/>
      <c r="AZ235" s="35"/>
      <c r="BA235" s="35"/>
      <c r="BB235" s="35"/>
      <c r="BC235" s="35"/>
      <c r="BD235" s="35"/>
      <c r="BE235" s="35"/>
      <c r="BF235" s="35"/>
      <c r="BG235" s="35"/>
      <c r="BH235" s="35"/>
      <c r="BI235" s="35"/>
      <c r="BJ235" s="35"/>
      <c r="BK235" s="35"/>
      <c r="BL235" s="35"/>
    </row>
    <row r="236" spans="1:64" ht="14">
      <c r="A236" s="36"/>
      <c r="B236" s="37"/>
      <c r="C236" s="38">
        <f t="shared" si="24"/>
        <v>0</v>
      </c>
      <c r="D236" s="39"/>
      <c r="E236" s="39"/>
      <c r="F236" s="39"/>
      <c r="G236" s="39"/>
      <c r="H236" s="40"/>
      <c r="I236" s="41"/>
      <c r="J236" s="39"/>
      <c r="K236" s="41"/>
      <c r="L236" s="41"/>
      <c r="M236" s="42" t="str">
        <f t="shared" si="25"/>
        <v/>
      </c>
      <c r="N236" s="40" t="str">
        <f t="shared" si="26"/>
        <v/>
      </c>
      <c r="O236" s="40" t="str">
        <f t="shared" si="27"/>
        <v/>
      </c>
      <c r="P236" s="43" t="str">
        <f t="shared" si="28"/>
        <v/>
      </c>
      <c r="Q236" s="44">
        <f t="shared" si="29"/>
        <v>0</v>
      </c>
      <c r="R236" s="44">
        <f t="shared" si="30"/>
        <v>0</v>
      </c>
      <c r="S236" s="43">
        <f t="shared" si="31"/>
        <v>0</v>
      </c>
      <c r="T236" s="39"/>
      <c r="U236" s="35"/>
      <c r="V236" s="35"/>
      <c r="W236" s="35"/>
      <c r="X236" s="35"/>
      <c r="Y236" s="35"/>
      <c r="Z236" s="35"/>
      <c r="AA236" s="35"/>
      <c r="AB236" s="35"/>
      <c r="AC236" s="35"/>
      <c r="AD236" s="35"/>
      <c r="AE236" s="35"/>
      <c r="AF236" s="35"/>
      <c r="AG236" s="35"/>
      <c r="AH236" s="35"/>
      <c r="AI236" s="35"/>
      <c r="AJ236" s="35"/>
      <c r="AK236" s="35"/>
      <c r="AL236" s="35"/>
      <c r="AM236" s="35"/>
      <c r="AN236" s="35"/>
      <c r="AO236" s="35"/>
      <c r="AP236" s="35"/>
      <c r="AQ236" s="35"/>
      <c r="AR236" s="35"/>
      <c r="AS236" s="35"/>
      <c r="AT236" s="35"/>
      <c r="AU236" s="35"/>
      <c r="AV236" s="35"/>
      <c r="AW236" s="35"/>
      <c r="AX236" s="35"/>
      <c r="AY236" s="35"/>
      <c r="AZ236" s="35"/>
      <c r="BA236" s="35"/>
      <c r="BB236" s="35"/>
      <c r="BC236" s="35"/>
      <c r="BD236" s="35"/>
      <c r="BE236" s="35"/>
      <c r="BF236" s="35"/>
      <c r="BG236" s="35"/>
      <c r="BH236" s="35"/>
      <c r="BI236" s="35"/>
      <c r="BJ236" s="35"/>
      <c r="BK236" s="35"/>
      <c r="BL236" s="35"/>
    </row>
    <row r="237" spans="1:64" ht="14">
      <c r="A237" s="36"/>
      <c r="B237" s="37"/>
      <c r="C237" s="38">
        <f t="shared" si="24"/>
        <v>0</v>
      </c>
      <c r="D237" s="39"/>
      <c r="E237" s="39"/>
      <c r="F237" s="39"/>
      <c r="G237" s="39"/>
      <c r="H237" s="40"/>
      <c r="I237" s="41"/>
      <c r="J237" s="39"/>
      <c r="K237" s="41"/>
      <c r="L237" s="41"/>
      <c r="M237" s="42" t="str">
        <f t="shared" si="25"/>
        <v/>
      </c>
      <c r="N237" s="40" t="str">
        <f t="shared" si="26"/>
        <v/>
      </c>
      <c r="O237" s="40" t="str">
        <f t="shared" si="27"/>
        <v/>
      </c>
      <c r="P237" s="43" t="str">
        <f t="shared" si="28"/>
        <v/>
      </c>
      <c r="Q237" s="44">
        <f t="shared" si="29"/>
        <v>0</v>
      </c>
      <c r="R237" s="44">
        <f t="shared" si="30"/>
        <v>0</v>
      </c>
      <c r="S237" s="43">
        <f t="shared" si="31"/>
        <v>0</v>
      </c>
      <c r="T237" s="39"/>
      <c r="U237" s="35"/>
      <c r="V237" s="35"/>
      <c r="W237" s="35"/>
      <c r="X237" s="35"/>
      <c r="Y237" s="35"/>
      <c r="Z237" s="35"/>
      <c r="AA237" s="35"/>
      <c r="AB237" s="35"/>
      <c r="AC237" s="35"/>
      <c r="AD237" s="35"/>
      <c r="AE237" s="35"/>
      <c r="AF237" s="35"/>
      <c r="AG237" s="35"/>
      <c r="AH237" s="35"/>
      <c r="AI237" s="35"/>
      <c r="AJ237" s="35"/>
      <c r="AK237" s="35"/>
      <c r="AL237" s="35"/>
      <c r="AM237" s="35"/>
      <c r="AN237" s="35"/>
      <c r="AO237" s="35"/>
      <c r="AP237" s="35"/>
      <c r="AQ237" s="35"/>
      <c r="AR237" s="35"/>
      <c r="AS237" s="35"/>
      <c r="AT237" s="35"/>
      <c r="AU237" s="35"/>
      <c r="AV237" s="35"/>
      <c r="AW237" s="35"/>
      <c r="AX237" s="35"/>
      <c r="AY237" s="35"/>
      <c r="AZ237" s="35"/>
      <c r="BA237" s="35"/>
      <c r="BB237" s="35"/>
      <c r="BC237" s="35"/>
      <c r="BD237" s="35"/>
      <c r="BE237" s="35"/>
      <c r="BF237" s="35"/>
      <c r="BG237" s="35"/>
      <c r="BH237" s="35"/>
      <c r="BI237" s="35"/>
      <c r="BJ237" s="35"/>
      <c r="BK237" s="35"/>
      <c r="BL237" s="35"/>
    </row>
    <row r="238" spans="1:64" ht="14">
      <c r="A238" s="36"/>
      <c r="B238" s="37"/>
      <c r="C238" s="38">
        <f t="shared" si="24"/>
        <v>0</v>
      </c>
      <c r="D238" s="39"/>
      <c r="E238" s="39"/>
      <c r="F238" s="39"/>
      <c r="G238" s="39"/>
      <c r="H238" s="40"/>
      <c r="I238" s="41"/>
      <c r="J238" s="39"/>
      <c r="K238" s="41"/>
      <c r="L238" s="41"/>
      <c r="M238" s="42" t="str">
        <f t="shared" si="25"/>
        <v/>
      </c>
      <c r="N238" s="40" t="str">
        <f t="shared" si="26"/>
        <v/>
      </c>
      <c r="O238" s="40" t="str">
        <f t="shared" si="27"/>
        <v/>
      </c>
      <c r="P238" s="43" t="str">
        <f t="shared" si="28"/>
        <v/>
      </c>
      <c r="Q238" s="44">
        <f t="shared" si="29"/>
        <v>0</v>
      </c>
      <c r="R238" s="44">
        <f t="shared" si="30"/>
        <v>0</v>
      </c>
      <c r="S238" s="43">
        <f t="shared" si="31"/>
        <v>0</v>
      </c>
      <c r="T238" s="39"/>
      <c r="U238" s="35"/>
      <c r="V238" s="35"/>
      <c r="W238" s="35"/>
      <c r="X238" s="35"/>
      <c r="Y238" s="35"/>
      <c r="Z238" s="35"/>
      <c r="AA238" s="35"/>
      <c r="AB238" s="35"/>
      <c r="AC238" s="35"/>
      <c r="AD238" s="35"/>
      <c r="AE238" s="35"/>
      <c r="AF238" s="35"/>
      <c r="AG238" s="35"/>
      <c r="AH238" s="35"/>
      <c r="AI238" s="35"/>
      <c r="AJ238" s="35"/>
      <c r="AK238" s="35"/>
      <c r="AL238" s="35"/>
      <c r="AM238" s="35"/>
      <c r="AN238" s="35"/>
      <c r="AO238" s="35"/>
      <c r="AP238" s="35"/>
      <c r="AQ238" s="35"/>
      <c r="AR238" s="35"/>
      <c r="AS238" s="35"/>
      <c r="AT238" s="35"/>
      <c r="AU238" s="35"/>
      <c r="AV238" s="35"/>
      <c r="AW238" s="35"/>
      <c r="AX238" s="35"/>
      <c r="AY238" s="35"/>
      <c r="AZ238" s="35"/>
      <c r="BA238" s="35"/>
      <c r="BB238" s="35"/>
      <c r="BC238" s="35"/>
      <c r="BD238" s="35"/>
      <c r="BE238" s="35"/>
      <c r="BF238" s="35"/>
      <c r="BG238" s="35"/>
      <c r="BH238" s="35"/>
      <c r="BI238" s="35"/>
      <c r="BJ238" s="35"/>
      <c r="BK238" s="35"/>
      <c r="BL238" s="35"/>
    </row>
    <row r="239" spans="1:64" ht="14">
      <c r="A239" s="36"/>
      <c r="B239" s="37"/>
      <c r="C239" s="38">
        <f t="shared" si="24"/>
        <v>0</v>
      </c>
      <c r="D239" s="39"/>
      <c r="E239" s="39"/>
      <c r="F239" s="39"/>
      <c r="G239" s="39"/>
      <c r="H239" s="40"/>
      <c r="I239" s="41"/>
      <c r="J239" s="39"/>
      <c r="K239" s="41"/>
      <c r="L239" s="41"/>
      <c r="M239" s="42" t="str">
        <f t="shared" si="25"/>
        <v/>
      </c>
      <c r="N239" s="40" t="str">
        <f t="shared" si="26"/>
        <v/>
      </c>
      <c r="O239" s="40" t="str">
        <f t="shared" si="27"/>
        <v/>
      </c>
      <c r="P239" s="43" t="str">
        <f t="shared" si="28"/>
        <v/>
      </c>
      <c r="Q239" s="44">
        <f t="shared" si="29"/>
        <v>0</v>
      </c>
      <c r="R239" s="44">
        <f t="shared" si="30"/>
        <v>0</v>
      </c>
      <c r="S239" s="43">
        <f t="shared" si="31"/>
        <v>0</v>
      </c>
      <c r="T239" s="39"/>
      <c r="U239" s="35"/>
      <c r="V239" s="35"/>
      <c r="W239" s="35"/>
      <c r="X239" s="35"/>
      <c r="Y239" s="35"/>
      <c r="Z239" s="35"/>
      <c r="AA239" s="35"/>
      <c r="AB239" s="35"/>
      <c r="AC239" s="35"/>
      <c r="AD239" s="35"/>
      <c r="AE239" s="35"/>
      <c r="AF239" s="35"/>
      <c r="AG239" s="35"/>
      <c r="AH239" s="35"/>
      <c r="AI239" s="35"/>
      <c r="AJ239" s="35"/>
      <c r="AK239" s="35"/>
      <c r="AL239" s="35"/>
      <c r="AM239" s="35"/>
      <c r="AN239" s="35"/>
      <c r="AO239" s="35"/>
      <c r="AP239" s="35"/>
      <c r="AQ239" s="35"/>
      <c r="AR239" s="35"/>
      <c r="AS239" s="35"/>
      <c r="AT239" s="35"/>
      <c r="AU239" s="35"/>
      <c r="AV239" s="35"/>
      <c r="AW239" s="35"/>
      <c r="AX239" s="35"/>
      <c r="AY239" s="35"/>
      <c r="AZ239" s="35"/>
      <c r="BA239" s="35"/>
      <c r="BB239" s="35"/>
      <c r="BC239" s="35"/>
      <c r="BD239" s="35"/>
      <c r="BE239" s="35"/>
      <c r="BF239" s="35"/>
      <c r="BG239" s="35"/>
      <c r="BH239" s="35"/>
      <c r="BI239" s="35"/>
      <c r="BJ239" s="35"/>
      <c r="BK239" s="35"/>
      <c r="BL239" s="35"/>
    </row>
    <row r="240" spans="1:64" ht="14">
      <c r="A240" s="36"/>
      <c r="B240" s="37"/>
      <c r="C240" s="38">
        <f t="shared" si="24"/>
        <v>0</v>
      </c>
      <c r="D240" s="39"/>
      <c r="E240" s="39"/>
      <c r="F240" s="39"/>
      <c r="G240" s="39"/>
      <c r="H240" s="40"/>
      <c r="I240" s="41"/>
      <c r="J240" s="39"/>
      <c r="K240" s="41"/>
      <c r="L240" s="41"/>
      <c r="M240" s="42" t="str">
        <f t="shared" si="25"/>
        <v/>
      </c>
      <c r="N240" s="40" t="str">
        <f t="shared" si="26"/>
        <v/>
      </c>
      <c r="O240" s="40" t="str">
        <f t="shared" si="27"/>
        <v/>
      </c>
      <c r="P240" s="43" t="str">
        <f t="shared" si="28"/>
        <v/>
      </c>
      <c r="Q240" s="44">
        <f t="shared" si="29"/>
        <v>0</v>
      </c>
      <c r="R240" s="44">
        <f t="shared" si="30"/>
        <v>0</v>
      </c>
      <c r="S240" s="43">
        <f t="shared" si="31"/>
        <v>0</v>
      </c>
      <c r="T240" s="39"/>
      <c r="U240" s="35"/>
      <c r="V240" s="35"/>
      <c r="W240" s="35"/>
      <c r="X240" s="35"/>
      <c r="Y240" s="35"/>
      <c r="Z240" s="35"/>
      <c r="AA240" s="35"/>
      <c r="AB240" s="35"/>
      <c r="AC240" s="35"/>
      <c r="AD240" s="35"/>
      <c r="AE240" s="35"/>
      <c r="AF240" s="35"/>
      <c r="AG240" s="35"/>
      <c r="AH240" s="35"/>
      <c r="AI240" s="35"/>
      <c r="AJ240" s="35"/>
      <c r="AK240" s="35"/>
      <c r="AL240" s="35"/>
      <c r="AM240" s="35"/>
      <c r="AN240" s="35"/>
      <c r="AO240" s="35"/>
      <c r="AP240" s="35"/>
      <c r="AQ240" s="35"/>
      <c r="AR240" s="35"/>
      <c r="AS240" s="35"/>
      <c r="AT240" s="35"/>
      <c r="AU240" s="35"/>
      <c r="AV240" s="35"/>
      <c r="AW240" s="35"/>
      <c r="AX240" s="35"/>
      <c r="AY240" s="35"/>
      <c r="AZ240" s="35"/>
      <c r="BA240" s="35"/>
      <c r="BB240" s="35"/>
      <c r="BC240" s="35"/>
      <c r="BD240" s="35"/>
      <c r="BE240" s="35"/>
      <c r="BF240" s="35"/>
      <c r="BG240" s="35"/>
      <c r="BH240" s="35"/>
      <c r="BI240" s="35"/>
      <c r="BJ240" s="35"/>
      <c r="BK240" s="35"/>
      <c r="BL240" s="35"/>
    </row>
    <row r="241" spans="1:64" ht="14">
      <c r="A241" s="36"/>
      <c r="B241" s="37"/>
      <c r="C241" s="38">
        <f t="shared" si="24"/>
        <v>0</v>
      </c>
      <c r="D241" s="39"/>
      <c r="E241" s="39"/>
      <c r="F241" s="39"/>
      <c r="G241" s="39"/>
      <c r="H241" s="40"/>
      <c r="I241" s="41"/>
      <c r="J241" s="39"/>
      <c r="K241" s="41"/>
      <c r="L241" s="41"/>
      <c r="M241" s="42" t="str">
        <f t="shared" si="25"/>
        <v/>
      </c>
      <c r="N241" s="40" t="str">
        <f t="shared" si="26"/>
        <v/>
      </c>
      <c r="O241" s="40" t="str">
        <f t="shared" si="27"/>
        <v/>
      </c>
      <c r="P241" s="43" t="str">
        <f t="shared" si="28"/>
        <v/>
      </c>
      <c r="Q241" s="44">
        <f t="shared" si="29"/>
        <v>0</v>
      </c>
      <c r="R241" s="44">
        <f t="shared" si="30"/>
        <v>0</v>
      </c>
      <c r="S241" s="43">
        <f t="shared" si="31"/>
        <v>0</v>
      </c>
      <c r="T241" s="39"/>
      <c r="U241" s="35"/>
      <c r="V241" s="35"/>
      <c r="W241" s="35"/>
      <c r="X241" s="35"/>
      <c r="Y241" s="35"/>
      <c r="Z241" s="35"/>
      <c r="AA241" s="35"/>
      <c r="AB241" s="35"/>
      <c r="AC241" s="35"/>
      <c r="AD241" s="35"/>
      <c r="AE241" s="35"/>
      <c r="AF241" s="35"/>
      <c r="AG241" s="35"/>
      <c r="AH241" s="35"/>
      <c r="AI241" s="35"/>
      <c r="AJ241" s="35"/>
      <c r="AK241" s="35"/>
      <c r="AL241" s="35"/>
      <c r="AM241" s="35"/>
      <c r="AN241" s="35"/>
      <c r="AO241" s="35"/>
      <c r="AP241" s="35"/>
      <c r="AQ241" s="35"/>
      <c r="AR241" s="35"/>
      <c r="AS241" s="35"/>
      <c r="AT241" s="35"/>
      <c r="AU241" s="35"/>
      <c r="AV241" s="35"/>
      <c r="AW241" s="35"/>
      <c r="AX241" s="35"/>
      <c r="AY241" s="35"/>
      <c r="AZ241" s="35"/>
      <c r="BA241" s="35"/>
      <c r="BB241" s="35"/>
      <c r="BC241" s="35"/>
      <c r="BD241" s="35"/>
      <c r="BE241" s="35"/>
      <c r="BF241" s="35"/>
      <c r="BG241" s="35"/>
      <c r="BH241" s="35"/>
      <c r="BI241" s="35"/>
      <c r="BJ241" s="35"/>
      <c r="BK241" s="35"/>
      <c r="BL241" s="35"/>
    </row>
    <row r="242" spans="1:64" ht="14">
      <c r="A242" s="36"/>
      <c r="B242" s="37"/>
      <c r="C242" s="38">
        <f t="shared" si="24"/>
        <v>0</v>
      </c>
      <c r="D242" s="39"/>
      <c r="E242" s="39"/>
      <c r="F242" s="39"/>
      <c r="G242" s="39"/>
      <c r="H242" s="40"/>
      <c r="I242" s="41"/>
      <c r="J242" s="39"/>
      <c r="K242" s="41"/>
      <c r="L242" s="41"/>
      <c r="M242" s="42" t="str">
        <f t="shared" si="25"/>
        <v/>
      </c>
      <c r="N242" s="40" t="str">
        <f t="shared" si="26"/>
        <v/>
      </c>
      <c r="O242" s="40" t="str">
        <f t="shared" si="27"/>
        <v/>
      </c>
      <c r="P242" s="43" t="str">
        <f t="shared" si="28"/>
        <v/>
      </c>
      <c r="Q242" s="44">
        <f t="shared" si="29"/>
        <v>0</v>
      </c>
      <c r="R242" s="44">
        <f t="shared" si="30"/>
        <v>0</v>
      </c>
      <c r="S242" s="43">
        <f t="shared" si="31"/>
        <v>0</v>
      </c>
      <c r="T242" s="39"/>
      <c r="U242" s="35"/>
      <c r="V242" s="35"/>
      <c r="W242" s="35"/>
      <c r="X242" s="35"/>
      <c r="Y242" s="35"/>
      <c r="Z242" s="35"/>
      <c r="AA242" s="35"/>
      <c r="AB242" s="35"/>
      <c r="AC242" s="35"/>
      <c r="AD242" s="35"/>
      <c r="AE242" s="35"/>
      <c r="AF242" s="35"/>
      <c r="AG242" s="35"/>
      <c r="AH242" s="35"/>
      <c r="AI242" s="35"/>
      <c r="AJ242" s="35"/>
      <c r="AK242" s="35"/>
      <c r="AL242" s="35"/>
      <c r="AM242" s="35"/>
      <c r="AN242" s="35"/>
      <c r="AO242" s="35"/>
      <c r="AP242" s="35"/>
      <c r="AQ242" s="35"/>
      <c r="AR242" s="35"/>
      <c r="AS242" s="35"/>
      <c r="AT242" s="35"/>
      <c r="AU242" s="35"/>
      <c r="AV242" s="35"/>
      <c r="AW242" s="35"/>
      <c r="AX242" s="35"/>
      <c r="AY242" s="35"/>
      <c r="AZ242" s="35"/>
      <c r="BA242" s="35"/>
      <c r="BB242" s="35"/>
      <c r="BC242" s="35"/>
      <c r="BD242" s="35"/>
      <c r="BE242" s="35"/>
      <c r="BF242" s="35"/>
      <c r="BG242" s="35"/>
      <c r="BH242" s="35"/>
      <c r="BI242" s="35"/>
      <c r="BJ242" s="35"/>
      <c r="BK242" s="35"/>
      <c r="BL242" s="35"/>
    </row>
    <row r="243" spans="1:64" ht="14">
      <c r="A243" s="36"/>
      <c r="B243" s="37"/>
      <c r="C243" s="38">
        <f t="shared" si="24"/>
        <v>0</v>
      </c>
      <c r="D243" s="39"/>
      <c r="E243" s="39"/>
      <c r="F243" s="39"/>
      <c r="G243" s="39"/>
      <c r="H243" s="40"/>
      <c r="I243" s="41"/>
      <c r="J243" s="39"/>
      <c r="K243" s="41"/>
      <c r="L243" s="41"/>
      <c r="M243" s="42" t="str">
        <f t="shared" si="25"/>
        <v/>
      </c>
      <c r="N243" s="40" t="str">
        <f t="shared" si="26"/>
        <v/>
      </c>
      <c r="O243" s="40" t="str">
        <f t="shared" si="27"/>
        <v/>
      </c>
      <c r="P243" s="43" t="str">
        <f t="shared" si="28"/>
        <v/>
      </c>
      <c r="Q243" s="44">
        <f t="shared" si="29"/>
        <v>0</v>
      </c>
      <c r="R243" s="44">
        <f t="shared" si="30"/>
        <v>0</v>
      </c>
      <c r="S243" s="43">
        <f t="shared" si="31"/>
        <v>0</v>
      </c>
      <c r="T243" s="39"/>
      <c r="U243" s="35"/>
      <c r="V243" s="35"/>
      <c r="W243" s="35"/>
      <c r="X243" s="35"/>
      <c r="Y243" s="35"/>
      <c r="Z243" s="35"/>
      <c r="AA243" s="35"/>
      <c r="AB243" s="35"/>
      <c r="AC243" s="35"/>
      <c r="AD243" s="35"/>
      <c r="AE243" s="35"/>
      <c r="AF243" s="35"/>
      <c r="AG243" s="35"/>
      <c r="AH243" s="35"/>
      <c r="AI243" s="35"/>
      <c r="AJ243" s="35"/>
      <c r="AK243" s="35"/>
      <c r="AL243" s="35"/>
      <c r="AM243" s="35"/>
      <c r="AN243" s="35"/>
      <c r="AO243" s="35"/>
      <c r="AP243" s="35"/>
      <c r="AQ243" s="35"/>
      <c r="AR243" s="35"/>
      <c r="AS243" s="35"/>
      <c r="AT243" s="35"/>
      <c r="AU243" s="35"/>
      <c r="AV243" s="35"/>
      <c r="AW243" s="35"/>
      <c r="AX243" s="35"/>
      <c r="AY243" s="35"/>
      <c r="AZ243" s="35"/>
      <c r="BA243" s="35"/>
      <c r="BB243" s="35"/>
      <c r="BC243" s="35"/>
      <c r="BD243" s="35"/>
      <c r="BE243" s="35"/>
      <c r="BF243" s="35"/>
      <c r="BG243" s="35"/>
      <c r="BH243" s="35"/>
      <c r="BI243" s="35"/>
      <c r="BJ243" s="35"/>
      <c r="BK243" s="35"/>
      <c r="BL243" s="35"/>
    </row>
    <row r="244" spans="1:64" ht="14">
      <c r="A244" s="36"/>
      <c r="B244" s="37"/>
      <c r="C244" s="38">
        <f t="shared" si="24"/>
        <v>0</v>
      </c>
      <c r="D244" s="39"/>
      <c r="E244" s="39"/>
      <c r="F244" s="39"/>
      <c r="G244" s="39"/>
      <c r="H244" s="40"/>
      <c r="I244" s="41"/>
      <c r="J244" s="39"/>
      <c r="K244" s="41"/>
      <c r="L244" s="41"/>
      <c r="M244" s="42" t="str">
        <f t="shared" si="25"/>
        <v/>
      </c>
      <c r="N244" s="40" t="str">
        <f t="shared" si="26"/>
        <v/>
      </c>
      <c r="O244" s="40" t="str">
        <f t="shared" si="27"/>
        <v/>
      </c>
      <c r="P244" s="43" t="str">
        <f t="shared" si="28"/>
        <v/>
      </c>
      <c r="Q244" s="44">
        <f t="shared" si="29"/>
        <v>0</v>
      </c>
      <c r="R244" s="44">
        <f t="shared" si="30"/>
        <v>0</v>
      </c>
      <c r="S244" s="43">
        <f t="shared" si="31"/>
        <v>0</v>
      </c>
      <c r="T244" s="39"/>
      <c r="U244" s="35"/>
      <c r="V244" s="35"/>
      <c r="W244" s="35"/>
      <c r="X244" s="35"/>
      <c r="Y244" s="35"/>
      <c r="Z244" s="35"/>
      <c r="AA244" s="35"/>
      <c r="AB244" s="35"/>
      <c r="AC244" s="35"/>
      <c r="AD244" s="35"/>
      <c r="AE244" s="35"/>
      <c r="AF244" s="35"/>
      <c r="AG244" s="35"/>
      <c r="AH244" s="35"/>
      <c r="AI244" s="35"/>
      <c r="AJ244" s="35"/>
      <c r="AK244" s="35"/>
      <c r="AL244" s="35"/>
      <c r="AM244" s="35"/>
      <c r="AN244" s="35"/>
      <c r="AO244" s="35"/>
      <c r="AP244" s="35"/>
      <c r="AQ244" s="35"/>
      <c r="AR244" s="35"/>
      <c r="AS244" s="35"/>
      <c r="AT244" s="35"/>
      <c r="AU244" s="35"/>
      <c r="AV244" s="35"/>
      <c r="AW244" s="35"/>
      <c r="AX244" s="35"/>
      <c r="AY244" s="35"/>
      <c r="AZ244" s="35"/>
      <c r="BA244" s="35"/>
      <c r="BB244" s="35"/>
      <c r="BC244" s="35"/>
      <c r="BD244" s="35"/>
      <c r="BE244" s="35"/>
      <c r="BF244" s="35"/>
      <c r="BG244" s="35"/>
      <c r="BH244" s="35"/>
      <c r="BI244" s="35"/>
      <c r="BJ244" s="35"/>
      <c r="BK244" s="35"/>
      <c r="BL244" s="35"/>
    </row>
    <row r="245" spans="1:64" ht="14">
      <c r="A245" s="36"/>
      <c r="B245" s="37"/>
      <c r="C245" s="38">
        <f t="shared" si="24"/>
        <v>0</v>
      </c>
      <c r="D245" s="39"/>
      <c r="E245" s="39"/>
      <c r="F245" s="39"/>
      <c r="G245" s="39"/>
      <c r="H245" s="40"/>
      <c r="I245" s="41"/>
      <c r="J245" s="39"/>
      <c r="K245" s="41"/>
      <c r="L245" s="41"/>
      <c r="M245" s="42" t="str">
        <f t="shared" si="25"/>
        <v/>
      </c>
      <c r="N245" s="40" t="str">
        <f t="shared" si="26"/>
        <v/>
      </c>
      <c r="O245" s="40" t="str">
        <f t="shared" si="27"/>
        <v/>
      </c>
      <c r="P245" s="43" t="str">
        <f t="shared" si="28"/>
        <v/>
      </c>
      <c r="Q245" s="44">
        <f t="shared" si="29"/>
        <v>0</v>
      </c>
      <c r="R245" s="44">
        <f t="shared" si="30"/>
        <v>0</v>
      </c>
      <c r="S245" s="43">
        <f t="shared" si="31"/>
        <v>0</v>
      </c>
      <c r="T245" s="39"/>
      <c r="U245" s="35"/>
      <c r="V245" s="35"/>
      <c r="W245" s="35"/>
      <c r="X245" s="35"/>
      <c r="Y245" s="35"/>
      <c r="Z245" s="35"/>
      <c r="AA245" s="35"/>
      <c r="AB245" s="35"/>
      <c r="AC245" s="35"/>
      <c r="AD245" s="35"/>
      <c r="AE245" s="35"/>
      <c r="AF245" s="35"/>
      <c r="AG245" s="35"/>
      <c r="AH245" s="35"/>
      <c r="AI245" s="35"/>
      <c r="AJ245" s="35"/>
      <c r="AK245" s="35"/>
      <c r="AL245" s="35"/>
      <c r="AM245" s="35"/>
      <c r="AN245" s="35"/>
      <c r="AO245" s="35"/>
      <c r="AP245" s="35"/>
      <c r="AQ245" s="35"/>
      <c r="AR245" s="35"/>
      <c r="AS245" s="35"/>
      <c r="AT245" s="35"/>
      <c r="AU245" s="35"/>
      <c r="AV245" s="35"/>
      <c r="AW245" s="35"/>
      <c r="AX245" s="35"/>
      <c r="AY245" s="35"/>
      <c r="AZ245" s="35"/>
      <c r="BA245" s="35"/>
      <c r="BB245" s="35"/>
      <c r="BC245" s="35"/>
      <c r="BD245" s="35"/>
      <c r="BE245" s="35"/>
      <c r="BF245" s="35"/>
      <c r="BG245" s="35"/>
      <c r="BH245" s="35"/>
      <c r="BI245" s="35"/>
      <c r="BJ245" s="35"/>
      <c r="BK245" s="35"/>
      <c r="BL245" s="35"/>
    </row>
    <row r="246" spans="1:64" ht="14">
      <c r="A246" s="36"/>
      <c r="B246" s="37"/>
      <c r="C246" s="38">
        <f t="shared" si="24"/>
        <v>0</v>
      </c>
      <c r="D246" s="39"/>
      <c r="E246" s="39"/>
      <c r="F246" s="39"/>
      <c r="G246" s="39"/>
      <c r="H246" s="40"/>
      <c r="I246" s="41"/>
      <c r="J246" s="39"/>
      <c r="K246" s="41"/>
      <c r="L246" s="41"/>
      <c r="M246" s="42" t="str">
        <f t="shared" si="25"/>
        <v/>
      </c>
      <c r="N246" s="40" t="str">
        <f t="shared" si="26"/>
        <v/>
      </c>
      <c r="O246" s="40" t="str">
        <f t="shared" si="27"/>
        <v/>
      </c>
      <c r="P246" s="43" t="str">
        <f t="shared" si="28"/>
        <v/>
      </c>
      <c r="Q246" s="44">
        <f t="shared" si="29"/>
        <v>0</v>
      </c>
      <c r="R246" s="44">
        <f t="shared" si="30"/>
        <v>0</v>
      </c>
      <c r="S246" s="43">
        <f t="shared" si="31"/>
        <v>0</v>
      </c>
      <c r="T246" s="39"/>
      <c r="U246" s="35"/>
      <c r="V246" s="35"/>
      <c r="W246" s="35"/>
      <c r="X246" s="35"/>
      <c r="Y246" s="35"/>
      <c r="Z246" s="35"/>
      <c r="AA246" s="35"/>
      <c r="AB246" s="35"/>
      <c r="AC246" s="35"/>
      <c r="AD246" s="35"/>
      <c r="AE246" s="35"/>
      <c r="AF246" s="35"/>
      <c r="AG246" s="35"/>
      <c r="AH246" s="35"/>
      <c r="AI246" s="35"/>
      <c r="AJ246" s="35"/>
      <c r="AK246" s="35"/>
      <c r="AL246" s="35"/>
      <c r="AM246" s="35"/>
      <c r="AN246" s="35"/>
      <c r="AO246" s="35"/>
      <c r="AP246" s="35"/>
      <c r="AQ246" s="35"/>
      <c r="AR246" s="35"/>
      <c r="AS246" s="35"/>
      <c r="AT246" s="35"/>
      <c r="AU246" s="35"/>
      <c r="AV246" s="35"/>
      <c r="AW246" s="35"/>
      <c r="AX246" s="35"/>
      <c r="AY246" s="35"/>
      <c r="AZ246" s="35"/>
      <c r="BA246" s="35"/>
      <c r="BB246" s="35"/>
      <c r="BC246" s="35"/>
      <c r="BD246" s="35"/>
      <c r="BE246" s="35"/>
      <c r="BF246" s="35"/>
      <c r="BG246" s="35"/>
      <c r="BH246" s="35"/>
      <c r="BI246" s="35"/>
      <c r="BJ246" s="35"/>
      <c r="BK246" s="35"/>
      <c r="BL246" s="35"/>
    </row>
    <row r="247" spans="1:64" ht="14">
      <c r="A247" s="36"/>
      <c r="B247" s="37"/>
      <c r="C247" s="38">
        <f t="shared" si="24"/>
        <v>0</v>
      </c>
      <c r="D247" s="39"/>
      <c r="E247" s="39"/>
      <c r="F247" s="39"/>
      <c r="G247" s="39"/>
      <c r="H247" s="40"/>
      <c r="I247" s="41"/>
      <c r="J247" s="39"/>
      <c r="K247" s="41"/>
      <c r="L247" s="41"/>
      <c r="M247" s="42" t="str">
        <f t="shared" si="25"/>
        <v/>
      </c>
      <c r="N247" s="40" t="str">
        <f t="shared" si="26"/>
        <v/>
      </c>
      <c r="O247" s="40" t="str">
        <f t="shared" si="27"/>
        <v/>
      </c>
      <c r="P247" s="43" t="str">
        <f t="shared" si="28"/>
        <v/>
      </c>
      <c r="Q247" s="44">
        <f t="shared" si="29"/>
        <v>0</v>
      </c>
      <c r="R247" s="44">
        <f t="shared" si="30"/>
        <v>0</v>
      </c>
      <c r="S247" s="43">
        <f t="shared" si="31"/>
        <v>0</v>
      </c>
      <c r="T247" s="39"/>
      <c r="U247" s="35"/>
      <c r="V247" s="35"/>
      <c r="W247" s="35"/>
      <c r="X247" s="35"/>
      <c r="Y247" s="35"/>
      <c r="Z247" s="35"/>
      <c r="AA247" s="35"/>
      <c r="AB247" s="35"/>
      <c r="AC247" s="35"/>
      <c r="AD247" s="35"/>
      <c r="AE247" s="35"/>
      <c r="AF247" s="35"/>
      <c r="AG247" s="35"/>
      <c r="AH247" s="35"/>
      <c r="AI247" s="35"/>
      <c r="AJ247" s="35"/>
      <c r="AK247" s="35"/>
      <c r="AL247" s="35"/>
      <c r="AM247" s="35"/>
      <c r="AN247" s="35"/>
      <c r="AO247" s="35"/>
      <c r="AP247" s="35"/>
      <c r="AQ247" s="35"/>
      <c r="AR247" s="35"/>
      <c r="AS247" s="35"/>
      <c r="AT247" s="35"/>
      <c r="AU247" s="35"/>
      <c r="AV247" s="35"/>
      <c r="AW247" s="35"/>
      <c r="AX247" s="35"/>
      <c r="AY247" s="35"/>
      <c r="AZ247" s="35"/>
      <c r="BA247" s="35"/>
      <c r="BB247" s="35"/>
      <c r="BC247" s="35"/>
      <c r="BD247" s="35"/>
      <c r="BE247" s="35"/>
      <c r="BF247" s="35"/>
      <c r="BG247" s="35"/>
      <c r="BH247" s="35"/>
      <c r="BI247" s="35"/>
      <c r="BJ247" s="35"/>
      <c r="BK247" s="35"/>
      <c r="BL247" s="35"/>
    </row>
    <row r="248" spans="1:64" ht="14">
      <c r="A248" s="36"/>
      <c r="B248" s="37"/>
      <c r="C248" s="38">
        <f t="shared" si="24"/>
        <v>0</v>
      </c>
      <c r="D248" s="39"/>
      <c r="E248" s="39"/>
      <c r="F248" s="39"/>
      <c r="G248" s="39"/>
      <c r="H248" s="40"/>
      <c r="I248" s="41"/>
      <c r="J248" s="39"/>
      <c r="K248" s="41"/>
      <c r="L248" s="41"/>
      <c r="M248" s="42" t="str">
        <f t="shared" si="25"/>
        <v/>
      </c>
      <c r="N248" s="40" t="str">
        <f t="shared" si="26"/>
        <v/>
      </c>
      <c r="O248" s="40" t="str">
        <f t="shared" si="27"/>
        <v/>
      </c>
      <c r="P248" s="43" t="str">
        <f t="shared" si="28"/>
        <v/>
      </c>
      <c r="Q248" s="44">
        <f t="shared" si="29"/>
        <v>0</v>
      </c>
      <c r="R248" s="44">
        <f t="shared" si="30"/>
        <v>0</v>
      </c>
      <c r="S248" s="43">
        <f t="shared" si="31"/>
        <v>0</v>
      </c>
      <c r="T248" s="39"/>
      <c r="U248" s="35"/>
      <c r="V248" s="35"/>
      <c r="W248" s="35"/>
      <c r="X248" s="35"/>
      <c r="Y248" s="35"/>
      <c r="Z248" s="35"/>
      <c r="AA248" s="35"/>
      <c r="AB248" s="35"/>
      <c r="AC248" s="35"/>
      <c r="AD248" s="35"/>
      <c r="AE248" s="35"/>
      <c r="AF248" s="35"/>
      <c r="AG248" s="35"/>
      <c r="AH248" s="35"/>
      <c r="AI248" s="35"/>
      <c r="AJ248" s="35"/>
      <c r="AK248" s="35"/>
      <c r="AL248" s="35"/>
      <c r="AM248" s="35"/>
      <c r="AN248" s="35"/>
      <c r="AO248" s="35"/>
      <c r="AP248" s="35"/>
      <c r="AQ248" s="35"/>
      <c r="AR248" s="35"/>
      <c r="AS248" s="35"/>
      <c r="AT248" s="35"/>
      <c r="AU248" s="35"/>
      <c r="AV248" s="35"/>
      <c r="AW248" s="35"/>
      <c r="AX248" s="35"/>
      <c r="AY248" s="35"/>
      <c r="AZ248" s="35"/>
      <c r="BA248" s="35"/>
      <c r="BB248" s="35"/>
      <c r="BC248" s="35"/>
      <c r="BD248" s="35"/>
      <c r="BE248" s="35"/>
      <c r="BF248" s="35"/>
      <c r="BG248" s="35"/>
      <c r="BH248" s="35"/>
      <c r="BI248" s="35"/>
      <c r="BJ248" s="35"/>
      <c r="BK248" s="35"/>
      <c r="BL248" s="35"/>
    </row>
    <row r="249" spans="1:64" ht="14">
      <c r="A249" s="36"/>
      <c r="B249" s="37"/>
      <c r="C249" s="38">
        <f t="shared" si="24"/>
        <v>0</v>
      </c>
      <c r="D249" s="39"/>
      <c r="E249" s="39"/>
      <c r="F249" s="39"/>
      <c r="G249" s="39"/>
      <c r="H249" s="40"/>
      <c r="I249" s="41"/>
      <c r="J249" s="39"/>
      <c r="K249" s="41"/>
      <c r="L249" s="41"/>
      <c r="M249" s="42" t="str">
        <f t="shared" si="25"/>
        <v/>
      </c>
      <c r="N249" s="40" t="str">
        <f t="shared" si="26"/>
        <v/>
      </c>
      <c r="O249" s="40" t="str">
        <f t="shared" si="27"/>
        <v/>
      </c>
      <c r="P249" s="43" t="str">
        <f t="shared" si="28"/>
        <v/>
      </c>
      <c r="Q249" s="44">
        <f t="shared" si="29"/>
        <v>0</v>
      </c>
      <c r="R249" s="44">
        <f t="shared" si="30"/>
        <v>0</v>
      </c>
      <c r="S249" s="43">
        <f t="shared" si="31"/>
        <v>0</v>
      </c>
      <c r="T249" s="39"/>
      <c r="U249" s="35"/>
      <c r="V249" s="35"/>
      <c r="W249" s="35"/>
      <c r="X249" s="35"/>
      <c r="Y249" s="35"/>
      <c r="Z249" s="35"/>
      <c r="AA249" s="35"/>
      <c r="AB249" s="35"/>
      <c r="AC249" s="35"/>
      <c r="AD249" s="35"/>
      <c r="AE249" s="35"/>
      <c r="AF249" s="35"/>
      <c r="AG249" s="35"/>
      <c r="AH249" s="35"/>
      <c r="AI249" s="35"/>
      <c r="AJ249" s="35"/>
      <c r="AK249" s="35"/>
      <c r="AL249" s="35"/>
      <c r="AM249" s="35"/>
      <c r="AN249" s="35"/>
      <c r="AO249" s="35"/>
      <c r="AP249" s="35"/>
      <c r="AQ249" s="35"/>
      <c r="AR249" s="35"/>
      <c r="AS249" s="35"/>
      <c r="AT249" s="35"/>
      <c r="AU249" s="35"/>
      <c r="AV249" s="35"/>
      <c r="AW249" s="35"/>
      <c r="AX249" s="35"/>
      <c r="AY249" s="35"/>
      <c r="AZ249" s="35"/>
      <c r="BA249" s="35"/>
      <c r="BB249" s="35"/>
      <c r="BC249" s="35"/>
      <c r="BD249" s="35"/>
      <c r="BE249" s="35"/>
      <c r="BF249" s="35"/>
      <c r="BG249" s="35"/>
      <c r="BH249" s="35"/>
      <c r="BI249" s="35"/>
      <c r="BJ249" s="35"/>
      <c r="BK249" s="35"/>
      <c r="BL249" s="35"/>
    </row>
    <row r="250" spans="1:64" ht="14">
      <c r="A250" s="36"/>
      <c r="B250" s="37"/>
      <c r="C250" s="38">
        <f t="shared" si="24"/>
        <v>0</v>
      </c>
      <c r="D250" s="39"/>
      <c r="E250" s="39"/>
      <c r="F250" s="39"/>
      <c r="G250" s="39"/>
      <c r="H250" s="40"/>
      <c r="I250" s="41"/>
      <c r="J250" s="39"/>
      <c r="K250" s="41"/>
      <c r="L250" s="41"/>
      <c r="M250" s="42" t="str">
        <f t="shared" si="25"/>
        <v/>
      </c>
      <c r="N250" s="40" t="str">
        <f t="shared" si="26"/>
        <v/>
      </c>
      <c r="O250" s="40" t="str">
        <f t="shared" si="27"/>
        <v/>
      </c>
      <c r="P250" s="43" t="str">
        <f t="shared" si="28"/>
        <v/>
      </c>
      <c r="Q250" s="44">
        <f t="shared" si="29"/>
        <v>0</v>
      </c>
      <c r="R250" s="44">
        <f t="shared" si="30"/>
        <v>0</v>
      </c>
      <c r="S250" s="43">
        <f t="shared" si="31"/>
        <v>0</v>
      </c>
      <c r="T250" s="39"/>
      <c r="U250" s="35"/>
      <c r="V250" s="35"/>
      <c r="W250" s="35"/>
      <c r="X250" s="35"/>
      <c r="Y250" s="35"/>
      <c r="Z250" s="35"/>
      <c r="AA250" s="35"/>
      <c r="AB250" s="35"/>
      <c r="AC250" s="35"/>
      <c r="AD250" s="35"/>
      <c r="AE250" s="35"/>
      <c r="AF250" s="35"/>
      <c r="AG250" s="35"/>
      <c r="AH250" s="35"/>
      <c r="AI250" s="35"/>
      <c r="AJ250" s="35"/>
      <c r="AK250" s="35"/>
      <c r="AL250" s="35"/>
      <c r="AM250" s="35"/>
      <c r="AN250" s="35"/>
      <c r="AO250" s="35"/>
      <c r="AP250" s="35"/>
      <c r="AQ250" s="35"/>
      <c r="AR250" s="35"/>
      <c r="AS250" s="35"/>
      <c r="AT250" s="35"/>
      <c r="AU250" s="35"/>
      <c r="AV250" s="35"/>
      <c r="AW250" s="35"/>
      <c r="AX250" s="35"/>
      <c r="AY250" s="35"/>
      <c r="AZ250" s="35"/>
      <c r="BA250" s="35"/>
      <c r="BB250" s="35"/>
      <c r="BC250" s="35"/>
      <c r="BD250" s="35"/>
      <c r="BE250" s="35"/>
      <c r="BF250" s="35"/>
      <c r="BG250" s="35"/>
      <c r="BH250" s="35"/>
      <c r="BI250" s="35"/>
      <c r="BJ250" s="35"/>
      <c r="BK250" s="35"/>
      <c r="BL250" s="35"/>
    </row>
    <row r="251" spans="1:64" ht="14">
      <c r="A251" s="36"/>
      <c r="B251" s="37"/>
      <c r="C251" s="38">
        <f t="shared" si="24"/>
        <v>0</v>
      </c>
      <c r="D251" s="39"/>
      <c r="E251" s="39"/>
      <c r="F251" s="39"/>
      <c r="G251" s="39"/>
      <c r="H251" s="40"/>
      <c r="I251" s="41"/>
      <c r="J251" s="39"/>
      <c r="K251" s="41"/>
      <c r="L251" s="41"/>
      <c r="M251" s="42" t="str">
        <f t="shared" si="25"/>
        <v/>
      </c>
      <c r="N251" s="40" t="str">
        <f t="shared" si="26"/>
        <v/>
      </c>
      <c r="O251" s="40" t="str">
        <f t="shared" si="27"/>
        <v/>
      </c>
      <c r="P251" s="43" t="str">
        <f t="shared" si="28"/>
        <v/>
      </c>
      <c r="Q251" s="44">
        <f t="shared" si="29"/>
        <v>0</v>
      </c>
      <c r="R251" s="44">
        <f t="shared" si="30"/>
        <v>0</v>
      </c>
      <c r="S251" s="43">
        <f t="shared" si="31"/>
        <v>0</v>
      </c>
      <c r="T251" s="39"/>
      <c r="U251" s="35"/>
      <c r="V251" s="35"/>
      <c r="W251" s="35"/>
      <c r="X251" s="35"/>
      <c r="Y251" s="35"/>
      <c r="Z251" s="35"/>
      <c r="AA251" s="35"/>
      <c r="AB251" s="35"/>
      <c r="AC251" s="35"/>
      <c r="AD251" s="35"/>
      <c r="AE251" s="35"/>
      <c r="AF251" s="35"/>
      <c r="AG251" s="35"/>
      <c r="AH251" s="35"/>
      <c r="AI251" s="35"/>
      <c r="AJ251" s="35"/>
      <c r="AK251" s="35"/>
      <c r="AL251" s="35"/>
      <c r="AM251" s="35"/>
      <c r="AN251" s="35"/>
      <c r="AO251" s="35"/>
      <c r="AP251" s="35"/>
      <c r="AQ251" s="35"/>
      <c r="AR251" s="35"/>
      <c r="AS251" s="35"/>
      <c r="AT251" s="35"/>
      <c r="AU251" s="35"/>
      <c r="AV251" s="35"/>
      <c r="AW251" s="35"/>
      <c r="AX251" s="35"/>
      <c r="AY251" s="35"/>
      <c r="AZ251" s="35"/>
      <c r="BA251" s="35"/>
      <c r="BB251" s="35"/>
      <c r="BC251" s="35"/>
      <c r="BD251" s="35"/>
      <c r="BE251" s="35"/>
      <c r="BF251" s="35"/>
      <c r="BG251" s="35"/>
      <c r="BH251" s="35"/>
      <c r="BI251" s="35"/>
      <c r="BJ251" s="35"/>
      <c r="BK251" s="35"/>
      <c r="BL251" s="35"/>
    </row>
    <row r="252" spans="1:64" ht="14">
      <c r="A252" s="36"/>
      <c r="B252" s="37"/>
      <c r="C252" s="38">
        <f t="shared" si="24"/>
        <v>0</v>
      </c>
      <c r="D252" s="39"/>
      <c r="E252" s="39"/>
      <c r="F252" s="39"/>
      <c r="G252" s="39"/>
      <c r="H252" s="40"/>
      <c r="I252" s="41"/>
      <c r="J252" s="39"/>
      <c r="K252" s="41"/>
      <c r="L252" s="41"/>
      <c r="M252" s="42" t="str">
        <f t="shared" si="25"/>
        <v/>
      </c>
      <c r="N252" s="40" t="str">
        <f t="shared" si="26"/>
        <v/>
      </c>
      <c r="O252" s="40" t="str">
        <f t="shared" si="27"/>
        <v/>
      </c>
      <c r="P252" s="43" t="str">
        <f t="shared" si="28"/>
        <v/>
      </c>
      <c r="Q252" s="44">
        <f t="shared" si="29"/>
        <v>0</v>
      </c>
      <c r="R252" s="44">
        <f t="shared" si="30"/>
        <v>0</v>
      </c>
      <c r="S252" s="43">
        <f t="shared" si="31"/>
        <v>0</v>
      </c>
      <c r="T252" s="39"/>
      <c r="U252" s="35"/>
      <c r="V252" s="35"/>
      <c r="W252" s="35"/>
      <c r="X252" s="35"/>
      <c r="Y252" s="35"/>
      <c r="Z252" s="35"/>
      <c r="AA252" s="35"/>
      <c r="AB252" s="35"/>
      <c r="AC252" s="35"/>
      <c r="AD252" s="35"/>
      <c r="AE252" s="35"/>
      <c r="AF252" s="35"/>
      <c r="AG252" s="35"/>
      <c r="AH252" s="35"/>
      <c r="AI252" s="35"/>
      <c r="AJ252" s="35"/>
      <c r="AK252" s="35"/>
      <c r="AL252" s="35"/>
      <c r="AM252" s="35"/>
      <c r="AN252" s="35"/>
      <c r="AO252" s="35"/>
      <c r="AP252" s="35"/>
      <c r="AQ252" s="35"/>
      <c r="AR252" s="35"/>
      <c r="AS252" s="35"/>
      <c r="AT252" s="35"/>
      <c r="AU252" s="35"/>
      <c r="AV252" s="35"/>
      <c r="AW252" s="35"/>
      <c r="AX252" s="35"/>
      <c r="AY252" s="35"/>
      <c r="AZ252" s="35"/>
      <c r="BA252" s="35"/>
      <c r="BB252" s="35"/>
      <c r="BC252" s="35"/>
      <c r="BD252" s="35"/>
      <c r="BE252" s="35"/>
      <c r="BF252" s="35"/>
      <c r="BG252" s="35"/>
      <c r="BH252" s="35"/>
      <c r="BI252" s="35"/>
      <c r="BJ252" s="35"/>
      <c r="BK252" s="35"/>
      <c r="BL252" s="35"/>
    </row>
    <row r="253" spans="1:64" ht="14">
      <c r="A253" s="36"/>
      <c r="B253" s="37"/>
      <c r="C253" s="38">
        <f t="shared" si="24"/>
        <v>0</v>
      </c>
      <c r="D253" s="39"/>
      <c r="E253" s="39"/>
      <c r="F253" s="39"/>
      <c r="G253" s="39"/>
      <c r="H253" s="40"/>
      <c r="I253" s="41"/>
      <c r="J253" s="39"/>
      <c r="K253" s="41"/>
      <c r="L253" s="41"/>
      <c r="M253" s="42" t="str">
        <f t="shared" si="25"/>
        <v/>
      </c>
      <c r="N253" s="40" t="str">
        <f t="shared" si="26"/>
        <v/>
      </c>
      <c r="O253" s="40" t="str">
        <f t="shared" si="27"/>
        <v/>
      </c>
      <c r="P253" s="43" t="str">
        <f t="shared" si="28"/>
        <v/>
      </c>
      <c r="Q253" s="44">
        <f t="shared" si="29"/>
        <v>0</v>
      </c>
      <c r="R253" s="44">
        <f t="shared" si="30"/>
        <v>0</v>
      </c>
      <c r="S253" s="43">
        <f t="shared" si="31"/>
        <v>0</v>
      </c>
      <c r="T253" s="39"/>
      <c r="U253" s="35"/>
      <c r="V253" s="35"/>
      <c r="W253" s="35"/>
      <c r="X253" s="35"/>
      <c r="Y253" s="35"/>
      <c r="Z253" s="35"/>
      <c r="AA253" s="35"/>
      <c r="AB253" s="35"/>
      <c r="AC253" s="35"/>
      <c r="AD253" s="35"/>
      <c r="AE253" s="35"/>
      <c r="AF253" s="35"/>
      <c r="AG253" s="35"/>
      <c r="AH253" s="35"/>
      <c r="AI253" s="35"/>
      <c r="AJ253" s="35"/>
      <c r="AK253" s="35"/>
      <c r="AL253" s="35"/>
      <c r="AM253" s="35"/>
      <c r="AN253" s="35"/>
      <c r="AO253" s="35"/>
      <c r="AP253" s="35"/>
      <c r="AQ253" s="35"/>
      <c r="AR253" s="35"/>
      <c r="AS253" s="35"/>
      <c r="AT253" s="35"/>
      <c r="AU253" s="35"/>
      <c r="AV253" s="35"/>
      <c r="AW253" s="35"/>
      <c r="AX253" s="35"/>
      <c r="AY253" s="35"/>
      <c r="AZ253" s="35"/>
      <c r="BA253" s="35"/>
      <c r="BB253" s="35"/>
      <c r="BC253" s="35"/>
      <c r="BD253" s="35"/>
      <c r="BE253" s="35"/>
      <c r="BF253" s="35"/>
      <c r="BG253" s="35"/>
      <c r="BH253" s="35"/>
      <c r="BI253" s="35"/>
      <c r="BJ253" s="35"/>
      <c r="BK253" s="35"/>
      <c r="BL253" s="35"/>
    </row>
    <row r="254" spans="1:64" ht="14">
      <c r="A254" s="36"/>
      <c r="B254" s="37"/>
      <c r="C254" s="38">
        <f t="shared" si="24"/>
        <v>0</v>
      </c>
      <c r="D254" s="39"/>
      <c r="E254" s="39"/>
      <c r="F254" s="39"/>
      <c r="G254" s="39"/>
      <c r="H254" s="40"/>
      <c r="I254" s="41"/>
      <c r="J254" s="39"/>
      <c r="K254" s="41"/>
      <c r="L254" s="41"/>
      <c r="M254" s="42" t="str">
        <f t="shared" si="25"/>
        <v/>
      </c>
      <c r="N254" s="40" t="str">
        <f t="shared" si="26"/>
        <v/>
      </c>
      <c r="O254" s="40" t="str">
        <f t="shared" si="27"/>
        <v/>
      </c>
      <c r="P254" s="43" t="str">
        <f t="shared" si="28"/>
        <v/>
      </c>
      <c r="Q254" s="44">
        <f t="shared" si="29"/>
        <v>0</v>
      </c>
      <c r="R254" s="44">
        <f t="shared" si="30"/>
        <v>0</v>
      </c>
      <c r="S254" s="43">
        <f t="shared" si="31"/>
        <v>0</v>
      </c>
      <c r="T254" s="39"/>
      <c r="U254" s="35"/>
      <c r="V254" s="35"/>
      <c r="W254" s="35"/>
      <c r="X254" s="35"/>
      <c r="Y254" s="35"/>
      <c r="Z254" s="35"/>
      <c r="AA254" s="35"/>
      <c r="AB254" s="35"/>
      <c r="AC254" s="35"/>
      <c r="AD254" s="35"/>
      <c r="AE254" s="35"/>
      <c r="AF254" s="35"/>
      <c r="AG254" s="35"/>
      <c r="AH254" s="35"/>
      <c r="AI254" s="35"/>
      <c r="AJ254" s="35"/>
      <c r="AK254" s="35"/>
      <c r="AL254" s="35"/>
      <c r="AM254" s="35"/>
      <c r="AN254" s="35"/>
      <c r="AO254" s="35"/>
      <c r="AP254" s="35"/>
      <c r="AQ254" s="35"/>
      <c r="AR254" s="35"/>
      <c r="AS254" s="35"/>
      <c r="AT254" s="35"/>
      <c r="AU254" s="35"/>
      <c r="AV254" s="35"/>
      <c r="AW254" s="35"/>
      <c r="AX254" s="35"/>
      <c r="AY254" s="35"/>
      <c r="AZ254" s="35"/>
      <c r="BA254" s="35"/>
      <c r="BB254" s="35"/>
      <c r="BC254" s="35"/>
      <c r="BD254" s="35"/>
      <c r="BE254" s="35"/>
      <c r="BF254" s="35"/>
      <c r="BG254" s="35"/>
      <c r="BH254" s="35"/>
      <c r="BI254" s="35"/>
      <c r="BJ254" s="35"/>
      <c r="BK254" s="35"/>
      <c r="BL254" s="35"/>
    </row>
    <row r="255" spans="1:64" ht="14">
      <c r="A255" s="36"/>
      <c r="B255" s="37"/>
      <c r="C255" s="38">
        <f t="shared" si="24"/>
        <v>0</v>
      </c>
      <c r="D255" s="39"/>
      <c r="E255" s="39"/>
      <c r="F255" s="39"/>
      <c r="G255" s="39"/>
      <c r="H255" s="40"/>
      <c r="I255" s="41"/>
      <c r="J255" s="39"/>
      <c r="K255" s="41"/>
      <c r="L255" s="41"/>
      <c r="M255" s="42" t="str">
        <f t="shared" si="25"/>
        <v/>
      </c>
      <c r="N255" s="40" t="str">
        <f t="shared" si="26"/>
        <v/>
      </c>
      <c r="O255" s="40" t="str">
        <f t="shared" si="27"/>
        <v/>
      </c>
      <c r="P255" s="43" t="str">
        <f t="shared" si="28"/>
        <v/>
      </c>
      <c r="Q255" s="44">
        <f t="shared" si="29"/>
        <v>0</v>
      </c>
      <c r="R255" s="44">
        <f t="shared" si="30"/>
        <v>0</v>
      </c>
      <c r="S255" s="43">
        <f t="shared" si="31"/>
        <v>0</v>
      </c>
      <c r="T255" s="39"/>
      <c r="U255" s="35"/>
      <c r="V255" s="35"/>
      <c r="W255" s="35"/>
      <c r="X255" s="35"/>
      <c r="Y255" s="35"/>
      <c r="Z255" s="35"/>
      <c r="AA255" s="35"/>
      <c r="AB255" s="35"/>
      <c r="AC255" s="35"/>
      <c r="AD255" s="35"/>
      <c r="AE255" s="35"/>
      <c r="AF255" s="35"/>
      <c r="AG255" s="35"/>
      <c r="AH255" s="35"/>
      <c r="AI255" s="35"/>
      <c r="AJ255" s="35"/>
      <c r="AK255" s="35"/>
      <c r="AL255" s="35"/>
      <c r="AM255" s="35"/>
      <c r="AN255" s="35"/>
      <c r="AO255" s="35"/>
      <c r="AP255" s="35"/>
      <c r="AQ255" s="35"/>
      <c r="AR255" s="35"/>
      <c r="AS255" s="35"/>
      <c r="AT255" s="35"/>
      <c r="AU255" s="35"/>
      <c r="AV255" s="35"/>
      <c r="AW255" s="35"/>
      <c r="AX255" s="35"/>
      <c r="AY255" s="35"/>
      <c r="AZ255" s="35"/>
      <c r="BA255" s="35"/>
      <c r="BB255" s="35"/>
      <c r="BC255" s="35"/>
      <c r="BD255" s="35"/>
      <c r="BE255" s="35"/>
      <c r="BF255" s="35"/>
      <c r="BG255" s="35"/>
      <c r="BH255" s="35"/>
      <c r="BI255" s="35"/>
      <c r="BJ255" s="35"/>
      <c r="BK255" s="35"/>
      <c r="BL255" s="35"/>
    </row>
    <row r="256" spans="1:64" ht="14">
      <c r="A256" s="36"/>
      <c r="B256" s="37"/>
      <c r="C256" s="38">
        <f t="shared" si="24"/>
        <v>0</v>
      </c>
      <c r="D256" s="39"/>
      <c r="E256" s="39"/>
      <c r="F256" s="39"/>
      <c r="G256" s="39"/>
      <c r="H256" s="40"/>
      <c r="I256" s="41"/>
      <c r="J256" s="39"/>
      <c r="K256" s="41"/>
      <c r="L256" s="41"/>
      <c r="M256" s="42" t="str">
        <f t="shared" si="25"/>
        <v/>
      </c>
      <c r="N256" s="40" t="str">
        <f t="shared" si="26"/>
        <v/>
      </c>
      <c r="O256" s="40" t="str">
        <f t="shared" si="27"/>
        <v/>
      </c>
      <c r="P256" s="43" t="str">
        <f t="shared" si="28"/>
        <v/>
      </c>
      <c r="Q256" s="44">
        <f t="shared" si="29"/>
        <v>0</v>
      </c>
      <c r="R256" s="44">
        <f t="shared" si="30"/>
        <v>0</v>
      </c>
      <c r="S256" s="43">
        <f t="shared" si="31"/>
        <v>0</v>
      </c>
      <c r="T256" s="39"/>
      <c r="U256" s="35"/>
      <c r="V256" s="35"/>
      <c r="W256" s="35"/>
      <c r="X256" s="35"/>
      <c r="Y256" s="35"/>
      <c r="Z256" s="35"/>
      <c r="AA256" s="35"/>
      <c r="AB256" s="35"/>
      <c r="AC256" s="35"/>
      <c r="AD256" s="35"/>
      <c r="AE256" s="35"/>
      <c r="AF256" s="35"/>
      <c r="AG256" s="35"/>
      <c r="AH256" s="35"/>
      <c r="AI256" s="35"/>
      <c r="AJ256" s="35"/>
      <c r="AK256" s="35"/>
      <c r="AL256" s="35"/>
      <c r="AM256" s="35"/>
      <c r="AN256" s="35"/>
      <c r="AO256" s="35"/>
      <c r="AP256" s="35"/>
      <c r="AQ256" s="35"/>
      <c r="AR256" s="35"/>
      <c r="AS256" s="35"/>
      <c r="AT256" s="35"/>
      <c r="AU256" s="35"/>
      <c r="AV256" s="35"/>
      <c r="AW256" s="35"/>
      <c r="AX256" s="35"/>
      <c r="AY256" s="35"/>
      <c r="AZ256" s="35"/>
      <c r="BA256" s="35"/>
      <c r="BB256" s="35"/>
      <c r="BC256" s="35"/>
      <c r="BD256" s="35"/>
      <c r="BE256" s="35"/>
      <c r="BF256" s="35"/>
      <c r="BG256" s="35"/>
      <c r="BH256" s="35"/>
      <c r="BI256" s="35"/>
      <c r="BJ256" s="35"/>
      <c r="BK256" s="35"/>
      <c r="BL256" s="35"/>
    </row>
    <row r="257" spans="1:64" ht="14">
      <c r="A257" s="36"/>
      <c r="B257" s="37"/>
      <c r="C257" s="38">
        <f t="shared" si="24"/>
        <v>0</v>
      </c>
      <c r="D257" s="39"/>
      <c r="E257" s="39"/>
      <c r="F257" s="39"/>
      <c r="G257" s="39"/>
      <c r="H257" s="40"/>
      <c r="I257" s="41"/>
      <c r="J257" s="39"/>
      <c r="K257" s="41"/>
      <c r="L257" s="41"/>
      <c r="M257" s="42" t="str">
        <f t="shared" si="25"/>
        <v/>
      </c>
      <c r="N257" s="40" t="str">
        <f t="shared" si="26"/>
        <v/>
      </c>
      <c r="O257" s="40" t="str">
        <f t="shared" si="27"/>
        <v/>
      </c>
      <c r="P257" s="43" t="str">
        <f t="shared" si="28"/>
        <v/>
      </c>
      <c r="Q257" s="44">
        <f t="shared" si="29"/>
        <v>0</v>
      </c>
      <c r="R257" s="44">
        <f t="shared" si="30"/>
        <v>0</v>
      </c>
      <c r="S257" s="43">
        <f t="shared" si="31"/>
        <v>0</v>
      </c>
      <c r="T257" s="39"/>
      <c r="U257" s="35"/>
      <c r="V257" s="35"/>
      <c r="W257" s="35"/>
      <c r="X257" s="35"/>
      <c r="Y257" s="35"/>
      <c r="Z257" s="35"/>
      <c r="AA257" s="35"/>
      <c r="AB257" s="35"/>
      <c r="AC257" s="35"/>
      <c r="AD257" s="35"/>
      <c r="AE257" s="35"/>
      <c r="AF257" s="35"/>
      <c r="AG257" s="35"/>
      <c r="AH257" s="35"/>
      <c r="AI257" s="35"/>
      <c r="AJ257" s="35"/>
      <c r="AK257" s="35"/>
      <c r="AL257" s="35"/>
      <c r="AM257" s="35"/>
      <c r="AN257" s="35"/>
      <c r="AO257" s="35"/>
      <c r="AP257" s="35"/>
      <c r="AQ257" s="35"/>
      <c r="AR257" s="35"/>
      <c r="AS257" s="35"/>
      <c r="AT257" s="35"/>
      <c r="AU257" s="35"/>
      <c r="AV257" s="35"/>
      <c r="AW257" s="35"/>
      <c r="AX257" s="35"/>
      <c r="AY257" s="35"/>
      <c r="AZ257" s="35"/>
      <c r="BA257" s="35"/>
      <c r="BB257" s="35"/>
      <c r="BC257" s="35"/>
      <c r="BD257" s="35"/>
      <c r="BE257" s="35"/>
      <c r="BF257" s="35"/>
      <c r="BG257" s="35"/>
      <c r="BH257" s="35"/>
      <c r="BI257" s="35"/>
      <c r="BJ257" s="35"/>
      <c r="BK257" s="35"/>
      <c r="BL257" s="35"/>
    </row>
    <row r="258" spans="1:64" ht="14">
      <c r="A258" s="36"/>
      <c r="B258" s="37"/>
      <c r="C258" s="38">
        <f t="shared" si="24"/>
        <v>0</v>
      </c>
      <c r="D258" s="39"/>
      <c r="E258" s="39"/>
      <c r="F258" s="39"/>
      <c r="G258" s="39"/>
      <c r="H258" s="40"/>
      <c r="I258" s="41"/>
      <c r="J258" s="39"/>
      <c r="K258" s="41"/>
      <c r="L258" s="41"/>
      <c r="M258" s="42" t="str">
        <f t="shared" si="25"/>
        <v/>
      </c>
      <c r="N258" s="40" t="str">
        <f t="shared" si="26"/>
        <v/>
      </c>
      <c r="O258" s="40" t="str">
        <f t="shared" si="27"/>
        <v/>
      </c>
      <c r="P258" s="43" t="str">
        <f t="shared" si="28"/>
        <v/>
      </c>
      <c r="Q258" s="44">
        <f t="shared" si="29"/>
        <v>0</v>
      </c>
      <c r="R258" s="44">
        <f t="shared" si="30"/>
        <v>0</v>
      </c>
      <c r="S258" s="43">
        <f t="shared" si="31"/>
        <v>0</v>
      </c>
      <c r="T258" s="39"/>
      <c r="U258" s="35"/>
      <c r="V258" s="35"/>
      <c r="W258" s="35"/>
      <c r="X258" s="35"/>
      <c r="Y258" s="35"/>
      <c r="Z258" s="35"/>
      <c r="AA258" s="35"/>
      <c r="AB258" s="35"/>
      <c r="AC258" s="35"/>
      <c r="AD258" s="35"/>
      <c r="AE258" s="35"/>
      <c r="AF258" s="35"/>
      <c r="AG258" s="35"/>
      <c r="AH258" s="35"/>
      <c r="AI258" s="35"/>
      <c r="AJ258" s="35"/>
      <c r="AK258" s="35"/>
      <c r="AL258" s="35"/>
      <c r="AM258" s="35"/>
      <c r="AN258" s="35"/>
      <c r="AO258" s="35"/>
      <c r="AP258" s="35"/>
      <c r="AQ258" s="35"/>
      <c r="AR258" s="35"/>
      <c r="AS258" s="35"/>
      <c r="AT258" s="35"/>
      <c r="AU258" s="35"/>
      <c r="AV258" s="35"/>
      <c r="AW258" s="35"/>
      <c r="AX258" s="35"/>
      <c r="AY258" s="35"/>
      <c r="AZ258" s="35"/>
      <c r="BA258" s="35"/>
      <c r="BB258" s="35"/>
      <c r="BC258" s="35"/>
      <c r="BD258" s="35"/>
      <c r="BE258" s="35"/>
      <c r="BF258" s="35"/>
      <c r="BG258" s="35"/>
      <c r="BH258" s="35"/>
      <c r="BI258" s="35"/>
      <c r="BJ258" s="35"/>
      <c r="BK258" s="35"/>
      <c r="BL258" s="35"/>
    </row>
    <row r="259" spans="1:64" ht="14">
      <c r="A259" s="36"/>
      <c r="B259" s="37"/>
      <c r="C259" s="38">
        <f t="shared" si="24"/>
        <v>0</v>
      </c>
      <c r="D259" s="39"/>
      <c r="E259" s="39"/>
      <c r="F259" s="39"/>
      <c r="G259" s="39"/>
      <c r="H259" s="40"/>
      <c r="I259" s="41"/>
      <c r="J259" s="39"/>
      <c r="K259" s="41"/>
      <c r="L259" s="41"/>
      <c r="M259" s="42" t="str">
        <f t="shared" si="25"/>
        <v/>
      </c>
      <c r="N259" s="40" t="str">
        <f t="shared" si="26"/>
        <v/>
      </c>
      <c r="O259" s="40" t="str">
        <f t="shared" si="27"/>
        <v/>
      </c>
      <c r="P259" s="43" t="str">
        <f t="shared" si="28"/>
        <v/>
      </c>
      <c r="Q259" s="44">
        <f t="shared" si="29"/>
        <v>0</v>
      </c>
      <c r="R259" s="44">
        <f t="shared" si="30"/>
        <v>0</v>
      </c>
      <c r="S259" s="43">
        <f t="shared" si="31"/>
        <v>0</v>
      </c>
      <c r="T259" s="39"/>
      <c r="U259" s="35"/>
      <c r="V259" s="35"/>
      <c r="W259" s="35"/>
      <c r="X259" s="35"/>
      <c r="Y259" s="35"/>
      <c r="Z259" s="35"/>
      <c r="AA259" s="35"/>
      <c r="AB259" s="35"/>
      <c r="AC259" s="35"/>
      <c r="AD259" s="35"/>
      <c r="AE259" s="35"/>
      <c r="AF259" s="35"/>
      <c r="AG259" s="35"/>
      <c r="AH259" s="35"/>
      <c r="AI259" s="35"/>
      <c r="AJ259" s="35"/>
      <c r="AK259" s="35"/>
      <c r="AL259" s="35"/>
      <c r="AM259" s="35"/>
      <c r="AN259" s="35"/>
      <c r="AO259" s="35"/>
      <c r="AP259" s="35"/>
      <c r="AQ259" s="35"/>
      <c r="AR259" s="35"/>
      <c r="AS259" s="35"/>
      <c r="AT259" s="35"/>
      <c r="AU259" s="35"/>
      <c r="AV259" s="35"/>
      <c r="AW259" s="35"/>
      <c r="AX259" s="35"/>
      <c r="AY259" s="35"/>
      <c r="AZ259" s="35"/>
      <c r="BA259" s="35"/>
      <c r="BB259" s="35"/>
      <c r="BC259" s="35"/>
      <c r="BD259" s="35"/>
      <c r="BE259" s="35"/>
      <c r="BF259" s="35"/>
      <c r="BG259" s="35"/>
      <c r="BH259" s="35"/>
      <c r="BI259" s="35"/>
      <c r="BJ259" s="35"/>
      <c r="BK259" s="35"/>
      <c r="BL259" s="35"/>
    </row>
    <row r="260" spans="1:64" ht="14">
      <c r="A260" s="36"/>
      <c r="B260" s="37"/>
      <c r="C260" s="38">
        <f t="shared" si="24"/>
        <v>0</v>
      </c>
      <c r="D260" s="39"/>
      <c r="E260" s="39"/>
      <c r="F260" s="39"/>
      <c r="G260" s="39"/>
      <c r="H260" s="40"/>
      <c r="I260" s="41"/>
      <c r="J260" s="39"/>
      <c r="K260" s="41"/>
      <c r="L260" s="41"/>
      <c r="M260" s="42" t="str">
        <f t="shared" si="25"/>
        <v/>
      </c>
      <c r="N260" s="40" t="str">
        <f t="shared" si="26"/>
        <v/>
      </c>
      <c r="O260" s="40" t="str">
        <f t="shared" si="27"/>
        <v/>
      </c>
      <c r="P260" s="43" t="str">
        <f t="shared" si="28"/>
        <v/>
      </c>
      <c r="Q260" s="44">
        <f t="shared" si="29"/>
        <v>0</v>
      </c>
      <c r="R260" s="44">
        <f t="shared" si="30"/>
        <v>0</v>
      </c>
      <c r="S260" s="43">
        <f t="shared" si="31"/>
        <v>0</v>
      </c>
      <c r="T260" s="39"/>
      <c r="U260" s="35"/>
      <c r="V260" s="35"/>
      <c r="W260" s="35"/>
      <c r="X260" s="35"/>
      <c r="Y260" s="35"/>
      <c r="Z260" s="35"/>
      <c r="AA260" s="35"/>
      <c r="AB260" s="35"/>
      <c r="AC260" s="35"/>
      <c r="AD260" s="35"/>
      <c r="AE260" s="35"/>
      <c r="AF260" s="35"/>
      <c r="AG260" s="35"/>
      <c r="AH260" s="35"/>
      <c r="AI260" s="35"/>
      <c r="AJ260" s="35"/>
      <c r="AK260" s="35"/>
      <c r="AL260" s="35"/>
      <c r="AM260" s="35"/>
      <c r="AN260" s="35"/>
      <c r="AO260" s="35"/>
      <c r="AP260" s="35"/>
      <c r="AQ260" s="35"/>
      <c r="AR260" s="35"/>
      <c r="AS260" s="35"/>
      <c r="AT260" s="35"/>
      <c r="AU260" s="35"/>
      <c r="AV260" s="35"/>
      <c r="AW260" s="35"/>
      <c r="AX260" s="35"/>
      <c r="AY260" s="35"/>
      <c r="AZ260" s="35"/>
      <c r="BA260" s="35"/>
      <c r="BB260" s="35"/>
      <c r="BC260" s="35"/>
      <c r="BD260" s="35"/>
      <c r="BE260" s="35"/>
      <c r="BF260" s="35"/>
      <c r="BG260" s="35"/>
      <c r="BH260" s="35"/>
      <c r="BI260" s="35"/>
      <c r="BJ260" s="35"/>
      <c r="BK260" s="35"/>
      <c r="BL260" s="35"/>
    </row>
    <row r="261" spans="1:64" ht="14">
      <c r="A261" s="36"/>
      <c r="B261" s="37"/>
      <c r="C261" s="38">
        <f t="shared" si="24"/>
        <v>0</v>
      </c>
      <c r="D261" s="39"/>
      <c r="E261" s="39"/>
      <c r="F261" s="39"/>
      <c r="G261" s="39"/>
      <c r="H261" s="40"/>
      <c r="I261" s="41"/>
      <c r="J261" s="39"/>
      <c r="K261" s="41"/>
      <c r="L261" s="41"/>
      <c r="M261" s="42" t="str">
        <f t="shared" si="25"/>
        <v/>
      </c>
      <c r="N261" s="40" t="str">
        <f t="shared" si="26"/>
        <v/>
      </c>
      <c r="O261" s="40" t="str">
        <f t="shared" si="27"/>
        <v/>
      </c>
      <c r="P261" s="43" t="str">
        <f t="shared" si="28"/>
        <v/>
      </c>
      <c r="Q261" s="44">
        <f t="shared" si="29"/>
        <v>0</v>
      </c>
      <c r="R261" s="44">
        <f t="shared" si="30"/>
        <v>0</v>
      </c>
      <c r="S261" s="43">
        <f t="shared" si="31"/>
        <v>0</v>
      </c>
      <c r="T261" s="39"/>
      <c r="U261" s="35"/>
      <c r="V261" s="35"/>
      <c r="W261" s="35"/>
      <c r="X261" s="35"/>
      <c r="Y261" s="35"/>
      <c r="Z261" s="35"/>
      <c r="AA261" s="35"/>
      <c r="AB261" s="35"/>
      <c r="AC261" s="35"/>
      <c r="AD261" s="35"/>
      <c r="AE261" s="35"/>
      <c r="AF261" s="35"/>
      <c r="AG261" s="35"/>
      <c r="AH261" s="35"/>
      <c r="AI261" s="35"/>
      <c r="AJ261" s="35"/>
      <c r="AK261" s="35"/>
      <c r="AL261" s="35"/>
      <c r="AM261" s="35"/>
      <c r="AN261" s="35"/>
      <c r="AO261" s="35"/>
      <c r="AP261" s="35"/>
      <c r="AQ261" s="35"/>
      <c r="AR261" s="35"/>
      <c r="AS261" s="35"/>
      <c r="AT261" s="35"/>
      <c r="AU261" s="35"/>
      <c r="AV261" s="35"/>
      <c r="AW261" s="35"/>
      <c r="AX261" s="35"/>
      <c r="AY261" s="35"/>
      <c r="AZ261" s="35"/>
      <c r="BA261" s="35"/>
      <c r="BB261" s="35"/>
      <c r="BC261" s="35"/>
      <c r="BD261" s="35"/>
      <c r="BE261" s="35"/>
      <c r="BF261" s="35"/>
      <c r="BG261" s="35"/>
      <c r="BH261" s="35"/>
      <c r="BI261" s="35"/>
      <c r="BJ261" s="35"/>
      <c r="BK261" s="35"/>
      <c r="BL261" s="35"/>
    </row>
    <row r="262" spans="1:64" ht="14">
      <c r="A262" s="36"/>
      <c r="B262" s="37"/>
      <c r="C262" s="38">
        <f t="shared" si="24"/>
        <v>0</v>
      </c>
      <c r="D262" s="39"/>
      <c r="E262" s="39"/>
      <c r="F262" s="39"/>
      <c r="G262" s="39"/>
      <c r="H262" s="40"/>
      <c r="I262" s="41"/>
      <c r="J262" s="39"/>
      <c r="K262" s="41"/>
      <c r="L262" s="41"/>
      <c r="M262" s="42" t="str">
        <f t="shared" si="25"/>
        <v/>
      </c>
      <c r="N262" s="40" t="str">
        <f t="shared" si="26"/>
        <v/>
      </c>
      <c r="O262" s="40" t="str">
        <f t="shared" si="27"/>
        <v/>
      </c>
      <c r="P262" s="43" t="str">
        <f t="shared" si="28"/>
        <v/>
      </c>
      <c r="Q262" s="44">
        <f t="shared" si="29"/>
        <v>0</v>
      </c>
      <c r="R262" s="44">
        <f t="shared" si="30"/>
        <v>0</v>
      </c>
      <c r="S262" s="43">
        <f t="shared" si="31"/>
        <v>0</v>
      </c>
      <c r="T262" s="39"/>
      <c r="U262" s="35"/>
      <c r="V262" s="35"/>
      <c r="W262" s="35"/>
      <c r="X262" s="35"/>
      <c r="Y262" s="35"/>
      <c r="Z262" s="35"/>
      <c r="AA262" s="35"/>
      <c r="AB262" s="35"/>
      <c r="AC262" s="35"/>
      <c r="AD262" s="35"/>
      <c r="AE262" s="35"/>
      <c r="AF262" s="35"/>
      <c r="AG262" s="35"/>
      <c r="AH262" s="35"/>
      <c r="AI262" s="35"/>
      <c r="AJ262" s="35"/>
      <c r="AK262" s="35"/>
      <c r="AL262" s="35"/>
      <c r="AM262" s="35"/>
      <c r="AN262" s="35"/>
      <c r="AO262" s="35"/>
      <c r="AP262" s="35"/>
      <c r="AQ262" s="35"/>
      <c r="AR262" s="35"/>
      <c r="AS262" s="35"/>
      <c r="AT262" s="35"/>
      <c r="AU262" s="35"/>
      <c r="AV262" s="35"/>
      <c r="AW262" s="35"/>
      <c r="AX262" s="35"/>
      <c r="AY262" s="35"/>
      <c r="AZ262" s="35"/>
      <c r="BA262" s="35"/>
      <c r="BB262" s="35"/>
      <c r="BC262" s="35"/>
      <c r="BD262" s="35"/>
      <c r="BE262" s="35"/>
      <c r="BF262" s="35"/>
      <c r="BG262" s="35"/>
      <c r="BH262" s="35"/>
      <c r="BI262" s="35"/>
      <c r="BJ262" s="35"/>
      <c r="BK262" s="35"/>
      <c r="BL262" s="35"/>
    </row>
    <row r="263" spans="1:64" ht="14">
      <c r="A263" s="36"/>
      <c r="B263" s="37"/>
      <c r="C263" s="38">
        <f t="shared" si="24"/>
        <v>0</v>
      </c>
      <c r="D263" s="39"/>
      <c r="E263" s="39"/>
      <c r="F263" s="39"/>
      <c r="G263" s="39"/>
      <c r="H263" s="40"/>
      <c r="I263" s="41"/>
      <c r="J263" s="39"/>
      <c r="K263" s="41"/>
      <c r="L263" s="41"/>
      <c r="M263" s="42" t="str">
        <f t="shared" si="25"/>
        <v/>
      </c>
      <c r="N263" s="40" t="str">
        <f t="shared" si="26"/>
        <v/>
      </c>
      <c r="O263" s="40" t="str">
        <f t="shared" si="27"/>
        <v/>
      </c>
      <c r="P263" s="43" t="str">
        <f t="shared" si="28"/>
        <v/>
      </c>
      <c r="Q263" s="44">
        <f t="shared" si="29"/>
        <v>0</v>
      </c>
      <c r="R263" s="44">
        <f t="shared" si="30"/>
        <v>0</v>
      </c>
      <c r="S263" s="43">
        <f t="shared" si="31"/>
        <v>0</v>
      </c>
      <c r="T263" s="39"/>
      <c r="U263" s="35"/>
      <c r="V263" s="35"/>
      <c r="W263" s="35"/>
      <c r="X263" s="35"/>
      <c r="Y263" s="35"/>
      <c r="Z263" s="35"/>
      <c r="AA263" s="35"/>
      <c r="AB263" s="35"/>
      <c r="AC263" s="35"/>
      <c r="AD263" s="35"/>
      <c r="AE263" s="35"/>
      <c r="AF263" s="35"/>
      <c r="AG263" s="35"/>
      <c r="AH263" s="35"/>
      <c r="AI263" s="35"/>
      <c r="AJ263" s="35"/>
      <c r="AK263" s="35"/>
      <c r="AL263" s="35"/>
      <c r="AM263" s="35"/>
      <c r="AN263" s="35"/>
      <c r="AO263" s="35"/>
      <c r="AP263" s="35"/>
      <c r="AQ263" s="35"/>
      <c r="AR263" s="35"/>
      <c r="AS263" s="35"/>
      <c r="AT263" s="35"/>
      <c r="AU263" s="35"/>
      <c r="AV263" s="35"/>
      <c r="AW263" s="35"/>
      <c r="AX263" s="35"/>
      <c r="AY263" s="35"/>
      <c r="AZ263" s="35"/>
      <c r="BA263" s="35"/>
      <c r="BB263" s="35"/>
      <c r="BC263" s="35"/>
      <c r="BD263" s="35"/>
      <c r="BE263" s="35"/>
      <c r="BF263" s="35"/>
      <c r="BG263" s="35"/>
      <c r="BH263" s="35"/>
      <c r="BI263" s="35"/>
      <c r="BJ263" s="35"/>
      <c r="BK263" s="35"/>
      <c r="BL263" s="35"/>
    </row>
    <row r="264" spans="1:64" ht="14">
      <c r="A264" s="36"/>
      <c r="B264" s="37"/>
      <c r="C264" s="38">
        <f t="shared" si="24"/>
        <v>0</v>
      </c>
      <c r="D264" s="39"/>
      <c r="E264" s="39"/>
      <c r="F264" s="39"/>
      <c r="G264" s="39"/>
      <c r="H264" s="40"/>
      <c r="I264" s="41"/>
      <c r="J264" s="39"/>
      <c r="K264" s="41"/>
      <c r="L264" s="41"/>
      <c r="M264" s="42" t="str">
        <f t="shared" si="25"/>
        <v/>
      </c>
      <c r="N264" s="40" t="str">
        <f t="shared" si="26"/>
        <v/>
      </c>
      <c r="O264" s="40" t="str">
        <f t="shared" si="27"/>
        <v/>
      </c>
      <c r="P264" s="43" t="str">
        <f t="shared" si="28"/>
        <v/>
      </c>
      <c r="Q264" s="44">
        <f t="shared" si="29"/>
        <v>0</v>
      </c>
      <c r="R264" s="44">
        <f t="shared" si="30"/>
        <v>0</v>
      </c>
      <c r="S264" s="43">
        <f t="shared" si="31"/>
        <v>0</v>
      </c>
      <c r="T264" s="39"/>
      <c r="U264" s="35"/>
      <c r="V264" s="35"/>
      <c r="W264" s="35"/>
      <c r="X264" s="35"/>
      <c r="Y264" s="35"/>
      <c r="Z264" s="35"/>
      <c r="AA264" s="35"/>
      <c r="AB264" s="35"/>
      <c r="AC264" s="35"/>
      <c r="AD264" s="35"/>
      <c r="AE264" s="35"/>
      <c r="AF264" s="35"/>
      <c r="AG264" s="35"/>
      <c r="AH264" s="35"/>
      <c r="AI264" s="35"/>
      <c r="AJ264" s="35"/>
      <c r="AK264" s="35"/>
      <c r="AL264" s="35"/>
      <c r="AM264" s="35"/>
      <c r="AN264" s="35"/>
      <c r="AO264" s="35"/>
      <c r="AP264" s="35"/>
      <c r="AQ264" s="35"/>
      <c r="AR264" s="35"/>
      <c r="AS264" s="35"/>
      <c r="AT264" s="35"/>
      <c r="AU264" s="35"/>
      <c r="AV264" s="35"/>
      <c r="AW264" s="35"/>
      <c r="AX264" s="35"/>
      <c r="AY264" s="35"/>
      <c r="AZ264" s="35"/>
      <c r="BA264" s="35"/>
      <c r="BB264" s="35"/>
      <c r="BC264" s="35"/>
      <c r="BD264" s="35"/>
      <c r="BE264" s="35"/>
      <c r="BF264" s="35"/>
      <c r="BG264" s="35"/>
      <c r="BH264" s="35"/>
      <c r="BI264" s="35"/>
      <c r="BJ264" s="35"/>
      <c r="BK264" s="35"/>
      <c r="BL264" s="35"/>
    </row>
    <row r="265" spans="1:64" ht="14">
      <c r="A265" s="36"/>
      <c r="B265" s="37"/>
      <c r="C265" s="38">
        <f t="shared" si="24"/>
        <v>0</v>
      </c>
      <c r="D265" s="39"/>
      <c r="E265" s="39"/>
      <c r="F265" s="39"/>
      <c r="G265" s="39"/>
      <c r="H265" s="40"/>
      <c r="I265" s="41"/>
      <c r="J265" s="39"/>
      <c r="K265" s="41"/>
      <c r="L265" s="41"/>
      <c r="M265" s="42" t="str">
        <f t="shared" si="25"/>
        <v/>
      </c>
      <c r="N265" s="40" t="str">
        <f t="shared" si="26"/>
        <v/>
      </c>
      <c r="O265" s="40" t="str">
        <f t="shared" si="27"/>
        <v/>
      </c>
      <c r="P265" s="43" t="str">
        <f t="shared" si="28"/>
        <v/>
      </c>
      <c r="Q265" s="44">
        <f t="shared" si="29"/>
        <v>0</v>
      </c>
      <c r="R265" s="44">
        <f t="shared" si="30"/>
        <v>0</v>
      </c>
      <c r="S265" s="43">
        <f t="shared" si="31"/>
        <v>0</v>
      </c>
      <c r="T265" s="39"/>
      <c r="U265" s="35"/>
      <c r="V265" s="35"/>
      <c r="W265" s="35"/>
      <c r="X265" s="35"/>
      <c r="Y265" s="35"/>
      <c r="Z265" s="35"/>
      <c r="AA265" s="35"/>
      <c r="AB265" s="35"/>
      <c r="AC265" s="35"/>
      <c r="AD265" s="35"/>
      <c r="AE265" s="35"/>
      <c r="AF265" s="35"/>
      <c r="AG265" s="35"/>
      <c r="AH265" s="35"/>
      <c r="AI265" s="35"/>
      <c r="AJ265" s="35"/>
      <c r="AK265" s="35"/>
      <c r="AL265" s="35"/>
      <c r="AM265" s="35"/>
      <c r="AN265" s="35"/>
      <c r="AO265" s="35"/>
      <c r="AP265" s="35"/>
      <c r="AQ265" s="35"/>
      <c r="AR265" s="35"/>
      <c r="AS265" s="35"/>
      <c r="AT265" s="35"/>
      <c r="AU265" s="35"/>
      <c r="AV265" s="35"/>
      <c r="AW265" s="35"/>
      <c r="AX265" s="35"/>
      <c r="AY265" s="35"/>
      <c r="AZ265" s="35"/>
      <c r="BA265" s="35"/>
      <c r="BB265" s="35"/>
      <c r="BC265" s="35"/>
      <c r="BD265" s="35"/>
      <c r="BE265" s="35"/>
      <c r="BF265" s="35"/>
      <c r="BG265" s="35"/>
      <c r="BH265" s="35"/>
      <c r="BI265" s="35"/>
      <c r="BJ265" s="35"/>
      <c r="BK265" s="35"/>
      <c r="BL265" s="35"/>
    </row>
    <row r="266" spans="1:64" ht="14">
      <c r="A266" s="36"/>
      <c r="B266" s="37"/>
      <c r="C266" s="38">
        <f t="shared" ref="C266:C329" si="32">IF($B266&lt;&gt;"",VLOOKUP($B266,Matriz_INM,2,0),0)</f>
        <v>0</v>
      </c>
      <c r="D266" s="39"/>
      <c r="E266" s="39"/>
      <c r="F266" s="39"/>
      <c r="G266" s="39"/>
      <c r="H266" s="40"/>
      <c r="I266" s="41"/>
      <c r="J266" s="39"/>
      <c r="K266" s="41"/>
      <c r="L266" s="41"/>
      <c r="M266" s="42" t="str">
        <f t="shared" ref="M266:M329" si="33">IFERROR(VLOOKUP($B266,Matriz_INM,3,0),"")</f>
        <v/>
      </c>
      <c r="N266" s="40" t="str">
        <f t="shared" ref="N266:N329" si="34">IF(J266="EE",IF(OR(AND(OR(L266=1,L266=0),K266&gt;0,K266&lt;5),AND(OR(L266=1,L266=0),K266&gt;4,K266&lt;16),AND(L266=2,K266&gt;0,K266&lt;5)),"Simples",IF(OR(AND(OR(L266=1,L266=0),K266&gt;15),AND(L266=2,K266&gt;4,K266&lt;16),AND(L266&gt;2,K266&gt;0,K266&lt;5)),"Médio",IF(OR(AND(L266=2,K266&gt;15),AND(L266&gt;2,K266&gt;4,K266&lt;16),AND(L266&gt;2,K266&gt;15)),"Complexo",""))), IF(OR(J266="CE",J266="SE"),IF(OR(AND(OR(L266=1,L266=0),K266&gt;0,K266&lt;6),AND(OR(L266=1,L266=0),K266&gt;5,K266&lt;20),AND(L266&gt;1,L266&lt;4,K266&gt;0,K266&lt;6)),"Simples",IF(OR(AND(OR(L266=1,L266=0),K266&gt;19),AND(L266&gt;1,L266&lt;4,K266&gt;5,K266&lt;20),AND(L266&gt;3,K266&gt;0,K266&lt;6)),"Médio",IF(OR(AND(L266&gt;1,L266&lt;4,K266&gt;19),AND(L266&gt;3,K266&gt;5,K266&lt;20),AND(L266&gt;3,K266&gt;19)),"Complexo",""))),""))</f>
        <v/>
      </c>
      <c r="O266" s="40" t="str">
        <f t="shared" ref="O266:O329" si="35">IF(J266="ALI",IF(OR(AND(OR(L266=1,L266=0),K266&gt;0,K266&lt;20),AND(OR(L266=1,L266=0),K266&gt;19,K266&lt;51),AND(L266&gt;1,L266&lt;6,K266&gt;0,K266&lt;20)),"Simples",IF(OR(AND(OR(L266=1,L266=0),K266&gt;50),AND(L266&gt;1,L266&lt;6,K266&gt;19,K266&lt;51),AND(L266&gt;5,K266&gt;0,K266&lt;20)),"Médio",IF(OR(AND(L266&gt;1,L266&lt;6,K266&gt;50),AND(L266&gt;5,K266&gt;19,K266&lt;51),AND(L266&gt;5,K266&gt;50)),"Complexo",""))), IF(J266="AIE",IF(OR(AND(OR(L266=1, L266=0),K266&gt;0,K266&lt;20),AND(OR(L266=1, L266=0),K266&gt;19,K266&lt;51),AND(L266&gt;1,L266&lt;6,K266&gt;0,K266&lt;20)),"Simples",IF(OR(AND(OR(L266=1, L266=0),K266&gt;50),AND(L266&gt;1,L266&lt;6,K266&gt;19,K266&lt;51),AND(L266&gt;5,K266&gt;0,K266&lt;20)),"Médio",IF(OR(AND(L266&gt;1,L266&lt;6,K266&gt;50),AND(L266&gt;5,K266&gt;19,K266&lt;51),AND(L266&gt;5,K266&gt;50)),"Complexo",""))),""))</f>
        <v/>
      </c>
      <c r="P266" s="43" t="str">
        <f t="shared" ref="P266:P329" si="36">IF(N266="",O266,IF(O266="",N266,""))</f>
        <v/>
      </c>
      <c r="Q266" s="44">
        <f t="shared" ref="Q266:Q329" si="37">IF(AND(OR(J266="EE",J266="CE"),P266="Simples"),3, IF(AND(OR(J266="EE",J266="CE"),P266="Médio"),4, IF(AND(OR(J266="EE",J266="CE"),P266="Complexo"),6, IF(AND(J266="SE",P266="Simples"),4, IF(AND(J266="SE",P266="Médio"),5, IF(AND(J266="SE",P266="Complexo"),7,0))))))</f>
        <v>0</v>
      </c>
      <c r="R266" s="44">
        <f t="shared" ref="R266:R329" si="38">IF(AND(J266="ALI",O266="Simples"),7, IF(AND(J266="ALI",O266="Médio"),10, IF(AND(J266="ALI",O266="Complexo"),15, IF(AND(J266="AIE",O266="Simples"),5, IF(AND(J266="AIE",O266="Médio"),7, IF(AND(J266="AIE",O266="Complexo"),10,0))))))</f>
        <v>0</v>
      </c>
      <c r="S266" s="43">
        <f t="shared" ref="S266:S329" si="39">IF($M266="%",($Q266+$R266)*$C266,$C266*$I266)</f>
        <v>0</v>
      </c>
      <c r="T266" s="39"/>
      <c r="U266" s="35"/>
      <c r="V266" s="35"/>
      <c r="W266" s="35"/>
      <c r="X266" s="35"/>
      <c r="Y266" s="35"/>
      <c r="Z266" s="35"/>
      <c r="AA266" s="35"/>
      <c r="AB266" s="35"/>
      <c r="AC266" s="35"/>
      <c r="AD266" s="35"/>
      <c r="AE266" s="35"/>
      <c r="AF266" s="35"/>
      <c r="AG266" s="35"/>
      <c r="AH266" s="35"/>
      <c r="AI266" s="35"/>
      <c r="AJ266" s="35"/>
      <c r="AK266" s="35"/>
      <c r="AL266" s="35"/>
      <c r="AM266" s="35"/>
      <c r="AN266" s="35"/>
      <c r="AO266" s="35"/>
      <c r="AP266" s="35"/>
      <c r="AQ266" s="35"/>
      <c r="AR266" s="35"/>
      <c r="AS266" s="35"/>
      <c r="AT266" s="35"/>
      <c r="AU266" s="35"/>
      <c r="AV266" s="35"/>
      <c r="AW266" s="35"/>
      <c r="AX266" s="35"/>
      <c r="AY266" s="35"/>
      <c r="AZ266" s="35"/>
      <c r="BA266" s="35"/>
      <c r="BB266" s="35"/>
      <c r="BC266" s="35"/>
      <c r="BD266" s="35"/>
      <c r="BE266" s="35"/>
      <c r="BF266" s="35"/>
      <c r="BG266" s="35"/>
      <c r="BH266" s="35"/>
      <c r="BI266" s="35"/>
      <c r="BJ266" s="35"/>
      <c r="BK266" s="35"/>
      <c r="BL266" s="35"/>
    </row>
    <row r="267" spans="1:64" ht="14">
      <c r="A267" s="36"/>
      <c r="B267" s="37"/>
      <c r="C267" s="38">
        <f t="shared" si="32"/>
        <v>0</v>
      </c>
      <c r="D267" s="39"/>
      <c r="E267" s="39"/>
      <c r="F267" s="39"/>
      <c r="G267" s="39"/>
      <c r="H267" s="40"/>
      <c r="I267" s="41"/>
      <c r="J267" s="39"/>
      <c r="K267" s="41"/>
      <c r="L267" s="41"/>
      <c r="M267" s="42" t="str">
        <f t="shared" si="33"/>
        <v/>
      </c>
      <c r="N267" s="40" t="str">
        <f t="shared" si="34"/>
        <v/>
      </c>
      <c r="O267" s="40" t="str">
        <f t="shared" si="35"/>
        <v/>
      </c>
      <c r="P267" s="43" t="str">
        <f t="shared" si="36"/>
        <v/>
      </c>
      <c r="Q267" s="44">
        <f t="shared" si="37"/>
        <v>0</v>
      </c>
      <c r="R267" s="44">
        <f t="shared" si="38"/>
        <v>0</v>
      </c>
      <c r="S267" s="43">
        <f t="shared" si="39"/>
        <v>0</v>
      </c>
      <c r="T267" s="39"/>
      <c r="U267" s="35"/>
      <c r="V267" s="35"/>
      <c r="W267" s="35"/>
      <c r="X267" s="35"/>
      <c r="Y267" s="35"/>
      <c r="Z267" s="35"/>
      <c r="AA267" s="35"/>
      <c r="AB267" s="35"/>
      <c r="AC267" s="35"/>
      <c r="AD267" s="35"/>
      <c r="AE267" s="35"/>
      <c r="AF267" s="35"/>
      <c r="AG267" s="35"/>
      <c r="AH267" s="35"/>
      <c r="AI267" s="35"/>
      <c r="AJ267" s="35"/>
      <c r="AK267" s="35"/>
      <c r="AL267" s="35"/>
      <c r="AM267" s="35"/>
      <c r="AN267" s="35"/>
      <c r="AO267" s="35"/>
      <c r="AP267" s="35"/>
      <c r="AQ267" s="35"/>
      <c r="AR267" s="35"/>
      <c r="AS267" s="35"/>
      <c r="AT267" s="35"/>
      <c r="AU267" s="35"/>
      <c r="AV267" s="35"/>
      <c r="AW267" s="35"/>
      <c r="AX267" s="35"/>
      <c r="AY267" s="35"/>
      <c r="AZ267" s="35"/>
      <c r="BA267" s="35"/>
      <c r="BB267" s="35"/>
      <c r="BC267" s="35"/>
      <c r="BD267" s="35"/>
      <c r="BE267" s="35"/>
      <c r="BF267" s="35"/>
      <c r="BG267" s="35"/>
      <c r="BH267" s="35"/>
      <c r="BI267" s="35"/>
      <c r="BJ267" s="35"/>
      <c r="BK267" s="35"/>
      <c r="BL267" s="35"/>
    </row>
    <row r="268" spans="1:64" ht="14">
      <c r="A268" s="36"/>
      <c r="B268" s="37"/>
      <c r="C268" s="38">
        <f t="shared" si="32"/>
        <v>0</v>
      </c>
      <c r="D268" s="39"/>
      <c r="E268" s="39"/>
      <c r="F268" s="39"/>
      <c r="G268" s="39"/>
      <c r="H268" s="40"/>
      <c r="I268" s="41"/>
      <c r="J268" s="39"/>
      <c r="K268" s="41"/>
      <c r="L268" s="41"/>
      <c r="M268" s="42" t="str">
        <f t="shared" si="33"/>
        <v/>
      </c>
      <c r="N268" s="40" t="str">
        <f t="shared" si="34"/>
        <v/>
      </c>
      <c r="O268" s="40" t="str">
        <f t="shared" si="35"/>
        <v/>
      </c>
      <c r="P268" s="43" t="str">
        <f t="shared" si="36"/>
        <v/>
      </c>
      <c r="Q268" s="44">
        <f t="shared" si="37"/>
        <v>0</v>
      </c>
      <c r="R268" s="44">
        <f t="shared" si="38"/>
        <v>0</v>
      </c>
      <c r="S268" s="43">
        <f t="shared" si="39"/>
        <v>0</v>
      </c>
      <c r="T268" s="39"/>
      <c r="U268" s="35"/>
      <c r="V268" s="35"/>
      <c r="W268" s="35"/>
      <c r="X268" s="35"/>
      <c r="Y268" s="35"/>
      <c r="Z268" s="35"/>
      <c r="AA268" s="35"/>
      <c r="AB268" s="35"/>
      <c r="AC268" s="35"/>
      <c r="AD268" s="35"/>
      <c r="AE268" s="35"/>
      <c r="AF268" s="35"/>
      <c r="AG268" s="35"/>
      <c r="AH268" s="35"/>
      <c r="AI268" s="35"/>
      <c r="AJ268" s="35"/>
      <c r="AK268" s="35"/>
      <c r="AL268" s="35"/>
      <c r="AM268" s="35"/>
      <c r="AN268" s="35"/>
      <c r="AO268" s="35"/>
      <c r="AP268" s="35"/>
      <c r="AQ268" s="35"/>
      <c r="AR268" s="35"/>
      <c r="AS268" s="35"/>
      <c r="AT268" s="35"/>
      <c r="AU268" s="35"/>
      <c r="AV268" s="35"/>
      <c r="AW268" s="35"/>
      <c r="AX268" s="35"/>
      <c r="AY268" s="35"/>
      <c r="AZ268" s="35"/>
      <c r="BA268" s="35"/>
      <c r="BB268" s="35"/>
      <c r="BC268" s="35"/>
      <c r="BD268" s="35"/>
      <c r="BE268" s="35"/>
      <c r="BF268" s="35"/>
      <c r="BG268" s="35"/>
      <c r="BH268" s="35"/>
      <c r="BI268" s="35"/>
      <c r="BJ268" s="35"/>
      <c r="BK268" s="35"/>
      <c r="BL268" s="35"/>
    </row>
    <row r="269" spans="1:64" ht="14">
      <c r="A269" s="36"/>
      <c r="B269" s="37"/>
      <c r="C269" s="38">
        <f t="shared" si="32"/>
        <v>0</v>
      </c>
      <c r="D269" s="39"/>
      <c r="E269" s="39"/>
      <c r="F269" s="39"/>
      <c r="G269" s="39"/>
      <c r="H269" s="40"/>
      <c r="I269" s="41"/>
      <c r="J269" s="39"/>
      <c r="K269" s="41"/>
      <c r="L269" s="41"/>
      <c r="M269" s="42" t="str">
        <f t="shared" si="33"/>
        <v/>
      </c>
      <c r="N269" s="40" t="str">
        <f t="shared" si="34"/>
        <v/>
      </c>
      <c r="O269" s="40" t="str">
        <f t="shared" si="35"/>
        <v/>
      </c>
      <c r="P269" s="43" t="str">
        <f t="shared" si="36"/>
        <v/>
      </c>
      <c r="Q269" s="44">
        <f t="shared" si="37"/>
        <v>0</v>
      </c>
      <c r="R269" s="44">
        <f t="shared" si="38"/>
        <v>0</v>
      </c>
      <c r="S269" s="43">
        <f t="shared" si="39"/>
        <v>0</v>
      </c>
      <c r="T269" s="39"/>
      <c r="U269" s="35"/>
      <c r="V269" s="35"/>
      <c r="W269" s="35"/>
      <c r="X269" s="35"/>
      <c r="Y269" s="35"/>
      <c r="Z269" s="35"/>
      <c r="AA269" s="35"/>
      <c r="AB269" s="35"/>
      <c r="AC269" s="35"/>
      <c r="AD269" s="35"/>
      <c r="AE269" s="35"/>
      <c r="AF269" s="35"/>
      <c r="AG269" s="35"/>
      <c r="AH269" s="35"/>
      <c r="AI269" s="35"/>
      <c r="AJ269" s="35"/>
      <c r="AK269" s="35"/>
      <c r="AL269" s="35"/>
      <c r="AM269" s="35"/>
      <c r="AN269" s="35"/>
      <c r="AO269" s="35"/>
      <c r="AP269" s="35"/>
      <c r="AQ269" s="35"/>
      <c r="AR269" s="35"/>
      <c r="AS269" s="35"/>
      <c r="AT269" s="35"/>
      <c r="AU269" s="35"/>
      <c r="AV269" s="35"/>
      <c r="AW269" s="35"/>
      <c r="AX269" s="35"/>
      <c r="AY269" s="35"/>
      <c r="AZ269" s="35"/>
      <c r="BA269" s="35"/>
      <c r="BB269" s="35"/>
      <c r="BC269" s="35"/>
      <c r="BD269" s="35"/>
      <c r="BE269" s="35"/>
      <c r="BF269" s="35"/>
      <c r="BG269" s="35"/>
      <c r="BH269" s="35"/>
      <c r="BI269" s="35"/>
      <c r="BJ269" s="35"/>
      <c r="BK269" s="35"/>
      <c r="BL269" s="35"/>
    </row>
    <row r="270" spans="1:64" ht="14">
      <c r="A270" s="36"/>
      <c r="B270" s="37"/>
      <c r="C270" s="38">
        <f t="shared" si="32"/>
        <v>0</v>
      </c>
      <c r="D270" s="39"/>
      <c r="E270" s="39"/>
      <c r="F270" s="39"/>
      <c r="G270" s="39"/>
      <c r="H270" s="40"/>
      <c r="I270" s="41"/>
      <c r="J270" s="39"/>
      <c r="K270" s="41"/>
      <c r="L270" s="41"/>
      <c r="M270" s="42" t="str">
        <f t="shared" si="33"/>
        <v/>
      </c>
      <c r="N270" s="40" t="str">
        <f t="shared" si="34"/>
        <v/>
      </c>
      <c r="O270" s="40" t="str">
        <f t="shared" si="35"/>
        <v/>
      </c>
      <c r="P270" s="43" t="str">
        <f t="shared" si="36"/>
        <v/>
      </c>
      <c r="Q270" s="44">
        <f t="shared" si="37"/>
        <v>0</v>
      </c>
      <c r="R270" s="44">
        <f t="shared" si="38"/>
        <v>0</v>
      </c>
      <c r="S270" s="43">
        <f t="shared" si="39"/>
        <v>0</v>
      </c>
      <c r="T270" s="39"/>
      <c r="U270" s="35"/>
      <c r="V270" s="35"/>
      <c r="W270" s="35"/>
      <c r="X270" s="35"/>
      <c r="Y270" s="35"/>
      <c r="Z270" s="35"/>
      <c r="AA270" s="35"/>
      <c r="AB270" s="35"/>
      <c r="AC270" s="35"/>
      <c r="AD270" s="35"/>
      <c r="AE270" s="35"/>
      <c r="AF270" s="35"/>
      <c r="AG270" s="35"/>
      <c r="AH270" s="35"/>
      <c r="AI270" s="35"/>
      <c r="AJ270" s="35"/>
      <c r="AK270" s="35"/>
      <c r="AL270" s="35"/>
      <c r="AM270" s="35"/>
      <c r="AN270" s="35"/>
      <c r="AO270" s="35"/>
      <c r="AP270" s="35"/>
      <c r="AQ270" s="35"/>
      <c r="AR270" s="35"/>
      <c r="AS270" s="35"/>
      <c r="AT270" s="35"/>
      <c r="AU270" s="35"/>
      <c r="AV270" s="35"/>
      <c r="AW270" s="35"/>
      <c r="AX270" s="35"/>
      <c r="AY270" s="35"/>
      <c r="AZ270" s="35"/>
      <c r="BA270" s="35"/>
      <c r="BB270" s="35"/>
      <c r="BC270" s="35"/>
      <c r="BD270" s="35"/>
      <c r="BE270" s="35"/>
      <c r="BF270" s="35"/>
      <c r="BG270" s="35"/>
      <c r="BH270" s="35"/>
      <c r="BI270" s="35"/>
      <c r="BJ270" s="35"/>
      <c r="BK270" s="35"/>
      <c r="BL270" s="35"/>
    </row>
    <row r="271" spans="1:64" ht="14">
      <c r="A271" s="36"/>
      <c r="B271" s="37"/>
      <c r="C271" s="38">
        <f t="shared" si="32"/>
        <v>0</v>
      </c>
      <c r="D271" s="39"/>
      <c r="E271" s="39"/>
      <c r="F271" s="39"/>
      <c r="G271" s="39"/>
      <c r="H271" s="40"/>
      <c r="I271" s="41"/>
      <c r="J271" s="39"/>
      <c r="K271" s="41"/>
      <c r="L271" s="41"/>
      <c r="M271" s="42" t="str">
        <f t="shared" si="33"/>
        <v/>
      </c>
      <c r="N271" s="40" t="str">
        <f t="shared" si="34"/>
        <v/>
      </c>
      <c r="O271" s="40" t="str">
        <f t="shared" si="35"/>
        <v/>
      </c>
      <c r="P271" s="43" t="str">
        <f t="shared" si="36"/>
        <v/>
      </c>
      <c r="Q271" s="44">
        <f t="shared" si="37"/>
        <v>0</v>
      </c>
      <c r="R271" s="44">
        <f t="shared" si="38"/>
        <v>0</v>
      </c>
      <c r="S271" s="43">
        <f t="shared" si="39"/>
        <v>0</v>
      </c>
      <c r="T271" s="39"/>
      <c r="U271" s="35"/>
      <c r="V271" s="35"/>
      <c r="W271" s="35"/>
      <c r="X271" s="35"/>
      <c r="Y271" s="35"/>
      <c r="Z271" s="35"/>
      <c r="AA271" s="35"/>
      <c r="AB271" s="35"/>
      <c r="AC271" s="35"/>
      <c r="AD271" s="35"/>
      <c r="AE271" s="35"/>
      <c r="AF271" s="35"/>
      <c r="AG271" s="35"/>
      <c r="AH271" s="35"/>
      <c r="AI271" s="35"/>
      <c r="AJ271" s="35"/>
      <c r="AK271" s="35"/>
      <c r="AL271" s="35"/>
      <c r="AM271" s="35"/>
      <c r="AN271" s="35"/>
      <c r="AO271" s="35"/>
      <c r="AP271" s="35"/>
      <c r="AQ271" s="35"/>
      <c r="AR271" s="35"/>
      <c r="AS271" s="35"/>
      <c r="AT271" s="35"/>
      <c r="AU271" s="35"/>
      <c r="AV271" s="35"/>
      <c r="AW271" s="35"/>
      <c r="AX271" s="35"/>
      <c r="AY271" s="35"/>
      <c r="AZ271" s="35"/>
      <c r="BA271" s="35"/>
      <c r="BB271" s="35"/>
      <c r="BC271" s="35"/>
      <c r="BD271" s="35"/>
      <c r="BE271" s="35"/>
      <c r="BF271" s="35"/>
      <c r="BG271" s="35"/>
      <c r="BH271" s="35"/>
      <c r="BI271" s="35"/>
      <c r="BJ271" s="35"/>
      <c r="BK271" s="35"/>
      <c r="BL271" s="35"/>
    </row>
    <row r="272" spans="1:64" ht="14">
      <c r="A272" s="36"/>
      <c r="B272" s="37"/>
      <c r="C272" s="38">
        <f t="shared" si="32"/>
        <v>0</v>
      </c>
      <c r="D272" s="39"/>
      <c r="E272" s="39"/>
      <c r="F272" s="39"/>
      <c r="G272" s="39"/>
      <c r="H272" s="40"/>
      <c r="I272" s="41"/>
      <c r="J272" s="39"/>
      <c r="K272" s="41"/>
      <c r="L272" s="41"/>
      <c r="M272" s="42" t="str">
        <f t="shared" si="33"/>
        <v/>
      </c>
      <c r="N272" s="40" t="str">
        <f t="shared" si="34"/>
        <v/>
      </c>
      <c r="O272" s="40" t="str">
        <f t="shared" si="35"/>
        <v/>
      </c>
      <c r="P272" s="43" t="str">
        <f t="shared" si="36"/>
        <v/>
      </c>
      <c r="Q272" s="44">
        <f t="shared" si="37"/>
        <v>0</v>
      </c>
      <c r="R272" s="44">
        <f t="shared" si="38"/>
        <v>0</v>
      </c>
      <c r="S272" s="43">
        <f t="shared" si="39"/>
        <v>0</v>
      </c>
      <c r="T272" s="39"/>
      <c r="U272" s="35"/>
      <c r="V272" s="35"/>
      <c r="W272" s="35"/>
      <c r="X272" s="35"/>
      <c r="Y272" s="35"/>
      <c r="Z272" s="35"/>
      <c r="AA272" s="35"/>
      <c r="AB272" s="35"/>
      <c r="AC272" s="35"/>
      <c r="AD272" s="35"/>
      <c r="AE272" s="35"/>
      <c r="AF272" s="35"/>
      <c r="AG272" s="35"/>
      <c r="AH272" s="35"/>
      <c r="AI272" s="35"/>
      <c r="AJ272" s="35"/>
      <c r="AK272" s="35"/>
      <c r="AL272" s="35"/>
      <c r="AM272" s="35"/>
      <c r="AN272" s="35"/>
      <c r="AO272" s="35"/>
      <c r="AP272" s="35"/>
      <c r="AQ272" s="35"/>
      <c r="AR272" s="35"/>
      <c r="AS272" s="35"/>
      <c r="AT272" s="35"/>
      <c r="AU272" s="35"/>
      <c r="AV272" s="35"/>
      <c r="AW272" s="35"/>
      <c r="AX272" s="35"/>
      <c r="AY272" s="35"/>
      <c r="AZ272" s="35"/>
      <c r="BA272" s="35"/>
      <c r="BB272" s="35"/>
      <c r="BC272" s="35"/>
      <c r="BD272" s="35"/>
      <c r="BE272" s="35"/>
      <c r="BF272" s="35"/>
      <c r="BG272" s="35"/>
      <c r="BH272" s="35"/>
      <c r="BI272" s="35"/>
      <c r="BJ272" s="35"/>
      <c r="BK272" s="35"/>
      <c r="BL272" s="35"/>
    </row>
    <row r="273" spans="1:64" ht="14">
      <c r="A273" s="36"/>
      <c r="B273" s="37"/>
      <c r="C273" s="38">
        <f t="shared" si="32"/>
        <v>0</v>
      </c>
      <c r="D273" s="39"/>
      <c r="E273" s="39"/>
      <c r="F273" s="39"/>
      <c r="G273" s="39"/>
      <c r="H273" s="40"/>
      <c r="I273" s="41"/>
      <c r="J273" s="39"/>
      <c r="K273" s="41"/>
      <c r="L273" s="41"/>
      <c r="M273" s="42" t="str">
        <f t="shared" si="33"/>
        <v/>
      </c>
      <c r="N273" s="40" t="str">
        <f t="shared" si="34"/>
        <v/>
      </c>
      <c r="O273" s="40" t="str">
        <f t="shared" si="35"/>
        <v/>
      </c>
      <c r="P273" s="43" t="str">
        <f t="shared" si="36"/>
        <v/>
      </c>
      <c r="Q273" s="44">
        <f t="shared" si="37"/>
        <v>0</v>
      </c>
      <c r="R273" s="44">
        <f t="shared" si="38"/>
        <v>0</v>
      </c>
      <c r="S273" s="43">
        <f t="shared" si="39"/>
        <v>0</v>
      </c>
      <c r="T273" s="39"/>
      <c r="U273" s="35"/>
      <c r="V273" s="35"/>
      <c r="W273" s="35"/>
      <c r="X273" s="35"/>
      <c r="Y273" s="35"/>
      <c r="Z273" s="35"/>
      <c r="AA273" s="35"/>
      <c r="AB273" s="35"/>
      <c r="AC273" s="35"/>
      <c r="AD273" s="35"/>
      <c r="AE273" s="35"/>
      <c r="AF273" s="35"/>
      <c r="AG273" s="35"/>
      <c r="AH273" s="35"/>
      <c r="AI273" s="35"/>
      <c r="AJ273" s="35"/>
      <c r="AK273" s="35"/>
      <c r="AL273" s="35"/>
      <c r="AM273" s="35"/>
      <c r="AN273" s="35"/>
      <c r="AO273" s="35"/>
      <c r="AP273" s="35"/>
      <c r="AQ273" s="35"/>
      <c r="AR273" s="35"/>
      <c r="AS273" s="35"/>
      <c r="AT273" s="35"/>
      <c r="AU273" s="35"/>
      <c r="AV273" s="35"/>
      <c r="AW273" s="35"/>
      <c r="AX273" s="35"/>
      <c r="AY273" s="35"/>
      <c r="AZ273" s="35"/>
      <c r="BA273" s="35"/>
      <c r="BB273" s="35"/>
      <c r="BC273" s="35"/>
      <c r="BD273" s="35"/>
      <c r="BE273" s="35"/>
      <c r="BF273" s="35"/>
      <c r="BG273" s="35"/>
      <c r="BH273" s="35"/>
      <c r="BI273" s="35"/>
      <c r="BJ273" s="35"/>
      <c r="BK273" s="35"/>
      <c r="BL273" s="35"/>
    </row>
    <row r="274" spans="1:64" ht="14">
      <c r="A274" s="36"/>
      <c r="B274" s="37"/>
      <c r="C274" s="38">
        <f t="shared" si="32"/>
        <v>0</v>
      </c>
      <c r="D274" s="39"/>
      <c r="E274" s="39"/>
      <c r="F274" s="39"/>
      <c r="G274" s="39"/>
      <c r="H274" s="40"/>
      <c r="I274" s="41"/>
      <c r="J274" s="39"/>
      <c r="K274" s="41"/>
      <c r="L274" s="41"/>
      <c r="M274" s="42" t="str">
        <f t="shared" si="33"/>
        <v/>
      </c>
      <c r="N274" s="40" t="str">
        <f t="shared" si="34"/>
        <v/>
      </c>
      <c r="O274" s="40" t="str">
        <f t="shared" si="35"/>
        <v/>
      </c>
      <c r="P274" s="43" t="str">
        <f t="shared" si="36"/>
        <v/>
      </c>
      <c r="Q274" s="44">
        <f t="shared" si="37"/>
        <v>0</v>
      </c>
      <c r="R274" s="44">
        <f t="shared" si="38"/>
        <v>0</v>
      </c>
      <c r="S274" s="43">
        <f t="shared" si="39"/>
        <v>0</v>
      </c>
      <c r="T274" s="39"/>
      <c r="U274" s="35"/>
      <c r="V274" s="35"/>
      <c r="W274" s="35"/>
      <c r="X274" s="35"/>
      <c r="Y274" s="35"/>
      <c r="Z274" s="35"/>
      <c r="AA274" s="35"/>
      <c r="AB274" s="35"/>
      <c r="AC274" s="35"/>
      <c r="AD274" s="35"/>
      <c r="AE274" s="35"/>
      <c r="AF274" s="35"/>
      <c r="AG274" s="35"/>
      <c r="AH274" s="35"/>
      <c r="AI274" s="35"/>
      <c r="AJ274" s="35"/>
      <c r="AK274" s="35"/>
      <c r="AL274" s="35"/>
      <c r="AM274" s="35"/>
      <c r="AN274" s="35"/>
      <c r="AO274" s="35"/>
      <c r="AP274" s="35"/>
      <c r="AQ274" s="35"/>
      <c r="AR274" s="35"/>
      <c r="AS274" s="35"/>
      <c r="AT274" s="35"/>
      <c r="AU274" s="35"/>
      <c r="AV274" s="35"/>
      <c r="AW274" s="35"/>
      <c r="AX274" s="35"/>
      <c r="AY274" s="35"/>
      <c r="AZ274" s="35"/>
      <c r="BA274" s="35"/>
      <c r="BB274" s="35"/>
      <c r="BC274" s="35"/>
      <c r="BD274" s="35"/>
      <c r="BE274" s="35"/>
      <c r="BF274" s="35"/>
      <c r="BG274" s="35"/>
      <c r="BH274" s="35"/>
      <c r="BI274" s="35"/>
      <c r="BJ274" s="35"/>
      <c r="BK274" s="35"/>
      <c r="BL274" s="35"/>
    </row>
    <row r="275" spans="1:64" ht="14">
      <c r="A275" s="36"/>
      <c r="B275" s="37"/>
      <c r="C275" s="38">
        <f t="shared" si="32"/>
        <v>0</v>
      </c>
      <c r="D275" s="39"/>
      <c r="E275" s="39"/>
      <c r="F275" s="39"/>
      <c r="G275" s="39"/>
      <c r="H275" s="40"/>
      <c r="I275" s="41"/>
      <c r="J275" s="39"/>
      <c r="K275" s="41"/>
      <c r="L275" s="41"/>
      <c r="M275" s="42" t="str">
        <f t="shared" si="33"/>
        <v/>
      </c>
      <c r="N275" s="40" t="str">
        <f t="shared" si="34"/>
        <v/>
      </c>
      <c r="O275" s="40" t="str">
        <f t="shared" si="35"/>
        <v/>
      </c>
      <c r="P275" s="43" t="str">
        <f t="shared" si="36"/>
        <v/>
      </c>
      <c r="Q275" s="44">
        <f t="shared" si="37"/>
        <v>0</v>
      </c>
      <c r="R275" s="44">
        <f t="shared" si="38"/>
        <v>0</v>
      </c>
      <c r="S275" s="43">
        <f t="shared" si="39"/>
        <v>0</v>
      </c>
      <c r="T275" s="39"/>
      <c r="U275" s="35"/>
      <c r="V275" s="35"/>
      <c r="W275" s="35"/>
      <c r="X275" s="35"/>
      <c r="Y275" s="35"/>
      <c r="Z275" s="35"/>
      <c r="AA275" s="35"/>
      <c r="AB275" s="35"/>
      <c r="AC275" s="35"/>
      <c r="AD275" s="35"/>
      <c r="AE275" s="35"/>
      <c r="AF275" s="35"/>
      <c r="AG275" s="35"/>
      <c r="AH275" s="35"/>
      <c r="AI275" s="35"/>
      <c r="AJ275" s="35"/>
      <c r="AK275" s="35"/>
      <c r="AL275" s="35"/>
      <c r="AM275" s="35"/>
      <c r="AN275" s="35"/>
      <c r="AO275" s="35"/>
      <c r="AP275" s="35"/>
      <c r="AQ275" s="35"/>
      <c r="AR275" s="35"/>
      <c r="AS275" s="35"/>
      <c r="AT275" s="35"/>
      <c r="AU275" s="35"/>
      <c r="AV275" s="35"/>
      <c r="AW275" s="35"/>
      <c r="AX275" s="35"/>
      <c r="AY275" s="35"/>
      <c r="AZ275" s="35"/>
      <c r="BA275" s="35"/>
      <c r="BB275" s="35"/>
      <c r="BC275" s="35"/>
      <c r="BD275" s="35"/>
      <c r="BE275" s="35"/>
      <c r="BF275" s="35"/>
      <c r="BG275" s="35"/>
      <c r="BH275" s="35"/>
      <c r="BI275" s="35"/>
      <c r="BJ275" s="35"/>
      <c r="BK275" s="35"/>
      <c r="BL275" s="35"/>
    </row>
    <row r="276" spans="1:64" ht="14">
      <c r="A276" s="36"/>
      <c r="B276" s="37"/>
      <c r="C276" s="38">
        <f t="shared" si="32"/>
        <v>0</v>
      </c>
      <c r="D276" s="39"/>
      <c r="E276" s="39"/>
      <c r="F276" s="39"/>
      <c r="G276" s="39"/>
      <c r="H276" s="40"/>
      <c r="I276" s="41"/>
      <c r="J276" s="39"/>
      <c r="K276" s="41"/>
      <c r="L276" s="41"/>
      <c r="M276" s="42" t="str">
        <f t="shared" si="33"/>
        <v/>
      </c>
      <c r="N276" s="40" t="str">
        <f t="shared" si="34"/>
        <v/>
      </c>
      <c r="O276" s="40" t="str">
        <f t="shared" si="35"/>
        <v/>
      </c>
      <c r="P276" s="43" t="str">
        <f t="shared" si="36"/>
        <v/>
      </c>
      <c r="Q276" s="44">
        <f t="shared" si="37"/>
        <v>0</v>
      </c>
      <c r="R276" s="44">
        <f t="shared" si="38"/>
        <v>0</v>
      </c>
      <c r="S276" s="43">
        <f t="shared" si="39"/>
        <v>0</v>
      </c>
      <c r="T276" s="39"/>
      <c r="U276" s="35"/>
      <c r="V276" s="35"/>
      <c r="W276" s="35"/>
      <c r="X276" s="35"/>
      <c r="Y276" s="35"/>
      <c r="Z276" s="35"/>
      <c r="AA276" s="35"/>
      <c r="AB276" s="35"/>
      <c r="AC276" s="35"/>
      <c r="AD276" s="35"/>
      <c r="AE276" s="35"/>
      <c r="AF276" s="35"/>
      <c r="AG276" s="35"/>
      <c r="AH276" s="35"/>
      <c r="AI276" s="35"/>
      <c r="AJ276" s="35"/>
      <c r="AK276" s="35"/>
      <c r="AL276" s="35"/>
      <c r="AM276" s="35"/>
      <c r="AN276" s="35"/>
      <c r="AO276" s="35"/>
      <c r="AP276" s="35"/>
      <c r="AQ276" s="35"/>
      <c r="AR276" s="35"/>
      <c r="AS276" s="35"/>
      <c r="AT276" s="35"/>
      <c r="AU276" s="35"/>
      <c r="AV276" s="35"/>
      <c r="AW276" s="35"/>
      <c r="AX276" s="35"/>
      <c r="AY276" s="35"/>
      <c r="AZ276" s="35"/>
      <c r="BA276" s="35"/>
      <c r="BB276" s="35"/>
      <c r="BC276" s="35"/>
      <c r="BD276" s="35"/>
      <c r="BE276" s="35"/>
      <c r="BF276" s="35"/>
      <c r="BG276" s="35"/>
      <c r="BH276" s="35"/>
      <c r="BI276" s="35"/>
      <c r="BJ276" s="35"/>
      <c r="BK276" s="35"/>
      <c r="BL276" s="35"/>
    </row>
    <row r="277" spans="1:64" ht="14">
      <c r="A277" s="36"/>
      <c r="B277" s="37"/>
      <c r="C277" s="38">
        <f t="shared" si="32"/>
        <v>0</v>
      </c>
      <c r="D277" s="39"/>
      <c r="E277" s="39"/>
      <c r="F277" s="39"/>
      <c r="G277" s="39"/>
      <c r="H277" s="40"/>
      <c r="I277" s="41"/>
      <c r="J277" s="39"/>
      <c r="K277" s="41"/>
      <c r="L277" s="41"/>
      <c r="M277" s="42" t="str">
        <f t="shared" si="33"/>
        <v/>
      </c>
      <c r="N277" s="40" t="str">
        <f t="shared" si="34"/>
        <v/>
      </c>
      <c r="O277" s="40" t="str">
        <f t="shared" si="35"/>
        <v/>
      </c>
      <c r="P277" s="43" t="str">
        <f t="shared" si="36"/>
        <v/>
      </c>
      <c r="Q277" s="44">
        <f t="shared" si="37"/>
        <v>0</v>
      </c>
      <c r="R277" s="44">
        <f t="shared" si="38"/>
        <v>0</v>
      </c>
      <c r="S277" s="43">
        <f t="shared" si="39"/>
        <v>0</v>
      </c>
      <c r="T277" s="39"/>
      <c r="U277" s="35"/>
      <c r="V277" s="35"/>
      <c r="W277" s="35"/>
      <c r="X277" s="35"/>
      <c r="Y277" s="35"/>
      <c r="Z277" s="35"/>
      <c r="AA277" s="35"/>
      <c r="AB277" s="35"/>
      <c r="AC277" s="35"/>
      <c r="AD277" s="35"/>
      <c r="AE277" s="35"/>
      <c r="AF277" s="35"/>
      <c r="AG277" s="35"/>
      <c r="AH277" s="35"/>
      <c r="AI277" s="35"/>
      <c r="AJ277" s="35"/>
      <c r="AK277" s="35"/>
      <c r="AL277" s="35"/>
      <c r="AM277" s="35"/>
      <c r="AN277" s="35"/>
      <c r="AO277" s="35"/>
      <c r="AP277" s="35"/>
      <c r="AQ277" s="35"/>
      <c r="AR277" s="35"/>
      <c r="AS277" s="35"/>
      <c r="AT277" s="35"/>
      <c r="AU277" s="35"/>
      <c r="AV277" s="35"/>
      <c r="AW277" s="35"/>
      <c r="AX277" s="35"/>
      <c r="AY277" s="35"/>
      <c r="AZ277" s="35"/>
      <c r="BA277" s="35"/>
      <c r="BB277" s="35"/>
      <c r="BC277" s="35"/>
      <c r="BD277" s="35"/>
      <c r="BE277" s="35"/>
      <c r="BF277" s="35"/>
      <c r="BG277" s="35"/>
      <c r="BH277" s="35"/>
      <c r="BI277" s="35"/>
      <c r="BJ277" s="35"/>
      <c r="BK277" s="35"/>
      <c r="BL277" s="35"/>
    </row>
    <row r="278" spans="1:64" ht="14">
      <c r="A278" s="36"/>
      <c r="B278" s="37"/>
      <c r="C278" s="38">
        <f t="shared" si="32"/>
        <v>0</v>
      </c>
      <c r="D278" s="39"/>
      <c r="E278" s="39"/>
      <c r="F278" s="39"/>
      <c r="G278" s="39"/>
      <c r="H278" s="40"/>
      <c r="I278" s="41"/>
      <c r="J278" s="39"/>
      <c r="K278" s="41"/>
      <c r="L278" s="41"/>
      <c r="M278" s="42" t="str">
        <f t="shared" si="33"/>
        <v/>
      </c>
      <c r="N278" s="40" t="str">
        <f t="shared" si="34"/>
        <v/>
      </c>
      <c r="O278" s="40" t="str">
        <f t="shared" si="35"/>
        <v/>
      </c>
      <c r="P278" s="43" t="str">
        <f t="shared" si="36"/>
        <v/>
      </c>
      <c r="Q278" s="44">
        <f t="shared" si="37"/>
        <v>0</v>
      </c>
      <c r="R278" s="44">
        <f t="shared" si="38"/>
        <v>0</v>
      </c>
      <c r="S278" s="43">
        <f t="shared" si="39"/>
        <v>0</v>
      </c>
      <c r="T278" s="39"/>
      <c r="U278" s="35"/>
      <c r="V278" s="35"/>
      <c r="W278" s="35"/>
      <c r="X278" s="35"/>
      <c r="Y278" s="35"/>
      <c r="Z278" s="35"/>
      <c r="AA278" s="35"/>
      <c r="AB278" s="35"/>
      <c r="AC278" s="35"/>
      <c r="AD278" s="35"/>
      <c r="AE278" s="35"/>
      <c r="AF278" s="35"/>
      <c r="AG278" s="35"/>
      <c r="AH278" s="35"/>
      <c r="AI278" s="35"/>
      <c r="AJ278" s="35"/>
      <c r="AK278" s="35"/>
      <c r="AL278" s="35"/>
      <c r="AM278" s="35"/>
      <c r="AN278" s="35"/>
      <c r="AO278" s="35"/>
      <c r="AP278" s="35"/>
      <c r="AQ278" s="35"/>
      <c r="AR278" s="35"/>
      <c r="AS278" s="35"/>
      <c r="AT278" s="35"/>
      <c r="AU278" s="35"/>
      <c r="AV278" s="35"/>
      <c r="AW278" s="35"/>
      <c r="AX278" s="35"/>
      <c r="AY278" s="35"/>
      <c r="AZ278" s="35"/>
      <c r="BA278" s="35"/>
      <c r="BB278" s="35"/>
      <c r="BC278" s="35"/>
      <c r="BD278" s="35"/>
      <c r="BE278" s="35"/>
      <c r="BF278" s="35"/>
      <c r="BG278" s="35"/>
      <c r="BH278" s="35"/>
      <c r="BI278" s="35"/>
      <c r="BJ278" s="35"/>
      <c r="BK278" s="35"/>
      <c r="BL278" s="35"/>
    </row>
    <row r="279" spans="1:64" ht="14">
      <c r="A279" s="36"/>
      <c r="B279" s="37"/>
      <c r="C279" s="38">
        <f t="shared" si="32"/>
        <v>0</v>
      </c>
      <c r="D279" s="39"/>
      <c r="E279" s="39"/>
      <c r="F279" s="39"/>
      <c r="G279" s="39"/>
      <c r="H279" s="40"/>
      <c r="I279" s="41"/>
      <c r="J279" s="39"/>
      <c r="K279" s="41"/>
      <c r="L279" s="41"/>
      <c r="M279" s="42" t="str">
        <f t="shared" si="33"/>
        <v/>
      </c>
      <c r="N279" s="40" t="str">
        <f t="shared" si="34"/>
        <v/>
      </c>
      <c r="O279" s="40" t="str">
        <f t="shared" si="35"/>
        <v/>
      </c>
      <c r="P279" s="43" t="str">
        <f t="shared" si="36"/>
        <v/>
      </c>
      <c r="Q279" s="44">
        <f t="shared" si="37"/>
        <v>0</v>
      </c>
      <c r="R279" s="44">
        <f t="shared" si="38"/>
        <v>0</v>
      </c>
      <c r="S279" s="43">
        <f t="shared" si="39"/>
        <v>0</v>
      </c>
      <c r="T279" s="39"/>
      <c r="U279" s="35"/>
      <c r="V279" s="35"/>
      <c r="W279" s="35"/>
      <c r="X279" s="35"/>
      <c r="Y279" s="35"/>
      <c r="Z279" s="35"/>
      <c r="AA279" s="35"/>
      <c r="AB279" s="35"/>
      <c r="AC279" s="35"/>
      <c r="AD279" s="35"/>
      <c r="AE279" s="35"/>
      <c r="AF279" s="35"/>
      <c r="AG279" s="35"/>
      <c r="AH279" s="35"/>
      <c r="AI279" s="35"/>
      <c r="AJ279" s="35"/>
      <c r="AK279" s="35"/>
      <c r="AL279" s="35"/>
      <c r="AM279" s="35"/>
      <c r="AN279" s="35"/>
      <c r="AO279" s="35"/>
      <c r="AP279" s="35"/>
      <c r="AQ279" s="35"/>
      <c r="AR279" s="35"/>
      <c r="AS279" s="35"/>
      <c r="AT279" s="35"/>
      <c r="AU279" s="35"/>
      <c r="AV279" s="35"/>
      <c r="AW279" s="35"/>
      <c r="AX279" s="35"/>
      <c r="AY279" s="35"/>
      <c r="AZ279" s="35"/>
      <c r="BA279" s="35"/>
      <c r="BB279" s="35"/>
      <c r="BC279" s="35"/>
      <c r="BD279" s="35"/>
      <c r="BE279" s="35"/>
      <c r="BF279" s="35"/>
      <c r="BG279" s="35"/>
      <c r="BH279" s="35"/>
      <c r="BI279" s="35"/>
      <c r="BJ279" s="35"/>
      <c r="BK279" s="35"/>
      <c r="BL279" s="35"/>
    </row>
    <row r="280" spans="1:64" ht="14">
      <c r="A280" s="36"/>
      <c r="B280" s="37"/>
      <c r="C280" s="38">
        <f t="shared" si="32"/>
        <v>0</v>
      </c>
      <c r="D280" s="39"/>
      <c r="E280" s="39"/>
      <c r="F280" s="39"/>
      <c r="G280" s="39"/>
      <c r="H280" s="40"/>
      <c r="I280" s="41"/>
      <c r="J280" s="39"/>
      <c r="K280" s="41"/>
      <c r="L280" s="41"/>
      <c r="M280" s="42" t="str">
        <f t="shared" si="33"/>
        <v/>
      </c>
      <c r="N280" s="40" t="str">
        <f t="shared" si="34"/>
        <v/>
      </c>
      <c r="O280" s="40" t="str">
        <f t="shared" si="35"/>
        <v/>
      </c>
      <c r="P280" s="43" t="str">
        <f t="shared" si="36"/>
        <v/>
      </c>
      <c r="Q280" s="44">
        <f t="shared" si="37"/>
        <v>0</v>
      </c>
      <c r="R280" s="44">
        <f t="shared" si="38"/>
        <v>0</v>
      </c>
      <c r="S280" s="43">
        <f t="shared" si="39"/>
        <v>0</v>
      </c>
      <c r="T280" s="39"/>
      <c r="U280" s="35"/>
      <c r="V280" s="35"/>
      <c r="W280" s="35"/>
      <c r="X280" s="35"/>
      <c r="Y280" s="35"/>
      <c r="Z280" s="35"/>
      <c r="AA280" s="35"/>
      <c r="AB280" s="35"/>
      <c r="AC280" s="35"/>
      <c r="AD280" s="35"/>
      <c r="AE280" s="35"/>
      <c r="AF280" s="35"/>
      <c r="AG280" s="35"/>
      <c r="AH280" s="35"/>
      <c r="AI280" s="35"/>
      <c r="AJ280" s="35"/>
      <c r="AK280" s="35"/>
      <c r="AL280" s="35"/>
      <c r="AM280" s="35"/>
      <c r="AN280" s="35"/>
      <c r="AO280" s="35"/>
      <c r="AP280" s="35"/>
      <c r="AQ280" s="35"/>
      <c r="AR280" s="35"/>
      <c r="AS280" s="35"/>
      <c r="AT280" s="35"/>
      <c r="AU280" s="35"/>
      <c r="AV280" s="35"/>
      <c r="AW280" s="35"/>
      <c r="AX280" s="35"/>
      <c r="AY280" s="35"/>
      <c r="AZ280" s="35"/>
      <c r="BA280" s="35"/>
      <c r="BB280" s="35"/>
      <c r="BC280" s="35"/>
      <c r="BD280" s="35"/>
      <c r="BE280" s="35"/>
      <c r="BF280" s="35"/>
      <c r="BG280" s="35"/>
      <c r="BH280" s="35"/>
      <c r="BI280" s="35"/>
      <c r="BJ280" s="35"/>
      <c r="BK280" s="35"/>
      <c r="BL280" s="35"/>
    </row>
    <row r="281" spans="1:64" ht="14">
      <c r="A281" s="36"/>
      <c r="B281" s="37"/>
      <c r="C281" s="38">
        <f t="shared" si="32"/>
        <v>0</v>
      </c>
      <c r="D281" s="39"/>
      <c r="E281" s="39"/>
      <c r="F281" s="39"/>
      <c r="G281" s="39"/>
      <c r="H281" s="40"/>
      <c r="I281" s="41"/>
      <c r="J281" s="39"/>
      <c r="K281" s="41"/>
      <c r="L281" s="41"/>
      <c r="M281" s="42" t="str">
        <f t="shared" si="33"/>
        <v/>
      </c>
      <c r="N281" s="40" t="str">
        <f t="shared" si="34"/>
        <v/>
      </c>
      <c r="O281" s="40" t="str">
        <f t="shared" si="35"/>
        <v/>
      </c>
      <c r="P281" s="43" t="str">
        <f t="shared" si="36"/>
        <v/>
      </c>
      <c r="Q281" s="44">
        <f t="shared" si="37"/>
        <v>0</v>
      </c>
      <c r="R281" s="44">
        <f t="shared" si="38"/>
        <v>0</v>
      </c>
      <c r="S281" s="43">
        <f t="shared" si="39"/>
        <v>0</v>
      </c>
      <c r="T281" s="39"/>
      <c r="U281" s="35"/>
      <c r="V281" s="35"/>
      <c r="W281" s="35"/>
      <c r="X281" s="35"/>
      <c r="Y281" s="35"/>
      <c r="Z281" s="35"/>
      <c r="AA281" s="35"/>
      <c r="AB281" s="35"/>
      <c r="AC281" s="35"/>
      <c r="AD281" s="35"/>
      <c r="AE281" s="35"/>
      <c r="AF281" s="35"/>
      <c r="AG281" s="35"/>
      <c r="AH281" s="35"/>
      <c r="AI281" s="35"/>
      <c r="AJ281" s="35"/>
      <c r="AK281" s="35"/>
      <c r="AL281" s="35"/>
      <c r="AM281" s="35"/>
      <c r="AN281" s="35"/>
      <c r="AO281" s="35"/>
      <c r="AP281" s="35"/>
      <c r="AQ281" s="35"/>
      <c r="AR281" s="35"/>
      <c r="AS281" s="35"/>
      <c r="AT281" s="35"/>
      <c r="AU281" s="35"/>
      <c r="AV281" s="35"/>
      <c r="AW281" s="35"/>
      <c r="AX281" s="35"/>
      <c r="AY281" s="35"/>
      <c r="AZ281" s="35"/>
      <c r="BA281" s="35"/>
      <c r="BB281" s="35"/>
      <c r="BC281" s="35"/>
      <c r="BD281" s="35"/>
      <c r="BE281" s="35"/>
      <c r="BF281" s="35"/>
      <c r="BG281" s="35"/>
      <c r="BH281" s="35"/>
      <c r="BI281" s="35"/>
      <c r="BJ281" s="35"/>
      <c r="BK281" s="35"/>
      <c r="BL281" s="35"/>
    </row>
    <row r="282" spans="1:64" ht="14">
      <c r="A282" s="36"/>
      <c r="B282" s="37"/>
      <c r="C282" s="38">
        <f t="shared" si="32"/>
        <v>0</v>
      </c>
      <c r="D282" s="39"/>
      <c r="E282" s="39"/>
      <c r="F282" s="39"/>
      <c r="G282" s="39"/>
      <c r="H282" s="40"/>
      <c r="I282" s="41"/>
      <c r="J282" s="39"/>
      <c r="K282" s="41"/>
      <c r="L282" s="41"/>
      <c r="M282" s="42" t="str">
        <f t="shared" si="33"/>
        <v/>
      </c>
      <c r="N282" s="40" t="str">
        <f t="shared" si="34"/>
        <v/>
      </c>
      <c r="O282" s="40" t="str">
        <f t="shared" si="35"/>
        <v/>
      </c>
      <c r="P282" s="43" t="str">
        <f t="shared" si="36"/>
        <v/>
      </c>
      <c r="Q282" s="44">
        <f t="shared" si="37"/>
        <v>0</v>
      </c>
      <c r="R282" s="44">
        <f t="shared" si="38"/>
        <v>0</v>
      </c>
      <c r="S282" s="43">
        <f t="shared" si="39"/>
        <v>0</v>
      </c>
      <c r="T282" s="39"/>
      <c r="U282" s="35"/>
      <c r="V282" s="35"/>
      <c r="W282" s="35"/>
      <c r="X282" s="35"/>
      <c r="Y282" s="35"/>
      <c r="Z282" s="35"/>
      <c r="AA282" s="35"/>
      <c r="AB282" s="35"/>
      <c r="AC282" s="35"/>
      <c r="AD282" s="35"/>
      <c r="AE282" s="35"/>
      <c r="AF282" s="35"/>
      <c r="AG282" s="35"/>
      <c r="AH282" s="35"/>
      <c r="AI282" s="35"/>
      <c r="AJ282" s="35"/>
      <c r="AK282" s="35"/>
      <c r="AL282" s="35"/>
      <c r="AM282" s="35"/>
      <c r="AN282" s="35"/>
      <c r="AO282" s="35"/>
      <c r="AP282" s="35"/>
      <c r="AQ282" s="35"/>
      <c r="AR282" s="35"/>
      <c r="AS282" s="35"/>
      <c r="AT282" s="35"/>
      <c r="AU282" s="35"/>
      <c r="AV282" s="35"/>
      <c r="AW282" s="35"/>
      <c r="AX282" s="35"/>
      <c r="AY282" s="35"/>
      <c r="AZ282" s="35"/>
      <c r="BA282" s="35"/>
      <c r="BB282" s="35"/>
      <c r="BC282" s="35"/>
      <c r="BD282" s="35"/>
      <c r="BE282" s="35"/>
      <c r="BF282" s="35"/>
      <c r="BG282" s="35"/>
      <c r="BH282" s="35"/>
      <c r="BI282" s="35"/>
      <c r="BJ282" s="35"/>
      <c r="BK282" s="35"/>
      <c r="BL282" s="35"/>
    </row>
    <row r="283" spans="1:64" ht="14">
      <c r="A283" s="36"/>
      <c r="B283" s="37"/>
      <c r="C283" s="38">
        <f t="shared" si="32"/>
        <v>0</v>
      </c>
      <c r="D283" s="39"/>
      <c r="E283" s="39"/>
      <c r="F283" s="39"/>
      <c r="G283" s="39"/>
      <c r="H283" s="40"/>
      <c r="I283" s="41"/>
      <c r="J283" s="39"/>
      <c r="K283" s="41"/>
      <c r="L283" s="41"/>
      <c r="M283" s="42" t="str">
        <f t="shared" si="33"/>
        <v/>
      </c>
      <c r="N283" s="40" t="str">
        <f t="shared" si="34"/>
        <v/>
      </c>
      <c r="O283" s="40" t="str">
        <f t="shared" si="35"/>
        <v/>
      </c>
      <c r="P283" s="43" t="str">
        <f t="shared" si="36"/>
        <v/>
      </c>
      <c r="Q283" s="44">
        <f t="shared" si="37"/>
        <v>0</v>
      </c>
      <c r="R283" s="44">
        <f t="shared" si="38"/>
        <v>0</v>
      </c>
      <c r="S283" s="43">
        <f t="shared" si="39"/>
        <v>0</v>
      </c>
      <c r="T283" s="39"/>
      <c r="U283" s="35"/>
      <c r="V283" s="35"/>
      <c r="W283" s="35"/>
      <c r="X283" s="35"/>
      <c r="Y283" s="35"/>
      <c r="Z283" s="35"/>
      <c r="AA283" s="35"/>
      <c r="AB283" s="35"/>
      <c r="AC283" s="35"/>
      <c r="AD283" s="35"/>
      <c r="AE283" s="35"/>
      <c r="AF283" s="35"/>
      <c r="AG283" s="35"/>
      <c r="AH283" s="35"/>
      <c r="AI283" s="35"/>
      <c r="AJ283" s="35"/>
      <c r="AK283" s="35"/>
      <c r="AL283" s="35"/>
      <c r="AM283" s="35"/>
      <c r="AN283" s="35"/>
      <c r="AO283" s="35"/>
      <c r="AP283" s="35"/>
      <c r="AQ283" s="35"/>
      <c r="AR283" s="35"/>
      <c r="AS283" s="35"/>
      <c r="AT283" s="35"/>
      <c r="AU283" s="35"/>
      <c r="AV283" s="35"/>
      <c r="AW283" s="35"/>
      <c r="AX283" s="35"/>
      <c r="AY283" s="35"/>
      <c r="AZ283" s="35"/>
      <c r="BA283" s="35"/>
      <c r="BB283" s="35"/>
      <c r="BC283" s="35"/>
      <c r="BD283" s="35"/>
      <c r="BE283" s="35"/>
      <c r="BF283" s="35"/>
      <c r="BG283" s="35"/>
      <c r="BH283" s="35"/>
      <c r="BI283" s="35"/>
      <c r="BJ283" s="35"/>
      <c r="BK283" s="35"/>
      <c r="BL283" s="35"/>
    </row>
    <row r="284" spans="1:64" ht="14">
      <c r="A284" s="36"/>
      <c r="B284" s="37"/>
      <c r="C284" s="38">
        <f t="shared" si="32"/>
        <v>0</v>
      </c>
      <c r="D284" s="39"/>
      <c r="E284" s="39"/>
      <c r="F284" s="39"/>
      <c r="G284" s="39"/>
      <c r="H284" s="40"/>
      <c r="I284" s="41"/>
      <c r="J284" s="39"/>
      <c r="K284" s="41"/>
      <c r="L284" s="41"/>
      <c r="M284" s="42" t="str">
        <f t="shared" si="33"/>
        <v/>
      </c>
      <c r="N284" s="40" t="str">
        <f t="shared" si="34"/>
        <v/>
      </c>
      <c r="O284" s="40" t="str">
        <f t="shared" si="35"/>
        <v/>
      </c>
      <c r="P284" s="43" t="str">
        <f t="shared" si="36"/>
        <v/>
      </c>
      <c r="Q284" s="44">
        <f t="shared" si="37"/>
        <v>0</v>
      </c>
      <c r="R284" s="44">
        <f t="shared" si="38"/>
        <v>0</v>
      </c>
      <c r="S284" s="43">
        <f t="shared" si="39"/>
        <v>0</v>
      </c>
      <c r="T284" s="39"/>
      <c r="U284" s="35"/>
      <c r="V284" s="35"/>
      <c r="W284" s="35"/>
      <c r="X284" s="35"/>
      <c r="Y284" s="35"/>
      <c r="Z284" s="35"/>
      <c r="AA284" s="35"/>
      <c r="AB284" s="35"/>
      <c r="AC284" s="35"/>
      <c r="AD284" s="35"/>
      <c r="AE284" s="35"/>
      <c r="AF284" s="35"/>
      <c r="AG284" s="35"/>
      <c r="AH284" s="35"/>
      <c r="AI284" s="35"/>
      <c r="AJ284" s="35"/>
      <c r="AK284" s="35"/>
      <c r="AL284" s="35"/>
      <c r="AM284" s="35"/>
      <c r="AN284" s="35"/>
      <c r="AO284" s="35"/>
      <c r="AP284" s="35"/>
      <c r="AQ284" s="35"/>
      <c r="AR284" s="35"/>
      <c r="AS284" s="35"/>
      <c r="AT284" s="35"/>
      <c r="AU284" s="35"/>
      <c r="AV284" s="35"/>
      <c r="AW284" s="35"/>
      <c r="AX284" s="35"/>
      <c r="AY284" s="35"/>
      <c r="AZ284" s="35"/>
      <c r="BA284" s="35"/>
      <c r="BB284" s="35"/>
      <c r="BC284" s="35"/>
      <c r="BD284" s="35"/>
      <c r="BE284" s="35"/>
      <c r="BF284" s="35"/>
      <c r="BG284" s="35"/>
      <c r="BH284" s="35"/>
      <c r="BI284" s="35"/>
      <c r="BJ284" s="35"/>
      <c r="BK284" s="35"/>
      <c r="BL284" s="35"/>
    </row>
    <row r="285" spans="1:64" ht="14">
      <c r="A285" s="36"/>
      <c r="B285" s="37"/>
      <c r="C285" s="38">
        <f t="shared" si="32"/>
        <v>0</v>
      </c>
      <c r="D285" s="39"/>
      <c r="E285" s="39"/>
      <c r="F285" s="39"/>
      <c r="G285" s="39"/>
      <c r="H285" s="40"/>
      <c r="I285" s="41"/>
      <c r="J285" s="39"/>
      <c r="K285" s="41"/>
      <c r="L285" s="41"/>
      <c r="M285" s="42" t="str">
        <f t="shared" si="33"/>
        <v/>
      </c>
      <c r="N285" s="40" t="str">
        <f t="shared" si="34"/>
        <v/>
      </c>
      <c r="O285" s="40" t="str">
        <f t="shared" si="35"/>
        <v/>
      </c>
      <c r="P285" s="43" t="str">
        <f t="shared" si="36"/>
        <v/>
      </c>
      <c r="Q285" s="44">
        <f t="shared" si="37"/>
        <v>0</v>
      </c>
      <c r="R285" s="44">
        <f t="shared" si="38"/>
        <v>0</v>
      </c>
      <c r="S285" s="43">
        <f t="shared" si="39"/>
        <v>0</v>
      </c>
      <c r="T285" s="39"/>
      <c r="U285" s="35"/>
      <c r="V285" s="35"/>
      <c r="W285" s="35"/>
      <c r="X285" s="35"/>
      <c r="Y285" s="35"/>
      <c r="Z285" s="35"/>
      <c r="AA285" s="35"/>
      <c r="AB285" s="35"/>
      <c r="AC285" s="35"/>
      <c r="AD285" s="35"/>
      <c r="AE285" s="35"/>
      <c r="AF285" s="35"/>
      <c r="AG285" s="35"/>
      <c r="AH285" s="35"/>
      <c r="AI285" s="35"/>
      <c r="AJ285" s="35"/>
      <c r="AK285" s="35"/>
      <c r="AL285" s="35"/>
      <c r="AM285" s="35"/>
      <c r="AN285" s="35"/>
      <c r="AO285" s="35"/>
      <c r="AP285" s="35"/>
      <c r="AQ285" s="35"/>
      <c r="AR285" s="35"/>
      <c r="AS285" s="35"/>
      <c r="AT285" s="35"/>
      <c r="AU285" s="35"/>
      <c r="AV285" s="35"/>
      <c r="AW285" s="35"/>
      <c r="AX285" s="35"/>
      <c r="AY285" s="35"/>
      <c r="AZ285" s="35"/>
      <c r="BA285" s="35"/>
      <c r="BB285" s="35"/>
      <c r="BC285" s="35"/>
      <c r="BD285" s="35"/>
      <c r="BE285" s="35"/>
      <c r="BF285" s="35"/>
      <c r="BG285" s="35"/>
      <c r="BH285" s="35"/>
      <c r="BI285" s="35"/>
      <c r="BJ285" s="35"/>
      <c r="BK285" s="35"/>
      <c r="BL285" s="35"/>
    </row>
    <row r="286" spans="1:64" ht="14">
      <c r="A286" s="36"/>
      <c r="B286" s="37"/>
      <c r="C286" s="38">
        <f t="shared" si="32"/>
        <v>0</v>
      </c>
      <c r="D286" s="39"/>
      <c r="E286" s="39"/>
      <c r="F286" s="39"/>
      <c r="G286" s="39"/>
      <c r="H286" s="40"/>
      <c r="I286" s="41"/>
      <c r="J286" s="39"/>
      <c r="K286" s="41"/>
      <c r="L286" s="41"/>
      <c r="M286" s="42" t="str">
        <f t="shared" si="33"/>
        <v/>
      </c>
      <c r="N286" s="40" t="str">
        <f t="shared" si="34"/>
        <v/>
      </c>
      <c r="O286" s="40" t="str">
        <f t="shared" si="35"/>
        <v/>
      </c>
      <c r="P286" s="43" t="str">
        <f t="shared" si="36"/>
        <v/>
      </c>
      <c r="Q286" s="44">
        <f t="shared" si="37"/>
        <v>0</v>
      </c>
      <c r="R286" s="44">
        <f t="shared" si="38"/>
        <v>0</v>
      </c>
      <c r="S286" s="43">
        <f t="shared" si="39"/>
        <v>0</v>
      </c>
      <c r="T286" s="39"/>
      <c r="U286" s="35"/>
      <c r="V286" s="35"/>
      <c r="W286" s="35"/>
      <c r="X286" s="35"/>
      <c r="Y286" s="35"/>
      <c r="Z286" s="35"/>
      <c r="AA286" s="35"/>
      <c r="AB286" s="35"/>
      <c r="AC286" s="35"/>
      <c r="AD286" s="35"/>
      <c r="AE286" s="35"/>
      <c r="AF286" s="35"/>
      <c r="AG286" s="35"/>
      <c r="AH286" s="35"/>
      <c r="AI286" s="35"/>
      <c r="AJ286" s="35"/>
      <c r="AK286" s="35"/>
      <c r="AL286" s="35"/>
      <c r="AM286" s="35"/>
      <c r="AN286" s="35"/>
      <c r="AO286" s="35"/>
      <c r="AP286" s="35"/>
      <c r="AQ286" s="35"/>
      <c r="AR286" s="35"/>
      <c r="AS286" s="35"/>
      <c r="AT286" s="35"/>
      <c r="AU286" s="35"/>
      <c r="AV286" s="35"/>
      <c r="AW286" s="35"/>
      <c r="AX286" s="35"/>
      <c r="AY286" s="35"/>
      <c r="AZ286" s="35"/>
      <c r="BA286" s="35"/>
      <c r="BB286" s="35"/>
      <c r="BC286" s="35"/>
      <c r="BD286" s="35"/>
      <c r="BE286" s="35"/>
      <c r="BF286" s="35"/>
      <c r="BG286" s="35"/>
      <c r="BH286" s="35"/>
      <c r="BI286" s="35"/>
      <c r="BJ286" s="35"/>
      <c r="BK286" s="35"/>
      <c r="BL286" s="35"/>
    </row>
    <row r="287" spans="1:64" ht="14">
      <c r="A287" s="36"/>
      <c r="B287" s="37"/>
      <c r="C287" s="38">
        <f t="shared" si="32"/>
        <v>0</v>
      </c>
      <c r="D287" s="39"/>
      <c r="E287" s="39"/>
      <c r="F287" s="39"/>
      <c r="G287" s="39"/>
      <c r="H287" s="40"/>
      <c r="I287" s="41"/>
      <c r="J287" s="39"/>
      <c r="K287" s="41"/>
      <c r="L287" s="41"/>
      <c r="M287" s="42" t="str">
        <f t="shared" si="33"/>
        <v/>
      </c>
      <c r="N287" s="40" t="str">
        <f t="shared" si="34"/>
        <v/>
      </c>
      <c r="O287" s="40" t="str">
        <f t="shared" si="35"/>
        <v/>
      </c>
      <c r="P287" s="43" t="str">
        <f t="shared" si="36"/>
        <v/>
      </c>
      <c r="Q287" s="44">
        <f t="shared" si="37"/>
        <v>0</v>
      </c>
      <c r="R287" s="44">
        <f t="shared" si="38"/>
        <v>0</v>
      </c>
      <c r="S287" s="43">
        <f t="shared" si="39"/>
        <v>0</v>
      </c>
      <c r="T287" s="39"/>
      <c r="U287" s="35"/>
      <c r="V287" s="35"/>
      <c r="W287" s="35"/>
      <c r="X287" s="35"/>
      <c r="Y287" s="35"/>
      <c r="Z287" s="35"/>
      <c r="AA287" s="35"/>
      <c r="AB287" s="35"/>
      <c r="AC287" s="35"/>
      <c r="AD287" s="35"/>
      <c r="AE287" s="35"/>
      <c r="AF287" s="35"/>
      <c r="AG287" s="35"/>
      <c r="AH287" s="35"/>
      <c r="AI287" s="35"/>
      <c r="AJ287" s="35"/>
      <c r="AK287" s="35"/>
      <c r="AL287" s="35"/>
      <c r="AM287" s="35"/>
      <c r="AN287" s="35"/>
      <c r="AO287" s="35"/>
      <c r="AP287" s="35"/>
      <c r="AQ287" s="35"/>
      <c r="AR287" s="35"/>
      <c r="AS287" s="35"/>
      <c r="AT287" s="35"/>
      <c r="AU287" s="35"/>
      <c r="AV287" s="35"/>
      <c r="AW287" s="35"/>
      <c r="AX287" s="35"/>
      <c r="AY287" s="35"/>
      <c r="AZ287" s="35"/>
      <c r="BA287" s="35"/>
      <c r="BB287" s="35"/>
      <c r="BC287" s="35"/>
      <c r="BD287" s="35"/>
      <c r="BE287" s="35"/>
      <c r="BF287" s="35"/>
      <c r="BG287" s="35"/>
      <c r="BH287" s="35"/>
      <c r="BI287" s="35"/>
      <c r="BJ287" s="35"/>
      <c r="BK287" s="35"/>
      <c r="BL287" s="35"/>
    </row>
    <row r="288" spans="1:64" ht="14">
      <c r="A288" s="36"/>
      <c r="B288" s="37"/>
      <c r="C288" s="38">
        <f t="shared" si="32"/>
        <v>0</v>
      </c>
      <c r="D288" s="39"/>
      <c r="E288" s="39"/>
      <c r="F288" s="39"/>
      <c r="G288" s="39"/>
      <c r="H288" s="40"/>
      <c r="I288" s="41"/>
      <c r="J288" s="39"/>
      <c r="K288" s="41"/>
      <c r="L288" s="41"/>
      <c r="M288" s="42" t="str">
        <f t="shared" si="33"/>
        <v/>
      </c>
      <c r="N288" s="40" t="str">
        <f t="shared" si="34"/>
        <v/>
      </c>
      <c r="O288" s="40" t="str">
        <f t="shared" si="35"/>
        <v/>
      </c>
      <c r="P288" s="43" t="str">
        <f t="shared" si="36"/>
        <v/>
      </c>
      <c r="Q288" s="44">
        <f t="shared" si="37"/>
        <v>0</v>
      </c>
      <c r="R288" s="44">
        <f t="shared" si="38"/>
        <v>0</v>
      </c>
      <c r="S288" s="43">
        <f t="shared" si="39"/>
        <v>0</v>
      </c>
      <c r="T288" s="39"/>
      <c r="U288" s="35"/>
      <c r="V288" s="35"/>
      <c r="W288" s="35"/>
      <c r="X288" s="35"/>
      <c r="Y288" s="35"/>
      <c r="Z288" s="35"/>
      <c r="AA288" s="35"/>
      <c r="AB288" s="35"/>
      <c r="AC288" s="35"/>
      <c r="AD288" s="35"/>
      <c r="AE288" s="35"/>
      <c r="AF288" s="35"/>
      <c r="AG288" s="35"/>
      <c r="AH288" s="35"/>
      <c r="AI288" s="35"/>
      <c r="AJ288" s="35"/>
      <c r="AK288" s="35"/>
      <c r="AL288" s="35"/>
      <c r="AM288" s="35"/>
      <c r="AN288" s="35"/>
      <c r="AO288" s="35"/>
      <c r="AP288" s="35"/>
      <c r="AQ288" s="35"/>
      <c r="AR288" s="35"/>
      <c r="AS288" s="35"/>
      <c r="AT288" s="35"/>
      <c r="AU288" s="35"/>
      <c r="AV288" s="35"/>
      <c r="AW288" s="35"/>
      <c r="AX288" s="35"/>
      <c r="AY288" s="35"/>
      <c r="AZ288" s="35"/>
      <c r="BA288" s="35"/>
      <c r="BB288" s="35"/>
      <c r="BC288" s="35"/>
      <c r="BD288" s="35"/>
      <c r="BE288" s="35"/>
      <c r="BF288" s="35"/>
      <c r="BG288" s="35"/>
      <c r="BH288" s="35"/>
      <c r="BI288" s="35"/>
      <c r="BJ288" s="35"/>
      <c r="BK288" s="35"/>
      <c r="BL288" s="35"/>
    </row>
    <row r="289" spans="1:64" ht="14">
      <c r="A289" s="36"/>
      <c r="B289" s="37"/>
      <c r="C289" s="38">
        <f t="shared" si="32"/>
        <v>0</v>
      </c>
      <c r="D289" s="39"/>
      <c r="E289" s="39"/>
      <c r="F289" s="39"/>
      <c r="G289" s="39"/>
      <c r="H289" s="40"/>
      <c r="I289" s="41"/>
      <c r="J289" s="39"/>
      <c r="K289" s="41"/>
      <c r="L289" s="41"/>
      <c r="M289" s="42" t="str">
        <f t="shared" si="33"/>
        <v/>
      </c>
      <c r="N289" s="40" t="str">
        <f t="shared" si="34"/>
        <v/>
      </c>
      <c r="O289" s="40" t="str">
        <f t="shared" si="35"/>
        <v/>
      </c>
      <c r="P289" s="43" t="str">
        <f t="shared" si="36"/>
        <v/>
      </c>
      <c r="Q289" s="44">
        <f t="shared" si="37"/>
        <v>0</v>
      </c>
      <c r="R289" s="44">
        <f t="shared" si="38"/>
        <v>0</v>
      </c>
      <c r="S289" s="43">
        <f t="shared" si="39"/>
        <v>0</v>
      </c>
      <c r="T289" s="39"/>
      <c r="U289" s="35"/>
      <c r="V289" s="35"/>
      <c r="W289" s="35"/>
      <c r="X289" s="35"/>
      <c r="Y289" s="35"/>
      <c r="Z289" s="35"/>
      <c r="AA289" s="35"/>
      <c r="AB289" s="35"/>
      <c r="AC289" s="35"/>
      <c r="AD289" s="35"/>
      <c r="AE289" s="35"/>
      <c r="AF289" s="35"/>
      <c r="AG289" s="35"/>
      <c r="AH289" s="35"/>
      <c r="AI289" s="35"/>
      <c r="AJ289" s="35"/>
      <c r="AK289" s="35"/>
      <c r="AL289" s="35"/>
      <c r="AM289" s="35"/>
      <c r="AN289" s="35"/>
      <c r="AO289" s="35"/>
      <c r="AP289" s="35"/>
      <c r="AQ289" s="35"/>
      <c r="AR289" s="35"/>
      <c r="AS289" s="35"/>
      <c r="AT289" s="35"/>
      <c r="AU289" s="35"/>
      <c r="AV289" s="35"/>
      <c r="AW289" s="35"/>
      <c r="AX289" s="35"/>
      <c r="AY289" s="35"/>
      <c r="AZ289" s="35"/>
      <c r="BA289" s="35"/>
      <c r="BB289" s="35"/>
      <c r="BC289" s="35"/>
      <c r="BD289" s="35"/>
      <c r="BE289" s="35"/>
      <c r="BF289" s="35"/>
      <c r="BG289" s="35"/>
      <c r="BH289" s="35"/>
      <c r="BI289" s="35"/>
      <c r="BJ289" s="35"/>
      <c r="BK289" s="35"/>
      <c r="BL289" s="35"/>
    </row>
    <row r="290" spans="1:64" ht="14">
      <c r="A290" s="36"/>
      <c r="B290" s="37"/>
      <c r="C290" s="38">
        <f t="shared" si="32"/>
        <v>0</v>
      </c>
      <c r="D290" s="39"/>
      <c r="E290" s="39"/>
      <c r="F290" s="39"/>
      <c r="G290" s="39"/>
      <c r="H290" s="40"/>
      <c r="I290" s="41"/>
      <c r="J290" s="39"/>
      <c r="K290" s="41"/>
      <c r="L290" s="41"/>
      <c r="M290" s="42" t="str">
        <f t="shared" si="33"/>
        <v/>
      </c>
      <c r="N290" s="40" t="str">
        <f t="shared" si="34"/>
        <v/>
      </c>
      <c r="O290" s="40" t="str">
        <f t="shared" si="35"/>
        <v/>
      </c>
      <c r="P290" s="43" t="str">
        <f t="shared" si="36"/>
        <v/>
      </c>
      <c r="Q290" s="44">
        <f t="shared" si="37"/>
        <v>0</v>
      </c>
      <c r="R290" s="44">
        <f t="shared" si="38"/>
        <v>0</v>
      </c>
      <c r="S290" s="43">
        <f t="shared" si="39"/>
        <v>0</v>
      </c>
      <c r="T290" s="39"/>
      <c r="U290" s="35"/>
      <c r="V290" s="35"/>
      <c r="W290" s="35"/>
      <c r="X290" s="35"/>
      <c r="Y290" s="35"/>
      <c r="Z290" s="35"/>
      <c r="AA290" s="35"/>
      <c r="AB290" s="35"/>
      <c r="AC290" s="35"/>
      <c r="AD290" s="35"/>
      <c r="AE290" s="35"/>
      <c r="AF290" s="35"/>
      <c r="AG290" s="35"/>
      <c r="AH290" s="35"/>
      <c r="AI290" s="35"/>
      <c r="AJ290" s="35"/>
      <c r="AK290" s="35"/>
      <c r="AL290" s="35"/>
      <c r="AM290" s="35"/>
      <c r="AN290" s="35"/>
      <c r="AO290" s="35"/>
      <c r="AP290" s="35"/>
      <c r="AQ290" s="35"/>
      <c r="AR290" s="35"/>
      <c r="AS290" s="35"/>
      <c r="AT290" s="35"/>
      <c r="AU290" s="35"/>
      <c r="AV290" s="35"/>
      <c r="AW290" s="35"/>
      <c r="AX290" s="35"/>
      <c r="AY290" s="35"/>
      <c r="AZ290" s="35"/>
      <c r="BA290" s="35"/>
      <c r="BB290" s="35"/>
      <c r="BC290" s="35"/>
      <c r="BD290" s="35"/>
      <c r="BE290" s="35"/>
      <c r="BF290" s="35"/>
      <c r="BG290" s="35"/>
      <c r="BH290" s="35"/>
      <c r="BI290" s="35"/>
      <c r="BJ290" s="35"/>
      <c r="BK290" s="35"/>
      <c r="BL290" s="35"/>
    </row>
    <row r="291" spans="1:64" ht="14">
      <c r="A291" s="36"/>
      <c r="B291" s="37"/>
      <c r="C291" s="38">
        <f t="shared" si="32"/>
        <v>0</v>
      </c>
      <c r="D291" s="39"/>
      <c r="E291" s="39"/>
      <c r="F291" s="39"/>
      <c r="G291" s="39"/>
      <c r="H291" s="40"/>
      <c r="I291" s="41"/>
      <c r="J291" s="39"/>
      <c r="K291" s="41"/>
      <c r="L291" s="41"/>
      <c r="M291" s="42" t="str">
        <f t="shared" si="33"/>
        <v/>
      </c>
      <c r="N291" s="40" t="str">
        <f t="shared" si="34"/>
        <v/>
      </c>
      <c r="O291" s="40" t="str">
        <f t="shared" si="35"/>
        <v/>
      </c>
      <c r="P291" s="43" t="str">
        <f t="shared" si="36"/>
        <v/>
      </c>
      <c r="Q291" s="44">
        <f t="shared" si="37"/>
        <v>0</v>
      </c>
      <c r="R291" s="44">
        <f t="shared" si="38"/>
        <v>0</v>
      </c>
      <c r="S291" s="43">
        <f t="shared" si="39"/>
        <v>0</v>
      </c>
      <c r="T291" s="39"/>
      <c r="U291" s="35"/>
      <c r="V291" s="35"/>
      <c r="W291" s="35"/>
      <c r="X291" s="35"/>
      <c r="Y291" s="35"/>
      <c r="Z291" s="35"/>
      <c r="AA291" s="35"/>
      <c r="AB291" s="35"/>
      <c r="AC291" s="35"/>
      <c r="AD291" s="35"/>
      <c r="AE291" s="35"/>
      <c r="AF291" s="35"/>
      <c r="AG291" s="35"/>
      <c r="AH291" s="35"/>
      <c r="AI291" s="35"/>
      <c r="AJ291" s="35"/>
      <c r="AK291" s="35"/>
      <c r="AL291" s="35"/>
      <c r="AM291" s="35"/>
      <c r="AN291" s="35"/>
      <c r="AO291" s="35"/>
      <c r="AP291" s="35"/>
      <c r="AQ291" s="35"/>
      <c r="AR291" s="35"/>
      <c r="AS291" s="35"/>
      <c r="AT291" s="35"/>
      <c r="AU291" s="35"/>
      <c r="AV291" s="35"/>
      <c r="AW291" s="35"/>
      <c r="AX291" s="35"/>
      <c r="AY291" s="35"/>
      <c r="AZ291" s="35"/>
      <c r="BA291" s="35"/>
      <c r="BB291" s="35"/>
      <c r="BC291" s="35"/>
      <c r="BD291" s="35"/>
      <c r="BE291" s="35"/>
      <c r="BF291" s="35"/>
      <c r="BG291" s="35"/>
      <c r="BH291" s="35"/>
      <c r="BI291" s="35"/>
      <c r="BJ291" s="35"/>
      <c r="BK291" s="35"/>
      <c r="BL291" s="35"/>
    </row>
    <row r="292" spans="1:64" ht="14">
      <c r="A292" s="36"/>
      <c r="B292" s="37"/>
      <c r="C292" s="38">
        <f t="shared" si="32"/>
        <v>0</v>
      </c>
      <c r="D292" s="39"/>
      <c r="E292" s="39"/>
      <c r="F292" s="39"/>
      <c r="G292" s="39"/>
      <c r="H292" s="40"/>
      <c r="I292" s="41"/>
      <c r="J292" s="39"/>
      <c r="K292" s="41"/>
      <c r="L292" s="41"/>
      <c r="M292" s="42" t="str">
        <f t="shared" si="33"/>
        <v/>
      </c>
      <c r="N292" s="40" t="str">
        <f t="shared" si="34"/>
        <v/>
      </c>
      <c r="O292" s="40" t="str">
        <f t="shared" si="35"/>
        <v/>
      </c>
      <c r="P292" s="43" t="str">
        <f t="shared" si="36"/>
        <v/>
      </c>
      <c r="Q292" s="44">
        <f t="shared" si="37"/>
        <v>0</v>
      </c>
      <c r="R292" s="44">
        <f t="shared" si="38"/>
        <v>0</v>
      </c>
      <c r="S292" s="43">
        <f t="shared" si="39"/>
        <v>0</v>
      </c>
      <c r="T292" s="39"/>
      <c r="U292" s="35"/>
      <c r="V292" s="35"/>
      <c r="W292" s="35"/>
      <c r="X292" s="35"/>
      <c r="Y292" s="35"/>
      <c r="Z292" s="35"/>
      <c r="AA292" s="35"/>
      <c r="AB292" s="35"/>
      <c r="AC292" s="35"/>
      <c r="AD292" s="35"/>
      <c r="AE292" s="35"/>
      <c r="AF292" s="35"/>
      <c r="AG292" s="35"/>
      <c r="AH292" s="35"/>
      <c r="AI292" s="35"/>
      <c r="AJ292" s="35"/>
      <c r="AK292" s="35"/>
      <c r="AL292" s="35"/>
      <c r="AM292" s="35"/>
      <c r="AN292" s="35"/>
      <c r="AO292" s="35"/>
      <c r="AP292" s="35"/>
      <c r="AQ292" s="35"/>
      <c r="AR292" s="35"/>
      <c r="AS292" s="35"/>
      <c r="AT292" s="35"/>
      <c r="AU292" s="35"/>
      <c r="AV292" s="35"/>
      <c r="AW292" s="35"/>
      <c r="AX292" s="35"/>
      <c r="AY292" s="35"/>
      <c r="AZ292" s="35"/>
      <c r="BA292" s="35"/>
      <c r="BB292" s="35"/>
      <c r="BC292" s="35"/>
      <c r="BD292" s="35"/>
      <c r="BE292" s="35"/>
      <c r="BF292" s="35"/>
      <c r="BG292" s="35"/>
      <c r="BH292" s="35"/>
      <c r="BI292" s="35"/>
      <c r="BJ292" s="35"/>
      <c r="BK292" s="35"/>
      <c r="BL292" s="35"/>
    </row>
    <row r="293" spans="1:64" ht="14">
      <c r="A293" s="36"/>
      <c r="B293" s="37"/>
      <c r="C293" s="38">
        <f t="shared" si="32"/>
        <v>0</v>
      </c>
      <c r="D293" s="39"/>
      <c r="E293" s="39"/>
      <c r="F293" s="39"/>
      <c r="G293" s="39"/>
      <c r="H293" s="40"/>
      <c r="I293" s="41"/>
      <c r="J293" s="39"/>
      <c r="K293" s="41"/>
      <c r="L293" s="41"/>
      <c r="M293" s="42" t="str">
        <f t="shared" si="33"/>
        <v/>
      </c>
      <c r="N293" s="40" t="str">
        <f t="shared" si="34"/>
        <v/>
      </c>
      <c r="O293" s="40" t="str">
        <f t="shared" si="35"/>
        <v/>
      </c>
      <c r="P293" s="43" t="str">
        <f t="shared" si="36"/>
        <v/>
      </c>
      <c r="Q293" s="44">
        <f t="shared" si="37"/>
        <v>0</v>
      </c>
      <c r="R293" s="44">
        <f t="shared" si="38"/>
        <v>0</v>
      </c>
      <c r="S293" s="43">
        <f t="shared" si="39"/>
        <v>0</v>
      </c>
      <c r="T293" s="39"/>
      <c r="U293" s="35"/>
      <c r="V293" s="35"/>
      <c r="W293" s="35"/>
      <c r="X293" s="35"/>
      <c r="Y293" s="35"/>
      <c r="Z293" s="35"/>
      <c r="AA293" s="35"/>
      <c r="AB293" s="35"/>
      <c r="AC293" s="35"/>
      <c r="AD293" s="35"/>
      <c r="AE293" s="35"/>
      <c r="AF293" s="35"/>
      <c r="AG293" s="35"/>
      <c r="AH293" s="35"/>
      <c r="AI293" s="35"/>
      <c r="AJ293" s="35"/>
      <c r="AK293" s="35"/>
      <c r="AL293" s="35"/>
      <c r="AM293" s="35"/>
      <c r="AN293" s="35"/>
      <c r="AO293" s="35"/>
      <c r="AP293" s="35"/>
      <c r="AQ293" s="35"/>
      <c r="AR293" s="35"/>
      <c r="AS293" s="35"/>
      <c r="AT293" s="35"/>
      <c r="AU293" s="35"/>
      <c r="AV293" s="35"/>
      <c r="AW293" s="35"/>
      <c r="AX293" s="35"/>
      <c r="AY293" s="35"/>
      <c r="AZ293" s="35"/>
      <c r="BA293" s="35"/>
      <c r="BB293" s="35"/>
      <c r="BC293" s="35"/>
      <c r="BD293" s="35"/>
      <c r="BE293" s="35"/>
      <c r="BF293" s="35"/>
      <c r="BG293" s="35"/>
      <c r="BH293" s="35"/>
      <c r="BI293" s="35"/>
      <c r="BJ293" s="35"/>
      <c r="BK293" s="35"/>
      <c r="BL293" s="35"/>
    </row>
    <row r="294" spans="1:64" ht="14">
      <c r="A294" s="36"/>
      <c r="B294" s="37"/>
      <c r="C294" s="38">
        <f t="shared" si="32"/>
        <v>0</v>
      </c>
      <c r="D294" s="39"/>
      <c r="E294" s="39"/>
      <c r="F294" s="39"/>
      <c r="G294" s="39"/>
      <c r="H294" s="40"/>
      <c r="I294" s="41"/>
      <c r="J294" s="39"/>
      <c r="K294" s="41"/>
      <c r="L294" s="41"/>
      <c r="M294" s="42" t="str">
        <f t="shared" si="33"/>
        <v/>
      </c>
      <c r="N294" s="40" t="str">
        <f t="shared" si="34"/>
        <v/>
      </c>
      <c r="O294" s="40" t="str">
        <f t="shared" si="35"/>
        <v/>
      </c>
      <c r="P294" s="43" t="str">
        <f t="shared" si="36"/>
        <v/>
      </c>
      <c r="Q294" s="44">
        <f t="shared" si="37"/>
        <v>0</v>
      </c>
      <c r="R294" s="44">
        <f t="shared" si="38"/>
        <v>0</v>
      </c>
      <c r="S294" s="43">
        <f t="shared" si="39"/>
        <v>0</v>
      </c>
      <c r="T294" s="39"/>
      <c r="U294" s="35"/>
      <c r="V294" s="35"/>
      <c r="W294" s="35"/>
      <c r="X294" s="35"/>
      <c r="Y294" s="35"/>
      <c r="Z294" s="35"/>
      <c r="AA294" s="35"/>
      <c r="AB294" s="35"/>
      <c r="AC294" s="35"/>
      <c r="AD294" s="35"/>
      <c r="AE294" s="35"/>
      <c r="AF294" s="35"/>
      <c r="AG294" s="35"/>
      <c r="AH294" s="35"/>
      <c r="AI294" s="35"/>
      <c r="AJ294" s="35"/>
      <c r="AK294" s="35"/>
      <c r="AL294" s="35"/>
      <c r="AM294" s="35"/>
      <c r="AN294" s="35"/>
      <c r="AO294" s="35"/>
      <c r="AP294" s="35"/>
      <c r="AQ294" s="35"/>
      <c r="AR294" s="35"/>
      <c r="AS294" s="35"/>
      <c r="AT294" s="35"/>
      <c r="AU294" s="35"/>
      <c r="AV294" s="35"/>
      <c r="AW294" s="35"/>
      <c r="AX294" s="35"/>
      <c r="AY294" s="35"/>
      <c r="AZ294" s="35"/>
      <c r="BA294" s="35"/>
      <c r="BB294" s="35"/>
      <c r="BC294" s="35"/>
      <c r="BD294" s="35"/>
      <c r="BE294" s="35"/>
      <c r="BF294" s="35"/>
      <c r="BG294" s="35"/>
      <c r="BH294" s="35"/>
      <c r="BI294" s="35"/>
      <c r="BJ294" s="35"/>
      <c r="BK294" s="35"/>
      <c r="BL294" s="35"/>
    </row>
    <row r="295" spans="1:64" ht="14">
      <c r="A295" s="36"/>
      <c r="B295" s="37"/>
      <c r="C295" s="38">
        <f t="shared" si="32"/>
        <v>0</v>
      </c>
      <c r="D295" s="39"/>
      <c r="E295" s="39"/>
      <c r="F295" s="39"/>
      <c r="G295" s="39"/>
      <c r="H295" s="40"/>
      <c r="I295" s="41"/>
      <c r="J295" s="39"/>
      <c r="K295" s="41"/>
      <c r="L295" s="41"/>
      <c r="M295" s="42" t="str">
        <f t="shared" si="33"/>
        <v/>
      </c>
      <c r="N295" s="40" t="str">
        <f t="shared" si="34"/>
        <v/>
      </c>
      <c r="O295" s="40" t="str">
        <f t="shared" si="35"/>
        <v/>
      </c>
      <c r="P295" s="43" t="str">
        <f t="shared" si="36"/>
        <v/>
      </c>
      <c r="Q295" s="44">
        <f t="shared" si="37"/>
        <v>0</v>
      </c>
      <c r="R295" s="44">
        <f t="shared" si="38"/>
        <v>0</v>
      </c>
      <c r="S295" s="43">
        <f t="shared" si="39"/>
        <v>0</v>
      </c>
      <c r="T295" s="39"/>
      <c r="U295" s="35"/>
      <c r="V295" s="35"/>
      <c r="W295" s="35"/>
      <c r="X295" s="35"/>
      <c r="Y295" s="35"/>
      <c r="Z295" s="35"/>
      <c r="AA295" s="35"/>
      <c r="AB295" s="35"/>
      <c r="AC295" s="35"/>
      <c r="AD295" s="35"/>
      <c r="AE295" s="35"/>
      <c r="AF295" s="35"/>
      <c r="AG295" s="35"/>
      <c r="AH295" s="35"/>
      <c r="AI295" s="35"/>
      <c r="AJ295" s="35"/>
      <c r="AK295" s="35"/>
      <c r="AL295" s="35"/>
      <c r="AM295" s="35"/>
      <c r="AN295" s="35"/>
      <c r="AO295" s="35"/>
      <c r="AP295" s="35"/>
      <c r="AQ295" s="35"/>
      <c r="AR295" s="35"/>
      <c r="AS295" s="35"/>
      <c r="AT295" s="35"/>
      <c r="AU295" s="35"/>
      <c r="AV295" s="35"/>
      <c r="AW295" s="35"/>
      <c r="AX295" s="35"/>
      <c r="AY295" s="35"/>
      <c r="AZ295" s="35"/>
      <c r="BA295" s="35"/>
      <c r="BB295" s="35"/>
      <c r="BC295" s="35"/>
      <c r="BD295" s="35"/>
      <c r="BE295" s="35"/>
      <c r="BF295" s="35"/>
      <c r="BG295" s="35"/>
      <c r="BH295" s="35"/>
      <c r="BI295" s="35"/>
      <c r="BJ295" s="35"/>
      <c r="BK295" s="35"/>
      <c r="BL295" s="35"/>
    </row>
    <row r="296" spans="1:64" ht="14">
      <c r="A296" s="36"/>
      <c r="B296" s="37"/>
      <c r="C296" s="38">
        <f t="shared" si="32"/>
        <v>0</v>
      </c>
      <c r="D296" s="39"/>
      <c r="E296" s="39"/>
      <c r="F296" s="39"/>
      <c r="G296" s="39"/>
      <c r="H296" s="40"/>
      <c r="I296" s="41"/>
      <c r="J296" s="39"/>
      <c r="K296" s="41"/>
      <c r="L296" s="41"/>
      <c r="M296" s="42" t="str">
        <f t="shared" si="33"/>
        <v/>
      </c>
      <c r="N296" s="40" t="str">
        <f t="shared" si="34"/>
        <v/>
      </c>
      <c r="O296" s="40" t="str">
        <f t="shared" si="35"/>
        <v/>
      </c>
      <c r="P296" s="43" t="str">
        <f t="shared" si="36"/>
        <v/>
      </c>
      <c r="Q296" s="44">
        <f t="shared" si="37"/>
        <v>0</v>
      </c>
      <c r="R296" s="44">
        <f t="shared" si="38"/>
        <v>0</v>
      </c>
      <c r="S296" s="43">
        <f t="shared" si="39"/>
        <v>0</v>
      </c>
      <c r="T296" s="39"/>
      <c r="U296" s="35"/>
      <c r="V296" s="35"/>
      <c r="W296" s="35"/>
      <c r="X296" s="35"/>
      <c r="Y296" s="35"/>
      <c r="Z296" s="35"/>
      <c r="AA296" s="35"/>
      <c r="AB296" s="35"/>
      <c r="AC296" s="35"/>
      <c r="AD296" s="35"/>
      <c r="AE296" s="35"/>
      <c r="AF296" s="35"/>
      <c r="AG296" s="35"/>
      <c r="AH296" s="35"/>
      <c r="AI296" s="35"/>
      <c r="AJ296" s="35"/>
      <c r="AK296" s="35"/>
      <c r="AL296" s="35"/>
      <c r="AM296" s="35"/>
      <c r="AN296" s="35"/>
      <c r="AO296" s="35"/>
      <c r="AP296" s="35"/>
      <c r="AQ296" s="35"/>
      <c r="AR296" s="35"/>
      <c r="AS296" s="35"/>
      <c r="AT296" s="35"/>
      <c r="AU296" s="35"/>
      <c r="AV296" s="35"/>
      <c r="AW296" s="35"/>
      <c r="AX296" s="35"/>
      <c r="AY296" s="35"/>
      <c r="AZ296" s="35"/>
      <c r="BA296" s="35"/>
      <c r="BB296" s="35"/>
      <c r="BC296" s="35"/>
      <c r="BD296" s="35"/>
      <c r="BE296" s="35"/>
      <c r="BF296" s="35"/>
      <c r="BG296" s="35"/>
      <c r="BH296" s="35"/>
      <c r="BI296" s="35"/>
      <c r="BJ296" s="35"/>
      <c r="BK296" s="35"/>
      <c r="BL296" s="35"/>
    </row>
    <row r="297" spans="1:64" ht="14">
      <c r="A297" s="36"/>
      <c r="B297" s="37"/>
      <c r="C297" s="38">
        <f t="shared" si="32"/>
        <v>0</v>
      </c>
      <c r="D297" s="39"/>
      <c r="E297" s="39"/>
      <c r="F297" s="39"/>
      <c r="G297" s="39"/>
      <c r="H297" s="40"/>
      <c r="I297" s="41"/>
      <c r="J297" s="39"/>
      <c r="K297" s="41"/>
      <c r="L297" s="41"/>
      <c r="M297" s="42" t="str">
        <f t="shared" si="33"/>
        <v/>
      </c>
      <c r="N297" s="40" t="str">
        <f t="shared" si="34"/>
        <v/>
      </c>
      <c r="O297" s="40" t="str">
        <f t="shared" si="35"/>
        <v/>
      </c>
      <c r="P297" s="43" t="str">
        <f t="shared" si="36"/>
        <v/>
      </c>
      <c r="Q297" s="44">
        <f t="shared" si="37"/>
        <v>0</v>
      </c>
      <c r="R297" s="44">
        <f t="shared" si="38"/>
        <v>0</v>
      </c>
      <c r="S297" s="43">
        <f t="shared" si="39"/>
        <v>0</v>
      </c>
      <c r="T297" s="39"/>
      <c r="U297" s="35"/>
      <c r="V297" s="35"/>
      <c r="W297" s="35"/>
      <c r="X297" s="35"/>
      <c r="Y297" s="35"/>
      <c r="Z297" s="35"/>
      <c r="AA297" s="35"/>
      <c r="AB297" s="35"/>
      <c r="AC297" s="35"/>
      <c r="AD297" s="35"/>
      <c r="AE297" s="35"/>
      <c r="AF297" s="35"/>
      <c r="AG297" s="35"/>
      <c r="AH297" s="35"/>
      <c r="AI297" s="35"/>
      <c r="AJ297" s="35"/>
      <c r="AK297" s="35"/>
      <c r="AL297" s="35"/>
      <c r="AM297" s="35"/>
      <c r="AN297" s="35"/>
      <c r="AO297" s="35"/>
      <c r="AP297" s="35"/>
      <c r="AQ297" s="35"/>
      <c r="AR297" s="35"/>
      <c r="AS297" s="35"/>
      <c r="AT297" s="35"/>
      <c r="AU297" s="35"/>
      <c r="AV297" s="35"/>
      <c r="AW297" s="35"/>
      <c r="AX297" s="35"/>
      <c r="AY297" s="35"/>
      <c r="AZ297" s="35"/>
      <c r="BA297" s="35"/>
      <c r="BB297" s="35"/>
      <c r="BC297" s="35"/>
      <c r="BD297" s="35"/>
      <c r="BE297" s="35"/>
      <c r="BF297" s="35"/>
      <c r="BG297" s="35"/>
      <c r="BH297" s="35"/>
      <c r="BI297" s="35"/>
      <c r="BJ297" s="35"/>
      <c r="BK297" s="35"/>
      <c r="BL297" s="35"/>
    </row>
    <row r="298" spans="1:64" ht="14">
      <c r="A298" s="36"/>
      <c r="B298" s="37"/>
      <c r="C298" s="38">
        <f t="shared" si="32"/>
        <v>0</v>
      </c>
      <c r="D298" s="39"/>
      <c r="E298" s="39"/>
      <c r="F298" s="39"/>
      <c r="G298" s="39"/>
      <c r="H298" s="40"/>
      <c r="I298" s="41"/>
      <c r="J298" s="39"/>
      <c r="K298" s="41"/>
      <c r="L298" s="41"/>
      <c r="M298" s="42" t="str">
        <f t="shared" si="33"/>
        <v/>
      </c>
      <c r="N298" s="40" t="str">
        <f t="shared" si="34"/>
        <v/>
      </c>
      <c r="O298" s="40" t="str">
        <f t="shared" si="35"/>
        <v/>
      </c>
      <c r="P298" s="43" t="str">
        <f t="shared" si="36"/>
        <v/>
      </c>
      <c r="Q298" s="44">
        <f t="shared" si="37"/>
        <v>0</v>
      </c>
      <c r="R298" s="44">
        <f t="shared" si="38"/>
        <v>0</v>
      </c>
      <c r="S298" s="43">
        <f t="shared" si="39"/>
        <v>0</v>
      </c>
      <c r="T298" s="39"/>
      <c r="U298" s="35"/>
      <c r="V298" s="35"/>
      <c r="W298" s="35"/>
      <c r="X298" s="35"/>
      <c r="Y298" s="35"/>
      <c r="Z298" s="35"/>
      <c r="AA298" s="35"/>
      <c r="AB298" s="35"/>
      <c r="AC298" s="35"/>
      <c r="AD298" s="35"/>
      <c r="AE298" s="35"/>
      <c r="AF298" s="35"/>
      <c r="AG298" s="35"/>
      <c r="AH298" s="35"/>
      <c r="AI298" s="35"/>
      <c r="AJ298" s="35"/>
      <c r="AK298" s="35"/>
      <c r="AL298" s="35"/>
      <c r="AM298" s="35"/>
      <c r="AN298" s="35"/>
      <c r="AO298" s="35"/>
      <c r="AP298" s="35"/>
      <c r="AQ298" s="35"/>
      <c r="AR298" s="35"/>
      <c r="AS298" s="35"/>
      <c r="AT298" s="35"/>
      <c r="AU298" s="35"/>
      <c r="AV298" s="35"/>
      <c r="AW298" s="35"/>
      <c r="AX298" s="35"/>
      <c r="AY298" s="35"/>
      <c r="AZ298" s="35"/>
      <c r="BA298" s="35"/>
      <c r="BB298" s="35"/>
      <c r="BC298" s="35"/>
      <c r="BD298" s="35"/>
      <c r="BE298" s="35"/>
      <c r="BF298" s="35"/>
      <c r="BG298" s="35"/>
      <c r="BH298" s="35"/>
      <c r="BI298" s="35"/>
      <c r="BJ298" s="35"/>
      <c r="BK298" s="35"/>
      <c r="BL298" s="35"/>
    </row>
    <row r="299" spans="1:64" ht="14">
      <c r="A299" s="36"/>
      <c r="B299" s="37"/>
      <c r="C299" s="38">
        <f t="shared" si="32"/>
        <v>0</v>
      </c>
      <c r="D299" s="39"/>
      <c r="E299" s="39"/>
      <c r="F299" s="39"/>
      <c r="G299" s="39"/>
      <c r="H299" s="40"/>
      <c r="I299" s="41"/>
      <c r="J299" s="39"/>
      <c r="K299" s="41"/>
      <c r="L299" s="41"/>
      <c r="M299" s="42" t="str">
        <f t="shared" si="33"/>
        <v/>
      </c>
      <c r="N299" s="40" t="str">
        <f t="shared" si="34"/>
        <v/>
      </c>
      <c r="O299" s="40" t="str">
        <f t="shared" si="35"/>
        <v/>
      </c>
      <c r="P299" s="43" t="str">
        <f t="shared" si="36"/>
        <v/>
      </c>
      <c r="Q299" s="44">
        <f t="shared" si="37"/>
        <v>0</v>
      </c>
      <c r="R299" s="44">
        <f t="shared" si="38"/>
        <v>0</v>
      </c>
      <c r="S299" s="43">
        <f t="shared" si="39"/>
        <v>0</v>
      </c>
      <c r="T299" s="39"/>
      <c r="U299" s="35"/>
      <c r="V299" s="35"/>
      <c r="W299" s="35"/>
      <c r="X299" s="35"/>
      <c r="Y299" s="35"/>
      <c r="Z299" s="35"/>
      <c r="AA299" s="35"/>
      <c r="AB299" s="35"/>
      <c r="AC299" s="35"/>
      <c r="AD299" s="35"/>
      <c r="AE299" s="35"/>
      <c r="AF299" s="35"/>
      <c r="AG299" s="35"/>
      <c r="AH299" s="35"/>
      <c r="AI299" s="35"/>
      <c r="AJ299" s="35"/>
      <c r="AK299" s="35"/>
      <c r="AL299" s="35"/>
      <c r="AM299" s="35"/>
      <c r="AN299" s="35"/>
      <c r="AO299" s="35"/>
      <c r="AP299" s="35"/>
      <c r="AQ299" s="35"/>
      <c r="AR299" s="35"/>
      <c r="AS299" s="35"/>
      <c r="AT299" s="35"/>
      <c r="AU299" s="35"/>
      <c r="AV299" s="35"/>
      <c r="AW299" s="35"/>
      <c r="AX299" s="35"/>
      <c r="AY299" s="35"/>
      <c r="AZ299" s="35"/>
      <c r="BA299" s="35"/>
      <c r="BB299" s="35"/>
      <c r="BC299" s="35"/>
      <c r="BD299" s="35"/>
      <c r="BE299" s="35"/>
      <c r="BF299" s="35"/>
      <c r="BG299" s="35"/>
      <c r="BH299" s="35"/>
      <c r="BI299" s="35"/>
      <c r="BJ299" s="35"/>
      <c r="BK299" s="35"/>
      <c r="BL299" s="35"/>
    </row>
    <row r="300" spans="1:64" ht="14">
      <c r="A300" s="36"/>
      <c r="B300" s="37"/>
      <c r="C300" s="38">
        <f t="shared" si="32"/>
        <v>0</v>
      </c>
      <c r="D300" s="39"/>
      <c r="E300" s="39"/>
      <c r="F300" s="39"/>
      <c r="G300" s="39"/>
      <c r="H300" s="40"/>
      <c r="I300" s="41"/>
      <c r="J300" s="39"/>
      <c r="K300" s="41"/>
      <c r="L300" s="41"/>
      <c r="M300" s="42" t="str">
        <f t="shared" si="33"/>
        <v/>
      </c>
      <c r="N300" s="40" t="str">
        <f t="shared" si="34"/>
        <v/>
      </c>
      <c r="O300" s="40" t="str">
        <f t="shared" si="35"/>
        <v/>
      </c>
      <c r="P300" s="43" t="str">
        <f t="shared" si="36"/>
        <v/>
      </c>
      <c r="Q300" s="44">
        <f t="shared" si="37"/>
        <v>0</v>
      </c>
      <c r="R300" s="44">
        <f t="shared" si="38"/>
        <v>0</v>
      </c>
      <c r="S300" s="43">
        <f t="shared" si="39"/>
        <v>0</v>
      </c>
      <c r="T300" s="39"/>
      <c r="U300" s="35"/>
      <c r="V300" s="35"/>
      <c r="W300" s="35"/>
      <c r="X300" s="35"/>
      <c r="Y300" s="35"/>
      <c r="Z300" s="35"/>
      <c r="AA300" s="35"/>
      <c r="AB300" s="35"/>
      <c r="AC300" s="35"/>
      <c r="AD300" s="35"/>
      <c r="AE300" s="35"/>
      <c r="AF300" s="35"/>
      <c r="AG300" s="35"/>
      <c r="AH300" s="35"/>
      <c r="AI300" s="35"/>
      <c r="AJ300" s="35"/>
      <c r="AK300" s="35"/>
      <c r="AL300" s="35"/>
      <c r="AM300" s="35"/>
      <c r="AN300" s="35"/>
      <c r="AO300" s="35"/>
      <c r="AP300" s="35"/>
      <c r="AQ300" s="35"/>
      <c r="AR300" s="35"/>
      <c r="AS300" s="35"/>
      <c r="AT300" s="35"/>
      <c r="AU300" s="35"/>
      <c r="AV300" s="35"/>
      <c r="AW300" s="35"/>
      <c r="AX300" s="35"/>
      <c r="AY300" s="35"/>
      <c r="AZ300" s="35"/>
      <c r="BA300" s="35"/>
      <c r="BB300" s="35"/>
      <c r="BC300" s="35"/>
      <c r="BD300" s="35"/>
      <c r="BE300" s="35"/>
      <c r="BF300" s="35"/>
      <c r="BG300" s="35"/>
      <c r="BH300" s="35"/>
      <c r="BI300" s="35"/>
      <c r="BJ300" s="35"/>
      <c r="BK300" s="35"/>
      <c r="BL300" s="35"/>
    </row>
    <row r="301" spans="1:64" ht="14">
      <c r="A301" s="36"/>
      <c r="B301" s="37"/>
      <c r="C301" s="38">
        <f t="shared" si="32"/>
        <v>0</v>
      </c>
      <c r="D301" s="39"/>
      <c r="E301" s="39"/>
      <c r="F301" s="39"/>
      <c r="G301" s="39"/>
      <c r="H301" s="40"/>
      <c r="I301" s="41"/>
      <c r="J301" s="39"/>
      <c r="K301" s="41"/>
      <c r="L301" s="41"/>
      <c r="M301" s="42" t="str">
        <f t="shared" si="33"/>
        <v/>
      </c>
      <c r="N301" s="40" t="str">
        <f t="shared" si="34"/>
        <v/>
      </c>
      <c r="O301" s="40" t="str">
        <f t="shared" si="35"/>
        <v/>
      </c>
      <c r="P301" s="43" t="str">
        <f t="shared" si="36"/>
        <v/>
      </c>
      <c r="Q301" s="44">
        <f t="shared" si="37"/>
        <v>0</v>
      </c>
      <c r="R301" s="44">
        <f t="shared" si="38"/>
        <v>0</v>
      </c>
      <c r="S301" s="43">
        <f t="shared" si="39"/>
        <v>0</v>
      </c>
      <c r="T301" s="39"/>
      <c r="U301" s="35"/>
      <c r="V301" s="35"/>
      <c r="W301" s="35"/>
      <c r="X301" s="35"/>
      <c r="Y301" s="35"/>
      <c r="Z301" s="35"/>
      <c r="AA301" s="35"/>
      <c r="AB301" s="35"/>
      <c r="AC301" s="35"/>
      <c r="AD301" s="35"/>
      <c r="AE301" s="35"/>
      <c r="AF301" s="35"/>
      <c r="AG301" s="35"/>
      <c r="AH301" s="35"/>
      <c r="AI301" s="35"/>
      <c r="AJ301" s="35"/>
      <c r="AK301" s="35"/>
      <c r="AL301" s="35"/>
      <c r="AM301" s="35"/>
      <c r="AN301" s="35"/>
      <c r="AO301" s="35"/>
      <c r="AP301" s="35"/>
      <c r="AQ301" s="35"/>
      <c r="AR301" s="35"/>
      <c r="AS301" s="35"/>
      <c r="AT301" s="35"/>
      <c r="AU301" s="35"/>
      <c r="AV301" s="35"/>
      <c r="AW301" s="35"/>
      <c r="AX301" s="35"/>
      <c r="AY301" s="35"/>
      <c r="AZ301" s="35"/>
      <c r="BA301" s="35"/>
      <c r="BB301" s="35"/>
      <c r="BC301" s="35"/>
      <c r="BD301" s="35"/>
      <c r="BE301" s="35"/>
      <c r="BF301" s="35"/>
      <c r="BG301" s="35"/>
      <c r="BH301" s="35"/>
      <c r="BI301" s="35"/>
      <c r="BJ301" s="35"/>
      <c r="BK301" s="35"/>
      <c r="BL301" s="35"/>
    </row>
    <row r="302" spans="1:64" ht="14">
      <c r="A302" s="36"/>
      <c r="B302" s="37"/>
      <c r="C302" s="38">
        <f t="shared" si="32"/>
        <v>0</v>
      </c>
      <c r="D302" s="39"/>
      <c r="E302" s="39"/>
      <c r="F302" s="39"/>
      <c r="G302" s="39"/>
      <c r="H302" s="40"/>
      <c r="I302" s="41"/>
      <c r="J302" s="39"/>
      <c r="K302" s="41"/>
      <c r="L302" s="41"/>
      <c r="M302" s="42" t="str">
        <f t="shared" si="33"/>
        <v/>
      </c>
      <c r="N302" s="40" t="str">
        <f t="shared" si="34"/>
        <v/>
      </c>
      <c r="O302" s="40" t="str">
        <f t="shared" si="35"/>
        <v/>
      </c>
      <c r="P302" s="43" t="str">
        <f t="shared" si="36"/>
        <v/>
      </c>
      <c r="Q302" s="44">
        <f t="shared" si="37"/>
        <v>0</v>
      </c>
      <c r="R302" s="44">
        <f t="shared" si="38"/>
        <v>0</v>
      </c>
      <c r="S302" s="43">
        <f t="shared" si="39"/>
        <v>0</v>
      </c>
      <c r="T302" s="39"/>
      <c r="U302" s="35"/>
      <c r="V302" s="35"/>
      <c r="W302" s="35"/>
      <c r="X302" s="35"/>
      <c r="Y302" s="35"/>
      <c r="Z302" s="35"/>
      <c r="AA302" s="35"/>
      <c r="AB302" s="35"/>
      <c r="AC302" s="35"/>
      <c r="AD302" s="35"/>
      <c r="AE302" s="35"/>
      <c r="AF302" s="35"/>
      <c r="AG302" s="35"/>
      <c r="AH302" s="35"/>
      <c r="AI302" s="35"/>
      <c r="AJ302" s="35"/>
      <c r="AK302" s="35"/>
      <c r="AL302" s="35"/>
      <c r="AM302" s="35"/>
      <c r="AN302" s="35"/>
      <c r="AO302" s="35"/>
      <c r="AP302" s="35"/>
      <c r="AQ302" s="35"/>
      <c r="AR302" s="35"/>
      <c r="AS302" s="35"/>
      <c r="AT302" s="35"/>
      <c r="AU302" s="35"/>
      <c r="AV302" s="35"/>
      <c r="AW302" s="35"/>
      <c r="AX302" s="35"/>
      <c r="AY302" s="35"/>
      <c r="AZ302" s="35"/>
      <c r="BA302" s="35"/>
      <c r="BB302" s="35"/>
      <c r="BC302" s="35"/>
      <c r="BD302" s="35"/>
      <c r="BE302" s="35"/>
      <c r="BF302" s="35"/>
      <c r="BG302" s="35"/>
      <c r="BH302" s="35"/>
      <c r="BI302" s="35"/>
      <c r="BJ302" s="35"/>
      <c r="BK302" s="35"/>
      <c r="BL302" s="35"/>
    </row>
    <row r="303" spans="1:64" ht="14">
      <c r="A303" s="36"/>
      <c r="B303" s="37"/>
      <c r="C303" s="38">
        <f t="shared" si="32"/>
        <v>0</v>
      </c>
      <c r="D303" s="39"/>
      <c r="E303" s="39"/>
      <c r="F303" s="39"/>
      <c r="G303" s="39"/>
      <c r="H303" s="40"/>
      <c r="I303" s="41"/>
      <c r="J303" s="39"/>
      <c r="K303" s="41"/>
      <c r="L303" s="41"/>
      <c r="M303" s="42" t="str">
        <f t="shared" si="33"/>
        <v/>
      </c>
      <c r="N303" s="40" t="str">
        <f t="shared" si="34"/>
        <v/>
      </c>
      <c r="O303" s="40" t="str">
        <f t="shared" si="35"/>
        <v/>
      </c>
      <c r="P303" s="43" t="str">
        <f t="shared" si="36"/>
        <v/>
      </c>
      <c r="Q303" s="44">
        <f t="shared" si="37"/>
        <v>0</v>
      </c>
      <c r="R303" s="44">
        <f t="shared" si="38"/>
        <v>0</v>
      </c>
      <c r="S303" s="43">
        <f t="shared" si="39"/>
        <v>0</v>
      </c>
      <c r="T303" s="39"/>
      <c r="U303" s="35"/>
      <c r="V303" s="35"/>
      <c r="W303" s="35"/>
      <c r="X303" s="35"/>
      <c r="Y303" s="35"/>
      <c r="Z303" s="35"/>
      <c r="AA303" s="35"/>
      <c r="AB303" s="35"/>
      <c r="AC303" s="35"/>
      <c r="AD303" s="35"/>
      <c r="AE303" s="35"/>
      <c r="AF303" s="35"/>
      <c r="AG303" s="35"/>
      <c r="AH303" s="35"/>
      <c r="AI303" s="35"/>
      <c r="AJ303" s="35"/>
      <c r="AK303" s="35"/>
      <c r="AL303" s="35"/>
      <c r="AM303" s="35"/>
      <c r="AN303" s="35"/>
      <c r="AO303" s="35"/>
      <c r="AP303" s="35"/>
      <c r="AQ303" s="35"/>
      <c r="AR303" s="35"/>
      <c r="AS303" s="35"/>
      <c r="AT303" s="35"/>
      <c r="AU303" s="35"/>
      <c r="AV303" s="35"/>
      <c r="AW303" s="35"/>
      <c r="AX303" s="35"/>
      <c r="AY303" s="35"/>
      <c r="AZ303" s="35"/>
      <c r="BA303" s="35"/>
      <c r="BB303" s="35"/>
      <c r="BC303" s="35"/>
      <c r="BD303" s="35"/>
      <c r="BE303" s="35"/>
      <c r="BF303" s="35"/>
      <c r="BG303" s="35"/>
      <c r="BH303" s="35"/>
      <c r="BI303" s="35"/>
      <c r="BJ303" s="35"/>
      <c r="BK303" s="35"/>
      <c r="BL303" s="35"/>
    </row>
    <row r="304" spans="1:64" ht="14">
      <c r="A304" s="36"/>
      <c r="B304" s="37"/>
      <c r="C304" s="38">
        <f t="shared" si="32"/>
        <v>0</v>
      </c>
      <c r="D304" s="39"/>
      <c r="E304" s="39"/>
      <c r="F304" s="39"/>
      <c r="G304" s="39"/>
      <c r="H304" s="40"/>
      <c r="I304" s="41"/>
      <c r="J304" s="39"/>
      <c r="K304" s="41"/>
      <c r="L304" s="41"/>
      <c r="M304" s="42" t="str">
        <f t="shared" si="33"/>
        <v/>
      </c>
      <c r="N304" s="40" t="str">
        <f t="shared" si="34"/>
        <v/>
      </c>
      <c r="O304" s="40" t="str">
        <f t="shared" si="35"/>
        <v/>
      </c>
      <c r="P304" s="43" t="str">
        <f t="shared" si="36"/>
        <v/>
      </c>
      <c r="Q304" s="44">
        <f t="shared" si="37"/>
        <v>0</v>
      </c>
      <c r="R304" s="44">
        <f t="shared" si="38"/>
        <v>0</v>
      </c>
      <c r="S304" s="43">
        <f t="shared" si="39"/>
        <v>0</v>
      </c>
      <c r="T304" s="39"/>
      <c r="U304" s="35"/>
      <c r="V304" s="35"/>
      <c r="W304" s="35"/>
      <c r="X304" s="35"/>
      <c r="Y304" s="35"/>
      <c r="Z304" s="35"/>
      <c r="AA304" s="35"/>
      <c r="AB304" s="35"/>
      <c r="AC304" s="35"/>
      <c r="AD304" s="35"/>
      <c r="AE304" s="35"/>
      <c r="AF304" s="35"/>
      <c r="AG304" s="35"/>
      <c r="AH304" s="35"/>
      <c r="AI304" s="35"/>
      <c r="AJ304" s="35"/>
      <c r="AK304" s="35"/>
      <c r="AL304" s="35"/>
      <c r="AM304" s="35"/>
      <c r="AN304" s="35"/>
      <c r="AO304" s="35"/>
      <c r="AP304" s="35"/>
      <c r="AQ304" s="35"/>
      <c r="AR304" s="35"/>
      <c r="AS304" s="35"/>
      <c r="AT304" s="35"/>
      <c r="AU304" s="35"/>
      <c r="AV304" s="35"/>
      <c r="AW304" s="35"/>
      <c r="AX304" s="35"/>
      <c r="AY304" s="35"/>
      <c r="AZ304" s="35"/>
      <c r="BA304" s="35"/>
      <c r="BB304" s="35"/>
      <c r="BC304" s="35"/>
      <c r="BD304" s="35"/>
      <c r="BE304" s="35"/>
      <c r="BF304" s="35"/>
      <c r="BG304" s="35"/>
      <c r="BH304" s="35"/>
      <c r="BI304" s="35"/>
      <c r="BJ304" s="35"/>
      <c r="BK304" s="35"/>
      <c r="BL304" s="35"/>
    </row>
    <row r="305" spans="1:64" ht="14">
      <c r="A305" s="36"/>
      <c r="B305" s="37"/>
      <c r="C305" s="38">
        <f t="shared" si="32"/>
        <v>0</v>
      </c>
      <c r="D305" s="39"/>
      <c r="E305" s="39"/>
      <c r="F305" s="39"/>
      <c r="G305" s="39"/>
      <c r="H305" s="40"/>
      <c r="I305" s="41"/>
      <c r="J305" s="39"/>
      <c r="K305" s="41"/>
      <c r="L305" s="41"/>
      <c r="M305" s="42" t="str">
        <f t="shared" si="33"/>
        <v/>
      </c>
      <c r="N305" s="40" t="str">
        <f t="shared" si="34"/>
        <v/>
      </c>
      <c r="O305" s="40" t="str">
        <f t="shared" si="35"/>
        <v/>
      </c>
      <c r="P305" s="43" t="str">
        <f t="shared" si="36"/>
        <v/>
      </c>
      <c r="Q305" s="44">
        <f t="shared" si="37"/>
        <v>0</v>
      </c>
      <c r="R305" s="44">
        <f t="shared" si="38"/>
        <v>0</v>
      </c>
      <c r="S305" s="43">
        <f t="shared" si="39"/>
        <v>0</v>
      </c>
      <c r="T305" s="39"/>
      <c r="U305" s="35"/>
      <c r="V305" s="35"/>
      <c r="W305" s="35"/>
      <c r="X305" s="35"/>
      <c r="Y305" s="35"/>
      <c r="Z305" s="35"/>
      <c r="AA305" s="35"/>
      <c r="AB305" s="35"/>
      <c r="AC305" s="35"/>
      <c r="AD305" s="35"/>
      <c r="AE305" s="35"/>
      <c r="AF305" s="35"/>
      <c r="AG305" s="35"/>
      <c r="AH305" s="35"/>
      <c r="AI305" s="35"/>
      <c r="AJ305" s="35"/>
      <c r="AK305" s="35"/>
      <c r="AL305" s="35"/>
      <c r="AM305" s="35"/>
      <c r="AN305" s="35"/>
      <c r="AO305" s="35"/>
      <c r="AP305" s="35"/>
      <c r="AQ305" s="35"/>
      <c r="AR305" s="35"/>
      <c r="AS305" s="35"/>
      <c r="AT305" s="35"/>
      <c r="AU305" s="35"/>
      <c r="AV305" s="35"/>
      <c r="AW305" s="35"/>
      <c r="AX305" s="35"/>
      <c r="AY305" s="35"/>
      <c r="AZ305" s="35"/>
      <c r="BA305" s="35"/>
      <c r="BB305" s="35"/>
      <c r="BC305" s="35"/>
      <c r="BD305" s="35"/>
      <c r="BE305" s="35"/>
      <c r="BF305" s="35"/>
      <c r="BG305" s="35"/>
      <c r="BH305" s="35"/>
      <c r="BI305" s="35"/>
      <c r="BJ305" s="35"/>
      <c r="BK305" s="35"/>
      <c r="BL305" s="35"/>
    </row>
    <row r="306" spans="1:64" ht="14">
      <c r="A306" s="36"/>
      <c r="B306" s="37"/>
      <c r="C306" s="38">
        <f t="shared" si="32"/>
        <v>0</v>
      </c>
      <c r="D306" s="39"/>
      <c r="E306" s="39"/>
      <c r="F306" s="39"/>
      <c r="G306" s="39"/>
      <c r="H306" s="40"/>
      <c r="I306" s="41"/>
      <c r="J306" s="39"/>
      <c r="K306" s="41"/>
      <c r="L306" s="41"/>
      <c r="M306" s="42" t="str">
        <f t="shared" si="33"/>
        <v/>
      </c>
      <c r="N306" s="40" t="str">
        <f t="shared" si="34"/>
        <v/>
      </c>
      <c r="O306" s="40" t="str">
        <f t="shared" si="35"/>
        <v/>
      </c>
      <c r="P306" s="43" t="str">
        <f t="shared" si="36"/>
        <v/>
      </c>
      <c r="Q306" s="44">
        <f t="shared" si="37"/>
        <v>0</v>
      </c>
      <c r="R306" s="44">
        <f t="shared" si="38"/>
        <v>0</v>
      </c>
      <c r="S306" s="43">
        <f t="shared" si="39"/>
        <v>0</v>
      </c>
      <c r="T306" s="39"/>
      <c r="U306" s="35"/>
      <c r="V306" s="35"/>
      <c r="W306" s="35"/>
      <c r="X306" s="35"/>
      <c r="Y306" s="35"/>
      <c r="Z306" s="35"/>
      <c r="AA306" s="35"/>
      <c r="AB306" s="35"/>
      <c r="AC306" s="35"/>
      <c r="AD306" s="35"/>
      <c r="AE306" s="35"/>
      <c r="AF306" s="35"/>
      <c r="AG306" s="35"/>
      <c r="AH306" s="35"/>
      <c r="AI306" s="35"/>
      <c r="AJ306" s="35"/>
      <c r="AK306" s="35"/>
      <c r="AL306" s="35"/>
      <c r="AM306" s="35"/>
      <c r="AN306" s="35"/>
      <c r="AO306" s="35"/>
      <c r="AP306" s="35"/>
      <c r="AQ306" s="35"/>
      <c r="AR306" s="35"/>
      <c r="AS306" s="35"/>
      <c r="AT306" s="35"/>
      <c r="AU306" s="35"/>
      <c r="AV306" s="35"/>
      <c r="AW306" s="35"/>
      <c r="AX306" s="35"/>
      <c r="AY306" s="35"/>
      <c r="AZ306" s="35"/>
      <c r="BA306" s="35"/>
      <c r="BB306" s="35"/>
      <c r="BC306" s="35"/>
      <c r="BD306" s="35"/>
      <c r="BE306" s="35"/>
      <c r="BF306" s="35"/>
      <c r="BG306" s="35"/>
      <c r="BH306" s="35"/>
      <c r="BI306" s="35"/>
      <c r="BJ306" s="35"/>
      <c r="BK306" s="35"/>
      <c r="BL306" s="35"/>
    </row>
    <row r="307" spans="1:64" ht="14">
      <c r="A307" s="36"/>
      <c r="B307" s="37"/>
      <c r="C307" s="38">
        <f t="shared" si="32"/>
        <v>0</v>
      </c>
      <c r="D307" s="39"/>
      <c r="E307" s="39"/>
      <c r="F307" s="39"/>
      <c r="G307" s="39"/>
      <c r="H307" s="40"/>
      <c r="I307" s="41"/>
      <c r="J307" s="39"/>
      <c r="K307" s="41"/>
      <c r="L307" s="41"/>
      <c r="M307" s="42" t="str">
        <f t="shared" si="33"/>
        <v/>
      </c>
      <c r="N307" s="40" t="str">
        <f t="shared" si="34"/>
        <v/>
      </c>
      <c r="O307" s="40" t="str">
        <f t="shared" si="35"/>
        <v/>
      </c>
      <c r="P307" s="43" t="str">
        <f t="shared" si="36"/>
        <v/>
      </c>
      <c r="Q307" s="44">
        <f t="shared" si="37"/>
        <v>0</v>
      </c>
      <c r="R307" s="44">
        <f t="shared" si="38"/>
        <v>0</v>
      </c>
      <c r="S307" s="43">
        <f t="shared" si="39"/>
        <v>0</v>
      </c>
      <c r="T307" s="39"/>
      <c r="U307" s="35"/>
      <c r="V307" s="35"/>
      <c r="W307" s="35"/>
      <c r="X307" s="35"/>
      <c r="Y307" s="35"/>
      <c r="Z307" s="35"/>
      <c r="AA307" s="35"/>
      <c r="AB307" s="35"/>
      <c r="AC307" s="35"/>
      <c r="AD307" s="35"/>
      <c r="AE307" s="35"/>
      <c r="AF307" s="35"/>
      <c r="AG307" s="35"/>
      <c r="AH307" s="35"/>
      <c r="AI307" s="35"/>
      <c r="AJ307" s="35"/>
      <c r="AK307" s="35"/>
      <c r="AL307" s="35"/>
      <c r="AM307" s="35"/>
      <c r="AN307" s="35"/>
      <c r="AO307" s="35"/>
      <c r="AP307" s="35"/>
      <c r="AQ307" s="35"/>
      <c r="AR307" s="35"/>
      <c r="AS307" s="35"/>
      <c r="AT307" s="35"/>
      <c r="AU307" s="35"/>
      <c r="AV307" s="35"/>
      <c r="AW307" s="35"/>
      <c r="AX307" s="35"/>
      <c r="AY307" s="35"/>
      <c r="AZ307" s="35"/>
      <c r="BA307" s="35"/>
      <c r="BB307" s="35"/>
      <c r="BC307" s="35"/>
      <c r="BD307" s="35"/>
      <c r="BE307" s="35"/>
      <c r="BF307" s="35"/>
      <c r="BG307" s="35"/>
      <c r="BH307" s="35"/>
      <c r="BI307" s="35"/>
      <c r="BJ307" s="35"/>
      <c r="BK307" s="35"/>
      <c r="BL307" s="35"/>
    </row>
    <row r="308" spans="1:64" ht="14">
      <c r="A308" s="36"/>
      <c r="B308" s="37"/>
      <c r="C308" s="38">
        <f t="shared" si="32"/>
        <v>0</v>
      </c>
      <c r="D308" s="39"/>
      <c r="E308" s="39"/>
      <c r="F308" s="39"/>
      <c r="G308" s="39"/>
      <c r="H308" s="40"/>
      <c r="I308" s="41"/>
      <c r="J308" s="39"/>
      <c r="K308" s="41"/>
      <c r="L308" s="41"/>
      <c r="M308" s="42" t="str">
        <f t="shared" si="33"/>
        <v/>
      </c>
      <c r="N308" s="40" t="str">
        <f t="shared" si="34"/>
        <v/>
      </c>
      <c r="O308" s="40" t="str">
        <f t="shared" si="35"/>
        <v/>
      </c>
      <c r="P308" s="43" t="str">
        <f t="shared" si="36"/>
        <v/>
      </c>
      <c r="Q308" s="44">
        <f t="shared" si="37"/>
        <v>0</v>
      </c>
      <c r="R308" s="44">
        <f t="shared" si="38"/>
        <v>0</v>
      </c>
      <c r="S308" s="43">
        <f t="shared" si="39"/>
        <v>0</v>
      </c>
      <c r="T308" s="39"/>
      <c r="U308" s="35"/>
      <c r="V308" s="35"/>
      <c r="W308" s="35"/>
      <c r="X308" s="35"/>
      <c r="Y308" s="35"/>
      <c r="Z308" s="35"/>
      <c r="AA308" s="35"/>
      <c r="AB308" s="35"/>
      <c r="AC308" s="35"/>
      <c r="AD308" s="35"/>
      <c r="AE308" s="35"/>
      <c r="AF308" s="35"/>
      <c r="AG308" s="35"/>
      <c r="AH308" s="35"/>
      <c r="AI308" s="35"/>
      <c r="AJ308" s="35"/>
      <c r="AK308" s="35"/>
      <c r="AL308" s="35"/>
      <c r="AM308" s="35"/>
      <c r="AN308" s="35"/>
      <c r="AO308" s="35"/>
      <c r="AP308" s="35"/>
      <c r="AQ308" s="35"/>
      <c r="AR308" s="35"/>
      <c r="AS308" s="35"/>
      <c r="AT308" s="35"/>
      <c r="AU308" s="35"/>
      <c r="AV308" s="35"/>
      <c r="AW308" s="35"/>
      <c r="AX308" s="35"/>
      <c r="AY308" s="35"/>
      <c r="AZ308" s="35"/>
      <c r="BA308" s="35"/>
      <c r="BB308" s="35"/>
      <c r="BC308" s="35"/>
      <c r="BD308" s="35"/>
      <c r="BE308" s="35"/>
      <c r="BF308" s="35"/>
      <c r="BG308" s="35"/>
      <c r="BH308" s="35"/>
      <c r="BI308" s="35"/>
      <c r="BJ308" s="35"/>
      <c r="BK308" s="35"/>
      <c r="BL308" s="35"/>
    </row>
    <row r="309" spans="1:64" ht="14">
      <c r="A309" s="36"/>
      <c r="B309" s="37"/>
      <c r="C309" s="38">
        <f t="shared" si="32"/>
        <v>0</v>
      </c>
      <c r="D309" s="39"/>
      <c r="E309" s="39"/>
      <c r="F309" s="39"/>
      <c r="G309" s="39"/>
      <c r="H309" s="40"/>
      <c r="I309" s="41"/>
      <c r="J309" s="39"/>
      <c r="K309" s="41"/>
      <c r="L309" s="41"/>
      <c r="M309" s="42" t="str">
        <f t="shared" si="33"/>
        <v/>
      </c>
      <c r="N309" s="40" t="str">
        <f t="shared" si="34"/>
        <v/>
      </c>
      <c r="O309" s="40" t="str">
        <f t="shared" si="35"/>
        <v/>
      </c>
      <c r="P309" s="43" t="str">
        <f t="shared" si="36"/>
        <v/>
      </c>
      <c r="Q309" s="44">
        <f t="shared" si="37"/>
        <v>0</v>
      </c>
      <c r="R309" s="44">
        <f t="shared" si="38"/>
        <v>0</v>
      </c>
      <c r="S309" s="43">
        <f t="shared" si="39"/>
        <v>0</v>
      </c>
      <c r="T309" s="39"/>
      <c r="U309" s="35"/>
      <c r="V309" s="35"/>
      <c r="W309" s="35"/>
      <c r="X309" s="35"/>
      <c r="Y309" s="35"/>
      <c r="Z309" s="35"/>
      <c r="AA309" s="35"/>
      <c r="AB309" s="35"/>
      <c r="AC309" s="35"/>
      <c r="AD309" s="35"/>
      <c r="AE309" s="35"/>
      <c r="AF309" s="35"/>
      <c r="AG309" s="35"/>
      <c r="AH309" s="35"/>
      <c r="AI309" s="35"/>
      <c r="AJ309" s="35"/>
      <c r="AK309" s="35"/>
      <c r="AL309" s="35"/>
      <c r="AM309" s="35"/>
      <c r="AN309" s="35"/>
      <c r="AO309" s="35"/>
      <c r="AP309" s="35"/>
      <c r="AQ309" s="35"/>
      <c r="AR309" s="35"/>
      <c r="AS309" s="35"/>
      <c r="AT309" s="35"/>
      <c r="AU309" s="35"/>
      <c r="AV309" s="35"/>
      <c r="AW309" s="35"/>
      <c r="AX309" s="35"/>
      <c r="AY309" s="35"/>
      <c r="AZ309" s="35"/>
      <c r="BA309" s="35"/>
      <c r="BB309" s="35"/>
      <c r="BC309" s="35"/>
      <c r="BD309" s="35"/>
      <c r="BE309" s="35"/>
      <c r="BF309" s="35"/>
      <c r="BG309" s="35"/>
      <c r="BH309" s="35"/>
      <c r="BI309" s="35"/>
      <c r="BJ309" s="35"/>
      <c r="BK309" s="35"/>
      <c r="BL309" s="35"/>
    </row>
    <row r="310" spans="1:64" ht="14">
      <c r="A310" s="36"/>
      <c r="B310" s="37"/>
      <c r="C310" s="38">
        <f t="shared" si="32"/>
        <v>0</v>
      </c>
      <c r="D310" s="39"/>
      <c r="E310" s="39"/>
      <c r="F310" s="39"/>
      <c r="G310" s="39"/>
      <c r="H310" s="40"/>
      <c r="I310" s="41"/>
      <c r="J310" s="39"/>
      <c r="K310" s="41"/>
      <c r="L310" s="41"/>
      <c r="M310" s="42" t="str">
        <f t="shared" si="33"/>
        <v/>
      </c>
      <c r="N310" s="40" t="str">
        <f t="shared" si="34"/>
        <v/>
      </c>
      <c r="O310" s="40" t="str">
        <f t="shared" si="35"/>
        <v/>
      </c>
      <c r="P310" s="43" t="str">
        <f t="shared" si="36"/>
        <v/>
      </c>
      <c r="Q310" s="44">
        <f t="shared" si="37"/>
        <v>0</v>
      </c>
      <c r="R310" s="44">
        <f t="shared" si="38"/>
        <v>0</v>
      </c>
      <c r="S310" s="43">
        <f t="shared" si="39"/>
        <v>0</v>
      </c>
      <c r="T310" s="39"/>
      <c r="U310" s="35"/>
      <c r="V310" s="35"/>
      <c r="W310" s="35"/>
      <c r="X310" s="35"/>
      <c r="Y310" s="35"/>
      <c r="Z310" s="35"/>
      <c r="AA310" s="35"/>
      <c r="AB310" s="35"/>
      <c r="AC310" s="35"/>
      <c r="AD310" s="35"/>
      <c r="AE310" s="35"/>
      <c r="AF310" s="35"/>
      <c r="AG310" s="35"/>
      <c r="AH310" s="35"/>
      <c r="AI310" s="35"/>
      <c r="AJ310" s="35"/>
      <c r="AK310" s="35"/>
      <c r="AL310" s="35"/>
      <c r="AM310" s="35"/>
      <c r="AN310" s="35"/>
      <c r="AO310" s="35"/>
      <c r="AP310" s="35"/>
      <c r="AQ310" s="35"/>
      <c r="AR310" s="35"/>
      <c r="AS310" s="35"/>
      <c r="AT310" s="35"/>
      <c r="AU310" s="35"/>
      <c r="AV310" s="35"/>
      <c r="AW310" s="35"/>
      <c r="AX310" s="35"/>
      <c r="AY310" s="35"/>
      <c r="AZ310" s="35"/>
      <c r="BA310" s="35"/>
      <c r="BB310" s="35"/>
      <c r="BC310" s="35"/>
      <c r="BD310" s="35"/>
      <c r="BE310" s="35"/>
      <c r="BF310" s="35"/>
      <c r="BG310" s="35"/>
      <c r="BH310" s="35"/>
      <c r="BI310" s="35"/>
      <c r="BJ310" s="35"/>
      <c r="BK310" s="35"/>
      <c r="BL310" s="35"/>
    </row>
    <row r="311" spans="1:64" ht="14">
      <c r="A311" s="36"/>
      <c r="B311" s="37"/>
      <c r="C311" s="38">
        <f t="shared" si="32"/>
        <v>0</v>
      </c>
      <c r="D311" s="39"/>
      <c r="E311" s="39"/>
      <c r="F311" s="39"/>
      <c r="G311" s="39"/>
      <c r="H311" s="40"/>
      <c r="I311" s="41"/>
      <c r="J311" s="39"/>
      <c r="K311" s="41"/>
      <c r="L311" s="41"/>
      <c r="M311" s="42" t="str">
        <f t="shared" si="33"/>
        <v/>
      </c>
      <c r="N311" s="40" t="str">
        <f t="shared" si="34"/>
        <v/>
      </c>
      <c r="O311" s="40" t="str">
        <f t="shared" si="35"/>
        <v/>
      </c>
      <c r="P311" s="43" t="str">
        <f t="shared" si="36"/>
        <v/>
      </c>
      <c r="Q311" s="44">
        <f t="shared" si="37"/>
        <v>0</v>
      </c>
      <c r="R311" s="44">
        <f t="shared" si="38"/>
        <v>0</v>
      </c>
      <c r="S311" s="43">
        <f t="shared" si="39"/>
        <v>0</v>
      </c>
      <c r="T311" s="39"/>
      <c r="U311" s="35"/>
      <c r="V311" s="35"/>
      <c r="W311" s="35"/>
      <c r="X311" s="35"/>
      <c r="Y311" s="35"/>
      <c r="Z311" s="35"/>
      <c r="AA311" s="35"/>
      <c r="AB311" s="35"/>
      <c r="AC311" s="35"/>
      <c r="AD311" s="35"/>
      <c r="AE311" s="35"/>
      <c r="AF311" s="35"/>
      <c r="AG311" s="35"/>
      <c r="AH311" s="35"/>
      <c r="AI311" s="35"/>
      <c r="AJ311" s="35"/>
      <c r="AK311" s="35"/>
      <c r="AL311" s="35"/>
      <c r="AM311" s="35"/>
      <c r="AN311" s="35"/>
      <c r="AO311" s="35"/>
      <c r="AP311" s="35"/>
      <c r="AQ311" s="35"/>
      <c r="AR311" s="35"/>
      <c r="AS311" s="35"/>
      <c r="AT311" s="35"/>
      <c r="AU311" s="35"/>
      <c r="AV311" s="35"/>
      <c r="AW311" s="35"/>
      <c r="AX311" s="35"/>
      <c r="AY311" s="35"/>
      <c r="AZ311" s="35"/>
      <c r="BA311" s="35"/>
      <c r="BB311" s="35"/>
      <c r="BC311" s="35"/>
      <c r="BD311" s="35"/>
      <c r="BE311" s="35"/>
      <c r="BF311" s="35"/>
      <c r="BG311" s="35"/>
      <c r="BH311" s="35"/>
      <c r="BI311" s="35"/>
      <c r="BJ311" s="35"/>
      <c r="BK311" s="35"/>
      <c r="BL311" s="35"/>
    </row>
    <row r="312" spans="1:64" ht="14">
      <c r="A312" s="36"/>
      <c r="B312" s="37"/>
      <c r="C312" s="38">
        <f t="shared" si="32"/>
        <v>0</v>
      </c>
      <c r="D312" s="39"/>
      <c r="E312" s="39"/>
      <c r="F312" s="39"/>
      <c r="G312" s="39"/>
      <c r="H312" s="40"/>
      <c r="I312" s="41"/>
      <c r="J312" s="39"/>
      <c r="K312" s="41"/>
      <c r="L312" s="41"/>
      <c r="M312" s="42" t="str">
        <f t="shared" si="33"/>
        <v/>
      </c>
      <c r="N312" s="40" t="str">
        <f t="shared" si="34"/>
        <v/>
      </c>
      <c r="O312" s="40" t="str">
        <f t="shared" si="35"/>
        <v/>
      </c>
      <c r="P312" s="43" t="str">
        <f t="shared" si="36"/>
        <v/>
      </c>
      <c r="Q312" s="44">
        <f t="shared" si="37"/>
        <v>0</v>
      </c>
      <c r="R312" s="44">
        <f t="shared" si="38"/>
        <v>0</v>
      </c>
      <c r="S312" s="43">
        <f t="shared" si="39"/>
        <v>0</v>
      </c>
      <c r="T312" s="39"/>
      <c r="U312" s="35"/>
      <c r="V312" s="35"/>
      <c r="W312" s="35"/>
      <c r="X312" s="35"/>
      <c r="Y312" s="35"/>
      <c r="Z312" s="35"/>
      <c r="AA312" s="35"/>
      <c r="AB312" s="35"/>
      <c r="AC312" s="35"/>
      <c r="AD312" s="35"/>
      <c r="AE312" s="35"/>
      <c r="AF312" s="35"/>
      <c r="AG312" s="35"/>
      <c r="AH312" s="35"/>
      <c r="AI312" s="35"/>
      <c r="AJ312" s="35"/>
      <c r="AK312" s="35"/>
      <c r="AL312" s="35"/>
      <c r="AM312" s="35"/>
      <c r="AN312" s="35"/>
      <c r="AO312" s="35"/>
      <c r="AP312" s="35"/>
      <c r="AQ312" s="35"/>
      <c r="AR312" s="35"/>
      <c r="AS312" s="35"/>
      <c r="AT312" s="35"/>
      <c r="AU312" s="35"/>
      <c r="AV312" s="35"/>
      <c r="AW312" s="35"/>
      <c r="AX312" s="35"/>
      <c r="AY312" s="35"/>
      <c r="AZ312" s="35"/>
      <c r="BA312" s="35"/>
      <c r="BB312" s="35"/>
      <c r="BC312" s="35"/>
      <c r="BD312" s="35"/>
      <c r="BE312" s="35"/>
      <c r="BF312" s="35"/>
      <c r="BG312" s="35"/>
      <c r="BH312" s="35"/>
      <c r="BI312" s="35"/>
      <c r="BJ312" s="35"/>
      <c r="BK312" s="35"/>
      <c r="BL312" s="35"/>
    </row>
    <row r="313" spans="1:64" ht="14">
      <c r="A313" s="36"/>
      <c r="B313" s="37"/>
      <c r="C313" s="38">
        <f t="shared" si="32"/>
        <v>0</v>
      </c>
      <c r="D313" s="39"/>
      <c r="E313" s="39"/>
      <c r="F313" s="39"/>
      <c r="G313" s="39"/>
      <c r="H313" s="40"/>
      <c r="I313" s="41"/>
      <c r="J313" s="39"/>
      <c r="K313" s="41"/>
      <c r="L313" s="41"/>
      <c r="M313" s="42" t="str">
        <f t="shared" si="33"/>
        <v/>
      </c>
      <c r="N313" s="40" t="str">
        <f t="shared" si="34"/>
        <v/>
      </c>
      <c r="O313" s="40" t="str">
        <f t="shared" si="35"/>
        <v/>
      </c>
      <c r="P313" s="43" t="str">
        <f t="shared" si="36"/>
        <v/>
      </c>
      <c r="Q313" s="44">
        <f t="shared" si="37"/>
        <v>0</v>
      </c>
      <c r="R313" s="44">
        <f t="shared" si="38"/>
        <v>0</v>
      </c>
      <c r="S313" s="43">
        <f t="shared" si="39"/>
        <v>0</v>
      </c>
      <c r="T313" s="39"/>
      <c r="U313" s="35"/>
      <c r="V313" s="35"/>
      <c r="W313" s="35"/>
      <c r="X313" s="35"/>
      <c r="Y313" s="35"/>
      <c r="Z313" s="35"/>
      <c r="AA313" s="35"/>
      <c r="AB313" s="35"/>
      <c r="AC313" s="35"/>
      <c r="AD313" s="35"/>
      <c r="AE313" s="35"/>
      <c r="AF313" s="35"/>
      <c r="AG313" s="35"/>
      <c r="AH313" s="35"/>
      <c r="AI313" s="35"/>
      <c r="AJ313" s="35"/>
      <c r="AK313" s="35"/>
      <c r="AL313" s="35"/>
      <c r="AM313" s="35"/>
      <c r="AN313" s="35"/>
      <c r="AO313" s="35"/>
      <c r="AP313" s="35"/>
      <c r="AQ313" s="35"/>
      <c r="AR313" s="35"/>
      <c r="AS313" s="35"/>
      <c r="AT313" s="35"/>
      <c r="AU313" s="35"/>
      <c r="AV313" s="35"/>
      <c r="AW313" s="35"/>
      <c r="AX313" s="35"/>
      <c r="AY313" s="35"/>
      <c r="AZ313" s="35"/>
      <c r="BA313" s="35"/>
      <c r="BB313" s="35"/>
      <c r="BC313" s="35"/>
      <c r="BD313" s="35"/>
      <c r="BE313" s="35"/>
      <c r="BF313" s="35"/>
      <c r="BG313" s="35"/>
      <c r="BH313" s="35"/>
      <c r="BI313" s="35"/>
      <c r="BJ313" s="35"/>
      <c r="BK313" s="35"/>
      <c r="BL313" s="35"/>
    </row>
    <row r="314" spans="1:64" ht="14">
      <c r="A314" s="36"/>
      <c r="B314" s="37"/>
      <c r="C314" s="38">
        <f t="shared" si="32"/>
        <v>0</v>
      </c>
      <c r="D314" s="39"/>
      <c r="E314" s="39"/>
      <c r="F314" s="39"/>
      <c r="G314" s="39"/>
      <c r="H314" s="40"/>
      <c r="I314" s="41"/>
      <c r="J314" s="39"/>
      <c r="K314" s="41"/>
      <c r="L314" s="41"/>
      <c r="M314" s="42" t="str">
        <f t="shared" si="33"/>
        <v/>
      </c>
      <c r="N314" s="40" t="str">
        <f t="shared" si="34"/>
        <v/>
      </c>
      <c r="O314" s="40" t="str">
        <f t="shared" si="35"/>
        <v/>
      </c>
      <c r="P314" s="43" t="str">
        <f t="shared" si="36"/>
        <v/>
      </c>
      <c r="Q314" s="44">
        <f t="shared" si="37"/>
        <v>0</v>
      </c>
      <c r="R314" s="44">
        <f t="shared" si="38"/>
        <v>0</v>
      </c>
      <c r="S314" s="43">
        <f t="shared" si="39"/>
        <v>0</v>
      </c>
      <c r="T314" s="39"/>
      <c r="U314" s="35"/>
      <c r="V314" s="35"/>
      <c r="W314" s="35"/>
      <c r="X314" s="35"/>
      <c r="Y314" s="35"/>
      <c r="Z314" s="35"/>
      <c r="AA314" s="35"/>
      <c r="AB314" s="35"/>
      <c r="AC314" s="35"/>
      <c r="AD314" s="35"/>
      <c r="AE314" s="35"/>
      <c r="AF314" s="35"/>
      <c r="AG314" s="35"/>
      <c r="AH314" s="35"/>
      <c r="AI314" s="35"/>
      <c r="AJ314" s="35"/>
      <c r="AK314" s="35"/>
      <c r="AL314" s="35"/>
      <c r="AM314" s="35"/>
      <c r="AN314" s="35"/>
      <c r="AO314" s="35"/>
      <c r="AP314" s="35"/>
      <c r="AQ314" s="35"/>
      <c r="AR314" s="35"/>
      <c r="AS314" s="35"/>
      <c r="AT314" s="35"/>
      <c r="AU314" s="35"/>
      <c r="AV314" s="35"/>
      <c r="AW314" s="35"/>
      <c r="AX314" s="35"/>
      <c r="AY314" s="35"/>
      <c r="AZ314" s="35"/>
      <c r="BA314" s="35"/>
      <c r="BB314" s="35"/>
      <c r="BC314" s="35"/>
      <c r="BD314" s="35"/>
      <c r="BE314" s="35"/>
      <c r="BF314" s="35"/>
      <c r="BG314" s="35"/>
      <c r="BH314" s="35"/>
      <c r="BI314" s="35"/>
      <c r="BJ314" s="35"/>
      <c r="BK314" s="35"/>
      <c r="BL314" s="35"/>
    </row>
    <row r="315" spans="1:64" ht="14">
      <c r="A315" s="36"/>
      <c r="B315" s="37"/>
      <c r="C315" s="38">
        <f t="shared" si="32"/>
        <v>0</v>
      </c>
      <c r="D315" s="39"/>
      <c r="E315" s="39"/>
      <c r="F315" s="39"/>
      <c r="G315" s="39"/>
      <c r="H315" s="40"/>
      <c r="I315" s="41"/>
      <c r="J315" s="39"/>
      <c r="K315" s="41"/>
      <c r="L315" s="41"/>
      <c r="M315" s="42" t="str">
        <f t="shared" si="33"/>
        <v/>
      </c>
      <c r="N315" s="40" t="str">
        <f t="shared" si="34"/>
        <v/>
      </c>
      <c r="O315" s="40" t="str">
        <f t="shared" si="35"/>
        <v/>
      </c>
      <c r="P315" s="43" t="str">
        <f t="shared" si="36"/>
        <v/>
      </c>
      <c r="Q315" s="44">
        <f t="shared" si="37"/>
        <v>0</v>
      </c>
      <c r="R315" s="44">
        <f t="shared" si="38"/>
        <v>0</v>
      </c>
      <c r="S315" s="43">
        <f t="shared" si="39"/>
        <v>0</v>
      </c>
      <c r="T315" s="39"/>
      <c r="U315" s="35"/>
      <c r="V315" s="35"/>
      <c r="W315" s="35"/>
      <c r="X315" s="35"/>
      <c r="Y315" s="35"/>
      <c r="Z315" s="35"/>
      <c r="AA315" s="35"/>
      <c r="AB315" s="35"/>
      <c r="AC315" s="35"/>
      <c r="AD315" s="35"/>
      <c r="AE315" s="35"/>
      <c r="AF315" s="35"/>
      <c r="AG315" s="35"/>
      <c r="AH315" s="35"/>
      <c r="AI315" s="35"/>
      <c r="AJ315" s="35"/>
      <c r="AK315" s="35"/>
      <c r="AL315" s="35"/>
      <c r="AM315" s="35"/>
      <c r="AN315" s="35"/>
      <c r="AO315" s="35"/>
      <c r="AP315" s="35"/>
      <c r="AQ315" s="35"/>
      <c r="AR315" s="35"/>
      <c r="AS315" s="35"/>
      <c r="AT315" s="35"/>
      <c r="AU315" s="35"/>
      <c r="AV315" s="35"/>
      <c r="AW315" s="35"/>
      <c r="AX315" s="35"/>
      <c r="AY315" s="35"/>
      <c r="AZ315" s="35"/>
      <c r="BA315" s="35"/>
      <c r="BB315" s="35"/>
      <c r="BC315" s="35"/>
      <c r="BD315" s="35"/>
      <c r="BE315" s="35"/>
      <c r="BF315" s="35"/>
      <c r="BG315" s="35"/>
      <c r="BH315" s="35"/>
      <c r="BI315" s="35"/>
      <c r="BJ315" s="35"/>
      <c r="BK315" s="35"/>
      <c r="BL315" s="35"/>
    </row>
    <row r="316" spans="1:64" ht="14">
      <c r="A316" s="36"/>
      <c r="B316" s="37"/>
      <c r="C316" s="38">
        <f t="shared" si="32"/>
        <v>0</v>
      </c>
      <c r="D316" s="39"/>
      <c r="E316" s="39"/>
      <c r="F316" s="39"/>
      <c r="G316" s="39"/>
      <c r="H316" s="40"/>
      <c r="I316" s="41"/>
      <c r="J316" s="39"/>
      <c r="K316" s="41"/>
      <c r="L316" s="41"/>
      <c r="M316" s="42" t="str">
        <f t="shared" si="33"/>
        <v/>
      </c>
      <c r="N316" s="40" t="str">
        <f t="shared" si="34"/>
        <v/>
      </c>
      <c r="O316" s="40" t="str">
        <f t="shared" si="35"/>
        <v/>
      </c>
      <c r="P316" s="43" t="str">
        <f t="shared" si="36"/>
        <v/>
      </c>
      <c r="Q316" s="44">
        <f t="shared" si="37"/>
        <v>0</v>
      </c>
      <c r="R316" s="44">
        <f t="shared" si="38"/>
        <v>0</v>
      </c>
      <c r="S316" s="43">
        <f t="shared" si="39"/>
        <v>0</v>
      </c>
      <c r="T316" s="39"/>
      <c r="U316" s="35"/>
      <c r="V316" s="35"/>
      <c r="W316" s="35"/>
      <c r="X316" s="35"/>
      <c r="Y316" s="35"/>
      <c r="Z316" s="35"/>
      <c r="AA316" s="35"/>
      <c r="AB316" s="35"/>
      <c r="AC316" s="35"/>
      <c r="AD316" s="35"/>
      <c r="AE316" s="35"/>
      <c r="AF316" s="35"/>
      <c r="AG316" s="35"/>
      <c r="AH316" s="35"/>
      <c r="AI316" s="35"/>
      <c r="AJ316" s="35"/>
      <c r="AK316" s="35"/>
      <c r="AL316" s="35"/>
      <c r="AM316" s="35"/>
      <c r="AN316" s="35"/>
      <c r="AO316" s="35"/>
      <c r="AP316" s="35"/>
      <c r="AQ316" s="35"/>
      <c r="AR316" s="35"/>
      <c r="AS316" s="35"/>
      <c r="AT316" s="35"/>
      <c r="AU316" s="35"/>
      <c r="AV316" s="35"/>
      <c r="AW316" s="35"/>
      <c r="AX316" s="35"/>
      <c r="AY316" s="35"/>
      <c r="AZ316" s="35"/>
      <c r="BA316" s="35"/>
      <c r="BB316" s="35"/>
      <c r="BC316" s="35"/>
      <c r="BD316" s="35"/>
      <c r="BE316" s="35"/>
      <c r="BF316" s="35"/>
      <c r="BG316" s="35"/>
      <c r="BH316" s="35"/>
      <c r="BI316" s="35"/>
      <c r="BJ316" s="35"/>
      <c r="BK316" s="35"/>
      <c r="BL316" s="35"/>
    </row>
    <row r="317" spans="1:64" ht="14">
      <c r="A317" s="36"/>
      <c r="B317" s="37"/>
      <c r="C317" s="38">
        <f t="shared" si="32"/>
        <v>0</v>
      </c>
      <c r="D317" s="39"/>
      <c r="E317" s="39"/>
      <c r="F317" s="39"/>
      <c r="G317" s="39"/>
      <c r="H317" s="40"/>
      <c r="I317" s="41"/>
      <c r="J317" s="39"/>
      <c r="K317" s="41"/>
      <c r="L317" s="41"/>
      <c r="M317" s="42" t="str">
        <f t="shared" si="33"/>
        <v/>
      </c>
      <c r="N317" s="40" t="str">
        <f t="shared" si="34"/>
        <v/>
      </c>
      <c r="O317" s="40" t="str">
        <f t="shared" si="35"/>
        <v/>
      </c>
      <c r="P317" s="43" t="str">
        <f t="shared" si="36"/>
        <v/>
      </c>
      <c r="Q317" s="44">
        <f t="shared" si="37"/>
        <v>0</v>
      </c>
      <c r="R317" s="44">
        <f t="shared" si="38"/>
        <v>0</v>
      </c>
      <c r="S317" s="43">
        <f t="shared" si="39"/>
        <v>0</v>
      </c>
      <c r="T317" s="39"/>
      <c r="U317" s="35"/>
      <c r="V317" s="35"/>
      <c r="W317" s="35"/>
      <c r="X317" s="35"/>
      <c r="Y317" s="35"/>
      <c r="Z317" s="35"/>
      <c r="AA317" s="35"/>
      <c r="AB317" s="35"/>
      <c r="AC317" s="35"/>
      <c r="AD317" s="35"/>
      <c r="AE317" s="35"/>
      <c r="AF317" s="35"/>
      <c r="AG317" s="35"/>
      <c r="AH317" s="35"/>
      <c r="AI317" s="35"/>
      <c r="AJ317" s="35"/>
      <c r="AK317" s="35"/>
      <c r="AL317" s="35"/>
      <c r="AM317" s="35"/>
      <c r="AN317" s="35"/>
      <c r="AO317" s="35"/>
      <c r="AP317" s="35"/>
      <c r="AQ317" s="35"/>
      <c r="AR317" s="35"/>
      <c r="AS317" s="35"/>
      <c r="AT317" s="35"/>
      <c r="AU317" s="35"/>
      <c r="AV317" s="35"/>
      <c r="AW317" s="35"/>
      <c r="AX317" s="35"/>
      <c r="AY317" s="35"/>
      <c r="AZ317" s="35"/>
      <c r="BA317" s="35"/>
      <c r="BB317" s="35"/>
      <c r="BC317" s="35"/>
      <c r="BD317" s="35"/>
      <c r="BE317" s="35"/>
      <c r="BF317" s="35"/>
      <c r="BG317" s="35"/>
      <c r="BH317" s="35"/>
      <c r="BI317" s="35"/>
      <c r="BJ317" s="35"/>
      <c r="BK317" s="35"/>
      <c r="BL317" s="35"/>
    </row>
    <row r="318" spans="1:64" ht="14">
      <c r="A318" s="36"/>
      <c r="B318" s="37"/>
      <c r="C318" s="38">
        <f t="shared" si="32"/>
        <v>0</v>
      </c>
      <c r="D318" s="39"/>
      <c r="E318" s="39"/>
      <c r="F318" s="39"/>
      <c r="G318" s="39"/>
      <c r="H318" s="40"/>
      <c r="I318" s="41"/>
      <c r="J318" s="39"/>
      <c r="K318" s="41"/>
      <c r="L318" s="41"/>
      <c r="M318" s="42" t="str">
        <f t="shared" si="33"/>
        <v/>
      </c>
      <c r="N318" s="40" t="str">
        <f t="shared" si="34"/>
        <v/>
      </c>
      <c r="O318" s="40" t="str">
        <f t="shared" si="35"/>
        <v/>
      </c>
      <c r="P318" s="43" t="str">
        <f t="shared" si="36"/>
        <v/>
      </c>
      <c r="Q318" s="44">
        <f t="shared" si="37"/>
        <v>0</v>
      </c>
      <c r="R318" s="44">
        <f t="shared" si="38"/>
        <v>0</v>
      </c>
      <c r="S318" s="43">
        <f t="shared" si="39"/>
        <v>0</v>
      </c>
      <c r="T318" s="39"/>
      <c r="U318" s="35"/>
      <c r="V318" s="35"/>
      <c r="W318" s="35"/>
      <c r="X318" s="35"/>
      <c r="Y318" s="35"/>
      <c r="Z318" s="35"/>
      <c r="AA318" s="35"/>
      <c r="AB318" s="35"/>
      <c r="AC318" s="35"/>
      <c r="AD318" s="35"/>
      <c r="AE318" s="35"/>
      <c r="AF318" s="35"/>
      <c r="AG318" s="35"/>
      <c r="AH318" s="35"/>
      <c r="AI318" s="35"/>
      <c r="AJ318" s="35"/>
      <c r="AK318" s="35"/>
      <c r="AL318" s="35"/>
      <c r="AM318" s="35"/>
      <c r="AN318" s="35"/>
      <c r="AO318" s="35"/>
      <c r="AP318" s="35"/>
      <c r="AQ318" s="35"/>
      <c r="AR318" s="35"/>
      <c r="AS318" s="35"/>
      <c r="AT318" s="35"/>
      <c r="AU318" s="35"/>
      <c r="AV318" s="35"/>
      <c r="AW318" s="35"/>
      <c r="AX318" s="35"/>
      <c r="AY318" s="35"/>
      <c r="AZ318" s="35"/>
      <c r="BA318" s="35"/>
      <c r="BB318" s="35"/>
      <c r="BC318" s="35"/>
      <c r="BD318" s="35"/>
      <c r="BE318" s="35"/>
      <c r="BF318" s="35"/>
      <c r="BG318" s="35"/>
      <c r="BH318" s="35"/>
      <c r="BI318" s="35"/>
      <c r="BJ318" s="35"/>
      <c r="BK318" s="35"/>
      <c r="BL318" s="35"/>
    </row>
    <row r="319" spans="1:64" ht="14">
      <c r="A319" s="36"/>
      <c r="B319" s="37"/>
      <c r="C319" s="38">
        <f t="shared" si="32"/>
        <v>0</v>
      </c>
      <c r="D319" s="39"/>
      <c r="E319" s="39"/>
      <c r="F319" s="39"/>
      <c r="G319" s="39"/>
      <c r="H319" s="40"/>
      <c r="I319" s="41"/>
      <c r="J319" s="39"/>
      <c r="K319" s="41"/>
      <c r="L319" s="41"/>
      <c r="M319" s="42" t="str">
        <f t="shared" si="33"/>
        <v/>
      </c>
      <c r="N319" s="40" t="str">
        <f t="shared" si="34"/>
        <v/>
      </c>
      <c r="O319" s="40" t="str">
        <f t="shared" si="35"/>
        <v/>
      </c>
      <c r="P319" s="43" t="str">
        <f t="shared" si="36"/>
        <v/>
      </c>
      <c r="Q319" s="44">
        <f t="shared" si="37"/>
        <v>0</v>
      </c>
      <c r="R319" s="44">
        <f t="shared" si="38"/>
        <v>0</v>
      </c>
      <c r="S319" s="43">
        <f t="shared" si="39"/>
        <v>0</v>
      </c>
      <c r="T319" s="39"/>
      <c r="U319" s="35"/>
      <c r="V319" s="35"/>
      <c r="W319" s="35"/>
      <c r="X319" s="35"/>
      <c r="Y319" s="35"/>
      <c r="Z319" s="35"/>
      <c r="AA319" s="35"/>
      <c r="AB319" s="35"/>
      <c r="AC319" s="35"/>
      <c r="AD319" s="35"/>
      <c r="AE319" s="35"/>
      <c r="AF319" s="35"/>
      <c r="AG319" s="35"/>
      <c r="AH319" s="35"/>
      <c r="AI319" s="35"/>
      <c r="AJ319" s="35"/>
      <c r="AK319" s="35"/>
      <c r="AL319" s="35"/>
      <c r="AM319" s="35"/>
      <c r="AN319" s="35"/>
      <c r="AO319" s="35"/>
      <c r="AP319" s="35"/>
      <c r="AQ319" s="35"/>
      <c r="AR319" s="35"/>
      <c r="AS319" s="35"/>
      <c r="AT319" s="35"/>
      <c r="AU319" s="35"/>
      <c r="AV319" s="35"/>
      <c r="AW319" s="35"/>
      <c r="AX319" s="35"/>
      <c r="AY319" s="35"/>
      <c r="AZ319" s="35"/>
      <c r="BA319" s="35"/>
      <c r="BB319" s="35"/>
      <c r="BC319" s="35"/>
      <c r="BD319" s="35"/>
      <c r="BE319" s="35"/>
      <c r="BF319" s="35"/>
      <c r="BG319" s="35"/>
      <c r="BH319" s="35"/>
      <c r="BI319" s="35"/>
      <c r="BJ319" s="35"/>
      <c r="BK319" s="35"/>
      <c r="BL319" s="35"/>
    </row>
    <row r="320" spans="1:64" ht="14">
      <c r="A320" s="36"/>
      <c r="B320" s="37"/>
      <c r="C320" s="38">
        <f t="shared" si="32"/>
        <v>0</v>
      </c>
      <c r="D320" s="39"/>
      <c r="E320" s="39"/>
      <c r="F320" s="39"/>
      <c r="G320" s="39"/>
      <c r="H320" s="40"/>
      <c r="I320" s="41"/>
      <c r="J320" s="39"/>
      <c r="K320" s="41"/>
      <c r="L320" s="41"/>
      <c r="M320" s="42" t="str">
        <f t="shared" si="33"/>
        <v/>
      </c>
      <c r="N320" s="40" t="str">
        <f t="shared" si="34"/>
        <v/>
      </c>
      <c r="O320" s="40" t="str">
        <f t="shared" si="35"/>
        <v/>
      </c>
      <c r="P320" s="43" t="str">
        <f t="shared" si="36"/>
        <v/>
      </c>
      <c r="Q320" s="44">
        <f t="shared" si="37"/>
        <v>0</v>
      </c>
      <c r="R320" s="44">
        <f t="shared" si="38"/>
        <v>0</v>
      </c>
      <c r="S320" s="43">
        <f t="shared" si="39"/>
        <v>0</v>
      </c>
      <c r="T320" s="39"/>
      <c r="U320" s="35"/>
      <c r="V320" s="35"/>
      <c r="W320" s="35"/>
      <c r="X320" s="35"/>
      <c r="Y320" s="35"/>
      <c r="Z320" s="35"/>
      <c r="AA320" s="35"/>
      <c r="AB320" s="35"/>
      <c r="AC320" s="35"/>
      <c r="AD320" s="35"/>
      <c r="AE320" s="35"/>
      <c r="AF320" s="35"/>
      <c r="AG320" s="35"/>
      <c r="AH320" s="35"/>
      <c r="AI320" s="35"/>
      <c r="AJ320" s="35"/>
      <c r="AK320" s="35"/>
      <c r="AL320" s="35"/>
      <c r="AM320" s="35"/>
      <c r="AN320" s="35"/>
      <c r="AO320" s="35"/>
      <c r="AP320" s="35"/>
      <c r="AQ320" s="35"/>
      <c r="AR320" s="35"/>
      <c r="AS320" s="35"/>
      <c r="AT320" s="35"/>
      <c r="AU320" s="35"/>
      <c r="AV320" s="35"/>
      <c r="AW320" s="35"/>
      <c r="AX320" s="35"/>
      <c r="AY320" s="35"/>
      <c r="AZ320" s="35"/>
      <c r="BA320" s="35"/>
      <c r="BB320" s="35"/>
      <c r="BC320" s="35"/>
      <c r="BD320" s="35"/>
      <c r="BE320" s="35"/>
      <c r="BF320" s="35"/>
      <c r="BG320" s="35"/>
      <c r="BH320" s="35"/>
      <c r="BI320" s="35"/>
      <c r="BJ320" s="35"/>
      <c r="BK320" s="35"/>
      <c r="BL320" s="35"/>
    </row>
    <row r="321" spans="1:64" ht="14">
      <c r="A321" s="36"/>
      <c r="B321" s="37"/>
      <c r="C321" s="38">
        <f t="shared" si="32"/>
        <v>0</v>
      </c>
      <c r="D321" s="39"/>
      <c r="E321" s="39"/>
      <c r="F321" s="39"/>
      <c r="G321" s="39"/>
      <c r="H321" s="40"/>
      <c r="I321" s="41"/>
      <c r="J321" s="39"/>
      <c r="K321" s="41"/>
      <c r="L321" s="41"/>
      <c r="M321" s="42" t="str">
        <f t="shared" si="33"/>
        <v/>
      </c>
      <c r="N321" s="40" t="str">
        <f t="shared" si="34"/>
        <v/>
      </c>
      <c r="O321" s="40" t="str">
        <f t="shared" si="35"/>
        <v/>
      </c>
      <c r="P321" s="43" t="str">
        <f t="shared" si="36"/>
        <v/>
      </c>
      <c r="Q321" s="44">
        <f t="shared" si="37"/>
        <v>0</v>
      </c>
      <c r="R321" s="44">
        <f t="shared" si="38"/>
        <v>0</v>
      </c>
      <c r="S321" s="43">
        <f t="shared" si="39"/>
        <v>0</v>
      </c>
      <c r="T321" s="39"/>
      <c r="U321" s="35"/>
      <c r="V321" s="35"/>
      <c r="W321" s="35"/>
      <c r="X321" s="35"/>
      <c r="Y321" s="35"/>
      <c r="Z321" s="35"/>
      <c r="AA321" s="35"/>
      <c r="AB321" s="35"/>
      <c r="AC321" s="35"/>
      <c r="AD321" s="35"/>
      <c r="AE321" s="35"/>
      <c r="AF321" s="35"/>
      <c r="AG321" s="35"/>
      <c r="AH321" s="35"/>
      <c r="AI321" s="35"/>
      <c r="AJ321" s="35"/>
      <c r="AK321" s="35"/>
      <c r="AL321" s="35"/>
      <c r="AM321" s="35"/>
      <c r="AN321" s="35"/>
      <c r="AO321" s="35"/>
      <c r="AP321" s="35"/>
      <c r="AQ321" s="35"/>
      <c r="AR321" s="35"/>
      <c r="AS321" s="35"/>
      <c r="AT321" s="35"/>
      <c r="AU321" s="35"/>
      <c r="AV321" s="35"/>
      <c r="AW321" s="35"/>
      <c r="AX321" s="35"/>
      <c r="AY321" s="35"/>
      <c r="AZ321" s="35"/>
      <c r="BA321" s="35"/>
      <c r="BB321" s="35"/>
      <c r="BC321" s="35"/>
      <c r="BD321" s="35"/>
      <c r="BE321" s="35"/>
      <c r="BF321" s="35"/>
      <c r="BG321" s="35"/>
      <c r="BH321" s="35"/>
      <c r="BI321" s="35"/>
      <c r="BJ321" s="35"/>
      <c r="BK321" s="35"/>
      <c r="BL321" s="35"/>
    </row>
    <row r="322" spans="1:64" ht="14">
      <c r="A322" s="36"/>
      <c r="B322" s="37"/>
      <c r="C322" s="38">
        <f t="shared" si="32"/>
        <v>0</v>
      </c>
      <c r="D322" s="39"/>
      <c r="E322" s="39"/>
      <c r="F322" s="39"/>
      <c r="G322" s="39"/>
      <c r="H322" s="40"/>
      <c r="I322" s="41"/>
      <c r="J322" s="39"/>
      <c r="K322" s="41"/>
      <c r="L322" s="41"/>
      <c r="M322" s="42" t="str">
        <f t="shared" si="33"/>
        <v/>
      </c>
      <c r="N322" s="40" t="str">
        <f t="shared" si="34"/>
        <v/>
      </c>
      <c r="O322" s="40" t="str">
        <f t="shared" si="35"/>
        <v/>
      </c>
      <c r="P322" s="43" t="str">
        <f t="shared" si="36"/>
        <v/>
      </c>
      <c r="Q322" s="44">
        <f t="shared" si="37"/>
        <v>0</v>
      </c>
      <c r="R322" s="44">
        <f t="shared" si="38"/>
        <v>0</v>
      </c>
      <c r="S322" s="43">
        <f t="shared" si="39"/>
        <v>0</v>
      </c>
      <c r="T322" s="39"/>
      <c r="U322" s="35"/>
      <c r="V322" s="35"/>
      <c r="W322" s="35"/>
      <c r="X322" s="35"/>
      <c r="Y322" s="35"/>
      <c r="Z322" s="35"/>
      <c r="AA322" s="35"/>
      <c r="AB322" s="35"/>
      <c r="AC322" s="35"/>
      <c r="AD322" s="35"/>
      <c r="AE322" s="35"/>
      <c r="AF322" s="35"/>
      <c r="AG322" s="35"/>
      <c r="AH322" s="35"/>
      <c r="AI322" s="35"/>
      <c r="AJ322" s="35"/>
      <c r="AK322" s="35"/>
      <c r="AL322" s="35"/>
      <c r="AM322" s="35"/>
      <c r="AN322" s="35"/>
      <c r="AO322" s="35"/>
      <c r="AP322" s="35"/>
      <c r="AQ322" s="35"/>
      <c r="AR322" s="35"/>
      <c r="AS322" s="35"/>
      <c r="AT322" s="35"/>
      <c r="AU322" s="35"/>
      <c r="AV322" s="35"/>
      <c r="AW322" s="35"/>
      <c r="AX322" s="35"/>
      <c r="AY322" s="35"/>
      <c r="AZ322" s="35"/>
      <c r="BA322" s="35"/>
      <c r="BB322" s="35"/>
      <c r="BC322" s="35"/>
      <c r="BD322" s="35"/>
      <c r="BE322" s="35"/>
      <c r="BF322" s="35"/>
      <c r="BG322" s="35"/>
      <c r="BH322" s="35"/>
      <c r="BI322" s="35"/>
      <c r="BJ322" s="35"/>
      <c r="BK322" s="35"/>
      <c r="BL322" s="35"/>
    </row>
    <row r="323" spans="1:64" ht="14">
      <c r="A323" s="36"/>
      <c r="B323" s="37"/>
      <c r="C323" s="38">
        <f t="shared" si="32"/>
        <v>0</v>
      </c>
      <c r="D323" s="39"/>
      <c r="E323" s="39"/>
      <c r="F323" s="39"/>
      <c r="G323" s="39"/>
      <c r="H323" s="40"/>
      <c r="I323" s="41"/>
      <c r="J323" s="39"/>
      <c r="K323" s="41"/>
      <c r="L323" s="41"/>
      <c r="M323" s="42" t="str">
        <f t="shared" si="33"/>
        <v/>
      </c>
      <c r="N323" s="40" t="str">
        <f t="shared" si="34"/>
        <v/>
      </c>
      <c r="O323" s="40" t="str">
        <f t="shared" si="35"/>
        <v/>
      </c>
      <c r="P323" s="43" t="str">
        <f t="shared" si="36"/>
        <v/>
      </c>
      <c r="Q323" s="44">
        <f t="shared" si="37"/>
        <v>0</v>
      </c>
      <c r="R323" s="44">
        <f t="shared" si="38"/>
        <v>0</v>
      </c>
      <c r="S323" s="43">
        <f t="shared" si="39"/>
        <v>0</v>
      </c>
      <c r="T323" s="39"/>
      <c r="U323" s="35"/>
      <c r="V323" s="35"/>
      <c r="W323" s="35"/>
      <c r="X323" s="35"/>
      <c r="Y323" s="35"/>
      <c r="Z323" s="35"/>
      <c r="AA323" s="35"/>
      <c r="AB323" s="35"/>
      <c r="AC323" s="35"/>
      <c r="AD323" s="35"/>
      <c r="AE323" s="35"/>
      <c r="AF323" s="35"/>
      <c r="AG323" s="35"/>
      <c r="AH323" s="35"/>
      <c r="AI323" s="35"/>
      <c r="AJ323" s="35"/>
      <c r="AK323" s="35"/>
      <c r="AL323" s="35"/>
      <c r="AM323" s="35"/>
      <c r="AN323" s="35"/>
      <c r="AO323" s="35"/>
      <c r="AP323" s="35"/>
      <c r="AQ323" s="35"/>
      <c r="AR323" s="35"/>
      <c r="AS323" s="35"/>
      <c r="AT323" s="35"/>
      <c r="AU323" s="35"/>
      <c r="AV323" s="35"/>
      <c r="AW323" s="35"/>
      <c r="AX323" s="35"/>
      <c r="AY323" s="35"/>
      <c r="AZ323" s="35"/>
      <c r="BA323" s="35"/>
      <c r="BB323" s="35"/>
      <c r="BC323" s="35"/>
      <c r="BD323" s="35"/>
      <c r="BE323" s="35"/>
      <c r="BF323" s="35"/>
      <c r="BG323" s="35"/>
      <c r="BH323" s="35"/>
      <c r="BI323" s="35"/>
      <c r="BJ323" s="35"/>
      <c r="BK323" s="35"/>
      <c r="BL323" s="35"/>
    </row>
    <row r="324" spans="1:64" ht="14">
      <c r="A324" s="36"/>
      <c r="B324" s="37"/>
      <c r="C324" s="38">
        <f t="shared" si="32"/>
        <v>0</v>
      </c>
      <c r="D324" s="39"/>
      <c r="E324" s="39"/>
      <c r="F324" s="39"/>
      <c r="G324" s="39"/>
      <c r="H324" s="40"/>
      <c r="I324" s="41"/>
      <c r="J324" s="39"/>
      <c r="K324" s="41"/>
      <c r="L324" s="41"/>
      <c r="M324" s="42" t="str">
        <f t="shared" si="33"/>
        <v/>
      </c>
      <c r="N324" s="40" t="str">
        <f t="shared" si="34"/>
        <v/>
      </c>
      <c r="O324" s="40" t="str">
        <f t="shared" si="35"/>
        <v/>
      </c>
      <c r="P324" s="43" t="str">
        <f t="shared" si="36"/>
        <v/>
      </c>
      <c r="Q324" s="44">
        <f t="shared" si="37"/>
        <v>0</v>
      </c>
      <c r="R324" s="44">
        <f t="shared" si="38"/>
        <v>0</v>
      </c>
      <c r="S324" s="43">
        <f t="shared" si="39"/>
        <v>0</v>
      </c>
      <c r="T324" s="39"/>
      <c r="U324" s="35"/>
      <c r="V324" s="35"/>
      <c r="W324" s="35"/>
      <c r="X324" s="35"/>
      <c r="Y324" s="35"/>
      <c r="Z324" s="35"/>
      <c r="AA324" s="35"/>
      <c r="AB324" s="35"/>
      <c r="AC324" s="35"/>
      <c r="AD324" s="35"/>
      <c r="AE324" s="35"/>
      <c r="AF324" s="35"/>
      <c r="AG324" s="35"/>
      <c r="AH324" s="35"/>
      <c r="AI324" s="35"/>
      <c r="AJ324" s="35"/>
      <c r="AK324" s="35"/>
      <c r="AL324" s="35"/>
      <c r="AM324" s="35"/>
      <c r="AN324" s="35"/>
      <c r="AO324" s="35"/>
      <c r="AP324" s="35"/>
      <c r="AQ324" s="35"/>
      <c r="AR324" s="35"/>
      <c r="AS324" s="35"/>
      <c r="AT324" s="35"/>
      <c r="AU324" s="35"/>
      <c r="AV324" s="35"/>
      <c r="AW324" s="35"/>
      <c r="AX324" s="35"/>
      <c r="AY324" s="35"/>
      <c r="AZ324" s="35"/>
      <c r="BA324" s="35"/>
      <c r="BB324" s="35"/>
      <c r="BC324" s="35"/>
      <c r="BD324" s="35"/>
      <c r="BE324" s="35"/>
      <c r="BF324" s="35"/>
      <c r="BG324" s="35"/>
      <c r="BH324" s="35"/>
      <c r="BI324" s="35"/>
      <c r="BJ324" s="35"/>
      <c r="BK324" s="35"/>
      <c r="BL324" s="35"/>
    </row>
    <row r="325" spans="1:64" ht="14">
      <c r="A325" s="36"/>
      <c r="B325" s="37"/>
      <c r="C325" s="38">
        <f t="shared" si="32"/>
        <v>0</v>
      </c>
      <c r="D325" s="39"/>
      <c r="E325" s="39"/>
      <c r="F325" s="39"/>
      <c r="G325" s="39"/>
      <c r="H325" s="40"/>
      <c r="I325" s="41"/>
      <c r="J325" s="39"/>
      <c r="K325" s="41"/>
      <c r="L325" s="41"/>
      <c r="M325" s="42" t="str">
        <f t="shared" si="33"/>
        <v/>
      </c>
      <c r="N325" s="40" t="str">
        <f t="shared" si="34"/>
        <v/>
      </c>
      <c r="O325" s="40" t="str">
        <f t="shared" si="35"/>
        <v/>
      </c>
      <c r="P325" s="43" t="str">
        <f t="shared" si="36"/>
        <v/>
      </c>
      <c r="Q325" s="44">
        <f t="shared" si="37"/>
        <v>0</v>
      </c>
      <c r="R325" s="44">
        <f t="shared" si="38"/>
        <v>0</v>
      </c>
      <c r="S325" s="43">
        <f t="shared" si="39"/>
        <v>0</v>
      </c>
      <c r="T325" s="39"/>
      <c r="U325" s="35"/>
      <c r="V325" s="35"/>
      <c r="W325" s="35"/>
      <c r="X325" s="35"/>
      <c r="Y325" s="35"/>
      <c r="Z325" s="35"/>
      <c r="AA325" s="35"/>
      <c r="AB325" s="35"/>
      <c r="AC325" s="35"/>
      <c r="AD325" s="35"/>
      <c r="AE325" s="35"/>
      <c r="AF325" s="35"/>
      <c r="AG325" s="35"/>
      <c r="AH325" s="35"/>
      <c r="AI325" s="35"/>
      <c r="AJ325" s="35"/>
      <c r="AK325" s="35"/>
      <c r="AL325" s="35"/>
      <c r="AM325" s="35"/>
      <c r="AN325" s="35"/>
      <c r="AO325" s="35"/>
      <c r="AP325" s="35"/>
      <c r="AQ325" s="35"/>
      <c r="AR325" s="35"/>
      <c r="AS325" s="35"/>
      <c r="AT325" s="35"/>
      <c r="AU325" s="35"/>
      <c r="AV325" s="35"/>
      <c r="AW325" s="35"/>
      <c r="AX325" s="35"/>
      <c r="AY325" s="35"/>
      <c r="AZ325" s="35"/>
      <c r="BA325" s="35"/>
      <c r="BB325" s="35"/>
      <c r="BC325" s="35"/>
      <c r="BD325" s="35"/>
      <c r="BE325" s="35"/>
      <c r="BF325" s="35"/>
      <c r="BG325" s="35"/>
      <c r="BH325" s="35"/>
      <c r="BI325" s="35"/>
      <c r="BJ325" s="35"/>
      <c r="BK325" s="35"/>
      <c r="BL325" s="35"/>
    </row>
    <row r="326" spans="1:64" ht="14">
      <c r="A326" s="36"/>
      <c r="B326" s="37"/>
      <c r="C326" s="38">
        <f t="shared" si="32"/>
        <v>0</v>
      </c>
      <c r="D326" s="39"/>
      <c r="E326" s="39"/>
      <c r="F326" s="39"/>
      <c r="G326" s="39"/>
      <c r="H326" s="40"/>
      <c r="I326" s="41"/>
      <c r="J326" s="39"/>
      <c r="K326" s="41"/>
      <c r="L326" s="41"/>
      <c r="M326" s="42" t="str">
        <f t="shared" si="33"/>
        <v/>
      </c>
      <c r="N326" s="40" t="str">
        <f t="shared" si="34"/>
        <v/>
      </c>
      <c r="O326" s="40" t="str">
        <f t="shared" si="35"/>
        <v/>
      </c>
      <c r="P326" s="43" t="str">
        <f t="shared" si="36"/>
        <v/>
      </c>
      <c r="Q326" s="44">
        <f t="shared" si="37"/>
        <v>0</v>
      </c>
      <c r="R326" s="44">
        <f t="shared" si="38"/>
        <v>0</v>
      </c>
      <c r="S326" s="43">
        <f t="shared" si="39"/>
        <v>0</v>
      </c>
      <c r="T326" s="39"/>
      <c r="U326" s="35"/>
      <c r="V326" s="35"/>
      <c r="W326" s="35"/>
      <c r="X326" s="35"/>
      <c r="Y326" s="35"/>
      <c r="Z326" s="35"/>
      <c r="AA326" s="35"/>
      <c r="AB326" s="35"/>
      <c r="AC326" s="35"/>
      <c r="AD326" s="35"/>
      <c r="AE326" s="35"/>
      <c r="AF326" s="35"/>
      <c r="AG326" s="35"/>
      <c r="AH326" s="35"/>
      <c r="AI326" s="35"/>
      <c r="AJ326" s="35"/>
      <c r="AK326" s="35"/>
      <c r="AL326" s="35"/>
      <c r="AM326" s="35"/>
      <c r="AN326" s="35"/>
      <c r="AO326" s="35"/>
      <c r="AP326" s="35"/>
      <c r="AQ326" s="35"/>
      <c r="AR326" s="35"/>
      <c r="AS326" s="35"/>
      <c r="AT326" s="35"/>
      <c r="AU326" s="35"/>
      <c r="AV326" s="35"/>
      <c r="AW326" s="35"/>
      <c r="AX326" s="35"/>
      <c r="AY326" s="35"/>
      <c r="AZ326" s="35"/>
      <c r="BA326" s="35"/>
      <c r="BB326" s="35"/>
      <c r="BC326" s="35"/>
      <c r="BD326" s="35"/>
      <c r="BE326" s="35"/>
      <c r="BF326" s="35"/>
      <c r="BG326" s="35"/>
      <c r="BH326" s="35"/>
      <c r="BI326" s="35"/>
      <c r="BJ326" s="35"/>
      <c r="BK326" s="35"/>
      <c r="BL326" s="35"/>
    </row>
    <row r="327" spans="1:64" ht="14">
      <c r="A327" s="36"/>
      <c r="B327" s="37"/>
      <c r="C327" s="38">
        <f t="shared" si="32"/>
        <v>0</v>
      </c>
      <c r="D327" s="39"/>
      <c r="E327" s="39"/>
      <c r="F327" s="39"/>
      <c r="G327" s="39"/>
      <c r="H327" s="40"/>
      <c r="I327" s="41"/>
      <c r="J327" s="39"/>
      <c r="K327" s="41"/>
      <c r="L327" s="41"/>
      <c r="M327" s="42" t="str">
        <f t="shared" si="33"/>
        <v/>
      </c>
      <c r="N327" s="40" t="str">
        <f t="shared" si="34"/>
        <v/>
      </c>
      <c r="O327" s="40" t="str">
        <f t="shared" si="35"/>
        <v/>
      </c>
      <c r="P327" s="43" t="str">
        <f t="shared" si="36"/>
        <v/>
      </c>
      <c r="Q327" s="44">
        <f t="shared" si="37"/>
        <v>0</v>
      </c>
      <c r="R327" s="44">
        <f t="shared" si="38"/>
        <v>0</v>
      </c>
      <c r="S327" s="43">
        <f t="shared" si="39"/>
        <v>0</v>
      </c>
      <c r="T327" s="39"/>
      <c r="U327" s="35"/>
      <c r="V327" s="35"/>
      <c r="W327" s="35"/>
      <c r="X327" s="35"/>
      <c r="Y327" s="35"/>
      <c r="Z327" s="35"/>
      <c r="AA327" s="35"/>
      <c r="AB327" s="35"/>
      <c r="AC327" s="35"/>
      <c r="AD327" s="35"/>
      <c r="AE327" s="35"/>
      <c r="AF327" s="35"/>
      <c r="AG327" s="35"/>
      <c r="AH327" s="35"/>
      <c r="AI327" s="35"/>
      <c r="AJ327" s="35"/>
      <c r="AK327" s="35"/>
      <c r="AL327" s="35"/>
      <c r="AM327" s="35"/>
      <c r="AN327" s="35"/>
      <c r="AO327" s="35"/>
      <c r="AP327" s="35"/>
      <c r="AQ327" s="35"/>
      <c r="AR327" s="35"/>
      <c r="AS327" s="35"/>
      <c r="AT327" s="35"/>
      <c r="AU327" s="35"/>
      <c r="AV327" s="35"/>
      <c r="AW327" s="35"/>
      <c r="AX327" s="35"/>
      <c r="AY327" s="35"/>
      <c r="AZ327" s="35"/>
      <c r="BA327" s="35"/>
      <c r="BB327" s="35"/>
      <c r="BC327" s="35"/>
      <c r="BD327" s="35"/>
      <c r="BE327" s="35"/>
      <c r="BF327" s="35"/>
      <c r="BG327" s="35"/>
      <c r="BH327" s="35"/>
      <c r="BI327" s="35"/>
      <c r="BJ327" s="35"/>
      <c r="BK327" s="35"/>
      <c r="BL327" s="35"/>
    </row>
    <row r="328" spans="1:64" ht="14">
      <c r="A328" s="36"/>
      <c r="B328" s="37"/>
      <c r="C328" s="38">
        <f t="shared" si="32"/>
        <v>0</v>
      </c>
      <c r="D328" s="39"/>
      <c r="E328" s="39"/>
      <c r="F328" s="39"/>
      <c r="G328" s="39"/>
      <c r="H328" s="40"/>
      <c r="I328" s="41"/>
      <c r="J328" s="39"/>
      <c r="K328" s="41"/>
      <c r="L328" s="41"/>
      <c r="M328" s="42" t="str">
        <f t="shared" si="33"/>
        <v/>
      </c>
      <c r="N328" s="40" t="str">
        <f t="shared" si="34"/>
        <v/>
      </c>
      <c r="O328" s="40" t="str">
        <f t="shared" si="35"/>
        <v/>
      </c>
      <c r="P328" s="43" t="str">
        <f t="shared" si="36"/>
        <v/>
      </c>
      <c r="Q328" s="44">
        <f t="shared" si="37"/>
        <v>0</v>
      </c>
      <c r="R328" s="44">
        <f t="shared" si="38"/>
        <v>0</v>
      </c>
      <c r="S328" s="43">
        <f t="shared" si="39"/>
        <v>0</v>
      </c>
      <c r="T328" s="39"/>
      <c r="U328" s="35"/>
      <c r="V328" s="35"/>
      <c r="W328" s="35"/>
      <c r="X328" s="35"/>
      <c r="Y328" s="35"/>
      <c r="Z328" s="35"/>
      <c r="AA328" s="35"/>
      <c r="AB328" s="35"/>
      <c r="AC328" s="35"/>
      <c r="AD328" s="35"/>
      <c r="AE328" s="35"/>
      <c r="AF328" s="35"/>
      <c r="AG328" s="35"/>
      <c r="AH328" s="35"/>
      <c r="AI328" s="35"/>
      <c r="AJ328" s="35"/>
      <c r="AK328" s="35"/>
      <c r="AL328" s="35"/>
      <c r="AM328" s="35"/>
      <c r="AN328" s="35"/>
      <c r="AO328" s="35"/>
      <c r="AP328" s="35"/>
      <c r="AQ328" s="35"/>
      <c r="AR328" s="35"/>
      <c r="AS328" s="35"/>
      <c r="AT328" s="35"/>
      <c r="AU328" s="35"/>
      <c r="AV328" s="35"/>
      <c r="AW328" s="35"/>
      <c r="AX328" s="35"/>
      <c r="AY328" s="35"/>
      <c r="AZ328" s="35"/>
      <c r="BA328" s="35"/>
      <c r="BB328" s="35"/>
      <c r="BC328" s="35"/>
      <c r="BD328" s="35"/>
      <c r="BE328" s="35"/>
      <c r="BF328" s="35"/>
      <c r="BG328" s="35"/>
      <c r="BH328" s="35"/>
      <c r="BI328" s="35"/>
      <c r="BJ328" s="35"/>
      <c r="BK328" s="35"/>
      <c r="BL328" s="35"/>
    </row>
    <row r="329" spans="1:64" ht="14">
      <c r="A329" s="36"/>
      <c r="B329" s="37"/>
      <c r="C329" s="38">
        <f t="shared" si="32"/>
        <v>0</v>
      </c>
      <c r="D329" s="39"/>
      <c r="E329" s="39"/>
      <c r="F329" s="39"/>
      <c r="G329" s="39"/>
      <c r="H329" s="40"/>
      <c r="I329" s="41"/>
      <c r="J329" s="39"/>
      <c r="K329" s="41"/>
      <c r="L329" s="41"/>
      <c r="M329" s="42" t="str">
        <f t="shared" si="33"/>
        <v/>
      </c>
      <c r="N329" s="40" t="str">
        <f t="shared" si="34"/>
        <v/>
      </c>
      <c r="O329" s="40" t="str">
        <f t="shared" si="35"/>
        <v/>
      </c>
      <c r="P329" s="43" t="str">
        <f t="shared" si="36"/>
        <v/>
      </c>
      <c r="Q329" s="44">
        <f t="shared" si="37"/>
        <v>0</v>
      </c>
      <c r="R329" s="44">
        <f t="shared" si="38"/>
        <v>0</v>
      </c>
      <c r="S329" s="43">
        <f t="shared" si="39"/>
        <v>0</v>
      </c>
      <c r="T329" s="39"/>
      <c r="U329" s="35"/>
      <c r="V329" s="35"/>
      <c r="W329" s="35"/>
      <c r="X329" s="35"/>
      <c r="Y329" s="35"/>
      <c r="Z329" s="35"/>
      <c r="AA329" s="35"/>
      <c r="AB329" s="35"/>
      <c r="AC329" s="35"/>
      <c r="AD329" s="35"/>
      <c r="AE329" s="35"/>
      <c r="AF329" s="35"/>
      <c r="AG329" s="35"/>
      <c r="AH329" s="35"/>
      <c r="AI329" s="35"/>
      <c r="AJ329" s="35"/>
      <c r="AK329" s="35"/>
      <c r="AL329" s="35"/>
      <c r="AM329" s="35"/>
      <c r="AN329" s="35"/>
      <c r="AO329" s="35"/>
      <c r="AP329" s="35"/>
      <c r="AQ329" s="35"/>
      <c r="AR329" s="35"/>
      <c r="AS329" s="35"/>
      <c r="AT329" s="35"/>
      <c r="AU329" s="35"/>
      <c r="AV329" s="35"/>
      <c r="AW329" s="35"/>
      <c r="AX329" s="35"/>
      <c r="AY329" s="35"/>
      <c r="AZ329" s="35"/>
      <c r="BA329" s="35"/>
      <c r="BB329" s="35"/>
      <c r="BC329" s="35"/>
      <c r="BD329" s="35"/>
      <c r="BE329" s="35"/>
      <c r="BF329" s="35"/>
      <c r="BG329" s="35"/>
      <c r="BH329" s="35"/>
      <c r="BI329" s="35"/>
      <c r="BJ329" s="35"/>
      <c r="BK329" s="35"/>
      <c r="BL329" s="35"/>
    </row>
    <row r="330" spans="1:64" ht="14">
      <c r="A330" s="36"/>
      <c r="B330" s="37"/>
      <c r="C330" s="38">
        <f t="shared" ref="C330:C382" si="40">IF($B330&lt;&gt;"",VLOOKUP($B330,Matriz_INM,2,0),0)</f>
        <v>0</v>
      </c>
      <c r="D330" s="39"/>
      <c r="E330" s="39"/>
      <c r="F330" s="39"/>
      <c r="G330" s="39"/>
      <c r="H330" s="40"/>
      <c r="I330" s="41"/>
      <c r="J330" s="39"/>
      <c r="K330" s="41"/>
      <c r="L330" s="41"/>
      <c r="M330" s="42" t="str">
        <f t="shared" ref="M330:M382" si="41">IFERROR(VLOOKUP($B330,Matriz_INM,3,0),"")</f>
        <v/>
      </c>
      <c r="N330" s="40" t="str">
        <f t="shared" ref="N330:N382" si="42">IF(J330="EE",IF(OR(AND(OR(L330=1,L330=0),K330&gt;0,K330&lt;5),AND(OR(L330=1,L330=0),K330&gt;4,K330&lt;16),AND(L330=2,K330&gt;0,K330&lt;5)),"Simples",IF(OR(AND(OR(L330=1,L330=0),K330&gt;15),AND(L330=2,K330&gt;4,K330&lt;16),AND(L330&gt;2,K330&gt;0,K330&lt;5)),"Médio",IF(OR(AND(L330=2,K330&gt;15),AND(L330&gt;2,K330&gt;4,K330&lt;16),AND(L330&gt;2,K330&gt;15)),"Complexo",""))), IF(OR(J330="CE",J330="SE"),IF(OR(AND(OR(L330=1,L330=0),K330&gt;0,K330&lt;6),AND(OR(L330=1,L330=0),K330&gt;5,K330&lt;20),AND(L330&gt;1,L330&lt;4,K330&gt;0,K330&lt;6)),"Simples",IF(OR(AND(OR(L330=1,L330=0),K330&gt;19),AND(L330&gt;1,L330&lt;4,K330&gt;5,K330&lt;20),AND(L330&gt;3,K330&gt;0,K330&lt;6)),"Médio",IF(OR(AND(L330&gt;1,L330&lt;4,K330&gt;19),AND(L330&gt;3,K330&gt;5,K330&lt;20),AND(L330&gt;3,K330&gt;19)),"Complexo",""))),""))</f>
        <v/>
      </c>
      <c r="O330" s="40" t="str">
        <f t="shared" ref="O330:O382" si="43">IF(J330="ALI",IF(OR(AND(OR(L330=1,L330=0),K330&gt;0,K330&lt;20),AND(OR(L330=1,L330=0),K330&gt;19,K330&lt;51),AND(L330&gt;1,L330&lt;6,K330&gt;0,K330&lt;20)),"Simples",IF(OR(AND(OR(L330=1,L330=0),K330&gt;50),AND(L330&gt;1,L330&lt;6,K330&gt;19,K330&lt;51),AND(L330&gt;5,K330&gt;0,K330&lt;20)),"Médio",IF(OR(AND(L330&gt;1,L330&lt;6,K330&gt;50),AND(L330&gt;5,K330&gt;19,K330&lt;51),AND(L330&gt;5,K330&gt;50)),"Complexo",""))), IF(J330="AIE",IF(OR(AND(OR(L330=1, L330=0),K330&gt;0,K330&lt;20),AND(OR(L330=1, L330=0),K330&gt;19,K330&lt;51),AND(L330&gt;1,L330&lt;6,K330&gt;0,K330&lt;20)),"Simples",IF(OR(AND(OR(L330=1, L330=0),K330&gt;50),AND(L330&gt;1,L330&lt;6,K330&gt;19,K330&lt;51),AND(L330&gt;5,K330&gt;0,K330&lt;20)),"Médio",IF(OR(AND(L330&gt;1,L330&lt;6,K330&gt;50),AND(L330&gt;5,K330&gt;19,K330&lt;51),AND(L330&gt;5,K330&gt;50)),"Complexo",""))),""))</f>
        <v/>
      </c>
      <c r="P330" s="43" t="str">
        <f t="shared" ref="P330:P382" si="44">IF(N330="",O330,IF(O330="",N330,""))</f>
        <v/>
      </c>
      <c r="Q330" s="44">
        <f t="shared" ref="Q330:Q382" si="45">IF(AND(OR(J330="EE",J330="CE"),P330="Simples"),3, IF(AND(OR(J330="EE",J330="CE"),P330="Médio"),4, IF(AND(OR(J330="EE",J330="CE"),P330="Complexo"),6, IF(AND(J330="SE",P330="Simples"),4, IF(AND(J330="SE",P330="Médio"),5, IF(AND(J330="SE",P330="Complexo"),7,0))))))</f>
        <v>0</v>
      </c>
      <c r="R330" s="44">
        <f t="shared" ref="R330:R382" si="46">IF(AND(J330="ALI",O330="Simples"),7, IF(AND(J330="ALI",O330="Médio"),10, IF(AND(J330="ALI",O330="Complexo"),15, IF(AND(J330="AIE",O330="Simples"),5, IF(AND(J330="AIE",O330="Médio"),7, IF(AND(J330="AIE",O330="Complexo"),10,0))))))</f>
        <v>0</v>
      </c>
      <c r="S330" s="43">
        <f t="shared" ref="S330:S382" si="47">IF($M330="%",($Q330+$R330)*$C330,$C330*$I330)</f>
        <v>0</v>
      </c>
      <c r="T330" s="39"/>
      <c r="U330" s="35"/>
      <c r="V330" s="35"/>
      <c r="W330" s="35"/>
      <c r="X330" s="35"/>
      <c r="Y330" s="35"/>
      <c r="Z330" s="35"/>
      <c r="AA330" s="35"/>
      <c r="AB330" s="35"/>
      <c r="AC330" s="35"/>
      <c r="AD330" s="35"/>
      <c r="AE330" s="35"/>
      <c r="AF330" s="35"/>
      <c r="AG330" s="35"/>
      <c r="AH330" s="35"/>
      <c r="AI330" s="35"/>
      <c r="AJ330" s="35"/>
      <c r="AK330" s="35"/>
      <c r="AL330" s="35"/>
      <c r="AM330" s="35"/>
      <c r="AN330" s="35"/>
      <c r="AO330" s="35"/>
      <c r="AP330" s="35"/>
      <c r="AQ330" s="35"/>
      <c r="AR330" s="35"/>
      <c r="AS330" s="35"/>
      <c r="AT330" s="35"/>
      <c r="AU330" s="35"/>
      <c r="AV330" s="35"/>
      <c r="AW330" s="35"/>
      <c r="AX330" s="35"/>
      <c r="AY330" s="35"/>
      <c r="AZ330" s="35"/>
      <c r="BA330" s="35"/>
      <c r="BB330" s="35"/>
      <c r="BC330" s="35"/>
      <c r="BD330" s="35"/>
      <c r="BE330" s="35"/>
      <c r="BF330" s="35"/>
      <c r="BG330" s="35"/>
      <c r="BH330" s="35"/>
      <c r="BI330" s="35"/>
      <c r="BJ330" s="35"/>
      <c r="BK330" s="35"/>
      <c r="BL330" s="35"/>
    </row>
    <row r="331" spans="1:64" ht="14">
      <c r="A331" s="36"/>
      <c r="B331" s="37"/>
      <c r="C331" s="38">
        <f t="shared" si="40"/>
        <v>0</v>
      </c>
      <c r="D331" s="39"/>
      <c r="E331" s="39"/>
      <c r="F331" s="39"/>
      <c r="G331" s="39"/>
      <c r="H331" s="40"/>
      <c r="I331" s="41"/>
      <c r="J331" s="39"/>
      <c r="K331" s="41"/>
      <c r="L331" s="41"/>
      <c r="M331" s="42" t="str">
        <f t="shared" si="41"/>
        <v/>
      </c>
      <c r="N331" s="40" t="str">
        <f t="shared" si="42"/>
        <v/>
      </c>
      <c r="O331" s="40" t="str">
        <f t="shared" si="43"/>
        <v/>
      </c>
      <c r="P331" s="43" t="str">
        <f t="shared" si="44"/>
        <v/>
      </c>
      <c r="Q331" s="44">
        <f t="shared" si="45"/>
        <v>0</v>
      </c>
      <c r="R331" s="44">
        <f t="shared" si="46"/>
        <v>0</v>
      </c>
      <c r="S331" s="43">
        <f t="shared" si="47"/>
        <v>0</v>
      </c>
      <c r="T331" s="39"/>
      <c r="U331" s="35"/>
      <c r="V331" s="35"/>
      <c r="W331" s="35"/>
      <c r="X331" s="35"/>
      <c r="Y331" s="35"/>
      <c r="Z331" s="35"/>
      <c r="AA331" s="35"/>
      <c r="AB331" s="35"/>
      <c r="AC331" s="35"/>
      <c r="AD331" s="35"/>
      <c r="AE331" s="35"/>
      <c r="AF331" s="35"/>
      <c r="AG331" s="35"/>
      <c r="AH331" s="35"/>
      <c r="AI331" s="35"/>
      <c r="AJ331" s="35"/>
      <c r="AK331" s="35"/>
      <c r="AL331" s="35"/>
      <c r="AM331" s="35"/>
      <c r="AN331" s="35"/>
      <c r="AO331" s="35"/>
      <c r="AP331" s="35"/>
      <c r="AQ331" s="35"/>
      <c r="AR331" s="35"/>
      <c r="AS331" s="35"/>
      <c r="AT331" s="35"/>
      <c r="AU331" s="35"/>
      <c r="AV331" s="35"/>
      <c r="AW331" s="35"/>
      <c r="AX331" s="35"/>
      <c r="AY331" s="35"/>
      <c r="AZ331" s="35"/>
      <c r="BA331" s="35"/>
      <c r="BB331" s="35"/>
      <c r="BC331" s="35"/>
      <c r="BD331" s="35"/>
      <c r="BE331" s="35"/>
      <c r="BF331" s="35"/>
      <c r="BG331" s="35"/>
      <c r="BH331" s="35"/>
      <c r="BI331" s="35"/>
      <c r="BJ331" s="35"/>
      <c r="BK331" s="35"/>
      <c r="BL331" s="35"/>
    </row>
    <row r="332" spans="1:64" ht="14">
      <c r="A332" s="36"/>
      <c r="B332" s="37"/>
      <c r="C332" s="38">
        <f t="shared" si="40"/>
        <v>0</v>
      </c>
      <c r="D332" s="39"/>
      <c r="E332" s="39"/>
      <c r="F332" s="39"/>
      <c r="G332" s="39"/>
      <c r="H332" s="40"/>
      <c r="I332" s="41"/>
      <c r="J332" s="39"/>
      <c r="K332" s="41"/>
      <c r="L332" s="41"/>
      <c r="M332" s="42" t="str">
        <f t="shared" si="41"/>
        <v/>
      </c>
      <c r="N332" s="40" t="str">
        <f t="shared" si="42"/>
        <v/>
      </c>
      <c r="O332" s="40" t="str">
        <f t="shared" si="43"/>
        <v/>
      </c>
      <c r="P332" s="43" t="str">
        <f t="shared" si="44"/>
        <v/>
      </c>
      <c r="Q332" s="44">
        <f t="shared" si="45"/>
        <v>0</v>
      </c>
      <c r="R332" s="44">
        <f t="shared" si="46"/>
        <v>0</v>
      </c>
      <c r="S332" s="43">
        <f t="shared" si="47"/>
        <v>0</v>
      </c>
      <c r="T332" s="39"/>
      <c r="U332" s="35"/>
      <c r="V332" s="35"/>
      <c r="W332" s="35"/>
      <c r="X332" s="35"/>
      <c r="Y332" s="35"/>
      <c r="Z332" s="35"/>
      <c r="AA332" s="35"/>
      <c r="AB332" s="35"/>
      <c r="AC332" s="35"/>
      <c r="AD332" s="35"/>
      <c r="AE332" s="35"/>
      <c r="AF332" s="35"/>
      <c r="AG332" s="35"/>
      <c r="AH332" s="35"/>
      <c r="AI332" s="35"/>
      <c r="AJ332" s="35"/>
      <c r="AK332" s="35"/>
      <c r="AL332" s="35"/>
      <c r="AM332" s="35"/>
      <c r="AN332" s="35"/>
      <c r="AO332" s="35"/>
      <c r="AP332" s="35"/>
      <c r="AQ332" s="35"/>
      <c r="AR332" s="35"/>
      <c r="AS332" s="35"/>
      <c r="AT332" s="35"/>
      <c r="AU332" s="35"/>
      <c r="AV332" s="35"/>
      <c r="AW332" s="35"/>
      <c r="AX332" s="35"/>
      <c r="AY332" s="35"/>
      <c r="AZ332" s="35"/>
      <c r="BA332" s="35"/>
      <c r="BB332" s="35"/>
      <c r="BC332" s="35"/>
      <c r="BD332" s="35"/>
      <c r="BE332" s="35"/>
      <c r="BF332" s="35"/>
      <c r="BG332" s="35"/>
      <c r="BH332" s="35"/>
      <c r="BI332" s="35"/>
      <c r="BJ332" s="35"/>
      <c r="BK332" s="35"/>
      <c r="BL332" s="35"/>
    </row>
    <row r="333" spans="1:64" ht="14">
      <c r="A333" s="36"/>
      <c r="B333" s="37"/>
      <c r="C333" s="38">
        <f t="shared" si="40"/>
        <v>0</v>
      </c>
      <c r="D333" s="39"/>
      <c r="E333" s="39"/>
      <c r="F333" s="39"/>
      <c r="G333" s="39"/>
      <c r="H333" s="40"/>
      <c r="I333" s="41"/>
      <c r="J333" s="39"/>
      <c r="K333" s="41"/>
      <c r="L333" s="41"/>
      <c r="M333" s="42" t="str">
        <f t="shared" si="41"/>
        <v/>
      </c>
      <c r="N333" s="40" t="str">
        <f t="shared" si="42"/>
        <v/>
      </c>
      <c r="O333" s="40" t="str">
        <f t="shared" si="43"/>
        <v/>
      </c>
      <c r="P333" s="43" t="str">
        <f t="shared" si="44"/>
        <v/>
      </c>
      <c r="Q333" s="44">
        <f t="shared" si="45"/>
        <v>0</v>
      </c>
      <c r="R333" s="44">
        <f t="shared" si="46"/>
        <v>0</v>
      </c>
      <c r="S333" s="43">
        <f t="shared" si="47"/>
        <v>0</v>
      </c>
      <c r="T333" s="39"/>
      <c r="U333" s="35"/>
      <c r="V333" s="35"/>
      <c r="W333" s="35"/>
      <c r="X333" s="35"/>
      <c r="Y333" s="35"/>
      <c r="Z333" s="35"/>
      <c r="AA333" s="35"/>
      <c r="AB333" s="35"/>
      <c r="AC333" s="35"/>
      <c r="AD333" s="35"/>
      <c r="AE333" s="35"/>
      <c r="AF333" s="35"/>
      <c r="AG333" s="35"/>
      <c r="AH333" s="35"/>
      <c r="AI333" s="35"/>
      <c r="AJ333" s="35"/>
      <c r="AK333" s="35"/>
      <c r="AL333" s="35"/>
      <c r="AM333" s="35"/>
      <c r="AN333" s="35"/>
      <c r="AO333" s="35"/>
      <c r="AP333" s="35"/>
      <c r="AQ333" s="35"/>
      <c r="AR333" s="35"/>
      <c r="AS333" s="35"/>
      <c r="AT333" s="35"/>
      <c r="AU333" s="35"/>
      <c r="AV333" s="35"/>
      <c r="AW333" s="35"/>
      <c r="AX333" s="35"/>
      <c r="AY333" s="35"/>
      <c r="AZ333" s="35"/>
      <c r="BA333" s="35"/>
      <c r="BB333" s="35"/>
      <c r="BC333" s="35"/>
      <c r="BD333" s="35"/>
      <c r="BE333" s="35"/>
      <c r="BF333" s="35"/>
      <c r="BG333" s="35"/>
      <c r="BH333" s="35"/>
      <c r="BI333" s="35"/>
      <c r="BJ333" s="35"/>
      <c r="BK333" s="35"/>
      <c r="BL333" s="35"/>
    </row>
    <row r="334" spans="1:64" ht="14">
      <c r="A334" s="36"/>
      <c r="B334" s="37"/>
      <c r="C334" s="38">
        <f t="shared" si="40"/>
        <v>0</v>
      </c>
      <c r="D334" s="39"/>
      <c r="E334" s="39"/>
      <c r="F334" s="39"/>
      <c r="G334" s="39"/>
      <c r="H334" s="40"/>
      <c r="I334" s="41"/>
      <c r="J334" s="39"/>
      <c r="K334" s="41"/>
      <c r="L334" s="41"/>
      <c r="M334" s="42" t="str">
        <f t="shared" si="41"/>
        <v/>
      </c>
      <c r="N334" s="40" t="str">
        <f t="shared" si="42"/>
        <v/>
      </c>
      <c r="O334" s="40" t="str">
        <f t="shared" si="43"/>
        <v/>
      </c>
      <c r="P334" s="43" t="str">
        <f t="shared" si="44"/>
        <v/>
      </c>
      <c r="Q334" s="44">
        <f t="shared" si="45"/>
        <v>0</v>
      </c>
      <c r="R334" s="44">
        <f t="shared" si="46"/>
        <v>0</v>
      </c>
      <c r="S334" s="43">
        <f t="shared" si="47"/>
        <v>0</v>
      </c>
      <c r="T334" s="39"/>
      <c r="U334" s="35"/>
      <c r="V334" s="35"/>
      <c r="W334" s="35"/>
      <c r="X334" s="35"/>
      <c r="Y334" s="35"/>
      <c r="Z334" s="35"/>
      <c r="AA334" s="35"/>
      <c r="AB334" s="35"/>
      <c r="AC334" s="35"/>
      <c r="AD334" s="35"/>
      <c r="AE334" s="35"/>
      <c r="AF334" s="35"/>
      <c r="AG334" s="35"/>
      <c r="AH334" s="35"/>
      <c r="AI334" s="35"/>
      <c r="AJ334" s="35"/>
      <c r="AK334" s="35"/>
      <c r="AL334" s="35"/>
      <c r="AM334" s="35"/>
      <c r="AN334" s="35"/>
      <c r="AO334" s="35"/>
      <c r="AP334" s="35"/>
      <c r="AQ334" s="35"/>
      <c r="AR334" s="35"/>
      <c r="AS334" s="35"/>
      <c r="AT334" s="35"/>
      <c r="AU334" s="35"/>
      <c r="AV334" s="35"/>
      <c r="AW334" s="35"/>
      <c r="AX334" s="35"/>
      <c r="AY334" s="35"/>
      <c r="AZ334" s="35"/>
      <c r="BA334" s="35"/>
      <c r="BB334" s="35"/>
      <c r="BC334" s="35"/>
      <c r="BD334" s="35"/>
      <c r="BE334" s="35"/>
      <c r="BF334" s="35"/>
      <c r="BG334" s="35"/>
      <c r="BH334" s="35"/>
      <c r="BI334" s="35"/>
      <c r="BJ334" s="35"/>
      <c r="BK334" s="35"/>
      <c r="BL334" s="35"/>
    </row>
    <row r="335" spans="1:64" ht="14">
      <c r="A335" s="36"/>
      <c r="B335" s="37"/>
      <c r="C335" s="38">
        <f t="shared" si="40"/>
        <v>0</v>
      </c>
      <c r="D335" s="39"/>
      <c r="E335" s="39"/>
      <c r="F335" s="39"/>
      <c r="G335" s="39"/>
      <c r="H335" s="40"/>
      <c r="I335" s="41"/>
      <c r="J335" s="39"/>
      <c r="K335" s="41"/>
      <c r="L335" s="41"/>
      <c r="M335" s="42" t="str">
        <f t="shared" si="41"/>
        <v/>
      </c>
      <c r="N335" s="40" t="str">
        <f t="shared" si="42"/>
        <v/>
      </c>
      <c r="O335" s="40" t="str">
        <f t="shared" si="43"/>
        <v/>
      </c>
      <c r="P335" s="43" t="str">
        <f t="shared" si="44"/>
        <v/>
      </c>
      <c r="Q335" s="44">
        <f t="shared" si="45"/>
        <v>0</v>
      </c>
      <c r="R335" s="44">
        <f t="shared" si="46"/>
        <v>0</v>
      </c>
      <c r="S335" s="43">
        <f t="shared" si="47"/>
        <v>0</v>
      </c>
      <c r="T335" s="39"/>
      <c r="U335" s="35"/>
      <c r="V335" s="35"/>
      <c r="W335" s="35"/>
      <c r="X335" s="35"/>
      <c r="Y335" s="35"/>
      <c r="Z335" s="35"/>
      <c r="AA335" s="35"/>
      <c r="AB335" s="35"/>
      <c r="AC335" s="35"/>
      <c r="AD335" s="35"/>
      <c r="AE335" s="35"/>
      <c r="AF335" s="35"/>
      <c r="AG335" s="35"/>
      <c r="AH335" s="35"/>
      <c r="AI335" s="35"/>
      <c r="AJ335" s="35"/>
      <c r="AK335" s="35"/>
      <c r="AL335" s="35"/>
      <c r="AM335" s="35"/>
      <c r="AN335" s="35"/>
      <c r="AO335" s="35"/>
      <c r="AP335" s="35"/>
      <c r="AQ335" s="35"/>
      <c r="AR335" s="35"/>
      <c r="AS335" s="35"/>
      <c r="AT335" s="35"/>
      <c r="AU335" s="35"/>
      <c r="AV335" s="35"/>
      <c r="AW335" s="35"/>
      <c r="AX335" s="35"/>
      <c r="AY335" s="35"/>
      <c r="AZ335" s="35"/>
      <c r="BA335" s="35"/>
      <c r="BB335" s="35"/>
      <c r="BC335" s="35"/>
      <c r="BD335" s="35"/>
      <c r="BE335" s="35"/>
      <c r="BF335" s="35"/>
      <c r="BG335" s="35"/>
      <c r="BH335" s="35"/>
      <c r="BI335" s="35"/>
      <c r="BJ335" s="35"/>
      <c r="BK335" s="35"/>
      <c r="BL335" s="35"/>
    </row>
    <row r="336" spans="1:64" ht="14">
      <c r="A336" s="36"/>
      <c r="B336" s="37"/>
      <c r="C336" s="38">
        <f t="shared" si="40"/>
        <v>0</v>
      </c>
      <c r="D336" s="39"/>
      <c r="E336" s="39"/>
      <c r="F336" s="39"/>
      <c r="G336" s="39"/>
      <c r="H336" s="40"/>
      <c r="I336" s="41"/>
      <c r="J336" s="39"/>
      <c r="K336" s="41"/>
      <c r="L336" s="41"/>
      <c r="M336" s="42" t="str">
        <f t="shared" si="41"/>
        <v/>
      </c>
      <c r="N336" s="40" t="str">
        <f t="shared" si="42"/>
        <v/>
      </c>
      <c r="O336" s="40" t="str">
        <f t="shared" si="43"/>
        <v/>
      </c>
      <c r="P336" s="43" t="str">
        <f t="shared" si="44"/>
        <v/>
      </c>
      <c r="Q336" s="44">
        <f t="shared" si="45"/>
        <v>0</v>
      </c>
      <c r="R336" s="44">
        <f t="shared" si="46"/>
        <v>0</v>
      </c>
      <c r="S336" s="43">
        <f t="shared" si="47"/>
        <v>0</v>
      </c>
      <c r="T336" s="39"/>
      <c r="U336" s="35"/>
      <c r="V336" s="35"/>
      <c r="W336" s="35"/>
      <c r="X336" s="35"/>
      <c r="Y336" s="35"/>
      <c r="Z336" s="35"/>
      <c r="AA336" s="35"/>
      <c r="AB336" s="35"/>
      <c r="AC336" s="35"/>
      <c r="AD336" s="35"/>
      <c r="AE336" s="35"/>
      <c r="AF336" s="35"/>
      <c r="AG336" s="35"/>
      <c r="AH336" s="35"/>
      <c r="AI336" s="35"/>
      <c r="AJ336" s="35"/>
      <c r="AK336" s="35"/>
      <c r="AL336" s="35"/>
      <c r="AM336" s="35"/>
      <c r="AN336" s="35"/>
      <c r="AO336" s="35"/>
      <c r="AP336" s="35"/>
      <c r="AQ336" s="35"/>
      <c r="AR336" s="35"/>
      <c r="AS336" s="35"/>
      <c r="AT336" s="35"/>
      <c r="AU336" s="35"/>
      <c r="AV336" s="35"/>
      <c r="AW336" s="35"/>
      <c r="AX336" s="35"/>
      <c r="AY336" s="35"/>
      <c r="AZ336" s="35"/>
      <c r="BA336" s="35"/>
      <c r="BB336" s="35"/>
      <c r="BC336" s="35"/>
      <c r="BD336" s="35"/>
      <c r="BE336" s="35"/>
      <c r="BF336" s="35"/>
      <c r="BG336" s="35"/>
      <c r="BH336" s="35"/>
      <c r="BI336" s="35"/>
      <c r="BJ336" s="35"/>
      <c r="BK336" s="35"/>
      <c r="BL336" s="35"/>
    </row>
    <row r="337" spans="1:64" ht="14">
      <c r="A337" s="36"/>
      <c r="B337" s="37"/>
      <c r="C337" s="38">
        <f t="shared" si="40"/>
        <v>0</v>
      </c>
      <c r="D337" s="39"/>
      <c r="E337" s="39"/>
      <c r="F337" s="39"/>
      <c r="G337" s="39"/>
      <c r="H337" s="40"/>
      <c r="I337" s="41"/>
      <c r="J337" s="39"/>
      <c r="K337" s="41"/>
      <c r="L337" s="41"/>
      <c r="M337" s="42" t="str">
        <f t="shared" si="41"/>
        <v/>
      </c>
      <c r="N337" s="40" t="str">
        <f t="shared" si="42"/>
        <v/>
      </c>
      <c r="O337" s="40" t="str">
        <f t="shared" si="43"/>
        <v/>
      </c>
      <c r="P337" s="43" t="str">
        <f t="shared" si="44"/>
        <v/>
      </c>
      <c r="Q337" s="44">
        <f t="shared" si="45"/>
        <v>0</v>
      </c>
      <c r="R337" s="44">
        <f t="shared" si="46"/>
        <v>0</v>
      </c>
      <c r="S337" s="43">
        <f t="shared" si="47"/>
        <v>0</v>
      </c>
      <c r="T337" s="39"/>
      <c r="U337" s="35"/>
      <c r="V337" s="35"/>
      <c r="W337" s="35"/>
      <c r="X337" s="35"/>
      <c r="Y337" s="35"/>
      <c r="Z337" s="35"/>
      <c r="AA337" s="35"/>
      <c r="AB337" s="35"/>
      <c r="AC337" s="35"/>
      <c r="AD337" s="35"/>
      <c r="AE337" s="35"/>
      <c r="AF337" s="35"/>
      <c r="AG337" s="35"/>
      <c r="AH337" s="35"/>
      <c r="AI337" s="35"/>
      <c r="AJ337" s="35"/>
      <c r="AK337" s="35"/>
      <c r="AL337" s="35"/>
      <c r="AM337" s="35"/>
      <c r="AN337" s="35"/>
      <c r="AO337" s="35"/>
      <c r="AP337" s="35"/>
      <c r="AQ337" s="35"/>
      <c r="AR337" s="35"/>
      <c r="AS337" s="35"/>
      <c r="AT337" s="35"/>
      <c r="AU337" s="35"/>
      <c r="AV337" s="35"/>
      <c r="AW337" s="35"/>
      <c r="AX337" s="35"/>
      <c r="AY337" s="35"/>
      <c r="AZ337" s="35"/>
      <c r="BA337" s="35"/>
      <c r="BB337" s="35"/>
      <c r="BC337" s="35"/>
      <c r="BD337" s="35"/>
      <c r="BE337" s="35"/>
      <c r="BF337" s="35"/>
      <c r="BG337" s="35"/>
      <c r="BH337" s="35"/>
      <c r="BI337" s="35"/>
      <c r="BJ337" s="35"/>
      <c r="BK337" s="35"/>
      <c r="BL337" s="35"/>
    </row>
    <row r="338" spans="1:64" ht="14">
      <c r="A338" s="36"/>
      <c r="B338" s="37"/>
      <c r="C338" s="38">
        <f t="shared" si="40"/>
        <v>0</v>
      </c>
      <c r="D338" s="39"/>
      <c r="E338" s="39"/>
      <c r="F338" s="39"/>
      <c r="G338" s="39"/>
      <c r="H338" s="40"/>
      <c r="I338" s="41"/>
      <c r="J338" s="39"/>
      <c r="K338" s="41"/>
      <c r="L338" s="41"/>
      <c r="M338" s="42" t="str">
        <f t="shared" si="41"/>
        <v/>
      </c>
      <c r="N338" s="40" t="str">
        <f t="shared" si="42"/>
        <v/>
      </c>
      <c r="O338" s="40" t="str">
        <f t="shared" si="43"/>
        <v/>
      </c>
      <c r="P338" s="43" t="str">
        <f t="shared" si="44"/>
        <v/>
      </c>
      <c r="Q338" s="44">
        <f t="shared" si="45"/>
        <v>0</v>
      </c>
      <c r="R338" s="44">
        <f t="shared" si="46"/>
        <v>0</v>
      </c>
      <c r="S338" s="43">
        <f t="shared" si="47"/>
        <v>0</v>
      </c>
      <c r="T338" s="39"/>
      <c r="U338" s="35"/>
      <c r="V338" s="35"/>
      <c r="W338" s="35"/>
      <c r="X338" s="35"/>
      <c r="Y338" s="35"/>
      <c r="Z338" s="35"/>
      <c r="AA338" s="35"/>
      <c r="AB338" s="35"/>
      <c r="AC338" s="35"/>
      <c r="AD338" s="35"/>
      <c r="AE338" s="35"/>
      <c r="AF338" s="35"/>
      <c r="AG338" s="35"/>
      <c r="AH338" s="35"/>
      <c r="AI338" s="35"/>
      <c r="AJ338" s="35"/>
      <c r="AK338" s="35"/>
      <c r="AL338" s="35"/>
      <c r="AM338" s="35"/>
      <c r="AN338" s="35"/>
      <c r="AO338" s="35"/>
      <c r="AP338" s="35"/>
      <c r="AQ338" s="35"/>
      <c r="AR338" s="35"/>
      <c r="AS338" s="35"/>
      <c r="AT338" s="35"/>
      <c r="AU338" s="35"/>
      <c r="AV338" s="35"/>
      <c r="AW338" s="35"/>
      <c r="AX338" s="35"/>
      <c r="AY338" s="35"/>
      <c r="AZ338" s="35"/>
      <c r="BA338" s="35"/>
      <c r="BB338" s="35"/>
      <c r="BC338" s="35"/>
      <c r="BD338" s="35"/>
      <c r="BE338" s="35"/>
      <c r="BF338" s="35"/>
      <c r="BG338" s="35"/>
      <c r="BH338" s="35"/>
      <c r="BI338" s="35"/>
      <c r="BJ338" s="35"/>
      <c r="BK338" s="35"/>
      <c r="BL338" s="35"/>
    </row>
    <row r="339" spans="1:64" ht="14">
      <c r="A339" s="36"/>
      <c r="B339" s="37"/>
      <c r="C339" s="38">
        <f t="shared" si="40"/>
        <v>0</v>
      </c>
      <c r="D339" s="39"/>
      <c r="E339" s="39"/>
      <c r="F339" s="39"/>
      <c r="G339" s="39"/>
      <c r="H339" s="40"/>
      <c r="I339" s="41"/>
      <c r="J339" s="39"/>
      <c r="K339" s="41"/>
      <c r="L339" s="41"/>
      <c r="M339" s="42" t="str">
        <f t="shared" si="41"/>
        <v/>
      </c>
      <c r="N339" s="40" t="str">
        <f t="shared" si="42"/>
        <v/>
      </c>
      <c r="O339" s="40" t="str">
        <f t="shared" si="43"/>
        <v/>
      </c>
      <c r="P339" s="43" t="str">
        <f t="shared" si="44"/>
        <v/>
      </c>
      <c r="Q339" s="44">
        <f t="shared" si="45"/>
        <v>0</v>
      </c>
      <c r="R339" s="44">
        <f t="shared" si="46"/>
        <v>0</v>
      </c>
      <c r="S339" s="43">
        <f t="shared" si="47"/>
        <v>0</v>
      </c>
      <c r="T339" s="39"/>
      <c r="U339" s="35"/>
      <c r="V339" s="35"/>
      <c r="W339" s="35"/>
      <c r="X339" s="35"/>
      <c r="Y339" s="35"/>
      <c r="Z339" s="35"/>
      <c r="AA339" s="35"/>
      <c r="AB339" s="35"/>
      <c r="AC339" s="35"/>
      <c r="AD339" s="35"/>
      <c r="AE339" s="35"/>
      <c r="AF339" s="35"/>
      <c r="AG339" s="35"/>
      <c r="AH339" s="35"/>
      <c r="AI339" s="35"/>
      <c r="AJ339" s="35"/>
      <c r="AK339" s="35"/>
      <c r="AL339" s="35"/>
      <c r="AM339" s="35"/>
      <c r="AN339" s="35"/>
      <c r="AO339" s="35"/>
      <c r="AP339" s="35"/>
      <c r="AQ339" s="35"/>
      <c r="AR339" s="35"/>
      <c r="AS339" s="35"/>
      <c r="AT339" s="35"/>
      <c r="AU339" s="35"/>
      <c r="AV339" s="35"/>
      <c r="AW339" s="35"/>
      <c r="AX339" s="35"/>
      <c r="AY339" s="35"/>
      <c r="AZ339" s="35"/>
      <c r="BA339" s="35"/>
      <c r="BB339" s="35"/>
      <c r="BC339" s="35"/>
      <c r="BD339" s="35"/>
      <c r="BE339" s="35"/>
      <c r="BF339" s="35"/>
      <c r="BG339" s="35"/>
      <c r="BH339" s="35"/>
      <c r="BI339" s="35"/>
      <c r="BJ339" s="35"/>
      <c r="BK339" s="35"/>
      <c r="BL339" s="35"/>
    </row>
    <row r="340" spans="1:64" ht="14">
      <c r="A340" s="36"/>
      <c r="B340" s="37"/>
      <c r="C340" s="38">
        <f t="shared" si="40"/>
        <v>0</v>
      </c>
      <c r="D340" s="39"/>
      <c r="E340" s="39"/>
      <c r="F340" s="39"/>
      <c r="G340" s="39"/>
      <c r="H340" s="40"/>
      <c r="I340" s="41"/>
      <c r="J340" s="39"/>
      <c r="K340" s="41"/>
      <c r="L340" s="41"/>
      <c r="M340" s="42" t="str">
        <f t="shared" si="41"/>
        <v/>
      </c>
      <c r="N340" s="40" t="str">
        <f t="shared" si="42"/>
        <v/>
      </c>
      <c r="O340" s="40" t="str">
        <f t="shared" si="43"/>
        <v/>
      </c>
      <c r="P340" s="43" t="str">
        <f t="shared" si="44"/>
        <v/>
      </c>
      <c r="Q340" s="44">
        <f t="shared" si="45"/>
        <v>0</v>
      </c>
      <c r="R340" s="44">
        <f t="shared" si="46"/>
        <v>0</v>
      </c>
      <c r="S340" s="43">
        <f t="shared" si="47"/>
        <v>0</v>
      </c>
      <c r="T340" s="39"/>
      <c r="U340" s="35"/>
      <c r="V340" s="35"/>
      <c r="W340" s="35"/>
      <c r="X340" s="35"/>
      <c r="Y340" s="35"/>
      <c r="Z340" s="35"/>
      <c r="AA340" s="35"/>
      <c r="AB340" s="35"/>
      <c r="AC340" s="35"/>
      <c r="AD340" s="35"/>
      <c r="AE340" s="35"/>
      <c r="AF340" s="35"/>
      <c r="AG340" s="35"/>
      <c r="AH340" s="35"/>
      <c r="AI340" s="35"/>
      <c r="AJ340" s="35"/>
      <c r="AK340" s="35"/>
      <c r="AL340" s="35"/>
      <c r="AM340" s="35"/>
      <c r="AN340" s="35"/>
      <c r="AO340" s="35"/>
      <c r="AP340" s="35"/>
      <c r="AQ340" s="35"/>
      <c r="AR340" s="35"/>
      <c r="AS340" s="35"/>
      <c r="AT340" s="35"/>
      <c r="AU340" s="35"/>
      <c r="AV340" s="35"/>
      <c r="AW340" s="35"/>
      <c r="AX340" s="35"/>
      <c r="AY340" s="35"/>
      <c r="AZ340" s="35"/>
      <c r="BA340" s="35"/>
      <c r="BB340" s="35"/>
      <c r="BC340" s="35"/>
      <c r="BD340" s="35"/>
      <c r="BE340" s="35"/>
      <c r="BF340" s="35"/>
      <c r="BG340" s="35"/>
      <c r="BH340" s="35"/>
      <c r="BI340" s="35"/>
      <c r="BJ340" s="35"/>
      <c r="BK340" s="35"/>
      <c r="BL340" s="35"/>
    </row>
    <row r="341" spans="1:64" ht="14">
      <c r="A341" s="36"/>
      <c r="B341" s="37"/>
      <c r="C341" s="38">
        <f t="shared" si="40"/>
        <v>0</v>
      </c>
      <c r="D341" s="39"/>
      <c r="E341" s="39"/>
      <c r="F341" s="39"/>
      <c r="G341" s="39"/>
      <c r="H341" s="40"/>
      <c r="I341" s="41"/>
      <c r="J341" s="39"/>
      <c r="K341" s="41"/>
      <c r="L341" s="41"/>
      <c r="M341" s="42" t="str">
        <f t="shared" si="41"/>
        <v/>
      </c>
      <c r="N341" s="40" t="str">
        <f t="shared" si="42"/>
        <v/>
      </c>
      <c r="O341" s="40" t="str">
        <f t="shared" si="43"/>
        <v/>
      </c>
      <c r="P341" s="43" t="str">
        <f t="shared" si="44"/>
        <v/>
      </c>
      <c r="Q341" s="44">
        <f t="shared" si="45"/>
        <v>0</v>
      </c>
      <c r="R341" s="44">
        <f t="shared" si="46"/>
        <v>0</v>
      </c>
      <c r="S341" s="43">
        <f t="shared" si="47"/>
        <v>0</v>
      </c>
      <c r="T341" s="39"/>
      <c r="U341" s="35"/>
      <c r="V341" s="35"/>
      <c r="W341" s="35"/>
      <c r="X341" s="35"/>
      <c r="Y341" s="35"/>
      <c r="Z341" s="35"/>
      <c r="AA341" s="35"/>
      <c r="AB341" s="35"/>
      <c r="AC341" s="35"/>
      <c r="AD341" s="35"/>
      <c r="AE341" s="35"/>
      <c r="AF341" s="35"/>
      <c r="AG341" s="35"/>
      <c r="AH341" s="35"/>
      <c r="AI341" s="35"/>
      <c r="AJ341" s="35"/>
      <c r="AK341" s="35"/>
      <c r="AL341" s="35"/>
      <c r="AM341" s="35"/>
      <c r="AN341" s="35"/>
      <c r="AO341" s="35"/>
      <c r="AP341" s="35"/>
      <c r="AQ341" s="35"/>
      <c r="AR341" s="35"/>
      <c r="AS341" s="35"/>
      <c r="AT341" s="35"/>
      <c r="AU341" s="35"/>
      <c r="AV341" s="35"/>
      <c r="AW341" s="35"/>
      <c r="AX341" s="35"/>
      <c r="AY341" s="35"/>
      <c r="AZ341" s="35"/>
      <c r="BA341" s="35"/>
      <c r="BB341" s="35"/>
      <c r="BC341" s="35"/>
      <c r="BD341" s="35"/>
      <c r="BE341" s="35"/>
      <c r="BF341" s="35"/>
      <c r="BG341" s="35"/>
      <c r="BH341" s="35"/>
      <c r="BI341" s="35"/>
      <c r="BJ341" s="35"/>
      <c r="BK341" s="35"/>
      <c r="BL341" s="35"/>
    </row>
    <row r="342" spans="1:64" ht="14">
      <c r="A342" s="36"/>
      <c r="B342" s="37"/>
      <c r="C342" s="38">
        <f t="shared" si="40"/>
        <v>0</v>
      </c>
      <c r="D342" s="39"/>
      <c r="E342" s="39"/>
      <c r="F342" s="39"/>
      <c r="G342" s="39"/>
      <c r="H342" s="40"/>
      <c r="I342" s="41"/>
      <c r="J342" s="39"/>
      <c r="K342" s="41"/>
      <c r="L342" s="41"/>
      <c r="M342" s="42" t="str">
        <f t="shared" si="41"/>
        <v/>
      </c>
      <c r="N342" s="40" t="str">
        <f t="shared" si="42"/>
        <v/>
      </c>
      <c r="O342" s="40" t="str">
        <f t="shared" si="43"/>
        <v/>
      </c>
      <c r="P342" s="43" t="str">
        <f t="shared" si="44"/>
        <v/>
      </c>
      <c r="Q342" s="44">
        <f t="shared" si="45"/>
        <v>0</v>
      </c>
      <c r="R342" s="44">
        <f t="shared" si="46"/>
        <v>0</v>
      </c>
      <c r="S342" s="43">
        <f t="shared" si="47"/>
        <v>0</v>
      </c>
      <c r="T342" s="39"/>
      <c r="U342" s="35"/>
      <c r="V342" s="35"/>
      <c r="W342" s="35"/>
      <c r="X342" s="35"/>
      <c r="Y342" s="35"/>
      <c r="Z342" s="35"/>
      <c r="AA342" s="35"/>
      <c r="AB342" s="35"/>
      <c r="AC342" s="35"/>
      <c r="AD342" s="35"/>
      <c r="AE342" s="35"/>
      <c r="AF342" s="35"/>
      <c r="AG342" s="35"/>
      <c r="AH342" s="35"/>
      <c r="AI342" s="35"/>
      <c r="AJ342" s="35"/>
      <c r="AK342" s="35"/>
      <c r="AL342" s="35"/>
      <c r="AM342" s="35"/>
      <c r="AN342" s="35"/>
      <c r="AO342" s="35"/>
      <c r="AP342" s="35"/>
      <c r="AQ342" s="35"/>
      <c r="AR342" s="35"/>
      <c r="AS342" s="35"/>
      <c r="AT342" s="35"/>
      <c r="AU342" s="35"/>
      <c r="AV342" s="35"/>
      <c r="AW342" s="35"/>
      <c r="AX342" s="35"/>
      <c r="AY342" s="35"/>
      <c r="AZ342" s="35"/>
      <c r="BA342" s="35"/>
      <c r="BB342" s="35"/>
      <c r="BC342" s="35"/>
      <c r="BD342" s="35"/>
      <c r="BE342" s="35"/>
      <c r="BF342" s="35"/>
      <c r="BG342" s="35"/>
      <c r="BH342" s="35"/>
      <c r="BI342" s="35"/>
      <c r="BJ342" s="35"/>
      <c r="BK342" s="35"/>
      <c r="BL342" s="35"/>
    </row>
    <row r="343" spans="1:64" ht="14">
      <c r="A343" s="36"/>
      <c r="B343" s="37"/>
      <c r="C343" s="38">
        <f t="shared" si="40"/>
        <v>0</v>
      </c>
      <c r="D343" s="39"/>
      <c r="E343" s="39"/>
      <c r="F343" s="39"/>
      <c r="G343" s="39"/>
      <c r="H343" s="40"/>
      <c r="I343" s="41"/>
      <c r="J343" s="39"/>
      <c r="K343" s="41"/>
      <c r="L343" s="41"/>
      <c r="M343" s="42" t="str">
        <f t="shared" si="41"/>
        <v/>
      </c>
      <c r="N343" s="40" t="str">
        <f t="shared" si="42"/>
        <v/>
      </c>
      <c r="O343" s="40" t="str">
        <f t="shared" si="43"/>
        <v/>
      </c>
      <c r="P343" s="43" t="str">
        <f t="shared" si="44"/>
        <v/>
      </c>
      <c r="Q343" s="44">
        <f t="shared" si="45"/>
        <v>0</v>
      </c>
      <c r="R343" s="44">
        <f t="shared" si="46"/>
        <v>0</v>
      </c>
      <c r="S343" s="43">
        <f t="shared" si="47"/>
        <v>0</v>
      </c>
      <c r="T343" s="39"/>
      <c r="U343" s="35"/>
      <c r="V343" s="35"/>
      <c r="W343" s="35"/>
      <c r="X343" s="35"/>
      <c r="Y343" s="35"/>
      <c r="Z343" s="35"/>
      <c r="AA343" s="35"/>
      <c r="AB343" s="35"/>
      <c r="AC343" s="35"/>
      <c r="AD343" s="35"/>
      <c r="AE343" s="35"/>
      <c r="AF343" s="35"/>
      <c r="AG343" s="35"/>
      <c r="AH343" s="35"/>
      <c r="AI343" s="35"/>
      <c r="AJ343" s="35"/>
      <c r="AK343" s="35"/>
      <c r="AL343" s="35"/>
      <c r="AM343" s="35"/>
      <c r="AN343" s="35"/>
      <c r="AO343" s="35"/>
      <c r="AP343" s="35"/>
      <c r="AQ343" s="35"/>
      <c r="AR343" s="35"/>
      <c r="AS343" s="35"/>
      <c r="AT343" s="35"/>
      <c r="AU343" s="35"/>
      <c r="AV343" s="35"/>
      <c r="AW343" s="35"/>
      <c r="AX343" s="35"/>
      <c r="AY343" s="35"/>
      <c r="AZ343" s="35"/>
      <c r="BA343" s="35"/>
      <c r="BB343" s="35"/>
      <c r="BC343" s="35"/>
      <c r="BD343" s="35"/>
      <c r="BE343" s="35"/>
      <c r="BF343" s="35"/>
      <c r="BG343" s="35"/>
      <c r="BH343" s="35"/>
      <c r="BI343" s="35"/>
      <c r="BJ343" s="35"/>
      <c r="BK343" s="35"/>
      <c r="BL343" s="35"/>
    </row>
    <row r="344" spans="1:64" ht="14">
      <c r="A344" s="36"/>
      <c r="B344" s="37"/>
      <c r="C344" s="38">
        <f t="shared" si="40"/>
        <v>0</v>
      </c>
      <c r="D344" s="39"/>
      <c r="E344" s="39"/>
      <c r="F344" s="39"/>
      <c r="G344" s="39"/>
      <c r="H344" s="40"/>
      <c r="I344" s="41"/>
      <c r="J344" s="39"/>
      <c r="K344" s="41"/>
      <c r="L344" s="41"/>
      <c r="M344" s="42" t="str">
        <f t="shared" si="41"/>
        <v/>
      </c>
      <c r="N344" s="40" t="str">
        <f t="shared" si="42"/>
        <v/>
      </c>
      <c r="O344" s="40" t="str">
        <f t="shared" si="43"/>
        <v/>
      </c>
      <c r="P344" s="43" t="str">
        <f t="shared" si="44"/>
        <v/>
      </c>
      <c r="Q344" s="44">
        <f t="shared" si="45"/>
        <v>0</v>
      </c>
      <c r="R344" s="44">
        <f t="shared" si="46"/>
        <v>0</v>
      </c>
      <c r="S344" s="43">
        <f t="shared" si="47"/>
        <v>0</v>
      </c>
      <c r="T344" s="39"/>
      <c r="U344" s="35"/>
      <c r="V344" s="35"/>
      <c r="W344" s="35"/>
      <c r="X344" s="35"/>
      <c r="Y344" s="35"/>
      <c r="Z344" s="35"/>
      <c r="AA344" s="35"/>
      <c r="AB344" s="35"/>
      <c r="AC344" s="35"/>
      <c r="AD344" s="35"/>
      <c r="AE344" s="35"/>
      <c r="AF344" s="35"/>
      <c r="AG344" s="35"/>
      <c r="AH344" s="35"/>
      <c r="AI344" s="35"/>
      <c r="AJ344" s="35"/>
      <c r="AK344" s="35"/>
      <c r="AL344" s="35"/>
      <c r="AM344" s="35"/>
      <c r="AN344" s="35"/>
      <c r="AO344" s="35"/>
      <c r="AP344" s="35"/>
      <c r="AQ344" s="35"/>
      <c r="AR344" s="35"/>
      <c r="AS344" s="35"/>
      <c r="AT344" s="35"/>
      <c r="AU344" s="35"/>
      <c r="AV344" s="35"/>
      <c r="AW344" s="35"/>
      <c r="AX344" s="35"/>
      <c r="AY344" s="35"/>
      <c r="AZ344" s="35"/>
      <c r="BA344" s="35"/>
      <c r="BB344" s="35"/>
      <c r="BC344" s="35"/>
      <c r="BD344" s="35"/>
      <c r="BE344" s="35"/>
      <c r="BF344" s="35"/>
      <c r="BG344" s="35"/>
      <c r="BH344" s="35"/>
      <c r="BI344" s="35"/>
      <c r="BJ344" s="35"/>
      <c r="BK344" s="35"/>
      <c r="BL344" s="35"/>
    </row>
    <row r="345" spans="1:64" ht="14">
      <c r="A345" s="36"/>
      <c r="B345" s="37"/>
      <c r="C345" s="38">
        <f t="shared" si="40"/>
        <v>0</v>
      </c>
      <c r="D345" s="39"/>
      <c r="E345" s="39"/>
      <c r="F345" s="39"/>
      <c r="G345" s="39"/>
      <c r="H345" s="40"/>
      <c r="I345" s="41"/>
      <c r="J345" s="39"/>
      <c r="K345" s="41"/>
      <c r="L345" s="41"/>
      <c r="M345" s="42" t="str">
        <f t="shared" si="41"/>
        <v/>
      </c>
      <c r="N345" s="40" t="str">
        <f t="shared" si="42"/>
        <v/>
      </c>
      <c r="O345" s="40" t="str">
        <f t="shared" si="43"/>
        <v/>
      </c>
      <c r="P345" s="43" t="str">
        <f t="shared" si="44"/>
        <v/>
      </c>
      <c r="Q345" s="44">
        <f t="shared" si="45"/>
        <v>0</v>
      </c>
      <c r="R345" s="44">
        <f t="shared" si="46"/>
        <v>0</v>
      </c>
      <c r="S345" s="43">
        <f t="shared" si="47"/>
        <v>0</v>
      </c>
      <c r="T345" s="39"/>
      <c r="U345" s="35"/>
      <c r="V345" s="35"/>
      <c r="W345" s="35"/>
      <c r="X345" s="35"/>
      <c r="Y345" s="35"/>
      <c r="Z345" s="35"/>
      <c r="AA345" s="35"/>
      <c r="AB345" s="35"/>
      <c r="AC345" s="35"/>
      <c r="AD345" s="35"/>
      <c r="AE345" s="35"/>
      <c r="AF345" s="35"/>
      <c r="AG345" s="35"/>
      <c r="AH345" s="35"/>
      <c r="AI345" s="35"/>
      <c r="AJ345" s="35"/>
      <c r="AK345" s="35"/>
      <c r="AL345" s="35"/>
      <c r="AM345" s="35"/>
      <c r="AN345" s="35"/>
      <c r="AO345" s="35"/>
      <c r="AP345" s="35"/>
      <c r="AQ345" s="35"/>
      <c r="AR345" s="35"/>
      <c r="AS345" s="35"/>
      <c r="AT345" s="35"/>
      <c r="AU345" s="35"/>
      <c r="AV345" s="35"/>
      <c r="AW345" s="35"/>
      <c r="AX345" s="35"/>
      <c r="AY345" s="35"/>
      <c r="AZ345" s="35"/>
      <c r="BA345" s="35"/>
      <c r="BB345" s="35"/>
      <c r="BC345" s="35"/>
      <c r="BD345" s="35"/>
      <c r="BE345" s="35"/>
      <c r="BF345" s="35"/>
      <c r="BG345" s="35"/>
      <c r="BH345" s="35"/>
      <c r="BI345" s="35"/>
      <c r="BJ345" s="35"/>
      <c r="BK345" s="35"/>
      <c r="BL345" s="35"/>
    </row>
    <row r="346" spans="1:64" ht="14">
      <c r="A346" s="36"/>
      <c r="B346" s="37"/>
      <c r="C346" s="38">
        <f t="shared" si="40"/>
        <v>0</v>
      </c>
      <c r="D346" s="39"/>
      <c r="E346" s="39"/>
      <c r="F346" s="39"/>
      <c r="G346" s="39"/>
      <c r="H346" s="40"/>
      <c r="I346" s="41"/>
      <c r="J346" s="39"/>
      <c r="K346" s="41"/>
      <c r="L346" s="41"/>
      <c r="M346" s="42" t="str">
        <f t="shared" si="41"/>
        <v/>
      </c>
      <c r="N346" s="40" t="str">
        <f t="shared" si="42"/>
        <v/>
      </c>
      <c r="O346" s="40" t="str">
        <f t="shared" si="43"/>
        <v/>
      </c>
      <c r="P346" s="43" t="str">
        <f t="shared" si="44"/>
        <v/>
      </c>
      <c r="Q346" s="44">
        <f t="shared" si="45"/>
        <v>0</v>
      </c>
      <c r="R346" s="44">
        <f t="shared" si="46"/>
        <v>0</v>
      </c>
      <c r="S346" s="43">
        <f t="shared" si="47"/>
        <v>0</v>
      </c>
      <c r="T346" s="39"/>
      <c r="U346" s="35"/>
      <c r="V346" s="35"/>
      <c r="W346" s="35"/>
      <c r="X346" s="35"/>
      <c r="Y346" s="35"/>
      <c r="Z346" s="35"/>
      <c r="AA346" s="35"/>
      <c r="AB346" s="35"/>
      <c r="AC346" s="35"/>
      <c r="AD346" s="35"/>
      <c r="AE346" s="35"/>
      <c r="AF346" s="35"/>
      <c r="AG346" s="35"/>
      <c r="AH346" s="35"/>
      <c r="AI346" s="35"/>
      <c r="AJ346" s="35"/>
      <c r="AK346" s="35"/>
      <c r="AL346" s="35"/>
      <c r="AM346" s="35"/>
      <c r="AN346" s="35"/>
      <c r="AO346" s="35"/>
      <c r="AP346" s="35"/>
      <c r="AQ346" s="35"/>
      <c r="AR346" s="35"/>
      <c r="AS346" s="35"/>
      <c r="AT346" s="35"/>
      <c r="AU346" s="35"/>
      <c r="AV346" s="35"/>
      <c r="AW346" s="35"/>
      <c r="AX346" s="35"/>
      <c r="AY346" s="35"/>
      <c r="AZ346" s="35"/>
      <c r="BA346" s="35"/>
      <c r="BB346" s="35"/>
      <c r="BC346" s="35"/>
      <c r="BD346" s="35"/>
      <c r="BE346" s="35"/>
      <c r="BF346" s="35"/>
      <c r="BG346" s="35"/>
      <c r="BH346" s="35"/>
      <c r="BI346" s="35"/>
      <c r="BJ346" s="35"/>
      <c r="BK346" s="35"/>
      <c r="BL346" s="35"/>
    </row>
    <row r="347" spans="1:64" ht="14">
      <c r="A347" s="36"/>
      <c r="B347" s="37"/>
      <c r="C347" s="38">
        <f t="shared" si="40"/>
        <v>0</v>
      </c>
      <c r="D347" s="39"/>
      <c r="E347" s="39"/>
      <c r="F347" s="39"/>
      <c r="G347" s="39"/>
      <c r="H347" s="40"/>
      <c r="I347" s="41"/>
      <c r="J347" s="39"/>
      <c r="K347" s="41"/>
      <c r="L347" s="41"/>
      <c r="M347" s="42" t="str">
        <f t="shared" si="41"/>
        <v/>
      </c>
      <c r="N347" s="40" t="str">
        <f t="shared" si="42"/>
        <v/>
      </c>
      <c r="O347" s="40" t="str">
        <f t="shared" si="43"/>
        <v/>
      </c>
      <c r="P347" s="43" t="str">
        <f t="shared" si="44"/>
        <v/>
      </c>
      <c r="Q347" s="44">
        <f t="shared" si="45"/>
        <v>0</v>
      </c>
      <c r="R347" s="44">
        <f t="shared" si="46"/>
        <v>0</v>
      </c>
      <c r="S347" s="43">
        <f t="shared" si="47"/>
        <v>0</v>
      </c>
      <c r="T347" s="39"/>
      <c r="U347" s="35"/>
      <c r="V347" s="35"/>
      <c r="W347" s="35"/>
      <c r="X347" s="35"/>
      <c r="Y347" s="35"/>
      <c r="Z347" s="35"/>
      <c r="AA347" s="35"/>
      <c r="AB347" s="35"/>
      <c r="AC347" s="35"/>
      <c r="AD347" s="35"/>
      <c r="AE347" s="35"/>
      <c r="AF347" s="35"/>
      <c r="AG347" s="35"/>
      <c r="AH347" s="35"/>
      <c r="AI347" s="35"/>
      <c r="AJ347" s="35"/>
      <c r="AK347" s="35"/>
      <c r="AL347" s="35"/>
      <c r="AM347" s="35"/>
      <c r="AN347" s="35"/>
      <c r="AO347" s="35"/>
      <c r="AP347" s="35"/>
      <c r="AQ347" s="35"/>
      <c r="AR347" s="35"/>
      <c r="AS347" s="35"/>
      <c r="AT347" s="35"/>
      <c r="AU347" s="35"/>
      <c r="AV347" s="35"/>
      <c r="AW347" s="35"/>
      <c r="AX347" s="35"/>
      <c r="AY347" s="35"/>
      <c r="AZ347" s="35"/>
      <c r="BA347" s="35"/>
      <c r="BB347" s="35"/>
      <c r="BC347" s="35"/>
      <c r="BD347" s="35"/>
      <c r="BE347" s="35"/>
      <c r="BF347" s="35"/>
      <c r="BG347" s="35"/>
      <c r="BH347" s="35"/>
      <c r="BI347" s="35"/>
      <c r="BJ347" s="35"/>
      <c r="BK347" s="35"/>
      <c r="BL347" s="35"/>
    </row>
    <row r="348" spans="1:64" ht="14">
      <c r="A348" s="36"/>
      <c r="B348" s="37"/>
      <c r="C348" s="38">
        <f t="shared" si="40"/>
        <v>0</v>
      </c>
      <c r="D348" s="39"/>
      <c r="E348" s="39"/>
      <c r="F348" s="39"/>
      <c r="G348" s="39"/>
      <c r="H348" s="40"/>
      <c r="I348" s="41"/>
      <c r="J348" s="39"/>
      <c r="K348" s="41"/>
      <c r="L348" s="41"/>
      <c r="M348" s="42" t="str">
        <f t="shared" si="41"/>
        <v/>
      </c>
      <c r="N348" s="40" t="str">
        <f t="shared" si="42"/>
        <v/>
      </c>
      <c r="O348" s="40" t="str">
        <f t="shared" si="43"/>
        <v/>
      </c>
      <c r="P348" s="43" t="str">
        <f t="shared" si="44"/>
        <v/>
      </c>
      <c r="Q348" s="44">
        <f t="shared" si="45"/>
        <v>0</v>
      </c>
      <c r="R348" s="44">
        <f t="shared" si="46"/>
        <v>0</v>
      </c>
      <c r="S348" s="43">
        <f t="shared" si="47"/>
        <v>0</v>
      </c>
      <c r="T348" s="39"/>
      <c r="U348" s="35"/>
      <c r="V348" s="35"/>
      <c r="W348" s="35"/>
      <c r="X348" s="35"/>
      <c r="Y348" s="35"/>
      <c r="Z348" s="35"/>
      <c r="AA348" s="35"/>
      <c r="AB348" s="35"/>
      <c r="AC348" s="35"/>
      <c r="AD348" s="35"/>
      <c r="AE348" s="35"/>
      <c r="AF348" s="35"/>
      <c r="AG348" s="35"/>
      <c r="AH348" s="35"/>
      <c r="AI348" s="35"/>
      <c r="AJ348" s="35"/>
      <c r="AK348" s="35"/>
      <c r="AL348" s="35"/>
      <c r="AM348" s="35"/>
      <c r="AN348" s="35"/>
      <c r="AO348" s="35"/>
      <c r="AP348" s="35"/>
      <c r="AQ348" s="35"/>
      <c r="AR348" s="35"/>
      <c r="AS348" s="35"/>
      <c r="AT348" s="35"/>
      <c r="AU348" s="35"/>
      <c r="AV348" s="35"/>
      <c r="AW348" s="35"/>
      <c r="AX348" s="35"/>
      <c r="AY348" s="35"/>
      <c r="AZ348" s="35"/>
      <c r="BA348" s="35"/>
      <c r="BB348" s="35"/>
      <c r="BC348" s="35"/>
      <c r="BD348" s="35"/>
      <c r="BE348" s="35"/>
      <c r="BF348" s="35"/>
      <c r="BG348" s="35"/>
      <c r="BH348" s="35"/>
      <c r="BI348" s="35"/>
      <c r="BJ348" s="35"/>
      <c r="BK348" s="35"/>
      <c r="BL348" s="35"/>
    </row>
    <row r="349" spans="1:64" ht="14">
      <c r="A349" s="36"/>
      <c r="B349" s="37"/>
      <c r="C349" s="38">
        <f t="shared" si="40"/>
        <v>0</v>
      </c>
      <c r="D349" s="39"/>
      <c r="E349" s="39"/>
      <c r="F349" s="39"/>
      <c r="G349" s="39"/>
      <c r="H349" s="40"/>
      <c r="I349" s="41"/>
      <c r="J349" s="39"/>
      <c r="K349" s="41"/>
      <c r="L349" s="41"/>
      <c r="M349" s="42" t="str">
        <f t="shared" si="41"/>
        <v/>
      </c>
      <c r="N349" s="40" t="str">
        <f t="shared" si="42"/>
        <v/>
      </c>
      <c r="O349" s="40" t="str">
        <f t="shared" si="43"/>
        <v/>
      </c>
      <c r="P349" s="43" t="str">
        <f t="shared" si="44"/>
        <v/>
      </c>
      <c r="Q349" s="44">
        <f t="shared" si="45"/>
        <v>0</v>
      </c>
      <c r="R349" s="44">
        <f t="shared" si="46"/>
        <v>0</v>
      </c>
      <c r="S349" s="43">
        <f t="shared" si="47"/>
        <v>0</v>
      </c>
      <c r="T349" s="39"/>
      <c r="U349" s="35"/>
      <c r="V349" s="35"/>
      <c r="W349" s="35"/>
      <c r="X349" s="35"/>
      <c r="Y349" s="35"/>
      <c r="Z349" s="35"/>
      <c r="AA349" s="35"/>
      <c r="AB349" s="35"/>
      <c r="AC349" s="35"/>
      <c r="AD349" s="35"/>
      <c r="AE349" s="35"/>
      <c r="AF349" s="35"/>
      <c r="AG349" s="35"/>
      <c r="AH349" s="35"/>
      <c r="AI349" s="35"/>
      <c r="AJ349" s="35"/>
      <c r="AK349" s="35"/>
      <c r="AL349" s="35"/>
      <c r="AM349" s="35"/>
      <c r="AN349" s="35"/>
      <c r="AO349" s="35"/>
      <c r="AP349" s="35"/>
      <c r="AQ349" s="35"/>
      <c r="AR349" s="35"/>
      <c r="AS349" s="35"/>
      <c r="AT349" s="35"/>
      <c r="AU349" s="35"/>
      <c r="AV349" s="35"/>
      <c r="AW349" s="35"/>
      <c r="AX349" s="35"/>
      <c r="AY349" s="35"/>
      <c r="AZ349" s="35"/>
      <c r="BA349" s="35"/>
      <c r="BB349" s="35"/>
      <c r="BC349" s="35"/>
      <c r="BD349" s="35"/>
      <c r="BE349" s="35"/>
      <c r="BF349" s="35"/>
      <c r="BG349" s="35"/>
      <c r="BH349" s="35"/>
      <c r="BI349" s="35"/>
      <c r="BJ349" s="35"/>
      <c r="BK349" s="35"/>
      <c r="BL349" s="35"/>
    </row>
    <row r="350" spans="1:64" ht="14">
      <c r="A350" s="36"/>
      <c r="B350" s="37"/>
      <c r="C350" s="38">
        <f t="shared" si="40"/>
        <v>0</v>
      </c>
      <c r="D350" s="39"/>
      <c r="E350" s="39"/>
      <c r="F350" s="39"/>
      <c r="G350" s="39"/>
      <c r="H350" s="40"/>
      <c r="I350" s="41"/>
      <c r="J350" s="39"/>
      <c r="K350" s="41"/>
      <c r="L350" s="41"/>
      <c r="M350" s="42" t="str">
        <f t="shared" si="41"/>
        <v/>
      </c>
      <c r="N350" s="40" t="str">
        <f t="shared" si="42"/>
        <v/>
      </c>
      <c r="O350" s="40" t="str">
        <f t="shared" si="43"/>
        <v/>
      </c>
      <c r="P350" s="43" t="str">
        <f t="shared" si="44"/>
        <v/>
      </c>
      <c r="Q350" s="44">
        <f t="shared" si="45"/>
        <v>0</v>
      </c>
      <c r="R350" s="44">
        <f t="shared" si="46"/>
        <v>0</v>
      </c>
      <c r="S350" s="43">
        <f t="shared" si="47"/>
        <v>0</v>
      </c>
      <c r="T350" s="39"/>
      <c r="U350" s="35"/>
      <c r="V350" s="35"/>
      <c r="W350" s="35"/>
      <c r="X350" s="35"/>
      <c r="Y350" s="35"/>
      <c r="Z350" s="35"/>
      <c r="AA350" s="35"/>
      <c r="AB350" s="35"/>
      <c r="AC350" s="35"/>
      <c r="AD350" s="35"/>
      <c r="AE350" s="35"/>
      <c r="AF350" s="35"/>
      <c r="AG350" s="35"/>
      <c r="AH350" s="35"/>
      <c r="AI350" s="35"/>
      <c r="AJ350" s="35"/>
      <c r="AK350" s="35"/>
      <c r="AL350" s="35"/>
      <c r="AM350" s="35"/>
      <c r="AN350" s="35"/>
      <c r="AO350" s="35"/>
      <c r="AP350" s="35"/>
      <c r="AQ350" s="35"/>
      <c r="AR350" s="35"/>
      <c r="AS350" s="35"/>
      <c r="AT350" s="35"/>
      <c r="AU350" s="35"/>
      <c r="AV350" s="35"/>
      <c r="AW350" s="35"/>
      <c r="AX350" s="35"/>
      <c r="AY350" s="35"/>
      <c r="AZ350" s="35"/>
      <c r="BA350" s="35"/>
      <c r="BB350" s="35"/>
      <c r="BC350" s="35"/>
      <c r="BD350" s="35"/>
      <c r="BE350" s="35"/>
      <c r="BF350" s="35"/>
      <c r="BG350" s="35"/>
      <c r="BH350" s="35"/>
      <c r="BI350" s="35"/>
      <c r="BJ350" s="35"/>
      <c r="BK350" s="35"/>
      <c r="BL350" s="35"/>
    </row>
    <row r="351" spans="1:64" ht="14">
      <c r="A351" s="36"/>
      <c r="B351" s="37"/>
      <c r="C351" s="38">
        <f t="shared" si="40"/>
        <v>0</v>
      </c>
      <c r="D351" s="39"/>
      <c r="E351" s="39"/>
      <c r="F351" s="39"/>
      <c r="G351" s="39"/>
      <c r="H351" s="40"/>
      <c r="I351" s="41"/>
      <c r="J351" s="39"/>
      <c r="K351" s="41"/>
      <c r="L351" s="41"/>
      <c r="M351" s="42" t="str">
        <f t="shared" si="41"/>
        <v/>
      </c>
      <c r="N351" s="40" t="str">
        <f t="shared" si="42"/>
        <v/>
      </c>
      <c r="O351" s="40" t="str">
        <f t="shared" si="43"/>
        <v/>
      </c>
      <c r="P351" s="43" t="str">
        <f t="shared" si="44"/>
        <v/>
      </c>
      <c r="Q351" s="44">
        <f t="shared" si="45"/>
        <v>0</v>
      </c>
      <c r="R351" s="44">
        <f t="shared" si="46"/>
        <v>0</v>
      </c>
      <c r="S351" s="43">
        <f t="shared" si="47"/>
        <v>0</v>
      </c>
      <c r="T351" s="39"/>
      <c r="U351" s="35"/>
      <c r="V351" s="35"/>
      <c r="W351" s="35"/>
      <c r="X351" s="35"/>
      <c r="Y351" s="35"/>
      <c r="Z351" s="35"/>
      <c r="AA351" s="35"/>
      <c r="AB351" s="35"/>
      <c r="AC351" s="35"/>
      <c r="AD351" s="35"/>
      <c r="AE351" s="35"/>
      <c r="AF351" s="35"/>
      <c r="AG351" s="35"/>
      <c r="AH351" s="35"/>
      <c r="AI351" s="35"/>
      <c r="AJ351" s="35"/>
      <c r="AK351" s="35"/>
      <c r="AL351" s="35"/>
      <c r="AM351" s="35"/>
      <c r="AN351" s="35"/>
      <c r="AO351" s="35"/>
      <c r="AP351" s="35"/>
      <c r="AQ351" s="35"/>
      <c r="AR351" s="35"/>
      <c r="AS351" s="35"/>
      <c r="AT351" s="35"/>
      <c r="AU351" s="35"/>
      <c r="AV351" s="35"/>
      <c r="AW351" s="35"/>
      <c r="AX351" s="35"/>
      <c r="AY351" s="35"/>
      <c r="AZ351" s="35"/>
      <c r="BA351" s="35"/>
      <c r="BB351" s="35"/>
      <c r="BC351" s="35"/>
      <c r="BD351" s="35"/>
      <c r="BE351" s="35"/>
      <c r="BF351" s="35"/>
      <c r="BG351" s="35"/>
      <c r="BH351" s="35"/>
      <c r="BI351" s="35"/>
      <c r="BJ351" s="35"/>
      <c r="BK351" s="35"/>
      <c r="BL351" s="35"/>
    </row>
    <row r="352" spans="1:64" ht="14">
      <c r="A352" s="36"/>
      <c r="B352" s="37"/>
      <c r="C352" s="38">
        <f t="shared" si="40"/>
        <v>0</v>
      </c>
      <c r="D352" s="39"/>
      <c r="E352" s="39"/>
      <c r="F352" s="39"/>
      <c r="G352" s="39"/>
      <c r="H352" s="40"/>
      <c r="I352" s="41"/>
      <c r="J352" s="39"/>
      <c r="K352" s="41"/>
      <c r="L352" s="41"/>
      <c r="M352" s="42" t="str">
        <f t="shared" si="41"/>
        <v/>
      </c>
      <c r="N352" s="40" t="str">
        <f t="shared" si="42"/>
        <v/>
      </c>
      <c r="O352" s="40" t="str">
        <f t="shared" si="43"/>
        <v/>
      </c>
      <c r="P352" s="43" t="str">
        <f t="shared" si="44"/>
        <v/>
      </c>
      <c r="Q352" s="44">
        <f t="shared" si="45"/>
        <v>0</v>
      </c>
      <c r="R352" s="44">
        <f t="shared" si="46"/>
        <v>0</v>
      </c>
      <c r="S352" s="43">
        <f t="shared" si="47"/>
        <v>0</v>
      </c>
      <c r="T352" s="39"/>
      <c r="U352" s="35"/>
      <c r="V352" s="35"/>
      <c r="W352" s="35"/>
      <c r="X352" s="35"/>
      <c r="Y352" s="35"/>
      <c r="Z352" s="35"/>
      <c r="AA352" s="35"/>
      <c r="AB352" s="35"/>
      <c r="AC352" s="35"/>
      <c r="AD352" s="35"/>
      <c r="AE352" s="35"/>
      <c r="AF352" s="35"/>
      <c r="AG352" s="35"/>
      <c r="AH352" s="35"/>
      <c r="AI352" s="35"/>
      <c r="AJ352" s="35"/>
      <c r="AK352" s="35"/>
      <c r="AL352" s="35"/>
      <c r="AM352" s="35"/>
      <c r="AN352" s="35"/>
      <c r="AO352" s="35"/>
      <c r="AP352" s="35"/>
      <c r="AQ352" s="35"/>
      <c r="AR352" s="35"/>
      <c r="AS352" s="35"/>
      <c r="AT352" s="35"/>
      <c r="AU352" s="35"/>
      <c r="AV352" s="35"/>
      <c r="AW352" s="35"/>
      <c r="AX352" s="35"/>
      <c r="AY352" s="35"/>
      <c r="AZ352" s="35"/>
      <c r="BA352" s="35"/>
      <c r="BB352" s="35"/>
      <c r="BC352" s="35"/>
      <c r="BD352" s="35"/>
      <c r="BE352" s="35"/>
      <c r="BF352" s="35"/>
      <c r="BG352" s="35"/>
      <c r="BH352" s="35"/>
      <c r="BI352" s="35"/>
      <c r="BJ352" s="35"/>
      <c r="BK352" s="35"/>
      <c r="BL352" s="35"/>
    </row>
    <row r="353" spans="1:64" ht="14">
      <c r="A353" s="36"/>
      <c r="B353" s="37"/>
      <c r="C353" s="38">
        <f t="shared" si="40"/>
        <v>0</v>
      </c>
      <c r="D353" s="39"/>
      <c r="E353" s="39"/>
      <c r="F353" s="39"/>
      <c r="G353" s="39"/>
      <c r="H353" s="40"/>
      <c r="I353" s="41"/>
      <c r="J353" s="39"/>
      <c r="K353" s="41"/>
      <c r="L353" s="41"/>
      <c r="M353" s="42" t="str">
        <f t="shared" si="41"/>
        <v/>
      </c>
      <c r="N353" s="40" t="str">
        <f t="shared" si="42"/>
        <v/>
      </c>
      <c r="O353" s="40" t="str">
        <f t="shared" si="43"/>
        <v/>
      </c>
      <c r="P353" s="43" t="str">
        <f t="shared" si="44"/>
        <v/>
      </c>
      <c r="Q353" s="44">
        <f t="shared" si="45"/>
        <v>0</v>
      </c>
      <c r="R353" s="44">
        <f t="shared" si="46"/>
        <v>0</v>
      </c>
      <c r="S353" s="43">
        <f t="shared" si="47"/>
        <v>0</v>
      </c>
      <c r="T353" s="39"/>
      <c r="U353" s="35"/>
      <c r="V353" s="35"/>
      <c r="W353" s="35"/>
      <c r="X353" s="35"/>
      <c r="Y353" s="35"/>
      <c r="Z353" s="35"/>
      <c r="AA353" s="35"/>
      <c r="AB353" s="35"/>
      <c r="AC353" s="35"/>
      <c r="AD353" s="35"/>
      <c r="AE353" s="35"/>
      <c r="AF353" s="35"/>
      <c r="AG353" s="35"/>
      <c r="AH353" s="35"/>
      <c r="AI353" s="35"/>
      <c r="AJ353" s="35"/>
      <c r="AK353" s="35"/>
      <c r="AL353" s="35"/>
      <c r="AM353" s="35"/>
      <c r="AN353" s="35"/>
      <c r="AO353" s="35"/>
      <c r="AP353" s="35"/>
      <c r="AQ353" s="35"/>
      <c r="AR353" s="35"/>
      <c r="AS353" s="35"/>
      <c r="AT353" s="35"/>
      <c r="AU353" s="35"/>
      <c r="AV353" s="35"/>
      <c r="AW353" s="35"/>
      <c r="AX353" s="35"/>
      <c r="AY353" s="35"/>
      <c r="AZ353" s="35"/>
      <c r="BA353" s="35"/>
      <c r="BB353" s="35"/>
      <c r="BC353" s="35"/>
      <c r="BD353" s="35"/>
      <c r="BE353" s="35"/>
      <c r="BF353" s="35"/>
      <c r="BG353" s="35"/>
      <c r="BH353" s="35"/>
      <c r="BI353" s="35"/>
      <c r="BJ353" s="35"/>
      <c r="BK353" s="35"/>
      <c r="BL353" s="35"/>
    </row>
    <row r="354" spans="1:64" ht="14">
      <c r="A354" s="36"/>
      <c r="B354" s="37"/>
      <c r="C354" s="38">
        <f t="shared" si="40"/>
        <v>0</v>
      </c>
      <c r="D354" s="39"/>
      <c r="E354" s="39"/>
      <c r="F354" s="39"/>
      <c r="G354" s="39"/>
      <c r="H354" s="40"/>
      <c r="I354" s="41"/>
      <c r="J354" s="39"/>
      <c r="K354" s="41"/>
      <c r="L354" s="41"/>
      <c r="M354" s="42" t="str">
        <f t="shared" si="41"/>
        <v/>
      </c>
      <c r="N354" s="40" t="str">
        <f t="shared" si="42"/>
        <v/>
      </c>
      <c r="O354" s="40" t="str">
        <f t="shared" si="43"/>
        <v/>
      </c>
      <c r="P354" s="43" t="str">
        <f t="shared" si="44"/>
        <v/>
      </c>
      <c r="Q354" s="44">
        <f t="shared" si="45"/>
        <v>0</v>
      </c>
      <c r="R354" s="44">
        <f t="shared" si="46"/>
        <v>0</v>
      </c>
      <c r="S354" s="43">
        <f t="shared" si="47"/>
        <v>0</v>
      </c>
      <c r="T354" s="39"/>
      <c r="U354" s="35"/>
      <c r="V354" s="35"/>
      <c r="W354" s="35"/>
      <c r="X354" s="35"/>
      <c r="Y354" s="35"/>
      <c r="Z354" s="35"/>
      <c r="AA354" s="35"/>
      <c r="AB354" s="35"/>
      <c r="AC354" s="35"/>
      <c r="AD354" s="35"/>
      <c r="AE354" s="35"/>
      <c r="AF354" s="35"/>
      <c r="AG354" s="35"/>
      <c r="AH354" s="35"/>
      <c r="AI354" s="35"/>
      <c r="AJ354" s="35"/>
      <c r="AK354" s="35"/>
      <c r="AL354" s="35"/>
      <c r="AM354" s="35"/>
      <c r="AN354" s="35"/>
      <c r="AO354" s="35"/>
      <c r="AP354" s="35"/>
      <c r="AQ354" s="35"/>
      <c r="AR354" s="35"/>
      <c r="AS354" s="35"/>
      <c r="AT354" s="35"/>
      <c r="AU354" s="35"/>
      <c r="AV354" s="35"/>
      <c r="AW354" s="35"/>
      <c r="AX354" s="35"/>
      <c r="AY354" s="35"/>
      <c r="AZ354" s="35"/>
      <c r="BA354" s="35"/>
      <c r="BB354" s="35"/>
      <c r="BC354" s="35"/>
      <c r="BD354" s="35"/>
      <c r="BE354" s="35"/>
      <c r="BF354" s="35"/>
      <c r="BG354" s="35"/>
      <c r="BH354" s="35"/>
      <c r="BI354" s="35"/>
      <c r="BJ354" s="35"/>
      <c r="BK354" s="35"/>
      <c r="BL354" s="35"/>
    </row>
    <row r="355" spans="1:64" ht="14">
      <c r="A355" s="36"/>
      <c r="B355" s="37"/>
      <c r="C355" s="38">
        <f t="shared" si="40"/>
        <v>0</v>
      </c>
      <c r="D355" s="39"/>
      <c r="E355" s="39"/>
      <c r="F355" s="39"/>
      <c r="G355" s="39"/>
      <c r="H355" s="40"/>
      <c r="I355" s="41"/>
      <c r="J355" s="39"/>
      <c r="K355" s="41"/>
      <c r="L355" s="41"/>
      <c r="M355" s="42" t="str">
        <f t="shared" si="41"/>
        <v/>
      </c>
      <c r="N355" s="40" t="str">
        <f t="shared" si="42"/>
        <v/>
      </c>
      <c r="O355" s="40" t="str">
        <f t="shared" si="43"/>
        <v/>
      </c>
      <c r="P355" s="43" t="str">
        <f t="shared" si="44"/>
        <v/>
      </c>
      <c r="Q355" s="44">
        <f t="shared" si="45"/>
        <v>0</v>
      </c>
      <c r="R355" s="44">
        <f t="shared" si="46"/>
        <v>0</v>
      </c>
      <c r="S355" s="43">
        <f t="shared" si="47"/>
        <v>0</v>
      </c>
      <c r="T355" s="39"/>
      <c r="U355" s="35"/>
      <c r="V355" s="35"/>
      <c r="W355" s="35"/>
      <c r="X355" s="35"/>
      <c r="Y355" s="35"/>
      <c r="Z355" s="35"/>
      <c r="AA355" s="35"/>
      <c r="AB355" s="35"/>
      <c r="AC355" s="35"/>
      <c r="AD355" s="35"/>
      <c r="AE355" s="35"/>
      <c r="AF355" s="35"/>
      <c r="AG355" s="35"/>
      <c r="AH355" s="35"/>
      <c r="AI355" s="35"/>
      <c r="AJ355" s="35"/>
      <c r="AK355" s="35"/>
      <c r="AL355" s="35"/>
      <c r="AM355" s="35"/>
      <c r="AN355" s="35"/>
      <c r="AO355" s="35"/>
      <c r="AP355" s="35"/>
      <c r="AQ355" s="35"/>
      <c r="AR355" s="35"/>
      <c r="AS355" s="35"/>
      <c r="AT355" s="35"/>
      <c r="AU355" s="35"/>
      <c r="AV355" s="35"/>
      <c r="AW355" s="35"/>
      <c r="AX355" s="35"/>
      <c r="AY355" s="35"/>
      <c r="AZ355" s="35"/>
      <c r="BA355" s="35"/>
      <c r="BB355" s="35"/>
      <c r="BC355" s="35"/>
      <c r="BD355" s="35"/>
      <c r="BE355" s="35"/>
      <c r="BF355" s="35"/>
      <c r="BG355" s="35"/>
      <c r="BH355" s="35"/>
      <c r="BI355" s="35"/>
      <c r="BJ355" s="35"/>
      <c r="BK355" s="35"/>
      <c r="BL355" s="35"/>
    </row>
    <row r="356" spans="1:64" ht="14">
      <c r="A356" s="36"/>
      <c r="B356" s="37"/>
      <c r="C356" s="38">
        <f t="shared" si="40"/>
        <v>0</v>
      </c>
      <c r="D356" s="39"/>
      <c r="E356" s="39"/>
      <c r="F356" s="39"/>
      <c r="G356" s="39"/>
      <c r="H356" s="40"/>
      <c r="I356" s="41"/>
      <c r="J356" s="39"/>
      <c r="K356" s="41"/>
      <c r="L356" s="41"/>
      <c r="M356" s="42" t="str">
        <f t="shared" si="41"/>
        <v/>
      </c>
      <c r="N356" s="40" t="str">
        <f t="shared" si="42"/>
        <v/>
      </c>
      <c r="O356" s="40" t="str">
        <f t="shared" si="43"/>
        <v/>
      </c>
      <c r="P356" s="43" t="str">
        <f t="shared" si="44"/>
        <v/>
      </c>
      <c r="Q356" s="44">
        <f t="shared" si="45"/>
        <v>0</v>
      </c>
      <c r="R356" s="44">
        <f t="shared" si="46"/>
        <v>0</v>
      </c>
      <c r="S356" s="43">
        <f t="shared" si="47"/>
        <v>0</v>
      </c>
      <c r="T356" s="39"/>
      <c r="U356" s="35"/>
      <c r="V356" s="35"/>
      <c r="W356" s="35"/>
      <c r="X356" s="35"/>
      <c r="Y356" s="35"/>
      <c r="Z356" s="35"/>
      <c r="AA356" s="35"/>
      <c r="AB356" s="35"/>
      <c r="AC356" s="35"/>
      <c r="AD356" s="35"/>
      <c r="AE356" s="35"/>
      <c r="AF356" s="35"/>
      <c r="AG356" s="35"/>
      <c r="AH356" s="35"/>
      <c r="AI356" s="35"/>
      <c r="AJ356" s="35"/>
      <c r="AK356" s="35"/>
      <c r="AL356" s="35"/>
      <c r="AM356" s="35"/>
      <c r="AN356" s="35"/>
      <c r="AO356" s="35"/>
      <c r="AP356" s="35"/>
      <c r="AQ356" s="35"/>
      <c r="AR356" s="35"/>
      <c r="AS356" s="35"/>
      <c r="AT356" s="35"/>
      <c r="AU356" s="35"/>
      <c r="AV356" s="35"/>
      <c r="AW356" s="35"/>
      <c r="AX356" s="35"/>
      <c r="AY356" s="35"/>
      <c r="AZ356" s="35"/>
      <c r="BA356" s="35"/>
      <c r="BB356" s="35"/>
      <c r="BC356" s="35"/>
      <c r="BD356" s="35"/>
      <c r="BE356" s="35"/>
      <c r="BF356" s="35"/>
      <c r="BG356" s="35"/>
      <c r="BH356" s="35"/>
      <c r="BI356" s="35"/>
      <c r="BJ356" s="35"/>
      <c r="BK356" s="35"/>
      <c r="BL356" s="35"/>
    </row>
    <row r="357" spans="1:64" ht="14">
      <c r="A357" s="36"/>
      <c r="B357" s="37"/>
      <c r="C357" s="38">
        <f t="shared" si="40"/>
        <v>0</v>
      </c>
      <c r="D357" s="39"/>
      <c r="E357" s="39"/>
      <c r="F357" s="39"/>
      <c r="G357" s="39"/>
      <c r="H357" s="40"/>
      <c r="I357" s="41"/>
      <c r="J357" s="39"/>
      <c r="K357" s="41"/>
      <c r="L357" s="41"/>
      <c r="M357" s="42" t="str">
        <f t="shared" si="41"/>
        <v/>
      </c>
      <c r="N357" s="40" t="str">
        <f t="shared" si="42"/>
        <v/>
      </c>
      <c r="O357" s="40" t="str">
        <f t="shared" si="43"/>
        <v/>
      </c>
      <c r="P357" s="43" t="str">
        <f t="shared" si="44"/>
        <v/>
      </c>
      <c r="Q357" s="44">
        <f t="shared" si="45"/>
        <v>0</v>
      </c>
      <c r="R357" s="44">
        <f t="shared" si="46"/>
        <v>0</v>
      </c>
      <c r="S357" s="43">
        <f t="shared" si="47"/>
        <v>0</v>
      </c>
      <c r="T357" s="39"/>
      <c r="U357" s="35"/>
      <c r="V357" s="35"/>
      <c r="W357" s="35"/>
      <c r="X357" s="35"/>
      <c r="Y357" s="35"/>
      <c r="Z357" s="35"/>
      <c r="AA357" s="35"/>
      <c r="AB357" s="35"/>
      <c r="AC357" s="35"/>
      <c r="AD357" s="35"/>
      <c r="AE357" s="35"/>
      <c r="AF357" s="35"/>
      <c r="AG357" s="35"/>
      <c r="AH357" s="35"/>
      <c r="AI357" s="35"/>
      <c r="AJ357" s="35"/>
      <c r="AK357" s="35"/>
      <c r="AL357" s="35"/>
      <c r="AM357" s="35"/>
      <c r="AN357" s="35"/>
      <c r="AO357" s="35"/>
      <c r="AP357" s="35"/>
      <c r="AQ357" s="35"/>
      <c r="AR357" s="35"/>
      <c r="AS357" s="35"/>
      <c r="AT357" s="35"/>
      <c r="AU357" s="35"/>
      <c r="AV357" s="35"/>
      <c r="AW357" s="35"/>
      <c r="AX357" s="35"/>
      <c r="AY357" s="35"/>
      <c r="AZ357" s="35"/>
      <c r="BA357" s="35"/>
      <c r="BB357" s="35"/>
      <c r="BC357" s="35"/>
      <c r="BD357" s="35"/>
      <c r="BE357" s="35"/>
      <c r="BF357" s="35"/>
      <c r="BG357" s="35"/>
      <c r="BH357" s="35"/>
      <c r="BI357" s="35"/>
      <c r="BJ357" s="35"/>
      <c r="BK357" s="35"/>
      <c r="BL357" s="35"/>
    </row>
    <row r="358" spans="1:64" ht="14">
      <c r="A358" s="36"/>
      <c r="B358" s="37"/>
      <c r="C358" s="38">
        <f t="shared" si="40"/>
        <v>0</v>
      </c>
      <c r="D358" s="39"/>
      <c r="E358" s="39"/>
      <c r="F358" s="39"/>
      <c r="G358" s="39"/>
      <c r="H358" s="40"/>
      <c r="I358" s="41"/>
      <c r="J358" s="39"/>
      <c r="K358" s="41"/>
      <c r="L358" s="41"/>
      <c r="M358" s="42" t="str">
        <f t="shared" si="41"/>
        <v/>
      </c>
      <c r="N358" s="40" t="str">
        <f t="shared" si="42"/>
        <v/>
      </c>
      <c r="O358" s="40" t="str">
        <f t="shared" si="43"/>
        <v/>
      </c>
      <c r="P358" s="43" t="str">
        <f t="shared" si="44"/>
        <v/>
      </c>
      <c r="Q358" s="44">
        <f t="shared" si="45"/>
        <v>0</v>
      </c>
      <c r="R358" s="44">
        <f t="shared" si="46"/>
        <v>0</v>
      </c>
      <c r="S358" s="43">
        <f t="shared" si="47"/>
        <v>0</v>
      </c>
      <c r="T358" s="39"/>
      <c r="U358" s="35"/>
      <c r="V358" s="35"/>
      <c r="W358" s="35"/>
      <c r="X358" s="35"/>
      <c r="Y358" s="35"/>
      <c r="Z358" s="35"/>
      <c r="AA358" s="35"/>
      <c r="AB358" s="35"/>
      <c r="AC358" s="35"/>
      <c r="AD358" s="35"/>
      <c r="AE358" s="35"/>
      <c r="AF358" s="35"/>
      <c r="AG358" s="35"/>
      <c r="AH358" s="35"/>
      <c r="AI358" s="35"/>
      <c r="AJ358" s="35"/>
      <c r="AK358" s="35"/>
      <c r="AL358" s="35"/>
      <c r="AM358" s="35"/>
      <c r="AN358" s="35"/>
      <c r="AO358" s="35"/>
      <c r="AP358" s="35"/>
      <c r="AQ358" s="35"/>
      <c r="AR358" s="35"/>
      <c r="AS358" s="35"/>
      <c r="AT358" s="35"/>
      <c r="AU358" s="35"/>
      <c r="AV358" s="35"/>
      <c r="AW358" s="35"/>
      <c r="AX358" s="35"/>
      <c r="AY358" s="35"/>
      <c r="AZ358" s="35"/>
      <c r="BA358" s="35"/>
      <c r="BB358" s="35"/>
      <c r="BC358" s="35"/>
      <c r="BD358" s="35"/>
      <c r="BE358" s="35"/>
      <c r="BF358" s="35"/>
      <c r="BG358" s="35"/>
      <c r="BH358" s="35"/>
      <c r="BI358" s="35"/>
      <c r="BJ358" s="35"/>
      <c r="BK358" s="35"/>
      <c r="BL358" s="35"/>
    </row>
    <row r="359" spans="1:64" ht="14">
      <c r="A359" s="36"/>
      <c r="B359" s="37"/>
      <c r="C359" s="38">
        <f t="shared" si="40"/>
        <v>0</v>
      </c>
      <c r="D359" s="39"/>
      <c r="E359" s="39"/>
      <c r="F359" s="39"/>
      <c r="G359" s="39"/>
      <c r="H359" s="40"/>
      <c r="I359" s="41"/>
      <c r="J359" s="39"/>
      <c r="K359" s="41"/>
      <c r="L359" s="41"/>
      <c r="M359" s="42" t="str">
        <f t="shared" si="41"/>
        <v/>
      </c>
      <c r="N359" s="40" t="str">
        <f t="shared" si="42"/>
        <v/>
      </c>
      <c r="O359" s="40" t="str">
        <f t="shared" si="43"/>
        <v/>
      </c>
      <c r="P359" s="43" t="str">
        <f t="shared" si="44"/>
        <v/>
      </c>
      <c r="Q359" s="44">
        <f t="shared" si="45"/>
        <v>0</v>
      </c>
      <c r="R359" s="44">
        <f t="shared" si="46"/>
        <v>0</v>
      </c>
      <c r="S359" s="43">
        <f t="shared" si="47"/>
        <v>0</v>
      </c>
      <c r="T359" s="39"/>
      <c r="U359" s="35"/>
      <c r="V359" s="35"/>
      <c r="W359" s="35"/>
      <c r="X359" s="35"/>
      <c r="Y359" s="35"/>
      <c r="Z359" s="35"/>
      <c r="AA359" s="35"/>
      <c r="AB359" s="35"/>
      <c r="AC359" s="35"/>
      <c r="AD359" s="35"/>
      <c r="AE359" s="35"/>
      <c r="AF359" s="35"/>
      <c r="AG359" s="35"/>
      <c r="AH359" s="35"/>
      <c r="AI359" s="35"/>
      <c r="AJ359" s="35"/>
      <c r="AK359" s="35"/>
      <c r="AL359" s="35"/>
      <c r="AM359" s="35"/>
      <c r="AN359" s="35"/>
      <c r="AO359" s="35"/>
      <c r="AP359" s="35"/>
      <c r="AQ359" s="35"/>
      <c r="AR359" s="35"/>
      <c r="AS359" s="35"/>
      <c r="AT359" s="35"/>
      <c r="AU359" s="35"/>
      <c r="AV359" s="35"/>
      <c r="AW359" s="35"/>
      <c r="AX359" s="35"/>
      <c r="AY359" s="35"/>
      <c r="AZ359" s="35"/>
      <c r="BA359" s="35"/>
      <c r="BB359" s="35"/>
      <c r="BC359" s="35"/>
      <c r="BD359" s="35"/>
      <c r="BE359" s="35"/>
      <c r="BF359" s="35"/>
      <c r="BG359" s="35"/>
      <c r="BH359" s="35"/>
      <c r="BI359" s="35"/>
      <c r="BJ359" s="35"/>
      <c r="BK359" s="35"/>
      <c r="BL359" s="35"/>
    </row>
    <row r="360" spans="1:64" ht="14">
      <c r="A360" s="36"/>
      <c r="B360" s="37"/>
      <c r="C360" s="38">
        <f t="shared" si="40"/>
        <v>0</v>
      </c>
      <c r="D360" s="39"/>
      <c r="E360" s="39"/>
      <c r="F360" s="39"/>
      <c r="G360" s="39"/>
      <c r="H360" s="40"/>
      <c r="I360" s="41"/>
      <c r="J360" s="39"/>
      <c r="K360" s="41"/>
      <c r="L360" s="41"/>
      <c r="M360" s="42" t="str">
        <f t="shared" si="41"/>
        <v/>
      </c>
      <c r="N360" s="40" t="str">
        <f t="shared" si="42"/>
        <v/>
      </c>
      <c r="O360" s="40" t="str">
        <f t="shared" si="43"/>
        <v/>
      </c>
      <c r="P360" s="43" t="str">
        <f t="shared" si="44"/>
        <v/>
      </c>
      <c r="Q360" s="44">
        <f t="shared" si="45"/>
        <v>0</v>
      </c>
      <c r="R360" s="44">
        <f t="shared" si="46"/>
        <v>0</v>
      </c>
      <c r="S360" s="43">
        <f t="shared" si="47"/>
        <v>0</v>
      </c>
      <c r="T360" s="39"/>
      <c r="U360" s="35"/>
      <c r="V360" s="35"/>
      <c r="W360" s="35"/>
      <c r="X360" s="35"/>
      <c r="Y360" s="35"/>
      <c r="Z360" s="35"/>
      <c r="AA360" s="35"/>
      <c r="AB360" s="35"/>
      <c r="AC360" s="35"/>
      <c r="AD360" s="35"/>
      <c r="AE360" s="35"/>
      <c r="AF360" s="35"/>
      <c r="AG360" s="35"/>
      <c r="AH360" s="35"/>
      <c r="AI360" s="35"/>
      <c r="AJ360" s="35"/>
      <c r="AK360" s="35"/>
      <c r="AL360" s="35"/>
      <c r="AM360" s="35"/>
      <c r="AN360" s="35"/>
      <c r="AO360" s="35"/>
      <c r="AP360" s="35"/>
      <c r="AQ360" s="35"/>
      <c r="AR360" s="35"/>
      <c r="AS360" s="35"/>
      <c r="AT360" s="35"/>
      <c r="AU360" s="35"/>
      <c r="AV360" s="35"/>
      <c r="AW360" s="35"/>
      <c r="AX360" s="35"/>
      <c r="AY360" s="35"/>
      <c r="AZ360" s="35"/>
      <c r="BA360" s="35"/>
      <c r="BB360" s="35"/>
      <c r="BC360" s="35"/>
      <c r="BD360" s="35"/>
      <c r="BE360" s="35"/>
      <c r="BF360" s="35"/>
      <c r="BG360" s="35"/>
      <c r="BH360" s="35"/>
      <c r="BI360" s="35"/>
      <c r="BJ360" s="35"/>
      <c r="BK360" s="35"/>
      <c r="BL360" s="35"/>
    </row>
    <row r="361" spans="1:64" ht="14">
      <c r="A361" s="36"/>
      <c r="B361" s="37"/>
      <c r="C361" s="38">
        <f t="shared" si="40"/>
        <v>0</v>
      </c>
      <c r="D361" s="39"/>
      <c r="E361" s="39"/>
      <c r="F361" s="39"/>
      <c r="G361" s="39"/>
      <c r="H361" s="40"/>
      <c r="I361" s="41"/>
      <c r="J361" s="39"/>
      <c r="K361" s="41"/>
      <c r="L361" s="41"/>
      <c r="M361" s="42" t="str">
        <f t="shared" si="41"/>
        <v/>
      </c>
      <c r="N361" s="40" t="str">
        <f t="shared" si="42"/>
        <v/>
      </c>
      <c r="O361" s="40" t="str">
        <f t="shared" si="43"/>
        <v/>
      </c>
      <c r="P361" s="43" t="str">
        <f t="shared" si="44"/>
        <v/>
      </c>
      <c r="Q361" s="44">
        <f t="shared" si="45"/>
        <v>0</v>
      </c>
      <c r="R361" s="44">
        <f t="shared" si="46"/>
        <v>0</v>
      </c>
      <c r="S361" s="43">
        <f t="shared" si="47"/>
        <v>0</v>
      </c>
      <c r="T361" s="39"/>
      <c r="U361" s="35"/>
      <c r="V361" s="35"/>
      <c r="W361" s="35"/>
      <c r="X361" s="35"/>
      <c r="Y361" s="35"/>
      <c r="Z361" s="35"/>
      <c r="AA361" s="35"/>
      <c r="AB361" s="35"/>
      <c r="AC361" s="35"/>
      <c r="AD361" s="35"/>
      <c r="AE361" s="35"/>
      <c r="AF361" s="35"/>
      <c r="AG361" s="35"/>
      <c r="AH361" s="35"/>
      <c r="AI361" s="35"/>
      <c r="AJ361" s="35"/>
      <c r="AK361" s="35"/>
      <c r="AL361" s="35"/>
      <c r="AM361" s="35"/>
      <c r="AN361" s="35"/>
      <c r="AO361" s="35"/>
      <c r="AP361" s="35"/>
      <c r="AQ361" s="35"/>
      <c r="AR361" s="35"/>
      <c r="AS361" s="35"/>
      <c r="AT361" s="35"/>
      <c r="AU361" s="35"/>
      <c r="AV361" s="35"/>
      <c r="AW361" s="35"/>
      <c r="AX361" s="35"/>
      <c r="AY361" s="35"/>
      <c r="AZ361" s="35"/>
      <c r="BA361" s="35"/>
      <c r="BB361" s="35"/>
      <c r="BC361" s="35"/>
      <c r="BD361" s="35"/>
      <c r="BE361" s="35"/>
      <c r="BF361" s="35"/>
      <c r="BG361" s="35"/>
      <c r="BH361" s="35"/>
      <c r="BI361" s="35"/>
      <c r="BJ361" s="35"/>
      <c r="BK361" s="35"/>
      <c r="BL361" s="35"/>
    </row>
    <row r="362" spans="1:64" ht="14">
      <c r="A362" s="36"/>
      <c r="B362" s="37"/>
      <c r="C362" s="38">
        <f t="shared" si="40"/>
        <v>0</v>
      </c>
      <c r="D362" s="39"/>
      <c r="E362" s="39"/>
      <c r="F362" s="39"/>
      <c r="G362" s="39"/>
      <c r="H362" s="40"/>
      <c r="I362" s="41"/>
      <c r="J362" s="39"/>
      <c r="K362" s="41"/>
      <c r="L362" s="41"/>
      <c r="M362" s="42" t="str">
        <f t="shared" si="41"/>
        <v/>
      </c>
      <c r="N362" s="40" t="str">
        <f t="shared" si="42"/>
        <v/>
      </c>
      <c r="O362" s="40" t="str">
        <f t="shared" si="43"/>
        <v/>
      </c>
      <c r="P362" s="43" t="str">
        <f t="shared" si="44"/>
        <v/>
      </c>
      <c r="Q362" s="44">
        <f t="shared" si="45"/>
        <v>0</v>
      </c>
      <c r="R362" s="44">
        <f t="shared" si="46"/>
        <v>0</v>
      </c>
      <c r="S362" s="43">
        <f t="shared" si="47"/>
        <v>0</v>
      </c>
      <c r="T362" s="39"/>
      <c r="U362" s="35"/>
      <c r="V362" s="35"/>
      <c r="W362" s="35"/>
      <c r="X362" s="35"/>
      <c r="Y362" s="35"/>
      <c r="Z362" s="35"/>
      <c r="AA362" s="35"/>
      <c r="AB362" s="35"/>
      <c r="AC362" s="35"/>
      <c r="AD362" s="35"/>
      <c r="AE362" s="35"/>
      <c r="AF362" s="35"/>
      <c r="AG362" s="35"/>
      <c r="AH362" s="35"/>
      <c r="AI362" s="35"/>
      <c r="AJ362" s="35"/>
      <c r="AK362" s="35"/>
      <c r="AL362" s="35"/>
      <c r="AM362" s="35"/>
      <c r="AN362" s="35"/>
      <c r="AO362" s="35"/>
      <c r="AP362" s="35"/>
      <c r="AQ362" s="35"/>
      <c r="AR362" s="35"/>
      <c r="AS362" s="35"/>
      <c r="AT362" s="35"/>
      <c r="AU362" s="35"/>
      <c r="AV362" s="35"/>
      <c r="AW362" s="35"/>
      <c r="AX362" s="35"/>
      <c r="AY362" s="35"/>
      <c r="AZ362" s="35"/>
      <c r="BA362" s="35"/>
      <c r="BB362" s="35"/>
      <c r="BC362" s="35"/>
      <c r="BD362" s="35"/>
      <c r="BE362" s="35"/>
      <c r="BF362" s="35"/>
      <c r="BG362" s="35"/>
      <c r="BH362" s="35"/>
      <c r="BI362" s="35"/>
      <c r="BJ362" s="35"/>
      <c r="BK362" s="35"/>
      <c r="BL362" s="35"/>
    </row>
    <row r="363" spans="1:64" ht="14">
      <c r="A363" s="36"/>
      <c r="B363" s="37"/>
      <c r="C363" s="38">
        <f t="shared" si="40"/>
        <v>0</v>
      </c>
      <c r="D363" s="39"/>
      <c r="E363" s="39"/>
      <c r="F363" s="39"/>
      <c r="G363" s="39"/>
      <c r="H363" s="40"/>
      <c r="I363" s="41"/>
      <c r="J363" s="39"/>
      <c r="K363" s="41"/>
      <c r="L363" s="41"/>
      <c r="M363" s="42" t="str">
        <f t="shared" si="41"/>
        <v/>
      </c>
      <c r="N363" s="40" t="str">
        <f t="shared" si="42"/>
        <v/>
      </c>
      <c r="O363" s="40" t="str">
        <f t="shared" si="43"/>
        <v/>
      </c>
      <c r="P363" s="43" t="str">
        <f t="shared" si="44"/>
        <v/>
      </c>
      <c r="Q363" s="44">
        <f t="shared" si="45"/>
        <v>0</v>
      </c>
      <c r="R363" s="44">
        <f t="shared" si="46"/>
        <v>0</v>
      </c>
      <c r="S363" s="43">
        <f t="shared" si="47"/>
        <v>0</v>
      </c>
      <c r="T363" s="39"/>
      <c r="U363" s="35"/>
      <c r="V363" s="35"/>
      <c r="W363" s="35"/>
      <c r="X363" s="35"/>
      <c r="Y363" s="35"/>
      <c r="Z363" s="35"/>
      <c r="AA363" s="35"/>
      <c r="AB363" s="35"/>
      <c r="AC363" s="35"/>
      <c r="AD363" s="35"/>
      <c r="AE363" s="35"/>
      <c r="AF363" s="35"/>
      <c r="AG363" s="35"/>
      <c r="AH363" s="35"/>
      <c r="AI363" s="35"/>
      <c r="AJ363" s="35"/>
      <c r="AK363" s="35"/>
      <c r="AL363" s="35"/>
      <c r="AM363" s="35"/>
      <c r="AN363" s="35"/>
      <c r="AO363" s="35"/>
      <c r="AP363" s="35"/>
      <c r="AQ363" s="35"/>
      <c r="AR363" s="35"/>
      <c r="AS363" s="35"/>
      <c r="AT363" s="35"/>
      <c r="AU363" s="35"/>
      <c r="AV363" s="35"/>
      <c r="AW363" s="35"/>
      <c r="AX363" s="35"/>
      <c r="AY363" s="35"/>
      <c r="AZ363" s="35"/>
      <c r="BA363" s="35"/>
      <c r="BB363" s="35"/>
      <c r="BC363" s="35"/>
      <c r="BD363" s="35"/>
      <c r="BE363" s="35"/>
      <c r="BF363" s="35"/>
      <c r="BG363" s="35"/>
      <c r="BH363" s="35"/>
      <c r="BI363" s="35"/>
      <c r="BJ363" s="35"/>
      <c r="BK363" s="35"/>
      <c r="BL363" s="35"/>
    </row>
    <row r="364" spans="1:64" ht="14">
      <c r="A364" s="36"/>
      <c r="B364" s="37"/>
      <c r="C364" s="38">
        <f t="shared" si="40"/>
        <v>0</v>
      </c>
      <c r="D364" s="39"/>
      <c r="E364" s="39"/>
      <c r="F364" s="39"/>
      <c r="G364" s="39"/>
      <c r="H364" s="40"/>
      <c r="I364" s="41"/>
      <c r="J364" s="39"/>
      <c r="K364" s="41"/>
      <c r="L364" s="41"/>
      <c r="M364" s="42" t="str">
        <f t="shared" si="41"/>
        <v/>
      </c>
      <c r="N364" s="40" t="str">
        <f t="shared" si="42"/>
        <v/>
      </c>
      <c r="O364" s="40" t="str">
        <f t="shared" si="43"/>
        <v/>
      </c>
      <c r="P364" s="43" t="str">
        <f t="shared" si="44"/>
        <v/>
      </c>
      <c r="Q364" s="44">
        <f t="shared" si="45"/>
        <v>0</v>
      </c>
      <c r="R364" s="44">
        <f t="shared" si="46"/>
        <v>0</v>
      </c>
      <c r="S364" s="43">
        <f t="shared" si="47"/>
        <v>0</v>
      </c>
      <c r="T364" s="39"/>
      <c r="U364" s="35"/>
      <c r="V364" s="35"/>
      <c r="W364" s="35"/>
      <c r="X364" s="35"/>
      <c r="Y364" s="35"/>
      <c r="Z364" s="35"/>
      <c r="AA364" s="35"/>
      <c r="AB364" s="35"/>
      <c r="AC364" s="35"/>
      <c r="AD364" s="35"/>
      <c r="AE364" s="35"/>
      <c r="AF364" s="35"/>
      <c r="AG364" s="35"/>
      <c r="AH364" s="35"/>
      <c r="AI364" s="35"/>
      <c r="AJ364" s="35"/>
      <c r="AK364" s="35"/>
      <c r="AL364" s="35"/>
      <c r="AM364" s="35"/>
      <c r="AN364" s="35"/>
      <c r="AO364" s="35"/>
      <c r="AP364" s="35"/>
      <c r="AQ364" s="35"/>
      <c r="AR364" s="35"/>
      <c r="AS364" s="35"/>
      <c r="AT364" s="35"/>
      <c r="AU364" s="35"/>
      <c r="AV364" s="35"/>
      <c r="AW364" s="35"/>
      <c r="AX364" s="35"/>
      <c r="AY364" s="35"/>
      <c r="AZ364" s="35"/>
      <c r="BA364" s="35"/>
      <c r="BB364" s="35"/>
      <c r="BC364" s="35"/>
      <c r="BD364" s="35"/>
      <c r="BE364" s="35"/>
      <c r="BF364" s="35"/>
      <c r="BG364" s="35"/>
      <c r="BH364" s="35"/>
      <c r="BI364" s="35"/>
      <c r="BJ364" s="35"/>
      <c r="BK364" s="35"/>
      <c r="BL364" s="35"/>
    </row>
    <row r="365" spans="1:64" ht="14">
      <c r="A365" s="36"/>
      <c r="B365" s="37"/>
      <c r="C365" s="38">
        <f t="shared" si="40"/>
        <v>0</v>
      </c>
      <c r="D365" s="39"/>
      <c r="E365" s="39"/>
      <c r="F365" s="39"/>
      <c r="G365" s="39"/>
      <c r="H365" s="40"/>
      <c r="I365" s="41"/>
      <c r="J365" s="39"/>
      <c r="K365" s="41"/>
      <c r="L365" s="41"/>
      <c r="M365" s="42" t="str">
        <f t="shared" si="41"/>
        <v/>
      </c>
      <c r="N365" s="40" t="str">
        <f t="shared" si="42"/>
        <v/>
      </c>
      <c r="O365" s="40" t="str">
        <f t="shared" si="43"/>
        <v/>
      </c>
      <c r="P365" s="43" t="str">
        <f t="shared" si="44"/>
        <v/>
      </c>
      <c r="Q365" s="44">
        <f t="shared" si="45"/>
        <v>0</v>
      </c>
      <c r="R365" s="44">
        <f t="shared" si="46"/>
        <v>0</v>
      </c>
      <c r="S365" s="43">
        <f t="shared" si="47"/>
        <v>0</v>
      </c>
      <c r="T365" s="39"/>
      <c r="U365" s="35"/>
      <c r="V365" s="35"/>
      <c r="W365" s="35"/>
      <c r="X365" s="35"/>
      <c r="Y365" s="35"/>
      <c r="Z365" s="35"/>
      <c r="AA365" s="35"/>
      <c r="AB365" s="35"/>
      <c r="AC365" s="35"/>
      <c r="AD365" s="35"/>
      <c r="AE365" s="35"/>
      <c r="AF365" s="35"/>
      <c r="AG365" s="35"/>
      <c r="AH365" s="35"/>
      <c r="AI365" s="35"/>
      <c r="AJ365" s="35"/>
      <c r="AK365" s="35"/>
      <c r="AL365" s="35"/>
      <c r="AM365" s="35"/>
      <c r="AN365" s="35"/>
      <c r="AO365" s="35"/>
      <c r="AP365" s="35"/>
      <c r="AQ365" s="35"/>
      <c r="AR365" s="35"/>
      <c r="AS365" s="35"/>
      <c r="AT365" s="35"/>
      <c r="AU365" s="35"/>
      <c r="AV365" s="35"/>
      <c r="AW365" s="35"/>
      <c r="AX365" s="35"/>
      <c r="AY365" s="35"/>
      <c r="AZ365" s="35"/>
      <c r="BA365" s="35"/>
      <c r="BB365" s="35"/>
      <c r="BC365" s="35"/>
      <c r="BD365" s="35"/>
      <c r="BE365" s="35"/>
      <c r="BF365" s="35"/>
      <c r="BG365" s="35"/>
      <c r="BH365" s="35"/>
      <c r="BI365" s="35"/>
      <c r="BJ365" s="35"/>
      <c r="BK365" s="35"/>
      <c r="BL365" s="35"/>
    </row>
    <row r="366" spans="1:64" ht="14">
      <c r="A366" s="36"/>
      <c r="B366" s="37"/>
      <c r="C366" s="38">
        <f t="shared" si="40"/>
        <v>0</v>
      </c>
      <c r="D366" s="39"/>
      <c r="E366" s="39"/>
      <c r="F366" s="39"/>
      <c r="G366" s="39"/>
      <c r="H366" s="40"/>
      <c r="I366" s="41"/>
      <c r="J366" s="39"/>
      <c r="K366" s="41"/>
      <c r="L366" s="41"/>
      <c r="M366" s="42" t="str">
        <f t="shared" si="41"/>
        <v/>
      </c>
      <c r="N366" s="40" t="str">
        <f t="shared" si="42"/>
        <v/>
      </c>
      <c r="O366" s="40" t="str">
        <f t="shared" si="43"/>
        <v/>
      </c>
      <c r="P366" s="43" t="str">
        <f t="shared" si="44"/>
        <v/>
      </c>
      <c r="Q366" s="44">
        <f t="shared" si="45"/>
        <v>0</v>
      </c>
      <c r="R366" s="44">
        <f t="shared" si="46"/>
        <v>0</v>
      </c>
      <c r="S366" s="43">
        <f t="shared" si="47"/>
        <v>0</v>
      </c>
      <c r="T366" s="39"/>
      <c r="U366" s="35"/>
      <c r="V366" s="35"/>
      <c r="W366" s="35"/>
      <c r="X366" s="35"/>
      <c r="Y366" s="35"/>
      <c r="Z366" s="35"/>
      <c r="AA366" s="35"/>
      <c r="AB366" s="35"/>
      <c r="AC366" s="35"/>
      <c r="AD366" s="35"/>
      <c r="AE366" s="35"/>
      <c r="AF366" s="35"/>
      <c r="AG366" s="35"/>
      <c r="AH366" s="35"/>
      <c r="AI366" s="35"/>
      <c r="AJ366" s="35"/>
      <c r="AK366" s="35"/>
      <c r="AL366" s="35"/>
      <c r="AM366" s="35"/>
      <c r="AN366" s="35"/>
      <c r="AO366" s="35"/>
      <c r="AP366" s="35"/>
      <c r="AQ366" s="35"/>
      <c r="AR366" s="35"/>
      <c r="AS366" s="35"/>
      <c r="AT366" s="35"/>
      <c r="AU366" s="35"/>
      <c r="AV366" s="35"/>
      <c r="AW366" s="35"/>
      <c r="AX366" s="35"/>
      <c r="AY366" s="35"/>
      <c r="AZ366" s="35"/>
      <c r="BA366" s="35"/>
      <c r="BB366" s="35"/>
      <c r="BC366" s="35"/>
      <c r="BD366" s="35"/>
      <c r="BE366" s="35"/>
      <c r="BF366" s="35"/>
      <c r="BG366" s="35"/>
      <c r="BH366" s="35"/>
      <c r="BI366" s="35"/>
      <c r="BJ366" s="35"/>
      <c r="BK366" s="35"/>
      <c r="BL366" s="35"/>
    </row>
    <row r="367" spans="1:64" ht="14">
      <c r="A367" s="36"/>
      <c r="B367" s="37"/>
      <c r="C367" s="38">
        <f t="shared" si="40"/>
        <v>0</v>
      </c>
      <c r="D367" s="39"/>
      <c r="E367" s="39"/>
      <c r="F367" s="39"/>
      <c r="G367" s="39"/>
      <c r="H367" s="40"/>
      <c r="I367" s="41"/>
      <c r="J367" s="39"/>
      <c r="K367" s="41"/>
      <c r="L367" s="41"/>
      <c r="M367" s="42" t="str">
        <f t="shared" si="41"/>
        <v/>
      </c>
      <c r="N367" s="40" t="str">
        <f t="shared" si="42"/>
        <v/>
      </c>
      <c r="O367" s="40" t="str">
        <f t="shared" si="43"/>
        <v/>
      </c>
      <c r="P367" s="43" t="str">
        <f t="shared" si="44"/>
        <v/>
      </c>
      <c r="Q367" s="44">
        <f t="shared" si="45"/>
        <v>0</v>
      </c>
      <c r="R367" s="44">
        <f t="shared" si="46"/>
        <v>0</v>
      </c>
      <c r="S367" s="43">
        <f t="shared" si="47"/>
        <v>0</v>
      </c>
      <c r="T367" s="39"/>
      <c r="U367" s="35"/>
      <c r="V367" s="35"/>
      <c r="W367" s="35"/>
      <c r="X367" s="35"/>
      <c r="Y367" s="35"/>
      <c r="Z367" s="35"/>
      <c r="AA367" s="35"/>
      <c r="AB367" s="35"/>
      <c r="AC367" s="35"/>
      <c r="AD367" s="35"/>
      <c r="AE367" s="35"/>
      <c r="AF367" s="35"/>
      <c r="AG367" s="35"/>
      <c r="AH367" s="35"/>
      <c r="AI367" s="35"/>
      <c r="AJ367" s="35"/>
      <c r="AK367" s="35"/>
      <c r="AL367" s="35"/>
      <c r="AM367" s="35"/>
      <c r="AN367" s="35"/>
      <c r="AO367" s="35"/>
      <c r="AP367" s="35"/>
      <c r="AQ367" s="35"/>
      <c r="AR367" s="35"/>
      <c r="AS367" s="35"/>
      <c r="AT367" s="35"/>
      <c r="AU367" s="35"/>
      <c r="AV367" s="35"/>
      <c r="AW367" s="35"/>
      <c r="AX367" s="35"/>
      <c r="AY367" s="35"/>
      <c r="AZ367" s="35"/>
      <c r="BA367" s="35"/>
      <c r="BB367" s="35"/>
      <c r="BC367" s="35"/>
      <c r="BD367" s="35"/>
      <c r="BE367" s="35"/>
      <c r="BF367" s="35"/>
      <c r="BG367" s="35"/>
      <c r="BH367" s="35"/>
      <c r="BI367" s="35"/>
      <c r="BJ367" s="35"/>
      <c r="BK367" s="35"/>
      <c r="BL367" s="35"/>
    </row>
    <row r="368" spans="1:64" ht="14">
      <c r="A368" s="36"/>
      <c r="B368" s="37"/>
      <c r="C368" s="38">
        <f t="shared" si="40"/>
        <v>0</v>
      </c>
      <c r="D368" s="39"/>
      <c r="E368" s="39"/>
      <c r="F368" s="39"/>
      <c r="G368" s="39"/>
      <c r="H368" s="40"/>
      <c r="I368" s="41"/>
      <c r="J368" s="39"/>
      <c r="K368" s="41"/>
      <c r="L368" s="41"/>
      <c r="M368" s="42" t="str">
        <f t="shared" si="41"/>
        <v/>
      </c>
      <c r="N368" s="40" t="str">
        <f t="shared" si="42"/>
        <v/>
      </c>
      <c r="O368" s="40" t="str">
        <f t="shared" si="43"/>
        <v/>
      </c>
      <c r="P368" s="43" t="str">
        <f t="shared" si="44"/>
        <v/>
      </c>
      <c r="Q368" s="44">
        <f t="shared" si="45"/>
        <v>0</v>
      </c>
      <c r="R368" s="44">
        <f t="shared" si="46"/>
        <v>0</v>
      </c>
      <c r="S368" s="43">
        <f t="shared" si="47"/>
        <v>0</v>
      </c>
      <c r="T368" s="39"/>
      <c r="U368" s="35"/>
      <c r="V368" s="35"/>
      <c r="W368" s="35"/>
      <c r="X368" s="35"/>
      <c r="Y368" s="35"/>
      <c r="Z368" s="35"/>
      <c r="AA368" s="35"/>
      <c r="AB368" s="35"/>
      <c r="AC368" s="35"/>
      <c r="AD368" s="35"/>
      <c r="AE368" s="35"/>
      <c r="AF368" s="35"/>
      <c r="AG368" s="35"/>
      <c r="AH368" s="35"/>
      <c r="AI368" s="35"/>
      <c r="AJ368" s="35"/>
      <c r="AK368" s="35"/>
      <c r="AL368" s="35"/>
      <c r="AM368" s="35"/>
      <c r="AN368" s="35"/>
      <c r="AO368" s="35"/>
      <c r="AP368" s="35"/>
      <c r="AQ368" s="35"/>
      <c r="AR368" s="35"/>
      <c r="AS368" s="35"/>
      <c r="AT368" s="35"/>
      <c r="AU368" s="35"/>
      <c r="AV368" s="35"/>
      <c r="AW368" s="35"/>
      <c r="AX368" s="35"/>
      <c r="AY368" s="35"/>
      <c r="AZ368" s="35"/>
      <c r="BA368" s="35"/>
      <c r="BB368" s="35"/>
      <c r="BC368" s="35"/>
      <c r="BD368" s="35"/>
      <c r="BE368" s="35"/>
      <c r="BF368" s="35"/>
      <c r="BG368" s="35"/>
      <c r="BH368" s="35"/>
      <c r="BI368" s="35"/>
      <c r="BJ368" s="35"/>
      <c r="BK368" s="35"/>
      <c r="BL368" s="35"/>
    </row>
    <row r="369" spans="1:64" ht="14">
      <c r="A369" s="36"/>
      <c r="B369" s="37"/>
      <c r="C369" s="38">
        <f t="shared" si="40"/>
        <v>0</v>
      </c>
      <c r="D369" s="39"/>
      <c r="E369" s="39"/>
      <c r="F369" s="39"/>
      <c r="G369" s="39"/>
      <c r="H369" s="40"/>
      <c r="I369" s="41"/>
      <c r="J369" s="39"/>
      <c r="K369" s="41"/>
      <c r="L369" s="41"/>
      <c r="M369" s="42" t="str">
        <f t="shared" si="41"/>
        <v/>
      </c>
      <c r="N369" s="40" t="str">
        <f t="shared" si="42"/>
        <v/>
      </c>
      <c r="O369" s="40" t="str">
        <f t="shared" si="43"/>
        <v/>
      </c>
      <c r="P369" s="43" t="str">
        <f t="shared" si="44"/>
        <v/>
      </c>
      <c r="Q369" s="44">
        <f t="shared" si="45"/>
        <v>0</v>
      </c>
      <c r="R369" s="44">
        <f t="shared" si="46"/>
        <v>0</v>
      </c>
      <c r="S369" s="43">
        <f t="shared" si="47"/>
        <v>0</v>
      </c>
      <c r="T369" s="39"/>
      <c r="U369" s="35"/>
      <c r="V369" s="35"/>
      <c r="W369" s="35"/>
      <c r="X369" s="35"/>
      <c r="Y369" s="35"/>
      <c r="Z369" s="35"/>
      <c r="AA369" s="35"/>
      <c r="AB369" s="35"/>
      <c r="AC369" s="35"/>
      <c r="AD369" s="35"/>
      <c r="AE369" s="35"/>
      <c r="AF369" s="35"/>
      <c r="AG369" s="35"/>
      <c r="AH369" s="35"/>
      <c r="AI369" s="35"/>
      <c r="AJ369" s="35"/>
      <c r="AK369" s="35"/>
      <c r="AL369" s="35"/>
      <c r="AM369" s="35"/>
      <c r="AN369" s="35"/>
      <c r="AO369" s="35"/>
      <c r="AP369" s="35"/>
      <c r="AQ369" s="35"/>
      <c r="AR369" s="35"/>
      <c r="AS369" s="35"/>
      <c r="AT369" s="35"/>
      <c r="AU369" s="35"/>
      <c r="AV369" s="35"/>
      <c r="AW369" s="35"/>
      <c r="AX369" s="35"/>
      <c r="AY369" s="35"/>
      <c r="AZ369" s="35"/>
      <c r="BA369" s="35"/>
      <c r="BB369" s="35"/>
      <c r="BC369" s="35"/>
      <c r="BD369" s="35"/>
      <c r="BE369" s="35"/>
      <c r="BF369" s="35"/>
      <c r="BG369" s="35"/>
      <c r="BH369" s="35"/>
      <c r="BI369" s="35"/>
      <c r="BJ369" s="35"/>
      <c r="BK369" s="35"/>
      <c r="BL369" s="35"/>
    </row>
    <row r="370" spans="1:64" ht="14">
      <c r="A370" s="36"/>
      <c r="B370" s="37"/>
      <c r="C370" s="38">
        <f t="shared" si="40"/>
        <v>0</v>
      </c>
      <c r="D370" s="39"/>
      <c r="E370" s="39"/>
      <c r="F370" s="39"/>
      <c r="G370" s="39"/>
      <c r="H370" s="40"/>
      <c r="I370" s="41"/>
      <c r="J370" s="39"/>
      <c r="K370" s="41"/>
      <c r="L370" s="41"/>
      <c r="M370" s="42" t="str">
        <f t="shared" si="41"/>
        <v/>
      </c>
      <c r="N370" s="40" t="str">
        <f t="shared" si="42"/>
        <v/>
      </c>
      <c r="O370" s="40" t="str">
        <f t="shared" si="43"/>
        <v/>
      </c>
      <c r="P370" s="43" t="str">
        <f t="shared" si="44"/>
        <v/>
      </c>
      <c r="Q370" s="44">
        <f t="shared" si="45"/>
        <v>0</v>
      </c>
      <c r="R370" s="44">
        <f t="shared" si="46"/>
        <v>0</v>
      </c>
      <c r="S370" s="43">
        <f t="shared" si="47"/>
        <v>0</v>
      </c>
      <c r="T370" s="39"/>
      <c r="U370" s="35"/>
      <c r="V370" s="35"/>
      <c r="W370" s="35"/>
      <c r="X370" s="35"/>
      <c r="Y370" s="35"/>
      <c r="Z370" s="35"/>
      <c r="AA370" s="35"/>
      <c r="AB370" s="35"/>
      <c r="AC370" s="35"/>
      <c r="AD370" s="35"/>
      <c r="AE370" s="35"/>
      <c r="AF370" s="35"/>
      <c r="AG370" s="35"/>
      <c r="AH370" s="35"/>
      <c r="AI370" s="35"/>
      <c r="AJ370" s="35"/>
      <c r="AK370" s="35"/>
      <c r="AL370" s="35"/>
      <c r="AM370" s="35"/>
      <c r="AN370" s="35"/>
      <c r="AO370" s="35"/>
      <c r="AP370" s="35"/>
      <c r="AQ370" s="35"/>
      <c r="AR370" s="35"/>
      <c r="AS370" s="35"/>
      <c r="AT370" s="35"/>
      <c r="AU370" s="35"/>
      <c r="AV370" s="35"/>
      <c r="AW370" s="35"/>
      <c r="AX370" s="35"/>
      <c r="AY370" s="35"/>
      <c r="AZ370" s="35"/>
      <c r="BA370" s="35"/>
      <c r="BB370" s="35"/>
      <c r="BC370" s="35"/>
      <c r="BD370" s="35"/>
      <c r="BE370" s="35"/>
      <c r="BF370" s="35"/>
      <c r="BG370" s="35"/>
      <c r="BH370" s="35"/>
      <c r="BI370" s="35"/>
      <c r="BJ370" s="35"/>
      <c r="BK370" s="35"/>
      <c r="BL370" s="35"/>
    </row>
    <row r="371" spans="1:64" ht="14">
      <c r="A371" s="36"/>
      <c r="B371" s="37"/>
      <c r="C371" s="38">
        <f t="shared" si="40"/>
        <v>0</v>
      </c>
      <c r="D371" s="39"/>
      <c r="E371" s="39"/>
      <c r="F371" s="39"/>
      <c r="G371" s="39"/>
      <c r="H371" s="40"/>
      <c r="I371" s="41"/>
      <c r="J371" s="39"/>
      <c r="K371" s="41"/>
      <c r="L371" s="41"/>
      <c r="M371" s="42" t="str">
        <f t="shared" si="41"/>
        <v/>
      </c>
      <c r="N371" s="40" t="str">
        <f t="shared" si="42"/>
        <v/>
      </c>
      <c r="O371" s="40" t="str">
        <f t="shared" si="43"/>
        <v/>
      </c>
      <c r="P371" s="43" t="str">
        <f t="shared" si="44"/>
        <v/>
      </c>
      <c r="Q371" s="44">
        <f t="shared" si="45"/>
        <v>0</v>
      </c>
      <c r="R371" s="44">
        <f t="shared" si="46"/>
        <v>0</v>
      </c>
      <c r="S371" s="43">
        <f t="shared" si="47"/>
        <v>0</v>
      </c>
      <c r="T371" s="39"/>
      <c r="U371" s="35"/>
      <c r="V371" s="35"/>
      <c r="W371" s="35"/>
      <c r="X371" s="35"/>
      <c r="Y371" s="35"/>
      <c r="Z371" s="35"/>
      <c r="AA371" s="35"/>
      <c r="AB371" s="35"/>
      <c r="AC371" s="35"/>
      <c r="AD371" s="35"/>
      <c r="AE371" s="35"/>
      <c r="AF371" s="35"/>
      <c r="AG371" s="35"/>
      <c r="AH371" s="35"/>
      <c r="AI371" s="35"/>
      <c r="AJ371" s="35"/>
      <c r="AK371" s="35"/>
      <c r="AL371" s="35"/>
      <c r="AM371" s="35"/>
      <c r="AN371" s="35"/>
      <c r="AO371" s="35"/>
      <c r="AP371" s="35"/>
      <c r="AQ371" s="35"/>
      <c r="AR371" s="35"/>
      <c r="AS371" s="35"/>
      <c r="AT371" s="35"/>
      <c r="AU371" s="35"/>
      <c r="AV371" s="35"/>
      <c r="AW371" s="35"/>
      <c r="AX371" s="35"/>
      <c r="AY371" s="35"/>
      <c r="AZ371" s="35"/>
      <c r="BA371" s="35"/>
      <c r="BB371" s="35"/>
      <c r="BC371" s="35"/>
      <c r="BD371" s="35"/>
      <c r="BE371" s="35"/>
      <c r="BF371" s="35"/>
      <c r="BG371" s="35"/>
      <c r="BH371" s="35"/>
      <c r="BI371" s="35"/>
      <c r="BJ371" s="35"/>
      <c r="BK371" s="35"/>
      <c r="BL371" s="35"/>
    </row>
    <row r="372" spans="1:64" ht="14">
      <c r="A372" s="36"/>
      <c r="B372" s="37"/>
      <c r="C372" s="38">
        <f t="shared" si="40"/>
        <v>0</v>
      </c>
      <c r="D372" s="39"/>
      <c r="E372" s="39"/>
      <c r="F372" s="39"/>
      <c r="G372" s="39"/>
      <c r="H372" s="40"/>
      <c r="I372" s="41"/>
      <c r="J372" s="39"/>
      <c r="K372" s="41"/>
      <c r="L372" s="41"/>
      <c r="M372" s="42" t="str">
        <f t="shared" si="41"/>
        <v/>
      </c>
      <c r="N372" s="40" t="str">
        <f t="shared" si="42"/>
        <v/>
      </c>
      <c r="O372" s="40" t="str">
        <f t="shared" si="43"/>
        <v/>
      </c>
      <c r="P372" s="43" t="str">
        <f t="shared" si="44"/>
        <v/>
      </c>
      <c r="Q372" s="44">
        <f t="shared" si="45"/>
        <v>0</v>
      </c>
      <c r="R372" s="44">
        <f t="shared" si="46"/>
        <v>0</v>
      </c>
      <c r="S372" s="43">
        <f t="shared" si="47"/>
        <v>0</v>
      </c>
      <c r="T372" s="39"/>
      <c r="U372" s="35"/>
      <c r="V372" s="35"/>
      <c r="W372" s="35"/>
      <c r="X372" s="35"/>
      <c r="Y372" s="35"/>
      <c r="Z372" s="35"/>
      <c r="AA372" s="35"/>
      <c r="AB372" s="35"/>
      <c r="AC372" s="35"/>
      <c r="AD372" s="35"/>
      <c r="AE372" s="35"/>
      <c r="AF372" s="35"/>
      <c r="AG372" s="35"/>
      <c r="AH372" s="35"/>
      <c r="AI372" s="35"/>
      <c r="AJ372" s="35"/>
      <c r="AK372" s="35"/>
      <c r="AL372" s="35"/>
      <c r="AM372" s="35"/>
      <c r="AN372" s="35"/>
      <c r="AO372" s="35"/>
      <c r="AP372" s="35"/>
      <c r="AQ372" s="35"/>
      <c r="AR372" s="35"/>
      <c r="AS372" s="35"/>
      <c r="AT372" s="35"/>
      <c r="AU372" s="35"/>
      <c r="AV372" s="35"/>
      <c r="AW372" s="35"/>
      <c r="AX372" s="35"/>
      <c r="AY372" s="35"/>
      <c r="AZ372" s="35"/>
      <c r="BA372" s="35"/>
      <c r="BB372" s="35"/>
      <c r="BC372" s="35"/>
      <c r="BD372" s="35"/>
      <c r="BE372" s="35"/>
      <c r="BF372" s="35"/>
      <c r="BG372" s="35"/>
      <c r="BH372" s="35"/>
      <c r="BI372" s="35"/>
      <c r="BJ372" s="35"/>
      <c r="BK372" s="35"/>
      <c r="BL372" s="35"/>
    </row>
    <row r="373" spans="1:64" ht="14">
      <c r="A373" s="36"/>
      <c r="B373" s="37"/>
      <c r="C373" s="38">
        <f t="shared" si="40"/>
        <v>0</v>
      </c>
      <c r="D373" s="39"/>
      <c r="E373" s="39"/>
      <c r="F373" s="39"/>
      <c r="G373" s="39"/>
      <c r="H373" s="40"/>
      <c r="I373" s="41"/>
      <c r="J373" s="39"/>
      <c r="K373" s="41"/>
      <c r="L373" s="41"/>
      <c r="M373" s="42" t="str">
        <f t="shared" si="41"/>
        <v/>
      </c>
      <c r="N373" s="40" t="str">
        <f t="shared" si="42"/>
        <v/>
      </c>
      <c r="O373" s="40" t="str">
        <f t="shared" si="43"/>
        <v/>
      </c>
      <c r="P373" s="43" t="str">
        <f t="shared" si="44"/>
        <v/>
      </c>
      <c r="Q373" s="44">
        <f t="shared" si="45"/>
        <v>0</v>
      </c>
      <c r="R373" s="44">
        <f t="shared" si="46"/>
        <v>0</v>
      </c>
      <c r="S373" s="43">
        <f t="shared" si="47"/>
        <v>0</v>
      </c>
      <c r="T373" s="39"/>
      <c r="U373" s="35"/>
      <c r="V373" s="35"/>
      <c r="W373" s="35"/>
      <c r="X373" s="35"/>
      <c r="Y373" s="35"/>
      <c r="Z373" s="35"/>
      <c r="AA373" s="35"/>
      <c r="AB373" s="35"/>
      <c r="AC373" s="35"/>
      <c r="AD373" s="35"/>
      <c r="AE373" s="35"/>
      <c r="AF373" s="35"/>
      <c r="AG373" s="35"/>
      <c r="AH373" s="35"/>
      <c r="AI373" s="35"/>
      <c r="AJ373" s="35"/>
      <c r="AK373" s="35"/>
      <c r="AL373" s="35"/>
      <c r="AM373" s="35"/>
      <c r="AN373" s="35"/>
      <c r="AO373" s="35"/>
      <c r="AP373" s="35"/>
      <c r="AQ373" s="35"/>
      <c r="AR373" s="35"/>
      <c r="AS373" s="35"/>
      <c r="AT373" s="35"/>
      <c r="AU373" s="35"/>
      <c r="AV373" s="35"/>
      <c r="AW373" s="35"/>
      <c r="AX373" s="35"/>
      <c r="AY373" s="35"/>
      <c r="AZ373" s="35"/>
      <c r="BA373" s="35"/>
      <c r="BB373" s="35"/>
      <c r="BC373" s="35"/>
      <c r="BD373" s="35"/>
      <c r="BE373" s="35"/>
      <c r="BF373" s="35"/>
      <c r="BG373" s="35"/>
      <c r="BH373" s="35"/>
      <c r="BI373" s="35"/>
      <c r="BJ373" s="35"/>
      <c r="BK373" s="35"/>
      <c r="BL373" s="35"/>
    </row>
    <row r="374" spans="1:64" ht="14">
      <c r="A374" s="36"/>
      <c r="B374" s="37"/>
      <c r="C374" s="38">
        <f t="shared" si="40"/>
        <v>0</v>
      </c>
      <c r="D374" s="39"/>
      <c r="E374" s="39"/>
      <c r="F374" s="39"/>
      <c r="G374" s="39"/>
      <c r="H374" s="40"/>
      <c r="I374" s="41"/>
      <c r="J374" s="39"/>
      <c r="K374" s="41"/>
      <c r="L374" s="41"/>
      <c r="M374" s="42" t="str">
        <f t="shared" si="41"/>
        <v/>
      </c>
      <c r="N374" s="40" t="str">
        <f t="shared" si="42"/>
        <v/>
      </c>
      <c r="O374" s="40" t="str">
        <f t="shared" si="43"/>
        <v/>
      </c>
      <c r="P374" s="43" t="str">
        <f t="shared" si="44"/>
        <v/>
      </c>
      <c r="Q374" s="44">
        <f t="shared" si="45"/>
        <v>0</v>
      </c>
      <c r="R374" s="44">
        <f t="shared" si="46"/>
        <v>0</v>
      </c>
      <c r="S374" s="43">
        <f t="shared" si="47"/>
        <v>0</v>
      </c>
      <c r="T374" s="39"/>
      <c r="U374" s="35"/>
      <c r="V374" s="35"/>
      <c r="W374" s="35"/>
      <c r="X374" s="35"/>
      <c r="Y374" s="35"/>
      <c r="Z374" s="35"/>
      <c r="AA374" s="35"/>
      <c r="AB374" s="35"/>
      <c r="AC374" s="35"/>
      <c r="AD374" s="35"/>
      <c r="AE374" s="35"/>
      <c r="AF374" s="35"/>
      <c r="AG374" s="35"/>
      <c r="AH374" s="35"/>
      <c r="AI374" s="35"/>
      <c r="AJ374" s="35"/>
      <c r="AK374" s="35"/>
      <c r="AL374" s="35"/>
      <c r="AM374" s="35"/>
      <c r="AN374" s="35"/>
      <c r="AO374" s="35"/>
      <c r="AP374" s="35"/>
      <c r="AQ374" s="35"/>
      <c r="AR374" s="35"/>
      <c r="AS374" s="35"/>
      <c r="AT374" s="35"/>
      <c r="AU374" s="35"/>
      <c r="AV374" s="35"/>
      <c r="AW374" s="35"/>
      <c r="AX374" s="35"/>
      <c r="AY374" s="35"/>
      <c r="AZ374" s="35"/>
      <c r="BA374" s="35"/>
      <c r="BB374" s="35"/>
      <c r="BC374" s="35"/>
      <c r="BD374" s="35"/>
      <c r="BE374" s="35"/>
      <c r="BF374" s="35"/>
      <c r="BG374" s="35"/>
      <c r="BH374" s="35"/>
      <c r="BI374" s="35"/>
      <c r="BJ374" s="35"/>
      <c r="BK374" s="35"/>
      <c r="BL374" s="35"/>
    </row>
    <row r="375" spans="1:64" ht="14">
      <c r="A375" s="36"/>
      <c r="B375" s="37"/>
      <c r="C375" s="38">
        <f t="shared" si="40"/>
        <v>0</v>
      </c>
      <c r="D375" s="39"/>
      <c r="E375" s="39"/>
      <c r="F375" s="39"/>
      <c r="G375" s="39"/>
      <c r="H375" s="40"/>
      <c r="I375" s="41"/>
      <c r="J375" s="39"/>
      <c r="K375" s="41"/>
      <c r="L375" s="41"/>
      <c r="M375" s="42" t="str">
        <f t="shared" si="41"/>
        <v/>
      </c>
      <c r="N375" s="40" t="str">
        <f t="shared" si="42"/>
        <v/>
      </c>
      <c r="O375" s="40" t="str">
        <f t="shared" si="43"/>
        <v/>
      </c>
      <c r="P375" s="43" t="str">
        <f t="shared" si="44"/>
        <v/>
      </c>
      <c r="Q375" s="44">
        <f t="shared" si="45"/>
        <v>0</v>
      </c>
      <c r="R375" s="44">
        <f t="shared" si="46"/>
        <v>0</v>
      </c>
      <c r="S375" s="43">
        <f t="shared" si="47"/>
        <v>0</v>
      </c>
      <c r="T375" s="39"/>
      <c r="U375" s="35"/>
      <c r="V375" s="35"/>
      <c r="W375" s="35"/>
      <c r="X375" s="35"/>
      <c r="Y375" s="35"/>
      <c r="Z375" s="35"/>
      <c r="AA375" s="35"/>
      <c r="AB375" s="35"/>
      <c r="AC375" s="35"/>
      <c r="AD375" s="35"/>
      <c r="AE375" s="35"/>
      <c r="AF375" s="35"/>
      <c r="AG375" s="35"/>
      <c r="AH375" s="35"/>
      <c r="AI375" s="35"/>
      <c r="AJ375" s="35"/>
      <c r="AK375" s="35"/>
      <c r="AL375" s="35"/>
      <c r="AM375" s="35"/>
      <c r="AN375" s="35"/>
      <c r="AO375" s="35"/>
      <c r="AP375" s="35"/>
      <c r="AQ375" s="35"/>
      <c r="AR375" s="35"/>
      <c r="AS375" s="35"/>
      <c r="AT375" s="35"/>
      <c r="AU375" s="35"/>
      <c r="AV375" s="35"/>
      <c r="AW375" s="35"/>
      <c r="AX375" s="35"/>
      <c r="AY375" s="35"/>
      <c r="AZ375" s="35"/>
      <c r="BA375" s="35"/>
      <c r="BB375" s="35"/>
      <c r="BC375" s="35"/>
      <c r="BD375" s="35"/>
      <c r="BE375" s="35"/>
      <c r="BF375" s="35"/>
      <c r="BG375" s="35"/>
      <c r="BH375" s="35"/>
      <c r="BI375" s="35"/>
      <c r="BJ375" s="35"/>
      <c r="BK375" s="35"/>
      <c r="BL375" s="35"/>
    </row>
    <row r="376" spans="1:64" ht="14">
      <c r="A376" s="36"/>
      <c r="B376" s="37"/>
      <c r="C376" s="38">
        <f t="shared" si="40"/>
        <v>0</v>
      </c>
      <c r="D376" s="39"/>
      <c r="E376" s="39"/>
      <c r="F376" s="39"/>
      <c r="G376" s="39"/>
      <c r="H376" s="40"/>
      <c r="I376" s="41"/>
      <c r="J376" s="39"/>
      <c r="K376" s="41"/>
      <c r="L376" s="41"/>
      <c r="M376" s="42" t="str">
        <f t="shared" si="41"/>
        <v/>
      </c>
      <c r="N376" s="40" t="str">
        <f t="shared" si="42"/>
        <v/>
      </c>
      <c r="O376" s="40" t="str">
        <f t="shared" si="43"/>
        <v/>
      </c>
      <c r="P376" s="43" t="str">
        <f t="shared" si="44"/>
        <v/>
      </c>
      <c r="Q376" s="44">
        <f t="shared" si="45"/>
        <v>0</v>
      </c>
      <c r="R376" s="44">
        <f t="shared" si="46"/>
        <v>0</v>
      </c>
      <c r="S376" s="43">
        <f t="shared" si="47"/>
        <v>0</v>
      </c>
      <c r="T376" s="39"/>
      <c r="U376" s="35"/>
      <c r="V376" s="35"/>
      <c r="W376" s="35"/>
      <c r="X376" s="35"/>
      <c r="Y376" s="35"/>
      <c r="Z376" s="35"/>
      <c r="AA376" s="35"/>
      <c r="AB376" s="35"/>
      <c r="AC376" s="35"/>
      <c r="AD376" s="35"/>
      <c r="AE376" s="35"/>
      <c r="AF376" s="35"/>
      <c r="AG376" s="35"/>
      <c r="AH376" s="35"/>
      <c r="AI376" s="35"/>
      <c r="AJ376" s="35"/>
      <c r="AK376" s="35"/>
      <c r="AL376" s="35"/>
      <c r="AM376" s="35"/>
      <c r="AN376" s="35"/>
      <c r="AO376" s="35"/>
      <c r="AP376" s="35"/>
      <c r="AQ376" s="35"/>
      <c r="AR376" s="35"/>
      <c r="AS376" s="35"/>
      <c r="AT376" s="35"/>
      <c r="AU376" s="35"/>
      <c r="AV376" s="35"/>
      <c r="AW376" s="35"/>
      <c r="AX376" s="35"/>
      <c r="AY376" s="35"/>
      <c r="AZ376" s="35"/>
      <c r="BA376" s="35"/>
      <c r="BB376" s="35"/>
      <c r="BC376" s="35"/>
      <c r="BD376" s="35"/>
      <c r="BE376" s="35"/>
      <c r="BF376" s="35"/>
      <c r="BG376" s="35"/>
      <c r="BH376" s="35"/>
      <c r="BI376" s="35"/>
      <c r="BJ376" s="35"/>
      <c r="BK376" s="35"/>
      <c r="BL376" s="35"/>
    </row>
    <row r="377" spans="1:64" ht="14">
      <c r="A377" s="36"/>
      <c r="B377" s="37"/>
      <c r="C377" s="38">
        <f t="shared" si="40"/>
        <v>0</v>
      </c>
      <c r="D377" s="39"/>
      <c r="E377" s="39"/>
      <c r="F377" s="39"/>
      <c r="G377" s="39"/>
      <c r="H377" s="40"/>
      <c r="I377" s="41"/>
      <c r="J377" s="39"/>
      <c r="K377" s="41"/>
      <c r="L377" s="41"/>
      <c r="M377" s="42" t="str">
        <f t="shared" si="41"/>
        <v/>
      </c>
      <c r="N377" s="40" t="str">
        <f t="shared" si="42"/>
        <v/>
      </c>
      <c r="O377" s="40" t="str">
        <f t="shared" si="43"/>
        <v/>
      </c>
      <c r="P377" s="43" t="str">
        <f t="shared" si="44"/>
        <v/>
      </c>
      <c r="Q377" s="44">
        <f t="shared" si="45"/>
        <v>0</v>
      </c>
      <c r="R377" s="44">
        <f t="shared" si="46"/>
        <v>0</v>
      </c>
      <c r="S377" s="43">
        <f t="shared" si="47"/>
        <v>0</v>
      </c>
      <c r="T377" s="39"/>
      <c r="U377" s="35"/>
      <c r="V377" s="35"/>
      <c r="W377" s="35"/>
      <c r="X377" s="35"/>
      <c r="Y377" s="35"/>
      <c r="Z377" s="35"/>
      <c r="AA377" s="35"/>
      <c r="AB377" s="35"/>
      <c r="AC377" s="35"/>
      <c r="AD377" s="35"/>
      <c r="AE377" s="35"/>
      <c r="AF377" s="35"/>
      <c r="AG377" s="35"/>
      <c r="AH377" s="35"/>
      <c r="AI377" s="35"/>
      <c r="AJ377" s="35"/>
      <c r="AK377" s="35"/>
      <c r="AL377" s="35"/>
      <c r="AM377" s="35"/>
      <c r="AN377" s="35"/>
      <c r="AO377" s="35"/>
      <c r="AP377" s="35"/>
      <c r="AQ377" s="35"/>
      <c r="AR377" s="35"/>
      <c r="AS377" s="35"/>
      <c r="AT377" s="35"/>
      <c r="AU377" s="35"/>
      <c r="AV377" s="35"/>
      <c r="AW377" s="35"/>
      <c r="AX377" s="35"/>
      <c r="AY377" s="35"/>
      <c r="AZ377" s="35"/>
      <c r="BA377" s="35"/>
      <c r="BB377" s="35"/>
      <c r="BC377" s="35"/>
      <c r="BD377" s="35"/>
      <c r="BE377" s="35"/>
      <c r="BF377" s="35"/>
      <c r="BG377" s="35"/>
      <c r="BH377" s="35"/>
      <c r="BI377" s="35"/>
      <c r="BJ377" s="35"/>
      <c r="BK377" s="35"/>
      <c r="BL377" s="35"/>
    </row>
    <row r="378" spans="1:64" ht="14">
      <c r="A378" s="36"/>
      <c r="B378" s="37"/>
      <c r="C378" s="38">
        <f t="shared" si="40"/>
        <v>0</v>
      </c>
      <c r="D378" s="39"/>
      <c r="E378" s="39"/>
      <c r="F378" s="39"/>
      <c r="G378" s="39"/>
      <c r="H378" s="40"/>
      <c r="I378" s="41"/>
      <c r="J378" s="39"/>
      <c r="K378" s="41"/>
      <c r="L378" s="41"/>
      <c r="M378" s="42" t="str">
        <f t="shared" si="41"/>
        <v/>
      </c>
      <c r="N378" s="40" t="str">
        <f t="shared" si="42"/>
        <v/>
      </c>
      <c r="O378" s="40" t="str">
        <f t="shared" si="43"/>
        <v/>
      </c>
      <c r="P378" s="43" t="str">
        <f t="shared" si="44"/>
        <v/>
      </c>
      <c r="Q378" s="44">
        <f t="shared" si="45"/>
        <v>0</v>
      </c>
      <c r="R378" s="44">
        <f t="shared" si="46"/>
        <v>0</v>
      </c>
      <c r="S378" s="43">
        <f t="shared" si="47"/>
        <v>0</v>
      </c>
      <c r="T378" s="39"/>
      <c r="U378" s="35"/>
      <c r="V378" s="35"/>
      <c r="W378" s="35"/>
      <c r="X378" s="35"/>
      <c r="Y378" s="35"/>
      <c r="Z378" s="35"/>
      <c r="AA378" s="35"/>
      <c r="AB378" s="35"/>
      <c r="AC378" s="35"/>
      <c r="AD378" s="35"/>
      <c r="AE378" s="35"/>
      <c r="AF378" s="35"/>
      <c r="AG378" s="35"/>
      <c r="AH378" s="35"/>
      <c r="AI378" s="35"/>
      <c r="AJ378" s="35"/>
      <c r="AK378" s="35"/>
      <c r="AL378" s="35"/>
      <c r="AM378" s="35"/>
      <c r="AN378" s="35"/>
      <c r="AO378" s="35"/>
      <c r="AP378" s="35"/>
      <c r="AQ378" s="35"/>
      <c r="AR378" s="35"/>
      <c r="AS378" s="35"/>
      <c r="AT378" s="35"/>
      <c r="AU378" s="35"/>
      <c r="AV378" s="35"/>
      <c r="AW378" s="35"/>
      <c r="AX378" s="35"/>
      <c r="AY378" s="35"/>
      <c r="AZ378" s="35"/>
      <c r="BA378" s="35"/>
      <c r="BB378" s="35"/>
      <c r="BC378" s="35"/>
      <c r="BD378" s="35"/>
      <c r="BE378" s="35"/>
      <c r="BF378" s="35"/>
      <c r="BG378" s="35"/>
      <c r="BH378" s="35"/>
      <c r="BI378" s="35"/>
      <c r="BJ378" s="35"/>
      <c r="BK378" s="35"/>
      <c r="BL378" s="35"/>
    </row>
    <row r="379" spans="1:64" ht="14">
      <c r="A379" s="36"/>
      <c r="B379" s="37"/>
      <c r="C379" s="38">
        <f t="shared" si="40"/>
        <v>0</v>
      </c>
      <c r="D379" s="39"/>
      <c r="E379" s="39"/>
      <c r="F379" s="39"/>
      <c r="G379" s="39"/>
      <c r="H379" s="40"/>
      <c r="I379" s="41"/>
      <c r="J379" s="39"/>
      <c r="K379" s="41"/>
      <c r="L379" s="41"/>
      <c r="M379" s="42" t="str">
        <f t="shared" si="41"/>
        <v/>
      </c>
      <c r="N379" s="40" t="str">
        <f t="shared" si="42"/>
        <v/>
      </c>
      <c r="O379" s="40" t="str">
        <f t="shared" si="43"/>
        <v/>
      </c>
      <c r="P379" s="43" t="str">
        <f t="shared" si="44"/>
        <v/>
      </c>
      <c r="Q379" s="44">
        <f t="shared" si="45"/>
        <v>0</v>
      </c>
      <c r="R379" s="44">
        <f t="shared" si="46"/>
        <v>0</v>
      </c>
      <c r="S379" s="43">
        <f t="shared" si="47"/>
        <v>0</v>
      </c>
      <c r="T379" s="39"/>
      <c r="U379" s="35"/>
      <c r="V379" s="35"/>
      <c r="W379" s="35"/>
      <c r="X379" s="35"/>
      <c r="Y379" s="35"/>
      <c r="Z379" s="35"/>
      <c r="AA379" s="35"/>
      <c r="AB379" s="35"/>
      <c r="AC379" s="35"/>
      <c r="AD379" s="35"/>
      <c r="AE379" s="35"/>
      <c r="AF379" s="35"/>
      <c r="AG379" s="35"/>
      <c r="AH379" s="35"/>
      <c r="AI379" s="35"/>
      <c r="AJ379" s="35"/>
      <c r="AK379" s="35"/>
      <c r="AL379" s="35"/>
      <c r="AM379" s="35"/>
      <c r="AN379" s="35"/>
      <c r="AO379" s="35"/>
      <c r="AP379" s="35"/>
      <c r="AQ379" s="35"/>
      <c r="AR379" s="35"/>
      <c r="AS379" s="35"/>
      <c r="AT379" s="35"/>
      <c r="AU379" s="35"/>
      <c r="AV379" s="35"/>
      <c r="AW379" s="35"/>
      <c r="AX379" s="35"/>
      <c r="AY379" s="35"/>
      <c r="AZ379" s="35"/>
      <c r="BA379" s="35"/>
      <c r="BB379" s="35"/>
      <c r="BC379" s="35"/>
      <c r="BD379" s="35"/>
      <c r="BE379" s="35"/>
      <c r="BF379" s="35"/>
      <c r="BG379" s="35"/>
      <c r="BH379" s="35"/>
      <c r="BI379" s="35"/>
      <c r="BJ379" s="35"/>
      <c r="BK379" s="35"/>
      <c r="BL379" s="35"/>
    </row>
    <row r="380" spans="1:64" ht="14">
      <c r="A380" s="36"/>
      <c r="B380" s="37"/>
      <c r="C380" s="38">
        <f t="shared" si="40"/>
        <v>0</v>
      </c>
      <c r="D380" s="39"/>
      <c r="E380" s="39"/>
      <c r="F380" s="39"/>
      <c r="G380" s="39"/>
      <c r="H380" s="40"/>
      <c r="I380" s="41"/>
      <c r="J380" s="39"/>
      <c r="K380" s="41"/>
      <c r="L380" s="41"/>
      <c r="M380" s="42" t="str">
        <f t="shared" si="41"/>
        <v/>
      </c>
      <c r="N380" s="40" t="str">
        <f t="shared" si="42"/>
        <v/>
      </c>
      <c r="O380" s="40" t="str">
        <f t="shared" si="43"/>
        <v/>
      </c>
      <c r="P380" s="43" t="str">
        <f t="shared" si="44"/>
        <v/>
      </c>
      <c r="Q380" s="44">
        <f t="shared" si="45"/>
        <v>0</v>
      </c>
      <c r="R380" s="44">
        <f t="shared" si="46"/>
        <v>0</v>
      </c>
      <c r="S380" s="43">
        <f t="shared" si="47"/>
        <v>0</v>
      </c>
      <c r="T380" s="39"/>
      <c r="U380" s="35"/>
      <c r="V380" s="35"/>
      <c r="W380" s="35"/>
      <c r="X380" s="35"/>
      <c r="Y380" s="35"/>
      <c r="Z380" s="35"/>
      <c r="AA380" s="35"/>
      <c r="AB380" s="35"/>
      <c r="AC380" s="35"/>
      <c r="AD380" s="35"/>
      <c r="AE380" s="35"/>
      <c r="AF380" s="35"/>
      <c r="AG380" s="35"/>
      <c r="AH380" s="35"/>
      <c r="AI380" s="35"/>
      <c r="AJ380" s="35"/>
      <c r="AK380" s="35"/>
      <c r="AL380" s="35"/>
      <c r="AM380" s="35"/>
      <c r="AN380" s="35"/>
      <c r="AO380" s="35"/>
      <c r="AP380" s="35"/>
      <c r="AQ380" s="35"/>
      <c r="AR380" s="35"/>
      <c r="AS380" s="35"/>
      <c r="AT380" s="35"/>
      <c r="AU380" s="35"/>
      <c r="AV380" s="35"/>
      <c r="AW380" s="35"/>
      <c r="AX380" s="35"/>
      <c r="AY380" s="35"/>
      <c r="AZ380" s="35"/>
      <c r="BA380" s="35"/>
      <c r="BB380" s="35"/>
      <c r="BC380" s="35"/>
      <c r="BD380" s="35"/>
      <c r="BE380" s="35"/>
      <c r="BF380" s="35"/>
      <c r="BG380" s="35"/>
      <c r="BH380" s="35"/>
      <c r="BI380" s="35"/>
      <c r="BJ380" s="35"/>
      <c r="BK380" s="35"/>
      <c r="BL380" s="35"/>
    </row>
    <row r="381" spans="1:64" ht="14">
      <c r="A381" s="36"/>
      <c r="B381" s="37"/>
      <c r="C381" s="38">
        <f t="shared" si="40"/>
        <v>0</v>
      </c>
      <c r="D381" s="39"/>
      <c r="E381" s="39"/>
      <c r="F381" s="39"/>
      <c r="G381" s="39"/>
      <c r="H381" s="40"/>
      <c r="I381" s="41"/>
      <c r="J381" s="39"/>
      <c r="K381" s="41"/>
      <c r="L381" s="41"/>
      <c r="M381" s="42" t="str">
        <f t="shared" si="41"/>
        <v/>
      </c>
      <c r="N381" s="40" t="str">
        <f t="shared" si="42"/>
        <v/>
      </c>
      <c r="O381" s="40" t="str">
        <f t="shared" si="43"/>
        <v/>
      </c>
      <c r="P381" s="43" t="str">
        <f t="shared" si="44"/>
        <v/>
      </c>
      <c r="Q381" s="44">
        <f t="shared" si="45"/>
        <v>0</v>
      </c>
      <c r="R381" s="44">
        <f t="shared" si="46"/>
        <v>0</v>
      </c>
      <c r="S381" s="43">
        <f t="shared" si="47"/>
        <v>0</v>
      </c>
      <c r="T381" s="39"/>
      <c r="U381" s="35"/>
      <c r="V381" s="35"/>
      <c r="W381" s="35"/>
      <c r="X381" s="35"/>
      <c r="Y381" s="35"/>
      <c r="Z381" s="35"/>
      <c r="AA381" s="35"/>
      <c r="AB381" s="35"/>
      <c r="AC381" s="35"/>
      <c r="AD381" s="35"/>
      <c r="AE381" s="35"/>
      <c r="AF381" s="35"/>
      <c r="AG381" s="35"/>
      <c r="AH381" s="35"/>
      <c r="AI381" s="35"/>
      <c r="AJ381" s="35"/>
      <c r="AK381" s="35"/>
      <c r="AL381" s="35"/>
      <c r="AM381" s="35"/>
      <c r="AN381" s="35"/>
      <c r="AO381" s="35"/>
      <c r="AP381" s="35"/>
      <c r="AQ381" s="35"/>
      <c r="AR381" s="35"/>
      <c r="AS381" s="35"/>
      <c r="AT381" s="35"/>
      <c r="AU381" s="35"/>
      <c r="AV381" s="35"/>
      <c r="AW381" s="35"/>
      <c r="AX381" s="35"/>
      <c r="AY381" s="35"/>
      <c r="AZ381" s="35"/>
      <c r="BA381" s="35"/>
      <c r="BB381" s="35"/>
      <c r="BC381" s="35"/>
      <c r="BD381" s="35"/>
      <c r="BE381" s="35"/>
      <c r="BF381" s="35"/>
      <c r="BG381" s="35"/>
      <c r="BH381" s="35"/>
      <c r="BI381" s="35"/>
      <c r="BJ381" s="35"/>
      <c r="BK381" s="35"/>
      <c r="BL381" s="35"/>
    </row>
    <row r="382" spans="1:64" ht="14">
      <c r="A382" s="36"/>
      <c r="B382" s="37"/>
      <c r="C382" s="38">
        <f t="shared" si="40"/>
        <v>0</v>
      </c>
      <c r="D382" s="39"/>
      <c r="E382" s="39"/>
      <c r="F382" s="39"/>
      <c r="G382" s="39"/>
      <c r="H382" s="40"/>
      <c r="I382" s="41"/>
      <c r="J382" s="39"/>
      <c r="K382" s="41"/>
      <c r="L382" s="41"/>
      <c r="M382" s="42" t="str">
        <f t="shared" si="41"/>
        <v/>
      </c>
      <c r="N382" s="40" t="str">
        <f t="shared" si="42"/>
        <v/>
      </c>
      <c r="O382" s="40" t="str">
        <f t="shared" si="43"/>
        <v/>
      </c>
      <c r="P382" s="43" t="str">
        <f t="shared" si="44"/>
        <v/>
      </c>
      <c r="Q382" s="44">
        <f t="shared" si="45"/>
        <v>0</v>
      </c>
      <c r="R382" s="44">
        <f t="shared" si="46"/>
        <v>0</v>
      </c>
      <c r="S382" s="43">
        <f t="shared" si="47"/>
        <v>0</v>
      </c>
      <c r="T382" s="39"/>
      <c r="U382" s="35"/>
      <c r="V382" s="35"/>
      <c r="W382" s="35"/>
      <c r="X382" s="35"/>
      <c r="Y382" s="35"/>
      <c r="Z382" s="35"/>
      <c r="AA382" s="35"/>
      <c r="AB382" s="35"/>
      <c r="AC382" s="35"/>
      <c r="AD382" s="35"/>
      <c r="AE382" s="35"/>
      <c r="AF382" s="35"/>
      <c r="AG382" s="35"/>
      <c r="AH382" s="35"/>
      <c r="AI382" s="35"/>
      <c r="AJ382" s="35"/>
      <c r="AK382" s="35"/>
      <c r="AL382" s="35"/>
      <c r="AM382" s="35"/>
      <c r="AN382" s="35"/>
      <c r="AO382" s="35"/>
      <c r="AP382" s="35"/>
      <c r="AQ382" s="35"/>
      <c r="AR382" s="35"/>
      <c r="AS382" s="35"/>
      <c r="AT382" s="35"/>
      <c r="AU382" s="35"/>
      <c r="AV382" s="35"/>
      <c r="AW382" s="35"/>
      <c r="AX382" s="35"/>
      <c r="AY382" s="35"/>
      <c r="AZ382" s="35"/>
      <c r="BA382" s="35"/>
      <c r="BB382" s="35"/>
      <c r="BC382" s="35"/>
      <c r="BD382" s="35"/>
      <c r="BE382" s="35"/>
      <c r="BF382" s="35"/>
      <c r="BG382" s="35"/>
      <c r="BH382" s="35"/>
      <c r="BI382" s="35"/>
      <c r="BJ382" s="35"/>
      <c r="BK382" s="35"/>
      <c r="BL382" s="35"/>
    </row>
    <row r="383" spans="1:64" ht="14">
      <c r="A383" s="217" t="s">
        <v>58</v>
      </c>
      <c r="B383" s="217"/>
      <c r="C383" s="217"/>
      <c r="D383" s="217"/>
      <c r="E383" s="217"/>
      <c r="F383" s="217"/>
      <c r="G383" s="217"/>
      <c r="H383" s="217"/>
      <c r="I383" s="217"/>
      <c r="J383" s="217"/>
      <c r="K383" s="217"/>
      <c r="L383" s="217"/>
      <c r="M383" s="217"/>
      <c r="N383" s="217"/>
      <c r="O383" s="217"/>
      <c r="P383" s="217"/>
      <c r="Q383" s="217"/>
      <c r="R383" s="217"/>
      <c r="S383" s="217"/>
      <c r="T383" s="217"/>
      <c r="U383" s="35"/>
      <c r="V383" s="35"/>
      <c r="W383" s="35"/>
      <c r="X383" s="35"/>
      <c r="Y383" s="35"/>
      <c r="Z383" s="35"/>
      <c r="AA383" s="35"/>
      <c r="AB383" s="35"/>
      <c r="AC383" s="35"/>
      <c r="AD383" s="35"/>
      <c r="AE383" s="35"/>
      <c r="AF383" s="35"/>
      <c r="AG383" s="35"/>
      <c r="AH383" s="35"/>
      <c r="AI383" s="35"/>
      <c r="AJ383" s="35"/>
      <c r="AK383" s="35"/>
      <c r="AL383" s="35"/>
      <c r="AM383" s="35"/>
      <c r="AN383" s="35"/>
      <c r="AO383" s="35"/>
      <c r="AP383" s="35"/>
      <c r="AQ383" s="35"/>
      <c r="AR383" s="35"/>
      <c r="AS383" s="35"/>
      <c r="AT383" s="35"/>
      <c r="AU383" s="35"/>
      <c r="AV383" s="35"/>
      <c r="AW383" s="35"/>
      <c r="AX383" s="35"/>
      <c r="AY383" s="35"/>
      <c r="AZ383" s="35"/>
      <c r="BA383" s="35"/>
      <c r="BB383" s="35"/>
      <c r="BC383" s="35"/>
      <c r="BD383" s="35"/>
      <c r="BE383" s="35"/>
      <c r="BF383" s="35"/>
      <c r="BG383" s="35"/>
      <c r="BH383" s="35"/>
      <c r="BI383" s="35"/>
      <c r="BJ383" s="35"/>
      <c r="BK383" s="35"/>
      <c r="BL383" s="35"/>
    </row>
    <row r="384" spans="1:64" ht="26">
      <c r="A384" s="47"/>
      <c r="B384" s="48"/>
      <c r="C384" s="48"/>
      <c r="D384" s="49"/>
      <c r="E384" s="49"/>
      <c r="F384" s="49"/>
      <c r="G384" s="49"/>
      <c r="I384" s="47"/>
      <c r="J384" s="47"/>
      <c r="K384" s="47"/>
      <c r="L384" s="47"/>
      <c r="M384" s="47"/>
      <c r="N384" s="48"/>
      <c r="O384" s="48"/>
      <c r="P384" s="50" t="s">
        <v>59</v>
      </c>
      <c r="Q384" s="48"/>
      <c r="R384" s="40">
        <f>IF(AND(J384="ALI",O384="Simples"),7, IF(AND(J384="ALI",O384="Médio"),10, IF(AND(J384="ALI",O384="Complexo"),15, IF(AND(J384="AIE",O384="Simples"),5, IF(AND(J384="AIE",O384="Médio"),7, IF(AND(J384="AIE",O384="Complexo"),10,0))))))</f>
        <v>0</v>
      </c>
      <c r="S384" s="51">
        <f>SUM(S9:S383)</f>
        <v>0</v>
      </c>
      <c r="T384" s="52"/>
    </row>
  </sheetData>
  <mergeCells count="13">
    <mergeCell ref="A383:T383"/>
    <mergeCell ref="A5:C6"/>
    <mergeCell ref="D5:E6"/>
    <mergeCell ref="J5:L5"/>
    <mergeCell ref="P5:T5"/>
    <mergeCell ref="J6:L6"/>
    <mergeCell ref="P6:T6"/>
    <mergeCell ref="C1:T1"/>
    <mergeCell ref="J3:L3"/>
    <mergeCell ref="P3:T3"/>
    <mergeCell ref="J4:L4"/>
    <mergeCell ref="P4:T4"/>
    <mergeCell ref="A9:T9"/>
  </mergeCells>
  <conditionalFormatting sqref="N10:P382 K10:L382">
    <cfRule type="expression" dxfId="44" priority="2">
      <formula>$M10&lt;&gt;"%"</formula>
    </cfRule>
  </conditionalFormatting>
  <conditionalFormatting sqref="I10:I382">
    <cfRule type="expression" dxfId="43" priority="3">
      <formula>$M10="%"</formula>
    </cfRule>
  </conditionalFormatting>
  <conditionalFormatting sqref="J10:J382">
    <cfRule type="expression" dxfId="42" priority="4">
      <formula>AND($J10&lt;&gt;"INM",$M10="Q")</formula>
    </cfRule>
  </conditionalFormatting>
  <conditionalFormatting sqref="I10:I382">
    <cfRule type="expression" dxfId="41" priority="5">
      <formula>OR(AND($I10&lt;&gt;"",$M10="%"),AND($I10="",$M10="Q"))</formula>
    </cfRule>
  </conditionalFormatting>
  <conditionalFormatting sqref="K10:K382">
    <cfRule type="expression" dxfId="40" priority="6">
      <formula>AND($K10="",$M10="%")</formula>
    </cfRule>
  </conditionalFormatting>
  <conditionalFormatting sqref="L10:L382">
    <cfRule type="expression" dxfId="39" priority="7">
      <formula>AND($L10="",$M10="%")</formula>
    </cfRule>
  </conditionalFormatting>
  <conditionalFormatting sqref="J10:J382">
    <cfRule type="expression" dxfId="38" priority="8">
      <formula>AND(OR($J10="INM",$J10=""),$M10="%")</formula>
    </cfRule>
  </conditionalFormatting>
  <dataValidations count="3">
    <dataValidation type="list" operator="equal" allowBlank="1" showInputMessage="1" showErrorMessage="1" sqref="B10:B382">
      <formula1>Deflatores</formula1>
      <formula2>0</formula2>
    </dataValidation>
    <dataValidation type="whole" operator="greaterThanOrEqual" allowBlank="1" showInputMessage="1" showErrorMessage="1" errorTitle="Insira apenas números (&gt;=0)" sqref="I10:I382 K10:L382">
      <formula1>0</formula1>
      <formula2>0</formula2>
    </dataValidation>
    <dataValidation type="list" operator="equal" allowBlank="1" showInputMessage="1" showErrorMessage="1" errorTitle="Erro" error="Selecione uma das opções apresentada" sqref="J10:J382">
      <formula1>"-------,EE,SE,CE,ALI,AIE,INM"</formula1>
      <formula2>0</formula2>
    </dataValidation>
  </dataValidations>
  <pageMargins left="0.196527777777778" right="0.196527777777778" top="0.32986111111111099" bottom="0.42986111111111103" header="0.179861111111111" footer="0.27569444444444402"/>
  <pageSetup paperSize="9" firstPageNumber="0" fitToHeight="10" orientation="landscape" horizontalDpi="300" verticalDpi="300"/>
  <headerFooter>
    <oddHeader>&amp;C&amp;A</oddHeader>
    <oddFooter>&amp;CPágina &amp;P de &amp;N</oddFooter>
  </headerFooter>
  <drawing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BL27"/>
  <sheetViews>
    <sheetView zoomScaleNormal="100" workbookViewId="0"/>
  </sheetViews>
  <sheetFormatPr defaultColWidth="8.6328125" defaultRowHeight="12.5"/>
  <cols>
    <col min="1" max="1" width="5.36328125" style="53" customWidth="1"/>
    <col min="2" max="2" width="24.36328125" style="54" customWidth="1"/>
    <col min="3" max="3" width="8.1796875" style="55" customWidth="1"/>
    <col min="4" max="4" width="14.1796875" style="55" customWidth="1"/>
    <col min="5" max="5" width="26.54296875" style="55" customWidth="1"/>
    <col min="6" max="6" width="9.26953125" style="55" customWidth="1"/>
    <col min="7" max="7" width="14.54296875" style="56" customWidth="1"/>
    <col min="8" max="8" width="12.7265625" style="53" customWidth="1"/>
    <col min="9" max="9" width="9.81640625" style="53" customWidth="1"/>
    <col min="10" max="10" width="9.81640625" style="54" customWidth="1"/>
    <col min="11" max="11" width="15" style="54" customWidth="1"/>
    <col min="12" max="12" width="12.81640625" style="54" customWidth="1"/>
    <col min="13" max="13" width="10.6328125" style="54" customWidth="1"/>
    <col min="14" max="14" width="9" style="54" customWidth="1"/>
    <col min="15" max="15" width="8.6328125" style="54" customWidth="1"/>
    <col min="16" max="16" width="14.6328125" style="54" customWidth="1"/>
    <col min="17" max="20" width="9" style="54" customWidth="1"/>
    <col min="21" max="64" width="8.6328125" style="54" customWidth="1"/>
  </cols>
  <sheetData>
    <row r="1" spans="1:64" ht="69" customHeight="1">
      <c r="A1" s="2">
        <v>0</v>
      </c>
      <c r="B1" s="22"/>
      <c r="C1" s="213" t="s">
        <v>60</v>
      </c>
      <c r="D1" s="213"/>
      <c r="E1" s="213"/>
      <c r="F1" s="213"/>
      <c r="G1" s="213"/>
      <c r="H1" s="213"/>
      <c r="I1" s="213"/>
      <c r="J1" s="213"/>
      <c r="K1" s="213"/>
      <c r="L1" s="213"/>
      <c r="M1" s="213"/>
      <c r="N1" s="213"/>
      <c r="O1" s="213"/>
      <c r="P1" s="213"/>
      <c r="Q1"/>
      <c r="R1"/>
      <c r="S1"/>
      <c r="T1"/>
      <c r="U1"/>
      <c r="V1"/>
      <c r="W1"/>
      <c r="X1"/>
      <c r="Y1"/>
      <c r="Z1"/>
      <c r="AA1"/>
      <c r="AB1"/>
      <c r="AC1"/>
      <c r="AD1"/>
      <c r="AE1"/>
      <c r="AF1"/>
      <c r="AG1"/>
      <c r="AH1"/>
      <c r="AI1"/>
      <c r="AJ1"/>
      <c r="AK1"/>
      <c r="AL1"/>
      <c r="AM1"/>
      <c r="AN1"/>
      <c r="AO1"/>
      <c r="AP1"/>
      <c r="AQ1"/>
      <c r="AR1"/>
      <c r="AS1"/>
      <c r="AT1"/>
      <c r="AU1"/>
      <c r="AV1"/>
      <c r="AW1"/>
      <c r="AX1"/>
      <c r="AY1"/>
      <c r="AZ1"/>
      <c r="BA1"/>
      <c r="BB1"/>
      <c r="BC1"/>
      <c r="BD1"/>
      <c r="BE1"/>
      <c r="BF1"/>
      <c r="BG1"/>
      <c r="BH1"/>
      <c r="BI1"/>
      <c r="BJ1"/>
      <c r="BK1"/>
      <c r="BL1"/>
    </row>
    <row r="2" spans="1:64" ht="9" customHeight="1">
      <c r="A2" s="23"/>
      <c r="B2" s="23"/>
      <c r="C2" s="24"/>
      <c r="D2" s="24"/>
      <c r="E2" s="24"/>
      <c r="F2" s="24"/>
      <c r="G2" s="24"/>
      <c r="H2" s="24"/>
      <c r="I2" s="24"/>
      <c r="J2"/>
      <c r="K2"/>
      <c r="L2"/>
      <c r="M2"/>
      <c r="N2"/>
      <c r="O2"/>
      <c r="P2"/>
      <c r="Q2"/>
      <c r="R2"/>
      <c r="S2"/>
      <c r="T2"/>
      <c r="U2"/>
      <c r="V2"/>
      <c r="W2"/>
      <c r="X2"/>
      <c r="Y2"/>
      <c r="Z2"/>
      <c r="AA2"/>
      <c r="AB2"/>
      <c r="AC2"/>
      <c r="AD2"/>
      <c r="AE2"/>
      <c r="AF2"/>
      <c r="AG2"/>
      <c r="AH2"/>
      <c r="AI2"/>
      <c r="AJ2"/>
      <c r="AK2"/>
      <c r="AL2"/>
      <c r="AM2"/>
      <c r="AN2"/>
      <c r="AO2"/>
      <c r="AP2"/>
      <c r="AQ2"/>
      <c r="AR2"/>
      <c r="AS2"/>
      <c r="AT2"/>
      <c r="AU2"/>
      <c r="AV2"/>
      <c r="AW2"/>
      <c r="AX2"/>
      <c r="AY2"/>
      <c r="AZ2"/>
      <c r="BA2"/>
      <c r="BB2"/>
      <c r="BC2"/>
      <c r="BD2"/>
      <c r="BE2"/>
      <c r="BF2"/>
      <c r="BG2"/>
      <c r="BH2"/>
      <c r="BI2"/>
      <c r="BJ2"/>
      <c r="BK2"/>
      <c r="BL2"/>
    </row>
    <row r="3" spans="1:64" ht="18.649999999999999" customHeight="1">
      <c r="A3" s="19"/>
      <c r="B3" s="25"/>
      <c r="C3" s="24"/>
      <c r="D3" s="24"/>
      <c r="E3" s="24"/>
      <c r="F3"/>
      <c r="G3"/>
      <c r="H3"/>
      <c r="I3"/>
      <c r="J3"/>
      <c r="K3"/>
      <c r="L3" s="219" t="s">
        <v>8</v>
      </c>
      <c r="M3" s="219"/>
      <c r="N3" s="219"/>
      <c r="O3" s="215"/>
      <c r="P3" s="215"/>
      <c r="Q3"/>
      <c r="R3"/>
      <c r="S3"/>
      <c r="T3"/>
      <c r="U3"/>
      <c r="V3"/>
      <c r="W3"/>
      <c r="X3"/>
      <c r="Y3"/>
      <c r="Z3"/>
      <c r="AA3"/>
      <c r="AB3"/>
      <c r="AC3"/>
      <c r="AD3"/>
      <c r="AE3"/>
      <c r="AF3"/>
      <c r="AG3"/>
      <c r="AH3"/>
      <c r="AI3"/>
      <c r="AJ3"/>
      <c r="AK3"/>
      <c r="AL3"/>
      <c r="AM3"/>
      <c r="AN3"/>
      <c r="AO3"/>
      <c r="AP3"/>
      <c r="AQ3"/>
      <c r="AR3"/>
      <c r="AS3"/>
      <c r="AT3"/>
      <c r="AU3"/>
      <c r="AV3"/>
      <c r="AW3"/>
      <c r="AX3"/>
      <c r="AY3"/>
      <c r="AZ3"/>
      <c r="BA3"/>
      <c r="BB3"/>
      <c r="BC3"/>
      <c r="BD3"/>
      <c r="BE3"/>
      <c r="BF3"/>
      <c r="BG3"/>
      <c r="BH3"/>
      <c r="BI3"/>
      <c r="BJ3"/>
      <c r="BK3"/>
      <c r="BL3"/>
    </row>
    <row r="4" spans="1:64" ht="18.649999999999999" customHeight="1">
      <c r="A4" s="19"/>
      <c r="B4" s="25"/>
      <c r="C4" s="24"/>
      <c r="D4" s="24"/>
      <c r="E4" s="24"/>
      <c r="F4"/>
      <c r="G4"/>
      <c r="H4"/>
      <c r="I4"/>
      <c r="J4"/>
      <c r="K4"/>
      <c r="L4" s="219" t="s">
        <v>9</v>
      </c>
      <c r="M4" s="219"/>
      <c r="N4" s="219"/>
      <c r="O4" s="215"/>
      <c r="P4" s="215"/>
      <c r="Q4"/>
      <c r="R4"/>
      <c r="S4"/>
      <c r="T4"/>
      <c r="U4"/>
      <c r="V4"/>
      <c r="W4"/>
      <c r="X4"/>
      <c r="Y4"/>
      <c r="Z4"/>
      <c r="AA4"/>
      <c r="AB4"/>
      <c r="AC4"/>
      <c r="AD4"/>
      <c r="AE4"/>
      <c r="AF4"/>
      <c r="AG4"/>
      <c r="AH4"/>
      <c r="AI4"/>
      <c r="AJ4"/>
      <c r="AK4"/>
      <c r="AL4"/>
      <c r="AM4"/>
      <c r="AN4"/>
      <c r="AO4"/>
      <c r="AP4"/>
      <c r="AQ4"/>
      <c r="AR4"/>
      <c r="AS4"/>
      <c r="AT4"/>
      <c r="AU4"/>
      <c r="AV4"/>
      <c r="AW4"/>
      <c r="AX4"/>
      <c r="AY4"/>
      <c r="AZ4"/>
      <c r="BA4"/>
      <c r="BB4"/>
      <c r="BC4"/>
      <c r="BD4"/>
      <c r="BE4"/>
      <c r="BF4"/>
      <c r="BG4"/>
      <c r="BH4"/>
      <c r="BI4"/>
      <c r="BJ4"/>
      <c r="BK4"/>
      <c r="BL4"/>
    </row>
    <row r="5" spans="1:64" ht="18.649999999999999" customHeight="1">
      <c r="A5" s="220" t="s">
        <v>36</v>
      </c>
      <c r="B5" s="220"/>
      <c r="C5" s="218" t="str">
        <f>TEXT(P27,"#.##0,0#")</f>
        <v>0,0</v>
      </c>
      <c r="D5" s="218"/>
      <c r="E5" s="24"/>
      <c r="F5"/>
      <c r="G5"/>
      <c r="H5"/>
      <c r="I5"/>
      <c r="J5"/>
      <c r="K5"/>
      <c r="L5" s="219" t="s">
        <v>10</v>
      </c>
      <c r="M5" s="219"/>
      <c r="N5" s="219"/>
      <c r="O5" s="215"/>
      <c r="P5" s="215"/>
      <c r="Q5"/>
      <c r="R5"/>
      <c r="S5"/>
      <c r="T5"/>
      <c r="U5"/>
      <c r="V5"/>
      <c r="W5"/>
      <c r="X5"/>
      <c r="Y5"/>
      <c r="Z5"/>
      <c r="AA5"/>
      <c r="AB5"/>
      <c r="AC5"/>
      <c r="AD5"/>
      <c r="AE5"/>
      <c r="AF5"/>
      <c r="AG5"/>
      <c r="AH5"/>
      <c r="AI5"/>
      <c r="AJ5"/>
      <c r="AK5"/>
      <c r="AL5"/>
      <c r="AM5"/>
      <c r="AN5"/>
      <c r="AO5"/>
      <c r="AP5"/>
      <c r="AQ5"/>
      <c r="AR5"/>
      <c r="AS5"/>
      <c r="AT5"/>
      <c r="AU5"/>
      <c r="AV5"/>
      <c r="AW5"/>
      <c r="AX5"/>
      <c r="AY5"/>
      <c r="AZ5"/>
      <c r="BA5"/>
      <c r="BB5"/>
      <c r="BC5"/>
      <c r="BD5"/>
      <c r="BE5"/>
      <c r="BF5"/>
      <c r="BG5"/>
      <c r="BH5"/>
      <c r="BI5"/>
      <c r="BJ5"/>
      <c r="BK5"/>
      <c r="BL5"/>
    </row>
    <row r="6" spans="1:64" ht="18.649999999999999" customHeight="1">
      <c r="A6" s="220"/>
      <c r="B6" s="220"/>
      <c r="C6" s="218"/>
      <c r="D6" s="218"/>
      <c r="E6" s="24"/>
      <c r="F6"/>
      <c r="G6"/>
      <c r="H6"/>
      <c r="I6"/>
      <c r="J6"/>
      <c r="K6"/>
      <c r="L6" s="219" t="s">
        <v>11</v>
      </c>
      <c r="M6" s="219"/>
      <c r="N6" s="219"/>
      <c r="O6" s="215"/>
      <c r="P6" s="215"/>
      <c r="Q6"/>
      <c r="R6"/>
      <c r="S6"/>
      <c r="T6"/>
      <c r="U6"/>
      <c r="V6"/>
      <c r="W6"/>
      <c r="X6"/>
      <c r="Y6"/>
      <c r="Z6"/>
      <c r="AA6"/>
      <c r="AB6"/>
      <c r="AC6"/>
      <c r="AD6"/>
      <c r="AE6"/>
      <c r="AF6"/>
      <c r="AG6"/>
      <c r="AH6"/>
      <c r="AI6"/>
      <c r="AJ6"/>
      <c r="AK6"/>
      <c r="AL6"/>
      <c r="AM6"/>
      <c r="AN6"/>
      <c r="AO6"/>
      <c r="AP6"/>
      <c r="AQ6"/>
      <c r="AR6"/>
      <c r="AS6"/>
      <c r="AT6"/>
      <c r="AU6"/>
      <c r="AV6"/>
      <c r="AW6"/>
      <c r="AX6"/>
      <c r="AY6"/>
      <c r="AZ6"/>
      <c r="BA6"/>
      <c r="BB6"/>
      <c r="BC6"/>
      <c r="BD6"/>
      <c r="BE6"/>
      <c r="BF6"/>
      <c r="BG6"/>
      <c r="BH6"/>
      <c r="BI6"/>
      <c r="BJ6"/>
      <c r="BK6"/>
      <c r="BL6"/>
    </row>
    <row r="7" spans="1:64" ht="9" customHeight="1">
      <c r="A7" s="221"/>
      <c r="B7" s="221"/>
      <c r="C7" s="221"/>
      <c r="D7" s="221"/>
      <c r="E7" s="221"/>
      <c r="F7" s="221"/>
      <c r="G7" s="221"/>
      <c r="H7" s="221"/>
      <c r="I7" s="221"/>
      <c r="J7"/>
      <c r="K7"/>
      <c r="L7"/>
      <c r="M7"/>
      <c r="N7"/>
      <c r="O7"/>
      <c r="P7"/>
      <c r="Q7"/>
      <c r="R7"/>
      <c r="S7"/>
      <c r="T7"/>
      <c r="U7"/>
      <c r="V7"/>
      <c r="W7"/>
      <c r="X7"/>
      <c r="Y7"/>
      <c r="Z7"/>
      <c r="AA7"/>
      <c r="AB7"/>
      <c r="AC7"/>
      <c r="AD7"/>
      <c r="AE7"/>
      <c r="AF7"/>
      <c r="AG7"/>
      <c r="AH7"/>
      <c r="AI7"/>
      <c r="AJ7"/>
      <c r="AK7"/>
      <c r="AL7"/>
      <c r="AM7"/>
      <c r="AN7"/>
      <c r="AO7"/>
      <c r="AP7"/>
      <c r="AQ7"/>
      <c r="AR7"/>
      <c r="AS7"/>
      <c r="AT7"/>
      <c r="AU7"/>
      <c r="AV7"/>
      <c r="AW7"/>
      <c r="AX7"/>
      <c r="AY7"/>
      <c r="AZ7"/>
      <c r="BA7"/>
      <c r="BB7"/>
      <c r="BC7"/>
      <c r="BD7"/>
      <c r="BE7"/>
      <c r="BF7"/>
      <c r="BG7"/>
      <c r="BH7"/>
      <c r="BI7"/>
      <c r="BJ7"/>
      <c r="BK7"/>
      <c r="BL7"/>
    </row>
    <row r="8" spans="1:64" ht="9" customHeight="1">
      <c r="A8"/>
      <c r="B8"/>
      <c r="C8"/>
      <c r="D8"/>
      <c r="E8"/>
      <c r="F8" s="57"/>
      <c r="G8" s="57"/>
      <c r="H8" s="57"/>
      <c r="I8" s="57"/>
      <c r="J8"/>
      <c r="K8"/>
      <c r="L8"/>
      <c r="M8"/>
      <c r="N8"/>
      <c r="O8"/>
      <c r="P8"/>
      <c r="Q8"/>
      <c r="R8"/>
      <c r="S8"/>
      <c r="T8"/>
      <c r="U8"/>
      <c r="V8"/>
      <c r="W8"/>
      <c r="X8"/>
      <c r="Y8"/>
      <c r="Z8"/>
      <c r="AA8"/>
      <c r="AB8"/>
      <c r="AC8"/>
      <c r="AD8"/>
      <c r="AE8"/>
      <c r="AF8"/>
      <c r="AG8"/>
      <c r="AH8"/>
      <c r="AI8"/>
      <c r="AJ8"/>
      <c r="AK8"/>
      <c r="AL8"/>
      <c r="AM8"/>
      <c r="AN8"/>
      <c r="AO8"/>
      <c r="AP8"/>
      <c r="AQ8"/>
      <c r="AR8"/>
      <c r="AS8"/>
      <c r="AT8"/>
      <c r="AU8"/>
      <c r="AV8"/>
      <c r="AW8"/>
      <c r="AX8"/>
      <c r="AY8"/>
      <c r="AZ8"/>
      <c r="BA8"/>
      <c r="BB8"/>
      <c r="BC8"/>
      <c r="BD8"/>
      <c r="BE8"/>
      <c r="BF8"/>
      <c r="BG8"/>
      <c r="BH8"/>
      <c r="BI8"/>
      <c r="BJ8"/>
      <c r="BK8"/>
      <c r="BL8"/>
    </row>
    <row r="9" spans="1:64" ht="16.5" customHeight="1">
      <c r="A9"/>
      <c r="B9"/>
      <c r="C9"/>
      <c r="D9"/>
      <c r="E9"/>
      <c r="F9" s="222" t="s">
        <v>61</v>
      </c>
      <c r="G9" s="222"/>
      <c r="H9" s="222"/>
      <c r="I9" s="222"/>
      <c r="J9" s="222" t="s">
        <v>62</v>
      </c>
      <c r="K9" s="222"/>
      <c r="L9" s="222"/>
      <c r="M9" s="222"/>
      <c r="N9" s="222" t="s">
        <v>63</v>
      </c>
      <c r="O9" s="222"/>
      <c r="P9" s="222"/>
      <c r="Q9"/>
      <c r="R9"/>
      <c r="S9"/>
      <c r="T9"/>
      <c r="U9"/>
      <c r="V9"/>
      <c r="W9"/>
      <c r="X9"/>
      <c r="Y9"/>
      <c r="Z9"/>
      <c r="AA9"/>
      <c r="AB9"/>
      <c r="AC9"/>
      <c r="AD9"/>
      <c r="AE9"/>
      <c r="AF9"/>
      <c r="AG9"/>
      <c r="AH9"/>
      <c r="AI9"/>
      <c r="AJ9"/>
      <c r="AK9"/>
      <c r="AL9"/>
      <c r="AM9"/>
      <c r="AN9"/>
      <c r="AO9"/>
      <c r="AP9"/>
      <c r="AQ9"/>
      <c r="AR9"/>
      <c r="AS9"/>
      <c r="AT9"/>
      <c r="AU9"/>
      <c r="AV9"/>
      <c r="AW9"/>
      <c r="AX9"/>
      <c r="AY9"/>
      <c r="AZ9"/>
      <c r="BA9"/>
      <c r="BB9"/>
      <c r="BC9"/>
      <c r="BD9"/>
      <c r="BE9"/>
      <c r="BF9"/>
      <c r="BG9"/>
      <c r="BH9"/>
      <c r="BI9"/>
      <c r="BJ9"/>
      <c r="BK9"/>
      <c r="BL9"/>
    </row>
    <row r="10" spans="1:64" ht="39">
      <c r="A10" s="58" t="s">
        <v>37</v>
      </c>
      <c r="B10" s="59" t="s">
        <v>64</v>
      </c>
      <c r="C10" s="59" t="s">
        <v>40</v>
      </c>
      <c r="D10" s="59" t="s">
        <v>43</v>
      </c>
      <c r="E10" s="59" t="s">
        <v>65</v>
      </c>
      <c r="F10" s="59" t="s">
        <v>66</v>
      </c>
      <c r="G10" s="59" t="s">
        <v>67</v>
      </c>
      <c r="H10" s="59" t="s">
        <v>68</v>
      </c>
      <c r="I10" s="59" t="s">
        <v>69</v>
      </c>
      <c r="J10" s="59" t="s">
        <v>70</v>
      </c>
      <c r="K10" s="59" t="s">
        <v>67</v>
      </c>
      <c r="L10" s="59" t="s">
        <v>71</v>
      </c>
      <c r="M10" s="59" t="s">
        <v>72</v>
      </c>
      <c r="N10" s="59" t="s">
        <v>73</v>
      </c>
      <c r="O10" s="59" t="s">
        <v>74</v>
      </c>
      <c r="P10" s="59" t="s">
        <v>75</v>
      </c>
      <c r="Q10" s="60"/>
      <c r="R10" s="60"/>
      <c r="S10" s="60"/>
      <c r="T10" s="60"/>
      <c r="U10" s="60"/>
      <c r="V10" s="60"/>
      <c r="W10" s="60"/>
      <c r="X10" s="60"/>
      <c r="Y10" s="60"/>
      <c r="Z10" s="60"/>
      <c r="AA10" s="60"/>
      <c r="AB10" s="60"/>
      <c r="AC10" s="60"/>
      <c r="AD10" s="60"/>
      <c r="AE10" s="60"/>
      <c r="AF10" s="60"/>
      <c r="AG10" s="60"/>
      <c r="AH10" s="60"/>
      <c r="AI10" s="60"/>
      <c r="AJ10" s="60"/>
      <c r="AK10" s="60"/>
      <c r="AL10" s="60"/>
      <c r="AM10" s="60"/>
      <c r="AN10" s="60"/>
      <c r="AO10" s="60"/>
      <c r="AP10" s="60"/>
      <c r="AQ10" s="60"/>
      <c r="AR10" s="60"/>
      <c r="AS10" s="60"/>
      <c r="AT10" s="60"/>
      <c r="AU10" s="60"/>
      <c r="AV10" s="60"/>
      <c r="AW10" s="60"/>
      <c r="AX10" s="60"/>
      <c r="AY10" s="60"/>
      <c r="AZ10" s="60"/>
      <c r="BA10" s="60"/>
      <c r="BB10" s="60"/>
      <c r="BC10" s="60"/>
      <c r="BD10" s="60"/>
      <c r="BE10" s="60"/>
      <c r="BF10" s="60"/>
      <c r="BG10" s="60"/>
      <c r="BH10" s="60"/>
      <c r="BI10" s="60"/>
      <c r="BJ10" s="60"/>
      <c r="BK10" s="60"/>
      <c r="BL10" s="60"/>
    </row>
    <row r="11" spans="1:64" ht="14">
      <c r="A11" s="217" t="s">
        <v>57</v>
      </c>
      <c r="B11" s="217"/>
      <c r="C11" s="217"/>
      <c r="D11" s="217"/>
      <c r="E11" s="217"/>
      <c r="F11" s="217"/>
      <c r="G11" s="217"/>
      <c r="H11" s="217"/>
      <c r="I11" s="217"/>
      <c r="J11" s="217"/>
      <c r="K11" s="217"/>
      <c r="L11" s="217"/>
      <c r="M11" s="217"/>
      <c r="N11" s="217"/>
      <c r="O11" s="217"/>
      <c r="P11" s="217"/>
      <c r="Q11" s="35"/>
      <c r="R11" s="35"/>
      <c r="S11" s="35"/>
      <c r="T11" s="35"/>
      <c r="U11" s="35"/>
      <c r="V11" s="35"/>
      <c r="W11" s="35"/>
      <c r="X11" s="35"/>
      <c r="Y11" s="35"/>
      <c r="Z11" s="35"/>
      <c r="AA11" s="35"/>
      <c r="AB11" s="35"/>
      <c r="AC11" s="35"/>
      <c r="AD11" s="35"/>
      <c r="AE11" s="35"/>
      <c r="AF11" s="35"/>
      <c r="AG11" s="35"/>
      <c r="AH11" s="35"/>
      <c r="AI11" s="35"/>
      <c r="AJ11" s="35"/>
      <c r="AK11" s="35"/>
      <c r="AL11" s="35"/>
      <c r="AM11" s="35"/>
      <c r="AN11" s="35"/>
      <c r="AO11" s="35"/>
      <c r="AP11" s="35"/>
      <c r="AQ11" s="35"/>
      <c r="AR11" s="35"/>
      <c r="AS11" s="35"/>
      <c r="AT11" s="35"/>
      <c r="AU11" s="35"/>
      <c r="AV11" s="35"/>
      <c r="AW11" s="35"/>
      <c r="AX11" s="35"/>
      <c r="AY11" s="35"/>
      <c r="AZ11" s="35"/>
      <c r="BA11" s="35"/>
      <c r="BB11" s="35"/>
      <c r="BC11" s="35"/>
      <c r="BD11" s="35"/>
      <c r="BE11" s="35"/>
      <c r="BF11" s="35"/>
      <c r="BG11" s="35"/>
      <c r="BH11" s="35"/>
      <c r="BI11" s="35"/>
      <c r="BJ11" s="35"/>
      <c r="BK11" s="35"/>
      <c r="BL11" s="35"/>
    </row>
    <row r="12" spans="1:64" ht="13">
      <c r="A12" s="36"/>
      <c r="B12" s="39"/>
      <c r="C12" s="39"/>
      <c r="D12" s="39"/>
      <c r="E12" s="39"/>
      <c r="F12" s="61"/>
      <c r="G12" s="61"/>
      <c r="H12" s="62" t="str">
        <f t="shared" ref="H12:H25" si="0">IF($F12*$G12=0,"",$F12*$G12)</f>
        <v/>
      </c>
      <c r="I12" s="62" t="str">
        <f t="shared" ref="I12:I25" si="1">IFERROR($H12/15,"")</f>
        <v/>
      </c>
      <c r="J12" s="61"/>
      <c r="K12" s="61"/>
      <c r="L12" s="62" t="str">
        <f t="shared" ref="L12:L25" si="2">IF($K12*$J12=0,"",$K12*$J12)</f>
        <v/>
      </c>
      <c r="M12" s="62" t="str">
        <f t="shared" ref="M12:M25" si="3">IFERROR($L12/15,"")</f>
        <v/>
      </c>
      <c r="N12" s="63" t="str">
        <f t="shared" ref="N12:N25" si="4">IFERROR((IF($B12="Serviço de Gerência",$I12*0.87027272,$I12*0.5)),"")</f>
        <v/>
      </c>
      <c r="O12" s="63" t="str">
        <f t="shared" ref="O12:O25" si="5">(IFERROR($M12/$I12,""))</f>
        <v/>
      </c>
      <c r="P12" s="64" t="str">
        <f t="shared" ref="P12:P25" si="6">IFERROR($N12*$O12,"")</f>
        <v/>
      </c>
    </row>
    <row r="13" spans="1:64" ht="13">
      <c r="A13" s="36"/>
      <c r="B13" s="39"/>
      <c r="C13" s="39"/>
      <c r="D13" s="39"/>
      <c r="E13" s="39"/>
      <c r="F13" s="61"/>
      <c r="G13" s="61"/>
      <c r="H13" s="62" t="str">
        <f t="shared" si="0"/>
        <v/>
      </c>
      <c r="I13" s="62" t="str">
        <f t="shared" si="1"/>
        <v/>
      </c>
      <c r="J13" s="61"/>
      <c r="K13" s="61"/>
      <c r="L13" s="62" t="str">
        <f t="shared" si="2"/>
        <v/>
      </c>
      <c r="M13" s="62" t="str">
        <f t="shared" si="3"/>
        <v/>
      </c>
      <c r="N13" s="63" t="str">
        <f t="shared" si="4"/>
        <v/>
      </c>
      <c r="O13" s="63" t="str">
        <f t="shared" si="5"/>
        <v/>
      </c>
      <c r="P13" s="64" t="str">
        <f t="shared" si="6"/>
        <v/>
      </c>
    </row>
    <row r="14" spans="1:64" ht="13">
      <c r="A14" s="36"/>
      <c r="B14" s="39"/>
      <c r="C14" s="39"/>
      <c r="D14" s="39"/>
      <c r="E14" s="39"/>
      <c r="F14" s="61"/>
      <c r="G14" s="61"/>
      <c r="H14" s="62" t="str">
        <f t="shared" si="0"/>
        <v/>
      </c>
      <c r="I14" s="62" t="str">
        <f t="shared" si="1"/>
        <v/>
      </c>
      <c r="J14" s="61"/>
      <c r="K14" s="61"/>
      <c r="L14" s="62" t="str">
        <f t="shared" si="2"/>
        <v/>
      </c>
      <c r="M14" s="62" t="str">
        <f t="shared" si="3"/>
        <v/>
      </c>
      <c r="N14" s="63" t="str">
        <f t="shared" si="4"/>
        <v/>
      </c>
      <c r="O14" s="63" t="str">
        <f t="shared" si="5"/>
        <v/>
      </c>
      <c r="P14" s="64" t="str">
        <f t="shared" si="6"/>
        <v/>
      </c>
    </row>
    <row r="15" spans="1:64" ht="13">
      <c r="A15" s="36"/>
      <c r="B15" s="39"/>
      <c r="C15" s="39"/>
      <c r="D15" s="39"/>
      <c r="E15" s="39"/>
      <c r="F15" s="61"/>
      <c r="G15" s="61"/>
      <c r="H15" s="62" t="str">
        <f t="shared" si="0"/>
        <v/>
      </c>
      <c r="I15" s="62" t="str">
        <f t="shared" si="1"/>
        <v/>
      </c>
      <c r="J15" s="61"/>
      <c r="K15" s="61"/>
      <c r="L15" s="62" t="str">
        <f t="shared" si="2"/>
        <v/>
      </c>
      <c r="M15" s="62" t="str">
        <f t="shared" si="3"/>
        <v/>
      </c>
      <c r="N15" s="63" t="str">
        <f t="shared" si="4"/>
        <v/>
      </c>
      <c r="O15" s="63" t="str">
        <f t="shared" si="5"/>
        <v/>
      </c>
      <c r="P15" s="64" t="str">
        <f t="shared" si="6"/>
        <v/>
      </c>
    </row>
    <row r="16" spans="1:64" ht="13">
      <c r="A16" s="36"/>
      <c r="B16" s="39"/>
      <c r="C16" s="39"/>
      <c r="D16" s="39"/>
      <c r="E16" s="39"/>
      <c r="F16" s="61"/>
      <c r="G16" s="61"/>
      <c r="H16" s="62" t="str">
        <f t="shared" si="0"/>
        <v/>
      </c>
      <c r="I16" s="62" t="str">
        <f t="shared" si="1"/>
        <v/>
      </c>
      <c r="J16" s="61"/>
      <c r="K16" s="61"/>
      <c r="L16" s="62" t="str">
        <f t="shared" si="2"/>
        <v/>
      </c>
      <c r="M16" s="62" t="str">
        <f t="shared" si="3"/>
        <v/>
      </c>
      <c r="N16" s="63" t="str">
        <f t="shared" si="4"/>
        <v/>
      </c>
      <c r="O16" s="63" t="str">
        <f t="shared" si="5"/>
        <v/>
      </c>
      <c r="P16" s="64" t="str">
        <f t="shared" si="6"/>
        <v/>
      </c>
    </row>
    <row r="17" spans="1:64" ht="13">
      <c r="A17" s="36"/>
      <c r="B17" s="39"/>
      <c r="C17" s="39"/>
      <c r="D17" s="39"/>
      <c r="E17" s="39"/>
      <c r="F17" s="61"/>
      <c r="G17" s="61"/>
      <c r="H17" s="62" t="str">
        <f t="shared" si="0"/>
        <v/>
      </c>
      <c r="I17" s="62" t="str">
        <f t="shared" si="1"/>
        <v/>
      </c>
      <c r="J17" s="61"/>
      <c r="K17" s="61"/>
      <c r="L17" s="62" t="str">
        <f t="shared" si="2"/>
        <v/>
      </c>
      <c r="M17" s="62" t="str">
        <f t="shared" si="3"/>
        <v/>
      </c>
      <c r="N17" s="63" t="str">
        <f t="shared" si="4"/>
        <v/>
      </c>
      <c r="O17" s="63" t="str">
        <f t="shared" si="5"/>
        <v/>
      </c>
      <c r="P17" s="64" t="str">
        <f t="shared" si="6"/>
        <v/>
      </c>
    </row>
    <row r="18" spans="1:64" ht="13">
      <c r="A18" s="36"/>
      <c r="B18" s="39"/>
      <c r="C18" s="39"/>
      <c r="D18" s="39"/>
      <c r="E18" s="39"/>
      <c r="F18" s="61"/>
      <c r="G18" s="61"/>
      <c r="H18" s="62" t="str">
        <f t="shared" si="0"/>
        <v/>
      </c>
      <c r="I18" s="62" t="str">
        <f t="shared" si="1"/>
        <v/>
      </c>
      <c r="J18" s="61"/>
      <c r="K18" s="61"/>
      <c r="L18" s="62" t="str">
        <f t="shared" si="2"/>
        <v/>
      </c>
      <c r="M18" s="62" t="str">
        <f t="shared" si="3"/>
        <v/>
      </c>
      <c r="N18" s="63" t="str">
        <f t="shared" si="4"/>
        <v/>
      </c>
      <c r="O18" s="63" t="str">
        <f t="shared" si="5"/>
        <v/>
      </c>
      <c r="P18" s="64" t="str">
        <f t="shared" si="6"/>
        <v/>
      </c>
    </row>
    <row r="19" spans="1:64" ht="13">
      <c r="A19" s="36"/>
      <c r="B19" s="39"/>
      <c r="C19" s="39"/>
      <c r="D19" s="39"/>
      <c r="E19" s="39"/>
      <c r="F19" s="61"/>
      <c r="G19" s="61"/>
      <c r="H19" s="62" t="str">
        <f t="shared" si="0"/>
        <v/>
      </c>
      <c r="I19" s="62" t="str">
        <f t="shared" si="1"/>
        <v/>
      </c>
      <c r="J19" s="61"/>
      <c r="K19" s="61"/>
      <c r="L19" s="62" t="str">
        <f t="shared" si="2"/>
        <v/>
      </c>
      <c r="M19" s="62" t="str">
        <f t="shared" si="3"/>
        <v/>
      </c>
      <c r="N19" s="63" t="str">
        <f t="shared" si="4"/>
        <v/>
      </c>
      <c r="O19" s="63" t="str">
        <f t="shared" si="5"/>
        <v/>
      </c>
      <c r="P19" s="64" t="str">
        <f t="shared" si="6"/>
        <v/>
      </c>
    </row>
    <row r="20" spans="1:64" ht="13">
      <c r="A20" s="36"/>
      <c r="B20" s="39"/>
      <c r="C20" s="39"/>
      <c r="D20" s="39"/>
      <c r="E20" s="39"/>
      <c r="F20" s="61"/>
      <c r="G20" s="61"/>
      <c r="H20" s="62" t="str">
        <f t="shared" si="0"/>
        <v/>
      </c>
      <c r="I20" s="62" t="str">
        <f t="shared" si="1"/>
        <v/>
      </c>
      <c r="J20" s="61"/>
      <c r="K20" s="61"/>
      <c r="L20" s="62" t="str">
        <f t="shared" si="2"/>
        <v/>
      </c>
      <c r="M20" s="62" t="str">
        <f t="shared" si="3"/>
        <v/>
      </c>
      <c r="N20" s="63" t="str">
        <f t="shared" si="4"/>
        <v/>
      </c>
      <c r="O20" s="63" t="str">
        <f t="shared" si="5"/>
        <v/>
      </c>
      <c r="P20" s="64" t="str">
        <f t="shared" si="6"/>
        <v/>
      </c>
    </row>
    <row r="21" spans="1:64" ht="13">
      <c r="A21" s="36"/>
      <c r="B21" s="39"/>
      <c r="C21" s="39"/>
      <c r="D21" s="39"/>
      <c r="E21" s="39"/>
      <c r="F21" s="61"/>
      <c r="G21" s="61"/>
      <c r="H21" s="62" t="str">
        <f t="shared" si="0"/>
        <v/>
      </c>
      <c r="I21" s="62" t="str">
        <f t="shared" si="1"/>
        <v/>
      </c>
      <c r="J21" s="61"/>
      <c r="K21" s="61"/>
      <c r="L21" s="62" t="str">
        <f t="shared" si="2"/>
        <v/>
      </c>
      <c r="M21" s="62" t="str">
        <f t="shared" si="3"/>
        <v/>
      </c>
      <c r="N21" s="63" t="str">
        <f t="shared" si="4"/>
        <v/>
      </c>
      <c r="O21" s="63" t="str">
        <f t="shared" si="5"/>
        <v/>
      </c>
      <c r="P21" s="64" t="str">
        <f t="shared" si="6"/>
        <v/>
      </c>
    </row>
    <row r="22" spans="1:64" ht="13">
      <c r="A22" s="36"/>
      <c r="B22" s="39"/>
      <c r="C22" s="39"/>
      <c r="D22" s="39"/>
      <c r="E22" s="39"/>
      <c r="F22" s="61"/>
      <c r="G22" s="61"/>
      <c r="H22" s="62" t="str">
        <f t="shared" si="0"/>
        <v/>
      </c>
      <c r="I22" s="62" t="str">
        <f t="shared" si="1"/>
        <v/>
      </c>
      <c r="J22" s="61"/>
      <c r="K22" s="61"/>
      <c r="L22" s="62" t="str">
        <f t="shared" si="2"/>
        <v/>
      </c>
      <c r="M22" s="62" t="str">
        <f t="shared" si="3"/>
        <v/>
      </c>
      <c r="N22" s="63" t="str">
        <f t="shared" si="4"/>
        <v/>
      </c>
      <c r="O22" s="63" t="str">
        <f t="shared" si="5"/>
        <v/>
      </c>
      <c r="P22" s="64" t="str">
        <f t="shared" si="6"/>
        <v/>
      </c>
    </row>
    <row r="23" spans="1:64" ht="13">
      <c r="A23" s="36"/>
      <c r="B23" s="39"/>
      <c r="C23" s="39"/>
      <c r="D23" s="39"/>
      <c r="E23" s="39"/>
      <c r="F23" s="61"/>
      <c r="G23" s="61"/>
      <c r="H23" s="62" t="str">
        <f t="shared" si="0"/>
        <v/>
      </c>
      <c r="I23" s="62" t="str">
        <f t="shared" si="1"/>
        <v/>
      </c>
      <c r="J23" s="61"/>
      <c r="K23" s="61"/>
      <c r="L23" s="62" t="str">
        <f t="shared" si="2"/>
        <v/>
      </c>
      <c r="M23" s="62" t="str">
        <f t="shared" si="3"/>
        <v/>
      </c>
      <c r="N23" s="63" t="str">
        <f t="shared" si="4"/>
        <v/>
      </c>
      <c r="O23" s="63" t="str">
        <f t="shared" si="5"/>
        <v/>
      </c>
      <c r="P23" s="64" t="str">
        <f t="shared" si="6"/>
        <v/>
      </c>
    </row>
    <row r="24" spans="1:64" ht="13">
      <c r="A24" s="36"/>
      <c r="B24" s="39"/>
      <c r="C24" s="39"/>
      <c r="D24" s="39"/>
      <c r="E24" s="39"/>
      <c r="F24" s="61"/>
      <c r="G24" s="61"/>
      <c r="H24" s="62" t="str">
        <f t="shared" si="0"/>
        <v/>
      </c>
      <c r="I24" s="62" t="str">
        <f t="shared" si="1"/>
        <v/>
      </c>
      <c r="J24" s="61"/>
      <c r="K24" s="61"/>
      <c r="L24" s="62" t="str">
        <f t="shared" si="2"/>
        <v/>
      </c>
      <c r="M24" s="62" t="str">
        <f t="shared" si="3"/>
        <v/>
      </c>
      <c r="N24" s="63" t="str">
        <f t="shared" si="4"/>
        <v/>
      </c>
      <c r="O24" s="63" t="str">
        <f t="shared" si="5"/>
        <v/>
      </c>
      <c r="P24" s="64" t="str">
        <f t="shared" si="6"/>
        <v/>
      </c>
    </row>
    <row r="25" spans="1:64" ht="13">
      <c r="A25" s="36"/>
      <c r="B25" s="39"/>
      <c r="C25" s="39"/>
      <c r="D25" s="39"/>
      <c r="E25" s="39"/>
      <c r="F25" s="61"/>
      <c r="G25" s="61"/>
      <c r="H25" s="62" t="str">
        <f t="shared" si="0"/>
        <v/>
      </c>
      <c r="I25" s="62" t="str">
        <f t="shared" si="1"/>
        <v/>
      </c>
      <c r="J25" s="61"/>
      <c r="K25" s="61"/>
      <c r="L25" s="62" t="str">
        <f t="shared" si="2"/>
        <v/>
      </c>
      <c r="M25" s="62" t="str">
        <f t="shared" si="3"/>
        <v/>
      </c>
      <c r="N25" s="63" t="str">
        <f t="shared" si="4"/>
        <v/>
      </c>
      <c r="O25" s="63" t="str">
        <f t="shared" si="5"/>
        <v/>
      </c>
      <c r="P25" s="64" t="str">
        <f t="shared" si="6"/>
        <v/>
      </c>
    </row>
    <row r="26" spans="1:64" ht="14">
      <c r="A26" s="217" t="s">
        <v>57</v>
      </c>
      <c r="B26" s="217"/>
      <c r="C26" s="217"/>
      <c r="D26" s="217"/>
      <c r="E26" s="217"/>
      <c r="F26" s="217"/>
      <c r="G26" s="217"/>
      <c r="H26" s="217"/>
      <c r="I26" s="217"/>
      <c r="J26" s="217"/>
      <c r="K26" s="217"/>
      <c r="L26" s="217"/>
      <c r="M26" s="217"/>
      <c r="N26" s="217"/>
      <c r="O26" s="217"/>
      <c r="P26" s="217"/>
      <c r="Q26" s="35"/>
      <c r="R26" s="35"/>
      <c r="S26" s="35"/>
      <c r="T26" s="35"/>
      <c r="U26" s="35"/>
      <c r="V26" s="35"/>
      <c r="W26" s="35"/>
      <c r="X26" s="35"/>
      <c r="Y26" s="35"/>
      <c r="Z26" s="35"/>
      <c r="AA26" s="35"/>
      <c r="AB26" s="35"/>
      <c r="AC26" s="35"/>
      <c r="AD26" s="35"/>
      <c r="AE26" s="35"/>
      <c r="AF26" s="35"/>
      <c r="AG26" s="35"/>
      <c r="AH26" s="35"/>
      <c r="AI26" s="35"/>
      <c r="AJ26" s="35"/>
      <c r="AK26" s="35"/>
      <c r="AL26" s="35"/>
      <c r="AM26" s="35"/>
      <c r="AN26" s="35"/>
      <c r="AO26" s="35"/>
      <c r="AP26" s="35"/>
      <c r="AQ26" s="35"/>
      <c r="AR26" s="35"/>
      <c r="AS26" s="35"/>
      <c r="AT26" s="35"/>
      <c r="AU26" s="35"/>
      <c r="AV26" s="35"/>
      <c r="AW26" s="35"/>
      <c r="AX26" s="35"/>
      <c r="AY26" s="35"/>
      <c r="AZ26" s="35"/>
      <c r="BA26" s="35"/>
      <c r="BB26" s="35"/>
      <c r="BC26" s="35"/>
      <c r="BD26" s="35"/>
      <c r="BE26" s="35"/>
      <c r="BF26" s="35"/>
      <c r="BG26" s="35"/>
      <c r="BH26" s="35"/>
      <c r="BI26" s="35"/>
      <c r="BJ26" s="35"/>
      <c r="BK26" s="35"/>
      <c r="BL26" s="35"/>
    </row>
    <row r="27" spans="1:64" ht="15.5">
      <c r="A27" s="48"/>
      <c r="B27" s="48"/>
      <c r="C27" s="48"/>
      <c r="D27" s="48"/>
      <c r="E27" s="48"/>
      <c r="F27" s="48"/>
      <c r="G27" s="48"/>
      <c r="H27"/>
      <c r="I27"/>
      <c r="K27"/>
      <c r="O27" s="65" t="s">
        <v>76</v>
      </c>
      <c r="P27" s="66">
        <f>SUM($P12:$P25)</f>
        <v>0</v>
      </c>
    </row>
  </sheetData>
  <mergeCells count="17">
    <mergeCell ref="O6:P6"/>
    <mergeCell ref="A26:P26"/>
    <mergeCell ref="A7:I7"/>
    <mergeCell ref="F9:I9"/>
    <mergeCell ref="J9:M9"/>
    <mergeCell ref="N9:P9"/>
    <mergeCell ref="A11:P11"/>
    <mergeCell ref="C1:P1"/>
    <mergeCell ref="L3:N3"/>
    <mergeCell ref="O3:P3"/>
    <mergeCell ref="L4:N4"/>
    <mergeCell ref="O4:P4"/>
    <mergeCell ref="A5:B6"/>
    <mergeCell ref="C5:D6"/>
    <mergeCell ref="L5:N5"/>
    <mergeCell ref="O5:P5"/>
    <mergeCell ref="L6:N6"/>
  </mergeCells>
  <dataValidations count="1">
    <dataValidation type="list" operator="equal" allowBlank="1" showErrorMessage="1" sqref="B12:B25">
      <formula1>"Serviço de Atendimento,Serviço de Gerência,Serviço Técnico"</formula1>
      <formula2>0</formula2>
    </dataValidation>
  </dataValidations>
  <pageMargins left="0.78749999999999998" right="0.78749999999999998" top="1.0249999999999999" bottom="1.0249999999999999" header="0.78749999999999998" footer="0.78749999999999998"/>
  <pageSetup paperSize="9" firstPageNumber="0" orientation="portrait" horizontalDpi="300" verticalDpi="300"/>
  <headerFooter>
    <oddHeader>&amp;C&amp;A</oddHeader>
    <oddFooter>&amp;CPágina &amp;P</oddFooter>
  </headerFooter>
  <drawing r:id="rId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BL384"/>
  <sheetViews>
    <sheetView zoomScaleNormal="100" workbookViewId="0">
      <selection activeCell="J382" sqref="J382"/>
    </sheetView>
  </sheetViews>
  <sheetFormatPr defaultColWidth="8.90625" defaultRowHeight="12.5"/>
  <cols>
    <col min="1" max="1" width="5.54296875" style="18" customWidth="1"/>
    <col min="2" max="2" width="41.90625" style="19" customWidth="1"/>
    <col min="3" max="3" width="8.36328125" style="19" customWidth="1"/>
    <col min="4" max="4" width="7.54296875" style="20" customWidth="1"/>
    <col min="5" max="5" width="9.6328125" style="20" customWidth="1"/>
    <col min="6" max="6" width="11.54296875" style="20" customWidth="1"/>
    <col min="7" max="7" width="16.453125" style="20" customWidth="1"/>
    <col min="8" max="8" width="38.36328125" style="21" customWidth="1"/>
    <col min="9" max="9" width="8.08984375" style="18" customWidth="1"/>
    <col min="10" max="10" width="20" style="18" customWidth="1"/>
    <col min="11" max="11" width="16.54296875" style="19" customWidth="1"/>
    <col min="12" max="12" width="10.36328125" style="19" customWidth="1"/>
    <col min="13" max="13" width="7.6328125" style="18" hidden="1" customWidth="1"/>
    <col min="14" max="15" width="9.08984375" style="19" customWidth="1"/>
    <col min="16" max="16" width="9.6328125" style="19" customWidth="1"/>
    <col min="17" max="25" width="9.08984375" style="19" customWidth="1"/>
    <col min="26" max="64" width="8.90625" style="19" customWidth="1"/>
  </cols>
  <sheetData>
    <row r="1" spans="1:64" ht="69" customHeight="1">
      <c r="A1" s="22" t="str">
        <f>Resumo!A1</f>
        <v>Template V.1.6</v>
      </c>
      <c r="B1" s="22"/>
      <c r="C1" s="213" t="s">
        <v>77</v>
      </c>
      <c r="D1" s="213"/>
      <c r="E1" s="213"/>
      <c r="F1" s="213"/>
      <c r="G1" s="213"/>
      <c r="H1" s="213"/>
      <c r="I1" s="213"/>
      <c r="J1" s="213"/>
      <c r="K1" s="213"/>
      <c r="L1" s="213"/>
      <c r="M1" s="67"/>
    </row>
    <row r="2" spans="1:64" ht="9" customHeight="1">
      <c r="A2" s="23"/>
      <c r="B2" s="23"/>
      <c r="C2" s="24"/>
      <c r="D2" s="24"/>
      <c r="E2" s="24"/>
      <c r="F2" s="24"/>
      <c r="G2" s="24"/>
      <c r="H2" s="24"/>
      <c r="I2" s="24"/>
      <c r="J2" s="24"/>
      <c r="K2" s="24"/>
      <c r="L2" s="24"/>
      <c r="M2" s="24"/>
    </row>
    <row r="3" spans="1:64" ht="18.649999999999999" customHeight="1">
      <c r="A3" s="19"/>
      <c r="B3" s="25"/>
      <c r="C3" s="24"/>
      <c r="D3" s="24"/>
      <c r="E3" s="24"/>
      <c r="F3" s="24"/>
      <c r="G3" s="24"/>
      <c r="H3" s="24"/>
      <c r="I3" s="214" t="s">
        <v>8</v>
      </c>
      <c r="J3" s="214"/>
      <c r="K3" s="216"/>
      <c r="L3" s="216"/>
      <c r="M3" s="19"/>
    </row>
    <row r="4" spans="1:64" ht="18.649999999999999" customHeight="1">
      <c r="A4" s="19"/>
      <c r="B4" s="25"/>
      <c r="C4" s="24"/>
      <c r="D4" s="24"/>
      <c r="E4" s="24"/>
      <c r="F4" s="24"/>
      <c r="G4" s="24"/>
      <c r="H4" s="24"/>
      <c r="I4" s="214" t="s">
        <v>9</v>
      </c>
      <c r="J4" s="214"/>
      <c r="K4" s="216"/>
      <c r="L4" s="216"/>
      <c r="M4" s="19"/>
    </row>
    <row r="5" spans="1:64" ht="18.649999999999999" customHeight="1">
      <c r="A5" s="214" t="s">
        <v>36</v>
      </c>
      <c r="B5" s="214"/>
      <c r="C5" s="214"/>
      <c r="D5" s="218" t="str">
        <f>TEXT(K384,"#.##0,0#")</f>
        <v>0,0</v>
      </c>
      <c r="E5" s="218"/>
      <c r="F5" s="24"/>
      <c r="G5" s="24"/>
      <c r="H5" s="24"/>
      <c r="I5" s="214" t="s">
        <v>10</v>
      </c>
      <c r="J5" s="214"/>
      <c r="K5" s="216"/>
      <c r="L5" s="216"/>
      <c r="M5" s="19"/>
    </row>
    <row r="6" spans="1:64" ht="18.649999999999999" customHeight="1">
      <c r="A6" s="214"/>
      <c r="B6" s="214"/>
      <c r="C6" s="214"/>
      <c r="D6" s="218"/>
      <c r="E6" s="218"/>
      <c r="F6" s="24"/>
      <c r="G6" s="24"/>
      <c r="H6" s="24"/>
      <c r="I6" s="214" t="s">
        <v>11</v>
      </c>
      <c r="J6" s="214"/>
      <c r="K6" s="216"/>
      <c r="L6" s="216"/>
      <c r="M6" s="19"/>
    </row>
    <row r="7" spans="1:64" ht="9" customHeight="1">
      <c r="A7" s="27"/>
      <c r="B7" s="28"/>
      <c r="C7" s="28"/>
      <c r="D7" s="28"/>
      <c r="E7" s="28"/>
      <c r="F7" s="28"/>
      <c r="G7" s="28"/>
      <c r="H7" s="28"/>
      <c r="I7" s="28"/>
      <c r="J7" s="28"/>
      <c r="K7" s="28"/>
      <c r="L7" s="28"/>
      <c r="M7" s="28"/>
    </row>
    <row r="8" spans="1:64" ht="27.65" customHeight="1">
      <c r="A8" s="29" t="s">
        <v>37</v>
      </c>
      <c r="B8" s="30" t="s">
        <v>38</v>
      </c>
      <c r="C8" s="30" t="s">
        <v>39</v>
      </c>
      <c r="D8" s="30" t="s">
        <v>40</v>
      </c>
      <c r="E8" s="30" t="s">
        <v>41</v>
      </c>
      <c r="F8" s="30" t="s">
        <v>42</v>
      </c>
      <c r="G8" s="30" t="s">
        <v>43</v>
      </c>
      <c r="H8" s="31" t="s">
        <v>44</v>
      </c>
      <c r="I8" s="32" t="s">
        <v>45</v>
      </c>
      <c r="J8" s="33" t="s">
        <v>46</v>
      </c>
      <c r="K8" s="33" t="s">
        <v>55</v>
      </c>
      <c r="L8" s="33" t="s">
        <v>56</v>
      </c>
      <c r="M8" s="32" t="s">
        <v>49</v>
      </c>
      <c r="N8" s="34"/>
      <c r="O8" s="34"/>
      <c r="P8" s="34"/>
      <c r="Q8" s="34"/>
      <c r="R8" s="34"/>
      <c r="S8" s="34"/>
      <c r="T8" s="34"/>
      <c r="U8" s="34"/>
      <c r="V8" s="34"/>
      <c r="W8" s="34"/>
      <c r="X8" s="34"/>
      <c r="Y8" s="34"/>
      <c r="Z8" s="34"/>
      <c r="AA8" s="34"/>
      <c r="AB8" s="34"/>
      <c r="AC8" s="34"/>
      <c r="AD8" s="34"/>
      <c r="AE8" s="34"/>
      <c r="AF8" s="34"/>
      <c r="AG8" s="34"/>
      <c r="AH8" s="34"/>
      <c r="AI8" s="34"/>
      <c r="AJ8" s="34"/>
      <c r="AK8" s="34"/>
      <c r="AL8" s="34"/>
      <c r="AM8" s="34"/>
      <c r="AN8" s="34"/>
      <c r="AO8" s="34"/>
      <c r="AP8" s="34"/>
      <c r="AQ8" s="34"/>
      <c r="AR8" s="34"/>
      <c r="AS8" s="34"/>
      <c r="AT8" s="34"/>
      <c r="AU8" s="34"/>
      <c r="AV8" s="34"/>
      <c r="AW8" s="34"/>
      <c r="AX8" s="34"/>
      <c r="AY8" s="34"/>
      <c r="AZ8" s="34"/>
      <c r="BA8" s="34"/>
      <c r="BB8" s="34"/>
      <c r="BC8" s="34"/>
      <c r="BD8" s="34"/>
      <c r="BE8" s="34"/>
      <c r="BF8" s="34"/>
      <c r="BG8" s="34"/>
      <c r="BH8" s="34"/>
      <c r="BI8" s="34"/>
      <c r="BJ8" s="34"/>
      <c r="BK8" s="34"/>
      <c r="BL8" s="34"/>
    </row>
    <row r="9" spans="1:64" ht="14">
      <c r="A9" s="217" t="s">
        <v>57</v>
      </c>
      <c r="B9" s="217"/>
      <c r="C9" s="217"/>
      <c r="D9" s="217"/>
      <c r="E9" s="217"/>
      <c r="F9" s="217"/>
      <c r="G9" s="217"/>
      <c r="H9" s="217"/>
      <c r="I9" s="217"/>
      <c r="J9" s="217"/>
      <c r="K9" s="217"/>
      <c r="L9" s="217"/>
      <c r="M9" s="68"/>
      <c r="N9" s="35"/>
      <c r="O9" s="35"/>
      <c r="P9" s="35"/>
      <c r="Q9" s="35"/>
      <c r="R9" s="35"/>
      <c r="S9" s="35"/>
      <c r="T9" s="35"/>
      <c r="U9" s="35"/>
      <c r="V9" s="35"/>
      <c r="W9" s="35"/>
      <c r="X9" s="35"/>
      <c r="Y9" s="35"/>
      <c r="Z9" s="35"/>
      <c r="AA9" s="35"/>
      <c r="AB9" s="35"/>
      <c r="AC9" s="35"/>
      <c r="AD9" s="35"/>
      <c r="AE9" s="35"/>
      <c r="AF9" s="35"/>
      <c r="AG9" s="35"/>
      <c r="AH9" s="35"/>
      <c r="AI9" s="35"/>
      <c r="AJ9" s="35"/>
      <c r="AK9" s="35"/>
      <c r="AL9" s="35"/>
      <c r="AM9" s="35"/>
      <c r="AN9" s="35"/>
      <c r="AO9" s="35"/>
      <c r="AP9" s="35"/>
      <c r="AQ9" s="35"/>
      <c r="AR9" s="35"/>
      <c r="AS9" s="35"/>
      <c r="AT9" s="35"/>
      <c r="AU9" s="35"/>
      <c r="AV9" s="35"/>
      <c r="AW9" s="35"/>
      <c r="AX9" s="35"/>
      <c r="AY9" s="35"/>
      <c r="AZ9" s="35"/>
      <c r="BA9" s="35"/>
      <c r="BB9" s="35"/>
      <c r="BC9" s="35"/>
      <c r="BD9" s="35"/>
      <c r="BE9" s="35"/>
      <c r="BF9" s="35"/>
      <c r="BG9" s="35"/>
      <c r="BH9" s="35"/>
      <c r="BI9" s="35"/>
      <c r="BJ9" s="35"/>
      <c r="BK9" s="35"/>
      <c r="BL9" s="35"/>
    </row>
    <row r="10" spans="1:64" ht="14">
      <c r="A10" s="36"/>
      <c r="B10" s="37"/>
      <c r="C10" s="38">
        <f t="shared" ref="C10:C73" si="0">IF($B10&lt;&gt;"",VLOOKUP($B10,Matriz_INM,2,0),0)</f>
        <v>0</v>
      </c>
      <c r="D10" s="39"/>
      <c r="E10" s="39"/>
      <c r="F10" s="39"/>
      <c r="G10" s="39"/>
      <c r="H10" s="40"/>
      <c r="I10" s="41"/>
      <c r="J10" s="39"/>
      <c r="K10" s="43">
        <f t="shared" ref="K10:K73" si="1">IF(M10="%",(IF($J10="EE",4,IF($J10="CE",4,IF($J10="SE",5,IF($J10="ALI",7,IF($J10="AIE",5,0))))))*$C10,$C10*$I10)</f>
        <v>0</v>
      </c>
      <c r="L10" s="39"/>
      <c r="M10" s="42" t="str">
        <f t="shared" ref="M10:M73" si="2">IFERROR(VLOOKUP($B10,Matriz_INM,3,0),"")</f>
        <v/>
      </c>
      <c r="N10" s="35"/>
      <c r="O10" s="35"/>
      <c r="P10" s="35"/>
      <c r="Q10" s="35"/>
      <c r="R10" s="35"/>
      <c r="S10" s="35"/>
      <c r="T10" s="35"/>
      <c r="U10" s="35"/>
      <c r="V10" s="35"/>
      <c r="W10" s="35"/>
      <c r="X10" s="35"/>
      <c r="Y10" s="35"/>
      <c r="Z10" s="35"/>
      <c r="AA10" s="35"/>
      <c r="AB10" s="35"/>
      <c r="AC10" s="35"/>
      <c r="AD10" s="35"/>
      <c r="AE10" s="35"/>
      <c r="AF10" s="35"/>
      <c r="AG10" s="35"/>
      <c r="AH10" s="35"/>
      <c r="AI10" s="35"/>
      <c r="AJ10" s="35"/>
      <c r="AK10" s="35"/>
      <c r="AL10" s="35"/>
      <c r="AM10" s="35"/>
      <c r="AN10" s="35"/>
      <c r="AO10" s="35"/>
      <c r="AP10" s="35"/>
      <c r="AQ10" s="35"/>
      <c r="AR10" s="35"/>
      <c r="AS10" s="35"/>
      <c r="AT10" s="35"/>
      <c r="AU10" s="35"/>
      <c r="AV10" s="35"/>
      <c r="AW10" s="35"/>
      <c r="AX10" s="35"/>
      <c r="AY10" s="35"/>
      <c r="AZ10" s="35"/>
      <c r="BA10" s="35"/>
      <c r="BB10" s="35"/>
      <c r="BC10" s="35"/>
      <c r="BD10" s="35"/>
      <c r="BE10" s="35"/>
      <c r="BF10" s="35"/>
      <c r="BG10" s="35"/>
      <c r="BH10" s="35"/>
      <c r="BI10" s="35"/>
      <c r="BJ10" s="35"/>
      <c r="BK10" s="35"/>
      <c r="BL10" s="35"/>
    </row>
    <row r="11" spans="1:64" ht="14">
      <c r="A11" s="36"/>
      <c r="B11" s="37"/>
      <c r="C11" s="38">
        <f t="shared" si="0"/>
        <v>0</v>
      </c>
      <c r="D11" s="39"/>
      <c r="E11" s="39"/>
      <c r="F11" s="39"/>
      <c r="G11" s="39"/>
      <c r="H11" s="40"/>
      <c r="I11" s="41"/>
      <c r="J11" s="39"/>
      <c r="K11" s="43">
        <f t="shared" si="1"/>
        <v>0</v>
      </c>
      <c r="L11" s="39"/>
      <c r="M11" s="42" t="str">
        <f t="shared" si="2"/>
        <v/>
      </c>
      <c r="N11" s="35"/>
      <c r="O11" s="35"/>
      <c r="P11" s="35"/>
      <c r="Q11" s="35"/>
      <c r="R11" s="35"/>
      <c r="S11" s="35"/>
      <c r="T11" s="35"/>
      <c r="U11" s="35"/>
      <c r="V11" s="35"/>
      <c r="W11" s="35"/>
      <c r="X11" s="35"/>
      <c r="Y11" s="35"/>
      <c r="Z11" s="35"/>
      <c r="AA11" s="35"/>
      <c r="AB11" s="35"/>
      <c r="AC11" s="35"/>
      <c r="AD11" s="35"/>
      <c r="AE11" s="35"/>
      <c r="AF11" s="35"/>
      <c r="AG11" s="35"/>
      <c r="AH11" s="35"/>
      <c r="AI11" s="35"/>
      <c r="AJ11" s="35"/>
      <c r="AK11" s="35"/>
      <c r="AL11" s="35"/>
      <c r="AM11" s="35"/>
      <c r="AN11" s="35"/>
      <c r="AO11" s="35"/>
      <c r="AP11" s="35"/>
      <c r="AQ11" s="35"/>
      <c r="AR11" s="35"/>
      <c r="AS11" s="35"/>
      <c r="AT11" s="35"/>
      <c r="AU11" s="35"/>
      <c r="AV11" s="35"/>
      <c r="AW11" s="35"/>
      <c r="AX11" s="35"/>
      <c r="AY11" s="35"/>
      <c r="AZ11" s="35"/>
      <c r="BA11" s="35"/>
      <c r="BB11" s="35"/>
      <c r="BC11" s="35"/>
      <c r="BD11" s="35"/>
      <c r="BE11" s="35"/>
      <c r="BF11" s="35"/>
      <c r="BG11" s="35"/>
      <c r="BH11" s="35"/>
      <c r="BI11" s="35"/>
      <c r="BJ11" s="35"/>
      <c r="BK11" s="35"/>
      <c r="BL11" s="35"/>
    </row>
    <row r="12" spans="1:64" ht="14">
      <c r="A12" s="36"/>
      <c r="B12" s="37"/>
      <c r="C12" s="38">
        <f t="shared" si="0"/>
        <v>0</v>
      </c>
      <c r="D12" s="39"/>
      <c r="E12" s="39"/>
      <c r="F12" s="39"/>
      <c r="G12" s="39"/>
      <c r="H12" s="40"/>
      <c r="I12" s="41"/>
      <c r="J12" s="39"/>
      <c r="K12" s="43">
        <f t="shared" si="1"/>
        <v>0</v>
      </c>
      <c r="L12" s="39"/>
      <c r="M12" s="42" t="str">
        <f t="shared" si="2"/>
        <v/>
      </c>
      <c r="N12" s="35"/>
      <c r="O12" s="35"/>
      <c r="P12" s="35"/>
      <c r="Q12" s="35"/>
      <c r="R12" s="35"/>
      <c r="S12" s="35"/>
      <c r="T12" s="35"/>
      <c r="U12" s="35"/>
      <c r="V12" s="35"/>
      <c r="W12" s="35"/>
      <c r="X12" s="35"/>
      <c r="Y12" s="35"/>
      <c r="Z12" s="35"/>
      <c r="AA12" s="35"/>
      <c r="AB12" s="35"/>
      <c r="AC12" s="35"/>
      <c r="AD12" s="35"/>
      <c r="AE12" s="35"/>
      <c r="AF12" s="35"/>
      <c r="AG12" s="35"/>
      <c r="AH12" s="35"/>
      <c r="AI12" s="35"/>
      <c r="AJ12" s="35"/>
      <c r="AK12" s="35"/>
      <c r="AL12" s="35"/>
      <c r="AM12" s="35"/>
      <c r="AN12" s="35"/>
      <c r="AO12" s="35"/>
      <c r="AP12" s="35"/>
      <c r="AQ12" s="35"/>
      <c r="AR12" s="35"/>
      <c r="AS12" s="35"/>
      <c r="AT12" s="35"/>
      <c r="AU12" s="35"/>
      <c r="AV12" s="35"/>
      <c r="AW12" s="35"/>
      <c r="AX12" s="35"/>
      <c r="AY12" s="35"/>
      <c r="AZ12" s="35"/>
      <c r="BA12" s="35"/>
      <c r="BB12" s="35"/>
      <c r="BC12" s="35"/>
      <c r="BD12" s="35"/>
      <c r="BE12" s="35"/>
      <c r="BF12" s="35"/>
      <c r="BG12" s="35"/>
      <c r="BH12" s="35"/>
      <c r="BI12" s="35"/>
      <c r="BJ12" s="35"/>
      <c r="BK12" s="35"/>
      <c r="BL12" s="35"/>
    </row>
    <row r="13" spans="1:64" ht="14">
      <c r="A13" s="36"/>
      <c r="B13" s="37"/>
      <c r="C13" s="38">
        <f t="shared" si="0"/>
        <v>0</v>
      </c>
      <c r="D13" s="39"/>
      <c r="E13" s="39"/>
      <c r="F13" s="39"/>
      <c r="G13" s="39"/>
      <c r="H13" s="40"/>
      <c r="I13" s="41"/>
      <c r="J13" s="39"/>
      <c r="K13" s="43">
        <f t="shared" si="1"/>
        <v>0</v>
      </c>
      <c r="L13" s="39"/>
      <c r="M13" s="42" t="str">
        <f t="shared" si="2"/>
        <v/>
      </c>
      <c r="N13" s="35"/>
      <c r="O13" s="35"/>
      <c r="P13" s="35"/>
      <c r="Q13" s="35"/>
      <c r="R13" s="35"/>
      <c r="S13" s="35"/>
      <c r="T13" s="35"/>
      <c r="U13" s="35"/>
      <c r="V13" s="35"/>
      <c r="W13" s="35"/>
      <c r="X13" s="35"/>
      <c r="Y13" s="35"/>
      <c r="Z13" s="35"/>
      <c r="AA13" s="35"/>
      <c r="AB13" s="35"/>
      <c r="AC13" s="35"/>
      <c r="AD13" s="35"/>
      <c r="AE13" s="35"/>
      <c r="AF13" s="35"/>
      <c r="AG13" s="35"/>
      <c r="AH13" s="35"/>
      <c r="AI13" s="35"/>
      <c r="AJ13" s="35"/>
      <c r="AK13" s="35"/>
      <c r="AL13" s="35"/>
      <c r="AM13" s="35"/>
      <c r="AN13" s="35"/>
      <c r="AO13" s="35"/>
      <c r="AP13" s="35"/>
      <c r="AQ13" s="35"/>
      <c r="AR13" s="35"/>
      <c r="AS13" s="35"/>
      <c r="AT13" s="35"/>
      <c r="AU13" s="35"/>
      <c r="AV13" s="35"/>
      <c r="AW13" s="35"/>
      <c r="AX13" s="35"/>
      <c r="AY13" s="35"/>
      <c r="AZ13" s="35"/>
      <c r="BA13" s="35"/>
      <c r="BB13" s="35"/>
      <c r="BC13" s="35"/>
      <c r="BD13" s="35"/>
      <c r="BE13" s="35"/>
      <c r="BF13" s="35"/>
      <c r="BG13" s="35"/>
      <c r="BH13" s="35"/>
      <c r="BI13" s="35"/>
      <c r="BJ13" s="35"/>
      <c r="BK13" s="35"/>
      <c r="BL13" s="35"/>
    </row>
    <row r="14" spans="1:64" ht="14">
      <c r="A14" s="36"/>
      <c r="B14" s="37"/>
      <c r="C14" s="38">
        <f t="shared" si="0"/>
        <v>0</v>
      </c>
      <c r="D14" s="39"/>
      <c r="E14" s="39"/>
      <c r="F14" s="39"/>
      <c r="G14" s="39"/>
      <c r="H14" s="40"/>
      <c r="I14" s="41"/>
      <c r="J14" s="39"/>
      <c r="K14" s="43">
        <f t="shared" si="1"/>
        <v>0</v>
      </c>
      <c r="L14" s="39"/>
      <c r="M14" s="42" t="str">
        <f t="shared" si="2"/>
        <v/>
      </c>
      <c r="N14" s="35"/>
      <c r="O14" s="35"/>
      <c r="P14" s="35"/>
      <c r="Q14" s="35"/>
      <c r="R14" s="35"/>
      <c r="S14" s="35"/>
      <c r="T14" s="35"/>
      <c r="U14" s="35"/>
      <c r="V14" s="35"/>
      <c r="W14" s="35"/>
      <c r="X14" s="35"/>
      <c r="Y14" s="35"/>
      <c r="Z14" s="35"/>
      <c r="AA14" s="35"/>
      <c r="AB14" s="35"/>
      <c r="AC14" s="35"/>
      <c r="AD14" s="35"/>
      <c r="AE14" s="35"/>
      <c r="AF14" s="35"/>
      <c r="AG14" s="35"/>
      <c r="AH14" s="35"/>
      <c r="AI14" s="35"/>
      <c r="AJ14" s="35"/>
      <c r="AK14" s="35"/>
      <c r="AL14" s="35"/>
      <c r="AM14" s="35"/>
      <c r="AN14" s="35"/>
      <c r="AO14" s="35"/>
      <c r="AP14" s="35"/>
      <c r="AQ14" s="35"/>
      <c r="AR14" s="35"/>
      <c r="AS14" s="35"/>
      <c r="AT14" s="35"/>
      <c r="AU14" s="35"/>
      <c r="AV14" s="35"/>
      <c r="AW14" s="35"/>
      <c r="AX14" s="35"/>
      <c r="AY14" s="35"/>
      <c r="AZ14" s="35"/>
      <c r="BA14" s="35"/>
      <c r="BB14" s="35"/>
      <c r="BC14" s="35"/>
      <c r="BD14" s="35"/>
      <c r="BE14" s="35"/>
      <c r="BF14" s="35"/>
      <c r="BG14" s="35"/>
      <c r="BH14" s="35"/>
      <c r="BI14" s="35"/>
      <c r="BJ14" s="35"/>
      <c r="BK14" s="35"/>
      <c r="BL14" s="35"/>
    </row>
    <row r="15" spans="1:64" ht="14">
      <c r="A15" s="36"/>
      <c r="B15" s="37"/>
      <c r="C15" s="38">
        <f t="shared" si="0"/>
        <v>0</v>
      </c>
      <c r="D15" s="39"/>
      <c r="E15" s="39"/>
      <c r="F15" s="39"/>
      <c r="G15" s="39"/>
      <c r="H15" s="40"/>
      <c r="I15" s="41"/>
      <c r="J15" s="39"/>
      <c r="K15" s="43">
        <f t="shared" si="1"/>
        <v>0</v>
      </c>
      <c r="L15" s="39"/>
      <c r="M15" s="42" t="str">
        <f t="shared" si="2"/>
        <v/>
      </c>
      <c r="N15" s="35"/>
      <c r="O15" s="35"/>
      <c r="P15" s="35"/>
      <c r="Q15" s="35"/>
      <c r="R15" s="35"/>
      <c r="S15" s="35"/>
      <c r="T15" s="35"/>
      <c r="U15" s="35"/>
      <c r="V15" s="35"/>
      <c r="W15" s="35"/>
      <c r="X15" s="35"/>
      <c r="Y15" s="35"/>
      <c r="Z15" s="35"/>
      <c r="AA15" s="35"/>
      <c r="AB15" s="35"/>
      <c r="AC15" s="35"/>
      <c r="AD15" s="35"/>
      <c r="AE15" s="35"/>
      <c r="AF15" s="35"/>
      <c r="AG15" s="35"/>
      <c r="AH15" s="35"/>
      <c r="AI15" s="35"/>
      <c r="AJ15" s="35"/>
      <c r="AK15" s="35"/>
      <c r="AL15" s="35"/>
      <c r="AM15" s="35"/>
      <c r="AN15" s="35"/>
      <c r="AO15" s="35"/>
      <c r="AP15" s="35"/>
      <c r="AQ15" s="35"/>
      <c r="AR15" s="35"/>
      <c r="AS15" s="35"/>
      <c r="AT15" s="35"/>
      <c r="AU15" s="35"/>
      <c r="AV15" s="35"/>
      <c r="AW15" s="35"/>
      <c r="AX15" s="35"/>
      <c r="AY15" s="35"/>
      <c r="AZ15" s="35"/>
      <c r="BA15" s="35"/>
      <c r="BB15" s="35"/>
      <c r="BC15" s="35"/>
      <c r="BD15" s="35"/>
      <c r="BE15" s="35"/>
      <c r="BF15" s="35"/>
      <c r="BG15" s="35"/>
      <c r="BH15" s="35"/>
      <c r="BI15" s="35"/>
      <c r="BJ15" s="35"/>
      <c r="BK15" s="35"/>
      <c r="BL15" s="35"/>
    </row>
    <row r="16" spans="1:64" ht="14">
      <c r="A16" s="36"/>
      <c r="B16" s="37"/>
      <c r="C16" s="38">
        <f t="shared" si="0"/>
        <v>0</v>
      </c>
      <c r="D16" s="39"/>
      <c r="E16" s="39"/>
      <c r="F16" s="39"/>
      <c r="G16" s="39"/>
      <c r="H16" s="40"/>
      <c r="I16" s="41"/>
      <c r="J16" s="39"/>
      <c r="K16" s="43">
        <f t="shared" si="1"/>
        <v>0</v>
      </c>
      <c r="L16" s="39"/>
      <c r="M16" s="42" t="str">
        <f t="shared" si="2"/>
        <v/>
      </c>
      <c r="N16" s="35"/>
      <c r="O16" s="35"/>
      <c r="P16" s="35"/>
      <c r="Q16" s="35"/>
      <c r="R16" s="35"/>
      <c r="S16" s="35"/>
      <c r="T16" s="35"/>
      <c r="U16" s="35"/>
      <c r="V16" s="35"/>
      <c r="W16" s="35"/>
      <c r="X16" s="35"/>
      <c r="Y16" s="35"/>
      <c r="Z16" s="35"/>
      <c r="AA16" s="35"/>
      <c r="AB16" s="35"/>
      <c r="AC16" s="35"/>
      <c r="AD16" s="35"/>
      <c r="AE16" s="35"/>
      <c r="AF16" s="35"/>
      <c r="AG16" s="35"/>
      <c r="AH16" s="35"/>
      <c r="AI16" s="35"/>
      <c r="AJ16" s="35"/>
      <c r="AK16" s="35"/>
      <c r="AL16" s="35"/>
      <c r="AM16" s="35"/>
      <c r="AN16" s="35"/>
      <c r="AO16" s="35"/>
      <c r="AP16" s="35"/>
      <c r="AQ16" s="35"/>
      <c r="AR16" s="35"/>
      <c r="AS16" s="35"/>
      <c r="AT16" s="35"/>
      <c r="AU16" s="35"/>
      <c r="AV16" s="35"/>
      <c r="AW16" s="35"/>
      <c r="AX16" s="35"/>
      <c r="AY16" s="35"/>
      <c r="AZ16" s="35"/>
      <c r="BA16" s="35"/>
      <c r="BB16" s="35"/>
      <c r="BC16" s="35"/>
      <c r="BD16" s="35"/>
      <c r="BE16" s="35"/>
      <c r="BF16" s="35"/>
      <c r="BG16" s="35"/>
      <c r="BH16" s="35"/>
      <c r="BI16" s="35"/>
      <c r="BJ16" s="35"/>
      <c r="BK16" s="35"/>
      <c r="BL16" s="35"/>
    </row>
    <row r="17" spans="1:64" ht="14">
      <c r="A17" s="36"/>
      <c r="B17" s="37"/>
      <c r="C17" s="38">
        <f t="shared" si="0"/>
        <v>0</v>
      </c>
      <c r="D17" s="39"/>
      <c r="E17" s="39"/>
      <c r="F17" s="39"/>
      <c r="G17" s="39"/>
      <c r="H17" s="40"/>
      <c r="I17" s="41"/>
      <c r="J17" s="39"/>
      <c r="K17" s="43">
        <f t="shared" si="1"/>
        <v>0</v>
      </c>
      <c r="L17" s="39"/>
      <c r="M17" s="42" t="str">
        <f t="shared" si="2"/>
        <v/>
      </c>
      <c r="N17" s="35"/>
      <c r="O17" s="35"/>
      <c r="P17" s="35"/>
      <c r="Q17" s="35"/>
      <c r="R17" s="35"/>
      <c r="S17" s="35"/>
      <c r="T17" s="35"/>
      <c r="U17" s="35"/>
      <c r="V17" s="35"/>
      <c r="W17" s="35"/>
      <c r="X17" s="35"/>
      <c r="Y17" s="35"/>
      <c r="Z17" s="35"/>
      <c r="AA17" s="35"/>
      <c r="AB17" s="35"/>
      <c r="AC17" s="35"/>
      <c r="AD17" s="35"/>
      <c r="AE17" s="35"/>
      <c r="AF17" s="35"/>
      <c r="AG17" s="35"/>
      <c r="AH17" s="35"/>
      <c r="AI17" s="35"/>
      <c r="AJ17" s="35"/>
      <c r="AK17" s="35"/>
      <c r="AL17" s="35"/>
      <c r="AM17" s="35"/>
      <c r="AN17" s="35"/>
      <c r="AO17" s="35"/>
      <c r="AP17" s="35"/>
      <c r="AQ17" s="35"/>
      <c r="AR17" s="35"/>
      <c r="AS17" s="35"/>
      <c r="AT17" s="35"/>
      <c r="AU17" s="35"/>
      <c r="AV17" s="35"/>
      <c r="AW17" s="35"/>
      <c r="AX17" s="35"/>
      <c r="AY17" s="35"/>
      <c r="AZ17" s="35"/>
      <c r="BA17" s="35"/>
      <c r="BB17" s="35"/>
      <c r="BC17" s="35"/>
      <c r="BD17" s="35"/>
      <c r="BE17" s="35"/>
      <c r="BF17" s="35"/>
      <c r="BG17" s="35"/>
      <c r="BH17" s="35"/>
      <c r="BI17" s="35"/>
      <c r="BJ17" s="35"/>
      <c r="BK17" s="35"/>
      <c r="BL17" s="35"/>
    </row>
    <row r="18" spans="1:64" ht="14">
      <c r="A18" s="36"/>
      <c r="B18" s="37"/>
      <c r="C18" s="38">
        <f t="shared" si="0"/>
        <v>0</v>
      </c>
      <c r="D18" s="39"/>
      <c r="E18" s="39"/>
      <c r="F18" s="39"/>
      <c r="G18" s="39"/>
      <c r="H18" s="40"/>
      <c r="I18" s="41"/>
      <c r="J18" s="39"/>
      <c r="K18" s="43">
        <f t="shared" si="1"/>
        <v>0</v>
      </c>
      <c r="L18" s="39"/>
      <c r="M18" s="42" t="str">
        <f t="shared" si="2"/>
        <v/>
      </c>
      <c r="N18" s="35"/>
      <c r="O18" s="35"/>
      <c r="P18" s="35"/>
      <c r="Q18" s="35"/>
      <c r="R18" s="35"/>
      <c r="S18" s="35"/>
      <c r="T18" s="35"/>
      <c r="U18" s="35"/>
      <c r="V18" s="35"/>
      <c r="W18" s="35"/>
      <c r="X18" s="35"/>
      <c r="Y18" s="35"/>
      <c r="Z18" s="35"/>
      <c r="AA18" s="35"/>
      <c r="AB18" s="35"/>
      <c r="AC18" s="35"/>
      <c r="AD18" s="35"/>
      <c r="AE18" s="35"/>
      <c r="AF18" s="35"/>
      <c r="AG18" s="35"/>
      <c r="AH18" s="35"/>
      <c r="AI18" s="35"/>
      <c r="AJ18" s="35"/>
      <c r="AK18" s="35"/>
      <c r="AL18" s="35"/>
      <c r="AM18" s="35"/>
      <c r="AN18" s="35"/>
      <c r="AO18" s="35"/>
      <c r="AP18" s="35"/>
      <c r="AQ18" s="35"/>
      <c r="AR18" s="35"/>
      <c r="AS18" s="35"/>
      <c r="AT18" s="35"/>
      <c r="AU18" s="35"/>
      <c r="AV18" s="35"/>
      <c r="AW18" s="35"/>
      <c r="AX18" s="35"/>
      <c r="AY18" s="35"/>
      <c r="AZ18" s="35"/>
      <c r="BA18" s="35"/>
      <c r="BB18" s="35"/>
      <c r="BC18" s="35"/>
      <c r="BD18" s="35"/>
      <c r="BE18" s="35"/>
      <c r="BF18" s="35"/>
      <c r="BG18" s="35"/>
      <c r="BH18" s="35"/>
      <c r="BI18" s="35"/>
      <c r="BJ18" s="35"/>
      <c r="BK18" s="35"/>
      <c r="BL18" s="35"/>
    </row>
    <row r="19" spans="1:64" ht="14">
      <c r="A19" s="36"/>
      <c r="B19" s="37"/>
      <c r="C19" s="38">
        <f t="shared" si="0"/>
        <v>0</v>
      </c>
      <c r="D19" s="39"/>
      <c r="E19" s="39"/>
      <c r="F19" s="39"/>
      <c r="G19" s="39"/>
      <c r="H19" s="40"/>
      <c r="I19" s="41"/>
      <c r="J19" s="39"/>
      <c r="K19" s="43">
        <f t="shared" si="1"/>
        <v>0</v>
      </c>
      <c r="L19" s="39"/>
      <c r="M19" s="42" t="str">
        <f t="shared" si="2"/>
        <v/>
      </c>
      <c r="N19" s="35"/>
      <c r="O19" s="35"/>
      <c r="P19" s="35"/>
      <c r="Q19" s="35"/>
      <c r="R19" s="35"/>
      <c r="S19" s="35"/>
      <c r="T19" s="35"/>
      <c r="U19" s="35"/>
      <c r="V19" s="35"/>
      <c r="W19" s="35"/>
      <c r="X19" s="35"/>
      <c r="Y19" s="35"/>
      <c r="Z19" s="35"/>
      <c r="AA19" s="35"/>
      <c r="AB19" s="35"/>
      <c r="AC19" s="35"/>
      <c r="AD19" s="35"/>
      <c r="AE19" s="35"/>
      <c r="AF19" s="35"/>
      <c r="AG19" s="35"/>
      <c r="AH19" s="35"/>
      <c r="AI19" s="35"/>
      <c r="AJ19" s="35"/>
      <c r="AK19" s="35"/>
      <c r="AL19" s="35"/>
      <c r="AM19" s="35"/>
      <c r="AN19" s="35"/>
      <c r="AO19" s="35"/>
      <c r="AP19" s="35"/>
      <c r="AQ19" s="35"/>
      <c r="AR19" s="35"/>
      <c r="AS19" s="35"/>
      <c r="AT19" s="35"/>
      <c r="AU19" s="35"/>
      <c r="AV19" s="35"/>
      <c r="AW19" s="35"/>
      <c r="AX19" s="35"/>
      <c r="AY19" s="35"/>
      <c r="AZ19" s="35"/>
      <c r="BA19" s="35"/>
      <c r="BB19" s="35"/>
      <c r="BC19" s="35"/>
      <c r="BD19" s="35"/>
      <c r="BE19" s="35"/>
      <c r="BF19" s="35"/>
      <c r="BG19" s="35"/>
      <c r="BH19" s="35"/>
      <c r="BI19" s="35"/>
      <c r="BJ19" s="35"/>
      <c r="BK19" s="35"/>
      <c r="BL19" s="35"/>
    </row>
    <row r="20" spans="1:64" ht="14">
      <c r="A20" s="36"/>
      <c r="B20" s="37"/>
      <c r="C20" s="38">
        <f t="shared" si="0"/>
        <v>0</v>
      </c>
      <c r="D20" s="39"/>
      <c r="E20" s="39"/>
      <c r="F20" s="39"/>
      <c r="G20" s="39"/>
      <c r="H20" s="40"/>
      <c r="I20" s="41"/>
      <c r="J20" s="39"/>
      <c r="K20" s="43">
        <f t="shared" si="1"/>
        <v>0</v>
      </c>
      <c r="L20" s="39"/>
      <c r="M20" s="42" t="str">
        <f t="shared" si="2"/>
        <v/>
      </c>
      <c r="N20" s="35"/>
      <c r="O20" s="35"/>
      <c r="P20" s="35"/>
      <c r="Q20" s="35"/>
      <c r="R20" s="35"/>
      <c r="S20" s="35"/>
      <c r="T20" s="35"/>
      <c r="U20" s="35"/>
      <c r="V20" s="35"/>
      <c r="W20" s="35"/>
      <c r="X20" s="35"/>
      <c r="Y20" s="35"/>
      <c r="Z20" s="35"/>
      <c r="AA20" s="35"/>
      <c r="AB20" s="35"/>
      <c r="AC20" s="35"/>
      <c r="AD20" s="35"/>
      <c r="AE20" s="35"/>
      <c r="AF20" s="35"/>
      <c r="AG20" s="35"/>
      <c r="AH20" s="35"/>
      <c r="AI20" s="35"/>
      <c r="AJ20" s="35"/>
      <c r="AK20" s="35"/>
      <c r="AL20" s="35"/>
      <c r="AM20" s="35"/>
      <c r="AN20" s="35"/>
      <c r="AO20" s="35"/>
      <c r="AP20" s="35"/>
      <c r="AQ20" s="35"/>
      <c r="AR20" s="35"/>
      <c r="AS20" s="35"/>
      <c r="AT20" s="35"/>
      <c r="AU20" s="35"/>
      <c r="AV20" s="35"/>
      <c r="AW20" s="35"/>
      <c r="AX20" s="35"/>
      <c r="AY20" s="35"/>
      <c r="AZ20" s="35"/>
      <c r="BA20" s="35"/>
      <c r="BB20" s="35"/>
      <c r="BC20" s="35"/>
      <c r="BD20" s="35"/>
      <c r="BE20" s="35"/>
      <c r="BF20" s="35"/>
      <c r="BG20" s="35"/>
      <c r="BH20" s="35"/>
      <c r="BI20" s="35"/>
      <c r="BJ20" s="35"/>
      <c r="BK20" s="35"/>
      <c r="BL20" s="35"/>
    </row>
    <row r="21" spans="1:64" ht="14">
      <c r="A21" s="36"/>
      <c r="B21" s="37"/>
      <c r="C21" s="38">
        <f t="shared" si="0"/>
        <v>0</v>
      </c>
      <c r="D21" s="39"/>
      <c r="E21" s="39"/>
      <c r="F21" s="39"/>
      <c r="G21" s="39"/>
      <c r="H21" s="40"/>
      <c r="I21" s="41"/>
      <c r="J21" s="39"/>
      <c r="K21" s="43">
        <f t="shared" si="1"/>
        <v>0</v>
      </c>
      <c r="L21" s="39"/>
      <c r="M21" s="42" t="str">
        <f t="shared" si="2"/>
        <v/>
      </c>
      <c r="N21" s="35"/>
      <c r="O21" s="35"/>
      <c r="P21" s="35"/>
      <c r="Q21" s="35"/>
      <c r="R21" s="35"/>
      <c r="S21" s="35"/>
      <c r="T21" s="35"/>
      <c r="U21" s="35"/>
      <c r="V21" s="35"/>
      <c r="W21" s="35"/>
      <c r="X21" s="35"/>
      <c r="Y21" s="35"/>
      <c r="Z21" s="35"/>
      <c r="AA21" s="35"/>
      <c r="AB21" s="35"/>
      <c r="AC21" s="35"/>
      <c r="AD21" s="35"/>
      <c r="AE21" s="35"/>
      <c r="AF21" s="35"/>
      <c r="AG21" s="35"/>
      <c r="AH21" s="35"/>
      <c r="AI21" s="35"/>
      <c r="AJ21" s="35"/>
      <c r="AK21" s="35"/>
      <c r="AL21" s="35"/>
      <c r="AM21" s="35"/>
      <c r="AN21" s="35"/>
      <c r="AO21" s="35"/>
      <c r="AP21" s="35"/>
      <c r="AQ21" s="35"/>
      <c r="AR21" s="35"/>
      <c r="AS21" s="35"/>
      <c r="AT21" s="35"/>
      <c r="AU21" s="35"/>
      <c r="AV21" s="35"/>
      <c r="AW21" s="35"/>
      <c r="AX21" s="35"/>
      <c r="AY21" s="35"/>
      <c r="AZ21" s="35"/>
      <c r="BA21" s="35"/>
      <c r="BB21" s="35"/>
      <c r="BC21" s="35"/>
      <c r="BD21" s="35"/>
      <c r="BE21" s="35"/>
      <c r="BF21" s="35"/>
      <c r="BG21" s="35"/>
      <c r="BH21" s="35"/>
      <c r="BI21" s="35"/>
      <c r="BJ21" s="35"/>
      <c r="BK21" s="35"/>
      <c r="BL21" s="35"/>
    </row>
    <row r="22" spans="1:64" ht="14">
      <c r="A22" s="36"/>
      <c r="B22" s="37"/>
      <c r="C22" s="38">
        <f t="shared" si="0"/>
        <v>0</v>
      </c>
      <c r="D22" s="39"/>
      <c r="E22" s="39"/>
      <c r="F22" s="39"/>
      <c r="G22" s="39"/>
      <c r="H22" s="40"/>
      <c r="I22" s="41"/>
      <c r="J22" s="39"/>
      <c r="K22" s="43">
        <f t="shared" si="1"/>
        <v>0</v>
      </c>
      <c r="L22" s="39"/>
      <c r="M22" s="42" t="str">
        <f t="shared" si="2"/>
        <v/>
      </c>
      <c r="N22" s="35"/>
      <c r="O22" s="35"/>
      <c r="P22" s="35"/>
      <c r="Q22" s="35"/>
      <c r="R22" s="35"/>
      <c r="S22" s="35"/>
      <c r="T22" s="35"/>
      <c r="U22" s="35"/>
      <c r="V22" s="35"/>
      <c r="W22" s="35"/>
      <c r="X22" s="35"/>
      <c r="Y22" s="35"/>
      <c r="Z22" s="35"/>
      <c r="AA22" s="35"/>
      <c r="AB22" s="35"/>
      <c r="AC22" s="35"/>
      <c r="AD22" s="35"/>
      <c r="AE22" s="35"/>
      <c r="AF22" s="35"/>
      <c r="AG22" s="35"/>
      <c r="AH22" s="35"/>
      <c r="AI22" s="35"/>
      <c r="AJ22" s="35"/>
      <c r="AK22" s="35"/>
      <c r="AL22" s="35"/>
      <c r="AM22" s="35"/>
      <c r="AN22" s="35"/>
      <c r="AO22" s="35"/>
      <c r="AP22" s="35"/>
      <c r="AQ22" s="35"/>
      <c r="AR22" s="35"/>
      <c r="AS22" s="35"/>
      <c r="AT22" s="35"/>
      <c r="AU22" s="35"/>
      <c r="AV22" s="35"/>
      <c r="AW22" s="35"/>
      <c r="AX22" s="35"/>
      <c r="AY22" s="35"/>
      <c r="AZ22" s="35"/>
      <c r="BA22" s="35"/>
      <c r="BB22" s="35"/>
      <c r="BC22" s="35"/>
      <c r="BD22" s="35"/>
      <c r="BE22" s="35"/>
      <c r="BF22" s="35"/>
      <c r="BG22" s="35"/>
      <c r="BH22" s="35"/>
      <c r="BI22" s="35"/>
      <c r="BJ22" s="35"/>
      <c r="BK22" s="35"/>
      <c r="BL22" s="35"/>
    </row>
    <row r="23" spans="1:64" ht="14">
      <c r="A23" s="36"/>
      <c r="B23" s="37"/>
      <c r="C23" s="38">
        <f t="shared" si="0"/>
        <v>0</v>
      </c>
      <c r="D23" s="39"/>
      <c r="E23" s="39"/>
      <c r="F23" s="39"/>
      <c r="G23" s="39"/>
      <c r="H23" s="40"/>
      <c r="I23" s="41"/>
      <c r="J23" s="39"/>
      <c r="K23" s="43">
        <f t="shared" si="1"/>
        <v>0</v>
      </c>
      <c r="L23" s="39"/>
      <c r="M23" s="42" t="str">
        <f t="shared" si="2"/>
        <v/>
      </c>
      <c r="N23" s="35"/>
      <c r="O23" s="35"/>
      <c r="P23" s="35"/>
      <c r="Q23" s="35"/>
      <c r="R23" s="35"/>
      <c r="S23" s="35"/>
      <c r="T23" s="35"/>
      <c r="U23" s="35"/>
      <c r="V23" s="35"/>
      <c r="W23" s="35"/>
      <c r="X23" s="35"/>
      <c r="Y23" s="35"/>
      <c r="Z23" s="35"/>
      <c r="AA23" s="35"/>
      <c r="AB23" s="35"/>
      <c r="AC23" s="35"/>
      <c r="AD23" s="35"/>
      <c r="AE23" s="35"/>
      <c r="AF23" s="35"/>
      <c r="AG23" s="35"/>
      <c r="AH23" s="35"/>
      <c r="AI23" s="35"/>
      <c r="AJ23" s="35"/>
      <c r="AK23" s="35"/>
      <c r="AL23" s="35"/>
      <c r="AM23" s="35"/>
      <c r="AN23" s="35"/>
      <c r="AO23" s="35"/>
      <c r="AP23" s="35"/>
      <c r="AQ23" s="35"/>
      <c r="AR23" s="35"/>
      <c r="AS23" s="35"/>
      <c r="AT23" s="35"/>
      <c r="AU23" s="35"/>
      <c r="AV23" s="35"/>
      <c r="AW23" s="35"/>
      <c r="AX23" s="35"/>
      <c r="AY23" s="35"/>
      <c r="AZ23" s="35"/>
      <c r="BA23" s="35"/>
      <c r="BB23" s="35"/>
      <c r="BC23" s="35"/>
      <c r="BD23" s="35"/>
      <c r="BE23" s="35"/>
      <c r="BF23" s="35"/>
      <c r="BG23" s="35"/>
      <c r="BH23" s="35"/>
      <c r="BI23" s="35"/>
      <c r="BJ23" s="35"/>
      <c r="BK23" s="35"/>
      <c r="BL23" s="35"/>
    </row>
    <row r="24" spans="1:64" ht="14">
      <c r="A24" s="36"/>
      <c r="B24" s="37"/>
      <c r="C24" s="38">
        <f t="shared" si="0"/>
        <v>0</v>
      </c>
      <c r="D24" s="39"/>
      <c r="E24" s="39"/>
      <c r="F24" s="39"/>
      <c r="G24" s="39"/>
      <c r="H24" s="40"/>
      <c r="I24" s="41"/>
      <c r="J24" s="39"/>
      <c r="K24" s="43">
        <f t="shared" si="1"/>
        <v>0</v>
      </c>
      <c r="L24" s="39"/>
      <c r="M24" s="42" t="str">
        <f t="shared" si="2"/>
        <v/>
      </c>
      <c r="N24" s="35"/>
      <c r="O24" s="35"/>
      <c r="P24" s="35"/>
      <c r="Q24" s="35"/>
      <c r="R24" s="35"/>
      <c r="S24" s="35"/>
      <c r="T24" s="35"/>
      <c r="U24" s="35"/>
      <c r="V24" s="35"/>
      <c r="W24" s="35"/>
      <c r="X24" s="35"/>
      <c r="Y24" s="35"/>
      <c r="Z24" s="35"/>
      <c r="AA24" s="35"/>
      <c r="AB24" s="35"/>
      <c r="AC24" s="35"/>
      <c r="AD24" s="35"/>
      <c r="AE24" s="35"/>
      <c r="AF24" s="35"/>
      <c r="AG24" s="35"/>
      <c r="AH24" s="35"/>
      <c r="AI24" s="35"/>
      <c r="AJ24" s="35"/>
      <c r="AK24" s="35"/>
      <c r="AL24" s="35"/>
      <c r="AM24" s="35"/>
      <c r="AN24" s="35"/>
      <c r="AO24" s="35"/>
      <c r="AP24" s="35"/>
      <c r="AQ24" s="35"/>
      <c r="AR24" s="35"/>
      <c r="AS24" s="35"/>
      <c r="AT24" s="35"/>
      <c r="AU24" s="35"/>
      <c r="AV24" s="35"/>
      <c r="AW24" s="35"/>
      <c r="AX24" s="35"/>
      <c r="AY24" s="35"/>
      <c r="AZ24" s="35"/>
      <c r="BA24" s="35"/>
      <c r="BB24" s="35"/>
      <c r="BC24" s="35"/>
      <c r="BD24" s="35"/>
      <c r="BE24" s="35"/>
      <c r="BF24" s="35"/>
      <c r="BG24" s="35"/>
      <c r="BH24" s="35"/>
      <c r="BI24" s="35"/>
      <c r="BJ24" s="35"/>
      <c r="BK24" s="35"/>
      <c r="BL24" s="35"/>
    </row>
    <row r="25" spans="1:64" ht="14">
      <c r="A25" s="36"/>
      <c r="B25" s="37"/>
      <c r="C25" s="38">
        <f t="shared" si="0"/>
        <v>0</v>
      </c>
      <c r="D25" s="39"/>
      <c r="E25" s="39"/>
      <c r="F25" s="39"/>
      <c r="G25" s="39"/>
      <c r="H25" s="40"/>
      <c r="I25" s="41"/>
      <c r="J25" s="39"/>
      <c r="K25" s="43">
        <f t="shared" si="1"/>
        <v>0</v>
      </c>
      <c r="L25" s="39"/>
      <c r="M25" s="42" t="str">
        <f t="shared" si="2"/>
        <v/>
      </c>
      <c r="N25" s="35"/>
      <c r="O25" s="35"/>
      <c r="P25" s="35"/>
      <c r="Q25" s="35"/>
      <c r="R25" s="35"/>
      <c r="S25" s="35"/>
      <c r="T25" s="35"/>
      <c r="U25" s="35"/>
      <c r="V25" s="35"/>
      <c r="W25" s="35"/>
      <c r="X25" s="35"/>
      <c r="Y25" s="35"/>
      <c r="Z25" s="35"/>
      <c r="AA25" s="35"/>
      <c r="AB25" s="35"/>
      <c r="AC25" s="35"/>
      <c r="AD25" s="35"/>
      <c r="AE25" s="35"/>
      <c r="AF25" s="35"/>
      <c r="AG25" s="35"/>
      <c r="AH25" s="35"/>
      <c r="AI25" s="35"/>
      <c r="AJ25" s="35"/>
      <c r="AK25" s="35"/>
      <c r="AL25" s="35"/>
      <c r="AM25" s="35"/>
      <c r="AN25" s="35"/>
      <c r="AO25" s="35"/>
      <c r="AP25" s="35"/>
      <c r="AQ25" s="35"/>
      <c r="AR25" s="35"/>
      <c r="AS25" s="35"/>
      <c r="AT25" s="35"/>
      <c r="AU25" s="35"/>
      <c r="AV25" s="35"/>
      <c r="AW25" s="35"/>
      <c r="AX25" s="35"/>
      <c r="AY25" s="35"/>
      <c r="AZ25" s="35"/>
      <c r="BA25" s="35"/>
      <c r="BB25" s="35"/>
      <c r="BC25" s="35"/>
      <c r="BD25" s="35"/>
      <c r="BE25" s="35"/>
      <c r="BF25" s="35"/>
      <c r="BG25" s="35"/>
      <c r="BH25" s="35"/>
      <c r="BI25" s="35"/>
      <c r="BJ25" s="35"/>
      <c r="BK25" s="35"/>
      <c r="BL25" s="35"/>
    </row>
    <row r="26" spans="1:64" ht="14">
      <c r="A26" s="36"/>
      <c r="B26" s="37"/>
      <c r="C26" s="38">
        <f t="shared" si="0"/>
        <v>0</v>
      </c>
      <c r="D26" s="39"/>
      <c r="E26" s="39"/>
      <c r="F26" s="39"/>
      <c r="G26" s="39"/>
      <c r="H26" s="40"/>
      <c r="I26" s="41"/>
      <c r="J26" s="39"/>
      <c r="K26" s="43">
        <f t="shared" si="1"/>
        <v>0</v>
      </c>
      <c r="L26" s="39"/>
      <c r="M26" s="42" t="str">
        <f t="shared" si="2"/>
        <v/>
      </c>
      <c r="N26" s="35"/>
      <c r="O26" s="35"/>
      <c r="P26" s="35"/>
      <c r="Q26" s="35"/>
      <c r="R26" s="35"/>
      <c r="S26" s="35"/>
      <c r="T26" s="35"/>
      <c r="U26" s="35"/>
      <c r="V26" s="35"/>
      <c r="W26" s="35"/>
      <c r="X26" s="35"/>
      <c r="Y26" s="35"/>
      <c r="Z26" s="35"/>
      <c r="AA26" s="35"/>
      <c r="AB26" s="35"/>
      <c r="AC26" s="35"/>
      <c r="AD26" s="35"/>
      <c r="AE26" s="35"/>
      <c r="AF26" s="35"/>
      <c r="AG26" s="35"/>
      <c r="AH26" s="35"/>
      <c r="AI26" s="35"/>
      <c r="AJ26" s="35"/>
      <c r="AK26" s="35"/>
      <c r="AL26" s="35"/>
      <c r="AM26" s="35"/>
      <c r="AN26" s="35"/>
      <c r="AO26" s="35"/>
      <c r="AP26" s="35"/>
      <c r="AQ26" s="35"/>
      <c r="AR26" s="35"/>
      <c r="AS26" s="35"/>
      <c r="AT26" s="35"/>
      <c r="AU26" s="35"/>
      <c r="AV26" s="35"/>
      <c r="AW26" s="35"/>
      <c r="AX26" s="35"/>
      <c r="AY26" s="35"/>
      <c r="AZ26" s="35"/>
      <c r="BA26" s="35"/>
      <c r="BB26" s="35"/>
      <c r="BC26" s="35"/>
      <c r="BD26" s="35"/>
      <c r="BE26" s="35"/>
      <c r="BF26" s="35"/>
      <c r="BG26" s="35"/>
      <c r="BH26" s="35"/>
      <c r="BI26" s="35"/>
      <c r="BJ26" s="35"/>
      <c r="BK26" s="35"/>
      <c r="BL26" s="35"/>
    </row>
    <row r="27" spans="1:64" ht="14">
      <c r="A27" s="36"/>
      <c r="B27" s="37"/>
      <c r="C27" s="38">
        <f t="shared" si="0"/>
        <v>0</v>
      </c>
      <c r="D27" s="39"/>
      <c r="E27" s="39"/>
      <c r="F27" s="39"/>
      <c r="G27" s="39"/>
      <c r="H27" s="40"/>
      <c r="I27" s="41"/>
      <c r="J27" s="39"/>
      <c r="K27" s="43">
        <f t="shared" si="1"/>
        <v>0</v>
      </c>
      <c r="L27" s="39"/>
      <c r="M27" s="42" t="str">
        <f t="shared" si="2"/>
        <v/>
      </c>
      <c r="N27" s="35"/>
      <c r="O27" s="35"/>
      <c r="P27" s="35"/>
      <c r="Q27" s="35"/>
      <c r="R27" s="35"/>
      <c r="S27" s="35"/>
      <c r="T27" s="35"/>
      <c r="U27" s="35"/>
      <c r="V27" s="35"/>
      <c r="W27" s="35"/>
      <c r="X27" s="35"/>
      <c r="Y27" s="35"/>
      <c r="Z27" s="35"/>
      <c r="AA27" s="35"/>
      <c r="AB27" s="35"/>
      <c r="AC27" s="35"/>
      <c r="AD27" s="35"/>
      <c r="AE27" s="35"/>
      <c r="AF27" s="35"/>
      <c r="AG27" s="35"/>
      <c r="AH27" s="35"/>
      <c r="AI27" s="35"/>
      <c r="AJ27" s="35"/>
      <c r="AK27" s="35"/>
      <c r="AL27" s="35"/>
      <c r="AM27" s="35"/>
      <c r="AN27" s="35"/>
      <c r="AO27" s="35"/>
      <c r="AP27" s="35"/>
      <c r="AQ27" s="35"/>
      <c r="AR27" s="35"/>
      <c r="AS27" s="35"/>
      <c r="AT27" s="35"/>
      <c r="AU27" s="35"/>
      <c r="AV27" s="35"/>
      <c r="AW27" s="35"/>
      <c r="AX27" s="35"/>
      <c r="AY27" s="35"/>
      <c r="AZ27" s="35"/>
      <c r="BA27" s="35"/>
      <c r="BB27" s="35"/>
      <c r="BC27" s="35"/>
      <c r="BD27" s="35"/>
      <c r="BE27" s="35"/>
      <c r="BF27" s="35"/>
      <c r="BG27" s="35"/>
      <c r="BH27" s="35"/>
      <c r="BI27" s="35"/>
      <c r="BJ27" s="35"/>
      <c r="BK27" s="35"/>
      <c r="BL27" s="35"/>
    </row>
    <row r="28" spans="1:64" ht="14">
      <c r="A28" s="36"/>
      <c r="B28" s="37"/>
      <c r="C28" s="38">
        <f t="shared" si="0"/>
        <v>0</v>
      </c>
      <c r="D28" s="39"/>
      <c r="E28" s="39"/>
      <c r="F28" s="39"/>
      <c r="G28" s="39"/>
      <c r="H28" s="40"/>
      <c r="I28" s="41"/>
      <c r="J28" s="39"/>
      <c r="K28" s="43">
        <f t="shared" si="1"/>
        <v>0</v>
      </c>
      <c r="L28" s="39"/>
      <c r="M28" s="42" t="str">
        <f t="shared" si="2"/>
        <v/>
      </c>
      <c r="N28" s="35"/>
      <c r="O28" s="35"/>
      <c r="P28" s="35"/>
      <c r="Q28" s="35"/>
      <c r="R28" s="35"/>
      <c r="S28" s="35"/>
      <c r="T28" s="35"/>
      <c r="U28" s="35"/>
      <c r="V28" s="35"/>
      <c r="W28" s="35"/>
      <c r="X28" s="35"/>
      <c r="Y28" s="35"/>
      <c r="Z28" s="35"/>
      <c r="AA28" s="35"/>
      <c r="AB28" s="35"/>
      <c r="AC28" s="35"/>
      <c r="AD28" s="35"/>
      <c r="AE28" s="35"/>
      <c r="AF28" s="35"/>
      <c r="AG28" s="35"/>
      <c r="AH28" s="35"/>
      <c r="AI28" s="35"/>
      <c r="AJ28" s="35"/>
      <c r="AK28" s="35"/>
      <c r="AL28" s="35"/>
      <c r="AM28" s="35"/>
      <c r="AN28" s="35"/>
      <c r="AO28" s="35"/>
      <c r="AP28" s="35"/>
      <c r="AQ28" s="35"/>
      <c r="AR28" s="35"/>
      <c r="AS28" s="35"/>
      <c r="AT28" s="35"/>
      <c r="AU28" s="35"/>
      <c r="AV28" s="35"/>
      <c r="AW28" s="35"/>
      <c r="AX28" s="35"/>
      <c r="AY28" s="35"/>
      <c r="AZ28" s="35"/>
      <c r="BA28" s="35"/>
      <c r="BB28" s="35"/>
      <c r="BC28" s="35"/>
      <c r="BD28" s="35"/>
      <c r="BE28" s="35"/>
      <c r="BF28" s="35"/>
      <c r="BG28" s="35"/>
      <c r="BH28" s="35"/>
      <c r="BI28" s="35"/>
      <c r="BJ28" s="35"/>
      <c r="BK28" s="35"/>
      <c r="BL28" s="35"/>
    </row>
    <row r="29" spans="1:64" ht="14">
      <c r="A29" s="36"/>
      <c r="B29" s="37"/>
      <c r="C29" s="38">
        <f t="shared" si="0"/>
        <v>0</v>
      </c>
      <c r="D29" s="39"/>
      <c r="E29" s="39"/>
      <c r="F29" s="39"/>
      <c r="G29" s="39"/>
      <c r="H29" s="40"/>
      <c r="I29" s="41"/>
      <c r="J29" s="39"/>
      <c r="K29" s="43">
        <f t="shared" si="1"/>
        <v>0</v>
      </c>
      <c r="L29" s="39"/>
      <c r="M29" s="42" t="str">
        <f t="shared" si="2"/>
        <v/>
      </c>
      <c r="N29" s="35"/>
      <c r="O29" s="35"/>
      <c r="P29" s="35"/>
      <c r="Q29" s="35"/>
      <c r="R29" s="35"/>
      <c r="S29" s="35"/>
      <c r="T29" s="35"/>
      <c r="U29" s="35"/>
      <c r="V29" s="35"/>
      <c r="W29" s="35"/>
      <c r="X29" s="35"/>
      <c r="Y29" s="35"/>
      <c r="Z29" s="35"/>
      <c r="AA29" s="35"/>
      <c r="AB29" s="35"/>
      <c r="AC29" s="35"/>
      <c r="AD29" s="35"/>
      <c r="AE29" s="35"/>
      <c r="AF29" s="35"/>
      <c r="AG29" s="35"/>
      <c r="AH29" s="35"/>
      <c r="AI29" s="35"/>
      <c r="AJ29" s="35"/>
      <c r="AK29" s="35"/>
      <c r="AL29" s="35"/>
      <c r="AM29" s="35"/>
      <c r="AN29" s="35"/>
      <c r="AO29" s="35"/>
      <c r="AP29" s="35"/>
      <c r="AQ29" s="35"/>
      <c r="AR29" s="35"/>
      <c r="AS29" s="35"/>
      <c r="AT29" s="35"/>
      <c r="AU29" s="35"/>
      <c r="AV29" s="35"/>
      <c r="AW29" s="35"/>
      <c r="AX29" s="35"/>
      <c r="AY29" s="35"/>
      <c r="AZ29" s="35"/>
      <c r="BA29" s="35"/>
      <c r="BB29" s="35"/>
      <c r="BC29" s="35"/>
      <c r="BD29" s="35"/>
      <c r="BE29" s="35"/>
      <c r="BF29" s="35"/>
      <c r="BG29" s="35"/>
      <c r="BH29" s="35"/>
      <c r="BI29" s="35"/>
      <c r="BJ29" s="35"/>
      <c r="BK29" s="35"/>
      <c r="BL29" s="35"/>
    </row>
    <row r="30" spans="1:64" ht="14">
      <c r="A30" s="36"/>
      <c r="B30" s="37"/>
      <c r="C30" s="38">
        <f t="shared" si="0"/>
        <v>0</v>
      </c>
      <c r="D30" s="39"/>
      <c r="E30" s="39"/>
      <c r="F30" s="39"/>
      <c r="G30" s="39"/>
      <c r="H30" s="40"/>
      <c r="I30" s="41"/>
      <c r="J30" s="39"/>
      <c r="K30" s="43">
        <f t="shared" si="1"/>
        <v>0</v>
      </c>
      <c r="L30" s="39"/>
      <c r="M30" s="42" t="str">
        <f t="shared" si="2"/>
        <v/>
      </c>
      <c r="N30" s="35"/>
      <c r="O30" s="35"/>
      <c r="P30" s="35"/>
      <c r="Q30" s="35"/>
      <c r="R30" s="35"/>
      <c r="S30" s="35"/>
      <c r="T30" s="35"/>
      <c r="U30" s="35"/>
      <c r="V30" s="35"/>
      <c r="W30" s="35"/>
      <c r="X30" s="35"/>
      <c r="Y30" s="35"/>
      <c r="Z30" s="35"/>
      <c r="AA30" s="35"/>
      <c r="AB30" s="35"/>
      <c r="AC30" s="35"/>
      <c r="AD30" s="35"/>
      <c r="AE30" s="35"/>
      <c r="AF30" s="35"/>
      <c r="AG30" s="35"/>
      <c r="AH30" s="35"/>
      <c r="AI30" s="35"/>
      <c r="AJ30" s="35"/>
      <c r="AK30" s="35"/>
      <c r="AL30" s="35"/>
      <c r="AM30" s="35"/>
      <c r="AN30" s="35"/>
      <c r="AO30" s="35"/>
      <c r="AP30" s="35"/>
      <c r="AQ30" s="35"/>
      <c r="AR30" s="35"/>
      <c r="AS30" s="35"/>
      <c r="AT30" s="35"/>
      <c r="AU30" s="35"/>
      <c r="AV30" s="35"/>
      <c r="AW30" s="35"/>
      <c r="AX30" s="35"/>
      <c r="AY30" s="35"/>
      <c r="AZ30" s="35"/>
      <c r="BA30" s="35"/>
      <c r="BB30" s="35"/>
      <c r="BC30" s="35"/>
      <c r="BD30" s="35"/>
      <c r="BE30" s="35"/>
      <c r="BF30" s="35"/>
      <c r="BG30" s="35"/>
      <c r="BH30" s="35"/>
      <c r="BI30" s="35"/>
      <c r="BJ30" s="35"/>
      <c r="BK30" s="35"/>
      <c r="BL30" s="35"/>
    </row>
    <row r="31" spans="1:64" ht="14">
      <c r="A31" s="36"/>
      <c r="B31" s="37"/>
      <c r="C31" s="38">
        <f t="shared" si="0"/>
        <v>0</v>
      </c>
      <c r="D31" s="39"/>
      <c r="E31" s="39"/>
      <c r="F31" s="39"/>
      <c r="G31" s="39"/>
      <c r="H31" s="40"/>
      <c r="I31" s="41"/>
      <c r="J31" s="39"/>
      <c r="K31" s="43">
        <f t="shared" si="1"/>
        <v>0</v>
      </c>
      <c r="L31" s="39"/>
      <c r="M31" s="42" t="str">
        <f t="shared" si="2"/>
        <v/>
      </c>
      <c r="N31" s="35"/>
      <c r="O31" s="35"/>
      <c r="P31" s="35"/>
      <c r="Q31" s="35"/>
      <c r="R31" s="35"/>
      <c r="S31" s="35"/>
      <c r="T31" s="35"/>
      <c r="U31" s="35"/>
      <c r="V31" s="35"/>
      <c r="W31" s="35"/>
      <c r="X31" s="35"/>
      <c r="Y31" s="35"/>
      <c r="Z31" s="35"/>
      <c r="AA31" s="35"/>
      <c r="AB31" s="35"/>
      <c r="AC31" s="35"/>
      <c r="AD31" s="35"/>
      <c r="AE31" s="35"/>
      <c r="AF31" s="35"/>
      <c r="AG31" s="35"/>
      <c r="AH31" s="35"/>
      <c r="AI31" s="35"/>
      <c r="AJ31" s="35"/>
      <c r="AK31" s="35"/>
      <c r="AL31" s="35"/>
      <c r="AM31" s="35"/>
      <c r="AN31" s="35"/>
      <c r="AO31" s="35"/>
      <c r="AP31" s="35"/>
      <c r="AQ31" s="35"/>
      <c r="AR31" s="35"/>
      <c r="AS31" s="35"/>
      <c r="AT31" s="35"/>
      <c r="AU31" s="35"/>
      <c r="AV31" s="35"/>
      <c r="AW31" s="35"/>
      <c r="AX31" s="35"/>
      <c r="AY31" s="35"/>
      <c r="AZ31" s="35"/>
      <c r="BA31" s="35"/>
      <c r="BB31" s="35"/>
      <c r="BC31" s="35"/>
      <c r="BD31" s="35"/>
      <c r="BE31" s="35"/>
      <c r="BF31" s="35"/>
      <c r="BG31" s="35"/>
      <c r="BH31" s="35"/>
      <c r="BI31" s="35"/>
      <c r="BJ31" s="35"/>
      <c r="BK31" s="35"/>
      <c r="BL31" s="35"/>
    </row>
    <row r="32" spans="1:64" ht="14">
      <c r="A32" s="36"/>
      <c r="B32" s="37"/>
      <c r="C32" s="38">
        <f t="shared" si="0"/>
        <v>0</v>
      </c>
      <c r="D32" s="39"/>
      <c r="E32" s="39"/>
      <c r="F32" s="39"/>
      <c r="G32" s="39"/>
      <c r="H32" s="40"/>
      <c r="I32" s="41"/>
      <c r="J32" s="39"/>
      <c r="K32" s="43">
        <f t="shared" si="1"/>
        <v>0</v>
      </c>
      <c r="L32" s="39"/>
      <c r="M32" s="42" t="str">
        <f t="shared" si="2"/>
        <v/>
      </c>
      <c r="N32" s="35"/>
      <c r="O32" s="35"/>
      <c r="P32" s="35"/>
      <c r="Q32" s="35"/>
      <c r="R32" s="35"/>
      <c r="S32" s="35"/>
      <c r="T32" s="35"/>
      <c r="U32" s="35"/>
      <c r="V32" s="35"/>
      <c r="W32" s="35"/>
      <c r="X32" s="35"/>
      <c r="Y32" s="35"/>
      <c r="Z32" s="35"/>
      <c r="AA32" s="35"/>
      <c r="AB32" s="35"/>
      <c r="AC32" s="35"/>
      <c r="AD32" s="35"/>
      <c r="AE32" s="35"/>
      <c r="AF32" s="35"/>
      <c r="AG32" s="35"/>
      <c r="AH32" s="35"/>
      <c r="AI32" s="35"/>
      <c r="AJ32" s="35"/>
      <c r="AK32" s="35"/>
      <c r="AL32" s="35"/>
      <c r="AM32" s="35"/>
      <c r="AN32" s="35"/>
      <c r="AO32" s="35"/>
      <c r="AP32" s="35"/>
      <c r="AQ32" s="35"/>
      <c r="AR32" s="35"/>
      <c r="AS32" s="35"/>
      <c r="AT32" s="35"/>
      <c r="AU32" s="35"/>
      <c r="AV32" s="35"/>
      <c r="AW32" s="35"/>
      <c r="AX32" s="35"/>
      <c r="AY32" s="35"/>
      <c r="AZ32" s="35"/>
      <c r="BA32" s="35"/>
      <c r="BB32" s="35"/>
      <c r="BC32" s="35"/>
      <c r="BD32" s="35"/>
      <c r="BE32" s="35"/>
      <c r="BF32" s="35"/>
      <c r="BG32" s="35"/>
      <c r="BH32" s="35"/>
      <c r="BI32" s="35"/>
      <c r="BJ32" s="35"/>
      <c r="BK32" s="35"/>
      <c r="BL32" s="35"/>
    </row>
    <row r="33" spans="1:64" ht="14">
      <c r="A33" s="36"/>
      <c r="B33" s="37"/>
      <c r="C33" s="38">
        <f t="shared" si="0"/>
        <v>0</v>
      </c>
      <c r="D33" s="39"/>
      <c r="E33" s="39"/>
      <c r="F33" s="39"/>
      <c r="G33" s="39"/>
      <c r="H33" s="40"/>
      <c r="I33" s="41"/>
      <c r="J33" s="39"/>
      <c r="K33" s="43">
        <f t="shared" si="1"/>
        <v>0</v>
      </c>
      <c r="L33" s="39"/>
      <c r="M33" s="42" t="str">
        <f t="shared" si="2"/>
        <v/>
      </c>
      <c r="N33" s="35"/>
      <c r="O33" s="35"/>
      <c r="P33" s="35"/>
      <c r="Q33" s="35"/>
      <c r="R33" s="35"/>
      <c r="S33" s="35"/>
      <c r="T33" s="35"/>
      <c r="U33" s="35"/>
      <c r="V33" s="35"/>
      <c r="W33" s="35"/>
      <c r="X33" s="35"/>
      <c r="Y33" s="35"/>
      <c r="Z33" s="35"/>
      <c r="AA33" s="35"/>
      <c r="AB33" s="35"/>
      <c r="AC33" s="35"/>
      <c r="AD33" s="35"/>
      <c r="AE33" s="35"/>
      <c r="AF33" s="35"/>
      <c r="AG33" s="35"/>
      <c r="AH33" s="35"/>
      <c r="AI33" s="35"/>
      <c r="AJ33" s="35"/>
      <c r="AK33" s="35"/>
      <c r="AL33" s="35"/>
      <c r="AM33" s="35"/>
      <c r="AN33" s="35"/>
      <c r="AO33" s="35"/>
      <c r="AP33" s="35"/>
      <c r="AQ33" s="35"/>
      <c r="AR33" s="35"/>
      <c r="AS33" s="35"/>
      <c r="AT33" s="35"/>
      <c r="AU33" s="35"/>
      <c r="AV33" s="35"/>
      <c r="AW33" s="35"/>
      <c r="AX33" s="35"/>
      <c r="AY33" s="35"/>
      <c r="AZ33" s="35"/>
      <c r="BA33" s="35"/>
      <c r="BB33" s="35"/>
      <c r="BC33" s="35"/>
      <c r="BD33" s="35"/>
      <c r="BE33" s="35"/>
      <c r="BF33" s="35"/>
      <c r="BG33" s="35"/>
      <c r="BH33" s="35"/>
      <c r="BI33" s="35"/>
      <c r="BJ33" s="35"/>
      <c r="BK33" s="35"/>
      <c r="BL33" s="35"/>
    </row>
    <row r="34" spans="1:64" ht="14">
      <c r="A34" s="36"/>
      <c r="B34" s="37"/>
      <c r="C34" s="38">
        <f t="shared" si="0"/>
        <v>0</v>
      </c>
      <c r="D34" s="39"/>
      <c r="E34" s="39"/>
      <c r="F34" s="39"/>
      <c r="G34" s="39"/>
      <c r="H34" s="40"/>
      <c r="I34" s="41"/>
      <c r="J34" s="39"/>
      <c r="K34" s="43">
        <f t="shared" si="1"/>
        <v>0</v>
      </c>
      <c r="L34" s="39"/>
      <c r="M34" s="42" t="str">
        <f t="shared" si="2"/>
        <v/>
      </c>
      <c r="N34" s="35"/>
      <c r="O34" s="35"/>
      <c r="P34" s="35"/>
      <c r="Q34" s="35"/>
      <c r="R34" s="35"/>
      <c r="S34" s="35"/>
      <c r="T34" s="35"/>
      <c r="U34" s="35"/>
      <c r="V34" s="35"/>
      <c r="W34" s="35"/>
      <c r="X34" s="35"/>
      <c r="Y34" s="35"/>
      <c r="Z34" s="35"/>
      <c r="AA34" s="35"/>
      <c r="AB34" s="35"/>
      <c r="AC34" s="35"/>
      <c r="AD34" s="35"/>
      <c r="AE34" s="35"/>
      <c r="AF34" s="35"/>
      <c r="AG34" s="35"/>
      <c r="AH34" s="35"/>
      <c r="AI34" s="35"/>
      <c r="AJ34" s="35"/>
      <c r="AK34" s="35"/>
      <c r="AL34" s="35"/>
      <c r="AM34" s="35"/>
      <c r="AN34" s="35"/>
      <c r="AO34" s="35"/>
      <c r="AP34" s="35"/>
      <c r="AQ34" s="35"/>
      <c r="AR34" s="35"/>
      <c r="AS34" s="35"/>
      <c r="AT34" s="35"/>
      <c r="AU34" s="35"/>
      <c r="AV34" s="35"/>
      <c r="AW34" s="35"/>
      <c r="AX34" s="35"/>
      <c r="AY34" s="35"/>
      <c r="AZ34" s="35"/>
      <c r="BA34" s="35"/>
      <c r="BB34" s="35"/>
      <c r="BC34" s="35"/>
      <c r="BD34" s="35"/>
      <c r="BE34" s="35"/>
      <c r="BF34" s="35"/>
      <c r="BG34" s="35"/>
      <c r="BH34" s="35"/>
      <c r="BI34" s="35"/>
      <c r="BJ34" s="35"/>
      <c r="BK34" s="35"/>
      <c r="BL34" s="35"/>
    </row>
    <row r="35" spans="1:64" ht="14">
      <c r="A35" s="36"/>
      <c r="B35" s="37"/>
      <c r="C35" s="38">
        <f t="shared" si="0"/>
        <v>0</v>
      </c>
      <c r="D35" s="39"/>
      <c r="E35" s="39"/>
      <c r="F35" s="39"/>
      <c r="G35" s="39"/>
      <c r="H35" s="40"/>
      <c r="I35" s="41"/>
      <c r="J35" s="39"/>
      <c r="K35" s="43">
        <f t="shared" si="1"/>
        <v>0</v>
      </c>
      <c r="L35" s="39"/>
      <c r="M35" s="42" t="str">
        <f t="shared" si="2"/>
        <v/>
      </c>
      <c r="N35" s="35"/>
      <c r="O35" s="35"/>
      <c r="P35" s="35"/>
      <c r="Q35" s="35"/>
      <c r="R35" s="35"/>
      <c r="S35" s="35"/>
      <c r="T35" s="35"/>
      <c r="U35" s="35"/>
      <c r="V35" s="35"/>
      <c r="W35" s="35"/>
      <c r="X35" s="35"/>
      <c r="Y35" s="35"/>
      <c r="Z35" s="35"/>
      <c r="AA35" s="35"/>
      <c r="AB35" s="35"/>
      <c r="AC35" s="35"/>
      <c r="AD35" s="35"/>
      <c r="AE35" s="35"/>
      <c r="AF35" s="35"/>
      <c r="AG35" s="35"/>
      <c r="AH35" s="35"/>
      <c r="AI35" s="35"/>
      <c r="AJ35" s="35"/>
      <c r="AK35" s="35"/>
      <c r="AL35" s="35"/>
      <c r="AM35" s="35"/>
      <c r="AN35" s="35"/>
      <c r="AO35" s="35"/>
      <c r="AP35" s="35"/>
      <c r="AQ35" s="35"/>
      <c r="AR35" s="35"/>
      <c r="AS35" s="35"/>
      <c r="AT35" s="35"/>
      <c r="AU35" s="35"/>
      <c r="AV35" s="35"/>
      <c r="AW35" s="35"/>
      <c r="AX35" s="35"/>
      <c r="AY35" s="35"/>
      <c r="AZ35" s="35"/>
      <c r="BA35" s="35"/>
      <c r="BB35" s="35"/>
      <c r="BC35" s="35"/>
      <c r="BD35" s="35"/>
      <c r="BE35" s="35"/>
      <c r="BF35" s="35"/>
      <c r="BG35" s="35"/>
      <c r="BH35" s="35"/>
      <c r="BI35" s="35"/>
      <c r="BJ35" s="35"/>
      <c r="BK35" s="35"/>
      <c r="BL35" s="35"/>
    </row>
    <row r="36" spans="1:64" ht="14">
      <c r="A36" s="36"/>
      <c r="B36" s="37"/>
      <c r="C36" s="38">
        <f t="shared" si="0"/>
        <v>0</v>
      </c>
      <c r="D36" s="39"/>
      <c r="E36" s="39"/>
      <c r="F36" s="39"/>
      <c r="G36" s="39"/>
      <c r="H36" s="40"/>
      <c r="I36" s="41"/>
      <c r="J36" s="39"/>
      <c r="K36" s="43">
        <f t="shared" si="1"/>
        <v>0</v>
      </c>
      <c r="L36" s="39"/>
      <c r="M36" s="42" t="str">
        <f t="shared" si="2"/>
        <v/>
      </c>
      <c r="N36" s="35"/>
      <c r="O36" s="35"/>
      <c r="P36" s="35"/>
      <c r="Q36" s="35"/>
      <c r="R36" s="35"/>
      <c r="S36" s="35"/>
      <c r="T36" s="35"/>
      <c r="U36" s="35"/>
      <c r="V36" s="35"/>
      <c r="W36" s="35"/>
      <c r="X36" s="35"/>
      <c r="Y36" s="35"/>
      <c r="Z36" s="35"/>
      <c r="AA36" s="35"/>
      <c r="AB36" s="35"/>
      <c r="AC36" s="35"/>
      <c r="AD36" s="35"/>
      <c r="AE36" s="35"/>
      <c r="AF36" s="35"/>
      <c r="AG36" s="35"/>
      <c r="AH36" s="35"/>
      <c r="AI36" s="35"/>
      <c r="AJ36" s="35"/>
      <c r="AK36" s="35"/>
      <c r="AL36" s="35"/>
      <c r="AM36" s="35"/>
      <c r="AN36" s="35"/>
      <c r="AO36" s="35"/>
      <c r="AP36" s="35"/>
      <c r="AQ36" s="35"/>
      <c r="AR36" s="35"/>
      <c r="AS36" s="35"/>
      <c r="AT36" s="35"/>
      <c r="AU36" s="35"/>
      <c r="AV36" s="35"/>
      <c r="AW36" s="35"/>
      <c r="AX36" s="35"/>
      <c r="AY36" s="35"/>
      <c r="AZ36" s="35"/>
      <c r="BA36" s="35"/>
      <c r="BB36" s="35"/>
      <c r="BC36" s="35"/>
      <c r="BD36" s="35"/>
      <c r="BE36" s="35"/>
      <c r="BF36" s="35"/>
      <c r="BG36" s="35"/>
      <c r="BH36" s="35"/>
      <c r="BI36" s="35"/>
      <c r="BJ36" s="35"/>
      <c r="BK36" s="35"/>
      <c r="BL36" s="35"/>
    </row>
    <row r="37" spans="1:64" ht="14">
      <c r="A37" s="36"/>
      <c r="B37" s="37"/>
      <c r="C37" s="38">
        <f t="shared" si="0"/>
        <v>0</v>
      </c>
      <c r="D37" s="39"/>
      <c r="E37" s="39"/>
      <c r="F37" s="39"/>
      <c r="G37" s="39"/>
      <c r="H37" s="40"/>
      <c r="I37" s="41"/>
      <c r="J37" s="39"/>
      <c r="K37" s="43">
        <f t="shared" si="1"/>
        <v>0</v>
      </c>
      <c r="L37" s="39"/>
      <c r="M37" s="42" t="str">
        <f t="shared" si="2"/>
        <v/>
      </c>
      <c r="N37" s="35"/>
      <c r="O37" s="35"/>
      <c r="P37" s="35"/>
      <c r="Q37" s="35"/>
      <c r="R37" s="35"/>
      <c r="S37" s="35"/>
      <c r="T37" s="35"/>
      <c r="U37" s="35"/>
      <c r="V37" s="35"/>
      <c r="W37" s="35"/>
      <c r="X37" s="35"/>
      <c r="Y37" s="35"/>
      <c r="Z37" s="35"/>
      <c r="AA37" s="35"/>
      <c r="AB37" s="35"/>
      <c r="AC37" s="35"/>
      <c r="AD37" s="35"/>
      <c r="AE37" s="35"/>
      <c r="AF37" s="35"/>
      <c r="AG37" s="35"/>
      <c r="AH37" s="35"/>
      <c r="AI37" s="35"/>
      <c r="AJ37" s="35"/>
      <c r="AK37" s="35"/>
      <c r="AL37" s="35"/>
      <c r="AM37" s="35"/>
      <c r="AN37" s="35"/>
      <c r="AO37" s="35"/>
      <c r="AP37" s="35"/>
      <c r="AQ37" s="35"/>
      <c r="AR37" s="35"/>
      <c r="AS37" s="35"/>
      <c r="AT37" s="35"/>
      <c r="AU37" s="35"/>
      <c r="AV37" s="35"/>
      <c r="AW37" s="35"/>
      <c r="AX37" s="35"/>
      <c r="AY37" s="35"/>
      <c r="AZ37" s="35"/>
      <c r="BA37" s="35"/>
      <c r="BB37" s="35"/>
      <c r="BC37" s="35"/>
      <c r="BD37" s="35"/>
      <c r="BE37" s="35"/>
      <c r="BF37" s="35"/>
      <c r="BG37" s="35"/>
      <c r="BH37" s="35"/>
      <c r="BI37" s="35"/>
      <c r="BJ37" s="35"/>
      <c r="BK37" s="35"/>
      <c r="BL37" s="35"/>
    </row>
    <row r="38" spans="1:64" ht="14">
      <c r="A38" s="36"/>
      <c r="B38" s="37"/>
      <c r="C38" s="38">
        <f t="shared" si="0"/>
        <v>0</v>
      </c>
      <c r="D38" s="39"/>
      <c r="E38" s="39"/>
      <c r="F38" s="39"/>
      <c r="G38" s="39"/>
      <c r="H38" s="40"/>
      <c r="I38" s="41"/>
      <c r="J38" s="39"/>
      <c r="K38" s="43">
        <f t="shared" si="1"/>
        <v>0</v>
      </c>
      <c r="L38" s="39"/>
      <c r="M38" s="42" t="str">
        <f t="shared" si="2"/>
        <v/>
      </c>
      <c r="N38" s="35"/>
      <c r="O38" s="35"/>
      <c r="P38" s="35"/>
      <c r="Q38" s="35"/>
      <c r="R38" s="35"/>
      <c r="S38" s="35"/>
      <c r="T38" s="35"/>
      <c r="U38" s="35"/>
      <c r="V38" s="35"/>
      <c r="W38" s="35"/>
      <c r="X38" s="35"/>
      <c r="Y38" s="35"/>
      <c r="Z38" s="35"/>
      <c r="AA38" s="35"/>
      <c r="AB38" s="35"/>
      <c r="AC38" s="35"/>
      <c r="AD38" s="35"/>
      <c r="AE38" s="35"/>
      <c r="AF38" s="35"/>
      <c r="AG38" s="35"/>
      <c r="AH38" s="35"/>
      <c r="AI38" s="35"/>
      <c r="AJ38" s="35"/>
      <c r="AK38" s="35"/>
      <c r="AL38" s="35"/>
      <c r="AM38" s="35"/>
      <c r="AN38" s="35"/>
      <c r="AO38" s="35"/>
      <c r="AP38" s="35"/>
      <c r="AQ38" s="35"/>
      <c r="AR38" s="35"/>
      <c r="AS38" s="35"/>
      <c r="AT38" s="35"/>
      <c r="AU38" s="35"/>
      <c r="AV38" s="35"/>
      <c r="AW38" s="35"/>
      <c r="AX38" s="35"/>
      <c r="AY38" s="35"/>
      <c r="AZ38" s="35"/>
      <c r="BA38" s="35"/>
      <c r="BB38" s="35"/>
      <c r="BC38" s="35"/>
      <c r="BD38" s="35"/>
      <c r="BE38" s="35"/>
      <c r="BF38" s="35"/>
      <c r="BG38" s="35"/>
      <c r="BH38" s="35"/>
      <c r="BI38" s="35"/>
      <c r="BJ38" s="35"/>
      <c r="BK38" s="35"/>
      <c r="BL38" s="35"/>
    </row>
    <row r="39" spans="1:64" ht="14">
      <c r="A39" s="36"/>
      <c r="B39" s="37"/>
      <c r="C39" s="38">
        <f t="shared" si="0"/>
        <v>0</v>
      </c>
      <c r="D39" s="39"/>
      <c r="E39" s="39"/>
      <c r="F39" s="39"/>
      <c r="G39" s="39"/>
      <c r="H39" s="40"/>
      <c r="I39" s="41"/>
      <c r="J39" s="39"/>
      <c r="K39" s="43">
        <f t="shared" si="1"/>
        <v>0</v>
      </c>
      <c r="L39" s="39"/>
      <c r="M39" s="42" t="str">
        <f t="shared" si="2"/>
        <v/>
      </c>
      <c r="N39" s="35"/>
      <c r="O39" s="35"/>
      <c r="P39" s="35"/>
      <c r="Q39" s="35"/>
      <c r="R39" s="35"/>
      <c r="S39" s="35"/>
      <c r="T39" s="35"/>
      <c r="U39" s="35"/>
      <c r="V39" s="35"/>
      <c r="W39" s="35"/>
      <c r="X39" s="35"/>
      <c r="Y39" s="35"/>
      <c r="Z39" s="35"/>
      <c r="AA39" s="35"/>
      <c r="AB39" s="35"/>
      <c r="AC39" s="35"/>
      <c r="AD39" s="35"/>
      <c r="AE39" s="35"/>
      <c r="AF39" s="35"/>
      <c r="AG39" s="35"/>
      <c r="AH39" s="35"/>
      <c r="AI39" s="35"/>
      <c r="AJ39" s="35"/>
      <c r="AK39" s="35"/>
      <c r="AL39" s="35"/>
      <c r="AM39" s="35"/>
      <c r="AN39" s="35"/>
      <c r="AO39" s="35"/>
      <c r="AP39" s="35"/>
      <c r="AQ39" s="35"/>
      <c r="AR39" s="35"/>
      <c r="AS39" s="35"/>
      <c r="AT39" s="35"/>
      <c r="AU39" s="35"/>
      <c r="AV39" s="35"/>
      <c r="AW39" s="35"/>
      <c r="AX39" s="35"/>
      <c r="AY39" s="35"/>
      <c r="AZ39" s="35"/>
      <c r="BA39" s="35"/>
      <c r="BB39" s="35"/>
      <c r="BC39" s="35"/>
      <c r="BD39" s="35"/>
      <c r="BE39" s="35"/>
      <c r="BF39" s="35"/>
      <c r="BG39" s="35"/>
      <c r="BH39" s="35"/>
      <c r="BI39" s="35"/>
      <c r="BJ39" s="35"/>
      <c r="BK39" s="35"/>
      <c r="BL39" s="35"/>
    </row>
    <row r="40" spans="1:64" ht="14">
      <c r="A40" s="36"/>
      <c r="B40" s="37"/>
      <c r="C40" s="38">
        <f t="shared" si="0"/>
        <v>0</v>
      </c>
      <c r="D40" s="39"/>
      <c r="E40" s="39"/>
      <c r="F40" s="39"/>
      <c r="G40" s="39"/>
      <c r="H40" s="40"/>
      <c r="I40" s="41"/>
      <c r="J40" s="39"/>
      <c r="K40" s="43">
        <f t="shared" si="1"/>
        <v>0</v>
      </c>
      <c r="L40" s="39"/>
      <c r="M40" s="42" t="str">
        <f t="shared" si="2"/>
        <v/>
      </c>
      <c r="N40" s="35"/>
      <c r="O40" s="35"/>
      <c r="P40" s="35"/>
      <c r="Q40" s="35"/>
      <c r="R40" s="35"/>
      <c r="S40" s="35"/>
      <c r="T40" s="35"/>
      <c r="U40" s="35"/>
      <c r="V40" s="35"/>
      <c r="W40" s="35"/>
      <c r="X40" s="35"/>
      <c r="Y40" s="35"/>
      <c r="Z40" s="35"/>
      <c r="AA40" s="35"/>
      <c r="AB40" s="35"/>
      <c r="AC40" s="35"/>
      <c r="AD40" s="35"/>
      <c r="AE40" s="35"/>
      <c r="AF40" s="35"/>
      <c r="AG40" s="35"/>
      <c r="AH40" s="35"/>
      <c r="AI40" s="35"/>
      <c r="AJ40" s="35"/>
      <c r="AK40" s="35"/>
      <c r="AL40" s="35"/>
      <c r="AM40" s="35"/>
      <c r="AN40" s="35"/>
      <c r="AO40" s="35"/>
      <c r="AP40" s="35"/>
      <c r="AQ40" s="35"/>
      <c r="AR40" s="35"/>
      <c r="AS40" s="35"/>
      <c r="AT40" s="35"/>
      <c r="AU40" s="35"/>
      <c r="AV40" s="35"/>
      <c r="AW40" s="35"/>
      <c r="AX40" s="35"/>
      <c r="AY40" s="35"/>
      <c r="AZ40" s="35"/>
      <c r="BA40" s="35"/>
      <c r="BB40" s="35"/>
      <c r="BC40" s="35"/>
      <c r="BD40" s="35"/>
      <c r="BE40" s="35"/>
      <c r="BF40" s="35"/>
      <c r="BG40" s="35"/>
      <c r="BH40" s="35"/>
      <c r="BI40" s="35"/>
      <c r="BJ40" s="35"/>
      <c r="BK40" s="35"/>
      <c r="BL40" s="35"/>
    </row>
    <row r="41" spans="1:64" ht="14">
      <c r="A41" s="36"/>
      <c r="B41" s="37"/>
      <c r="C41" s="38">
        <f t="shared" si="0"/>
        <v>0</v>
      </c>
      <c r="D41" s="39"/>
      <c r="E41" s="39"/>
      <c r="F41" s="39"/>
      <c r="G41" s="39"/>
      <c r="H41" s="40"/>
      <c r="I41" s="41"/>
      <c r="J41" s="39"/>
      <c r="K41" s="43">
        <f t="shared" si="1"/>
        <v>0</v>
      </c>
      <c r="L41" s="39"/>
      <c r="M41" s="42" t="str">
        <f t="shared" si="2"/>
        <v/>
      </c>
      <c r="N41" s="35"/>
      <c r="O41" s="35"/>
      <c r="P41" s="35"/>
      <c r="Q41" s="35"/>
      <c r="R41" s="35"/>
      <c r="S41" s="35"/>
      <c r="T41" s="35"/>
      <c r="U41" s="35"/>
      <c r="V41" s="35"/>
      <c r="W41" s="35"/>
      <c r="X41" s="35"/>
      <c r="Y41" s="35"/>
      <c r="Z41" s="35"/>
      <c r="AA41" s="35"/>
      <c r="AB41" s="35"/>
      <c r="AC41" s="35"/>
      <c r="AD41" s="35"/>
      <c r="AE41" s="35"/>
      <c r="AF41" s="35"/>
      <c r="AG41" s="35"/>
      <c r="AH41" s="35"/>
      <c r="AI41" s="35"/>
      <c r="AJ41" s="35"/>
      <c r="AK41" s="35"/>
      <c r="AL41" s="35"/>
      <c r="AM41" s="35"/>
      <c r="AN41" s="35"/>
      <c r="AO41" s="35"/>
      <c r="AP41" s="35"/>
      <c r="AQ41" s="35"/>
      <c r="AR41" s="35"/>
      <c r="AS41" s="35"/>
      <c r="AT41" s="35"/>
      <c r="AU41" s="35"/>
      <c r="AV41" s="35"/>
      <c r="AW41" s="35"/>
      <c r="AX41" s="35"/>
      <c r="AY41" s="35"/>
      <c r="AZ41" s="35"/>
      <c r="BA41" s="35"/>
      <c r="BB41" s="35"/>
      <c r="BC41" s="35"/>
      <c r="BD41" s="35"/>
      <c r="BE41" s="35"/>
      <c r="BF41" s="35"/>
      <c r="BG41" s="35"/>
      <c r="BH41" s="35"/>
      <c r="BI41" s="35"/>
      <c r="BJ41" s="35"/>
      <c r="BK41" s="35"/>
      <c r="BL41" s="35"/>
    </row>
    <row r="42" spans="1:64" ht="14">
      <c r="A42" s="36"/>
      <c r="B42" s="37"/>
      <c r="C42" s="38">
        <f t="shared" si="0"/>
        <v>0</v>
      </c>
      <c r="D42" s="39"/>
      <c r="E42" s="39"/>
      <c r="F42" s="39"/>
      <c r="G42" s="39"/>
      <c r="H42" s="40"/>
      <c r="I42" s="41"/>
      <c r="J42" s="39"/>
      <c r="K42" s="43">
        <f t="shared" si="1"/>
        <v>0</v>
      </c>
      <c r="L42" s="39"/>
      <c r="M42" s="42" t="str">
        <f t="shared" si="2"/>
        <v/>
      </c>
      <c r="N42" s="35"/>
      <c r="O42" s="35"/>
      <c r="P42" s="35"/>
      <c r="Q42" s="35"/>
      <c r="R42" s="35"/>
      <c r="S42" s="35"/>
      <c r="T42" s="35"/>
      <c r="U42" s="35"/>
      <c r="V42" s="35"/>
      <c r="W42" s="35"/>
      <c r="X42" s="35"/>
      <c r="Y42" s="35"/>
      <c r="Z42" s="35"/>
      <c r="AA42" s="35"/>
      <c r="AB42" s="35"/>
      <c r="AC42" s="35"/>
      <c r="AD42" s="35"/>
      <c r="AE42" s="35"/>
      <c r="AF42" s="35"/>
      <c r="AG42" s="35"/>
      <c r="AH42" s="35"/>
      <c r="AI42" s="35"/>
      <c r="AJ42" s="35"/>
      <c r="AK42" s="35"/>
      <c r="AL42" s="35"/>
      <c r="AM42" s="35"/>
      <c r="AN42" s="35"/>
      <c r="AO42" s="35"/>
      <c r="AP42" s="35"/>
      <c r="AQ42" s="35"/>
      <c r="AR42" s="35"/>
      <c r="AS42" s="35"/>
      <c r="AT42" s="35"/>
      <c r="AU42" s="35"/>
      <c r="AV42" s="35"/>
      <c r="AW42" s="35"/>
      <c r="AX42" s="35"/>
      <c r="AY42" s="35"/>
      <c r="AZ42" s="35"/>
      <c r="BA42" s="35"/>
      <c r="BB42" s="35"/>
      <c r="BC42" s="35"/>
      <c r="BD42" s="35"/>
      <c r="BE42" s="35"/>
      <c r="BF42" s="35"/>
      <c r="BG42" s="35"/>
      <c r="BH42" s="35"/>
      <c r="BI42" s="35"/>
      <c r="BJ42" s="35"/>
      <c r="BK42" s="35"/>
      <c r="BL42" s="35"/>
    </row>
    <row r="43" spans="1:64" ht="14">
      <c r="A43" s="36"/>
      <c r="B43" s="37"/>
      <c r="C43" s="38">
        <f t="shared" si="0"/>
        <v>0</v>
      </c>
      <c r="D43" s="39"/>
      <c r="E43" s="39"/>
      <c r="F43" s="39"/>
      <c r="G43" s="39"/>
      <c r="H43" s="40"/>
      <c r="I43" s="41"/>
      <c r="J43" s="39"/>
      <c r="K43" s="43">
        <f t="shared" si="1"/>
        <v>0</v>
      </c>
      <c r="L43" s="39"/>
      <c r="M43" s="42" t="str">
        <f t="shared" si="2"/>
        <v/>
      </c>
      <c r="N43" s="35"/>
      <c r="O43" s="35"/>
      <c r="P43" s="35"/>
      <c r="Q43" s="35"/>
      <c r="R43" s="35"/>
      <c r="S43" s="35"/>
      <c r="T43" s="35"/>
      <c r="U43" s="35"/>
      <c r="V43" s="35"/>
      <c r="W43" s="35"/>
      <c r="X43" s="35"/>
      <c r="Y43" s="35"/>
      <c r="Z43" s="35"/>
      <c r="AA43" s="35"/>
      <c r="AB43" s="35"/>
      <c r="AC43" s="35"/>
      <c r="AD43" s="35"/>
      <c r="AE43" s="35"/>
      <c r="AF43" s="35"/>
      <c r="AG43" s="35"/>
      <c r="AH43" s="35"/>
      <c r="AI43" s="35"/>
      <c r="AJ43" s="35"/>
      <c r="AK43" s="35"/>
      <c r="AL43" s="35"/>
      <c r="AM43" s="35"/>
      <c r="AN43" s="35"/>
      <c r="AO43" s="35"/>
      <c r="AP43" s="35"/>
      <c r="AQ43" s="35"/>
      <c r="AR43" s="35"/>
      <c r="AS43" s="35"/>
      <c r="AT43" s="35"/>
      <c r="AU43" s="35"/>
      <c r="AV43" s="35"/>
      <c r="AW43" s="35"/>
      <c r="AX43" s="35"/>
      <c r="AY43" s="35"/>
      <c r="AZ43" s="35"/>
      <c r="BA43" s="35"/>
      <c r="BB43" s="35"/>
      <c r="BC43" s="35"/>
      <c r="BD43" s="35"/>
      <c r="BE43" s="35"/>
      <c r="BF43" s="35"/>
      <c r="BG43" s="35"/>
      <c r="BH43" s="35"/>
      <c r="BI43" s="35"/>
      <c r="BJ43" s="35"/>
      <c r="BK43" s="35"/>
      <c r="BL43" s="35"/>
    </row>
    <row r="44" spans="1:64" ht="14">
      <c r="A44" s="36"/>
      <c r="B44" s="37"/>
      <c r="C44" s="38">
        <f t="shared" si="0"/>
        <v>0</v>
      </c>
      <c r="D44" s="39"/>
      <c r="E44" s="39"/>
      <c r="F44" s="39"/>
      <c r="G44" s="39"/>
      <c r="H44" s="40"/>
      <c r="I44" s="41"/>
      <c r="J44" s="39"/>
      <c r="K44" s="43">
        <f t="shared" si="1"/>
        <v>0</v>
      </c>
      <c r="L44" s="39"/>
      <c r="M44" s="42" t="str">
        <f t="shared" si="2"/>
        <v/>
      </c>
      <c r="N44" s="35"/>
      <c r="O44" s="35"/>
      <c r="P44" s="35"/>
      <c r="Q44" s="35"/>
      <c r="R44" s="35"/>
      <c r="S44" s="35"/>
      <c r="T44" s="35"/>
      <c r="U44" s="35"/>
      <c r="V44" s="35"/>
      <c r="W44" s="35"/>
      <c r="X44" s="35"/>
      <c r="Y44" s="35"/>
      <c r="Z44" s="35"/>
      <c r="AA44" s="35"/>
      <c r="AB44" s="35"/>
      <c r="AC44" s="35"/>
      <c r="AD44" s="35"/>
      <c r="AE44" s="35"/>
      <c r="AF44" s="35"/>
      <c r="AG44" s="35"/>
      <c r="AH44" s="35"/>
      <c r="AI44" s="35"/>
      <c r="AJ44" s="35"/>
      <c r="AK44" s="35"/>
      <c r="AL44" s="35"/>
      <c r="AM44" s="35"/>
      <c r="AN44" s="35"/>
      <c r="AO44" s="35"/>
      <c r="AP44" s="35"/>
      <c r="AQ44" s="35"/>
      <c r="AR44" s="35"/>
      <c r="AS44" s="35"/>
      <c r="AT44" s="35"/>
      <c r="AU44" s="35"/>
      <c r="AV44" s="35"/>
      <c r="AW44" s="35"/>
      <c r="AX44" s="35"/>
      <c r="AY44" s="35"/>
      <c r="AZ44" s="35"/>
      <c r="BA44" s="35"/>
      <c r="BB44" s="35"/>
      <c r="BC44" s="35"/>
      <c r="BD44" s="35"/>
      <c r="BE44" s="35"/>
      <c r="BF44" s="35"/>
      <c r="BG44" s="35"/>
      <c r="BH44" s="35"/>
      <c r="BI44" s="35"/>
      <c r="BJ44" s="35"/>
      <c r="BK44" s="35"/>
      <c r="BL44" s="35"/>
    </row>
    <row r="45" spans="1:64" ht="14">
      <c r="A45" s="36"/>
      <c r="B45" s="37"/>
      <c r="C45" s="38">
        <f t="shared" si="0"/>
        <v>0</v>
      </c>
      <c r="D45" s="39"/>
      <c r="E45" s="39"/>
      <c r="F45" s="39"/>
      <c r="G45" s="39"/>
      <c r="H45" s="40"/>
      <c r="I45" s="41"/>
      <c r="J45" s="39"/>
      <c r="K45" s="43">
        <f t="shared" si="1"/>
        <v>0</v>
      </c>
      <c r="L45" s="39"/>
      <c r="M45" s="42" t="str">
        <f t="shared" si="2"/>
        <v/>
      </c>
      <c r="N45" s="35"/>
      <c r="O45" s="35"/>
      <c r="P45" s="35"/>
      <c r="Q45" s="35"/>
      <c r="R45" s="35"/>
      <c r="S45" s="35"/>
      <c r="T45" s="35"/>
      <c r="U45" s="35"/>
      <c r="V45" s="35"/>
      <c r="W45" s="35"/>
      <c r="X45" s="35"/>
      <c r="Y45" s="35"/>
      <c r="Z45" s="35"/>
      <c r="AA45" s="35"/>
      <c r="AB45" s="35"/>
      <c r="AC45" s="35"/>
      <c r="AD45" s="35"/>
      <c r="AE45" s="35"/>
      <c r="AF45" s="35"/>
      <c r="AG45" s="35"/>
      <c r="AH45" s="35"/>
      <c r="AI45" s="35"/>
      <c r="AJ45" s="35"/>
      <c r="AK45" s="35"/>
      <c r="AL45" s="35"/>
      <c r="AM45" s="35"/>
      <c r="AN45" s="35"/>
      <c r="AO45" s="35"/>
      <c r="AP45" s="35"/>
      <c r="AQ45" s="35"/>
      <c r="AR45" s="35"/>
      <c r="AS45" s="35"/>
      <c r="AT45" s="35"/>
      <c r="AU45" s="35"/>
      <c r="AV45" s="35"/>
      <c r="AW45" s="35"/>
      <c r="AX45" s="35"/>
      <c r="AY45" s="35"/>
      <c r="AZ45" s="35"/>
      <c r="BA45" s="35"/>
      <c r="BB45" s="35"/>
      <c r="BC45" s="35"/>
      <c r="BD45" s="35"/>
      <c r="BE45" s="35"/>
      <c r="BF45" s="35"/>
      <c r="BG45" s="35"/>
      <c r="BH45" s="35"/>
      <c r="BI45" s="35"/>
      <c r="BJ45" s="35"/>
      <c r="BK45" s="35"/>
      <c r="BL45" s="35"/>
    </row>
    <row r="46" spans="1:64" ht="14">
      <c r="A46" s="36"/>
      <c r="B46" s="37"/>
      <c r="C46" s="38">
        <f t="shared" si="0"/>
        <v>0</v>
      </c>
      <c r="D46" s="39"/>
      <c r="E46" s="39"/>
      <c r="F46" s="39"/>
      <c r="G46" s="39"/>
      <c r="H46" s="40"/>
      <c r="I46" s="41"/>
      <c r="J46" s="39"/>
      <c r="K46" s="43">
        <f t="shared" si="1"/>
        <v>0</v>
      </c>
      <c r="L46" s="39"/>
      <c r="M46" s="42" t="str">
        <f t="shared" si="2"/>
        <v/>
      </c>
      <c r="N46" s="35"/>
      <c r="O46" s="35"/>
      <c r="P46" s="35"/>
      <c r="Q46" s="35"/>
      <c r="R46" s="35"/>
      <c r="S46" s="35"/>
      <c r="T46" s="35"/>
      <c r="U46" s="35"/>
      <c r="V46" s="35"/>
      <c r="W46" s="35"/>
      <c r="X46" s="35"/>
      <c r="Y46" s="35"/>
      <c r="Z46" s="35"/>
      <c r="AA46" s="35"/>
      <c r="AB46" s="35"/>
      <c r="AC46" s="35"/>
      <c r="AD46" s="35"/>
      <c r="AE46" s="35"/>
      <c r="AF46" s="35"/>
      <c r="AG46" s="35"/>
      <c r="AH46" s="35"/>
      <c r="AI46" s="35"/>
      <c r="AJ46" s="35"/>
      <c r="AK46" s="35"/>
      <c r="AL46" s="35"/>
      <c r="AM46" s="35"/>
      <c r="AN46" s="35"/>
      <c r="AO46" s="35"/>
      <c r="AP46" s="35"/>
      <c r="AQ46" s="35"/>
      <c r="AR46" s="35"/>
      <c r="AS46" s="35"/>
      <c r="AT46" s="35"/>
      <c r="AU46" s="35"/>
      <c r="AV46" s="35"/>
      <c r="AW46" s="35"/>
      <c r="AX46" s="35"/>
      <c r="AY46" s="35"/>
      <c r="AZ46" s="35"/>
      <c r="BA46" s="35"/>
      <c r="BB46" s="35"/>
      <c r="BC46" s="35"/>
      <c r="BD46" s="35"/>
      <c r="BE46" s="35"/>
      <c r="BF46" s="35"/>
      <c r="BG46" s="35"/>
      <c r="BH46" s="35"/>
      <c r="BI46" s="35"/>
      <c r="BJ46" s="35"/>
      <c r="BK46" s="35"/>
      <c r="BL46" s="35"/>
    </row>
    <row r="47" spans="1:64" ht="14">
      <c r="A47" s="36"/>
      <c r="B47" s="37"/>
      <c r="C47" s="38">
        <f t="shared" si="0"/>
        <v>0</v>
      </c>
      <c r="D47" s="39"/>
      <c r="E47" s="39"/>
      <c r="F47" s="39"/>
      <c r="G47" s="39"/>
      <c r="H47" s="40"/>
      <c r="I47" s="41"/>
      <c r="J47" s="39"/>
      <c r="K47" s="43">
        <f t="shared" si="1"/>
        <v>0</v>
      </c>
      <c r="L47" s="39"/>
      <c r="M47" s="42" t="str">
        <f t="shared" si="2"/>
        <v/>
      </c>
      <c r="N47" s="35"/>
      <c r="O47" s="35"/>
      <c r="P47" s="35"/>
      <c r="Q47" s="35"/>
      <c r="R47" s="35"/>
      <c r="S47" s="35"/>
      <c r="T47" s="35"/>
      <c r="U47" s="35"/>
      <c r="V47" s="35"/>
      <c r="W47" s="35"/>
      <c r="X47" s="35"/>
      <c r="Y47" s="35"/>
      <c r="Z47" s="35"/>
      <c r="AA47" s="35"/>
      <c r="AB47" s="35"/>
      <c r="AC47" s="35"/>
      <c r="AD47" s="35"/>
      <c r="AE47" s="35"/>
      <c r="AF47" s="35"/>
      <c r="AG47" s="35"/>
      <c r="AH47" s="35"/>
      <c r="AI47" s="35"/>
      <c r="AJ47" s="35"/>
      <c r="AK47" s="35"/>
      <c r="AL47" s="35"/>
      <c r="AM47" s="35"/>
      <c r="AN47" s="35"/>
      <c r="AO47" s="35"/>
      <c r="AP47" s="35"/>
      <c r="AQ47" s="35"/>
      <c r="AR47" s="35"/>
      <c r="AS47" s="35"/>
      <c r="AT47" s="35"/>
      <c r="AU47" s="35"/>
      <c r="AV47" s="35"/>
      <c r="AW47" s="35"/>
      <c r="AX47" s="35"/>
      <c r="AY47" s="35"/>
      <c r="AZ47" s="35"/>
      <c r="BA47" s="35"/>
      <c r="BB47" s="35"/>
      <c r="BC47" s="35"/>
      <c r="BD47" s="35"/>
      <c r="BE47" s="35"/>
      <c r="BF47" s="35"/>
      <c r="BG47" s="35"/>
      <c r="BH47" s="35"/>
      <c r="BI47" s="35"/>
      <c r="BJ47" s="35"/>
      <c r="BK47" s="35"/>
      <c r="BL47" s="35"/>
    </row>
    <row r="48" spans="1:64" ht="14">
      <c r="A48" s="36"/>
      <c r="B48" s="37"/>
      <c r="C48" s="38">
        <f t="shared" si="0"/>
        <v>0</v>
      </c>
      <c r="D48" s="39"/>
      <c r="E48" s="39"/>
      <c r="F48" s="39"/>
      <c r="G48" s="39"/>
      <c r="H48" s="40"/>
      <c r="I48" s="41"/>
      <c r="J48" s="39"/>
      <c r="K48" s="43">
        <f t="shared" si="1"/>
        <v>0</v>
      </c>
      <c r="L48" s="39"/>
      <c r="M48" s="42" t="str">
        <f t="shared" si="2"/>
        <v/>
      </c>
      <c r="N48" s="35"/>
      <c r="O48" s="35"/>
      <c r="P48" s="35"/>
      <c r="Q48" s="35"/>
      <c r="R48" s="35"/>
      <c r="S48" s="35"/>
      <c r="T48" s="35"/>
      <c r="U48" s="35"/>
      <c r="V48" s="35"/>
      <c r="W48" s="35"/>
      <c r="X48" s="35"/>
      <c r="Y48" s="35"/>
      <c r="Z48" s="35"/>
      <c r="AA48" s="35"/>
      <c r="AB48" s="35"/>
      <c r="AC48" s="35"/>
      <c r="AD48" s="35"/>
      <c r="AE48" s="35"/>
      <c r="AF48" s="35"/>
      <c r="AG48" s="35"/>
      <c r="AH48" s="35"/>
      <c r="AI48" s="35"/>
      <c r="AJ48" s="35"/>
      <c r="AK48" s="35"/>
      <c r="AL48" s="35"/>
      <c r="AM48" s="35"/>
      <c r="AN48" s="35"/>
      <c r="AO48" s="35"/>
      <c r="AP48" s="35"/>
      <c r="AQ48" s="35"/>
      <c r="AR48" s="35"/>
      <c r="AS48" s="35"/>
      <c r="AT48" s="35"/>
      <c r="AU48" s="35"/>
      <c r="AV48" s="35"/>
      <c r="AW48" s="35"/>
      <c r="AX48" s="35"/>
      <c r="AY48" s="35"/>
      <c r="AZ48" s="35"/>
      <c r="BA48" s="35"/>
      <c r="BB48" s="35"/>
      <c r="BC48" s="35"/>
      <c r="BD48" s="35"/>
      <c r="BE48" s="35"/>
      <c r="BF48" s="35"/>
      <c r="BG48" s="35"/>
      <c r="BH48" s="35"/>
      <c r="BI48" s="35"/>
      <c r="BJ48" s="35"/>
      <c r="BK48" s="35"/>
      <c r="BL48" s="35"/>
    </row>
    <row r="49" spans="1:64" ht="14">
      <c r="A49" s="36"/>
      <c r="B49" s="37"/>
      <c r="C49" s="38">
        <f t="shared" si="0"/>
        <v>0</v>
      </c>
      <c r="D49" s="39"/>
      <c r="E49" s="39"/>
      <c r="F49" s="39"/>
      <c r="G49" s="39"/>
      <c r="H49" s="40"/>
      <c r="I49" s="41"/>
      <c r="J49" s="39"/>
      <c r="K49" s="43">
        <f t="shared" si="1"/>
        <v>0</v>
      </c>
      <c r="L49" s="39"/>
      <c r="M49" s="42" t="str">
        <f t="shared" si="2"/>
        <v/>
      </c>
      <c r="N49" s="35"/>
      <c r="O49" s="35"/>
      <c r="P49" s="35"/>
      <c r="Q49" s="35"/>
      <c r="R49" s="35"/>
      <c r="S49" s="35"/>
      <c r="T49" s="35"/>
      <c r="U49" s="35"/>
      <c r="V49" s="35"/>
      <c r="W49" s="35"/>
      <c r="X49" s="35"/>
      <c r="Y49" s="35"/>
      <c r="Z49" s="35"/>
      <c r="AA49" s="35"/>
      <c r="AB49" s="35"/>
      <c r="AC49" s="35"/>
      <c r="AD49" s="35"/>
      <c r="AE49" s="35"/>
      <c r="AF49" s="35"/>
      <c r="AG49" s="35"/>
      <c r="AH49" s="35"/>
      <c r="AI49" s="35"/>
      <c r="AJ49" s="35"/>
      <c r="AK49" s="35"/>
      <c r="AL49" s="35"/>
      <c r="AM49" s="35"/>
      <c r="AN49" s="35"/>
      <c r="AO49" s="35"/>
      <c r="AP49" s="35"/>
      <c r="AQ49" s="35"/>
      <c r="AR49" s="35"/>
      <c r="AS49" s="35"/>
      <c r="AT49" s="35"/>
      <c r="AU49" s="35"/>
      <c r="AV49" s="35"/>
      <c r="AW49" s="35"/>
      <c r="AX49" s="35"/>
      <c r="AY49" s="35"/>
      <c r="AZ49" s="35"/>
      <c r="BA49" s="35"/>
      <c r="BB49" s="35"/>
      <c r="BC49" s="35"/>
      <c r="BD49" s="35"/>
      <c r="BE49" s="35"/>
      <c r="BF49" s="35"/>
      <c r="BG49" s="35"/>
      <c r="BH49" s="35"/>
      <c r="BI49" s="35"/>
      <c r="BJ49" s="35"/>
      <c r="BK49" s="35"/>
      <c r="BL49" s="35"/>
    </row>
    <row r="50" spans="1:64" ht="14">
      <c r="A50" s="36"/>
      <c r="B50" s="37"/>
      <c r="C50" s="38">
        <f t="shared" si="0"/>
        <v>0</v>
      </c>
      <c r="D50" s="39"/>
      <c r="E50" s="39"/>
      <c r="F50" s="39"/>
      <c r="G50" s="39"/>
      <c r="H50" s="40"/>
      <c r="I50" s="41"/>
      <c r="J50" s="39"/>
      <c r="K50" s="43">
        <f t="shared" si="1"/>
        <v>0</v>
      </c>
      <c r="L50" s="39"/>
      <c r="M50" s="42" t="str">
        <f t="shared" si="2"/>
        <v/>
      </c>
      <c r="N50" s="35"/>
      <c r="O50" s="35"/>
      <c r="P50" s="35"/>
      <c r="Q50" s="35"/>
      <c r="R50" s="35"/>
      <c r="S50" s="35"/>
      <c r="T50" s="35"/>
      <c r="U50" s="35"/>
      <c r="V50" s="35"/>
      <c r="W50" s="35"/>
      <c r="X50" s="35"/>
      <c r="Y50" s="35"/>
      <c r="Z50" s="35"/>
      <c r="AA50" s="35"/>
      <c r="AB50" s="35"/>
      <c r="AC50" s="35"/>
      <c r="AD50" s="35"/>
      <c r="AE50" s="35"/>
      <c r="AF50" s="35"/>
      <c r="AG50" s="35"/>
      <c r="AH50" s="35"/>
      <c r="AI50" s="35"/>
      <c r="AJ50" s="35"/>
      <c r="AK50" s="35"/>
      <c r="AL50" s="35"/>
      <c r="AM50" s="35"/>
      <c r="AN50" s="35"/>
      <c r="AO50" s="35"/>
      <c r="AP50" s="35"/>
      <c r="AQ50" s="35"/>
      <c r="AR50" s="35"/>
      <c r="AS50" s="35"/>
      <c r="AT50" s="35"/>
      <c r="AU50" s="35"/>
      <c r="AV50" s="35"/>
      <c r="AW50" s="35"/>
      <c r="AX50" s="35"/>
      <c r="AY50" s="35"/>
      <c r="AZ50" s="35"/>
      <c r="BA50" s="35"/>
      <c r="BB50" s="35"/>
      <c r="BC50" s="35"/>
      <c r="BD50" s="35"/>
      <c r="BE50" s="35"/>
      <c r="BF50" s="35"/>
      <c r="BG50" s="35"/>
      <c r="BH50" s="35"/>
      <c r="BI50" s="35"/>
      <c r="BJ50" s="35"/>
      <c r="BK50" s="35"/>
      <c r="BL50" s="35"/>
    </row>
    <row r="51" spans="1:64" ht="14">
      <c r="A51" s="36"/>
      <c r="B51" s="37"/>
      <c r="C51" s="38">
        <f t="shared" si="0"/>
        <v>0</v>
      </c>
      <c r="D51" s="39"/>
      <c r="E51" s="39"/>
      <c r="F51" s="39"/>
      <c r="G51" s="39"/>
      <c r="H51" s="40"/>
      <c r="I51" s="41"/>
      <c r="J51" s="39"/>
      <c r="K51" s="43">
        <f t="shared" si="1"/>
        <v>0</v>
      </c>
      <c r="L51" s="39"/>
      <c r="M51" s="42" t="str">
        <f t="shared" si="2"/>
        <v/>
      </c>
      <c r="N51" s="35"/>
      <c r="O51" s="35"/>
      <c r="P51" s="35"/>
      <c r="Q51" s="35"/>
      <c r="R51" s="35"/>
      <c r="S51" s="35"/>
      <c r="T51" s="35"/>
      <c r="U51" s="35"/>
      <c r="V51" s="35"/>
      <c r="W51" s="35"/>
      <c r="X51" s="35"/>
      <c r="Y51" s="35"/>
      <c r="Z51" s="35"/>
      <c r="AA51" s="35"/>
      <c r="AB51" s="35"/>
      <c r="AC51" s="35"/>
      <c r="AD51" s="35"/>
      <c r="AE51" s="35"/>
      <c r="AF51" s="35"/>
      <c r="AG51" s="35"/>
      <c r="AH51" s="35"/>
      <c r="AI51" s="35"/>
      <c r="AJ51" s="35"/>
      <c r="AK51" s="35"/>
      <c r="AL51" s="35"/>
      <c r="AM51" s="35"/>
      <c r="AN51" s="35"/>
      <c r="AO51" s="35"/>
      <c r="AP51" s="35"/>
      <c r="AQ51" s="35"/>
      <c r="AR51" s="35"/>
      <c r="AS51" s="35"/>
      <c r="AT51" s="35"/>
      <c r="AU51" s="35"/>
      <c r="AV51" s="35"/>
      <c r="AW51" s="35"/>
      <c r="AX51" s="35"/>
      <c r="AY51" s="35"/>
      <c r="AZ51" s="35"/>
      <c r="BA51" s="35"/>
      <c r="BB51" s="35"/>
      <c r="BC51" s="35"/>
      <c r="BD51" s="35"/>
      <c r="BE51" s="35"/>
      <c r="BF51" s="35"/>
      <c r="BG51" s="35"/>
      <c r="BH51" s="35"/>
      <c r="BI51" s="35"/>
      <c r="BJ51" s="35"/>
      <c r="BK51" s="35"/>
      <c r="BL51" s="35"/>
    </row>
    <row r="52" spans="1:64" ht="14">
      <c r="A52" s="36"/>
      <c r="B52" s="37"/>
      <c r="C52" s="38">
        <f t="shared" si="0"/>
        <v>0</v>
      </c>
      <c r="D52" s="39"/>
      <c r="E52" s="39"/>
      <c r="F52" s="39"/>
      <c r="G52" s="39"/>
      <c r="H52" s="40"/>
      <c r="I52" s="41"/>
      <c r="J52" s="39"/>
      <c r="K52" s="43">
        <f t="shared" si="1"/>
        <v>0</v>
      </c>
      <c r="L52" s="39"/>
      <c r="M52" s="42" t="str">
        <f t="shared" si="2"/>
        <v/>
      </c>
      <c r="N52" s="35"/>
      <c r="O52" s="35"/>
      <c r="P52" s="35"/>
      <c r="Q52" s="35"/>
      <c r="R52" s="35"/>
      <c r="S52" s="35"/>
      <c r="T52" s="35"/>
      <c r="U52" s="35"/>
      <c r="V52" s="35"/>
      <c r="W52" s="35"/>
      <c r="X52" s="35"/>
      <c r="Y52" s="35"/>
      <c r="Z52" s="35"/>
      <c r="AA52" s="35"/>
      <c r="AB52" s="35"/>
      <c r="AC52" s="35"/>
      <c r="AD52" s="35"/>
      <c r="AE52" s="35"/>
      <c r="AF52" s="35"/>
      <c r="AG52" s="35"/>
      <c r="AH52" s="35"/>
      <c r="AI52" s="35"/>
      <c r="AJ52" s="35"/>
      <c r="AK52" s="35"/>
      <c r="AL52" s="35"/>
      <c r="AM52" s="35"/>
      <c r="AN52" s="35"/>
      <c r="AO52" s="35"/>
      <c r="AP52" s="35"/>
      <c r="AQ52" s="35"/>
      <c r="AR52" s="35"/>
      <c r="AS52" s="35"/>
      <c r="AT52" s="35"/>
      <c r="AU52" s="35"/>
      <c r="AV52" s="35"/>
      <c r="AW52" s="35"/>
      <c r="AX52" s="35"/>
      <c r="AY52" s="35"/>
      <c r="AZ52" s="35"/>
      <c r="BA52" s="35"/>
      <c r="BB52" s="35"/>
      <c r="BC52" s="35"/>
      <c r="BD52" s="35"/>
      <c r="BE52" s="35"/>
      <c r="BF52" s="35"/>
      <c r="BG52" s="35"/>
      <c r="BH52" s="35"/>
      <c r="BI52" s="35"/>
      <c r="BJ52" s="35"/>
      <c r="BK52" s="35"/>
      <c r="BL52" s="35"/>
    </row>
    <row r="53" spans="1:64" ht="14">
      <c r="A53" s="36"/>
      <c r="B53" s="37"/>
      <c r="C53" s="38">
        <f t="shared" si="0"/>
        <v>0</v>
      </c>
      <c r="D53" s="39"/>
      <c r="E53" s="39"/>
      <c r="F53" s="39"/>
      <c r="G53" s="39"/>
      <c r="H53" s="40"/>
      <c r="I53" s="41"/>
      <c r="J53" s="39"/>
      <c r="K53" s="43">
        <f t="shared" si="1"/>
        <v>0</v>
      </c>
      <c r="L53" s="39"/>
      <c r="M53" s="42" t="str">
        <f t="shared" si="2"/>
        <v/>
      </c>
      <c r="N53" s="35"/>
      <c r="O53" s="35"/>
      <c r="P53" s="35"/>
      <c r="Q53" s="35"/>
      <c r="R53" s="35"/>
      <c r="S53" s="35"/>
      <c r="T53" s="35"/>
      <c r="U53" s="35"/>
      <c r="V53" s="35"/>
      <c r="W53" s="35"/>
      <c r="X53" s="35"/>
      <c r="Y53" s="35"/>
      <c r="Z53" s="35"/>
      <c r="AA53" s="35"/>
      <c r="AB53" s="35"/>
      <c r="AC53" s="35"/>
      <c r="AD53" s="35"/>
      <c r="AE53" s="35"/>
      <c r="AF53" s="35"/>
      <c r="AG53" s="35"/>
      <c r="AH53" s="35"/>
      <c r="AI53" s="35"/>
      <c r="AJ53" s="35"/>
      <c r="AK53" s="35"/>
      <c r="AL53" s="35"/>
      <c r="AM53" s="35"/>
      <c r="AN53" s="35"/>
      <c r="AO53" s="35"/>
      <c r="AP53" s="35"/>
      <c r="AQ53" s="35"/>
      <c r="AR53" s="35"/>
      <c r="AS53" s="35"/>
      <c r="AT53" s="35"/>
      <c r="AU53" s="35"/>
      <c r="AV53" s="35"/>
      <c r="AW53" s="35"/>
      <c r="AX53" s="35"/>
      <c r="AY53" s="35"/>
      <c r="AZ53" s="35"/>
      <c r="BA53" s="35"/>
      <c r="BB53" s="35"/>
      <c r="BC53" s="35"/>
      <c r="BD53" s="35"/>
      <c r="BE53" s="35"/>
      <c r="BF53" s="35"/>
      <c r="BG53" s="35"/>
      <c r="BH53" s="35"/>
      <c r="BI53" s="35"/>
      <c r="BJ53" s="35"/>
      <c r="BK53" s="35"/>
      <c r="BL53" s="35"/>
    </row>
    <row r="54" spans="1:64" ht="14">
      <c r="A54" s="36"/>
      <c r="B54" s="37"/>
      <c r="C54" s="38">
        <f t="shared" si="0"/>
        <v>0</v>
      </c>
      <c r="D54" s="39"/>
      <c r="E54" s="39"/>
      <c r="F54" s="39"/>
      <c r="G54" s="39"/>
      <c r="H54" s="40"/>
      <c r="I54" s="41"/>
      <c r="J54" s="39"/>
      <c r="K54" s="43">
        <f t="shared" si="1"/>
        <v>0</v>
      </c>
      <c r="L54" s="39"/>
      <c r="M54" s="42" t="str">
        <f t="shared" si="2"/>
        <v/>
      </c>
      <c r="N54" s="35"/>
      <c r="O54" s="35"/>
      <c r="P54" s="35"/>
      <c r="Q54" s="35"/>
      <c r="R54" s="35"/>
      <c r="S54" s="35"/>
      <c r="T54" s="35"/>
      <c r="U54" s="35"/>
      <c r="V54" s="35"/>
      <c r="W54" s="35"/>
      <c r="X54" s="35"/>
      <c r="Y54" s="35"/>
      <c r="Z54" s="35"/>
      <c r="AA54" s="35"/>
      <c r="AB54" s="35"/>
      <c r="AC54" s="35"/>
      <c r="AD54" s="35"/>
      <c r="AE54" s="35"/>
      <c r="AF54" s="35"/>
      <c r="AG54" s="35"/>
      <c r="AH54" s="35"/>
      <c r="AI54" s="35"/>
      <c r="AJ54" s="35"/>
      <c r="AK54" s="35"/>
      <c r="AL54" s="35"/>
      <c r="AM54" s="35"/>
      <c r="AN54" s="35"/>
      <c r="AO54" s="35"/>
      <c r="AP54" s="35"/>
      <c r="AQ54" s="35"/>
      <c r="AR54" s="35"/>
      <c r="AS54" s="35"/>
      <c r="AT54" s="35"/>
      <c r="AU54" s="35"/>
      <c r="AV54" s="35"/>
      <c r="AW54" s="35"/>
      <c r="AX54" s="35"/>
      <c r="AY54" s="35"/>
      <c r="AZ54" s="35"/>
      <c r="BA54" s="35"/>
      <c r="BB54" s="35"/>
      <c r="BC54" s="35"/>
      <c r="BD54" s="35"/>
      <c r="BE54" s="35"/>
      <c r="BF54" s="35"/>
      <c r="BG54" s="35"/>
      <c r="BH54" s="35"/>
      <c r="BI54" s="35"/>
      <c r="BJ54" s="35"/>
      <c r="BK54" s="35"/>
      <c r="BL54" s="35"/>
    </row>
    <row r="55" spans="1:64" ht="14">
      <c r="A55" s="36"/>
      <c r="B55" s="37"/>
      <c r="C55" s="38">
        <f t="shared" si="0"/>
        <v>0</v>
      </c>
      <c r="D55" s="39"/>
      <c r="E55" s="39"/>
      <c r="F55" s="39"/>
      <c r="G55" s="39"/>
      <c r="H55" s="40"/>
      <c r="I55" s="41"/>
      <c r="J55" s="39"/>
      <c r="K55" s="43">
        <f t="shared" si="1"/>
        <v>0</v>
      </c>
      <c r="L55" s="39"/>
      <c r="M55" s="42" t="str">
        <f t="shared" si="2"/>
        <v/>
      </c>
      <c r="N55" s="35"/>
      <c r="O55" s="35"/>
      <c r="P55" s="35"/>
      <c r="Q55" s="35"/>
      <c r="R55" s="35"/>
      <c r="S55" s="35"/>
      <c r="T55" s="35"/>
      <c r="U55" s="35"/>
      <c r="V55" s="35"/>
      <c r="W55" s="35"/>
      <c r="X55" s="35"/>
      <c r="Y55" s="35"/>
      <c r="Z55" s="35"/>
      <c r="AA55" s="35"/>
      <c r="AB55" s="35"/>
      <c r="AC55" s="35"/>
      <c r="AD55" s="35"/>
      <c r="AE55" s="35"/>
      <c r="AF55" s="35"/>
      <c r="AG55" s="35"/>
      <c r="AH55" s="35"/>
      <c r="AI55" s="35"/>
      <c r="AJ55" s="35"/>
      <c r="AK55" s="35"/>
      <c r="AL55" s="35"/>
      <c r="AM55" s="35"/>
      <c r="AN55" s="35"/>
      <c r="AO55" s="35"/>
      <c r="AP55" s="35"/>
      <c r="AQ55" s="35"/>
      <c r="AR55" s="35"/>
      <c r="AS55" s="35"/>
      <c r="AT55" s="35"/>
      <c r="AU55" s="35"/>
      <c r="AV55" s="35"/>
      <c r="AW55" s="35"/>
      <c r="AX55" s="35"/>
      <c r="AY55" s="35"/>
      <c r="AZ55" s="35"/>
      <c r="BA55" s="35"/>
      <c r="BB55" s="35"/>
      <c r="BC55" s="35"/>
      <c r="BD55" s="35"/>
      <c r="BE55" s="35"/>
      <c r="BF55" s="35"/>
      <c r="BG55" s="35"/>
      <c r="BH55" s="35"/>
      <c r="BI55" s="35"/>
      <c r="BJ55" s="35"/>
      <c r="BK55" s="35"/>
      <c r="BL55" s="35"/>
    </row>
    <row r="56" spans="1:64" ht="14">
      <c r="A56" s="36"/>
      <c r="B56" s="37"/>
      <c r="C56" s="38">
        <f t="shared" si="0"/>
        <v>0</v>
      </c>
      <c r="D56" s="39"/>
      <c r="E56" s="39"/>
      <c r="F56" s="39"/>
      <c r="G56" s="39"/>
      <c r="H56" s="40"/>
      <c r="I56" s="41"/>
      <c r="J56" s="39"/>
      <c r="K56" s="43">
        <f t="shared" si="1"/>
        <v>0</v>
      </c>
      <c r="L56" s="39"/>
      <c r="M56" s="42" t="str">
        <f t="shared" si="2"/>
        <v/>
      </c>
      <c r="N56" s="35"/>
      <c r="O56" s="35"/>
      <c r="P56" s="35"/>
      <c r="Q56" s="35"/>
      <c r="R56" s="35"/>
      <c r="S56" s="35"/>
      <c r="T56" s="35"/>
      <c r="U56" s="35"/>
      <c r="V56" s="35"/>
      <c r="W56" s="35"/>
      <c r="X56" s="35"/>
      <c r="Y56" s="35"/>
      <c r="Z56" s="35"/>
      <c r="AA56" s="35"/>
      <c r="AB56" s="35"/>
      <c r="AC56" s="35"/>
      <c r="AD56" s="35"/>
      <c r="AE56" s="35"/>
      <c r="AF56" s="35"/>
      <c r="AG56" s="35"/>
      <c r="AH56" s="35"/>
      <c r="AI56" s="35"/>
      <c r="AJ56" s="35"/>
      <c r="AK56" s="35"/>
      <c r="AL56" s="35"/>
      <c r="AM56" s="35"/>
      <c r="AN56" s="35"/>
      <c r="AO56" s="35"/>
      <c r="AP56" s="35"/>
      <c r="AQ56" s="35"/>
      <c r="AR56" s="35"/>
      <c r="AS56" s="35"/>
      <c r="AT56" s="35"/>
      <c r="AU56" s="35"/>
      <c r="AV56" s="35"/>
      <c r="AW56" s="35"/>
      <c r="AX56" s="35"/>
      <c r="AY56" s="35"/>
      <c r="AZ56" s="35"/>
      <c r="BA56" s="35"/>
      <c r="BB56" s="35"/>
      <c r="BC56" s="35"/>
      <c r="BD56" s="35"/>
      <c r="BE56" s="35"/>
      <c r="BF56" s="35"/>
      <c r="BG56" s="35"/>
      <c r="BH56" s="35"/>
      <c r="BI56" s="35"/>
      <c r="BJ56" s="35"/>
      <c r="BK56" s="35"/>
      <c r="BL56" s="35"/>
    </row>
    <row r="57" spans="1:64" ht="14">
      <c r="A57" s="36"/>
      <c r="B57" s="37"/>
      <c r="C57" s="38">
        <f t="shared" si="0"/>
        <v>0</v>
      </c>
      <c r="D57" s="39"/>
      <c r="E57" s="39"/>
      <c r="F57" s="39"/>
      <c r="G57" s="39"/>
      <c r="H57" s="40"/>
      <c r="I57" s="41"/>
      <c r="J57" s="39"/>
      <c r="K57" s="43">
        <f t="shared" si="1"/>
        <v>0</v>
      </c>
      <c r="L57" s="39"/>
      <c r="M57" s="42" t="str">
        <f t="shared" si="2"/>
        <v/>
      </c>
      <c r="N57" s="35"/>
      <c r="O57" s="35"/>
      <c r="P57" s="35"/>
      <c r="Q57" s="35"/>
      <c r="R57" s="35"/>
      <c r="S57" s="35"/>
      <c r="T57" s="35"/>
      <c r="U57" s="35"/>
      <c r="V57" s="35"/>
      <c r="W57" s="35"/>
      <c r="X57" s="35"/>
      <c r="Y57" s="35"/>
      <c r="Z57" s="35"/>
      <c r="AA57" s="35"/>
      <c r="AB57" s="35"/>
      <c r="AC57" s="35"/>
      <c r="AD57" s="35"/>
      <c r="AE57" s="35"/>
      <c r="AF57" s="35"/>
      <c r="AG57" s="35"/>
      <c r="AH57" s="35"/>
      <c r="AI57" s="35"/>
      <c r="AJ57" s="35"/>
      <c r="AK57" s="35"/>
      <c r="AL57" s="35"/>
      <c r="AM57" s="35"/>
      <c r="AN57" s="35"/>
      <c r="AO57" s="35"/>
      <c r="AP57" s="35"/>
      <c r="AQ57" s="35"/>
      <c r="AR57" s="35"/>
      <c r="AS57" s="35"/>
      <c r="AT57" s="35"/>
      <c r="AU57" s="35"/>
      <c r="AV57" s="35"/>
      <c r="AW57" s="35"/>
      <c r="AX57" s="35"/>
      <c r="AY57" s="35"/>
      <c r="AZ57" s="35"/>
      <c r="BA57" s="35"/>
      <c r="BB57" s="35"/>
      <c r="BC57" s="35"/>
      <c r="BD57" s="35"/>
      <c r="BE57" s="35"/>
      <c r="BF57" s="35"/>
      <c r="BG57" s="35"/>
      <c r="BH57" s="35"/>
      <c r="BI57" s="35"/>
      <c r="BJ57" s="35"/>
      <c r="BK57" s="35"/>
      <c r="BL57" s="35"/>
    </row>
    <row r="58" spans="1:64" ht="14">
      <c r="A58" s="36"/>
      <c r="B58" s="37"/>
      <c r="C58" s="38">
        <f t="shared" si="0"/>
        <v>0</v>
      </c>
      <c r="D58" s="39"/>
      <c r="E58" s="39"/>
      <c r="F58" s="39"/>
      <c r="G58" s="39"/>
      <c r="H58" s="40"/>
      <c r="I58" s="41"/>
      <c r="J58" s="39"/>
      <c r="K58" s="43">
        <f t="shared" si="1"/>
        <v>0</v>
      </c>
      <c r="L58" s="39"/>
      <c r="M58" s="42" t="str">
        <f t="shared" si="2"/>
        <v/>
      </c>
      <c r="N58" s="35"/>
      <c r="O58" s="35"/>
      <c r="P58" s="35"/>
      <c r="Q58" s="35"/>
      <c r="R58" s="35"/>
      <c r="S58" s="35"/>
      <c r="T58" s="35"/>
      <c r="U58" s="35"/>
      <c r="V58" s="35"/>
      <c r="W58" s="35"/>
      <c r="X58" s="35"/>
      <c r="Y58" s="35"/>
      <c r="Z58" s="35"/>
      <c r="AA58" s="35"/>
      <c r="AB58" s="35"/>
      <c r="AC58" s="35"/>
      <c r="AD58" s="35"/>
      <c r="AE58" s="35"/>
      <c r="AF58" s="35"/>
      <c r="AG58" s="35"/>
      <c r="AH58" s="35"/>
      <c r="AI58" s="35"/>
      <c r="AJ58" s="35"/>
      <c r="AK58" s="35"/>
      <c r="AL58" s="35"/>
      <c r="AM58" s="35"/>
      <c r="AN58" s="35"/>
      <c r="AO58" s="35"/>
      <c r="AP58" s="35"/>
      <c r="AQ58" s="35"/>
      <c r="AR58" s="35"/>
      <c r="AS58" s="35"/>
      <c r="AT58" s="35"/>
      <c r="AU58" s="35"/>
      <c r="AV58" s="35"/>
      <c r="AW58" s="35"/>
      <c r="AX58" s="35"/>
      <c r="AY58" s="35"/>
      <c r="AZ58" s="35"/>
      <c r="BA58" s="35"/>
      <c r="BB58" s="35"/>
      <c r="BC58" s="35"/>
      <c r="BD58" s="35"/>
      <c r="BE58" s="35"/>
      <c r="BF58" s="35"/>
      <c r="BG58" s="35"/>
      <c r="BH58" s="35"/>
      <c r="BI58" s="35"/>
      <c r="BJ58" s="35"/>
      <c r="BK58" s="35"/>
      <c r="BL58" s="35"/>
    </row>
    <row r="59" spans="1:64" ht="14">
      <c r="A59" s="36"/>
      <c r="B59" s="37"/>
      <c r="C59" s="38">
        <f t="shared" si="0"/>
        <v>0</v>
      </c>
      <c r="D59" s="39"/>
      <c r="E59" s="39"/>
      <c r="F59" s="39"/>
      <c r="G59" s="39"/>
      <c r="H59" s="40"/>
      <c r="I59" s="41"/>
      <c r="J59" s="39"/>
      <c r="K59" s="43">
        <f t="shared" si="1"/>
        <v>0</v>
      </c>
      <c r="L59" s="39"/>
      <c r="M59" s="42" t="str">
        <f t="shared" si="2"/>
        <v/>
      </c>
      <c r="N59" s="35"/>
      <c r="O59" s="35"/>
      <c r="P59" s="35"/>
      <c r="Q59" s="35"/>
      <c r="R59" s="35"/>
      <c r="S59" s="35"/>
      <c r="T59" s="35"/>
      <c r="U59" s="35"/>
      <c r="V59" s="35"/>
      <c r="W59" s="35"/>
      <c r="X59" s="35"/>
      <c r="Y59" s="35"/>
      <c r="Z59" s="35"/>
      <c r="AA59" s="35"/>
      <c r="AB59" s="35"/>
      <c r="AC59" s="35"/>
      <c r="AD59" s="35"/>
      <c r="AE59" s="35"/>
      <c r="AF59" s="35"/>
      <c r="AG59" s="35"/>
      <c r="AH59" s="35"/>
      <c r="AI59" s="35"/>
      <c r="AJ59" s="35"/>
      <c r="AK59" s="35"/>
      <c r="AL59" s="35"/>
      <c r="AM59" s="35"/>
      <c r="AN59" s="35"/>
      <c r="AO59" s="35"/>
      <c r="AP59" s="35"/>
      <c r="AQ59" s="35"/>
      <c r="AR59" s="35"/>
      <c r="AS59" s="35"/>
      <c r="AT59" s="35"/>
      <c r="AU59" s="35"/>
      <c r="AV59" s="35"/>
      <c r="AW59" s="35"/>
      <c r="AX59" s="35"/>
      <c r="AY59" s="35"/>
      <c r="AZ59" s="35"/>
      <c r="BA59" s="35"/>
      <c r="BB59" s="35"/>
      <c r="BC59" s="35"/>
      <c r="BD59" s="35"/>
      <c r="BE59" s="35"/>
      <c r="BF59" s="35"/>
      <c r="BG59" s="35"/>
      <c r="BH59" s="35"/>
      <c r="BI59" s="35"/>
      <c r="BJ59" s="35"/>
      <c r="BK59" s="35"/>
      <c r="BL59" s="35"/>
    </row>
    <row r="60" spans="1:64" ht="14">
      <c r="A60" s="36"/>
      <c r="B60" s="37"/>
      <c r="C60" s="38">
        <f t="shared" si="0"/>
        <v>0</v>
      </c>
      <c r="D60" s="39"/>
      <c r="E60" s="39"/>
      <c r="F60" s="39"/>
      <c r="G60" s="39"/>
      <c r="H60" s="40"/>
      <c r="I60" s="41"/>
      <c r="J60" s="39"/>
      <c r="K60" s="43">
        <f t="shared" si="1"/>
        <v>0</v>
      </c>
      <c r="L60" s="39"/>
      <c r="M60" s="42" t="str">
        <f t="shared" si="2"/>
        <v/>
      </c>
      <c r="N60" s="35"/>
      <c r="O60" s="35"/>
      <c r="P60" s="35"/>
      <c r="Q60" s="35"/>
      <c r="R60" s="35"/>
      <c r="S60" s="35"/>
      <c r="T60" s="35"/>
      <c r="U60" s="35"/>
      <c r="V60" s="35"/>
      <c r="W60" s="35"/>
      <c r="X60" s="35"/>
      <c r="Y60" s="35"/>
      <c r="Z60" s="35"/>
      <c r="AA60" s="35"/>
      <c r="AB60" s="35"/>
      <c r="AC60" s="35"/>
      <c r="AD60" s="35"/>
      <c r="AE60" s="35"/>
      <c r="AF60" s="35"/>
      <c r="AG60" s="35"/>
      <c r="AH60" s="35"/>
      <c r="AI60" s="35"/>
      <c r="AJ60" s="35"/>
      <c r="AK60" s="35"/>
      <c r="AL60" s="35"/>
      <c r="AM60" s="35"/>
      <c r="AN60" s="35"/>
      <c r="AO60" s="35"/>
      <c r="AP60" s="35"/>
      <c r="AQ60" s="35"/>
      <c r="AR60" s="35"/>
      <c r="AS60" s="35"/>
      <c r="AT60" s="35"/>
      <c r="AU60" s="35"/>
      <c r="AV60" s="35"/>
      <c r="AW60" s="35"/>
      <c r="AX60" s="35"/>
      <c r="AY60" s="35"/>
      <c r="AZ60" s="35"/>
      <c r="BA60" s="35"/>
      <c r="BB60" s="35"/>
      <c r="BC60" s="35"/>
      <c r="BD60" s="35"/>
      <c r="BE60" s="35"/>
      <c r="BF60" s="35"/>
      <c r="BG60" s="35"/>
      <c r="BH60" s="35"/>
      <c r="BI60" s="35"/>
      <c r="BJ60" s="35"/>
      <c r="BK60" s="35"/>
      <c r="BL60" s="35"/>
    </row>
    <row r="61" spans="1:64" ht="14">
      <c r="A61" s="36"/>
      <c r="B61" s="37"/>
      <c r="C61" s="38">
        <f t="shared" si="0"/>
        <v>0</v>
      </c>
      <c r="D61" s="39"/>
      <c r="E61" s="39"/>
      <c r="F61" s="39"/>
      <c r="G61" s="39"/>
      <c r="H61" s="40"/>
      <c r="I61" s="41"/>
      <c r="J61" s="39"/>
      <c r="K61" s="43">
        <f t="shared" si="1"/>
        <v>0</v>
      </c>
      <c r="L61" s="39"/>
      <c r="M61" s="42" t="str">
        <f t="shared" si="2"/>
        <v/>
      </c>
      <c r="N61" s="35"/>
      <c r="O61" s="35"/>
      <c r="P61" s="35"/>
      <c r="Q61" s="35"/>
      <c r="R61" s="35"/>
      <c r="S61" s="35"/>
      <c r="T61" s="35"/>
      <c r="U61" s="35"/>
      <c r="V61" s="35"/>
      <c r="W61" s="35"/>
      <c r="X61" s="35"/>
      <c r="Y61" s="35"/>
      <c r="Z61" s="35"/>
      <c r="AA61" s="35"/>
      <c r="AB61" s="35"/>
      <c r="AC61" s="35"/>
      <c r="AD61" s="35"/>
      <c r="AE61" s="35"/>
      <c r="AF61" s="35"/>
      <c r="AG61" s="35"/>
      <c r="AH61" s="35"/>
      <c r="AI61" s="35"/>
      <c r="AJ61" s="35"/>
      <c r="AK61" s="35"/>
      <c r="AL61" s="35"/>
      <c r="AM61" s="35"/>
      <c r="AN61" s="35"/>
      <c r="AO61" s="35"/>
      <c r="AP61" s="35"/>
      <c r="AQ61" s="35"/>
      <c r="AR61" s="35"/>
      <c r="AS61" s="35"/>
      <c r="AT61" s="35"/>
      <c r="AU61" s="35"/>
      <c r="AV61" s="35"/>
      <c r="AW61" s="35"/>
      <c r="AX61" s="35"/>
      <c r="AY61" s="35"/>
      <c r="AZ61" s="35"/>
      <c r="BA61" s="35"/>
      <c r="BB61" s="35"/>
      <c r="BC61" s="35"/>
      <c r="BD61" s="35"/>
      <c r="BE61" s="35"/>
      <c r="BF61" s="35"/>
      <c r="BG61" s="35"/>
      <c r="BH61" s="35"/>
      <c r="BI61" s="35"/>
      <c r="BJ61" s="35"/>
      <c r="BK61" s="35"/>
      <c r="BL61" s="35"/>
    </row>
    <row r="62" spans="1:64" ht="14">
      <c r="A62" s="36"/>
      <c r="B62" s="37"/>
      <c r="C62" s="38">
        <f t="shared" si="0"/>
        <v>0</v>
      </c>
      <c r="D62" s="39"/>
      <c r="E62" s="39"/>
      <c r="F62" s="39"/>
      <c r="G62" s="39"/>
      <c r="H62" s="40"/>
      <c r="I62" s="41"/>
      <c r="J62" s="39"/>
      <c r="K62" s="43">
        <f t="shared" si="1"/>
        <v>0</v>
      </c>
      <c r="L62" s="39"/>
      <c r="M62" s="42" t="str">
        <f t="shared" si="2"/>
        <v/>
      </c>
      <c r="N62" s="35"/>
      <c r="O62" s="35"/>
      <c r="P62" s="35"/>
      <c r="Q62" s="35"/>
      <c r="R62" s="35"/>
      <c r="S62" s="35"/>
      <c r="T62" s="35"/>
      <c r="U62" s="35"/>
      <c r="V62" s="35"/>
      <c r="W62" s="35"/>
      <c r="X62" s="35"/>
      <c r="Y62" s="35"/>
      <c r="Z62" s="35"/>
      <c r="AA62" s="35"/>
      <c r="AB62" s="35"/>
      <c r="AC62" s="35"/>
      <c r="AD62" s="35"/>
      <c r="AE62" s="35"/>
      <c r="AF62" s="35"/>
      <c r="AG62" s="35"/>
      <c r="AH62" s="35"/>
      <c r="AI62" s="35"/>
      <c r="AJ62" s="35"/>
      <c r="AK62" s="35"/>
      <c r="AL62" s="35"/>
      <c r="AM62" s="35"/>
      <c r="AN62" s="35"/>
      <c r="AO62" s="35"/>
      <c r="AP62" s="35"/>
      <c r="AQ62" s="35"/>
      <c r="AR62" s="35"/>
      <c r="AS62" s="35"/>
      <c r="AT62" s="35"/>
      <c r="AU62" s="35"/>
      <c r="AV62" s="35"/>
      <c r="AW62" s="35"/>
      <c r="AX62" s="35"/>
      <c r="AY62" s="35"/>
      <c r="AZ62" s="35"/>
      <c r="BA62" s="35"/>
      <c r="BB62" s="35"/>
      <c r="BC62" s="35"/>
      <c r="BD62" s="35"/>
      <c r="BE62" s="35"/>
      <c r="BF62" s="35"/>
      <c r="BG62" s="35"/>
      <c r="BH62" s="35"/>
      <c r="BI62" s="35"/>
      <c r="BJ62" s="35"/>
      <c r="BK62" s="35"/>
      <c r="BL62" s="35"/>
    </row>
    <row r="63" spans="1:64" ht="14">
      <c r="A63" s="36"/>
      <c r="B63" s="37"/>
      <c r="C63" s="38">
        <f t="shared" si="0"/>
        <v>0</v>
      </c>
      <c r="D63" s="39"/>
      <c r="E63" s="39"/>
      <c r="F63" s="39"/>
      <c r="G63" s="39"/>
      <c r="H63" s="40"/>
      <c r="I63" s="41"/>
      <c r="J63" s="39"/>
      <c r="K63" s="43">
        <f t="shared" si="1"/>
        <v>0</v>
      </c>
      <c r="L63" s="39"/>
      <c r="M63" s="42" t="str">
        <f t="shared" si="2"/>
        <v/>
      </c>
      <c r="N63" s="35"/>
      <c r="O63" s="35"/>
      <c r="P63" s="35"/>
      <c r="Q63" s="35"/>
      <c r="R63" s="35"/>
      <c r="S63" s="35"/>
      <c r="T63" s="35"/>
      <c r="U63" s="35"/>
      <c r="V63" s="35"/>
      <c r="W63" s="35"/>
      <c r="X63" s="35"/>
      <c r="Y63" s="35"/>
      <c r="Z63" s="35"/>
      <c r="AA63" s="35"/>
      <c r="AB63" s="35"/>
      <c r="AC63" s="35"/>
      <c r="AD63" s="35"/>
      <c r="AE63" s="35"/>
      <c r="AF63" s="35"/>
      <c r="AG63" s="35"/>
      <c r="AH63" s="35"/>
      <c r="AI63" s="35"/>
      <c r="AJ63" s="35"/>
      <c r="AK63" s="35"/>
      <c r="AL63" s="35"/>
      <c r="AM63" s="35"/>
      <c r="AN63" s="35"/>
      <c r="AO63" s="35"/>
      <c r="AP63" s="35"/>
      <c r="AQ63" s="35"/>
      <c r="AR63" s="35"/>
      <c r="AS63" s="35"/>
      <c r="AT63" s="35"/>
      <c r="AU63" s="35"/>
      <c r="AV63" s="35"/>
      <c r="AW63" s="35"/>
      <c r="AX63" s="35"/>
      <c r="AY63" s="35"/>
      <c r="AZ63" s="35"/>
      <c r="BA63" s="35"/>
      <c r="BB63" s="35"/>
      <c r="BC63" s="35"/>
      <c r="BD63" s="35"/>
      <c r="BE63" s="35"/>
      <c r="BF63" s="35"/>
      <c r="BG63" s="35"/>
      <c r="BH63" s="35"/>
      <c r="BI63" s="35"/>
      <c r="BJ63" s="35"/>
      <c r="BK63" s="35"/>
      <c r="BL63" s="35"/>
    </row>
    <row r="64" spans="1:64" ht="14">
      <c r="A64" s="36"/>
      <c r="B64" s="37"/>
      <c r="C64" s="38">
        <f t="shared" si="0"/>
        <v>0</v>
      </c>
      <c r="D64" s="39"/>
      <c r="E64" s="39"/>
      <c r="F64" s="39"/>
      <c r="G64" s="39"/>
      <c r="H64" s="40"/>
      <c r="I64" s="41"/>
      <c r="J64" s="39"/>
      <c r="K64" s="43">
        <f t="shared" si="1"/>
        <v>0</v>
      </c>
      <c r="L64" s="39"/>
      <c r="M64" s="42" t="str">
        <f t="shared" si="2"/>
        <v/>
      </c>
      <c r="N64" s="35"/>
      <c r="O64" s="35"/>
      <c r="P64" s="35"/>
      <c r="Q64" s="35"/>
      <c r="R64" s="35"/>
      <c r="S64" s="35"/>
      <c r="T64" s="35"/>
      <c r="U64" s="35"/>
      <c r="V64" s="35"/>
      <c r="W64" s="35"/>
      <c r="X64" s="35"/>
      <c r="Y64" s="35"/>
      <c r="Z64" s="35"/>
      <c r="AA64" s="35"/>
      <c r="AB64" s="35"/>
      <c r="AC64" s="35"/>
      <c r="AD64" s="35"/>
      <c r="AE64" s="35"/>
      <c r="AF64" s="35"/>
      <c r="AG64" s="35"/>
      <c r="AH64" s="35"/>
      <c r="AI64" s="35"/>
      <c r="AJ64" s="35"/>
      <c r="AK64" s="35"/>
      <c r="AL64" s="35"/>
      <c r="AM64" s="35"/>
      <c r="AN64" s="35"/>
      <c r="AO64" s="35"/>
      <c r="AP64" s="35"/>
      <c r="AQ64" s="35"/>
      <c r="AR64" s="35"/>
      <c r="AS64" s="35"/>
      <c r="AT64" s="35"/>
      <c r="AU64" s="35"/>
      <c r="AV64" s="35"/>
      <c r="AW64" s="35"/>
      <c r="AX64" s="35"/>
      <c r="AY64" s="35"/>
      <c r="AZ64" s="35"/>
      <c r="BA64" s="35"/>
      <c r="BB64" s="35"/>
      <c r="BC64" s="35"/>
      <c r="BD64" s="35"/>
      <c r="BE64" s="35"/>
      <c r="BF64" s="35"/>
      <c r="BG64" s="35"/>
      <c r="BH64" s="35"/>
      <c r="BI64" s="35"/>
      <c r="BJ64" s="35"/>
      <c r="BK64" s="35"/>
      <c r="BL64" s="35"/>
    </row>
    <row r="65" spans="1:64" ht="14">
      <c r="A65" s="36"/>
      <c r="B65" s="37"/>
      <c r="C65" s="38">
        <f t="shared" si="0"/>
        <v>0</v>
      </c>
      <c r="D65" s="39"/>
      <c r="E65" s="39"/>
      <c r="F65" s="39"/>
      <c r="G65" s="39"/>
      <c r="H65" s="40"/>
      <c r="I65" s="41"/>
      <c r="J65" s="39"/>
      <c r="K65" s="43">
        <f t="shared" si="1"/>
        <v>0</v>
      </c>
      <c r="L65" s="39"/>
      <c r="M65" s="42" t="str">
        <f t="shared" si="2"/>
        <v/>
      </c>
      <c r="N65" s="35"/>
      <c r="O65" s="35"/>
      <c r="P65" s="35"/>
      <c r="Q65" s="35"/>
      <c r="R65" s="35"/>
      <c r="S65" s="35"/>
      <c r="T65" s="35"/>
      <c r="U65" s="35"/>
      <c r="V65" s="35"/>
      <c r="W65" s="35"/>
      <c r="X65" s="35"/>
      <c r="Y65" s="35"/>
      <c r="Z65" s="35"/>
      <c r="AA65" s="35"/>
      <c r="AB65" s="35"/>
      <c r="AC65" s="35"/>
      <c r="AD65" s="35"/>
      <c r="AE65" s="35"/>
      <c r="AF65" s="35"/>
      <c r="AG65" s="35"/>
      <c r="AH65" s="35"/>
      <c r="AI65" s="35"/>
      <c r="AJ65" s="35"/>
      <c r="AK65" s="35"/>
      <c r="AL65" s="35"/>
      <c r="AM65" s="35"/>
      <c r="AN65" s="35"/>
      <c r="AO65" s="35"/>
      <c r="AP65" s="35"/>
      <c r="AQ65" s="35"/>
      <c r="AR65" s="35"/>
      <c r="AS65" s="35"/>
      <c r="AT65" s="35"/>
      <c r="AU65" s="35"/>
      <c r="AV65" s="35"/>
      <c r="AW65" s="35"/>
      <c r="AX65" s="35"/>
      <c r="AY65" s="35"/>
      <c r="AZ65" s="35"/>
      <c r="BA65" s="35"/>
      <c r="BB65" s="35"/>
      <c r="BC65" s="35"/>
      <c r="BD65" s="35"/>
      <c r="BE65" s="35"/>
      <c r="BF65" s="35"/>
      <c r="BG65" s="35"/>
      <c r="BH65" s="35"/>
      <c r="BI65" s="35"/>
      <c r="BJ65" s="35"/>
      <c r="BK65" s="35"/>
      <c r="BL65" s="35"/>
    </row>
    <row r="66" spans="1:64" ht="14">
      <c r="A66" s="36"/>
      <c r="B66" s="37"/>
      <c r="C66" s="38">
        <f t="shared" si="0"/>
        <v>0</v>
      </c>
      <c r="D66" s="39"/>
      <c r="E66" s="39"/>
      <c r="F66" s="39"/>
      <c r="G66" s="39"/>
      <c r="H66" s="40"/>
      <c r="I66" s="41"/>
      <c r="J66" s="39"/>
      <c r="K66" s="43">
        <f t="shared" si="1"/>
        <v>0</v>
      </c>
      <c r="L66" s="39"/>
      <c r="M66" s="42" t="str">
        <f t="shared" si="2"/>
        <v/>
      </c>
      <c r="N66" s="35"/>
      <c r="O66" s="35"/>
      <c r="P66" s="35"/>
      <c r="Q66" s="35"/>
      <c r="R66" s="35"/>
      <c r="S66" s="35"/>
      <c r="T66" s="35"/>
      <c r="U66" s="35"/>
      <c r="V66" s="35"/>
      <c r="W66" s="35"/>
      <c r="X66" s="35"/>
      <c r="Y66" s="35"/>
      <c r="Z66" s="35"/>
      <c r="AA66" s="35"/>
      <c r="AB66" s="35"/>
      <c r="AC66" s="35"/>
      <c r="AD66" s="35"/>
      <c r="AE66" s="35"/>
      <c r="AF66" s="35"/>
      <c r="AG66" s="35"/>
      <c r="AH66" s="35"/>
      <c r="AI66" s="35"/>
      <c r="AJ66" s="35"/>
      <c r="AK66" s="35"/>
      <c r="AL66" s="35"/>
      <c r="AM66" s="35"/>
      <c r="AN66" s="35"/>
      <c r="AO66" s="35"/>
      <c r="AP66" s="35"/>
      <c r="AQ66" s="35"/>
      <c r="AR66" s="35"/>
      <c r="AS66" s="35"/>
      <c r="AT66" s="35"/>
      <c r="AU66" s="35"/>
      <c r="AV66" s="35"/>
      <c r="AW66" s="35"/>
      <c r="AX66" s="35"/>
      <c r="AY66" s="35"/>
      <c r="AZ66" s="35"/>
      <c r="BA66" s="35"/>
      <c r="BB66" s="35"/>
      <c r="BC66" s="35"/>
      <c r="BD66" s="35"/>
      <c r="BE66" s="35"/>
      <c r="BF66" s="35"/>
      <c r="BG66" s="35"/>
      <c r="BH66" s="35"/>
      <c r="BI66" s="35"/>
      <c r="BJ66" s="35"/>
      <c r="BK66" s="35"/>
      <c r="BL66" s="35"/>
    </row>
    <row r="67" spans="1:64" ht="14">
      <c r="A67" s="36"/>
      <c r="B67" s="37"/>
      <c r="C67" s="38">
        <f t="shared" si="0"/>
        <v>0</v>
      </c>
      <c r="D67" s="39"/>
      <c r="E67" s="39"/>
      <c r="F67" s="39"/>
      <c r="G67" s="39"/>
      <c r="H67" s="40"/>
      <c r="I67" s="41"/>
      <c r="J67" s="39"/>
      <c r="K67" s="43">
        <f t="shared" si="1"/>
        <v>0</v>
      </c>
      <c r="L67" s="39"/>
      <c r="M67" s="42" t="str">
        <f t="shared" si="2"/>
        <v/>
      </c>
      <c r="N67" s="35"/>
      <c r="O67" s="35"/>
      <c r="P67" s="35"/>
      <c r="Q67" s="35"/>
      <c r="R67" s="35"/>
      <c r="S67" s="35"/>
      <c r="T67" s="35"/>
      <c r="U67" s="35"/>
      <c r="V67" s="35"/>
      <c r="W67" s="35"/>
      <c r="X67" s="35"/>
      <c r="Y67" s="35"/>
      <c r="Z67" s="35"/>
      <c r="AA67" s="35"/>
      <c r="AB67" s="35"/>
      <c r="AC67" s="35"/>
      <c r="AD67" s="35"/>
      <c r="AE67" s="35"/>
      <c r="AF67" s="35"/>
      <c r="AG67" s="35"/>
      <c r="AH67" s="35"/>
      <c r="AI67" s="35"/>
      <c r="AJ67" s="35"/>
      <c r="AK67" s="35"/>
      <c r="AL67" s="35"/>
      <c r="AM67" s="35"/>
      <c r="AN67" s="35"/>
      <c r="AO67" s="35"/>
      <c r="AP67" s="35"/>
      <c r="AQ67" s="35"/>
      <c r="AR67" s="35"/>
      <c r="AS67" s="35"/>
      <c r="AT67" s="35"/>
      <c r="AU67" s="35"/>
      <c r="AV67" s="35"/>
      <c r="AW67" s="35"/>
      <c r="AX67" s="35"/>
      <c r="AY67" s="35"/>
      <c r="AZ67" s="35"/>
      <c r="BA67" s="35"/>
      <c r="BB67" s="35"/>
      <c r="BC67" s="35"/>
      <c r="BD67" s="35"/>
      <c r="BE67" s="35"/>
      <c r="BF67" s="35"/>
      <c r="BG67" s="35"/>
      <c r="BH67" s="35"/>
      <c r="BI67" s="35"/>
      <c r="BJ67" s="35"/>
      <c r="BK67" s="35"/>
      <c r="BL67" s="35"/>
    </row>
    <row r="68" spans="1:64" ht="14">
      <c r="A68" s="36"/>
      <c r="B68" s="37"/>
      <c r="C68" s="38">
        <f t="shared" si="0"/>
        <v>0</v>
      </c>
      <c r="D68" s="39"/>
      <c r="E68" s="39"/>
      <c r="F68" s="39"/>
      <c r="G68" s="39"/>
      <c r="H68" s="40"/>
      <c r="I68" s="41"/>
      <c r="J68" s="39"/>
      <c r="K68" s="43">
        <f t="shared" si="1"/>
        <v>0</v>
      </c>
      <c r="L68" s="39"/>
      <c r="M68" s="42" t="str">
        <f t="shared" si="2"/>
        <v/>
      </c>
      <c r="N68" s="35"/>
      <c r="O68" s="35"/>
      <c r="P68" s="35"/>
      <c r="Q68" s="35"/>
      <c r="R68" s="35"/>
      <c r="S68" s="35"/>
      <c r="T68" s="35"/>
      <c r="U68" s="35"/>
      <c r="V68" s="35"/>
      <c r="W68" s="35"/>
      <c r="X68" s="35"/>
      <c r="Y68" s="35"/>
      <c r="Z68" s="35"/>
      <c r="AA68" s="35"/>
      <c r="AB68" s="35"/>
      <c r="AC68" s="35"/>
      <c r="AD68" s="35"/>
      <c r="AE68" s="35"/>
      <c r="AF68" s="35"/>
      <c r="AG68" s="35"/>
      <c r="AH68" s="35"/>
      <c r="AI68" s="35"/>
      <c r="AJ68" s="35"/>
      <c r="AK68" s="35"/>
      <c r="AL68" s="35"/>
      <c r="AM68" s="35"/>
      <c r="AN68" s="35"/>
      <c r="AO68" s="35"/>
      <c r="AP68" s="35"/>
      <c r="AQ68" s="35"/>
      <c r="AR68" s="35"/>
      <c r="AS68" s="35"/>
      <c r="AT68" s="35"/>
      <c r="AU68" s="35"/>
      <c r="AV68" s="35"/>
      <c r="AW68" s="35"/>
      <c r="AX68" s="35"/>
      <c r="AY68" s="35"/>
      <c r="AZ68" s="35"/>
      <c r="BA68" s="35"/>
      <c r="BB68" s="35"/>
      <c r="BC68" s="35"/>
      <c r="BD68" s="35"/>
      <c r="BE68" s="35"/>
      <c r="BF68" s="35"/>
      <c r="BG68" s="35"/>
      <c r="BH68" s="35"/>
      <c r="BI68" s="35"/>
      <c r="BJ68" s="35"/>
      <c r="BK68" s="35"/>
      <c r="BL68" s="35"/>
    </row>
    <row r="69" spans="1:64" ht="14">
      <c r="A69" s="36"/>
      <c r="B69" s="37"/>
      <c r="C69" s="38">
        <f t="shared" si="0"/>
        <v>0</v>
      </c>
      <c r="D69" s="39"/>
      <c r="E69" s="39"/>
      <c r="F69" s="39"/>
      <c r="G69" s="39"/>
      <c r="H69" s="40"/>
      <c r="I69" s="41"/>
      <c r="J69" s="39"/>
      <c r="K69" s="43">
        <f t="shared" si="1"/>
        <v>0</v>
      </c>
      <c r="L69" s="39"/>
      <c r="M69" s="42" t="str">
        <f t="shared" si="2"/>
        <v/>
      </c>
      <c r="N69" s="35"/>
      <c r="O69" s="35"/>
      <c r="P69" s="35"/>
      <c r="Q69" s="35"/>
      <c r="R69" s="35"/>
      <c r="S69" s="35"/>
      <c r="T69" s="35"/>
      <c r="U69" s="35"/>
      <c r="V69" s="35"/>
      <c r="W69" s="35"/>
      <c r="X69" s="35"/>
      <c r="Y69" s="35"/>
      <c r="Z69" s="35"/>
      <c r="AA69" s="35"/>
      <c r="AB69" s="35"/>
      <c r="AC69" s="35"/>
      <c r="AD69" s="35"/>
      <c r="AE69" s="35"/>
      <c r="AF69" s="35"/>
      <c r="AG69" s="35"/>
      <c r="AH69" s="35"/>
      <c r="AI69" s="35"/>
      <c r="AJ69" s="35"/>
      <c r="AK69" s="35"/>
      <c r="AL69" s="35"/>
      <c r="AM69" s="35"/>
      <c r="AN69" s="35"/>
      <c r="AO69" s="35"/>
      <c r="AP69" s="35"/>
      <c r="AQ69" s="35"/>
      <c r="AR69" s="35"/>
      <c r="AS69" s="35"/>
      <c r="AT69" s="35"/>
      <c r="AU69" s="35"/>
      <c r="AV69" s="35"/>
      <c r="AW69" s="35"/>
      <c r="AX69" s="35"/>
      <c r="AY69" s="35"/>
      <c r="AZ69" s="35"/>
      <c r="BA69" s="35"/>
      <c r="BB69" s="35"/>
      <c r="BC69" s="35"/>
      <c r="BD69" s="35"/>
      <c r="BE69" s="35"/>
      <c r="BF69" s="35"/>
      <c r="BG69" s="35"/>
      <c r="BH69" s="35"/>
      <c r="BI69" s="35"/>
      <c r="BJ69" s="35"/>
      <c r="BK69" s="35"/>
      <c r="BL69" s="35"/>
    </row>
    <row r="70" spans="1:64" ht="14">
      <c r="A70" s="36"/>
      <c r="B70" s="37"/>
      <c r="C70" s="38">
        <f t="shared" si="0"/>
        <v>0</v>
      </c>
      <c r="D70" s="39"/>
      <c r="E70" s="39"/>
      <c r="F70" s="39"/>
      <c r="G70" s="39"/>
      <c r="H70" s="40"/>
      <c r="I70" s="41"/>
      <c r="J70" s="39"/>
      <c r="K70" s="43">
        <f t="shared" si="1"/>
        <v>0</v>
      </c>
      <c r="L70" s="39"/>
      <c r="M70" s="42" t="str">
        <f t="shared" si="2"/>
        <v/>
      </c>
      <c r="N70" s="35"/>
      <c r="O70" s="35"/>
      <c r="P70" s="35"/>
      <c r="Q70" s="35"/>
      <c r="R70" s="35"/>
      <c r="S70" s="35"/>
      <c r="T70" s="35"/>
      <c r="U70" s="35"/>
      <c r="V70" s="35"/>
      <c r="W70" s="35"/>
      <c r="X70" s="35"/>
      <c r="Y70" s="35"/>
      <c r="Z70" s="35"/>
      <c r="AA70" s="35"/>
      <c r="AB70" s="35"/>
      <c r="AC70" s="35"/>
      <c r="AD70" s="35"/>
      <c r="AE70" s="35"/>
      <c r="AF70" s="35"/>
      <c r="AG70" s="35"/>
      <c r="AH70" s="35"/>
      <c r="AI70" s="35"/>
      <c r="AJ70" s="35"/>
      <c r="AK70" s="35"/>
      <c r="AL70" s="35"/>
      <c r="AM70" s="35"/>
      <c r="AN70" s="35"/>
      <c r="AO70" s="35"/>
      <c r="AP70" s="35"/>
      <c r="AQ70" s="35"/>
      <c r="AR70" s="35"/>
      <c r="AS70" s="35"/>
      <c r="AT70" s="35"/>
      <c r="AU70" s="35"/>
      <c r="AV70" s="35"/>
      <c r="AW70" s="35"/>
      <c r="AX70" s="35"/>
      <c r="AY70" s="35"/>
      <c r="AZ70" s="35"/>
      <c r="BA70" s="35"/>
      <c r="BB70" s="35"/>
      <c r="BC70" s="35"/>
      <c r="BD70" s="35"/>
      <c r="BE70" s="35"/>
      <c r="BF70" s="35"/>
      <c r="BG70" s="35"/>
      <c r="BH70" s="35"/>
      <c r="BI70" s="35"/>
      <c r="BJ70" s="35"/>
      <c r="BK70" s="35"/>
      <c r="BL70" s="35"/>
    </row>
    <row r="71" spans="1:64" ht="14">
      <c r="A71" s="36"/>
      <c r="B71" s="37"/>
      <c r="C71" s="38">
        <f t="shared" si="0"/>
        <v>0</v>
      </c>
      <c r="D71" s="39"/>
      <c r="E71" s="39"/>
      <c r="F71" s="39"/>
      <c r="G71" s="39"/>
      <c r="H71" s="40"/>
      <c r="I71" s="41"/>
      <c r="J71" s="39"/>
      <c r="K71" s="43">
        <f t="shared" si="1"/>
        <v>0</v>
      </c>
      <c r="L71" s="39"/>
      <c r="M71" s="42" t="str">
        <f t="shared" si="2"/>
        <v/>
      </c>
      <c r="N71" s="35"/>
      <c r="O71" s="35"/>
      <c r="P71" s="35"/>
      <c r="Q71" s="35"/>
      <c r="R71" s="35"/>
      <c r="S71" s="35"/>
      <c r="T71" s="35"/>
      <c r="U71" s="35"/>
      <c r="V71" s="35"/>
      <c r="W71" s="35"/>
      <c r="X71" s="35"/>
      <c r="Y71" s="35"/>
      <c r="Z71" s="35"/>
      <c r="AA71" s="35"/>
      <c r="AB71" s="35"/>
      <c r="AC71" s="35"/>
      <c r="AD71" s="35"/>
      <c r="AE71" s="35"/>
      <c r="AF71" s="35"/>
      <c r="AG71" s="35"/>
      <c r="AH71" s="35"/>
      <c r="AI71" s="35"/>
      <c r="AJ71" s="35"/>
      <c r="AK71" s="35"/>
      <c r="AL71" s="35"/>
      <c r="AM71" s="35"/>
      <c r="AN71" s="35"/>
      <c r="AO71" s="35"/>
      <c r="AP71" s="35"/>
      <c r="AQ71" s="35"/>
      <c r="AR71" s="35"/>
      <c r="AS71" s="35"/>
      <c r="AT71" s="35"/>
      <c r="AU71" s="35"/>
      <c r="AV71" s="35"/>
      <c r="AW71" s="35"/>
      <c r="AX71" s="35"/>
      <c r="AY71" s="35"/>
      <c r="AZ71" s="35"/>
      <c r="BA71" s="35"/>
      <c r="BB71" s="35"/>
      <c r="BC71" s="35"/>
      <c r="BD71" s="35"/>
      <c r="BE71" s="35"/>
      <c r="BF71" s="35"/>
      <c r="BG71" s="35"/>
      <c r="BH71" s="35"/>
      <c r="BI71" s="35"/>
      <c r="BJ71" s="35"/>
      <c r="BK71" s="35"/>
      <c r="BL71" s="35"/>
    </row>
    <row r="72" spans="1:64" ht="14">
      <c r="A72" s="36"/>
      <c r="B72" s="37"/>
      <c r="C72" s="38">
        <f t="shared" si="0"/>
        <v>0</v>
      </c>
      <c r="D72" s="39"/>
      <c r="E72" s="39"/>
      <c r="F72" s="39"/>
      <c r="G72" s="39"/>
      <c r="H72" s="40"/>
      <c r="I72" s="41"/>
      <c r="J72" s="39"/>
      <c r="K72" s="43">
        <f t="shared" si="1"/>
        <v>0</v>
      </c>
      <c r="L72" s="39"/>
      <c r="M72" s="42" t="str">
        <f t="shared" si="2"/>
        <v/>
      </c>
      <c r="N72" s="35"/>
      <c r="O72" s="35"/>
      <c r="P72" s="35"/>
      <c r="Q72" s="35"/>
      <c r="R72" s="35"/>
      <c r="S72" s="35"/>
      <c r="T72" s="35"/>
      <c r="U72" s="35"/>
      <c r="V72" s="35"/>
      <c r="W72" s="35"/>
      <c r="X72" s="35"/>
      <c r="Y72" s="35"/>
      <c r="Z72" s="35"/>
      <c r="AA72" s="35"/>
      <c r="AB72" s="35"/>
      <c r="AC72" s="35"/>
      <c r="AD72" s="35"/>
      <c r="AE72" s="35"/>
      <c r="AF72" s="35"/>
      <c r="AG72" s="35"/>
      <c r="AH72" s="35"/>
      <c r="AI72" s="35"/>
      <c r="AJ72" s="35"/>
      <c r="AK72" s="35"/>
      <c r="AL72" s="35"/>
      <c r="AM72" s="35"/>
      <c r="AN72" s="35"/>
      <c r="AO72" s="35"/>
      <c r="AP72" s="35"/>
      <c r="AQ72" s="35"/>
      <c r="AR72" s="35"/>
      <c r="AS72" s="35"/>
      <c r="AT72" s="35"/>
      <c r="AU72" s="35"/>
      <c r="AV72" s="35"/>
      <c r="AW72" s="35"/>
      <c r="AX72" s="35"/>
      <c r="AY72" s="35"/>
      <c r="AZ72" s="35"/>
      <c r="BA72" s="35"/>
      <c r="BB72" s="35"/>
      <c r="BC72" s="35"/>
      <c r="BD72" s="35"/>
      <c r="BE72" s="35"/>
      <c r="BF72" s="35"/>
      <c r="BG72" s="35"/>
      <c r="BH72" s="35"/>
      <c r="BI72" s="35"/>
      <c r="BJ72" s="35"/>
      <c r="BK72" s="35"/>
      <c r="BL72" s="35"/>
    </row>
    <row r="73" spans="1:64" ht="14">
      <c r="A73" s="36"/>
      <c r="B73" s="37"/>
      <c r="C73" s="38">
        <f t="shared" si="0"/>
        <v>0</v>
      </c>
      <c r="D73" s="39"/>
      <c r="E73" s="39"/>
      <c r="F73" s="39"/>
      <c r="G73" s="39"/>
      <c r="H73" s="40"/>
      <c r="I73" s="41"/>
      <c r="J73" s="39"/>
      <c r="K73" s="43">
        <f t="shared" si="1"/>
        <v>0</v>
      </c>
      <c r="L73" s="39"/>
      <c r="M73" s="42" t="str">
        <f t="shared" si="2"/>
        <v/>
      </c>
      <c r="N73" s="35"/>
      <c r="O73" s="35"/>
      <c r="P73" s="35"/>
      <c r="Q73" s="35"/>
      <c r="R73" s="35"/>
      <c r="S73" s="35"/>
      <c r="T73" s="35"/>
      <c r="U73" s="35"/>
      <c r="V73" s="35"/>
      <c r="W73" s="35"/>
      <c r="X73" s="35"/>
      <c r="Y73" s="35"/>
      <c r="Z73" s="35"/>
      <c r="AA73" s="35"/>
      <c r="AB73" s="35"/>
      <c r="AC73" s="35"/>
      <c r="AD73" s="35"/>
      <c r="AE73" s="35"/>
      <c r="AF73" s="35"/>
      <c r="AG73" s="35"/>
      <c r="AH73" s="35"/>
      <c r="AI73" s="35"/>
      <c r="AJ73" s="35"/>
      <c r="AK73" s="35"/>
      <c r="AL73" s="35"/>
      <c r="AM73" s="35"/>
      <c r="AN73" s="35"/>
      <c r="AO73" s="35"/>
      <c r="AP73" s="35"/>
      <c r="AQ73" s="35"/>
      <c r="AR73" s="35"/>
      <c r="AS73" s="35"/>
      <c r="AT73" s="35"/>
      <c r="AU73" s="35"/>
      <c r="AV73" s="35"/>
      <c r="AW73" s="35"/>
      <c r="AX73" s="35"/>
      <c r="AY73" s="35"/>
      <c r="AZ73" s="35"/>
      <c r="BA73" s="35"/>
      <c r="BB73" s="35"/>
      <c r="BC73" s="35"/>
      <c r="BD73" s="35"/>
      <c r="BE73" s="35"/>
      <c r="BF73" s="35"/>
      <c r="BG73" s="35"/>
      <c r="BH73" s="35"/>
      <c r="BI73" s="35"/>
      <c r="BJ73" s="35"/>
      <c r="BK73" s="35"/>
      <c r="BL73" s="35"/>
    </row>
    <row r="74" spans="1:64" ht="14">
      <c r="A74" s="36"/>
      <c r="B74" s="37"/>
      <c r="C74" s="38">
        <f t="shared" ref="C74:C137" si="3">IF($B74&lt;&gt;"",VLOOKUP($B74,Matriz_INM,2,0),0)</f>
        <v>0</v>
      </c>
      <c r="D74" s="39"/>
      <c r="E74" s="39"/>
      <c r="F74" s="39"/>
      <c r="G74" s="39"/>
      <c r="H74" s="40"/>
      <c r="I74" s="41"/>
      <c r="J74" s="39"/>
      <c r="K74" s="43">
        <f t="shared" ref="K74:K137" si="4">IF(M74="%",(IF($J74="EE",4,IF($J74="CE",4,IF($J74="SE",5,IF($J74="ALI",7,IF($J74="AIE",5,0))))))*$C74,$C74*$I74)</f>
        <v>0</v>
      </c>
      <c r="L74" s="39"/>
      <c r="M74" s="42" t="str">
        <f t="shared" ref="M74:M137" si="5">IFERROR(VLOOKUP($B74,Matriz_INM,3,0),"")</f>
        <v/>
      </c>
      <c r="N74" s="35"/>
      <c r="O74" s="35"/>
      <c r="P74" s="35"/>
      <c r="Q74" s="35"/>
      <c r="R74" s="35"/>
      <c r="S74" s="35"/>
      <c r="T74" s="35"/>
      <c r="U74" s="35"/>
      <c r="V74" s="35"/>
      <c r="W74" s="35"/>
      <c r="X74" s="35"/>
      <c r="Y74" s="35"/>
      <c r="Z74" s="35"/>
      <c r="AA74" s="35"/>
      <c r="AB74" s="35"/>
      <c r="AC74" s="35"/>
      <c r="AD74" s="35"/>
      <c r="AE74" s="35"/>
      <c r="AF74" s="35"/>
      <c r="AG74" s="35"/>
      <c r="AH74" s="35"/>
      <c r="AI74" s="35"/>
      <c r="AJ74" s="35"/>
      <c r="AK74" s="35"/>
      <c r="AL74" s="35"/>
      <c r="AM74" s="35"/>
      <c r="AN74" s="35"/>
      <c r="AO74" s="35"/>
      <c r="AP74" s="35"/>
      <c r="AQ74" s="35"/>
      <c r="AR74" s="35"/>
      <c r="AS74" s="35"/>
      <c r="AT74" s="35"/>
      <c r="AU74" s="35"/>
      <c r="AV74" s="35"/>
      <c r="AW74" s="35"/>
      <c r="AX74" s="35"/>
      <c r="AY74" s="35"/>
      <c r="AZ74" s="35"/>
      <c r="BA74" s="35"/>
      <c r="BB74" s="35"/>
      <c r="BC74" s="35"/>
      <c r="BD74" s="35"/>
      <c r="BE74" s="35"/>
      <c r="BF74" s="35"/>
      <c r="BG74" s="35"/>
      <c r="BH74" s="35"/>
      <c r="BI74" s="35"/>
      <c r="BJ74" s="35"/>
      <c r="BK74" s="35"/>
      <c r="BL74" s="35"/>
    </row>
    <row r="75" spans="1:64" ht="14">
      <c r="A75" s="36"/>
      <c r="B75" s="37"/>
      <c r="C75" s="38">
        <f t="shared" si="3"/>
        <v>0</v>
      </c>
      <c r="D75" s="39"/>
      <c r="E75" s="39"/>
      <c r="F75" s="39"/>
      <c r="G75" s="39"/>
      <c r="H75" s="40"/>
      <c r="I75" s="41"/>
      <c r="J75" s="39"/>
      <c r="K75" s="43">
        <f t="shared" si="4"/>
        <v>0</v>
      </c>
      <c r="L75" s="39"/>
      <c r="M75" s="42" t="str">
        <f t="shared" si="5"/>
        <v/>
      </c>
      <c r="N75" s="35"/>
      <c r="O75" s="35"/>
      <c r="P75" s="35"/>
      <c r="Q75" s="35"/>
      <c r="R75" s="35"/>
      <c r="S75" s="35"/>
      <c r="T75" s="35"/>
      <c r="U75" s="35"/>
      <c r="V75" s="35"/>
      <c r="W75" s="35"/>
      <c r="X75" s="35"/>
      <c r="Y75" s="35"/>
      <c r="Z75" s="35"/>
      <c r="AA75" s="35"/>
      <c r="AB75" s="35"/>
      <c r="AC75" s="35"/>
      <c r="AD75" s="35"/>
      <c r="AE75" s="35"/>
      <c r="AF75" s="35"/>
      <c r="AG75" s="35"/>
      <c r="AH75" s="35"/>
      <c r="AI75" s="35"/>
      <c r="AJ75" s="35"/>
      <c r="AK75" s="35"/>
      <c r="AL75" s="35"/>
      <c r="AM75" s="35"/>
      <c r="AN75" s="35"/>
      <c r="AO75" s="35"/>
      <c r="AP75" s="35"/>
      <c r="AQ75" s="35"/>
      <c r="AR75" s="35"/>
      <c r="AS75" s="35"/>
      <c r="AT75" s="35"/>
      <c r="AU75" s="35"/>
      <c r="AV75" s="35"/>
      <c r="AW75" s="35"/>
      <c r="AX75" s="35"/>
      <c r="AY75" s="35"/>
      <c r="AZ75" s="35"/>
      <c r="BA75" s="35"/>
      <c r="BB75" s="35"/>
      <c r="BC75" s="35"/>
      <c r="BD75" s="35"/>
      <c r="BE75" s="35"/>
      <c r="BF75" s="35"/>
      <c r="BG75" s="35"/>
      <c r="BH75" s="35"/>
      <c r="BI75" s="35"/>
      <c r="BJ75" s="35"/>
      <c r="BK75" s="35"/>
      <c r="BL75" s="35"/>
    </row>
    <row r="76" spans="1:64" ht="14">
      <c r="A76" s="36"/>
      <c r="B76" s="37"/>
      <c r="C76" s="38">
        <f t="shared" si="3"/>
        <v>0</v>
      </c>
      <c r="D76" s="39"/>
      <c r="E76" s="39"/>
      <c r="F76" s="39"/>
      <c r="G76" s="39"/>
      <c r="H76" s="40"/>
      <c r="I76" s="41"/>
      <c r="J76" s="39"/>
      <c r="K76" s="43">
        <f t="shared" si="4"/>
        <v>0</v>
      </c>
      <c r="L76" s="39"/>
      <c r="M76" s="42" t="str">
        <f t="shared" si="5"/>
        <v/>
      </c>
      <c r="N76" s="35"/>
      <c r="O76" s="35"/>
      <c r="P76" s="35"/>
      <c r="Q76" s="35"/>
      <c r="R76" s="35"/>
      <c r="S76" s="35"/>
      <c r="T76" s="35"/>
      <c r="U76" s="35"/>
      <c r="V76" s="35"/>
      <c r="W76" s="35"/>
      <c r="X76" s="35"/>
      <c r="Y76" s="35"/>
      <c r="Z76" s="35"/>
      <c r="AA76" s="35"/>
      <c r="AB76" s="35"/>
      <c r="AC76" s="35"/>
      <c r="AD76" s="35"/>
      <c r="AE76" s="35"/>
      <c r="AF76" s="35"/>
      <c r="AG76" s="35"/>
      <c r="AH76" s="35"/>
      <c r="AI76" s="35"/>
      <c r="AJ76" s="35"/>
      <c r="AK76" s="35"/>
      <c r="AL76" s="35"/>
      <c r="AM76" s="35"/>
      <c r="AN76" s="35"/>
      <c r="AO76" s="35"/>
      <c r="AP76" s="35"/>
      <c r="AQ76" s="35"/>
      <c r="AR76" s="35"/>
      <c r="AS76" s="35"/>
      <c r="AT76" s="35"/>
      <c r="AU76" s="35"/>
      <c r="AV76" s="35"/>
      <c r="AW76" s="35"/>
      <c r="AX76" s="35"/>
      <c r="AY76" s="35"/>
      <c r="AZ76" s="35"/>
      <c r="BA76" s="35"/>
      <c r="BB76" s="35"/>
      <c r="BC76" s="35"/>
      <c r="BD76" s="35"/>
      <c r="BE76" s="35"/>
      <c r="BF76" s="35"/>
      <c r="BG76" s="35"/>
      <c r="BH76" s="35"/>
      <c r="BI76" s="35"/>
      <c r="BJ76" s="35"/>
      <c r="BK76" s="35"/>
      <c r="BL76" s="35"/>
    </row>
    <row r="77" spans="1:64" ht="14">
      <c r="A77" s="36"/>
      <c r="B77" s="37"/>
      <c r="C77" s="38">
        <f t="shared" si="3"/>
        <v>0</v>
      </c>
      <c r="D77" s="39"/>
      <c r="E77" s="39"/>
      <c r="F77" s="39"/>
      <c r="G77" s="39"/>
      <c r="H77" s="40"/>
      <c r="I77" s="41"/>
      <c r="J77" s="39"/>
      <c r="K77" s="43">
        <f t="shared" si="4"/>
        <v>0</v>
      </c>
      <c r="L77" s="39"/>
      <c r="M77" s="42" t="str">
        <f t="shared" si="5"/>
        <v/>
      </c>
      <c r="N77" s="35"/>
      <c r="O77" s="35"/>
      <c r="P77" s="35"/>
      <c r="Q77" s="35"/>
      <c r="R77" s="35"/>
      <c r="S77" s="35"/>
      <c r="T77" s="35"/>
      <c r="U77" s="35"/>
      <c r="V77" s="35"/>
      <c r="W77" s="35"/>
      <c r="X77" s="35"/>
      <c r="Y77" s="35"/>
      <c r="Z77" s="35"/>
      <c r="AA77" s="35"/>
      <c r="AB77" s="35"/>
      <c r="AC77" s="35"/>
      <c r="AD77" s="35"/>
      <c r="AE77" s="35"/>
      <c r="AF77" s="35"/>
      <c r="AG77" s="35"/>
      <c r="AH77" s="35"/>
      <c r="AI77" s="35"/>
      <c r="AJ77" s="35"/>
      <c r="AK77" s="35"/>
      <c r="AL77" s="35"/>
      <c r="AM77" s="35"/>
      <c r="AN77" s="35"/>
      <c r="AO77" s="35"/>
      <c r="AP77" s="35"/>
      <c r="AQ77" s="35"/>
      <c r="AR77" s="35"/>
      <c r="AS77" s="35"/>
      <c r="AT77" s="35"/>
      <c r="AU77" s="35"/>
      <c r="AV77" s="35"/>
      <c r="AW77" s="35"/>
      <c r="AX77" s="35"/>
      <c r="AY77" s="35"/>
      <c r="AZ77" s="35"/>
      <c r="BA77" s="35"/>
      <c r="BB77" s="35"/>
      <c r="BC77" s="35"/>
      <c r="BD77" s="35"/>
      <c r="BE77" s="35"/>
      <c r="BF77" s="35"/>
      <c r="BG77" s="35"/>
      <c r="BH77" s="35"/>
      <c r="BI77" s="35"/>
      <c r="BJ77" s="35"/>
      <c r="BK77" s="35"/>
      <c r="BL77" s="35"/>
    </row>
    <row r="78" spans="1:64" ht="14">
      <c r="A78" s="36"/>
      <c r="B78" s="37"/>
      <c r="C78" s="38">
        <f t="shared" si="3"/>
        <v>0</v>
      </c>
      <c r="D78" s="39"/>
      <c r="E78" s="39"/>
      <c r="F78" s="39"/>
      <c r="G78" s="39"/>
      <c r="H78" s="40"/>
      <c r="I78" s="41"/>
      <c r="J78" s="39"/>
      <c r="K78" s="43">
        <f t="shared" si="4"/>
        <v>0</v>
      </c>
      <c r="L78" s="39"/>
      <c r="M78" s="42" t="str">
        <f t="shared" si="5"/>
        <v/>
      </c>
      <c r="N78" s="35"/>
      <c r="O78" s="35"/>
      <c r="P78" s="35"/>
      <c r="Q78" s="35"/>
      <c r="R78" s="35"/>
      <c r="S78" s="35"/>
      <c r="T78" s="35"/>
      <c r="U78" s="35"/>
      <c r="V78" s="35"/>
      <c r="W78" s="35"/>
      <c r="X78" s="35"/>
      <c r="Y78" s="35"/>
      <c r="Z78" s="35"/>
      <c r="AA78" s="35"/>
      <c r="AB78" s="35"/>
      <c r="AC78" s="35"/>
      <c r="AD78" s="35"/>
      <c r="AE78" s="35"/>
      <c r="AF78" s="35"/>
      <c r="AG78" s="35"/>
      <c r="AH78" s="35"/>
      <c r="AI78" s="35"/>
      <c r="AJ78" s="35"/>
      <c r="AK78" s="35"/>
      <c r="AL78" s="35"/>
      <c r="AM78" s="35"/>
      <c r="AN78" s="35"/>
      <c r="AO78" s="35"/>
      <c r="AP78" s="35"/>
      <c r="AQ78" s="35"/>
      <c r="AR78" s="35"/>
      <c r="AS78" s="35"/>
      <c r="AT78" s="35"/>
      <c r="AU78" s="35"/>
      <c r="AV78" s="35"/>
      <c r="AW78" s="35"/>
      <c r="AX78" s="35"/>
      <c r="AY78" s="35"/>
      <c r="AZ78" s="35"/>
      <c r="BA78" s="35"/>
      <c r="BB78" s="35"/>
      <c r="BC78" s="35"/>
      <c r="BD78" s="35"/>
      <c r="BE78" s="35"/>
      <c r="BF78" s="35"/>
      <c r="BG78" s="35"/>
      <c r="BH78" s="35"/>
      <c r="BI78" s="35"/>
      <c r="BJ78" s="35"/>
      <c r="BK78" s="35"/>
      <c r="BL78" s="35"/>
    </row>
    <row r="79" spans="1:64" ht="14">
      <c r="A79" s="36"/>
      <c r="B79" s="37"/>
      <c r="C79" s="38">
        <f t="shared" si="3"/>
        <v>0</v>
      </c>
      <c r="D79" s="39"/>
      <c r="E79" s="39"/>
      <c r="F79" s="39"/>
      <c r="G79" s="39"/>
      <c r="H79" s="40"/>
      <c r="I79" s="41"/>
      <c r="J79" s="39"/>
      <c r="K79" s="43">
        <f t="shared" si="4"/>
        <v>0</v>
      </c>
      <c r="L79" s="39"/>
      <c r="M79" s="42" t="str">
        <f t="shared" si="5"/>
        <v/>
      </c>
      <c r="N79" s="35"/>
      <c r="O79" s="35"/>
      <c r="P79" s="35"/>
      <c r="Q79" s="35"/>
      <c r="R79" s="35"/>
      <c r="S79" s="35"/>
      <c r="T79" s="35"/>
      <c r="U79" s="35"/>
      <c r="V79" s="35"/>
      <c r="W79" s="35"/>
      <c r="X79" s="35"/>
      <c r="Y79" s="35"/>
      <c r="Z79" s="35"/>
      <c r="AA79" s="35"/>
      <c r="AB79" s="35"/>
      <c r="AC79" s="35"/>
      <c r="AD79" s="35"/>
      <c r="AE79" s="35"/>
      <c r="AF79" s="35"/>
      <c r="AG79" s="35"/>
      <c r="AH79" s="35"/>
      <c r="AI79" s="35"/>
      <c r="AJ79" s="35"/>
      <c r="AK79" s="35"/>
      <c r="AL79" s="35"/>
      <c r="AM79" s="35"/>
      <c r="AN79" s="35"/>
      <c r="AO79" s="35"/>
      <c r="AP79" s="35"/>
      <c r="AQ79" s="35"/>
      <c r="AR79" s="35"/>
      <c r="AS79" s="35"/>
      <c r="AT79" s="35"/>
      <c r="AU79" s="35"/>
      <c r="AV79" s="35"/>
      <c r="AW79" s="35"/>
      <c r="AX79" s="35"/>
      <c r="AY79" s="35"/>
      <c r="AZ79" s="35"/>
      <c r="BA79" s="35"/>
      <c r="BB79" s="35"/>
      <c r="BC79" s="35"/>
      <c r="BD79" s="35"/>
      <c r="BE79" s="35"/>
      <c r="BF79" s="35"/>
      <c r="BG79" s="35"/>
      <c r="BH79" s="35"/>
      <c r="BI79" s="35"/>
      <c r="BJ79" s="35"/>
      <c r="BK79" s="35"/>
      <c r="BL79" s="35"/>
    </row>
    <row r="80" spans="1:64" ht="14">
      <c r="A80" s="36"/>
      <c r="B80" s="37"/>
      <c r="C80" s="38">
        <f t="shared" si="3"/>
        <v>0</v>
      </c>
      <c r="D80" s="39"/>
      <c r="E80" s="39"/>
      <c r="F80" s="39"/>
      <c r="G80" s="39"/>
      <c r="H80" s="40"/>
      <c r="I80" s="41"/>
      <c r="J80" s="39"/>
      <c r="K80" s="43">
        <f t="shared" si="4"/>
        <v>0</v>
      </c>
      <c r="L80" s="39"/>
      <c r="M80" s="42" t="str">
        <f t="shared" si="5"/>
        <v/>
      </c>
      <c r="N80" s="35"/>
      <c r="O80" s="35"/>
      <c r="P80" s="35"/>
      <c r="Q80" s="35"/>
      <c r="R80" s="35"/>
      <c r="S80" s="35"/>
      <c r="T80" s="35"/>
      <c r="U80" s="35"/>
      <c r="V80" s="35"/>
      <c r="W80" s="35"/>
      <c r="X80" s="35"/>
      <c r="Y80" s="35"/>
      <c r="Z80" s="35"/>
      <c r="AA80" s="35"/>
      <c r="AB80" s="35"/>
      <c r="AC80" s="35"/>
      <c r="AD80" s="35"/>
      <c r="AE80" s="35"/>
      <c r="AF80" s="35"/>
      <c r="AG80" s="35"/>
      <c r="AH80" s="35"/>
      <c r="AI80" s="35"/>
      <c r="AJ80" s="35"/>
      <c r="AK80" s="35"/>
      <c r="AL80" s="35"/>
      <c r="AM80" s="35"/>
      <c r="AN80" s="35"/>
      <c r="AO80" s="35"/>
      <c r="AP80" s="35"/>
      <c r="AQ80" s="35"/>
      <c r="AR80" s="35"/>
      <c r="AS80" s="35"/>
      <c r="AT80" s="35"/>
      <c r="AU80" s="35"/>
      <c r="AV80" s="35"/>
      <c r="AW80" s="35"/>
      <c r="AX80" s="35"/>
      <c r="AY80" s="35"/>
      <c r="AZ80" s="35"/>
      <c r="BA80" s="35"/>
      <c r="BB80" s="35"/>
      <c r="BC80" s="35"/>
      <c r="BD80" s="35"/>
      <c r="BE80" s="35"/>
      <c r="BF80" s="35"/>
      <c r="BG80" s="35"/>
      <c r="BH80" s="35"/>
      <c r="BI80" s="35"/>
      <c r="BJ80" s="35"/>
      <c r="BK80" s="35"/>
      <c r="BL80" s="35"/>
    </row>
    <row r="81" spans="1:64" ht="14">
      <c r="A81" s="36"/>
      <c r="B81" s="37"/>
      <c r="C81" s="38">
        <f t="shared" si="3"/>
        <v>0</v>
      </c>
      <c r="D81" s="39"/>
      <c r="E81" s="39"/>
      <c r="F81" s="39"/>
      <c r="G81" s="39"/>
      <c r="H81" s="40"/>
      <c r="I81" s="41"/>
      <c r="J81" s="39"/>
      <c r="K81" s="43">
        <f t="shared" si="4"/>
        <v>0</v>
      </c>
      <c r="L81" s="39"/>
      <c r="M81" s="42" t="str">
        <f t="shared" si="5"/>
        <v/>
      </c>
      <c r="N81" s="35"/>
      <c r="O81" s="35"/>
      <c r="P81" s="35"/>
      <c r="Q81" s="35"/>
      <c r="R81" s="35"/>
      <c r="S81" s="35"/>
      <c r="T81" s="35"/>
      <c r="U81" s="35"/>
      <c r="V81" s="35"/>
      <c r="W81" s="35"/>
      <c r="X81" s="35"/>
      <c r="Y81" s="35"/>
      <c r="Z81" s="35"/>
      <c r="AA81" s="35"/>
      <c r="AB81" s="35"/>
      <c r="AC81" s="35"/>
      <c r="AD81" s="35"/>
      <c r="AE81" s="35"/>
      <c r="AF81" s="35"/>
      <c r="AG81" s="35"/>
      <c r="AH81" s="35"/>
      <c r="AI81" s="35"/>
      <c r="AJ81" s="35"/>
      <c r="AK81" s="35"/>
      <c r="AL81" s="35"/>
      <c r="AM81" s="35"/>
      <c r="AN81" s="35"/>
      <c r="AO81" s="35"/>
      <c r="AP81" s="35"/>
      <c r="AQ81" s="35"/>
      <c r="AR81" s="35"/>
      <c r="AS81" s="35"/>
      <c r="AT81" s="35"/>
      <c r="AU81" s="35"/>
      <c r="AV81" s="35"/>
      <c r="AW81" s="35"/>
      <c r="AX81" s="35"/>
      <c r="AY81" s="35"/>
      <c r="AZ81" s="35"/>
      <c r="BA81" s="35"/>
      <c r="BB81" s="35"/>
      <c r="BC81" s="35"/>
      <c r="BD81" s="35"/>
      <c r="BE81" s="35"/>
      <c r="BF81" s="35"/>
      <c r="BG81" s="35"/>
      <c r="BH81" s="35"/>
      <c r="BI81" s="35"/>
      <c r="BJ81" s="35"/>
      <c r="BK81" s="35"/>
      <c r="BL81" s="35"/>
    </row>
    <row r="82" spans="1:64" ht="14">
      <c r="A82" s="36"/>
      <c r="B82" s="37"/>
      <c r="C82" s="38">
        <f t="shared" si="3"/>
        <v>0</v>
      </c>
      <c r="D82" s="39"/>
      <c r="E82" s="39"/>
      <c r="F82" s="39"/>
      <c r="G82" s="39"/>
      <c r="H82" s="40"/>
      <c r="I82" s="41"/>
      <c r="J82" s="39"/>
      <c r="K82" s="43">
        <f t="shared" si="4"/>
        <v>0</v>
      </c>
      <c r="L82" s="39"/>
      <c r="M82" s="42" t="str">
        <f t="shared" si="5"/>
        <v/>
      </c>
      <c r="N82" s="35"/>
      <c r="O82" s="35"/>
      <c r="P82" s="35"/>
      <c r="Q82" s="35"/>
      <c r="R82" s="35"/>
      <c r="S82" s="35"/>
      <c r="T82" s="35"/>
      <c r="U82" s="35"/>
      <c r="V82" s="35"/>
      <c r="W82" s="35"/>
      <c r="X82" s="35"/>
      <c r="Y82" s="35"/>
      <c r="Z82" s="35"/>
      <c r="AA82" s="35"/>
      <c r="AB82" s="35"/>
      <c r="AC82" s="35"/>
      <c r="AD82" s="35"/>
      <c r="AE82" s="35"/>
      <c r="AF82" s="35"/>
      <c r="AG82" s="35"/>
      <c r="AH82" s="35"/>
      <c r="AI82" s="35"/>
      <c r="AJ82" s="35"/>
      <c r="AK82" s="35"/>
      <c r="AL82" s="35"/>
      <c r="AM82" s="35"/>
      <c r="AN82" s="35"/>
      <c r="AO82" s="35"/>
      <c r="AP82" s="35"/>
      <c r="AQ82" s="35"/>
      <c r="AR82" s="35"/>
      <c r="AS82" s="35"/>
      <c r="AT82" s="35"/>
      <c r="AU82" s="35"/>
      <c r="AV82" s="35"/>
      <c r="AW82" s="35"/>
      <c r="AX82" s="35"/>
      <c r="AY82" s="35"/>
      <c r="AZ82" s="35"/>
      <c r="BA82" s="35"/>
      <c r="BB82" s="35"/>
      <c r="BC82" s="35"/>
      <c r="BD82" s="35"/>
      <c r="BE82" s="35"/>
      <c r="BF82" s="35"/>
      <c r="BG82" s="35"/>
      <c r="BH82" s="35"/>
      <c r="BI82" s="35"/>
      <c r="BJ82" s="35"/>
      <c r="BK82" s="35"/>
      <c r="BL82" s="35"/>
    </row>
    <row r="83" spans="1:64" ht="14">
      <c r="A83" s="36"/>
      <c r="B83" s="37"/>
      <c r="C83" s="38">
        <f t="shared" si="3"/>
        <v>0</v>
      </c>
      <c r="D83" s="39"/>
      <c r="E83" s="39"/>
      <c r="F83" s="39"/>
      <c r="G83" s="39"/>
      <c r="H83" s="40"/>
      <c r="I83" s="41"/>
      <c r="J83" s="39"/>
      <c r="K83" s="43">
        <f t="shared" si="4"/>
        <v>0</v>
      </c>
      <c r="L83" s="39"/>
      <c r="M83" s="42" t="str">
        <f t="shared" si="5"/>
        <v/>
      </c>
      <c r="N83" s="35"/>
      <c r="O83" s="35"/>
      <c r="P83" s="35"/>
      <c r="Q83" s="35"/>
      <c r="R83" s="35"/>
      <c r="S83" s="35"/>
      <c r="T83" s="35"/>
      <c r="U83" s="35"/>
      <c r="V83" s="35"/>
      <c r="W83" s="35"/>
      <c r="X83" s="35"/>
      <c r="Y83" s="35"/>
      <c r="Z83" s="35"/>
      <c r="AA83" s="35"/>
      <c r="AB83" s="35"/>
      <c r="AC83" s="35"/>
      <c r="AD83" s="35"/>
      <c r="AE83" s="35"/>
      <c r="AF83" s="35"/>
      <c r="AG83" s="35"/>
      <c r="AH83" s="35"/>
      <c r="AI83" s="35"/>
      <c r="AJ83" s="35"/>
      <c r="AK83" s="35"/>
      <c r="AL83" s="35"/>
      <c r="AM83" s="35"/>
      <c r="AN83" s="35"/>
      <c r="AO83" s="35"/>
      <c r="AP83" s="35"/>
      <c r="AQ83" s="35"/>
      <c r="AR83" s="35"/>
      <c r="AS83" s="35"/>
      <c r="AT83" s="35"/>
      <c r="AU83" s="35"/>
      <c r="AV83" s="35"/>
      <c r="AW83" s="35"/>
      <c r="AX83" s="35"/>
      <c r="AY83" s="35"/>
      <c r="AZ83" s="35"/>
      <c r="BA83" s="35"/>
      <c r="BB83" s="35"/>
      <c r="BC83" s="35"/>
      <c r="BD83" s="35"/>
      <c r="BE83" s="35"/>
      <c r="BF83" s="35"/>
      <c r="BG83" s="35"/>
      <c r="BH83" s="35"/>
      <c r="BI83" s="35"/>
      <c r="BJ83" s="35"/>
      <c r="BK83" s="35"/>
      <c r="BL83" s="35"/>
    </row>
    <row r="84" spans="1:64" ht="14">
      <c r="A84" s="36"/>
      <c r="B84" s="37"/>
      <c r="C84" s="38">
        <f t="shared" si="3"/>
        <v>0</v>
      </c>
      <c r="D84" s="39"/>
      <c r="E84" s="39"/>
      <c r="F84" s="39"/>
      <c r="G84" s="39"/>
      <c r="H84" s="40"/>
      <c r="I84" s="41"/>
      <c r="J84" s="39"/>
      <c r="K84" s="43">
        <f t="shared" si="4"/>
        <v>0</v>
      </c>
      <c r="L84" s="39"/>
      <c r="M84" s="42" t="str">
        <f t="shared" si="5"/>
        <v/>
      </c>
      <c r="N84" s="35"/>
      <c r="O84" s="35"/>
      <c r="P84" s="35"/>
      <c r="Q84" s="35"/>
      <c r="R84" s="35"/>
      <c r="S84" s="35"/>
      <c r="T84" s="35"/>
      <c r="U84" s="35"/>
      <c r="V84" s="35"/>
      <c r="W84" s="35"/>
      <c r="X84" s="35"/>
      <c r="Y84" s="35"/>
      <c r="Z84" s="35"/>
      <c r="AA84" s="35"/>
      <c r="AB84" s="35"/>
      <c r="AC84" s="35"/>
      <c r="AD84" s="35"/>
      <c r="AE84" s="35"/>
      <c r="AF84" s="35"/>
      <c r="AG84" s="35"/>
      <c r="AH84" s="35"/>
      <c r="AI84" s="35"/>
      <c r="AJ84" s="35"/>
      <c r="AK84" s="35"/>
      <c r="AL84" s="35"/>
      <c r="AM84" s="35"/>
      <c r="AN84" s="35"/>
      <c r="AO84" s="35"/>
      <c r="AP84" s="35"/>
      <c r="AQ84" s="35"/>
      <c r="AR84" s="35"/>
      <c r="AS84" s="35"/>
      <c r="AT84" s="35"/>
      <c r="AU84" s="35"/>
      <c r="AV84" s="35"/>
      <c r="AW84" s="35"/>
      <c r="AX84" s="35"/>
      <c r="AY84" s="35"/>
      <c r="AZ84" s="35"/>
      <c r="BA84" s="35"/>
      <c r="BB84" s="35"/>
      <c r="BC84" s="35"/>
      <c r="BD84" s="35"/>
      <c r="BE84" s="35"/>
      <c r="BF84" s="35"/>
      <c r="BG84" s="35"/>
      <c r="BH84" s="35"/>
      <c r="BI84" s="35"/>
      <c r="BJ84" s="35"/>
      <c r="BK84" s="35"/>
      <c r="BL84" s="35"/>
    </row>
    <row r="85" spans="1:64" ht="14">
      <c r="A85" s="36"/>
      <c r="B85" s="37"/>
      <c r="C85" s="38">
        <f t="shared" si="3"/>
        <v>0</v>
      </c>
      <c r="D85" s="39"/>
      <c r="E85" s="39"/>
      <c r="F85" s="39"/>
      <c r="G85" s="39"/>
      <c r="H85" s="40"/>
      <c r="I85" s="41"/>
      <c r="J85" s="39"/>
      <c r="K85" s="43">
        <f t="shared" si="4"/>
        <v>0</v>
      </c>
      <c r="L85" s="39"/>
      <c r="M85" s="42" t="str">
        <f t="shared" si="5"/>
        <v/>
      </c>
      <c r="N85" s="35"/>
      <c r="O85" s="35"/>
      <c r="P85" s="35"/>
      <c r="Q85" s="35"/>
      <c r="R85" s="35"/>
      <c r="S85" s="35"/>
      <c r="T85" s="35"/>
      <c r="U85" s="35"/>
      <c r="V85" s="35"/>
      <c r="W85" s="35"/>
      <c r="X85" s="35"/>
      <c r="Y85" s="35"/>
      <c r="Z85" s="35"/>
      <c r="AA85" s="35"/>
      <c r="AB85" s="35"/>
      <c r="AC85" s="35"/>
      <c r="AD85" s="35"/>
      <c r="AE85" s="35"/>
      <c r="AF85" s="35"/>
      <c r="AG85" s="35"/>
      <c r="AH85" s="35"/>
      <c r="AI85" s="35"/>
      <c r="AJ85" s="35"/>
      <c r="AK85" s="35"/>
      <c r="AL85" s="35"/>
      <c r="AM85" s="35"/>
      <c r="AN85" s="35"/>
      <c r="AO85" s="35"/>
      <c r="AP85" s="35"/>
      <c r="AQ85" s="35"/>
      <c r="AR85" s="35"/>
      <c r="AS85" s="35"/>
      <c r="AT85" s="35"/>
      <c r="AU85" s="35"/>
      <c r="AV85" s="35"/>
      <c r="AW85" s="35"/>
      <c r="AX85" s="35"/>
      <c r="AY85" s="35"/>
      <c r="AZ85" s="35"/>
      <c r="BA85" s="35"/>
      <c r="BB85" s="35"/>
      <c r="BC85" s="35"/>
      <c r="BD85" s="35"/>
      <c r="BE85" s="35"/>
      <c r="BF85" s="35"/>
      <c r="BG85" s="35"/>
      <c r="BH85" s="35"/>
      <c r="BI85" s="35"/>
      <c r="BJ85" s="35"/>
      <c r="BK85" s="35"/>
      <c r="BL85" s="35"/>
    </row>
    <row r="86" spans="1:64" ht="14">
      <c r="A86" s="36"/>
      <c r="B86" s="37"/>
      <c r="C86" s="38">
        <f t="shared" si="3"/>
        <v>0</v>
      </c>
      <c r="D86" s="39"/>
      <c r="E86" s="39"/>
      <c r="F86" s="39"/>
      <c r="G86" s="39"/>
      <c r="H86" s="40"/>
      <c r="I86" s="41"/>
      <c r="J86" s="39"/>
      <c r="K86" s="43">
        <f t="shared" si="4"/>
        <v>0</v>
      </c>
      <c r="L86" s="39"/>
      <c r="M86" s="42" t="str">
        <f t="shared" si="5"/>
        <v/>
      </c>
      <c r="N86" s="35"/>
      <c r="O86" s="35"/>
      <c r="P86" s="35"/>
      <c r="Q86" s="35"/>
      <c r="R86" s="35"/>
      <c r="S86" s="35"/>
      <c r="T86" s="35"/>
      <c r="U86" s="35"/>
      <c r="V86" s="35"/>
      <c r="W86" s="35"/>
      <c r="X86" s="35"/>
      <c r="Y86" s="35"/>
      <c r="Z86" s="35"/>
      <c r="AA86" s="35"/>
      <c r="AB86" s="35"/>
      <c r="AC86" s="35"/>
      <c r="AD86" s="35"/>
      <c r="AE86" s="35"/>
      <c r="AF86" s="35"/>
      <c r="AG86" s="35"/>
      <c r="AH86" s="35"/>
      <c r="AI86" s="35"/>
      <c r="AJ86" s="35"/>
      <c r="AK86" s="35"/>
      <c r="AL86" s="35"/>
      <c r="AM86" s="35"/>
      <c r="AN86" s="35"/>
      <c r="AO86" s="35"/>
      <c r="AP86" s="35"/>
      <c r="AQ86" s="35"/>
      <c r="AR86" s="35"/>
      <c r="AS86" s="35"/>
      <c r="AT86" s="35"/>
      <c r="AU86" s="35"/>
      <c r="AV86" s="35"/>
      <c r="AW86" s="35"/>
      <c r="AX86" s="35"/>
      <c r="AY86" s="35"/>
      <c r="AZ86" s="35"/>
      <c r="BA86" s="35"/>
      <c r="BB86" s="35"/>
      <c r="BC86" s="35"/>
      <c r="BD86" s="35"/>
      <c r="BE86" s="35"/>
      <c r="BF86" s="35"/>
      <c r="BG86" s="35"/>
      <c r="BH86" s="35"/>
      <c r="BI86" s="35"/>
      <c r="BJ86" s="35"/>
      <c r="BK86" s="35"/>
      <c r="BL86" s="35"/>
    </row>
    <row r="87" spans="1:64" ht="14">
      <c r="A87" s="36"/>
      <c r="B87" s="37"/>
      <c r="C87" s="38">
        <f t="shared" si="3"/>
        <v>0</v>
      </c>
      <c r="D87" s="39"/>
      <c r="E87" s="39"/>
      <c r="F87" s="39"/>
      <c r="G87" s="39"/>
      <c r="H87" s="40"/>
      <c r="I87" s="41"/>
      <c r="J87" s="39"/>
      <c r="K87" s="43">
        <f t="shared" si="4"/>
        <v>0</v>
      </c>
      <c r="L87" s="39"/>
      <c r="M87" s="42" t="str">
        <f t="shared" si="5"/>
        <v/>
      </c>
      <c r="N87" s="35"/>
      <c r="O87" s="35"/>
      <c r="P87" s="35"/>
      <c r="Q87" s="35"/>
      <c r="R87" s="35"/>
      <c r="S87" s="35"/>
      <c r="T87" s="35"/>
      <c r="U87" s="35"/>
      <c r="V87" s="35"/>
      <c r="W87" s="35"/>
      <c r="X87" s="35"/>
      <c r="Y87" s="35"/>
      <c r="Z87" s="35"/>
      <c r="AA87" s="35"/>
      <c r="AB87" s="35"/>
      <c r="AC87" s="35"/>
      <c r="AD87" s="35"/>
      <c r="AE87" s="35"/>
      <c r="AF87" s="35"/>
      <c r="AG87" s="35"/>
      <c r="AH87" s="35"/>
      <c r="AI87" s="35"/>
      <c r="AJ87" s="35"/>
      <c r="AK87" s="35"/>
      <c r="AL87" s="35"/>
      <c r="AM87" s="35"/>
      <c r="AN87" s="35"/>
      <c r="AO87" s="35"/>
      <c r="AP87" s="35"/>
      <c r="AQ87" s="35"/>
      <c r="AR87" s="35"/>
      <c r="AS87" s="35"/>
      <c r="AT87" s="35"/>
      <c r="AU87" s="35"/>
      <c r="AV87" s="35"/>
      <c r="AW87" s="35"/>
      <c r="AX87" s="35"/>
      <c r="AY87" s="35"/>
      <c r="AZ87" s="35"/>
      <c r="BA87" s="35"/>
      <c r="BB87" s="35"/>
      <c r="BC87" s="35"/>
      <c r="BD87" s="35"/>
      <c r="BE87" s="35"/>
      <c r="BF87" s="35"/>
      <c r="BG87" s="35"/>
      <c r="BH87" s="35"/>
      <c r="BI87" s="35"/>
      <c r="BJ87" s="35"/>
      <c r="BK87" s="35"/>
      <c r="BL87" s="35"/>
    </row>
    <row r="88" spans="1:64" ht="14">
      <c r="A88" s="36"/>
      <c r="B88" s="37"/>
      <c r="C88" s="38">
        <f t="shared" si="3"/>
        <v>0</v>
      </c>
      <c r="D88" s="39"/>
      <c r="E88" s="39"/>
      <c r="F88" s="39"/>
      <c r="G88" s="39"/>
      <c r="H88" s="40"/>
      <c r="I88" s="41"/>
      <c r="J88" s="39"/>
      <c r="K88" s="43">
        <f t="shared" si="4"/>
        <v>0</v>
      </c>
      <c r="L88" s="39"/>
      <c r="M88" s="42" t="str">
        <f t="shared" si="5"/>
        <v/>
      </c>
      <c r="N88" s="35"/>
      <c r="O88" s="35"/>
      <c r="P88" s="35"/>
      <c r="Q88" s="35"/>
      <c r="R88" s="35"/>
      <c r="S88" s="35"/>
      <c r="T88" s="35"/>
      <c r="U88" s="35"/>
      <c r="V88" s="35"/>
      <c r="W88" s="35"/>
      <c r="X88" s="35"/>
      <c r="Y88" s="35"/>
      <c r="Z88" s="35"/>
      <c r="AA88" s="35"/>
      <c r="AB88" s="35"/>
      <c r="AC88" s="35"/>
      <c r="AD88" s="35"/>
      <c r="AE88" s="35"/>
      <c r="AF88" s="35"/>
      <c r="AG88" s="35"/>
      <c r="AH88" s="35"/>
      <c r="AI88" s="35"/>
      <c r="AJ88" s="35"/>
      <c r="AK88" s="35"/>
      <c r="AL88" s="35"/>
      <c r="AM88" s="35"/>
      <c r="AN88" s="35"/>
      <c r="AO88" s="35"/>
      <c r="AP88" s="35"/>
      <c r="AQ88" s="35"/>
      <c r="AR88" s="35"/>
      <c r="AS88" s="35"/>
      <c r="AT88" s="35"/>
      <c r="AU88" s="35"/>
      <c r="AV88" s="35"/>
      <c r="AW88" s="35"/>
      <c r="AX88" s="35"/>
      <c r="AY88" s="35"/>
      <c r="AZ88" s="35"/>
      <c r="BA88" s="35"/>
      <c r="BB88" s="35"/>
      <c r="BC88" s="35"/>
      <c r="BD88" s="35"/>
      <c r="BE88" s="35"/>
      <c r="BF88" s="35"/>
      <c r="BG88" s="35"/>
      <c r="BH88" s="35"/>
      <c r="BI88" s="35"/>
      <c r="BJ88" s="35"/>
      <c r="BK88" s="35"/>
      <c r="BL88" s="35"/>
    </row>
    <row r="89" spans="1:64" ht="14">
      <c r="A89" s="36"/>
      <c r="B89" s="37"/>
      <c r="C89" s="38">
        <f t="shared" si="3"/>
        <v>0</v>
      </c>
      <c r="D89" s="39"/>
      <c r="E89" s="39"/>
      <c r="F89" s="39"/>
      <c r="G89" s="39"/>
      <c r="H89" s="40"/>
      <c r="I89" s="41"/>
      <c r="J89" s="39"/>
      <c r="K89" s="43">
        <f t="shared" si="4"/>
        <v>0</v>
      </c>
      <c r="L89" s="39"/>
      <c r="M89" s="42" t="str">
        <f t="shared" si="5"/>
        <v/>
      </c>
      <c r="N89" s="35"/>
      <c r="O89" s="35"/>
      <c r="P89" s="35"/>
      <c r="Q89" s="35"/>
      <c r="R89" s="35"/>
      <c r="S89" s="35"/>
      <c r="T89" s="35"/>
      <c r="U89" s="35"/>
      <c r="V89" s="35"/>
      <c r="W89" s="35"/>
      <c r="X89" s="35"/>
      <c r="Y89" s="35"/>
      <c r="Z89" s="35"/>
      <c r="AA89" s="35"/>
      <c r="AB89" s="35"/>
      <c r="AC89" s="35"/>
      <c r="AD89" s="35"/>
      <c r="AE89" s="35"/>
      <c r="AF89" s="35"/>
      <c r="AG89" s="35"/>
      <c r="AH89" s="35"/>
      <c r="AI89" s="35"/>
      <c r="AJ89" s="35"/>
      <c r="AK89" s="35"/>
      <c r="AL89" s="35"/>
      <c r="AM89" s="35"/>
      <c r="AN89" s="35"/>
      <c r="AO89" s="35"/>
      <c r="AP89" s="35"/>
      <c r="AQ89" s="35"/>
      <c r="AR89" s="35"/>
      <c r="AS89" s="35"/>
      <c r="AT89" s="35"/>
      <c r="AU89" s="35"/>
      <c r="AV89" s="35"/>
      <c r="AW89" s="35"/>
      <c r="AX89" s="35"/>
      <c r="AY89" s="35"/>
      <c r="AZ89" s="35"/>
      <c r="BA89" s="35"/>
      <c r="BB89" s="35"/>
      <c r="BC89" s="35"/>
      <c r="BD89" s="35"/>
      <c r="BE89" s="35"/>
      <c r="BF89" s="35"/>
      <c r="BG89" s="35"/>
      <c r="BH89" s="35"/>
      <c r="BI89" s="35"/>
      <c r="BJ89" s="35"/>
      <c r="BK89" s="35"/>
      <c r="BL89" s="35"/>
    </row>
    <row r="90" spans="1:64" ht="14">
      <c r="A90" s="36"/>
      <c r="B90" s="37"/>
      <c r="C90" s="38">
        <f t="shared" si="3"/>
        <v>0</v>
      </c>
      <c r="D90" s="39"/>
      <c r="E90" s="39"/>
      <c r="F90" s="39"/>
      <c r="G90" s="39"/>
      <c r="H90" s="40"/>
      <c r="I90" s="41"/>
      <c r="J90" s="39"/>
      <c r="K90" s="43">
        <f t="shared" si="4"/>
        <v>0</v>
      </c>
      <c r="L90" s="39"/>
      <c r="M90" s="42" t="str">
        <f t="shared" si="5"/>
        <v/>
      </c>
      <c r="N90" s="35"/>
      <c r="O90" s="35"/>
      <c r="P90" s="35"/>
      <c r="Q90" s="35"/>
      <c r="R90" s="35"/>
      <c r="S90" s="35"/>
      <c r="T90" s="35"/>
      <c r="U90" s="35"/>
      <c r="V90" s="35"/>
      <c r="W90" s="35"/>
      <c r="X90" s="35"/>
      <c r="Y90" s="35"/>
      <c r="Z90" s="35"/>
      <c r="AA90" s="35"/>
      <c r="AB90" s="35"/>
      <c r="AC90" s="35"/>
      <c r="AD90" s="35"/>
      <c r="AE90" s="35"/>
      <c r="AF90" s="35"/>
      <c r="AG90" s="35"/>
      <c r="AH90" s="35"/>
      <c r="AI90" s="35"/>
      <c r="AJ90" s="35"/>
      <c r="AK90" s="35"/>
      <c r="AL90" s="35"/>
      <c r="AM90" s="35"/>
      <c r="AN90" s="35"/>
      <c r="AO90" s="35"/>
      <c r="AP90" s="35"/>
      <c r="AQ90" s="35"/>
      <c r="AR90" s="35"/>
      <c r="AS90" s="35"/>
      <c r="AT90" s="35"/>
      <c r="AU90" s="35"/>
      <c r="AV90" s="35"/>
      <c r="AW90" s="35"/>
      <c r="AX90" s="35"/>
      <c r="AY90" s="35"/>
      <c r="AZ90" s="35"/>
      <c r="BA90" s="35"/>
      <c r="BB90" s="35"/>
      <c r="BC90" s="35"/>
      <c r="BD90" s="35"/>
      <c r="BE90" s="35"/>
      <c r="BF90" s="35"/>
      <c r="BG90" s="35"/>
      <c r="BH90" s="35"/>
      <c r="BI90" s="35"/>
      <c r="BJ90" s="35"/>
      <c r="BK90" s="35"/>
      <c r="BL90" s="35"/>
    </row>
    <row r="91" spans="1:64" ht="14">
      <c r="A91" s="36"/>
      <c r="B91" s="37"/>
      <c r="C91" s="38">
        <f t="shared" si="3"/>
        <v>0</v>
      </c>
      <c r="D91" s="39"/>
      <c r="E91" s="39"/>
      <c r="F91" s="39"/>
      <c r="G91" s="39"/>
      <c r="H91" s="40"/>
      <c r="I91" s="41"/>
      <c r="J91" s="39"/>
      <c r="K91" s="43">
        <f t="shared" si="4"/>
        <v>0</v>
      </c>
      <c r="L91" s="39"/>
      <c r="M91" s="42" t="str">
        <f t="shared" si="5"/>
        <v/>
      </c>
      <c r="N91" s="35"/>
      <c r="O91" s="35"/>
      <c r="P91" s="35"/>
      <c r="Q91" s="35"/>
      <c r="R91" s="35"/>
      <c r="S91" s="35"/>
      <c r="T91" s="35"/>
      <c r="U91" s="35"/>
      <c r="V91" s="35"/>
      <c r="W91" s="35"/>
      <c r="X91" s="35"/>
      <c r="Y91" s="35"/>
      <c r="Z91" s="35"/>
      <c r="AA91" s="35"/>
      <c r="AB91" s="35"/>
      <c r="AC91" s="35"/>
      <c r="AD91" s="35"/>
      <c r="AE91" s="35"/>
      <c r="AF91" s="35"/>
      <c r="AG91" s="35"/>
      <c r="AH91" s="35"/>
      <c r="AI91" s="35"/>
      <c r="AJ91" s="35"/>
      <c r="AK91" s="35"/>
      <c r="AL91" s="35"/>
      <c r="AM91" s="35"/>
      <c r="AN91" s="35"/>
      <c r="AO91" s="35"/>
      <c r="AP91" s="35"/>
      <c r="AQ91" s="35"/>
      <c r="AR91" s="35"/>
      <c r="AS91" s="35"/>
      <c r="AT91" s="35"/>
      <c r="AU91" s="35"/>
      <c r="AV91" s="35"/>
      <c r="AW91" s="35"/>
      <c r="AX91" s="35"/>
      <c r="AY91" s="35"/>
      <c r="AZ91" s="35"/>
      <c r="BA91" s="35"/>
      <c r="BB91" s="35"/>
      <c r="BC91" s="35"/>
      <c r="BD91" s="35"/>
      <c r="BE91" s="35"/>
      <c r="BF91" s="35"/>
      <c r="BG91" s="35"/>
      <c r="BH91" s="35"/>
      <c r="BI91" s="35"/>
      <c r="BJ91" s="35"/>
      <c r="BK91" s="35"/>
      <c r="BL91" s="35"/>
    </row>
    <row r="92" spans="1:64" ht="14">
      <c r="A92" s="36"/>
      <c r="B92" s="37"/>
      <c r="C92" s="38">
        <f t="shared" si="3"/>
        <v>0</v>
      </c>
      <c r="D92" s="39"/>
      <c r="E92" s="39"/>
      <c r="F92" s="39"/>
      <c r="G92" s="39"/>
      <c r="H92" s="40"/>
      <c r="I92" s="41"/>
      <c r="J92" s="39"/>
      <c r="K92" s="43">
        <f t="shared" si="4"/>
        <v>0</v>
      </c>
      <c r="L92" s="39"/>
      <c r="M92" s="42" t="str">
        <f t="shared" si="5"/>
        <v/>
      </c>
      <c r="N92" s="35"/>
      <c r="O92" s="35"/>
      <c r="P92" s="35"/>
      <c r="Q92" s="35"/>
      <c r="R92" s="35"/>
      <c r="S92" s="35"/>
      <c r="T92" s="35"/>
      <c r="U92" s="35"/>
      <c r="V92" s="35"/>
      <c r="W92" s="35"/>
      <c r="X92" s="35"/>
      <c r="Y92" s="35"/>
      <c r="Z92" s="35"/>
      <c r="AA92" s="35"/>
      <c r="AB92" s="35"/>
      <c r="AC92" s="35"/>
      <c r="AD92" s="35"/>
      <c r="AE92" s="35"/>
      <c r="AF92" s="35"/>
      <c r="AG92" s="35"/>
      <c r="AH92" s="35"/>
      <c r="AI92" s="35"/>
      <c r="AJ92" s="35"/>
      <c r="AK92" s="35"/>
      <c r="AL92" s="35"/>
      <c r="AM92" s="35"/>
      <c r="AN92" s="35"/>
      <c r="AO92" s="35"/>
      <c r="AP92" s="35"/>
      <c r="AQ92" s="35"/>
      <c r="AR92" s="35"/>
      <c r="AS92" s="35"/>
      <c r="AT92" s="35"/>
      <c r="AU92" s="35"/>
      <c r="AV92" s="35"/>
      <c r="AW92" s="35"/>
      <c r="AX92" s="35"/>
      <c r="AY92" s="35"/>
      <c r="AZ92" s="35"/>
      <c r="BA92" s="35"/>
      <c r="BB92" s="35"/>
      <c r="BC92" s="35"/>
      <c r="BD92" s="35"/>
      <c r="BE92" s="35"/>
      <c r="BF92" s="35"/>
      <c r="BG92" s="35"/>
      <c r="BH92" s="35"/>
      <c r="BI92" s="35"/>
      <c r="BJ92" s="35"/>
      <c r="BK92" s="35"/>
      <c r="BL92" s="35"/>
    </row>
    <row r="93" spans="1:64" ht="14">
      <c r="A93" s="36"/>
      <c r="B93" s="37"/>
      <c r="C93" s="38">
        <f t="shared" si="3"/>
        <v>0</v>
      </c>
      <c r="D93" s="39"/>
      <c r="E93" s="39"/>
      <c r="F93" s="39"/>
      <c r="G93" s="39"/>
      <c r="H93" s="40"/>
      <c r="I93" s="41"/>
      <c r="J93" s="39"/>
      <c r="K93" s="43">
        <f t="shared" si="4"/>
        <v>0</v>
      </c>
      <c r="L93" s="39"/>
      <c r="M93" s="42" t="str">
        <f t="shared" si="5"/>
        <v/>
      </c>
      <c r="N93" s="35"/>
      <c r="O93" s="35"/>
      <c r="P93" s="35"/>
      <c r="Q93" s="35"/>
      <c r="R93" s="35"/>
      <c r="S93" s="35"/>
      <c r="T93" s="35"/>
      <c r="U93" s="35"/>
      <c r="V93" s="35"/>
      <c r="W93" s="35"/>
      <c r="X93" s="35"/>
      <c r="Y93" s="35"/>
      <c r="Z93" s="35"/>
      <c r="AA93" s="35"/>
      <c r="AB93" s="35"/>
      <c r="AC93" s="35"/>
      <c r="AD93" s="35"/>
      <c r="AE93" s="35"/>
      <c r="AF93" s="35"/>
      <c r="AG93" s="35"/>
      <c r="AH93" s="35"/>
      <c r="AI93" s="35"/>
      <c r="AJ93" s="35"/>
      <c r="AK93" s="35"/>
      <c r="AL93" s="35"/>
      <c r="AM93" s="35"/>
      <c r="AN93" s="35"/>
      <c r="AO93" s="35"/>
      <c r="AP93" s="35"/>
      <c r="AQ93" s="35"/>
      <c r="AR93" s="35"/>
      <c r="AS93" s="35"/>
      <c r="AT93" s="35"/>
      <c r="AU93" s="35"/>
      <c r="AV93" s="35"/>
      <c r="AW93" s="35"/>
      <c r="AX93" s="35"/>
      <c r="AY93" s="35"/>
      <c r="AZ93" s="35"/>
      <c r="BA93" s="35"/>
      <c r="BB93" s="35"/>
      <c r="BC93" s="35"/>
      <c r="BD93" s="35"/>
      <c r="BE93" s="35"/>
      <c r="BF93" s="35"/>
      <c r="BG93" s="35"/>
      <c r="BH93" s="35"/>
      <c r="BI93" s="35"/>
      <c r="BJ93" s="35"/>
      <c r="BK93" s="35"/>
      <c r="BL93" s="35"/>
    </row>
    <row r="94" spans="1:64" ht="14">
      <c r="A94" s="36"/>
      <c r="B94" s="37"/>
      <c r="C94" s="38">
        <f t="shared" si="3"/>
        <v>0</v>
      </c>
      <c r="D94" s="39"/>
      <c r="E94" s="39"/>
      <c r="F94" s="39"/>
      <c r="G94" s="39"/>
      <c r="H94" s="40"/>
      <c r="I94" s="41"/>
      <c r="J94" s="39"/>
      <c r="K94" s="43">
        <f t="shared" si="4"/>
        <v>0</v>
      </c>
      <c r="L94" s="39"/>
      <c r="M94" s="42" t="str">
        <f t="shared" si="5"/>
        <v/>
      </c>
      <c r="N94" s="35"/>
      <c r="O94" s="35"/>
      <c r="P94" s="35"/>
      <c r="Q94" s="35"/>
      <c r="R94" s="35"/>
      <c r="S94" s="35"/>
      <c r="T94" s="35"/>
      <c r="U94" s="35"/>
      <c r="V94" s="35"/>
      <c r="W94" s="35"/>
      <c r="X94" s="35"/>
      <c r="Y94" s="35"/>
      <c r="Z94" s="35"/>
      <c r="AA94" s="35"/>
      <c r="AB94" s="35"/>
      <c r="AC94" s="35"/>
      <c r="AD94" s="35"/>
      <c r="AE94" s="35"/>
      <c r="AF94" s="35"/>
      <c r="AG94" s="35"/>
      <c r="AH94" s="35"/>
      <c r="AI94" s="35"/>
      <c r="AJ94" s="35"/>
      <c r="AK94" s="35"/>
      <c r="AL94" s="35"/>
      <c r="AM94" s="35"/>
      <c r="AN94" s="35"/>
      <c r="AO94" s="35"/>
      <c r="AP94" s="35"/>
      <c r="AQ94" s="35"/>
      <c r="AR94" s="35"/>
      <c r="AS94" s="35"/>
      <c r="AT94" s="35"/>
      <c r="AU94" s="35"/>
      <c r="AV94" s="35"/>
      <c r="AW94" s="35"/>
      <c r="AX94" s="35"/>
      <c r="AY94" s="35"/>
      <c r="AZ94" s="35"/>
      <c r="BA94" s="35"/>
      <c r="BB94" s="35"/>
      <c r="BC94" s="35"/>
      <c r="BD94" s="35"/>
      <c r="BE94" s="35"/>
      <c r="BF94" s="35"/>
      <c r="BG94" s="35"/>
      <c r="BH94" s="35"/>
      <c r="BI94" s="35"/>
      <c r="BJ94" s="35"/>
      <c r="BK94" s="35"/>
      <c r="BL94" s="35"/>
    </row>
    <row r="95" spans="1:64" ht="14">
      <c r="A95" s="36"/>
      <c r="B95" s="37"/>
      <c r="C95" s="38">
        <f t="shared" si="3"/>
        <v>0</v>
      </c>
      <c r="D95" s="39"/>
      <c r="E95" s="39"/>
      <c r="F95" s="39"/>
      <c r="G95" s="39"/>
      <c r="H95" s="40"/>
      <c r="I95" s="41"/>
      <c r="J95" s="39"/>
      <c r="K95" s="43">
        <f t="shared" si="4"/>
        <v>0</v>
      </c>
      <c r="L95" s="39"/>
      <c r="M95" s="42" t="str">
        <f t="shared" si="5"/>
        <v/>
      </c>
      <c r="N95" s="35"/>
      <c r="O95" s="35"/>
      <c r="P95" s="35"/>
      <c r="Q95" s="35"/>
      <c r="R95" s="35"/>
      <c r="S95" s="35"/>
      <c r="T95" s="35"/>
      <c r="U95" s="35"/>
      <c r="V95" s="35"/>
      <c r="W95" s="35"/>
      <c r="X95" s="35"/>
      <c r="Y95" s="35"/>
      <c r="Z95" s="35"/>
      <c r="AA95" s="35"/>
      <c r="AB95" s="35"/>
      <c r="AC95" s="35"/>
      <c r="AD95" s="35"/>
      <c r="AE95" s="35"/>
      <c r="AF95" s="35"/>
      <c r="AG95" s="35"/>
      <c r="AH95" s="35"/>
      <c r="AI95" s="35"/>
      <c r="AJ95" s="35"/>
      <c r="AK95" s="35"/>
      <c r="AL95" s="35"/>
      <c r="AM95" s="35"/>
      <c r="AN95" s="35"/>
      <c r="AO95" s="35"/>
      <c r="AP95" s="35"/>
      <c r="AQ95" s="35"/>
      <c r="AR95" s="35"/>
      <c r="AS95" s="35"/>
      <c r="AT95" s="35"/>
      <c r="AU95" s="35"/>
      <c r="AV95" s="35"/>
      <c r="AW95" s="35"/>
      <c r="AX95" s="35"/>
      <c r="AY95" s="35"/>
      <c r="AZ95" s="35"/>
      <c r="BA95" s="35"/>
      <c r="BB95" s="35"/>
      <c r="BC95" s="35"/>
      <c r="BD95" s="35"/>
      <c r="BE95" s="35"/>
      <c r="BF95" s="35"/>
      <c r="BG95" s="35"/>
      <c r="BH95" s="35"/>
      <c r="BI95" s="35"/>
      <c r="BJ95" s="35"/>
      <c r="BK95" s="35"/>
      <c r="BL95" s="35"/>
    </row>
    <row r="96" spans="1:64" ht="14">
      <c r="A96" s="36"/>
      <c r="B96" s="37"/>
      <c r="C96" s="38">
        <f t="shared" si="3"/>
        <v>0</v>
      </c>
      <c r="D96" s="39"/>
      <c r="E96" s="39"/>
      <c r="F96" s="39"/>
      <c r="G96" s="39"/>
      <c r="H96" s="40"/>
      <c r="I96" s="41"/>
      <c r="J96" s="39"/>
      <c r="K96" s="43">
        <f t="shared" si="4"/>
        <v>0</v>
      </c>
      <c r="L96" s="39"/>
      <c r="M96" s="42" t="str">
        <f t="shared" si="5"/>
        <v/>
      </c>
      <c r="N96" s="35"/>
      <c r="O96" s="35"/>
      <c r="P96" s="35"/>
      <c r="Q96" s="35"/>
      <c r="R96" s="35"/>
      <c r="S96" s="35"/>
      <c r="T96" s="35"/>
      <c r="U96" s="35"/>
      <c r="V96" s="35"/>
      <c r="W96" s="35"/>
      <c r="X96" s="35"/>
      <c r="Y96" s="35"/>
      <c r="Z96" s="35"/>
      <c r="AA96" s="35"/>
      <c r="AB96" s="35"/>
      <c r="AC96" s="35"/>
      <c r="AD96" s="35"/>
      <c r="AE96" s="35"/>
      <c r="AF96" s="35"/>
      <c r="AG96" s="35"/>
      <c r="AH96" s="35"/>
      <c r="AI96" s="35"/>
      <c r="AJ96" s="35"/>
      <c r="AK96" s="35"/>
      <c r="AL96" s="35"/>
      <c r="AM96" s="35"/>
      <c r="AN96" s="35"/>
      <c r="AO96" s="35"/>
      <c r="AP96" s="35"/>
      <c r="AQ96" s="35"/>
      <c r="AR96" s="35"/>
      <c r="AS96" s="35"/>
      <c r="AT96" s="35"/>
      <c r="AU96" s="35"/>
      <c r="AV96" s="35"/>
      <c r="AW96" s="35"/>
      <c r="AX96" s="35"/>
      <c r="AY96" s="35"/>
      <c r="AZ96" s="35"/>
      <c r="BA96" s="35"/>
      <c r="BB96" s="35"/>
      <c r="BC96" s="35"/>
      <c r="BD96" s="35"/>
      <c r="BE96" s="35"/>
      <c r="BF96" s="35"/>
      <c r="BG96" s="35"/>
      <c r="BH96" s="35"/>
      <c r="BI96" s="35"/>
      <c r="BJ96" s="35"/>
      <c r="BK96" s="35"/>
      <c r="BL96" s="35"/>
    </row>
    <row r="97" spans="1:64" ht="14">
      <c r="A97" s="36"/>
      <c r="B97" s="37"/>
      <c r="C97" s="38">
        <f t="shared" si="3"/>
        <v>0</v>
      </c>
      <c r="D97" s="39"/>
      <c r="E97" s="39"/>
      <c r="F97" s="39"/>
      <c r="G97" s="39"/>
      <c r="H97" s="40"/>
      <c r="I97" s="41"/>
      <c r="J97" s="39"/>
      <c r="K97" s="43">
        <f t="shared" si="4"/>
        <v>0</v>
      </c>
      <c r="L97" s="39"/>
      <c r="M97" s="42" t="str">
        <f t="shared" si="5"/>
        <v/>
      </c>
      <c r="N97" s="35"/>
      <c r="O97" s="35"/>
      <c r="P97" s="35"/>
      <c r="Q97" s="35"/>
      <c r="R97" s="35"/>
      <c r="S97" s="35"/>
      <c r="T97" s="35"/>
      <c r="U97" s="35"/>
      <c r="V97" s="35"/>
      <c r="W97" s="35"/>
      <c r="X97" s="35"/>
      <c r="Y97" s="35"/>
      <c r="Z97" s="35"/>
      <c r="AA97" s="35"/>
      <c r="AB97" s="35"/>
      <c r="AC97" s="35"/>
      <c r="AD97" s="35"/>
      <c r="AE97" s="35"/>
      <c r="AF97" s="35"/>
      <c r="AG97" s="35"/>
      <c r="AH97" s="35"/>
      <c r="AI97" s="35"/>
      <c r="AJ97" s="35"/>
      <c r="AK97" s="35"/>
      <c r="AL97" s="35"/>
      <c r="AM97" s="35"/>
      <c r="AN97" s="35"/>
      <c r="AO97" s="35"/>
      <c r="AP97" s="35"/>
      <c r="AQ97" s="35"/>
      <c r="AR97" s="35"/>
      <c r="AS97" s="35"/>
      <c r="AT97" s="35"/>
      <c r="AU97" s="35"/>
      <c r="AV97" s="35"/>
      <c r="AW97" s="35"/>
      <c r="AX97" s="35"/>
      <c r="AY97" s="35"/>
      <c r="AZ97" s="35"/>
      <c r="BA97" s="35"/>
      <c r="BB97" s="35"/>
      <c r="BC97" s="35"/>
      <c r="BD97" s="35"/>
      <c r="BE97" s="35"/>
      <c r="BF97" s="35"/>
      <c r="BG97" s="35"/>
      <c r="BH97" s="35"/>
      <c r="BI97" s="35"/>
      <c r="BJ97" s="35"/>
      <c r="BK97" s="35"/>
      <c r="BL97" s="35"/>
    </row>
    <row r="98" spans="1:64" ht="14">
      <c r="A98" s="36"/>
      <c r="B98" s="37"/>
      <c r="C98" s="38">
        <f t="shared" si="3"/>
        <v>0</v>
      </c>
      <c r="D98" s="39"/>
      <c r="E98" s="39"/>
      <c r="F98" s="39"/>
      <c r="G98" s="39"/>
      <c r="H98" s="40"/>
      <c r="I98" s="41"/>
      <c r="J98" s="39"/>
      <c r="K98" s="43">
        <f t="shared" si="4"/>
        <v>0</v>
      </c>
      <c r="L98" s="39"/>
      <c r="M98" s="42" t="str">
        <f t="shared" si="5"/>
        <v/>
      </c>
      <c r="N98" s="35"/>
      <c r="O98" s="35"/>
      <c r="P98" s="35"/>
      <c r="Q98" s="35"/>
      <c r="R98" s="35"/>
      <c r="S98" s="35"/>
      <c r="T98" s="35"/>
      <c r="U98" s="35"/>
      <c r="V98" s="35"/>
      <c r="W98" s="35"/>
      <c r="X98" s="35"/>
      <c r="Y98" s="35"/>
      <c r="Z98" s="35"/>
      <c r="AA98" s="35"/>
      <c r="AB98" s="35"/>
      <c r="AC98" s="35"/>
      <c r="AD98" s="35"/>
      <c r="AE98" s="35"/>
      <c r="AF98" s="35"/>
      <c r="AG98" s="35"/>
      <c r="AH98" s="35"/>
      <c r="AI98" s="35"/>
      <c r="AJ98" s="35"/>
      <c r="AK98" s="35"/>
      <c r="AL98" s="35"/>
      <c r="AM98" s="35"/>
      <c r="AN98" s="35"/>
      <c r="AO98" s="35"/>
      <c r="AP98" s="35"/>
      <c r="AQ98" s="35"/>
      <c r="AR98" s="35"/>
      <c r="AS98" s="35"/>
      <c r="AT98" s="35"/>
      <c r="AU98" s="35"/>
      <c r="AV98" s="35"/>
      <c r="AW98" s="35"/>
      <c r="AX98" s="35"/>
      <c r="AY98" s="35"/>
      <c r="AZ98" s="35"/>
      <c r="BA98" s="35"/>
      <c r="BB98" s="35"/>
      <c r="BC98" s="35"/>
      <c r="BD98" s="35"/>
      <c r="BE98" s="35"/>
      <c r="BF98" s="35"/>
      <c r="BG98" s="35"/>
      <c r="BH98" s="35"/>
      <c r="BI98" s="35"/>
      <c r="BJ98" s="35"/>
      <c r="BK98" s="35"/>
      <c r="BL98" s="35"/>
    </row>
    <row r="99" spans="1:64" ht="14">
      <c r="A99" s="36"/>
      <c r="B99" s="37"/>
      <c r="C99" s="38">
        <f t="shared" si="3"/>
        <v>0</v>
      </c>
      <c r="D99" s="39"/>
      <c r="E99" s="39"/>
      <c r="F99" s="39"/>
      <c r="G99" s="39"/>
      <c r="H99" s="40"/>
      <c r="I99" s="41"/>
      <c r="J99" s="39"/>
      <c r="K99" s="43">
        <f t="shared" si="4"/>
        <v>0</v>
      </c>
      <c r="L99" s="39"/>
      <c r="M99" s="42" t="str">
        <f t="shared" si="5"/>
        <v/>
      </c>
      <c r="N99" s="35"/>
      <c r="O99" s="35"/>
      <c r="P99" s="35"/>
      <c r="Q99" s="35"/>
      <c r="R99" s="35"/>
      <c r="S99" s="35"/>
      <c r="T99" s="35"/>
      <c r="U99" s="35"/>
      <c r="V99" s="35"/>
      <c r="W99" s="35"/>
      <c r="X99" s="35"/>
      <c r="Y99" s="35"/>
      <c r="Z99" s="35"/>
      <c r="AA99" s="35"/>
      <c r="AB99" s="35"/>
      <c r="AC99" s="35"/>
      <c r="AD99" s="35"/>
      <c r="AE99" s="35"/>
      <c r="AF99" s="35"/>
      <c r="AG99" s="35"/>
      <c r="AH99" s="35"/>
      <c r="AI99" s="35"/>
      <c r="AJ99" s="35"/>
      <c r="AK99" s="35"/>
      <c r="AL99" s="35"/>
      <c r="AM99" s="35"/>
      <c r="AN99" s="35"/>
      <c r="AO99" s="35"/>
      <c r="AP99" s="35"/>
      <c r="AQ99" s="35"/>
      <c r="AR99" s="35"/>
      <c r="AS99" s="35"/>
      <c r="AT99" s="35"/>
      <c r="AU99" s="35"/>
      <c r="AV99" s="35"/>
      <c r="AW99" s="35"/>
      <c r="AX99" s="35"/>
      <c r="AY99" s="35"/>
      <c r="AZ99" s="35"/>
      <c r="BA99" s="35"/>
      <c r="BB99" s="35"/>
      <c r="BC99" s="35"/>
      <c r="BD99" s="35"/>
      <c r="BE99" s="35"/>
      <c r="BF99" s="35"/>
      <c r="BG99" s="35"/>
      <c r="BH99" s="35"/>
      <c r="BI99" s="35"/>
      <c r="BJ99" s="35"/>
      <c r="BK99" s="35"/>
      <c r="BL99" s="35"/>
    </row>
    <row r="100" spans="1:64" ht="14">
      <c r="A100" s="36"/>
      <c r="B100" s="37"/>
      <c r="C100" s="38">
        <f t="shared" si="3"/>
        <v>0</v>
      </c>
      <c r="D100" s="39"/>
      <c r="E100" s="39"/>
      <c r="F100" s="39"/>
      <c r="G100" s="39"/>
      <c r="H100" s="40"/>
      <c r="I100" s="41"/>
      <c r="J100" s="39"/>
      <c r="K100" s="43">
        <f t="shared" si="4"/>
        <v>0</v>
      </c>
      <c r="L100" s="39"/>
      <c r="M100" s="42" t="str">
        <f t="shared" si="5"/>
        <v/>
      </c>
      <c r="N100" s="35"/>
      <c r="O100" s="35"/>
      <c r="P100" s="35"/>
      <c r="Q100" s="35"/>
      <c r="R100" s="35"/>
      <c r="S100" s="35"/>
      <c r="T100" s="35"/>
      <c r="U100" s="35"/>
      <c r="V100" s="35"/>
      <c r="W100" s="35"/>
      <c r="X100" s="35"/>
      <c r="Y100" s="35"/>
      <c r="Z100" s="35"/>
      <c r="AA100" s="35"/>
      <c r="AB100" s="35"/>
      <c r="AC100" s="35"/>
      <c r="AD100" s="35"/>
      <c r="AE100" s="35"/>
      <c r="AF100" s="35"/>
      <c r="AG100" s="35"/>
      <c r="AH100" s="35"/>
      <c r="AI100" s="35"/>
      <c r="AJ100" s="35"/>
      <c r="AK100" s="35"/>
      <c r="AL100" s="35"/>
      <c r="AM100" s="35"/>
      <c r="AN100" s="35"/>
      <c r="AO100" s="35"/>
      <c r="AP100" s="35"/>
      <c r="AQ100" s="35"/>
      <c r="AR100" s="35"/>
      <c r="AS100" s="35"/>
      <c r="AT100" s="35"/>
      <c r="AU100" s="35"/>
      <c r="AV100" s="35"/>
      <c r="AW100" s="35"/>
      <c r="AX100" s="35"/>
      <c r="AY100" s="35"/>
      <c r="AZ100" s="35"/>
      <c r="BA100" s="35"/>
      <c r="BB100" s="35"/>
      <c r="BC100" s="35"/>
      <c r="BD100" s="35"/>
      <c r="BE100" s="35"/>
      <c r="BF100" s="35"/>
      <c r="BG100" s="35"/>
      <c r="BH100" s="35"/>
      <c r="BI100" s="35"/>
      <c r="BJ100" s="35"/>
      <c r="BK100" s="35"/>
      <c r="BL100" s="35"/>
    </row>
    <row r="101" spans="1:64" ht="14">
      <c r="A101" s="36"/>
      <c r="B101" s="37"/>
      <c r="C101" s="38">
        <f t="shared" si="3"/>
        <v>0</v>
      </c>
      <c r="D101" s="39"/>
      <c r="E101" s="39"/>
      <c r="F101" s="39"/>
      <c r="G101" s="39"/>
      <c r="H101" s="40"/>
      <c r="I101" s="41"/>
      <c r="J101" s="39"/>
      <c r="K101" s="43">
        <f t="shared" si="4"/>
        <v>0</v>
      </c>
      <c r="L101" s="39"/>
      <c r="M101" s="42" t="str">
        <f t="shared" si="5"/>
        <v/>
      </c>
      <c r="N101" s="35"/>
      <c r="O101" s="35"/>
      <c r="P101" s="35"/>
      <c r="Q101" s="35"/>
      <c r="R101" s="35"/>
      <c r="S101" s="35"/>
      <c r="T101" s="35"/>
      <c r="U101" s="35"/>
      <c r="V101" s="35"/>
      <c r="W101" s="35"/>
      <c r="X101" s="35"/>
      <c r="Y101" s="35"/>
      <c r="Z101" s="35"/>
      <c r="AA101" s="35"/>
      <c r="AB101" s="35"/>
      <c r="AC101" s="35"/>
      <c r="AD101" s="35"/>
      <c r="AE101" s="35"/>
      <c r="AF101" s="35"/>
      <c r="AG101" s="35"/>
      <c r="AH101" s="35"/>
      <c r="AI101" s="35"/>
      <c r="AJ101" s="35"/>
      <c r="AK101" s="35"/>
      <c r="AL101" s="35"/>
      <c r="AM101" s="35"/>
      <c r="AN101" s="35"/>
      <c r="AO101" s="35"/>
      <c r="AP101" s="35"/>
      <c r="AQ101" s="35"/>
      <c r="AR101" s="35"/>
      <c r="AS101" s="35"/>
      <c r="AT101" s="35"/>
      <c r="AU101" s="35"/>
      <c r="AV101" s="35"/>
      <c r="AW101" s="35"/>
      <c r="AX101" s="35"/>
      <c r="AY101" s="35"/>
      <c r="AZ101" s="35"/>
      <c r="BA101" s="35"/>
      <c r="BB101" s="35"/>
      <c r="BC101" s="35"/>
      <c r="BD101" s="35"/>
      <c r="BE101" s="35"/>
      <c r="BF101" s="35"/>
      <c r="BG101" s="35"/>
      <c r="BH101" s="35"/>
      <c r="BI101" s="35"/>
      <c r="BJ101" s="35"/>
      <c r="BK101" s="35"/>
      <c r="BL101" s="35"/>
    </row>
    <row r="102" spans="1:64" ht="14">
      <c r="A102" s="36"/>
      <c r="B102" s="37"/>
      <c r="C102" s="38">
        <f t="shared" si="3"/>
        <v>0</v>
      </c>
      <c r="D102" s="39"/>
      <c r="E102" s="39"/>
      <c r="F102" s="39"/>
      <c r="G102" s="39"/>
      <c r="H102" s="40"/>
      <c r="I102" s="41"/>
      <c r="J102" s="39"/>
      <c r="K102" s="43">
        <f t="shared" si="4"/>
        <v>0</v>
      </c>
      <c r="L102" s="39"/>
      <c r="M102" s="42" t="str">
        <f t="shared" si="5"/>
        <v/>
      </c>
      <c r="N102" s="35"/>
      <c r="O102" s="35"/>
      <c r="P102" s="35"/>
      <c r="Q102" s="35"/>
      <c r="R102" s="35"/>
      <c r="S102" s="35"/>
      <c r="T102" s="35"/>
      <c r="U102" s="35"/>
      <c r="V102" s="35"/>
      <c r="W102" s="35"/>
      <c r="X102" s="35"/>
      <c r="Y102" s="35"/>
      <c r="Z102" s="35"/>
      <c r="AA102" s="35"/>
      <c r="AB102" s="35"/>
      <c r="AC102" s="35"/>
      <c r="AD102" s="35"/>
      <c r="AE102" s="35"/>
      <c r="AF102" s="35"/>
      <c r="AG102" s="35"/>
      <c r="AH102" s="35"/>
      <c r="AI102" s="35"/>
      <c r="AJ102" s="35"/>
      <c r="AK102" s="35"/>
      <c r="AL102" s="35"/>
      <c r="AM102" s="35"/>
      <c r="AN102" s="35"/>
      <c r="AO102" s="35"/>
      <c r="AP102" s="35"/>
      <c r="AQ102" s="35"/>
      <c r="AR102" s="35"/>
      <c r="AS102" s="35"/>
      <c r="AT102" s="35"/>
      <c r="AU102" s="35"/>
      <c r="AV102" s="35"/>
      <c r="AW102" s="35"/>
      <c r="AX102" s="35"/>
      <c r="AY102" s="35"/>
      <c r="AZ102" s="35"/>
      <c r="BA102" s="35"/>
      <c r="BB102" s="35"/>
      <c r="BC102" s="35"/>
      <c r="BD102" s="35"/>
      <c r="BE102" s="35"/>
      <c r="BF102" s="35"/>
      <c r="BG102" s="35"/>
      <c r="BH102" s="35"/>
      <c r="BI102" s="35"/>
      <c r="BJ102" s="35"/>
      <c r="BK102" s="35"/>
      <c r="BL102" s="35"/>
    </row>
    <row r="103" spans="1:64" ht="14">
      <c r="A103" s="36"/>
      <c r="B103" s="37"/>
      <c r="C103" s="38">
        <f t="shared" si="3"/>
        <v>0</v>
      </c>
      <c r="D103" s="39"/>
      <c r="E103" s="39"/>
      <c r="F103" s="39"/>
      <c r="G103" s="39"/>
      <c r="H103" s="40"/>
      <c r="I103" s="41"/>
      <c r="J103" s="39"/>
      <c r="K103" s="43">
        <f t="shared" si="4"/>
        <v>0</v>
      </c>
      <c r="L103" s="39"/>
      <c r="M103" s="42" t="str">
        <f t="shared" si="5"/>
        <v/>
      </c>
      <c r="N103" s="35"/>
      <c r="O103" s="35"/>
      <c r="P103" s="35"/>
      <c r="Q103" s="35"/>
      <c r="R103" s="35"/>
      <c r="S103" s="35"/>
      <c r="T103" s="35"/>
      <c r="U103" s="35"/>
      <c r="V103" s="35"/>
      <c r="W103" s="35"/>
      <c r="X103" s="35"/>
      <c r="Y103" s="35"/>
      <c r="Z103" s="35"/>
      <c r="AA103" s="35"/>
      <c r="AB103" s="35"/>
      <c r="AC103" s="35"/>
      <c r="AD103" s="35"/>
      <c r="AE103" s="35"/>
      <c r="AF103" s="35"/>
      <c r="AG103" s="35"/>
      <c r="AH103" s="35"/>
      <c r="AI103" s="35"/>
      <c r="AJ103" s="35"/>
      <c r="AK103" s="35"/>
      <c r="AL103" s="35"/>
      <c r="AM103" s="35"/>
      <c r="AN103" s="35"/>
      <c r="AO103" s="35"/>
      <c r="AP103" s="35"/>
      <c r="AQ103" s="35"/>
      <c r="AR103" s="35"/>
      <c r="AS103" s="35"/>
      <c r="AT103" s="35"/>
      <c r="AU103" s="35"/>
      <c r="AV103" s="35"/>
      <c r="AW103" s="35"/>
      <c r="AX103" s="35"/>
      <c r="AY103" s="35"/>
      <c r="AZ103" s="35"/>
      <c r="BA103" s="35"/>
      <c r="BB103" s="35"/>
      <c r="BC103" s="35"/>
      <c r="BD103" s="35"/>
      <c r="BE103" s="35"/>
      <c r="BF103" s="35"/>
      <c r="BG103" s="35"/>
      <c r="BH103" s="35"/>
      <c r="BI103" s="35"/>
      <c r="BJ103" s="35"/>
      <c r="BK103" s="35"/>
      <c r="BL103" s="35"/>
    </row>
    <row r="104" spans="1:64" ht="14">
      <c r="A104" s="36"/>
      <c r="B104" s="37"/>
      <c r="C104" s="38">
        <f t="shared" si="3"/>
        <v>0</v>
      </c>
      <c r="D104" s="39"/>
      <c r="E104" s="39"/>
      <c r="F104" s="39"/>
      <c r="G104" s="39"/>
      <c r="H104" s="40"/>
      <c r="I104" s="41"/>
      <c r="J104" s="39"/>
      <c r="K104" s="43">
        <f t="shared" si="4"/>
        <v>0</v>
      </c>
      <c r="L104" s="39"/>
      <c r="M104" s="42" t="str">
        <f t="shared" si="5"/>
        <v/>
      </c>
      <c r="N104" s="35"/>
      <c r="O104" s="35"/>
      <c r="P104" s="35"/>
      <c r="Q104" s="35"/>
      <c r="R104" s="35"/>
      <c r="S104" s="35"/>
      <c r="T104" s="35"/>
      <c r="U104" s="35"/>
      <c r="V104" s="35"/>
      <c r="W104" s="35"/>
      <c r="X104" s="35"/>
      <c r="Y104" s="35"/>
      <c r="Z104" s="35"/>
      <c r="AA104" s="35"/>
      <c r="AB104" s="35"/>
      <c r="AC104" s="35"/>
      <c r="AD104" s="35"/>
      <c r="AE104" s="35"/>
      <c r="AF104" s="35"/>
      <c r="AG104" s="35"/>
      <c r="AH104" s="35"/>
      <c r="AI104" s="35"/>
      <c r="AJ104" s="35"/>
      <c r="AK104" s="35"/>
      <c r="AL104" s="35"/>
      <c r="AM104" s="35"/>
      <c r="AN104" s="35"/>
      <c r="AO104" s="35"/>
      <c r="AP104" s="35"/>
      <c r="AQ104" s="35"/>
      <c r="AR104" s="35"/>
      <c r="AS104" s="35"/>
      <c r="AT104" s="35"/>
      <c r="AU104" s="35"/>
      <c r="AV104" s="35"/>
      <c r="AW104" s="35"/>
      <c r="AX104" s="35"/>
      <c r="AY104" s="35"/>
      <c r="AZ104" s="35"/>
      <c r="BA104" s="35"/>
      <c r="BB104" s="35"/>
      <c r="BC104" s="35"/>
      <c r="BD104" s="35"/>
      <c r="BE104" s="35"/>
      <c r="BF104" s="35"/>
      <c r="BG104" s="35"/>
      <c r="BH104" s="35"/>
      <c r="BI104" s="35"/>
      <c r="BJ104" s="35"/>
      <c r="BK104" s="35"/>
      <c r="BL104" s="35"/>
    </row>
    <row r="105" spans="1:64" ht="14">
      <c r="A105" s="36"/>
      <c r="B105" s="37"/>
      <c r="C105" s="38">
        <f t="shared" si="3"/>
        <v>0</v>
      </c>
      <c r="D105" s="39"/>
      <c r="E105" s="39"/>
      <c r="F105" s="39"/>
      <c r="G105" s="39"/>
      <c r="H105" s="40"/>
      <c r="I105" s="41"/>
      <c r="J105" s="39"/>
      <c r="K105" s="43">
        <f t="shared" si="4"/>
        <v>0</v>
      </c>
      <c r="L105" s="39"/>
      <c r="M105" s="42" t="str">
        <f t="shared" si="5"/>
        <v/>
      </c>
      <c r="N105" s="35"/>
      <c r="O105" s="35"/>
      <c r="P105" s="35"/>
      <c r="Q105" s="35"/>
      <c r="R105" s="35"/>
      <c r="S105" s="35"/>
      <c r="T105" s="35"/>
      <c r="U105" s="35"/>
      <c r="V105" s="35"/>
      <c r="W105" s="35"/>
      <c r="X105" s="35"/>
      <c r="Y105" s="35"/>
      <c r="Z105" s="35"/>
      <c r="AA105" s="35"/>
      <c r="AB105" s="35"/>
      <c r="AC105" s="35"/>
      <c r="AD105" s="35"/>
      <c r="AE105" s="35"/>
      <c r="AF105" s="35"/>
      <c r="AG105" s="35"/>
      <c r="AH105" s="35"/>
      <c r="AI105" s="35"/>
      <c r="AJ105" s="35"/>
      <c r="AK105" s="35"/>
      <c r="AL105" s="35"/>
      <c r="AM105" s="35"/>
      <c r="AN105" s="35"/>
      <c r="AO105" s="35"/>
      <c r="AP105" s="35"/>
      <c r="AQ105" s="35"/>
      <c r="AR105" s="35"/>
      <c r="AS105" s="35"/>
      <c r="AT105" s="35"/>
      <c r="AU105" s="35"/>
      <c r="AV105" s="35"/>
      <c r="AW105" s="35"/>
      <c r="AX105" s="35"/>
      <c r="AY105" s="35"/>
      <c r="AZ105" s="35"/>
      <c r="BA105" s="35"/>
      <c r="BB105" s="35"/>
      <c r="BC105" s="35"/>
      <c r="BD105" s="35"/>
      <c r="BE105" s="35"/>
      <c r="BF105" s="35"/>
      <c r="BG105" s="35"/>
      <c r="BH105" s="35"/>
      <c r="BI105" s="35"/>
      <c r="BJ105" s="35"/>
      <c r="BK105" s="35"/>
      <c r="BL105" s="35"/>
    </row>
    <row r="106" spans="1:64" ht="14">
      <c r="A106" s="36"/>
      <c r="B106" s="37"/>
      <c r="C106" s="38">
        <f t="shared" si="3"/>
        <v>0</v>
      </c>
      <c r="D106" s="39"/>
      <c r="E106" s="39"/>
      <c r="F106" s="39"/>
      <c r="G106" s="39"/>
      <c r="H106" s="40"/>
      <c r="I106" s="41"/>
      <c r="J106" s="39"/>
      <c r="K106" s="43">
        <f t="shared" si="4"/>
        <v>0</v>
      </c>
      <c r="L106" s="39"/>
      <c r="M106" s="42" t="str">
        <f t="shared" si="5"/>
        <v/>
      </c>
      <c r="N106" s="35"/>
      <c r="O106" s="35"/>
      <c r="P106" s="35"/>
      <c r="Q106" s="35"/>
      <c r="R106" s="35"/>
      <c r="S106" s="35"/>
      <c r="T106" s="35"/>
      <c r="U106" s="35"/>
      <c r="V106" s="35"/>
      <c r="W106" s="35"/>
      <c r="X106" s="35"/>
      <c r="Y106" s="35"/>
      <c r="Z106" s="35"/>
      <c r="AA106" s="35"/>
      <c r="AB106" s="35"/>
      <c r="AC106" s="35"/>
      <c r="AD106" s="35"/>
      <c r="AE106" s="35"/>
      <c r="AF106" s="35"/>
      <c r="AG106" s="35"/>
      <c r="AH106" s="35"/>
      <c r="AI106" s="35"/>
      <c r="AJ106" s="35"/>
      <c r="AK106" s="35"/>
      <c r="AL106" s="35"/>
      <c r="AM106" s="35"/>
      <c r="AN106" s="35"/>
      <c r="AO106" s="35"/>
      <c r="AP106" s="35"/>
      <c r="AQ106" s="35"/>
      <c r="AR106" s="35"/>
      <c r="AS106" s="35"/>
      <c r="AT106" s="35"/>
      <c r="AU106" s="35"/>
      <c r="AV106" s="35"/>
      <c r="AW106" s="35"/>
      <c r="AX106" s="35"/>
      <c r="AY106" s="35"/>
      <c r="AZ106" s="35"/>
      <c r="BA106" s="35"/>
      <c r="BB106" s="35"/>
      <c r="BC106" s="35"/>
      <c r="BD106" s="35"/>
      <c r="BE106" s="35"/>
      <c r="BF106" s="35"/>
      <c r="BG106" s="35"/>
      <c r="BH106" s="35"/>
      <c r="BI106" s="35"/>
      <c r="BJ106" s="35"/>
      <c r="BK106" s="35"/>
      <c r="BL106" s="35"/>
    </row>
    <row r="107" spans="1:64" ht="14">
      <c r="A107" s="36"/>
      <c r="B107" s="37"/>
      <c r="C107" s="38">
        <f t="shared" si="3"/>
        <v>0</v>
      </c>
      <c r="D107" s="39"/>
      <c r="E107" s="39"/>
      <c r="F107" s="39"/>
      <c r="G107" s="39"/>
      <c r="H107" s="40"/>
      <c r="I107" s="41"/>
      <c r="J107" s="39"/>
      <c r="K107" s="43">
        <f t="shared" si="4"/>
        <v>0</v>
      </c>
      <c r="L107" s="39"/>
      <c r="M107" s="42" t="str">
        <f t="shared" si="5"/>
        <v/>
      </c>
      <c r="N107" s="35"/>
      <c r="O107" s="35"/>
      <c r="P107" s="35"/>
      <c r="Q107" s="35"/>
      <c r="R107" s="35"/>
      <c r="S107" s="35"/>
      <c r="T107" s="35"/>
      <c r="U107" s="35"/>
      <c r="V107" s="35"/>
      <c r="W107" s="35"/>
      <c r="X107" s="35"/>
      <c r="Y107" s="35"/>
      <c r="Z107" s="35"/>
      <c r="AA107" s="35"/>
      <c r="AB107" s="35"/>
      <c r="AC107" s="35"/>
      <c r="AD107" s="35"/>
      <c r="AE107" s="35"/>
      <c r="AF107" s="35"/>
      <c r="AG107" s="35"/>
      <c r="AH107" s="35"/>
      <c r="AI107" s="35"/>
      <c r="AJ107" s="35"/>
      <c r="AK107" s="35"/>
      <c r="AL107" s="35"/>
      <c r="AM107" s="35"/>
      <c r="AN107" s="35"/>
      <c r="AO107" s="35"/>
      <c r="AP107" s="35"/>
      <c r="AQ107" s="35"/>
      <c r="AR107" s="35"/>
      <c r="AS107" s="35"/>
      <c r="AT107" s="35"/>
      <c r="AU107" s="35"/>
      <c r="AV107" s="35"/>
      <c r="AW107" s="35"/>
      <c r="AX107" s="35"/>
      <c r="AY107" s="35"/>
      <c r="AZ107" s="35"/>
      <c r="BA107" s="35"/>
      <c r="BB107" s="35"/>
      <c r="BC107" s="35"/>
      <c r="BD107" s="35"/>
      <c r="BE107" s="35"/>
      <c r="BF107" s="35"/>
      <c r="BG107" s="35"/>
      <c r="BH107" s="35"/>
      <c r="BI107" s="35"/>
      <c r="BJ107" s="35"/>
      <c r="BK107" s="35"/>
      <c r="BL107" s="35"/>
    </row>
    <row r="108" spans="1:64" ht="14">
      <c r="A108" s="36"/>
      <c r="B108" s="37"/>
      <c r="C108" s="38">
        <f t="shared" si="3"/>
        <v>0</v>
      </c>
      <c r="D108" s="39"/>
      <c r="E108" s="39"/>
      <c r="F108" s="39"/>
      <c r="G108" s="39"/>
      <c r="H108" s="40"/>
      <c r="I108" s="41"/>
      <c r="J108" s="39"/>
      <c r="K108" s="43">
        <f t="shared" si="4"/>
        <v>0</v>
      </c>
      <c r="L108" s="39"/>
      <c r="M108" s="42" t="str">
        <f t="shared" si="5"/>
        <v/>
      </c>
      <c r="N108" s="35"/>
      <c r="O108" s="35"/>
      <c r="P108" s="35"/>
      <c r="Q108" s="35"/>
      <c r="R108" s="35"/>
      <c r="S108" s="35"/>
      <c r="T108" s="35"/>
      <c r="U108" s="35"/>
      <c r="V108" s="35"/>
      <c r="W108" s="35"/>
      <c r="X108" s="35"/>
      <c r="Y108" s="35"/>
      <c r="Z108" s="35"/>
      <c r="AA108" s="35"/>
      <c r="AB108" s="35"/>
      <c r="AC108" s="35"/>
      <c r="AD108" s="35"/>
      <c r="AE108" s="35"/>
      <c r="AF108" s="35"/>
      <c r="AG108" s="35"/>
      <c r="AH108" s="35"/>
      <c r="AI108" s="35"/>
      <c r="AJ108" s="35"/>
      <c r="AK108" s="35"/>
      <c r="AL108" s="35"/>
      <c r="AM108" s="35"/>
      <c r="AN108" s="35"/>
      <c r="AO108" s="35"/>
      <c r="AP108" s="35"/>
      <c r="AQ108" s="35"/>
      <c r="AR108" s="35"/>
      <c r="AS108" s="35"/>
      <c r="AT108" s="35"/>
      <c r="AU108" s="35"/>
      <c r="AV108" s="35"/>
      <c r="AW108" s="35"/>
      <c r="AX108" s="35"/>
      <c r="AY108" s="35"/>
      <c r="AZ108" s="35"/>
      <c r="BA108" s="35"/>
      <c r="BB108" s="35"/>
      <c r="BC108" s="35"/>
      <c r="BD108" s="35"/>
      <c r="BE108" s="35"/>
      <c r="BF108" s="35"/>
      <c r="BG108" s="35"/>
      <c r="BH108" s="35"/>
      <c r="BI108" s="35"/>
      <c r="BJ108" s="35"/>
      <c r="BK108" s="35"/>
      <c r="BL108" s="35"/>
    </row>
    <row r="109" spans="1:64" ht="14">
      <c r="A109" s="36"/>
      <c r="B109" s="37"/>
      <c r="C109" s="38">
        <f t="shared" si="3"/>
        <v>0</v>
      </c>
      <c r="D109" s="39"/>
      <c r="E109" s="39"/>
      <c r="F109" s="39"/>
      <c r="G109" s="39"/>
      <c r="H109" s="40"/>
      <c r="I109" s="41"/>
      <c r="J109" s="39"/>
      <c r="K109" s="43">
        <f t="shared" si="4"/>
        <v>0</v>
      </c>
      <c r="L109" s="39"/>
      <c r="M109" s="42" t="str">
        <f t="shared" si="5"/>
        <v/>
      </c>
      <c r="N109" s="35"/>
      <c r="O109" s="35"/>
      <c r="P109" s="35"/>
      <c r="Q109" s="35"/>
      <c r="R109" s="35"/>
      <c r="S109" s="35"/>
      <c r="T109" s="35"/>
      <c r="U109" s="35"/>
      <c r="V109" s="35"/>
      <c r="W109" s="35"/>
      <c r="X109" s="35"/>
      <c r="Y109" s="35"/>
      <c r="Z109" s="35"/>
      <c r="AA109" s="35"/>
      <c r="AB109" s="35"/>
      <c r="AC109" s="35"/>
      <c r="AD109" s="35"/>
      <c r="AE109" s="35"/>
      <c r="AF109" s="35"/>
      <c r="AG109" s="35"/>
      <c r="AH109" s="35"/>
      <c r="AI109" s="35"/>
      <c r="AJ109" s="35"/>
      <c r="AK109" s="35"/>
      <c r="AL109" s="35"/>
      <c r="AM109" s="35"/>
      <c r="AN109" s="35"/>
      <c r="AO109" s="35"/>
      <c r="AP109" s="35"/>
      <c r="AQ109" s="35"/>
      <c r="AR109" s="35"/>
      <c r="AS109" s="35"/>
      <c r="AT109" s="35"/>
      <c r="AU109" s="35"/>
      <c r="AV109" s="35"/>
      <c r="AW109" s="35"/>
      <c r="AX109" s="35"/>
      <c r="AY109" s="35"/>
      <c r="AZ109" s="35"/>
      <c r="BA109" s="35"/>
      <c r="BB109" s="35"/>
      <c r="BC109" s="35"/>
      <c r="BD109" s="35"/>
      <c r="BE109" s="35"/>
      <c r="BF109" s="35"/>
      <c r="BG109" s="35"/>
      <c r="BH109" s="35"/>
      <c r="BI109" s="35"/>
      <c r="BJ109" s="35"/>
      <c r="BK109" s="35"/>
      <c r="BL109" s="35"/>
    </row>
    <row r="110" spans="1:64" ht="14">
      <c r="A110" s="36"/>
      <c r="B110" s="37"/>
      <c r="C110" s="38">
        <f t="shared" si="3"/>
        <v>0</v>
      </c>
      <c r="D110" s="39"/>
      <c r="E110" s="39"/>
      <c r="F110" s="39"/>
      <c r="G110" s="39"/>
      <c r="H110" s="40"/>
      <c r="I110" s="41"/>
      <c r="J110" s="39"/>
      <c r="K110" s="43">
        <f t="shared" si="4"/>
        <v>0</v>
      </c>
      <c r="L110" s="39"/>
      <c r="M110" s="42" t="str">
        <f t="shared" si="5"/>
        <v/>
      </c>
      <c r="N110" s="35"/>
      <c r="O110" s="35"/>
      <c r="P110" s="35"/>
      <c r="Q110" s="35"/>
      <c r="R110" s="35"/>
      <c r="S110" s="35"/>
      <c r="T110" s="35"/>
      <c r="U110" s="35"/>
      <c r="V110" s="35"/>
      <c r="W110" s="35"/>
      <c r="X110" s="35"/>
      <c r="Y110" s="35"/>
      <c r="Z110" s="35"/>
      <c r="AA110" s="35"/>
      <c r="AB110" s="35"/>
      <c r="AC110" s="35"/>
      <c r="AD110" s="35"/>
      <c r="AE110" s="35"/>
      <c r="AF110" s="35"/>
      <c r="AG110" s="35"/>
      <c r="AH110" s="35"/>
      <c r="AI110" s="35"/>
      <c r="AJ110" s="35"/>
      <c r="AK110" s="35"/>
      <c r="AL110" s="35"/>
      <c r="AM110" s="35"/>
      <c r="AN110" s="35"/>
      <c r="AO110" s="35"/>
      <c r="AP110" s="35"/>
      <c r="AQ110" s="35"/>
      <c r="AR110" s="35"/>
      <c r="AS110" s="35"/>
      <c r="AT110" s="35"/>
      <c r="AU110" s="35"/>
      <c r="AV110" s="35"/>
      <c r="AW110" s="35"/>
      <c r="AX110" s="35"/>
      <c r="AY110" s="35"/>
      <c r="AZ110" s="35"/>
      <c r="BA110" s="35"/>
      <c r="BB110" s="35"/>
      <c r="BC110" s="35"/>
      <c r="BD110" s="35"/>
      <c r="BE110" s="35"/>
      <c r="BF110" s="35"/>
      <c r="BG110" s="35"/>
      <c r="BH110" s="35"/>
      <c r="BI110" s="35"/>
      <c r="BJ110" s="35"/>
      <c r="BK110" s="35"/>
      <c r="BL110" s="35"/>
    </row>
    <row r="111" spans="1:64" ht="14">
      <c r="A111" s="36"/>
      <c r="B111" s="37"/>
      <c r="C111" s="38">
        <f t="shared" si="3"/>
        <v>0</v>
      </c>
      <c r="D111" s="39"/>
      <c r="E111" s="39"/>
      <c r="F111" s="39"/>
      <c r="G111" s="39"/>
      <c r="H111" s="40"/>
      <c r="I111" s="41"/>
      <c r="J111" s="39"/>
      <c r="K111" s="43">
        <f t="shared" si="4"/>
        <v>0</v>
      </c>
      <c r="L111" s="39"/>
      <c r="M111" s="42" t="str">
        <f t="shared" si="5"/>
        <v/>
      </c>
      <c r="N111" s="35"/>
      <c r="O111" s="35"/>
      <c r="P111" s="35"/>
      <c r="Q111" s="35"/>
      <c r="R111" s="35"/>
      <c r="S111" s="35"/>
      <c r="T111" s="35"/>
      <c r="U111" s="35"/>
      <c r="V111" s="35"/>
      <c r="W111" s="35"/>
      <c r="X111" s="35"/>
      <c r="Y111" s="35"/>
      <c r="Z111" s="35"/>
      <c r="AA111" s="35"/>
      <c r="AB111" s="35"/>
      <c r="AC111" s="35"/>
      <c r="AD111" s="35"/>
      <c r="AE111" s="35"/>
      <c r="AF111" s="35"/>
      <c r="AG111" s="35"/>
      <c r="AH111" s="35"/>
      <c r="AI111" s="35"/>
      <c r="AJ111" s="35"/>
      <c r="AK111" s="35"/>
      <c r="AL111" s="35"/>
      <c r="AM111" s="35"/>
      <c r="AN111" s="35"/>
      <c r="AO111" s="35"/>
      <c r="AP111" s="35"/>
      <c r="AQ111" s="35"/>
      <c r="AR111" s="35"/>
      <c r="AS111" s="35"/>
      <c r="AT111" s="35"/>
      <c r="AU111" s="35"/>
      <c r="AV111" s="35"/>
      <c r="AW111" s="35"/>
      <c r="AX111" s="35"/>
      <c r="AY111" s="35"/>
      <c r="AZ111" s="35"/>
      <c r="BA111" s="35"/>
      <c r="BB111" s="35"/>
      <c r="BC111" s="35"/>
      <c r="BD111" s="35"/>
      <c r="BE111" s="35"/>
      <c r="BF111" s="35"/>
      <c r="BG111" s="35"/>
      <c r="BH111" s="35"/>
      <c r="BI111" s="35"/>
      <c r="BJ111" s="35"/>
      <c r="BK111" s="35"/>
      <c r="BL111" s="35"/>
    </row>
    <row r="112" spans="1:64" ht="14">
      <c r="A112" s="36"/>
      <c r="B112" s="37"/>
      <c r="C112" s="38">
        <f t="shared" si="3"/>
        <v>0</v>
      </c>
      <c r="D112" s="39"/>
      <c r="E112" s="39"/>
      <c r="F112" s="39"/>
      <c r="G112" s="39"/>
      <c r="H112" s="40"/>
      <c r="I112" s="41"/>
      <c r="J112" s="39"/>
      <c r="K112" s="43">
        <f t="shared" si="4"/>
        <v>0</v>
      </c>
      <c r="L112" s="39"/>
      <c r="M112" s="42" t="str">
        <f t="shared" si="5"/>
        <v/>
      </c>
      <c r="N112" s="35"/>
      <c r="O112" s="35"/>
      <c r="P112" s="35"/>
      <c r="Q112" s="35"/>
      <c r="R112" s="35"/>
      <c r="S112" s="35"/>
      <c r="T112" s="35"/>
      <c r="U112" s="35"/>
      <c r="V112" s="35"/>
      <c r="W112" s="35"/>
      <c r="X112" s="35"/>
      <c r="Y112" s="35"/>
      <c r="Z112" s="35"/>
      <c r="AA112" s="35"/>
      <c r="AB112" s="35"/>
      <c r="AC112" s="35"/>
      <c r="AD112" s="35"/>
      <c r="AE112" s="35"/>
      <c r="AF112" s="35"/>
      <c r="AG112" s="35"/>
      <c r="AH112" s="35"/>
      <c r="AI112" s="35"/>
      <c r="AJ112" s="35"/>
      <c r="AK112" s="35"/>
      <c r="AL112" s="35"/>
      <c r="AM112" s="35"/>
      <c r="AN112" s="35"/>
      <c r="AO112" s="35"/>
      <c r="AP112" s="35"/>
      <c r="AQ112" s="35"/>
      <c r="AR112" s="35"/>
      <c r="AS112" s="35"/>
      <c r="AT112" s="35"/>
      <c r="AU112" s="35"/>
      <c r="AV112" s="35"/>
      <c r="AW112" s="35"/>
      <c r="AX112" s="35"/>
      <c r="AY112" s="35"/>
      <c r="AZ112" s="35"/>
      <c r="BA112" s="35"/>
      <c r="BB112" s="35"/>
      <c r="BC112" s="35"/>
      <c r="BD112" s="35"/>
      <c r="BE112" s="35"/>
      <c r="BF112" s="35"/>
      <c r="BG112" s="35"/>
      <c r="BH112" s="35"/>
      <c r="BI112" s="35"/>
      <c r="BJ112" s="35"/>
      <c r="BK112" s="35"/>
      <c r="BL112" s="35"/>
    </row>
    <row r="113" spans="1:64" ht="14">
      <c r="A113" s="36"/>
      <c r="B113" s="37"/>
      <c r="C113" s="38">
        <f t="shared" si="3"/>
        <v>0</v>
      </c>
      <c r="D113" s="39"/>
      <c r="E113" s="39"/>
      <c r="F113" s="39"/>
      <c r="G113" s="39"/>
      <c r="H113" s="40"/>
      <c r="I113" s="41"/>
      <c r="J113" s="39"/>
      <c r="K113" s="43">
        <f t="shared" si="4"/>
        <v>0</v>
      </c>
      <c r="L113" s="39"/>
      <c r="M113" s="42" t="str">
        <f t="shared" si="5"/>
        <v/>
      </c>
      <c r="N113" s="35"/>
      <c r="O113" s="35"/>
      <c r="P113" s="35"/>
      <c r="Q113" s="35"/>
      <c r="R113" s="35"/>
      <c r="S113" s="35"/>
      <c r="T113" s="35"/>
      <c r="U113" s="35"/>
      <c r="V113" s="35"/>
      <c r="W113" s="35"/>
      <c r="X113" s="35"/>
      <c r="Y113" s="35"/>
      <c r="Z113" s="35"/>
      <c r="AA113" s="35"/>
      <c r="AB113" s="35"/>
      <c r="AC113" s="35"/>
      <c r="AD113" s="35"/>
      <c r="AE113" s="35"/>
      <c r="AF113" s="35"/>
      <c r="AG113" s="35"/>
      <c r="AH113" s="35"/>
      <c r="AI113" s="35"/>
      <c r="AJ113" s="35"/>
      <c r="AK113" s="35"/>
      <c r="AL113" s="35"/>
      <c r="AM113" s="35"/>
      <c r="AN113" s="35"/>
      <c r="AO113" s="35"/>
      <c r="AP113" s="35"/>
      <c r="AQ113" s="35"/>
      <c r="AR113" s="35"/>
      <c r="AS113" s="35"/>
      <c r="AT113" s="35"/>
      <c r="AU113" s="35"/>
      <c r="AV113" s="35"/>
      <c r="AW113" s="35"/>
      <c r="AX113" s="35"/>
      <c r="AY113" s="35"/>
      <c r="AZ113" s="35"/>
      <c r="BA113" s="35"/>
      <c r="BB113" s="35"/>
      <c r="BC113" s="35"/>
      <c r="BD113" s="35"/>
      <c r="BE113" s="35"/>
      <c r="BF113" s="35"/>
      <c r="BG113" s="35"/>
      <c r="BH113" s="35"/>
      <c r="BI113" s="35"/>
      <c r="BJ113" s="35"/>
      <c r="BK113" s="35"/>
      <c r="BL113" s="35"/>
    </row>
    <row r="114" spans="1:64" ht="14">
      <c r="A114" s="36"/>
      <c r="B114" s="37"/>
      <c r="C114" s="38">
        <f t="shared" si="3"/>
        <v>0</v>
      </c>
      <c r="D114" s="39"/>
      <c r="E114" s="39"/>
      <c r="F114" s="39"/>
      <c r="G114" s="39"/>
      <c r="H114" s="40"/>
      <c r="I114" s="41"/>
      <c r="J114" s="39"/>
      <c r="K114" s="43">
        <f t="shared" si="4"/>
        <v>0</v>
      </c>
      <c r="L114" s="39"/>
      <c r="M114" s="42" t="str">
        <f t="shared" si="5"/>
        <v/>
      </c>
      <c r="N114" s="35"/>
      <c r="O114" s="35"/>
      <c r="P114" s="35"/>
      <c r="Q114" s="35"/>
      <c r="R114" s="35"/>
      <c r="S114" s="35"/>
      <c r="T114" s="35"/>
      <c r="U114" s="35"/>
      <c r="V114" s="35"/>
      <c r="W114" s="35"/>
      <c r="X114" s="35"/>
      <c r="Y114" s="35"/>
      <c r="Z114" s="35"/>
      <c r="AA114" s="35"/>
      <c r="AB114" s="35"/>
      <c r="AC114" s="35"/>
      <c r="AD114" s="35"/>
      <c r="AE114" s="35"/>
      <c r="AF114" s="35"/>
      <c r="AG114" s="35"/>
      <c r="AH114" s="35"/>
      <c r="AI114" s="35"/>
      <c r="AJ114" s="35"/>
      <c r="AK114" s="35"/>
      <c r="AL114" s="35"/>
      <c r="AM114" s="35"/>
      <c r="AN114" s="35"/>
      <c r="AO114" s="35"/>
      <c r="AP114" s="35"/>
      <c r="AQ114" s="35"/>
      <c r="AR114" s="35"/>
      <c r="AS114" s="35"/>
      <c r="AT114" s="35"/>
      <c r="AU114" s="35"/>
      <c r="AV114" s="35"/>
      <c r="AW114" s="35"/>
      <c r="AX114" s="35"/>
      <c r="AY114" s="35"/>
      <c r="AZ114" s="35"/>
      <c r="BA114" s="35"/>
      <c r="BB114" s="35"/>
      <c r="BC114" s="35"/>
      <c r="BD114" s="35"/>
      <c r="BE114" s="35"/>
      <c r="BF114" s="35"/>
      <c r="BG114" s="35"/>
      <c r="BH114" s="35"/>
      <c r="BI114" s="35"/>
      <c r="BJ114" s="35"/>
      <c r="BK114" s="35"/>
      <c r="BL114" s="35"/>
    </row>
    <row r="115" spans="1:64" ht="14">
      <c r="A115" s="36"/>
      <c r="B115" s="37"/>
      <c r="C115" s="38">
        <f t="shared" si="3"/>
        <v>0</v>
      </c>
      <c r="D115" s="39"/>
      <c r="E115" s="39"/>
      <c r="F115" s="39"/>
      <c r="G115" s="39"/>
      <c r="H115" s="40"/>
      <c r="I115" s="41"/>
      <c r="J115" s="39"/>
      <c r="K115" s="43">
        <f t="shared" si="4"/>
        <v>0</v>
      </c>
      <c r="L115" s="39"/>
      <c r="M115" s="42" t="str">
        <f t="shared" si="5"/>
        <v/>
      </c>
      <c r="N115" s="35"/>
      <c r="O115" s="35"/>
      <c r="P115" s="35"/>
      <c r="Q115" s="35"/>
      <c r="R115" s="35"/>
      <c r="S115" s="35"/>
      <c r="T115" s="35"/>
      <c r="U115" s="35"/>
      <c r="V115" s="35"/>
      <c r="W115" s="35"/>
      <c r="X115" s="35"/>
      <c r="Y115" s="35"/>
      <c r="Z115" s="35"/>
      <c r="AA115" s="35"/>
      <c r="AB115" s="35"/>
      <c r="AC115" s="35"/>
      <c r="AD115" s="35"/>
      <c r="AE115" s="35"/>
      <c r="AF115" s="35"/>
      <c r="AG115" s="35"/>
      <c r="AH115" s="35"/>
      <c r="AI115" s="35"/>
      <c r="AJ115" s="35"/>
      <c r="AK115" s="35"/>
      <c r="AL115" s="35"/>
      <c r="AM115" s="35"/>
      <c r="AN115" s="35"/>
      <c r="AO115" s="35"/>
      <c r="AP115" s="35"/>
      <c r="AQ115" s="35"/>
      <c r="AR115" s="35"/>
      <c r="AS115" s="35"/>
      <c r="AT115" s="35"/>
      <c r="AU115" s="35"/>
      <c r="AV115" s="35"/>
      <c r="AW115" s="35"/>
      <c r="AX115" s="35"/>
      <c r="AY115" s="35"/>
      <c r="AZ115" s="35"/>
      <c r="BA115" s="35"/>
      <c r="BB115" s="35"/>
      <c r="BC115" s="35"/>
      <c r="BD115" s="35"/>
      <c r="BE115" s="35"/>
      <c r="BF115" s="35"/>
      <c r="BG115" s="35"/>
      <c r="BH115" s="35"/>
      <c r="BI115" s="35"/>
      <c r="BJ115" s="35"/>
      <c r="BK115" s="35"/>
      <c r="BL115" s="35"/>
    </row>
    <row r="116" spans="1:64" ht="14">
      <c r="A116" s="36"/>
      <c r="B116" s="37"/>
      <c r="C116" s="38">
        <f t="shared" si="3"/>
        <v>0</v>
      </c>
      <c r="D116" s="39"/>
      <c r="E116" s="39"/>
      <c r="F116" s="39"/>
      <c r="G116" s="39"/>
      <c r="H116" s="40"/>
      <c r="I116" s="41"/>
      <c r="J116" s="39"/>
      <c r="K116" s="43">
        <f t="shared" si="4"/>
        <v>0</v>
      </c>
      <c r="L116" s="39"/>
      <c r="M116" s="42" t="str">
        <f t="shared" si="5"/>
        <v/>
      </c>
      <c r="N116" s="35"/>
      <c r="O116" s="35"/>
      <c r="P116" s="35"/>
      <c r="Q116" s="35"/>
      <c r="R116" s="35"/>
      <c r="S116" s="35"/>
      <c r="T116" s="35"/>
      <c r="U116" s="35"/>
      <c r="V116" s="35"/>
      <c r="W116" s="35"/>
      <c r="X116" s="35"/>
      <c r="Y116" s="35"/>
      <c r="Z116" s="35"/>
      <c r="AA116" s="35"/>
      <c r="AB116" s="35"/>
      <c r="AC116" s="35"/>
      <c r="AD116" s="35"/>
      <c r="AE116" s="35"/>
      <c r="AF116" s="35"/>
      <c r="AG116" s="35"/>
      <c r="AH116" s="35"/>
      <c r="AI116" s="35"/>
      <c r="AJ116" s="35"/>
      <c r="AK116" s="35"/>
      <c r="AL116" s="35"/>
      <c r="AM116" s="35"/>
      <c r="AN116" s="35"/>
      <c r="AO116" s="35"/>
      <c r="AP116" s="35"/>
      <c r="AQ116" s="35"/>
      <c r="AR116" s="35"/>
      <c r="AS116" s="35"/>
      <c r="AT116" s="35"/>
      <c r="AU116" s="35"/>
      <c r="AV116" s="35"/>
      <c r="AW116" s="35"/>
      <c r="AX116" s="35"/>
      <c r="AY116" s="35"/>
      <c r="AZ116" s="35"/>
      <c r="BA116" s="35"/>
      <c r="BB116" s="35"/>
      <c r="BC116" s="35"/>
      <c r="BD116" s="35"/>
      <c r="BE116" s="35"/>
      <c r="BF116" s="35"/>
      <c r="BG116" s="35"/>
      <c r="BH116" s="35"/>
      <c r="BI116" s="35"/>
      <c r="BJ116" s="35"/>
      <c r="BK116" s="35"/>
      <c r="BL116" s="35"/>
    </row>
    <row r="117" spans="1:64" ht="14">
      <c r="A117" s="36"/>
      <c r="B117" s="37"/>
      <c r="C117" s="38">
        <f t="shared" si="3"/>
        <v>0</v>
      </c>
      <c r="D117" s="39"/>
      <c r="E117" s="39"/>
      <c r="F117" s="39"/>
      <c r="G117" s="39"/>
      <c r="H117" s="40"/>
      <c r="I117" s="41"/>
      <c r="J117" s="39"/>
      <c r="K117" s="43">
        <f t="shared" si="4"/>
        <v>0</v>
      </c>
      <c r="L117" s="39"/>
      <c r="M117" s="42" t="str">
        <f t="shared" si="5"/>
        <v/>
      </c>
      <c r="N117" s="35"/>
      <c r="O117" s="35"/>
      <c r="P117" s="35"/>
      <c r="Q117" s="35"/>
      <c r="R117" s="35"/>
      <c r="S117" s="35"/>
      <c r="T117" s="35"/>
      <c r="U117" s="35"/>
      <c r="V117" s="35"/>
      <c r="W117" s="35"/>
      <c r="X117" s="35"/>
      <c r="Y117" s="35"/>
      <c r="Z117" s="35"/>
      <c r="AA117" s="35"/>
      <c r="AB117" s="35"/>
      <c r="AC117" s="35"/>
      <c r="AD117" s="35"/>
      <c r="AE117" s="35"/>
      <c r="AF117" s="35"/>
      <c r="AG117" s="35"/>
      <c r="AH117" s="35"/>
      <c r="AI117" s="35"/>
      <c r="AJ117" s="35"/>
      <c r="AK117" s="35"/>
      <c r="AL117" s="35"/>
      <c r="AM117" s="35"/>
      <c r="AN117" s="35"/>
      <c r="AO117" s="35"/>
      <c r="AP117" s="35"/>
      <c r="AQ117" s="35"/>
      <c r="AR117" s="35"/>
      <c r="AS117" s="35"/>
      <c r="AT117" s="35"/>
      <c r="AU117" s="35"/>
      <c r="AV117" s="35"/>
      <c r="AW117" s="35"/>
      <c r="AX117" s="35"/>
      <c r="AY117" s="35"/>
      <c r="AZ117" s="35"/>
      <c r="BA117" s="35"/>
      <c r="BB117" s="35"/>
      <c r="BC117" s="35"/>
      <c r="BD117" s="35"/>
      <c r="BE117" s="35"/>
      <c r="BF117" s="35"/>
      <c r="BG117" s="35"/>
      <c r="BH117" s="35"/>
      <c r="BI117" s="35"/>
      <c r="BJ117" s="35"/>
      <c r="BK117" s="35"/>
      <c r="BL117" s="35"/>
    </row>
    <row r="118" spans="1:64" ht="14">
      <c r="A118" s="36"/>
      <c r="B118" s="37"/>
      <c r="C118" s="38">
        <f t="shared" si="3"/>
        <v>0</v>
      </c>
      <c r="D118" s="39"/>
      <c r="E118" s="39"/>
      <c r="F118" s="39"/>
      <c r="G118" s="39"/>
      <c r="H118" s="40"/>
      <c r="I118" s="41"/>
      <c r="J118" s="39"/>
      <c r="K118" s="43">
        <f t="shared" si="4"/>
        <v>0</v>
      </c>
      <c r="L118" s="39"/>
      <c r="M118" s="42" t="str">
        <f t="shared" si="5"/>
        <v/>
      </c>
      <c r="N118" s="35"/>
      <c r="O118" s="35"/>
      <c r="P118" s="35"/>
      <c r="Q118" s="35"/>
      <c r="R118" s="35"/>
      <c r="S118" s="35"/>
      <c r="T118" s="35"/>
      <c r="U118" s="35"/>
      <c r="V118" s="35"/>
      <c r="W118" s="35"/>
      <c r="X118" s="35"/>
      <c r="Y118" s="35"/>
      <c r="Z118" s="35"/>
      <c r="AA118" s="35"/>
      <c r="AB118" s="35"/>
      <c r="AC118" s="35"/>
      <c r="AD118" s="35"/>
      <c r="AE118" s="35"/>
      <c r="AF118" s="35"/>
      <c r="AG118" s="35"/>
      <c r="AH118" s="35"/>
      <c r="AI118" s="35"/>
      <c r="AJ118" s="35"/>
      <c r="AK118" s="35"/>
      <c r="AL118" s="35"/>
      <c r="AM118" s="35"/>
      <c r="AN118" s="35"/>
      <c r="AO118" s="35"/>
      <c r="AP118" s="35"/>
      <c r="AQ118" s="35"/>
      <c r="AR118" s="35"/>
      <c r="AS118" s="35"/>
      <c r="AT118" s="35"/>
      <c r="AU118" s="35"/>
      <c r="AV118" s="35"/>
      <c r="AW118" s="35"/>
      <c r="AX118" s="35"/>
      <c r="AY118" s="35"/>
      <c r="AZ118" s="35"/>
      <c r="BA118" s="35"/>
      <c r="BB118" s="35"/>
      <c r="BC118" s="35"/>
      <c r="BD118" s="35"/>
      <c r="BE118" s="35"/>
      <c r="BF118" s="35"/>
      <c r="BG118" s="35"/>
      <c r="BH118" s="35"/>
      <c r="BI118" s="35"/>
      <c r="BJ118" s="35"/>
      <c r="BK118" s="35"/>
      <c r="BL118" s="35"/>
    </row>
    <row r="119" spans="1:64" ht="14">
      <c r="A119" s="36"/>
      <c r="B119" s="37"/>
      <c r="C119" s="38">
        <f t="shared" si="3"/>
        <v>0</v>
      </c>
      <c r="D119" s="39"/>
      <c r="E119" s="39"/>
      <c r="F119" s="39"/>
      <c r="G119" s="39"/>
      <c r="H119" s="40"/>
      <c r="I119" s="41"/>
      <c r="J119" s="39"/>
      <c r="K119" s="43">
        <f t="shared" si="4"/>
        <v>0</v>
      </c>
      <c r="L119" s="39"/>
      <c r="M119" s="42" t="str">
        <f t="shared" si="5"/>
        <v/>
      </c>
      <c r="N119" s="35"/>
      <c r="O119" s="35"/>
      <c r="P119" s="35"/>
      <c r="Q119" s="35"/>
      <c r="R119" s="35"/>
      <c r="S119" s="35"/>
      <c r="T119" s="35"/>
      <c r="U119" s="35"/>
      <c r="V119" s="35"/>
      <c r="W119" s="35"/>
      <c r="X119" s="35"/>
      <c r="Y119" s="35"/>
      <c r="Z119" s="35"/>
      <c r="AA119" s="35"/>
      <c r="AB119" s="35"/>
      <c r="AC119" s="35"/>
      <c r="AD119" s="35"/>
      <c r="AE119" s="35"/>
      <c r="AF119" s="35"/>
      <c r="AG119" s="35"/>
      <c r="AH119" s="35"/>
      <c r="AI119" s="35"/>
      <c r="AJ119" s="35"/>
      <c r="AK119" s="35"/>
      <c r="AL119" s="35"/>
      <c r="AM119" s="35"/>
      <c r="AN119" s="35"/>
      <c r="AO119" s="35"/>
      <c r="AP119" s="35"/>
      <c r="AQ119" s="35"/>
      <c r="AR119" s="35"/>
      <c r="AS119" s="35"/>
      <c r="AT119" s="35"/>
      <c r="AU119" s="35"/>
      <c r="AV119" s="35"/>
      <c r="AW119" s="35"/>
      <c r="AX119" s="35"/>
      <c r="AY119" s="35"/>
      <c r="AZ119" s="35"/>
      <c r="BA119" s="35"/>
      <c r="BB119" s="35"/>
      <c r="BC119" s="35"/>
      <c r="BD119" s="35"/>
      <c r="BE119" s="35"/>
      <c r="BF119" s="35"/>
      <c r="BG119" s="35"/>
      <c r="BH119" s="35"/>
      <c r="BI119" s="35"/>
      <c r="BJ119" s="35"/>
      <c r="BK119" s="35"/>
      <c r="BL119" s="35"/>
    </row>
    <row r="120" spans="1:64" ht="14">
      <c r="A120" s="36"/>
      <c r="B120" s="37"/>
      <c r="C120" s="38">
        <f t="shared" si="3"/>
        <v>0</v>
      </c>
      <c r="D120" s="39"/>
      <c r="E120" s="39"/>
      <c r="F120" s="39"/>
      <c r="G120" s="39"/>
      <c r="H120" s="40"/>
      <c r="I120" s="41"/>
      <c r="J120" s="39"/>
      <c r="K120" s="43">
        <f t="shared" si="4"/>
        <v>0</v>
      </c>
      <c r="L120" s="39"/>
      <c r="M120" s="42" t="str">
        <f t="shared" si="5"/>
        <v/>
      </c>
      <c r="N120" s="35"/>
      <c r="O120" s="35"/>
      <c r="P120" s="35"/>
      <c r="Q120" s="35"/>
      <c r="R120" s="35"/>
      <c r="S120" s="35"/>
      <c r="T120" s="35"/>
      <c r="U120" s="35"/>
      <c r="V120" s="35"/>
      <c r="W120" s="35"/>
      <c r="X120" s="35"/>
      <c r="Y120" s="35"/>
      <c r="Z120" s="35"/>
      <c r="AA120" s="35"/>
      <c r="AB120" s="35"/>
      <c r="AC120" s="35"/>
      <c r="AD120" s="35"/>
      <c r="AE120" s="35"/>
      <c r="AF120" s="35"/>
      <c r="AG120" s="35"/>
      <c r="AH120" s="35"/>
      <c r="AI120" s="35"/>
      <c r="AJ120" s="35"/>
      <c r="AK120" s="35"/>
      <c r="AL120" s="35"/>
      <c r="AM120" s="35"/>
      <c r="AN120" s="35"/>
      <c r="AO120" s="35"/>
      <c r="AP120" s="35"/>
      <c r="AQ120" s="35"/>
      <c r="AR120" s="35"/>
      <c r="AS120" s="35"/>
      <c r="AT120" s="35"/>
      <c r="AU120" s="35"/>
      <c r="AV120" s="35"/>
      <c r="AW120" s="35"/>
      <c r="AX120" s="35"/>
      <c r="AY120" s="35"/>
      <c r="AZ120" s="35"/>
      <c r="BA120" s="35"/>
      <c r="BB120" s="35"/>
      <c r="BC120" s="35"/>
      <c r="BD120" s="35"/>
      <c r="BE120" s="35"/>
      <c r="BF120" s="35"/>
      <c r="BG120" s="35"/>
      <c r="BH120" s="35"/>
      <c r="BI120" s="35"/>
      <c r="BJ120" s="35"/>
      <c r="BK120" s="35"/>
      <c r="BL120" s="35"/>
    </row>
    <row r="121" spans="1:64" ht="14">
      <c r="A121" s="36"/>
      <c r="B121" s="37"/>
      <c r="C121" s="38">
        <f t="shared" si="3"/>
        <v>0</v>
      </c>
      <c r="D121" s="39"/>
      <c r="E121" s="39"/>
      <c r="F121" s="39"/>
      <c r="G121" s="39"/>
      <c r="H121" s="40"/>
      <c r="I121" s="41"/>
      <c r="J121" s="39"/>
      <c r="K121" s="43">
        <f t="shared" si="4"/>
        <v>0</v>
      </c>
      <c r="L121" s="39"/>
      <c r="M121" s="42" t="str">
        <f t="shared" si="5"/>
        <v/>
      </c>
      <c r="N121" s="35"/>
      <c r="O121" s="35"/>
      <c r="P121" s="35"/>
      <c r="Q121" s="35"/>
      <c r="R121" s="35"/>
      <c r="S121" s="35"/>
      <c r="T121" s="35"/>
      <c r="U121" s="35"/>
      <c r="V121" s="35"/>
      <c r="W121" s="35"/>
      <c r="X121" s="35"/>
      <c r="Y121" s="35"/>
      <c r="Z121" s="35"/>
      <c r="AA121" s="35"/>
      <c r="AB121" s="35"/>
      <c r="AC121" s="35"/>
      <c r="AD121" s="35"/>
      <c r="AE121" s="35"/>
      <c r="AF121" s="35"/>
      <c r="AG121" s="35"/>
      <c r="AH121" s="35"/>
      <c r="AI121" s="35"/>
      <c r="AJ121" s="35"/>
      <c r="AK121" s="35"/>
      <c r="AL121" s="35"/>
      <c r="AM121" s="35"/>
      <c r="AN121" s="35"/>
      <c r="AO121" s="35"/>
      <c r="AP121" s="35"/>
      <c r="AQ121" s="35"/>
      <c r="AR121" s="35"/>
      <c r="AS121" s="35"/>
      <c r="AT121" s="35"/>
      <c r="AU121" s="35"/>
      <c r="AV121" s="35"/>
      <c r="AW121" s="35"/>
      <c r="AX121" s="35"/>
      <c r="AY121" s="35"/>
      <c r="AZ121" s="35"/>
      <c r="BA121" s="35"/>
      <c r="BB121" s="35"/>
      <c r="BC121" s="35"/>
      <c r="BD121" s="35"/>
      <c r="BE121" s="35"/>
      <c r="BF121" s="35"/>
      <c r="BG121" s="35"/>
      <c r="BH121" s="35"/>
      <c r="BI121" s="35"/>
      <c r="BJ121" s="35"/>
      <c r="BK121" s="35"/>
      <c r="BL121" s="35"/>
    </row>
    <row r="122" spans="1:64" ht="14">
      <c r="A122" s="36"/>
      <c r="B122" s="37"/>
      <c r="C122" s="38">
        <f t="shared" si="3"/>
        <v>0</v>
      </c>
      <c r="D122" s="39"/>
      <c r="E122" s="39"/>
      <c r="F122" s="39"/>
      <c r="G122" s="39"/>
      <c r="H122" s="40"/>
      <c r="I122" s="41"/>
      <c r="J122" s="39"/>
      <c r="K122" s="43">
        <f t="shared" si="4"/>
        <v>0</v>
      </c>
      <c r="L122" s="39"/>
      <c r="M122" s="42" t="str">
        <f t="shared" si="5"/>
        <v/>
      </c>
      <c r="N122" s="35"/>
      <c r="O122" s="35"/>
      <c r="P122" s="35"/>
      <c r="Q122" s="35"/>
      <c r="R122" s="35"/>
      <c r="S122" s="35"/>
      <c r="T122" s="35"/>
      <c r="U122" s="35"/>
      <c r="V122" s="35"/>
      <c r="W122" s="35"/>
      <c r="X122" s="35"/>
      <c r="Y122" s="35"/>
      <c r="Z122" s="35"/>
      <c r="AA122" s="35"/>
      <c r="AB122" s="35"/>
      <c r="AC122" s="35"/>
      <c r="AD122" s="35"/>
      <c r="AE122" s="35"/>
      <c r="AF122" s="35"/>
      <c r="AG122" s="35"/>
      <c r="AH122" s="35"/>
      <c r="AI122" s="35"/>
      <c r="AJ122" s="35"/>
      <c r="AK122" s="35"/>
      <c r="AL122" s="35"/>
      <c r="AM122" s="35"/>
      <c r="AN122" s="35"/>
      <c r="AO122" s="35"/>
      <c r="AP122" s="35"/>
      <c r="AQ122" s="35"/>
      <c r="AR122" s="35"/>
      <c r="AS122" s="35"/>
      <c r="AT122" s="35"/>
      <c r="AU122" s="35"/>
      <c r="AV122" s="35"/>
      <c r="AW122" s="35"/>
      <c r="AX122" s="35"/>
      <c r="AY122" s="35"/>
      <c r="AZ122" s="35"/>
      <c r="BA122" s="35"/>
      <c r="BB122" s="35"/>
      <c r="BC122" s="35"/>
      <c r="BD122" s="35"/>
      <c r="BE122" s="35"/>
      <c r="BF122" s="35"/>
      <c r="BG122" s="35"/>
      <c r="BH122" s="35"/>
      <c r="BI122" s="35"/>
      <c r="BJ122" s="35"/>
      <c r="BK122" s="35"/>
      <c r="BL122" s="35"/>
    </row>
    <row r="123" spans="1:64" ht="14">
      <c r="A123" s="36"/>
      <c r="B123" s="37"/>
      <c r="C123" s="38">
        <f t="shared" si="3"/>
        <v>0</v>
      </c>
      <c r="D123" s="39"/>
      <c r="E123" s="39"/>
      <c r="F123" s="39"/>
      <c r="G123" s="39"/>
      <c r="H123" s="40"/>
      <c r="I123" s="41"/>
      <c r="J123" s="39"/>
      <c r="K123" s="43">
        <f t="shared" si="4"/>
        <v>0</v>
      </c>
      <c r="L123" s="39"/>
      <c r="M123" s="42" t="str">
        <f t="shared" si="5"/>
        <v/>
      </c>
      <c r="N123" s="35"/>
      <c r="O123" s="35"/>
      <c r="P123" s="35"/>
      <c r="Q123" s="35"/>
      <c r="R123" s="35"/>
      <c r="S123" s="35"/>
      <c r="T123" s="35"/>
      <c r="U123" s="35"/>
      <c r="V123" s="35"/>
      <c r="W123" s="35"/>
      <c r="X123" s="35"/>
      <c r="Y123" s="35"/>
      <c r="Z123" s="35"/>
      <c r="AA123" s="35"/>
      <c r="AB123" s="35"/>
      <c r="AC123" s="35"/>
      <c r="AD123" s="35"/>
      <c r="AE123" s="35"/>
      <c r="AF123" s="35"/>
      <c r="AG123" s="35"/>
      <c r="AH123" s="35"/>
      <c r="AI123" s="35"/>
      <c r="AJ123" s="35"/>
      <c r="AK123" s="35"/>
      <c r="AL123" s="35"/>
      <c r="AM123" s="35"/>
      <c r="AN123" s="35"/>
      <c r="AO123" s="35"/>
      <c r="AP123" s="35"/>
      <c r="AQ123" s="35"/>
      <c r="AR123" s="35"/>
      <c r="AS123" s="35"/>
      <c r="AT123" s="35"/>
      <c r="AU123" s="35"/>
      <c r="AV123" s="35"/>
      <c r="AW123" s="35"/>
      <c r="AX123" s="35"/>
      <c r="AY123" s="35"/>
      <c r="AZ123" s="35"/>
      <c r="BA123" s="35"/>
      <c r="BB123" s="35"/>
      <c r="BC123" s="35"/>
      <c r="BD123" s="35"/>
      <c r="BE123" s="35"/>
      <c r="BF123" s="35"/>
      <c r="BG123" s="35"/>
      <c r="BH123" s="35"/>
      <c r="BI123" s="35"/>
      <c r="BJ123" s="35"/>
      <c r="BK123" s="35"/>
      <c r="BL123" s="35"/>
    </row>
    <row r="124" spans="1:64" ht="14">
      <c r="A124" s="36"/>
      <c r="B124" s="37"/>
      <c r="C124" s="38">
        <f t="shared" si="3"/>
        <v>0</v>
      </c>
      <c r="D124" s="39"/>
      <c r="E124" s="39"/>
      <c r="F124" s="39"/>
      <c r="G124" s="39"/>
      <c r="H124" s="40"/>
      <c r="I124" s="41"/>
      <c r="J124" s="39"/>
      <c r="K124" s="43">
        <f t="shared" si="4"/>
        <v>0</v>
      </c>
      <c r="L124" s="39"/>
      <c r="M124" s="42" t="str">
        <f t="shared" si="5"/>
        <v/>
      </c>
      <c r="N124" s="35"/>
      <c r="O124" s="35"/>
      <c r="P124" s="35"/>
      <c r="Q124" s="35"/>
      <c r="R124" s="35"/>
      <c r="S124" s="35"/>
      <c r="T124" s="35"/>
      <c r="U124" s="35"/>
      <c r="V124" s="35"/>
      <c r="W124" s="35"/>
      <c r="X124" s="35"/>
      <c r="Y124" s="35"/>
      <c r="Z124" s="35"/>
      <c r="AA124" s="35"/>
      <c r="AB124" s="35"/>
      <c r="AC124" s="35"/>
      <c r="AD124" s="35"/>
      <c r="AE124" s="35"/>
      <c r="AF124" s="35"/>
      <c r="AG124" s="35"/>
      <c r="AH124" s="35"/>
      <c r="AI124" s="35"/>
      <c r="AJ124" s="35"/>
      <c r="AK124" s="35"/>
      <c r="AL124" s="35"/>
      <c r="AM124" s="35"/>
      <c r="AN124" s="35"/>
      <c r="AO124" s="35"/>
      <c r="AP124" s="35"/>
      <c r="AQ124" s="35"/>
      <c r="AR124" s="35"/>
      <c r="AS124" s="35"/>
      <c r="AT124" s="35"/>
      <c r="AU124" s="35"/>
      <c r="AV124" s="35"/>
      <c r="AW124" s="35"/>
      <c r="AX124" s="35"/>
      <c r="AY124" s="35"/>
      <c r="AZ124" s="35"/>
      <c r="BA124" s="35"/>
      <c r="BB124" s="35"/>
      <c r="BC124" s="35"/>
      <c r="BD124" s="35"/>
      <c r="BE124" s="35"/>
      <c r="BF124" s="35"/>
      <c r="BG124" s="35"/>
      <c r="BH124" s="35"/>
      <c r="BI124" s="35"/>
      <c r="BJ124" s="35"/>
      <c r="BK124" s="35"/>
      <c r="BL124" s="35"/>
    </row>
    <row r="125" spans="1:64" ht="14">
      <c r="A125" s="36"/>
      <c r="B125" s="37"/>
      <c r="C125" s="38">
        <f t="shared" si="3"/>
        <v>0</v>
      </c>
      <c r="D125" s="39"/>
      <c r="E125" s="39"/>
      <c r="F125" s="39"/>
      <c r="G125" s="39"/>
      <c r="H125" s="40"/>
      <c r="I125" s="41"/>
      <c r="J125" s="39"/>
      <c r="K125" s="43">
        <f t="shared" si="4"/>
        <v>0</v>
      </c>
      <c r="L125" s="39"/>
      <c r="M125" s="42" t="str">
        <f t="shared" si="5"/>
        <v/>
      </c>
      <c r="N125" s="35"/>
      <c r="O125" s="35"/>
      <c r="P125" s="35"/>
      <c r="Q125" s="35"/>
      <c r="R125" s="35"/>
      <c r="S125" s="35"/>
      <c r="T125" s="35"/>
      <c r="U125" s="35"/>
      <c r="V125" s="35"/>
      <c r="W125" s="35"/>
      <c r="X125" s="35"/>
      <c r="Y125" s="35"/>
      <c r="Z125" s="35"/>
      <c r="AA125" s="35"/>
      <c r="AB125" s="35"/>
      <c r="AC125" s="35"/>
      <c r="AD125" s="35"/>
      <c r="AE125" s="35"/>
      <c r="AF125" s="35"/>
      <c r="AG125" s="35"/>
      <c r="AH125" s="35"/>
      <c r="AI125" s="35"/>
      <c r="AJ125" s="35"/>
      <c r="AK125" s="35"/>
      <c r="AL125" s="35"/>
      <c r="AM125" s="35"/>
      <c r="AN125" s="35"/>
      <c r="AO125" s="35"/>
      <c r="AP125" s="35"/>
      <c r="AQ125" s="35"/>
      <c r="AR125" s="35"/>
      <c r="AS125" s="35"/>
      <c r="AT125" s="35"/>
      <c r="AU125" s="35"/>
      <c r="AV125" s="35"/>
      <c r="AW125" s="35"/>
      <c r="AX125" s="35"/>
      <c r="AY125" s="35"/>
      <c r="AZ125" s="35"/>
      <c r="BA125" s="35"/>
      <c r="BB125" s="35"/>
      <c r="BC125" s="35"/>
      <c r="BD125" s="35"/>
      <c r="BE125" s="35"/>
      <c r="BF125" s="35"/>
      <c r="BG125" s="35"/>
      <c r="BH125" s="35"/>
      <c r="BI125" s="35"/>
      <c r="BJ125" s="35"/>
      <c r="BK125" s="35"/>
      <c r="BL125" s="35"/>
    </row>
    <row r="126" spans="1:64" ht="14">
      <c r="A126" s="36"/>
      <c r="B126" s="37"/>
      <c r="C126" s="38">
        <f t="shared" si="3"/>
        <v>0</v>
      </c>
      <c r="D126" s="39"/>
      <c r="E126" s="39"/>
      <c r="F126" s="39"/>
      <c r="G126" s="39"/>
      <c r="H126" s="40"/>
      <c r="I126" s="41"/>
      <c r="J126" s="39"/>
      <c r="K126" s="43">
        <f t="shared" si="4"/>
        <v>0</v>
      </c>
      <c r="L126" s="39"/>
      <c r="M126" s="42" t="str">
        <f t="shared" si="5"/>
        <v/>
      </c>
      <c r="N126" s="35"/>
      <c r="O126" s="35"/>
      <c r="P126" s="35"/>
      <c r="Q126" s="35"/>
      <c r="R126" s="35"/>
      <c r="S126" s="35"/>
      <c r="T126" s="35"/>
      <c r="U126" s="35"/>
      <c r="V126" s="35"/>
      <c r="W126" s="35"/>
      <c r="X126" s="35"/>
      <c r="Y126" s="35"/>
      <c r="Z126" s="35"/>
      <c r="AA126" s="35"/>
      <c r="AB126" s="35"/>
      <c r="AC126" s="35"/>
      <c r="AD126" s="35"/>
      <c r="AE126" s="35"/>
      <c r="AF126" s="35"/>
      <c r="AG126" s="35"/>
      <c r="AH126" s="35"/>
      <c r="AI126" s="35"/>
      <c r="AJ126" s="35"/>
      <c r="AK126" s="35"/>
      <c r="AL126" s="35"/>
      <c r="AM126" s="35"/>
      <c r="AN126" s="35"/>
      <c r="AO126" s="35"/>
      <c r="AP126" s="35"/>
      <c r="AQ126" s="35"/>
      <c r="AR126" s="35"/>
      <c r="AS126" s="35"/>
      <c r="AT126" s="35"/>
      <c r="AU126" s="35"/>
      <c r="AV126" s="35"/>
      <c r="AW126" s="35"/>
      <c r="AX126" s="35"/>
      <c r="AY126" s="35"/>
      <c r="AZ126" s="35"/>
      <c r="BA126" s="35"/>
      <c r="BB126" s="35"/>
      <c r="BC126" s="35"/>
      <c r="BD126" s="35"/>
      <c r="BE126" s="35"/>
      <c r="BF126" s="35"/>
      <c r="BG126" s="35"/>
      <c r="BH126" s="35"/>
      <c r="BI126" s="35"/>
      <c r="BJ126" s="35"/>
      <c r="BK126" s="35"/>
      <c r="BL126" s="35"/>
    </row>
    <row r="127" spans="1:64" ht="14">
      <c r="A127" s="36"/>
      <c r="B127" s="37"/>
      <c r="C127" s="38">
        <f t="shared" si="3"/>
        <v>0</v>
      </c>
      <c r="D127" s="39"/>
      <c r="E127" s="39"/>
      <c r="F127" s="39"/>
      <c r="G127" s="39"/>
      <c r="H127" s="40"/>
      <c r="I127" s="41"/>
      <c r="J127" s="39"/>
      <c r="K127" s="43">
        <f t="shared" si="4"/>
        <v>0</v>
      </c>
      <c r="L127" s="39"/>
      <c r="M127" s="42" t="str">
        <f t="shared" si="5"/>
        <v/>
      </c>
      <c r="N127" s="35"/>
      <c r="O127" s="35"/>
      <c r="P127" s="35"/>
      <c r="Q127" s="35"/>
      <c r="R127" s="35"/>
      <c r="S127" s="35"/>
      <c r="T127" s="35"/>
      <c r="U127" s="35"/>
      <c r="V127" s="35"/>
      <c r="W127" s="35"/>
      <c r="X127" s="35"/>
      <c r="Y127" s="35"/>
      <c r="Z127" s="35"/>
      <c r="AA127" s="35"/>
      <c r="AB127" s="35"/>
      <c r="AC127" s="35"/>
      <c r="AD127" s="35"/>
      <c r="AE127" s="35"/>
      <c r="AF127" s="35"/>
      <c r="AG127" s="35"/>
      <c r="AH127" s="35"/>
      <c r="AI127" s="35"/>
      <c r="AJ127" s="35"/>
      <c r="AK127" s="35"/>
      <c r="AL127" s="35"/>
      <c r="AM127" s="35"/>
      <c r="AN127" s="35"/>
      <c r="AO127" s="35"/>
      <c r="AP127" s="35"/>
      <c r="AQ127" s="35"/>
      <c r="AR127" s="35"/>
      <c r="AS127" s="35"/>
      <c r="AT127" s="35"/>
      <c r="AU127" s="35"/>
      <c r="AV127" s="35"/>
      <c r="AW127" s="35"/>
      <c r="AX127" s="35"/>
      <c r="AY127" s="35"/>
      <c r="AZ127" s="35"/>
      <c r="BA127" s="35"/>
      <c r="BB127" s="35"/>
      <c r="BC127" s="35"/>
      <c r="BD127" s="35"/>
      <c r="BE127" s="35"/>
      <c r="BF127" s="35"/>
      <c r="BG127" s="35"/>
      <c r="BH127" s="35"/>
      <c r="BI127" s="35"/>
      <c r="BJ127" s="35"/>
      <c r="BK127" s="35"/>
      <c r="BL127" s="35"/>
    </row>
    <row r="128" spans="1:64" ht="14">
      <c r="A128" s="36"/>
      <c r="B128" s="37"/>
      <c r="C128" s="38">
        <f t="shared" si="3"/>
        <v>0</v>
      </c>
      <c r="D128" s="39"/>
      <c r="E128" s="39"/>
      <c r="F128" s="39"/>
      <c r="G128" s="39"/>
      <c r="H128" s="40"/>
      <c r="I128" s="41"/>
      <c r="J128" s="39"/>
      <c r="K128" s="43">
        <f t="shared" si="4"/>
        <v>0</v>
      </c>
      <c r="L128" s="39"/>
      <c r="M128" s="42" t="str">
        <f t="shared" si="5"/>
        <v/>
      </c>
      <c r="N128" s="35"/>
      <c r="O128" s="35"/>
      <c r="P128" s="35"/>
      <c r="Q128" s="35"/>
      <c r="R128" s="35"/>
      <c r="S128" s="35"/>
      <c r="T128" s="35"/>
      <c r="U128" s="35"/>
      <c r="V128" s="35"/>
      <c r="W128" s="35"/>
      <c r="X128" s="35"/>
      <c r="Y128" s="35"/>
      <c r="Z128" s="35"/>
      <c r="AA128" s="35"/>
      <c r="AB128" s="35"/>
      <c r="AC128" s="35"/>
      <c r="AD128" s="35"/>
      <c r="AE128" s="35"/>
      <c r="AF128" s="35"/>
      <c r="AG128" s="35"/>
      <c r="AH128" s="35"/>
      <c r="AI128" s="35"/>
      <c r="AJ128" s="35"/>
      <c r="AK128" s="35"/>
      <c r="AL128" s="35"/>
      <c r="AM128" s="35"/>
      <c r="AN128" s="35"/>
      <c r="AO128" s="35"/>
      <c r="AP128" s="35"/>
      <c r="AQ128" s="35"/>
      <c r="AR128" s="35"/>
      <c r="AS128" s="35"/>
      <c r="AT128" s="35"/>
      <c r="AU128" s="35"/>
      <c r="AV128" s="35"/>
      <c r="AW128" s="35"/>
      <c r="AX128" s="35"/>
      <c r="AY128" s="35"/>
      <c r="AZ128" s="35"/>
      <c r="BA128" s="35"/>
      <c r="BB128" s="35"/>
      <c r="BC128" s="35"/>
      <c r="BD128" s="35"/>
      <c r="BE128" s="35"/>
      <c r="BF128" s="35"/>
      <c r="BG128" s="35"/>
      <c r="BH128" s="35"/>
      <c r="BI128" s="35"/>
      <c r="BJ128" s="35"/>
      <c r="BK128" s="35"/>
      <c r="BL128" s="35"/>
    </row>
    <row r="129" spans="1:64" ht="14">
      <c r="A129" s="36"/>
      <c r="B129" s="37"/>
      <c r="C129" s="38">
        <f t="shared" si="3"/>
        <v>0</v>
      </c>
      <c r="D129" s="39"/>
      <c r="E129" s="39"/>
      <c r="F129" s="39"/>
      <c r="G129" s="39"/>
      <c r="H129" s="40"/>
      <c r="I129" s="41"/>
      <c r="J129" s="39"/>
      <c r="K129" s="43">
        <f t="shared" si="4"/>
        <v>0</v>
      </c>
      <c r="L129" s="39"/>
      <c r="M129" s="42" t="str">
        <f t="shared" si="5"/>
        <v/>
      </c>
      <c r="N129" s="35"/>
      <c r="O129" s="35"/>
      <c r="P129" s="35"/>
      <c r="Q129" s="35"/>
      <c r="R129" s="35"/>
      <c r="S129" s="35"/>
      <c r="T129" s="35"/>
      <c r="U129" s="35"/>
      <c r="V129" s="35"/>
      <c r="W129" s="35"/>
      <c r="X129" s="35"/>
      <c r="Y129" s="35"/>
      <c r="Z129" s="35"/>
      <c r="AA129" s="35"/>
      <c r="AB129" s="35"/>
      <c r="AC129" s="35"/>
      <c r="AD129" s="35"/>
      <c r="AE129" s="35"/>
      <c r="AF129" s="35"/>
      <c r="AG129" s="35"/>
      <c r="AH129" s="35"/>
      <c r="AI129" s="35"/>
      <c r="AJ129" s="35"/>
      <c r="AK129" s="35"/>
      <c r="AL129" s="35"/>
      <c r="AM129" s="35"/>
      <c r="AN129" s="35"/>
      <c r="AO129" s="35"/>
      <c r="AP129" s="35"/>
      <c r="AQ129" s="35"/>
      <c r="AR129" s="35"/>
      <c r="AS129" s="35"/>
      <c r="AT129" s="35"/>
      <c r="AU129" s="35"/>
      <c r="AV129" s="35"/>
      <c r="AW129" s="35"/>
      <c r="AX129" s="35"/>
      <c r="AY129" s="35"/>
      <c r="AZ129" s="35"/>
      <c r="BA129" s="35"/>
      <c r="BB129" s="35"/>
      <c r="BC129" s="35"/>
      <c r="BD129" s="35"/>
      <c r="BE129" s="35"/>
      <c r="BF129" s="35"/>
      <c r="BG129" s="35"/>
      <c r="BH129" s="35"/>
      <c r="BI129" s="35"/>
      <c r="BJ129" s="35"/>
      <c r="BK129" s="35"/>
      <c r="BL129" s="35"/>
    </row>
    <row r="130" spans="1:64" ht="14">
      <c r="A130" s="36"/>
      <c r="B130" s="37"/>
      <c r="C130" s="38">
        <f t="shared" si="3"/>
        <v>0</v>
      </c>
      <c r="D130" s="39"/>
      <c r="E130" s="39"/>
      <c r="F130" s="39"/>
      <c r="G130" s="39"/>
      <c r="H130" s="40"/>
      <c r="I130" s="41"/>
      <c r="J130" s="39"/>
      <c r="K130" s="43">
        <f t="shared" si="4"/>
        <v>0</v>
      </c>
      <c r="L130" s="39"/>
      <c r="M130" s="42" t="str">
        <f t="shared" si="5"/>
        <v/>
      </c>
      <c r="N130" s="35"/>
      <c r="O130" s="35"/>
      <c r="P130" s="35"/>
      <c r="Q130" s="35"/>
      <c r="R130" s="35"/>
      <c r="S130" s="35"/>
      <c r="T130" s="35"/>
      <c r="U130" s="35"/>
      <c r="V130" s="35"/>
      <c r="W130" s="35"/>
      <c r="X130" s="35"/>
      <c r="Y130" s="35"/>
      <c r="Z130" s="35"/>
      <c r="AA130" s="35"/>
      <c r="AB130" s="35"/>
      <c r="AC130" s="35"/>
      <c r="AD130" s="35"/>
      <c r="AE130" s="35"/>
      <c r="AF130" s="35"/>
      <c r="AG130" s="35"/>
      <c r="AH130" s="35"/>
      <c r="AI130" s="35"/>
      <c r="AJ130" s="35"/>
      <c r="AK130" s="35"/>
      <c r="AL130" s="35"/>
      <c r="AM130" s="35"/>
      <c r="AN130" s="35"/>
      <c r="AO130" s="35"/>
      <c r="AP130" s="35"/>
      <c r="AQ130" s="35"/>
      <c r="AR130" s="35"/>
      <c r="AS130" s="35"/>
      <c r="AT130" s="35"/>
      <c r="AU130" s="35"/>
      <c r="AV130" s="35"/>
      <c r="AW130" s="35"/>
      <c r="AX130" s="35"/>
      <c r="AY130" s="35"/>
      <c r="AZ130" s="35"/>
      <c r="BA130" s="35"/>
      <c r="BB130" s="35"/>
      <c r="BC130" s="35"/>
      <c r="BD130" s="35"/>
      <c r="BE130" s="35"/>
      <c r="BF130" s="35"/>
      <c r="BG130" s="35"/>
      <c r="BH130" s="35"/>
      <c r="BI130" s="35"/>
      <c r="BJ130" s="35"/>
      <c r="BK130" s="35"/>
      <c r="BL130" s="35"/>
    </row>
    <row r="131" spans="1:64" ht="14">
      <c r="A131" s="36"/>
      <c r="B131" s="37"/>
      <c r="C131" s="38">
        <f t="shared" si="3"/>
        <v>0</v>
      </c>
      <c r="D131" s="39"/>
      <c r="E131" s="39"/>
      <c r="F131" s="39"/>
      <c r="G131" s="39"/>
      <c r="H131" s="40"/>
      <c r="I131" s="41"/>
      <c r="J131" s="39"/>
      <c r="K131" s="43">
        <f t="shared" si="4"/>
        <v>0</v>
      </c>
      <c r="L131" s="39"/>
      <c r="M131" s="42" t="str">
        <f t="shared" si="5"/>
        <v/>
      </c>
      <c r="N131" s="35"/>
      <c r="O131" s="35"/>
      <c r="P131" s="35"/>
      <c r="Q131" s="35"/>
      <c r="R131" s="35"/>
      <c r="S131" s="35"/>
      <c r="T131" s="35"/>
      <c r="U131" s="35"/>
      <c r="V131" s="35"/>
      <c r="W131" s="35"/>
      <c r="X131" s="35"/>
      <c r="Y131" s="35"/>
      <c r="Z131" s="35"/>
      <c r="AA131" s="35"/>
      <c r="AB131" s="35"/>
      <c r="AC131" s="35"/>
      <c r="AD131" s="35"/>
      <c r="AE131" s="35"/>
      <c r="AF131" s="35"/>
      <c r="AG131" s="35"/>
      <c r="AH131" s="35"/>
      <c r="AI131" s="35"/>
      <c r="AJ131" s="35"/>
      <c r="AK131" s="35"/>
      <c r="AL131" s="35"/>
      <c r="AM131" s="35"/>
      <c r="AN131" s="35"/>
      <c r="AO131" s="35"/>
      <c r="AP131" s="35"/>
      <c r="AQ131" s="35"/>
      <c r="AR131" s="35"/>
      <c r="AS131" s="35"/>
      <c r="AT131" s="35"/>
      <c r="AU131" s="35"/>
      <c r="AV131" s="35"/>
      <c r="AW131" s="35"/>
      <c r="AX131" s="35"/>
      <c r="AY131" s="35"/>
      <c r="AZ131" s="35"/>
      <c r="BA131" s="35"/>
      <c r="BB131" s="35"/>
      <c r="BC131" s="35"/>
      <c r="BD131" s="35"/>
      <c r="BE131" s="35"/>
      <c r="BF131" s="35"/>
      <c r="BG131" s="35"/>
      <c r="BH131" s="35"/>
      <c r="BI131" s="35"/>
      <c r="BJ131" s="35"/>
      <c r="BK131" s="35"/>
      <c r="BL131" s="35"/>
    </row>
    <row r="132" spans="1:64" ht="14">
      <c r="A132" s="36"/>
      <c r="B132" s="37"/>
      <c r="C132" s="38">
        <f t="shared" si="3"/>
        <v>0</v>
      </c>
      <c r="D132" s="39"/>
      <c r="E132" s="39"/>
      <c r="F132" s="39"/>
      <c r="G132" s="39"/>
      <c r="H132" s="40"/>
      <c r="I132" s="41"/>
      <c r="J132" s="39"/>
      <c r="K132" s="43">
        <f t="shared" si="4"/>
        <v>0</v>
      </c>
      <c r="L132" s="39"/>
      <c r="M132" s="42" t="str">
        <f t="shared" si="5"/>
        <v/>
      </c>
      <c r="N132" s="35"/>
      <c r="O132" s="35"/>
      <c r="P132" s="35"/>
      <c r="Q132" s="35"/>
      <c r="R132" s="35"/>
      <c r="S132" s="35"/>
      <c r="T132" s="35"/>
      <c r="U132" s="35"/>
      <c r="V132" s="35"/>
      <c r="W132" s="35"/>
      <c r="X132" s="35"/>
      <c r="Y132" s="35"/>
      <c r="Z132" s="35"/>
      <c r="AA132" s="35"/>
      <c r="AB132" s="35"/>
      <c r="AC132" s="35"/>
      <c r="AD132" s="35"/>
      <c r="AE132" s="35"/>
      <c r="AF132" s="35"/>
      <c r="AG132" s="35"/>
      <c r="AH132" s="35"/>
      <c r="AI132" s="35"/>
      <c r="AJ132" s="35"/>
      <c r="AK132" s="35"/>
      <c r="AL132" s="35"/>
      <c r="AM132" s="35"/>
      <c r="AN132" s="35"/>
      <c r="AO132" s="35"/>
      <c r="AP132" s="35"/>
      <c r="AQ132" s="35"/>
      <c r="AR132" s="35"/>
      <c r="AS132" s="35"/>
      <c r="AT132" s="35"/>
      <c r="AU132" s="35"/>
      <c r="AV132" s="35"/>
      <c r="AW132" s="35"/>
      <c r="AX132" s="35"/>
      <c r="AY132" s="35"/>
      <c r="AZ132" s="35"/>
      <c r="BA132" s="35"/>
      <c r="BB132" s="35"/>
      <c r="BC132" s="35"/>
      <c r="BD132" s="35"/>
      <c r="BE132" s="35"/>
      <c r="BF132" s="35"/>
      <c r="BG132" s="35"/>
      <c r="BH132" s="35"/>
      <c r="BI132" s="35"/>
      <c r="BJ132" s="35"/>
      <c r="BK132" s="35"/>
      <c r="BL132" s="35"/>
    </row>
    <row r="133" spans="1:64" ht="14">
      <c r="A133" s="36"/>
      <c r="B133" s="37"/>
      <c r="C133" s="38">
        <f t="shared" si="3"/>
        <v>0</v>
      </c>
      <c r="D133" s="39"/>
      <c r="E133" s="39"/>
      <c r="F133" s="39"/>
      <c r="G133" s="39"/>
      <c r="H133" s="40"/>
      <c r="I133" s="41"/>
      <c r="J133" s="39"/>
      <c r="K133" s="43">
        <f t="shared" si="4"/>
        <v>0</v>
      </c>
      <c r="L133" s="39"/>
      <c r="M133" s="42" t="str">
        <f t="shared" si="5"/>
        <v/>
      </c>
      <c r="N133" s="35"/>
      <c r="O133" s="35"/>
      <c r="P133" s="35"/>
      <c r="Q133" s="35"/>
      <c r="R133" s="35"/>
      <c r="S133" s="35"/>
      <c r="T133" s="35"/>
      <c r="U133" s="35"/>
      <c r="V133" s="35"/>
      <c r="W133" s="35"/>
      <c r="X133" s="35"/>
      <c r="Y133" s="35"/>
      <c r="Z133" s="35"/>
      <c r="AA133" s="35"/>
      <c r="AB133" s="35"/>
      <c r="AC133" s="35"/>
      <c r="AD133" s="35"/>
      <c r="AE133" s="35"/>
      <c r="AF133" s="35"/>
      <c r="AG133" s="35"/>
      <c r="AH133" s="35"/>
      <c r="AI133" s="35"/>
      <c r="AJ133" s="35"/>
      <c r="AK133" s="35"/>
      <c r="AL133" s="35"/>
      <c r="AM133" s="35"/>
      <c r="AN133" s="35"/>
      <c r="AO133" s="35"/>
      <c r="AP133" s="35"/>
      <c r="AQ133" s="35"/>
      <c r="AR133" s="35"/>
      <c r="AS133" s="35"/>
      <c r="AT133" s="35"/>
      <c r="AU133" s="35"/>
      <c r="AV133" s="35"/>
      <c r="AW133" s="35"/>
      <c r="AX133" s="35"/>
      <c r="AY133" s="35"/>
      <c r="AZ133" s="35"/>
      <c r="BA133" s="35"/>
      <c r="BB133" s="35"/>
      <c r="BC133" s="35"/>
      <c r="BD133" s="35"/>
      <c r="BE133" s="35"/>
      <c r="BF133" s="35"/>
      <c r="BG133" s="35"/>
      <c r="BH133" s="35"/>
      <c r="BI133" s="35"/>
      <c r="BJ133" s="35"/>
      <c r="BK133" s="35"/>
      <c r="BL133" s="35"/>
    </row>
    <row r="134" spans="1:64" ht="14">
      <c r="A134" s="36"/>
      <c r="B134" s="37"/>
      <c r="C134" s="38">
        <f t="shared" si="3"/>
        <v>0</v>
      </c>
      <c r="D134" s="39"/>
      <c r="E134" s="39"/>
      <c r="F134" s="39"/>
      <c r="G134" s="39"/>
      <c r="H134" s="40"/>
      <c r="I134" s="41"/>
      <c r="J134" s="39"/>
      <c r="K134" s="43">
        <f t="shared" si="4"/>
        <v>0</v>
      </c>
      <c r="L134" s="39"/>
      <c r="M134" s="42" t="str">
        <f t="shared" si="5"/>
        <v/>
      </c>
      <c r="N134" s="35"/>
      <c r="O134" s="35"/>
      <c r="P134" s="35"/>
      <c r="Q134" s="35"/>
      <c r="R134" s="35"/>
      <c r="S134" s="35"/>
      <c r="T134" s="35"/>
      <c r="U134" s="35"/>
      <c r="V134" s="35"/>
      <c r="W134" s="35"/>
      <c r="X134" s="35"/>
      <c r="Y134" s="35"/>
      <c r="Z134" s="35"/>
      <c r="AA134" s="35"/>
      <c r="AB134" s="35"/>
      <c r="AC134" s="35"/>
      <c r="AD134" s="35"/>
      <c r="AE134" s="35"/>
      <c r="AF134" s="35"/>
      <c r="AG134" s="35"/>
      <c r="AH134" s="35"/>
      <c r="AI134" s="35"/>
      <c r="AJ134" s="35"/>
      <c r="AK134" s="35"/>
      <c r="AL134" s="35"/>
      <c r="AM134" s="35"/>
      <c r="AN134" s="35"/>
      <c r="AO134" s="35"/>
      <c r="AP134" s="35"/>
      <c r="AQ134" s="35"/>
      <c r="AR134" s="35"/>
      <c r="AS134" s="35"/>
      <c r="AT134" s="35"/>
      <c r="AU134" s="35"/>
      <c r="AV134" s="35"/>
      <c r="AW134" s="35"/>
      <c r="AX134" s="35"/>
      <c r="AY134" s="35"/>
      <c r="AZ134" s="35"/>
      <c r="BA134" s="35"/>
      <c r="BB134" s="35"/>
      <c r="BC134" s="35"/>
      <c r="BD134" s="35"/>
      <c r="BE134" s="35"/>
      <c r="BF134" s="35"/>
      <c r="BG134" s="35"/>
      <c r="BH134" s="35"/>
      <c r="BI134" s="35"/>
      <c r="BJ134" s="35"/>
      <c r="BK134" s="35"/>
      <c r="BL134" s="35"/>
    </row>
    <row r="135" spans="1:64" ht="14">
      <c r="A135" s="36"/>
      <c r="B135" s="37"/>
      <c r="C135" s="38">
        <f t="shared" si="3"/>
        <v>0</v>
      </c>
      <c r="D135" s="39"/>
      <c r="E135" s="39"/>
      <c r="F135" s="39"/>
      <c r="G135" s="39"/>
      <c r="H135" s="40"/>
      <c r="I135" s="41"/>
      <c r="J135" s="39"/>
      <c r="K135" s="43">
        <f t="shared" si="4"/>
        <v>0</v>
      </c>
      <c r="L135" s="39"/>
      <c r="M135" s="42" t="str">
        <f t="shared" si="5"/>
        <v/>
      </c>
      <c r="N135" s="35"/>
      <c r="O135" s="35"/>
      <c r="P135" s="35"/>
      <c r="Q135" s="35"/>
      <c r="R135" s="35"/>
      <c r="S135" s="35"/>
      <c r="T135" s="35"/>
      <c r="U135" s="35"/>
      <c r="V135" s="35"/>
      <c r="W135" s="35"/>
      <c r="X135" s="35"/>
      <c r="Y135" s="35"/>
      <c r="Z135" s="35"/>
      <c r="AA135" s="35"/>
      <c r="AB135" s="35"/>
      <c r="AC135" s="35"/>
      <c r="AD135" s="35"/>
      <c r="AE135" s="35"/>
      <c r="AF135" s="35"/>
      <c r="AG135" s="35"/>
      <c r="AH135" s="35"/>
      <c r="AI135" s="35"/>
      <c r="AJ135" s="35"/>
      <c r="AK135" s="35"/>
      <c r="AL135" s="35"/>
      <c r="AM135" s="35"/>
      <c r="AN135" s="35"/>
      <c r="AO135" s="35"/>
      <c r="AP135" s="35"/>
      <c r="AQ135" s="35"/>
      <c r="AR135" s="35"/>
      <c r="AS135" s="35"/>
      <c r="AT135" s="35"/>
      <c r="AU135" s="35"/>
      <c r="AV135" s="35"/>
      <c r="AW135" s="35"/>
      <c r="AX135" s="35"/>
      <c r="AY135" s="35"/>
      <c r="AZ135" s="35"/>
      <c r="BA135" s="35"/>
      <c r="BB135" s="35"/>
      <c r="BC135" s="35"/>
      <c r="BD135" s="35"/>
      <c r="BE135" s="35"/>
      <c r="BF135" s="35"/>
      <c r="BG135" s="35"/>
      <c r="BH135" s="35"/>
      <c r="BI135" s="35"/>
      <c r="BJ135" s="35"/>
      <c r="BK135" s="35"/>
      <c r="BL135" s="35"/>
    </row>
    <row r="136" spans="1:64" ht="14">
      <c r="A136" s="36"/>
      <c r="B136" s="37"/>
      <c r="C136" s="38">
        <f t="shared" si="3"/>
        <v>0</v>
      </c>
      <c r="D136" s="39"/>
      <c r="E136" s="39"/>
      <c r="F136" s="39"/>
      <c r="G136" s="39"/>
      <c r="H136" s="40"/>
      <c r="I136" s="41"/>
      <c r="J136" s="39"/>
      <c r="K136" s="43">
        <f t="shared" si="4"/>
        <v>0</v>
      </c>
      <c r="L136" s="39"/>
      <c r="M136" s="42" t="str">
        <f t="shared" si="5"/>
        <v/>
      </c>
      <c r="N136" s="35"/>
      <c r="O136" s="35"/>
      <c r="P136" s="35"/>
      <c r="Q136" s="35"/>
      <c r="R136" s="35"/>
      <c r="S136" s="35"/>
      <c r="T136" s="35"/>
      <c r="U136" s="35"/>
      <c r="V136" s="35"/>
      <c r="W136" s="35"/>
      <c r="X136" s="35"/>
      <c r="Y136" s="35"/>
      <c r="Z136" s="35"/>
      <c r="AA136" s="35"/>
      <c r="AB136" s="35"/>
      <c r="AC136" s="35"/>
      <c r="AD136" s="35"/>
      <c r="AE136" s="35"/>
      <c r="AF136" s="35"/>
      <c r="AG136" s="35"/>
      <c r="AH136" s="35"/>
      <c r="AI136" s="35"/>
      <c r="AJ136" s="35"/>
      <c r="AK136" s="35"/>
      <c r="AL136" s="35"/>
      <c r="AM136" s="35"/>
      <c r="AN136" s="35"/>
      <c r="AO136" s="35"/>
      <c r="AP136" s="35"/>
      <c r="AQ136" s="35"/>
      <c r="AR136" s="35"/>
      <c r="AS136" s="35"/>
      <c r="AT136" s="35"/>
      <c r="AU136" s="35"/>
      <c r="AV136" s="35"/>
      <c r="AW136" s="35"/>
      <c r="AX136" s="35"/>
      <c r="AY136" s="35"/>
      <c r="AZ136" s="35"/>
      <c r="BA136" s="35"/>
      <c r="BB136" s="35"/>
      <c r="BC136" s="35"/>
      <c r="BD136" s="35"/>
      <c r="BE136" s="35"/>
      <c r="BF136" s="35"/>
      <c r="BG136" s="35"/>
      <c r="BH136" s="35"/>
      <c r="BI136" s="35"/>
      <c r="BJ136" s="35"/>
      <c r="BK136" s="35"/>
      <c r="BL136" s="35"/>
    </row>
    <row r="137" spans="1:64" ht="14">
      <c r="A137" s="36"/>
      <c r="B137" s="37"/>
      <c r="C137" s="38">
        <f t="shared" si="3"/>
        <v>0</v>
      </c>
      <c r="D137" s="39"/>
      <c r="E137" s="39"/>
      <c r="F137" s="39"/>
      <c r="G137" s="39"/>
      <c r="H137" s="40"/>
      <c r="I137" s="41"/>
      <c r="J137" s="39"/>
      <c r="K137" s="43">
        <f t="shared" si="4"/>
        <v>0</v>
      </c>
      <c r="L137" s="39"/>
      <c r="M137" s="42" t="str">
        <f t="shared" si="5"/>
        <v/>
      </c>
      <c r="N137" s="35"/>
      <c r="O137" s="35"/>
      <c r="P137" s="35"/>
      <c r="Q137" s="35"/>
      <c r="R137" s="35"/>
      <c r="S137" s="35"/>
      <c r="T137" s="35"/>
      <c r="U137" s="35"/>
      <c r="V137" s="35"/>
      <c r="W137" s="35"/>
      <c r="X137" s="35"/>
      <c r="Y137" s="35"/>
      <c r="Z137" s="35"/>
      <c r="AA137" s="35"/>
      <c r="AB137" s="35"/>
      <c r="AC137" s="35"/>
      <c r="AD137" s="35"/>
      <c r="AE137" s="35"/>
      <c r="AF137" s="35"/>
      <c r="AG137" s="35"/>
      <c r="AH137" s="35"/>
      <c r="AI137" s="35"/>
      <c r="AJ137" s="35"/>
      <c r="AK137" s="35"/>
      <c r="AL137" s="35"/>
      <c r="AM137" s="35"/>
      <c r="AN137" s="35"/>
      <c r="AO137" s="35"/>
      <c r="AP137" s="35"/>
      <c r="AQ137" s="35"/>
      <c r="AR137" s="35"/>
      <c r="AS137" s="35"/>
      <c r="AT137" s="35"/>
      <c r="AU137" s="35"/>
      <c r="AV137" s="35"/>
      <c r="AW137" s="35"/>
      <c r="AX137" s="35"/>
      <c r="AY137" s="35"/>
      <c r="AZ137" s="35"/>
      <c r="BA137" s="35"/>
      <c r="BB137" s="35"/>
      <c r="BC137" s="35"/>
      <c r="BD137" s="35"/>
      <c r="BE137" s="35"/>
      <c r="BF137" s="35"/>
      <c r="BG137" s="35"/>
      <c r="BH137" s="35"/>
      <c r="BI137" s="35"/>
      <c r="BJ137" s="35"/>
      <c r="BK137" s="35"/>
      <c r="BL137" s="35"/>
    </row>
    <row r="138" spans="1:64" ht="14">
      <c r="A138" s="36"/>
      <c r="B138" s="37"/>
      <c r="C138" s="38">
        <f t="shared" ref="C138:C201" si="6">IF($B138&lt;&gt;"",VLOOKUP($B138,Matriz_INM,2,0),0)</f>
        <v>0</v>
      </c>
      <c r="D138" s="39"/>
      <c r="E138" s="39"/>
      <c r="F138" s="39"/>
      <c r="G138" s="39"/>
      <c r="H138" s="40"/>
      <c r="I138" s="41"/>
      <c r="J138" s="39"/>
      <c r="K138" s="43">
        <f t="shared" ref="K138:K201" si="7">IF(M138="%",(IF($J138="EE",4,IF($J138="CE",4,IF($J138="SE",5,IF($J138="ALI",7,IF($J138="AIE",5,0))))))*$C138,$C138*$I138)</f>
        <v>0</v>
      </c>
      <c r="L138" s="39"/>
      <c r="M138" s="42" t="str">
        <f t="shared" ref="M138:M201" si="8">IFERROR(VLOOKUP($B138,Matriz_INM,3,0),"")</f>
        <v/>
      </c>
      <c r="N138" s="35"/>
      <c r="O138" s="35"/>
      <c r="P138" s="35"/>
      <c r="Q138" s="35"/>
      <c r="R138" s="35"/>
      <c r="S138" s="35"/>
      <c r="T138" s="35"/>
      <c r="U138" s="35"/>
      <c r="V138" s="35"/>
      <c r="W138" s="35"/>
      <c r="X138" s="35"/>
      <c r="Y138" s="35"/>
      <c r="Z138" s="35"/>
      <c r="AA138" s="35"/>
      <c r="AB138" s="35"/>
      <c r="AC138" s="35"/>
      <c r="AD138" s="35"/>
      <c r="AE138" s="35"/>
      <c r="AF138" s="35"/>
      <c r="AG138" s="35"/>
      <c r="AH138" s="35"/>
      <c r="AI138" s="35"/>
      <c r="AJ138" s="35"/>
      <c r="AK138" s="35"/>
      <c r="AL138" s="35"/>
      <c r="AM138" s="35"/>
      <c r="AN138" s="35"/>
      <c r="AO138" s="35"/>
      <c r="AP138" s="35"/>
      <c r="AQ138" s="35"/>
      <c r="AR138" s="35"/>
      <c r="AS138" s="35"/>
      <c r="AT138" s="35"/>
      <c r="AU138" s="35"/>
      <c r="AV138" s="35"/>
      <c r="AW138" s="35"/>
      <c r="AX138" s="35"/>
      <c r="AY138" s="35"/>
      <c r="AZ138" s="35"/>
      <c r="BA138" s="35"/>
      <c r="BB138" s="35"/>
      <c r="BC138" s="35"/>
      <c r="BD138" s="35"/>
      <c r="BE138" s="35"/>
      <c r="BF138" s="35"/>
      <c r="BG138" s="35"/>
      <c r="BH138" s="35"/>
      <c r="BI138" s="35"/>
      <c r="BJ138" s="35"/>
      <c r="BK138" s="35"/>
      <c r="BL138" s="35"/>
    </row>
    <row r="139" spans="1:64" ht="14">
      <c r="A139" s="36"/>
      <c r="B139" s="37"/>
      <c r="C139" s="38">
        <f t="shared" si="6"/>
        <v>0</v>
      </c>
      <c r="D139" s="39"/>
      <c r="E139" s="39"/>
      <c r="F139" s="39"/>
      <c r="G139" s="39"/>
      <c r="H139" s="40"/>
      <c r="I139" s="41"/>
      <c r="J139" s="39"/>
      <c r="K139" s="43">
        <f t="shared" si="7"/>
        <v>0</v>
      </c>
      <c r="L139" s="39"/>
      <c r="M139" s="42" t="str">
        <f t="shared" si="8"/>
        <v/>
      </c>
      <c r="N139" s="35"/>
      <c r="O139" s="35"/>
      <c r="P139" s="35"/>
      <c r="Q139" s="35"/>
      <c r="R139" s="35"/>
      <c r="S139" s="35"/>
      <c r="T139" s="35"/>
      <c r="U139" s="35"/>
      <c r="V139" s="35"/>
      <c r="W139" s="35"/>
      <c r="X139" s="35"/>
      <c r="Y139" s="35"/>
      <c r="Z139" s="35"/>
      <c r="AA139" s="35"/>
      <c r="AB139" s="35"/>
      <c r="AC139" s="35"/>
      <c r="AD139" s="35"/>
      <c r="AE139" s="35"/>
      <c r="AF139" s="35"/>
      <c r="AG139" s="35"/>
      <c r="AH139" s="35"/>
      <c r="AI139" s="35"/>
      <c r="AJ139" s="35"/>
      <c r="AK139" s="35"/>
      <c r="AL139" s="35"/>
      <c r="AM139" s="35"/>
      <c r="AN139" s="35"/>
      <c r="AO139" s="35"/>
      <c r="AP139" s="35"/>
      <c r="AQ139" s="35"/>
      <c r="AR139" s="35"/>
      <c r="AS139" s="35"/>
      <c r="AT139" s="35"/>
      <c r="AU139" s="35"/>
      <c r="AV139" s="35"/>
      <c r="AW139" s="35"/>
      <c r="AX139" s="35"/>
      <c r="AY139" s="35"/>
      <c r="AZ139" s="35"/>
      <c r="BA139" s="35"/>
      <c r="BB139" s="35"/>
      <c r="BC139" s="35"/>
      <c r="BD139" s="35"/>
      <c r="BE139" s="35"/>
      <c r="BF139" s="35"/>
      <c r="BG139" s="35"/>
      <c r="BH139" s="35"/>
      <c r="BI139" s="35"/>
      <c r="BJ139" s="35"/>
      <c r="BK139" s="35"/>
      <c r="BL139" s="35"/>
    </row>
    <row r="140" spans="1:64" ht="14">
      <c r="A140" s="36"/>
      <c r="B140" s="37"/>
      <c r="C140" s="38">
        <f t="shared" si="6"/>
        <v>0</v>
      </c>
      <c r="D140" s="39"/>
      <c r="E140" s="39"/>
      <c r="F140" s="39"/>
      <c r="G140" s="39"/>
      <c r="H140" s="40"/>
      <c r="I140" s="41"/>
      <c r="J140" s="39"/>
      <c r="K140" s="43">
        <f t="shared" si="7"/>
        <v>0</v>
      </c>
      <c r="L140" s="39"/>
      <c r="M140" s="42" t="str">
        <f t="shared" si="8"/>
        <v/>
      </c>
      <c r="N140" s="35"/>
      <c r="O140" s="35"/>
      <c r="P140" s="35"/>
      <c r="Q140" s="35"/>
      <c r="R140" s="35"/>
      <c r="S140" s="35"/>
      <c r="T140" s="35"/>
      <c r="U140" s="35"/>
      <c r="V140" s="35"/>
      <c r="W140" s="35"/>
      <c r="X140" s="35"/>
      <c r="Y140" s="35"/>
      <c r="Z140" s="35"/>
      <c r="AA140" s="35"/>
      <c r="AB140" s="35"/>
      <c r="AC140" s="35"/>
      <c r="AD140" s="35"/>
      <c r="AE140" s="35"/>
      <c r="AF140" s="35"/>
      <c r="AG140" s="35"/>
      <c r="AH140" s="35"/>
      <c r="AI140" s="35"/>
      <c r="AJ140" s="35"/>
      <c r="AK140" s="35"/>
      <c r="AL140" s="35"/>
      <c r="AM140" s="35"/>
      <c r="AN140" s="35"/>
      <c r="AO140" s="35"/>
      <c r="AP140" s="35"/>
      <c r="AQ140" s="35"/>
      <c r="AR140" s="35"/>
      <c r="AS140" s="35"/>
      <c r="AT140" s="35"/>
      <c r="AU140" s="35"/>
      <c r="AV140" s="35"/>
      <c r="AW140" s="35"/>
      <c r="AX140" s="35"/>
      <c r="AY140" s="35"/>
      <c r="AZ140" s="35"/>
      <c r="BA140" s="35"/>
      <c r="BB140" s="35"/>
      <c r="BC140" s="35"/>
      <c r="BD140" s="35"/>
      <c r="BE140" s="35"/>
      <c r="BF140" s="35"/>
      <c r="BG140" s="35"/>
      <c r="BH140" s="35"/>
      <c r="BI140" s="35"/>
      <c r="BJ140" s="35"/>
      <c r="BK140" s="35"/>
      <c r="BL140" s="35"/>
    </row>
    <row r="141" spans="1:64" ht="14">
      <c r="A141" s="36"/>
      <c r="B141" s="37"/>
      <c r="C141" s="38">
        <f t="shared" si="6"/>
        <v>0</v>
      </c>
      <c r="D141" s="39"/>
      <c r="E141" s="39"/>
      <c r="F141" s="39"/>
      <c r="G141" s="39"/>
      <c r="H141" s="40"/>
      <c r="I141" s="41"/>
      <c r="J141" s="39"/>
      <c r="K141" s="43">
        <f t="shared" si="7"/>
        <v>0</v>
      </c>
      <c r="L141" s="39"/>
      <c r="M141" s="42" t="str">
        <f t="shared" si="8"/>
        <v/>
      </c>
      <c r="N141" s="35"/>
      <c r="O141" s="35"/>
      <c r="P141" s="35"/>
      <c r="Q141" s="35"/>
      <c r="R141" s="35"/>
      <c r="S141" s="35"/>
      <c r="T141" s="35"/>
      <c r="U141" s="35"/>
      <c r="V141" s="35"/>
      <c r="W141" s="35"/>
      <c r="X141" s="35"/>
      <c r="Y141" s="35"/>
      <c r="Z141" s="35"/>
      <c r="AA141" s="35"/>
      <c r="AB141" s="35"/>
      <c r="AC141" s="35"/>
      <c r="AD141" s="35"/>
      <c r="AE141" s="35"/>
      <c r="AF141" s="35"/>
      <c r="AG141" s="35"/>
      <c r="AH141" s="35"/>
      <c r="AI141" s="35"/>
      <c r="AJ141" s="35"/>
      <c r="AK141" s="35"/>
      <c r="AL141" s="35"/>
      <c r="AM141" s="35"/>
      <c r="AN141" s="35"/>
      <c r="AO141" s="35"/>
      <c r="AP141" s="35"/>
      <c r="AQ141" s="35"/>
      <c r="AR141" s="35"/>
      <c r="AS141" s="35"/>
      <c r="AT141" s="35"/>
      <c r="AU141" s="35"/>
      <c r="AV141" s="35"/>
      <c r="AW141" s="35"/>
      <c r="AX141" s="35"/>
      <c r="AY141" s="35"/>
      <c r="AZ141" s="35"/>
      <c r="BA141" s="35"/>
      <c r="BB141" s="35"/>
      <c r="BC141" s="35"/>
      <c r="BD141" s="35"/>
      <c r="BE141" s="35"/>
      <c r="BF141" s="35"/>
      <c r="BG141" s="35"/>
      <c r="BH141" s="35"/>
      <c r="BI141" s="35"/>
      <c r="BJ141" s="35"/>
      <c r="BK141" s="35"/>
      <c r="BL141" s="35"/>
    </row>
    <row r="142" spans="1:64" ht="14">
      <c r="A142" s="36"/>
      <c r="B142" s="37"/>
      <c r="C142" s="38">
        <f t="shared" si="6"/>
        <v>0</v>
      </c>
      <c r="D142" s="39"/>
      <c r="E142" s="39"/>
      <c r="F142" s="39"/>
      <c r="G142" s="39"/>
      <c r="H142" s="40"/>
      <c r="I142" s="41"/>
      <c r="J142" s="39"/>
      <c r="K142" s="43">
        <f t="shared" si="7"/>
        <v>0</v>
      </c>
      <c r="L142" s="39"/>
      <c r="M142" s="42" t="str">
        <f t="shared" si="8"/>
        <v/>
      </c>
      <c r="N142" s="35"/>
      <c r="O142" s="35"/>
      <c r="P142" s="35"/>
      <c r="Q142" s="35"/>
      <c r="R142" s="35"/>
      <c r="S142" s="35"/>
      <c r="T142" s="35"/>
      <c r="U142" s="35"/>
      <c r="V142" s="35"/>
      <c r="W142" s="35"/>
      <c r="X142" s="35"/>
      <c r="Y142" s="35"/>
      <c r="Z142" s="35"/>
      <c r="AA142" s="35"/>
      <c r="AB142" s="35"/>
      <c r="AC142" s="35"/>
      <c r="AD142" s="35"/>
      <c r="AE142" s="35"/>
      <c r="AF142" s="35"/>
      <c r="AG142" s="35"/>
      <c r="AH142" s="35"/>
      <c r="AI142" s="35"/>
      <c r="AJ142" s="35"/>
      <c r="AK142" s="35"/>
      <c r="AL142" s="35"/>
      <c r="AM142" s="35"/>
      <c r="AN142" s="35"/>
      <c r="AO142" s="35"/>
      <c r="AP142" s="35"/>
      <c r="AQ142" s="35"/>
      <c r="AR142" s="35"/>
      <c r="AS142" s="35"/>
      <c r="AT142" s="35"/>
      <c r="AU142" s="35"/>
      <c r="AV142" s="35"/>
      <c r="AW142" s="35"/>
      <c r="AX142" s="35"/>
      <c r="AY142" s="35"/>
      <c r="AZ142" s="35"/>
      <c r="BA142" s="35"/>
      <c r="BB142" s="35"/>
      <c r="BC142" s="35"/>
      <c r="BD142" s="35"/>
      <c r="BE142" s="35"/>
      <c r="BF142" s="35"/>
      <c r="BG142" s="35"/>
      <c r="BH142" s="35"/>
      <c r="BI142" s="35"/>
      <c r="BJ142" s="35"/>
      <c r="BK142" s="35"/>
      <c r="BL142" s="35"/>
    </row>
    <row r="143" spans="1:64" ht="14">
      <c r="A143" s="36"/>
      <c r="B143" s="37"/>
      <c r="C143" s="38">
        <f t="shared" si="6"/>
        <v>0</v>
      </c>
      <c r="D143" s="39"/>
      <c r="E143" s="39"/>
      <c r="F143" s="39"/>
      <c r="G143" s="39"/>
      <c r="H143" s="40"/>
      <c r="I143" s="41"/>
      <c r="J143" s="39"/>
      <c r="K143" s="43">
        <f t="shared" si="7"/>
        <v>0</v>
      </c>
      <c r="L143" s="39"/>
      <c r="M143" s="42" t="str">
        <f t="shared" si="8"/>
        <v/>
      </c>
      <c r="N143" s="35"/>
      <c r="O143" s="35"/>
      <c r="P143" s="35"/>
      <c r="Q143" s="35"/>
      <c r="R143" s="35"/>
      <c r="S143" s="35"/>
      <c r="T143" s="35"/>
      <c r="U143" s="35"/>
      <c r="V143" s="35"/>
      <c r="W143" s="35"/>
      <c r="X143" s="35"/>
      <c r="Y143" s="35"/>
      <c r="Z143" s="35"/>
      <c r="AA143" s="35"/>
      <c r="AB143" s="35"/>
      <c r="AC143" s="35"/>
      <c r="AD143" s="35"/>
      <c r="AE143" s="35"/>
      <c r="AF143" s="35"/>
      <c r="AG143" s="35"/>
      <c r="AH143" s="35"/>
      <c r="AI143" s="35"/>
      <c r="AJ143" s="35"/>
      <c r="AK143" s="35"/>
      <c r="AL143" s="35"/>
      <c r="AM143" s="35"/>
      <c r="AN143" s="35"/>
      <c r="AO143" s="35"/>
      <c r="AP143" s="35"/>
      <c r="AQ143" s="35"/>
      <c r="AR143" s="35"/>
      <c r="AS143" s="35"/>
      <c r="AT143" s="35"/>
      <c r="AU143" s="35"/>
      <c r="AV143" s="35"/>
      <c r="AW143" s="35"/>
      <c r="AX143" s="35"/>
      <c r="AY143" s="35"/>
      <c r="AZ143" s="35"/>
      <c r="BA143" s="35"/>
      <c r="BB143" s="35"/>
      <c r="BC143" s="35"/>
      <c r="BD143" s="35"/>
      <c r="BE143" s="35"/>
      <c r="BF143" s="35"/>
      <c r="BG143" s="35"/>
      <c r="BH143" s="35"/>
      <c r="BI143" s="35"/>
      <c r="BJ143" s="35"/>
      <c r="BK143" s="35"/>
      <c r="BL143" s="35"/>
    </row>
    <row r="144" spans="1:64" ht="14">
      <c r="A144" s="36"/>
      <c r="B144" s="37"/>
      <c r="C144" s="38">
        <f t="shared" si="6"/>
        <v>0</v>
      </c>
      <c r="D144" s="39"/>
      <c r="E144" s="39"/>
      <c r="F144" s="39"/>
      <c r="G144" s="39"/>
      <c r="H144" s="40"/>
      <c r="I144" s="41"/>
      <c r="J144" s="39"/>
      <c r="K144" s="43">
        <f t="shared" si="7"/>
        <v>0</v>
      </c>
      <c r="L144" s="39"/>
      <c r="M144" s="42" t="str">
        <f t="shared" si="8"/>
        <v/>
      </c>
      <c r="N144" s="35"/>
      <c r="O144" s="35"/>
      <c r="P144" s="35"/>
      <c r="Q144" s="35"/>
      <c r="R144" s="35"/>
      <c r="S144" s="35"/>
      <c r="T144" s="35"/>
      <c r="U144" s="35"/>
      <c r="V144" s="35"/>
      <c r="W144" s="35"/>
      <c r="X144" s="35"/>
      <c r="Y144" s="35"/>
      <c r="Z144" s="35"/>
      <c r="AA144" s="35"/>
      <c r="AB144" s="35"/>
      <c r="AC144" s="35"/>
      <c r="AD144" s="35"/>
      <c r="AE144" s="35"/>
      <c r="AF144" s="35"/>
      <c r="AG144" s="35"/>
      <c r="AH144" s="35"/>
      <c r="AI144" s="35"/>
      <c r="AJ144" s="35"/>
      <c r="AK144" s="35"/>
      <c r="AL144" s="35"/>
      <c r="AM144" s="35"/>
      <c r="AN144" s="35"/>
      <c r="AO144" s="35"/>
      <c r="AP144" s="35"/>
      <c r="AQ144" s="35"/>
      <c r="AR144" s="35"/>
      <c r="AS144" s="35"/>
      <c r="AT144" s="35"/>
      <c r="AU144" s="35"/>
      <c r="AV144" s="35"/>
      <c r="AW144" s="35"/>
      <c r="AX144" s="35"/>
      <c r="AY144" s="35"/>
      <c r="AZ144" s="35"/>
      <c r="BA144" s="35"/>
      <c r="BB144" s="35"/>
      <c r="BC144" s="35"/>
      <c r="BD144" s="35"/>
      <c r="BE144" s="35"/>
      <c r="BF144" s="35"/>
      <c r="BG144" s="35"/>
      <c r="BH144" s="35"/>
      <c r="BI144" s="35"/>
      <c r="BJ144" s="35"/>
      <c r="BK144" s="35"/>
      <c r="BL144" s="35"/>
    </row>
    <row r="145" spans="1:64" ht="14">
      <c r="A145" s="36"/>
      <c r="B145" s="37"/>
      <c r="C145" s="38">
        <f t="shared" si="6"/>
        <v>0</v>
      </c>
      <c r="D145" s="39"/>
      <c r="E145" s="39"/>
      <c r="F145" s="39"/>
      <c r="G145" s="39"/>
      <c r="H145" s="40"/>
      <c r="I145" s="41"/>
      <c r="J145" s="39"/>
      <c r="K145" s="43">
        <f t="shared" si="7"/>
        <v>0</v>
      </c>
      <c r="L145" s="39"/>
      <c r="M145" s="42" t="str">
        <f t="shared" si="8"/>
        <v/>
      </c>
      <c r="N145" s="35"/>
      <c r="O145" s="35"/>
      <c r="P145" s="35"/>
      <c r="Q145" s="35"/>
      <c r="R145" s="35"/>
      <c r="S145" s="35"/>
      <c r="T145" s="35"/>
      <c r="U145" s="35"/>
      <c r="V145" s="35"/>
      <c r="W145" s="35"/>
      <c r="X145" s="35"/>
      <c r="Y145" s="35"/>
      <c r="Z145" s="35"/>
      <c r="AA145" s="35"/>
      <c r="AB145" s="35"/>
      <c r="AC145" s="35"/>
      <c r="AD145" s="35"/>
      <c r="AE145" s="35"/>
      <c r="AF145" s="35"/>
      <c r="AG145" s="35"/>
      <c r="AH145" s="35"/>
      <c r="AI145" s="35"/>
      <c r="AJ145" s="35"/>
      <c r="AK145" s="35"/>
      <c r="AL145" s="35"/>
      <c r="AM145" s="35"/>
      <c r="AN145" s="35"/>
      <c r="AO145" s="35"/>
      <c r="AP145" s="35"/>
      <c r="AQ145" s="35"/>
      <c r="AR145" s="35"/>
      <c r="AS145" s="35"/>
      <c r="AT145" s="35"/>
      <c r="AU145" s="35"/>
      <c r="AV145" s="35"/>
      <c r="AW145" s="35"/>
      <c r="AX145" s="35"/>
      <c r="AY145" s="35"/>
      <c r="AZ145" s="35"/>
      <c r="BA145" s="35"/>
      <c r="BB145" s="35"/>
      <c r="BC145" s="35"/>
      <c r="BD145" s="35"/>
      <c r="BE145" s="35"/>
      <c r="BF145" s="35"/>
      <c r="BG145" s="35"/>
      <c r="BH145" s="35"/>
      <c r="BI145" s="35"/>
      <c r="BJ145" s="35"/>
      <c r="BK145" s="35"/>
      <c r="BL145" s="35"/>
    </row>
    <row r="146" spans="1:64" ht="14">
      <c r="A146" s="36"/>
      <c r="B146" s="37"/>
      <c r="C146" s="38">
        <f t="shared" si="6"/>
        <v>0</v>
      </c>
      <c r="D146" s="39"/>
      <c r="E146" s="39"/>
      <c r="F146" s="39"/>
      <c r="G146" s="39"/>
      <c r="H146" s="40"/>
      <c r="I146" s="41"/>
      <c r="J146" s="39"/>
      <c r="K146" s="43">
        <f t="shared" si="7"/>
        <v>0</v>
      </c>
      <c r="L146" s="39"/>
      <c r="M146" s="42" t="str">
        <f t="shared" si="8"/>
        <v/>
      </c>
      <c r="N146" s="35"/>
      <c r="O146" s="35"/>
      <c r="P146" s="35"/>
      <c r="Q146" s="35"/>
      <c r="R146" s="35"/>
      <c r="S146" s="35"/>
      <c r="T146" s="35"/>
      <c r="U146" s="35"/>
      <c r="V146" s="35"/>
      <c r="W146" s="35"/>
      <c r="X146" s="35"/>
      <c r="Y146" s="35"/>
      <c r="Z146" s="35"/>
      <c r="AA146" s="35"/>
      <c r="AB146" s="35"/>
      <c r="AC146" s="35"/>
      <c r="AD146" s="35"/>
      <c r="AE146" s="35"/>
      <c r="AF146" s="35"/>
      <c r="AG146" s="35"/>
      <c r="AH146" s="35"/>
      <c r="AI146" s="35"/>
      <c r="AJ146" s="35"/>
      <c r="AK146" s="35"/>
      <c r="AL146" s="35"/>
      <c r="AM146" s="35"/>
      <c r="AN146" s="35"/>
      <c r="AO146" s="35"/>
      <c r="AP146" s="35"/>
      <c r="AQ146" s="35"/>
      <c r="AR146" s="35"/>
      <c r="AS146" s="35"/>
      <c r="AT146" s="35"/>
      <c r="AU146" s="35"/>
      <c r="AV146" s="35"/>
      <c r="AW146" s="35"/>
      <c r="AX146" s="35"/>
      <c r="AY146" s="35"/>
      <c r="AZ146" s="35"/>
      <c r="BA146" s="35"/>
      <c r="BB146" s="35"/>
      <c r="BC146" s="35"/>
      <c r="BD146" s="35"/>
      <c r="BE146" s="35"/>
      <c r="BF146" s="35"/>
      <c r="BG146" s="35"/>
      <c r="BH146" s="35"/>
      <c r="BI146" s="35"/>
      <c r="BJ146" s="35"/>
      <c r="BK146" s="35"/>
      <c r="BL146" s="35"/>
    </row>
    <row r="147" spans="1:64" ht="14">
      <c r="A147" s="36"/>
      <c r="B147" s="37"/>
      <c r="C147" s="38">
        <f t="shared" si="6"/>
        <v>0</v>
      </c>
      <c r="D147" s="39"/>
      <c r="E147" s="39"/>
      <c r="F147" s="39"/>
      <c r="G147" s="39"/>
      <c r="H147" s="40"/>
      <c r="I147" s="41"/>
      <c r="J147" s="39"/>
      <c r="K147" s="43">
        <f t="shared" si="7"/>
        <v>0</v>
      </c>
      <c r="L147" s="39"/>
      <c r="M147" s="42" t="str">
        <f t="shared" si="8"/>
        <v/>
      </c>
      <c r="N147" s="35"/>
      <c r="O147" s="35"/>
      <c r="P147" s="35"/>
      <c r="Q147" s="35"/>
      <c r="R147" s="35"/>
      <c r="S147" s="35"/>
      <c r="T147" s="35"/>
      <c r="U147" s="35"/>
      <c r="V147" s="35"/>
      <c r="W147" s="35"/>
      <c r="X147" s="35"/>
      <c r="Y147" s="35"/>
      <c r="Z147" s="35"/>
      <c r="AA147" s="35"/>
      <c r="AB147" s="35"/>
      <c r="AC147" s="35"/>
      <c r="AD147" s="35"/>
      <c r="AE147" s="35"/>
      <c r="AF147" s="35"/>
      <c r="AG147" s="35"/>
      <c r="AH147" s="35"/>
      <c r="AI147" s="35"/>
      <c r="AJ147" s="35"/>
      <c r="AK147" s="35"/>
      <c r="AL147" s="35"/>
      <c r="AM147" s="35"/>
      <c r="AN147" s="35"/>
      <c r="AO147" s="35"/>
      <c r="AP147" s="35"/>
      <c r="AQ147" s="35"/>
      <c r="AR147" s="35"/>
      <c r="AS147" s="35"/>
      <c r="AT147" s="35"/>
      <c r="AU147" s="35"/>
      <c r="AV147" s="35"/>
      <c r="AW147" s="35"/>
      <c r="AX147" s="35"/>
      <c r="AY147" s="35"/>
      <c r="AZ147" s="35"/>
      <c r="BA147" s="35"/>
      <c r="BB147" s="35"/>
      <c r="BC147" s="35"/>
      <c r="BD147" s="35"/>
      <c r="BE147" s="35"/>
      <c r="BF147" s="35"/>
      <c r="BG147" s="35"/>
      <c r="BH147" s="35"/>
      <c r="BI147" s="35"/>
      <c r="BJ147" s="35"/>
      <c r="BK147" s="35"/>
      <c r="BL147" s="35"/>
    </row>
    <row r="148" spans="1:64" ht="14">
      <c r="A148" s="36"/>
      <c r="B148" s="37"/>
      <c r="C148" s="38">
        <f t="shared" si="6"/>
        <v>0</v>
      </c>
      <c r="D148" s="39"/>
      <c r="E148" s="39"/>
      <c r="F148" s="39"/>
      <c r="G148" s="39"/>
      <c r="H148" s="40"/>
      <c r="I148" s="41"/>
      <c r="J148" s="39"/>
      <c r="K148" s="43">
        <f t="shared" si="7"/>
        <v>0</v>
      </c>
      <c r="L148" s="39"/>
      <c r="M148" s="42" t="str">
        <f t="shared" si="8"/>
        <v/>
      </c>
      <c r="N148" s="35"/>
      <c r="O148" s="35"/>
      <c r="P148" s="35"/>
      <c r="Q148" s="35"/>
      <c r="R148" s="35"/>
      <c r="S148" s="35"/>
      <c r="T148" s="35"/>
      <c r="U148" s="35"/>
      <c r="V148" s="35"/>
      <c r="W148" s="35"/>
      <c r="X148" s="35"/>
      <c r="Y148" s="35"/>
      <c r="Z148" s="35"/>
      <c r="AA148" s="35"/>
      <c r="AB148" s="35"/>
      <c r="AC148" s="35"/>
      <c r="AD148" s="35"/>
      <c r="AE148" s="35"/>
      <c r="AF148" s="35"/>
      <c r="AG148" s="35"/>
      <c r="AH148" s="35"/>
      <c r="AI148" s="35"/>
      <c r="AJ148" s="35"/>
      <c r="AK148" s="35"/>
      <c r="AL148" s="35"/>
      <c r="AM148" s="35"/>
      <c r="AN148" s="35"/>
      <c r="AO148" s="35"/>
      <c r="AP148" s="35"/>
      <c r="AQ148" s="35"/>
      <c r="AR148" s="35"/>
      <c r="AS148" s="35"/>
      <c r="AT148" s="35"/>
      <c r="AU148" s="35"/>
      <c r="AV148" s="35"/>
      <c r="AW148" s="35"/>
      <c r="AX148" s="35"/>
      <c r="AY148" s="35"/>
      <c r="AZ148" s="35"/>
      <c r="BA148" s="35"/>
      <c r="BB148" s="35"/>
      <c r="BC148" s="35"/>
      <c r="BD148" s="35"/>
      <c r="BE148" s="35"/>
      <c r="BF148" s="35"/>
      <c r="BG148" s="35"/>
      <c r="BH148" s="35"/>
      <c r="BI148" s="35"/>
      <c r="BJ148" s="35"/>
      <c r="BK148" s="35"/>
      <c r="BL148" s="35"/>
    </row>
    <row r="149" spans="1:64" ht="14">
      <c r="A149" s="36"/>
      <c r="B149" s="37"/>
      <c r="C149" s="38">
        <f t="shared" si="6"/>
        <v>0</v>
      </c>
      <c r="D149" s="39"/>
      <c r="E149" s="39"/>
      <c r="F149" s="39"/>
      <c r="G149" s="39"/>
      <c r="H149" s="40"/>
      <c r="I149" s="41"/>
      <c r="J149" s="39"/>
      <c r="K149" s="43">
        <f t="shared" si="7"/>
        <v>0</v>
      </c>
      <c r="L149" s="39"/>
      <c r="M149" s="42" t="str">
        <f t="shared" si="8"/>
        <v/>
      </c>
      <c r="N149" s="35"/>
      <c r="O149" s="35"/>
      <c r="P149" s="35"/>
      <c r="Q149" s="35"/>
      <c r="R149" s="35"/>
      <c r="S149" s="35"/>
      <c r="T149" s="35"/>
      <c r="U149" s="35"/>
      <c r="V149" s="35"/>
      <c r="W149" s="35"/>
      <c r="X149" s="35"/>
      <c r="Y149" s="35"/>
      <c r="Z149" s="35"/>
      <c r="AA149" s="35"/>
      <c r="AB149" s="35"/>
      <c r="AC149" s="35"/>
      <c r="AD149" s="35"/>
      <c r="AE149" s="35"/>
      <c r="AF149" s="35"/>
      <c r="AG149" s="35"/>
      <c r="AH149" s="35"/>
      <c r="AI149" s="35"/>
      <c r="AJ149" s="35"/>
      <c r="AK149" s="35"/>
      <c r="AL149" s="35"/>
      <c r="AM149" s="35"/>
      <c r="AN149" s="35"/>
      <c r="AO149" s="35"/>
      <c r="AP149" s="35"/>
      <c r="AQ149" s="35"/>
      <c r="AR149" s="35"/>
      <c r="AS149" s="35"/>
      <c r="AT149" s="35"/>
      <c r="AU149" s="35"/>
      <c r="AV149" s="35"/>
      <c r="AW149" s="35"/>
      <c r="AX149" s="35"/>
      <c r="AY149" s="35"/>
      <c r="AZ149" s="35"/>
      <c r="BA149" s="35"/>
      <c r="BB149" s="35"/>
      <c r="BC149" s="35"/>
      <c r="BD149" s="35"/>
      <c r="BE149" s="35"/>
      <c r="BF149" s="35"/>
      <c r="BG149" s="35"/>
      <c r="BH149" s="35"/>
      <c r="BI149" s="35"/>
      <c r="BJ149" s="35"/>
      <c r="BK149" s="35"/>
      <c r="BL149" s="35"/>
    </row>
    <row r="150" spans="1:64" ht="14">
      <c r="A150" s="36"/>
      <c r="B150" s="37"/>
      <c r="C150" s="38">
        <f t="shared" si="6"/>
        <v>0</v>
      </c>
      <c r="D150" s="39"/>
      <c r="E150" s="39"/>
      <c r="F150" s="39"/>
      <c r="G150" s="39"/>
      <c r="H150" s="40"/>
      <c r="I150" s="41"/>
      <c r="J150" s="39"/>
      <c r="K150" s="43">
        <f t="shared" si="7"/>
        <v>0</v>
      </c>
      <c r="L150" s="39"/>
      <c r="M150" s="42" t="str">
        <f t="shared" si="8"/>
        <v/>
      </c>
      <c r="N150" s="35"/>
      <c r="O150" s="35"/>
      <c r="P150" s="35"/>
      <c r="Q150" s="35"/>
      <c r="R150" s="35"/>
      <c r="S150" s="35"/>
      <c r="T150" s="35"/>
      <c r="U150" s="35"/>
      <c r="V150" s="35"/>
      <c r="W150" s="35"/>
      <c r="X150" s="35"/>
      <c r="Y150" s="35"/>
      <c r="Z150" s="35"/>
      <c r="AA150" s="35"/>
      <c r="AB150" s="35"/>
      <c r="AC150" s="35"/>
      <c r="AD150" s="35"/>
      <c r="AE150" s="35"/>
      <c r="AF150" s="35"/>
      <c r="AG150" s="35"/>
      <c r="AH150" s="35"/>
      <c r="AI150" s="35"/>
      <c r="AJ150" s="35"/>
      <c r="AK150" s="35"/>
      <c r="AL150" s="35"/>
      <c r="AM150" s="35"/>
      <c r="AN150" s="35"/>
      <c r="AO150" s="35"/>
      <c r="AP150" s="35"/>
      <c r="AQ150" s="35"/>
      <c r="AR150" s="35"/>
      <c r="AS150" s="35"/>
      <c r="AT150" s="35"/>
      <c r="AU150" s="35"/>
      <c r="AV150" s="35"/>
      <c r="AW150" s="35"/>
      <c r="AX150" s="35"/>
      <c r="AY150" s="35"/>
      <c r="AZ150" s="35"/>
      <c r="BA150" s="35"/>
      <c r="BB150" s="35"/>
      <c r="BC150" s="35"/>
      <c r="BD150" s="35"/>
      <c r="BE150" s="35"/>
      <c r="BF150" s="35"/>
      <c r="BG150" s="35"/>
      <c r="BH150" s="35"/>
      <c r="BI150" s="35"/>
      <c r="BJ150" s="35"/>
      <c r="BK150" s="35"/>
      <c r="BL150" s="35"/>
    </row>
    <row r="151" spans="1:64" ht="14">
      <c r="A151" s="36"/>
      <c r="B151" s="37"/>
      <c r="C151" s="38">
        <f t="shared" si="6"/>
        <v>0</v>
      </c>
      <c r="D151" s="39"/>
      <c r="E151" s="39"/>
      <c r="F151" s="39"/>
      <c r="G151" s="39"/>
      <c r="H151" s="40"/>
      <c r="I151" s="41"/>
      <c r="J151" s="39"/>
      <c r="K151" s="43">
        <f t="shared" si="7"/>
        <v>0</v>
      </c>
      <c r="L151" s="39"/>
      <c r="M151" s="42" t="str">
        <f t="shared" si="8"/>
        <v/>
      </c>
      <c r="N151" s="35"/>
      <c r="O151" s="35"/>
      <c r="P151" s="46"/>
      <c r="Q151" s="35"/>
      <c r="R151" s="35"/>
      <c r="S151" s="35"/>
      <c r="T151" s="35"/>
      <c r="U151" s="35"/>
      <c r="V151" s="35"/>
      <c r="W151" s="35"/>
      <c r="X151" s="35"/>
      <c r="Y151" s="35"/>
      <c r="Z151" s="35"/>
      <c r="AA151" s="35"/>
      <c r="AB151" s="35"/>
      <c r="AC151" s="35"/>
      <c r="AD151" s="35"/>
      <c r="AE151" s="35"/>
      <c r="AF151" s="35"/>
      <c r="AG151" s="35"/>
      <c r="AH151" s="35"/>
      <c r="AI151" s="35"/>
      <c r="AJ151" s="35"/>
      <c r="AK151" s="35"/>
      <c r="AL151" s="35"/>
      <c r="AM151" s="35"/>
      <c r="AN151" s="35"/>
      <c r="AO151" s="35"/>
      <c r="AP151" s="35"/>
      <c r="AQ151" s="35"/>
      <c r="AR151" s="35"/>
      <c r="AS151" s="35"/>
      <c r="AT151" s="35"/>
      <c r="AU151" s="35"/>
      <c r="AV151" s="35"/>
      <c r="AW151" s="35"/>
      <c r="AX151" s="35"/>
      <c r="AY151" s="35"/>
      <c r="AZ151" s="35"/>
      <c r="BA151" s="35"/>
      <c r="BB151" s="35"/>
      <c r="BC151" s="35"/>
      <c r="BD151" s="35"/>
      <c r="BE151" s="35"/>
      <c r="BF151" s="35"/>
      <c r="BG151" s="35"/>
      <c r="BH151" s="35"/>
      <c r="BI151" s="35"/>
      <c r="BJ151" s="35"/>
      <c r="BK151" s="35"/>
      <c r="BL151" s="35"/>
    </row>
    <row r="152" spans="1:64" ht="14">
      <c r="A152" s="36"/>
      <c r="B152" s="37"/>
      <c r="C152" s="38">
        <f t="shared" si="6"/>
        <v>0</v>
      </c>
      <c r="D152" s="39"/>
      <c r="E152" s="39"/>
      <c r="F152" s="39"/>
      <c r="G152" s="39"/>
      <c r="H152" s="40"/>
      <c r="I152" s="41"/>
      <c r="J152" s="39"/>
      <c r="K152" s="43">
        <f t="shared" si="7"/>
        <v>0</v>
      </c>
      <c r="L152" s="39"/>
      <c r="M152" s="42" t="str">
        <f t="shared" si="8"/>
        <v/>
      </c>
      <c r="N152" s="35"/>
      <c r="O152" s="35"/>
      <c r="P152" s="35"/>
      <c r="Q152" s="35"/>
      <c r="R152" s="35"/>
      <c r="S152" s="35"/>
      <c r="T152" s="35"/>
      <c r="U152" s="35"/>
      <c r="V152" s="35"/>
      <c r="W152" s="35"/>
      <c r="X152" s="35"/>
      <c r="Y152" s="35"/>
      <c r="Z152" s="35"/>
      <c r="AA152" s="35"/>
      <c r="AB152" s="35"/>
      <c r="AC152" s="35"/>
      <c r="AD152" s="35"/>
      <c r="AE152" s="35"/>
      <c r="AF152" s="35"/>
      <c r="AG152" s="35"/>
      <c r="AH152" s="35"/>
      <c r="AI152" s="35"/>
      <c r="AJ152" s="35"/>
      <c r="AK152" s="35"/>
      <c r="AL152" s="35"/>
      <c r="AM152" s="35"/>
      <c r="AN152" s="35"/>
      <c r="AO152" s="35"/>
      <c r="AP152" s="35"/>
      <c r="AQ152" s="35"/>
      <c r="AR152" s="35"/>
      <c r="AS152" s="35"/>
      <c r="AT152" s="35"/>
      <c r="AU152" s="35"/>
      <c r="AV152" s="35"/>
      <c r="AW152" s="35"/>
      <c r="AX152" s="35"/>
      <c r="AY152" s="35"/>
      <c r="AZ152" s="35"/>
      <c r="BA152" s="35"/>
      <c r="BB152" s="35"/>
      <c r="BC152" s="35"/>
      <c r="BD152" s="35"/>
      <c r="BE152" s="35"/>
      <c r="BF152" s="35"/>
      <c r="BG152" s="35"/>
      <c r="BH152" s="35"/>
      <c r="BI152" s="35"/>
      <c r="BJ152" s="35"/>
      <c r="BK152" s="35"/>
      <c r="BL152" s="35"/>
    </row>
    <row r="153" spans="1:64" ht="14">
      <c r="A153" s="36"/>
      <c r="B153" s="37"/>
      <c r="C153" s="38">
        <f t="shared" si="6"/>
        <v>0</v>
      </c>
      <c r="D153" s="39"/>
      <c r="E153" s="39"/>
      <c r="F153" s="39"/>
      <c r="G153" s="39"/>
      <c r="H153" s="40"/>
      <c r="I153" s="41"/>
      <c r="J153" s="39"/>
      <c r="K153" s="43">
        <f t="shared" si="7"/>
        <v>0</v>
      </c>
      <c r="L153" s="39"/>
      <c r="M153" s="42" t="str">
        <f t="shared" si="8"/>
        <v/>
      </c>
      <c r="N153" s="35"/>
      <c r="O153" s="35"/>
      <c r="P153" s="35"/>
      <c r="Q153" s="35"/>
      <c r="R153" s="35"/>
      <c r="S153" s="35"/>
      <c r="T153" s="35"/>
      <c r="U153" s="35"/>
      <c r="V153" s="35"/>
      <c r="W153" s="35"/>
      <c r="X153" s="35"/>
      <c r="Y153" s="35"/>
      <c r="Z153" s="35"/>
      <c r="AA153" s="35"/>
      <c r="AB153" s="35"/>
      <c r="AC153" s="35"/>
      <c r="AD153" s="35"/>
      <c r="AE153" s="35"/>
      <c r="AF153" s="35"/>
      <c r="AG153" s="35"/>
      <c r="AH153" s="35"/>
      <c r="AI153" s="35"/>
      <c r="AJ153" s="35"/>
      <c r="AK153" s="35"/>
      <c r="AL153" s="35"/>
      <c r="AM153" s="35"/>
      <c r="AN153" s="35"/>
      <c r="AO153" s="35"/>
      <c r="AP153" s="35"/>
      <c r="AQ153" s="35"/>
      <c r="AR153" s="35"/>
      <c r="AS153" s="35"/>
      <c r="AT153" s="35"/>
      <c r="AU153" s="35"/>
      <c r="AV153" s="35"/>
      <c r="AW153" s="35"/>
      <c r="AX153" s="35"/>
      <c r="AY153" s="35"/>
      <c r="AZ153" s="35"/>
      <c r="BA153" s="35"/>
      <c r="BB153" s="35"/>
      <c r="BC153" s="35"/>
      <c r="BD153" s="35"/>
      <c r="BE153" s="35"/>
      <c r="BF153" s="35"/>
      <c r="BG153" s="35"/>
      <c r="BH153" s="35"/>
      <c r="BI153" s="35"/>
      <c r="BJ153" s="35"/>
      <c r="BK153" s="35"/>
      <c r="BL153" s="35"/>
    </row>
    <row r="154" spans="1:64" ht="14">
      <c r="A154" s="36"/>
      <c r="B154" s="37"/>
      <c r="C154" s="38">
        <f t="shared" si="6"/>
        <v>0</v>
      </c>
      <c r="D154" s="39"/>
      <c r="E154" s="39"/>
      <c r="F154" s="39"/>
      <c r="G154" s="39"/>
      <c r="H154" s="40"/>
      <c r="I154" s="41"/>
      <c r="J154" s="39"/>
      <c r="K154" s="43">
        <f t="shared" si="7"/>
        <v>0</v>
      </c>
      <c r="L154" s="39"/>
      <c r="M154" s="42" t="str">
        <f t="shared" si="8"/>
        <v/>
      </c>
      <c r="N154" s="35"/>
      <c r="O154" s="35"/>
      <c r="P154" s="35"/>
      <c r="Q154" s="35"/>
      <c r="R154" s="35"/>
      <c r="S154" s="35"/>
      <c r="T154" s="35"/>
      <c r="U154" s="35"/>
      <c r="V154" s="35"/>
      <c r="W154" s="35"/>
      <c r="X154" s="35"/>
      <c r="Y154" s="35"/>
      <c r="Z154" s="35"/>
      <c r="AA154" s="35"/>
      <c r="AB154" s="35"/>
      <c r="AC154" s="35"/>
      <c r="AD154" s="35"/>
      <c r="AE154" s="35"/>
      <c r="AF154" s="35"/>
      <c r="AG154" s="35"/>
      <c r="AH154" s="35"/>
      <c r="AI154" s="35"/>
      <c r="AJ154" s="35"/>
      <c r="AK154" s="35"/>
      <c r="AL154" s="35"/>
      <c r="AM154" s="35"/>
      <c r="AN154" s="35"/>
      <c r="AO154" s="35"/>
      <c r="AP154" s="35"/>
      <c r="AQ154" s="35"/>
      <c r="AR154" s="35"/>
      <c r="AS154" s="35"/>
      <c r="AT154" s="35"/>
      <c r="AU154" s="35"/>
      <c r="AV154" s="35"/>
      <c r="AW154" s="35"/>
      <c r="AX154" s="35"/>
      <c r="AY154" s="35"/>
      <c r="AZ154" s="35"/>
      <c r="BA154" s="35"/>
      <c r="BB154" s="35"/>
      <c r="BC154" s="35"/>
      <c r="BD154" s="35"/>
      <c r="BE154" s="35"/>
      <c r="BF154" s="35"/>
      <c r="BG154" s="35"/>
      <c r="BH154" s="35"/>
      <c r="BI154" s="35"/>
      <c r="BJ154" s="35"/>
      <c r="BK154" s="35"/>
      <c r="BL154" s="35"/>
    </row>
    <row r="155" spans="1:64" ht="14">
      <c r="A155" s="36"/>
      <c r="B155" s="37"/>
      <c r="C155" s="38">
        <f t="shared" si="6"/>
        <v>0</v>
      </c>
      <c r="D155" s="39"/>
      <c r="E155" s="39"/>
      <c r="F155" s="39"/>
      <c r="G155" s="39"/>
      <c r="H155" s="40"/>
      <c r="I155" s="41"/>
      <c r="J155" s="39"/>
      <c r="K155" s="43">
        <f t="shared" si="7"/>
        <v>0</v>
      </c>
      <c r="L155" s="39"/>
      <c r="M155" s="42" t="str">
        <f t="shared" si="8"/>
        <v/>
      </c>
      <c r="N155" s="35"/>
      <c r="O155" s="35"/>
      <c r="P155" s="35"/>
      <c r="Q155" s="35"/>
      <c r="R155" s="35"/>
      <c r="S155" s="35"/>
      <c r="T155" s="35"/>
      <c r="U155" s="35"/>
      <c r="V155" s="35"/>
      <c r="W155" s="35"/>
      <c r="X155" s="35"/>
      <c r="Y155" s="35"/>
      <c r="Z155" s="35"/>
      <c r="AA155" s="35"/>
      <c r="AB155" s="35"/>
      <c r="AC155" s="35"/>
      <c r="AD155" s="35"/>
      <c r="AE155" s="35"/>
      <c r="AF155" s="35"/>
      <c r="AG155" s="35"/>
      <c r="AH155" s="35"/>
      <c r="AI155" s="35"/>
      <c r="AJ155" s="35"/>
      <c r="AK155" s="35"/>
      <c r="AL155" s="35"/>
      <c r="AM155" s="35"/>
      <c r="AN155" s="35"/>
      <c r="AO155" s="35"/>
      <c r="AP155" s="35"/>
      <c r="AQ155" s="35"/>
      <c r="AR155" s="35"/>
      <c r="AS155" s="35"/>
      <c r="AT155" s="35"/>
      <c r="AU155" s="35"/>
      <c r="AV155" s="35"/>
      <c r="AW155" s="35"/>
      <c r="AX155" s="35"/>
      <c r="AY155" s="35"/>
      <c r="AZ155" s="35"/>
      <c r="BA155" s="35"/>
      <c r="BB155" s="35"/>
      <c r="BC155" s="35"/>
      <c r="BD155" s="35"/>
      <c r="BE155" s="35"/>
      <c r="BF155" s="35"/>
      <c r="BG155" s="35"/>
      <c r="BH155" s="35"/>
      <c r="BI155" s="35"/>
      <c r="BJ155" s="35"/>
      <c r="BK155" s="35"/>
      <c r="BL155" s="35"/>
    </row>
    <row r="156" spans="1:64" ht="14">
      <c r="A156" s="36"/>
      <c r="B156" s="37"/>
      <c r="C156" s="38">
        <f t="shared" si="6"/>
        <v>0</v>
      </c>
      <c r="D156" s="39"/>
      <c r="E156" s="39"/>
      <c r="F156" s="39"/>
      <c r="G156" s="39"/>
      <c r="H156" s="40"/>
      <c r="I156" s="41"/>
      <c r="J156" s="39"/>
      <c r="K156" s="43">
        <f t="shared" si="7"/>
        <v>0</v>
      </c>
      <c r="L156" s="39"/>
      <c r="M156" s="42" t="str">
        <f t="shared" si="8"/>
        <v/>
      </c>
      <c r="N156" s="35"/>
      <c r="O156" s="35"/>
      <c r="P156" s="35"/>
      <c r="Q156" s="35"/>
      <c r="R156" s="35"/>
      <c r="S156" s="35"/>
      <c r="T156" s="35"/>
      <c r="U156" s="35"/>
      <c r="V156" s="35"/>
      <c r="W156" s="35"/>
      <c r="X156" s="35"/>
      <c r="Y156" s="35"/>
      <c r="Z156" s="35"/>
      <c r="AA156" s="35"/>
      <c r="AB156" s="35"/>
      <c r="AC156" s="35"/>
      <c r="AD156" s="35"/>
      <c r="AE156" s="35"/>
      <c r="AF156" s="35"/>
      <c r="AG156" s="35"/>
      <c r="AH156" s="35"/>
      <c r="AI156" s="35"/>
      <c r="AJ156" s="35"/>
      <c r="AK156" s="35"/>
      <c r="AL156" s="35"/>
      <c r="AM156" s="35"/>
      <c r="AN156" s="35"/>
      <c r="AO156" s="35"/>
      <c r="AP156" s="35"/>
      <c r="AQ156" s="35"/>
      <c r="AR156" s="35"/>
      <c r="AS156" s="35"/>
      <c r="AT156" s="35"/>
      <c r="AU156" s="35"/>
      <c r="AV156" s="35"/>
      <c r="AW156" s="35"/>
      <c r="AX156" s="35"/>
      <c r="AY156" s="35"/>
      <c r="AZ156" s="35"/>
      <c r="BA156" s="35"/>
      <c r="BB156" s="35"/>
      <c r="BC156" s="35"/>
      <c r="BD156" s="35"/>
      <c r="BE156" s="35"/>
      <c r="BF156" s="35"/>
      <c r="BG156" s="35"/>
      <c r="BH156" s="35"/>
      <c r="BI156" s="35"/>
      <c r="BJ156" s="35"/>
      <c r="BK156" s="35"/>
      <c r="BL156" s="35"/>
    </row>
    <row r="157" spans="1:64" ht="14">
      <c r="A157" s="36"/>
      <c r="B157" s="37"/>
      <c r="C157" s="38">
        <f t="shared" si="6"/>
        <v>0</v>
      </c>
      <c r="D157" s="39"/>
      <c r="E157" s="39"/>
      <c r="F157" s="39"/>
      <c r="G157" s="39"/>
      <c r="H157" s="40"/>
      <c r="I157" s="41"/>
      <c r="J157" s="39"/>
      <c r="K157" s="43">
        <f t="shared" si="7"/>
        <v>0</v>
      </c>
      <c r="L157" s="39"/>
      <c r="M157" s="42" t="str">
        <f t="shared" si="8"/>
        <v/>
      </c>
      <c r="N157" s="35"/>
      <c r="O157" s="35"/>
      <c r="P157" s="35"/>
      <c r="Q157" s="35"/>
      <c r="R157" s="35"/>
      <c r="S157" s="35"/>
      <c r="T157" s="35"/>
      <c r="U157" s="35"/>
      <c r="V157" s="35"/>
      <c r="W157" s="35"/>
      <c r="X157" s="35"/>
      <c r="Y157" s="35"/>
      <c r="Z157" s="35"/>
      <c r="AA157" s="35"/>
      <c r="AB157" s="35"/>
      <c r="AC157" s="35"/>
      <c r="AD157" s="35"/>
      <c r="AE157" s="35"/>
      <c r="AF157" s="35"/>
      <c r="AG157" s="35"/>
      <c r="AH157" s="35"/>
      <c r="AI157" s="35"/>
      <c r="AJ157" s="35"/>
      <c r="AK157" s="35"/>
      <c r="AL157" s="35"/>
      <c r="AM157" s="35"/>
      <c r="AN157" s="35"/>
      <c r="AO157" s="35"/>
      <c r="AP157" s="35"/>
      <c r="AQ157" s="35"/>
      <c r="AR157" s="35"/>
      <c r="AS157" s="35"/>
      <c r="AT157" s="35"/>
      <c r="AU157" s="35"/>
      <c r="AV157" s="35"/>
      <c r="AW157" s="35"/>
      <c r="AX157" s="35"/>
      <c r="AY157" s="35"/>
      <c r="AZ157" s="35"/>
      <c r="BA157" s="35"/>
      <c r="BB157" s="35"/>
      <c r="BC157" s="35"/>
      <c r="BD157" s="35"/>
      <c r="BE157" s="35"/>
      <c r="BF157" s="35"/>
      <c r="BG157" s="35"/>
      <c r="BH157" s="35"/>
      <c r="BI157" s="35"/>
      <c r="BJ157" s="35"/>
      <c r="BK157" s="35"/>
      <c r="BL157" s="35"/>
    </row>
    <row r="158" spans="1:64" ht="14">
      <c r="A158" s="36"/>
      <c r="B158" s="37"/>
      <c r="C158" s="38">
        <f t="shared" si="6"/>
        <v>0</v>
      </c>
      <c r="D158" s="39"/>
      <c r="E158" s="39"/>
      <c r="F158" s="39"/>
      <c r="G158" s="39"/>
      <c r="H158" s="40"/>
      <c r="I158" s="41"/>
      <c r="J158" s="39"/>
      <c r="K158" s="43">
        <f t="shared" si="7"/>
        <v>0</v>
      </c>
      <c r="L158" s="39"/>
      <c r="M158" s="42" t="str">
        <f t="shared" si="8"/>
        <v/>
      </c>
      <c r="N158" s="35"/>
      <c r="O158" s="35"/>
      <c r="P158" s="35"/>
      <c r="Q158" s="35"/>
      <c r="R158" s="35"/>
      <c r="S158" s="35"/>
      <c r="T158" s="35"/>
      <c r="U158" s="35"/>
      <c r="V158" s="35"/>
      <c r="W158" s="35"/>
      <c r="X158" s="35"/>
      <c r="Y158" s="35"/>
      <c r="Z158" s="35"/>
      <c r="AA158" s="35"/>
      <c r="AB158" s="35"/>
      <c r="AC158" s="35"/>
      <c r="AD158" s="35"/>
      <c r="AE158" s="35"/>
      <c r="AF158" s="35"/>
      <c r="AG158" s="35"/>
      <c r="AH158" s="35"/>
      <c r="AI158" s="35"/>
      <c r="AJ158" s="35"/>
      <c r="AK158" s="35"/>
      <c r="AL158" s="35"/>
      <c r="AM158" s="35"/>
      <c r="AN158" s="35"/>
      <c r="AO158" s="35"/>
      <c r="AP158" s="35"/>
      <c r="AQ158" s="35"/>
      <c r="AR158" s="35"/>
      <c r="AS158" s="35"/>
      <c r="AT158" s="35"/>
      <c r="AU158" s="35"/>
      <c r="AV158" s="35"/>
      <c r="AW158" s="35"/>
      <c r="AX158" s="35"/>
      <c r="AY158" s="35"/>
      <c r="AZ158" s="35"/>
      <c r="BA158" s="35"/>
      <c r="BB158" s="35"/>
      <c r="BC158" s="35"/>
      <c r="BD158" s="35"/>
      <c r="BE158" s="35"/>
      <c r="BF158" s="35"/>
      <c r="BG158" s="35"/>
      <c r="BH158" s="35"/>
      <c r="BI158" s="35"/>
      <c r="BJ158" s="35"/>
      <c r="BK158" s="35"/>
      <c r="BL158" s="35"/>
    </row>
    <row r="159" spans="1:64" ht="14">
      <c r="A159" s="36"/>
      <c r="B159" s="37"/>
      <c r="C159" s="38">
        <f t="shared" si="6"/>
        <v>0</v>
      </c>
      <c r="D159" s="39"/>
      <c r="E159" s="39"/>
      <c r="F159" s="39"/>
      <c r="G159" s="39"/>
      <c r="H159" s="40"/>
      <c r="I159" s="41"/>
      <c r="J159" s="39"/>
      <c r="K159" s="43">
        <f t="shared" si="7"/>
        <v>0</v>
      </c>
      <c r="L159" s="39"/>
      <c r="M159" s="42" t="str">
        <f t="shared" si="8"/>
        <v/>
      </c>
      <c r="N159" s="35"/>
      <c r="O159" s="35"/>
      <c r="P159" s="35"/>
      <c r="Q159" s="35"/>
      <c r="R159" s="35"/>
      <c r="S159" s="35"/>
      <c r="T159" s="35"/>
      <c r="U159" s="35"/>
      <c r="V159" s="35"/>
      <c r="W159" s="35"/>
      <c r="X159" s="35"/>
      <c r="Y159" s="35"/>
      <c r="Z159" s="35"/>
      <c r="AA159" s="35"/>
      <c r="AB159" s="35"/>
      <c r="AC159" s="35"/>
      <c r="AD159" s="35"/>
      <c r="AE159" s="35"/>
      <c r="AF159" s="35"/>
      <c r="AG159" s="35"/>
      <c r="AH159" s="35"/>
      <c r="AI159" s="35"/>
      <c r="AJ159" s="35"/>
      <c r="AK159" s="35"/>
      <c r="AL159" s="35"/>
      <c r="AM159" s="35"/>
      <c r="AN159" s="35"/>
      <c r="AO159" s="35"/>
      <c r="AP159" s="35"/>
      <c r="AQ159" s="35"/>
      <c r="AR159" s="35"/>
      <c r="AS159" s="35"/>
      <c r="AT159" s="35"/>
      <c r="AU159" s="35"/>
      <c r="AV159" s="35"/>
      <c r="AW159" s="35"/>
      <c r="AX159" s="35"/>
      <c r="AY159" s="35"/>
      <c r="AZ159" s="35"/>
      <c r="BA159" s="35"/>
      <c r="BB159" s="35"/>
      <c r="BC159" s="35"/>
      <c r="BD159" s="35"/>
      <c r="BE159" s="35"/>
      <c r="BF159" s="35"/>
      <c r="BG159" s="35"/>
      <c r="BH159" s="35"/>
      <c r="BI159" s="35"/>
      <c r="BJ159" s="35"/>
      <c r="BK159" s="35"/>
      <c r="BL159" s="35"/>
    </row>
    <row r="160" spans="1:64" ht="14">
      <c r="A160" s="36"/>
      <c r="B160" s="37"/>
      <c r="C160" s="38">
        <f t="shared" si="6"/>
        <v>0</v>
      </c>
      <c r="D160" s="39"/>
      <c r="E160" s="39"/>
      <c r="F160" s="39"/>
      <c r="G160" s="39"/>
      <c r="H160" s="40"/>
      <c r="I160" s="41"/>
      <c r="J160" s="39"/>
      <c r="K160" s="43">
        <f t="shared" si="7"/>
        <v>0</v>
      </c>
      <c r="L160" s="39"/>
      <c r="M160" s="42" t="str">
        <f t="shared" si="8"/>
        <v/>
      </c>
      <c r="N160" s="35"/>
      <c r="O160" s="35"/>
      <c r="P160" s="35"/>
      <c r="Q160" s="35"/>
      <c r="R160" s="35"/>
      <c r="S160" s="35"/>
      <c r="T160" s="35"/>
      <c r="U160" s="35"/>
      <c r="V160" s="35"/>
      <c r="W160" s="35"/>
      <c r="X160" s="35"/>
      <c r="Y160" s="35"/>
      <c r="Z160" s="35"/>
      <c r="AA160" s="35"/>
      <c r="AB160" s="35"/>
      <c r="AC160" s="35"/>
      <c r="AD160" s="35"/>
      <c r="AE160" s="35"/>
      <c r="AF160" s="35"/>
      <c r="AG160" s="35"/>
      <c r="AH160" s="35"/>
      <c r="AI160" s="35"/>
      <c r="AJ160" s="35"/>
      <c r="AK160" s="35"/>
      <c r="AL160" s="35"/>
      <c r="AM160" s="35"/>
      <c r="AN160" s="35"/>
      <c r="AO160" s="35"/>
      <c r="AP160" s="35"/>
      <c r="AQ160" s="35"/>
      <c r="AR160" s="35"/>
      <c r="AS160" s="35"/>
      <c r="AT160" s="35"/>
      <c r="AU160" s="35"/>
      <c r="AV160" s="35"/>
      <c r="AW160" s="35"/>
      <c r="AX160" s="35"/>
      <c r="AY160" s="35"/>
      <c r="AZ160" s="35"/>
      <c r="BA160" s="35"/>
      <c r="BB160" s="35"/>
      <c r="BC160" s="35"/>
      <c r="BD160" s="35"/>
      <c r="BE160" s="35"/>
      <c r="BF160" s="35"/>
      <c r="BG160" s="35"/>
      <c r="BH160" s="35"/>
      <c r="BI160" s="35"/>
      <c r="BJ160" s="35"/>
      <c r="BK160" s="35"/>
      <c r="BL160" s="35"/>
    </row>
    <row r="161" spans="1:64" ht="14">
      <c r="A161" s="36"/>
      <c r="B161" s="37"/>
      <c r="C161" s="38">
        <f t="shared" si="6"/>
        <v>0</v>
      </c>
      <c r="D161" s="39"/>
      <c r="E161" s="39"/>
      <c r="F161" s="39"/>
      <c r="G161" s="39"/>
      <c r="H161" s="40"/>
      <c r="I161" s="41"/>
      <c r="J161" s="39"/>
      <c r="K161" s="43">
        <f t="shared" si="7"/>
        <v>0</v>
      </c>
      <c r="L161" s="39"/>
      <c r="M161" s="42" t="str">
        <f t="shared" si="8"/>
        <v/>
      </c>
      <c r="N161" s="35"/>
      <c r="O161" s="35"/>
      <c r="P161" s="35"/>
      <c r="Q161" s="35"/>
      <c r="R161" s="35"/>
      <c r="S161" s="35"/>
      <c r="T161" s="35"/>
      <c r="U161" s="35"/>
      <c r="V161" s="35"/>
      <c r="W161" s="35"/>
      <c r="X161" s="35"/>
      <c r="Y161" s="35"/>
      <c r="Z161" s="35"/>
      <c r="AA161" s="35"/>
      <c r="AB161" s="35"/>
      <c r="AC161" s="35"/>
      <c r="AD161" s="35"/>
      <c r="AE161" s="35"/>
      <c r="AF161" s="35"/>
      <c r="AG161" s="35"/>
      <c r="AH161" s="35"/>
      <c r="AI161" s="35"/>
      <c r="AJ161" s="35"/>
      <c r="AK161" s="35"/>
      <c r="AL161" s="35"/>
      <c r="AM161" s="35"/>
      <c r="AN161" s="35"/>
      <c r="AO161" s="35"/>
      <c r="AP161" s="35"/>
      <c r="AQ161" s="35"/>
      <c r="AR161" s="35"/>
      <c r="AS161" s="35"/>
      <c r="AT161" s="35"/>
      <c r="AU161" s="35"/>
      <c r="AV161" s="35"/>
      <c r="AW161" s="35"/>
      <c r="AX161" s="35"/>
      <c r="AY161" s="35"/>
      <c r="AZ161" s="35"/>
      <c r="BA161" s="35"/>
      <c r="BB161" s="35"/>
      <c r="BC161" s="35"/>
      <c r="BD161" s="35"/>
      <c r="BE161" s="35"/>
      <c r="BF161" s="35"/>
      <c r="BG161" s="35"/>
      <c r="BH161" s="35"/>
      <c r="BI161" s="35"/>
      <c r="BJ161" s="35"/>
      <c r="BK161" s="35"/>
      <c r="BL161" s="35"/>
    </row>
    <row r="162" spans="1:64" ht="14">
      <c r="A162" s="36"/>
      <c r="B162" s="37"/>
      <c r="C162" s="38">
        <f t="shared" si="6"/>
        <v>0</v>
      </c>
      <c r="D162" s="39"/>
      <c r="E162" s="39"/>
      <c r="F162" s="39"/>
      <c r="G162" s="39"/>
      <c r="H162" s="40"/>
      <c r="I162" s="41"/>
      <c r="J162" s="39"/>
      <c r="K162" s="43">
        <f t="shared" si="7"/>
        <v>0</v>
      </c>
      <c r="L162" s="39"/>
      <c r="M162" s="42" t="str">
        <f t="shared" si="8"/>
        <v/>
      </c>
      <c r="N162" s="35"/>
      <c r="O162" s="35"/>
      <c r="P162" s="35"/>
      <c r="Q162" s="35"/>
      <c r="R162" s="35"/>
      <c r="S162" s="35"/>
      <c r="T162" s="35"/>
      <c r="U162" s="35"/>
      <c r="V162" s="35"/>
      <c r="W162" s="35"/>
      <c r="X162" s="35"/>
      <c r="Y162" s="35"/>
      <c r="Z162" s="35"/>
      <c r="AA162" s="35"/>
      <c r="AB162" s="35"/>
      <c r="AC162" s="35"/>
      <c r="AD162" s="35"/>
      <c r="AE162" s="35"/>
      <c r="AF162" s="35"/>
      <c r="AG162" s="35"/>
      <c r="AH162" s="35"/>
      <c r="AI162" s="35"/>
      <c r="AJ162" s="35"/>
      <c r="AK162" s="35"/>
      <c r="AL162" s="35"/>
      <c r="AM162" s="35"/>
      <c r="AN162" s="35"/>
      <c r="AO162" s="35"/>
      <c r="AP162" s="35"/>
      <c r="AQ162" s="35"/>
      <c r="AR162" s="35"/>
      <c r="AS162" s="35"/>
      <c r="AT162" s="35"/>
      <c r="AU162" s="35"/>
      <c r="AV162" s="35"/>
      <c r="AW162" s="35"/>
      <c r="AX162" s="35"/>
      <c r="AY162" s="35"/>
      <c r="AZ162" s="35"/>
      <c r="BA162" s="35"/>
      <c r="BB162" s="35"/>
      <c r="BC162" s="35"/>
      <c r="BD162" s="35"/>
      <c r="BE162" s="35"/>
      <c r="BF162" s="35"/>
      <c r="BG162" s="35"/>
      <c r="BH162" s="35"/>
      <c r="BI162" s="35"/>
      <c r="BJ162" s="35"/>
      <c r="BK162" s="35"/>
      <c r="BL162" s="35"/>
    </row>
    <row r="163" spans="1:64" ht="14">
      <c r="A163" s="36"/>
      <c r="B163" s="37"/>
      <c r="C163" s="38">
        <f t="shared" si="6"/>
        <v>0</v>
      </c>
      <c r="D163" s="39"/>
      <c r="E163" s="39"/>
      <c r="F163" s="39"/>
      <c r="G163" s="39"/>
      <c r="H163" s="40"/>
      <c r="I163" s="41"/>
      <c r="J163" s="39"/>
      <c r="K163" s="43">
        <f t="shared" si="7"/>
        <v>0</v>
      </c>
      <c r="L163" s="39"/>
      <c r="M163" s="42" t="str">
        <f t="shared" si="8"/>
        <v/>
      </c>
      <c r="N163" s="35"/>
      <c r="O163" s="35"/>
      <c r="P163" s="35"/>
      <c r="Q163" s="35"/>
      <c r="R163" s="35"/>
      <c r="S163" s="35"/>
      <c r="T163" s="35"/>
      <c r="U163" s="35"/>
      <c r="V163" s="35"/>
      <c r="W163" s="35"/>
      <c r="X163" s="35"/>
      <c r="Y163" s="35"/>
      <c r="Z163" s="35"/>
      <c r="AA163" s="35"/>
      <c r="AB163" s="35"/>
      <c r="AC163" s="35"/>
      <c r="AD163" s="35"/>
      <c r="AE163" s="35"/>
      <c r="AF163" s="35"/>
      <c r="AG163" s="35"/>
      <c r="AH163" s="35"/>
      <c r="AI163" s="35"/>
      <c r="AJ163" s="35"/>
      <c r="AK163" s="35"/>
      <c r="AL163" s="35"/>
      <c r="AM163" s="35"/>
      <c r="AN163" s="35"/>
      <c r="AO163" s="35"/>
      <c r="AP163" s="35"/>
      <c r="AQ163" s="35"/>
      <c r="AR163" s="35"/>
      <c r="AS163" s="35"/>
      <c r="AT163" s="35"/>
      <c r="AU163" s="35"/>
      <c r="AV163" s="35"/>
      <c r="AW163" s="35"/>
      <c r="AX163" s="35"/>
      <c r="AY163" s="35"/>
      <c r="AZ163" s="35"/>
      <c r="BA163" s="35"/>
      <c r="BB163" s="35"/>
      <c r="BC163" s="35"/>
      <c r="BD163" s="35"/>
      <c r="BE163" s="35"/>
      <c r="BF163" s="35"/>
      <c r="BG163" s="35"/>
      <c r="BH163" s="35"/>
      <c r="BI163" s="35"/>
      <c r="BJ163" s="35"/>
      <c r="BK163" s="35"/>
      <c r="BL163" s="35"/>
    </row>
    <row r="164" spans="1:64" ht="14">
      <c r="A164" s="36"/>
      <c r="B164" s="37"/>
      <c r="C164" s="38">
        <f t="shared" si="6"/>
        <v>0</v>
      </c>
      <c r="D164" s="39"/>
      <c r="E164" s="39"/>
      <c r="F164" s="39"/>
      <c r="G164" s="39"/>
      <c r="H164" s="40"/>
      <c r="I164" s="41"/>
      <c r="J164" s="39"/>
      <c r="K164" s="43">
        <f t="shared" si="7"/>
        <v>0</v>
      </c>
      <c r="L164" s="39"/>
      <c r="M164" s="42" t="str">
        <f t="shared" si="8"/>
        <v/>
      </c>
      <c r="N164" s="35"/>
      <c r="O164" s="35"/>
      <c r="P164" s="35"/>
      <c r="Q164" s="35"/>
      <c r="R164" s="35"/>
      <c r="S164" s="35"/>
      <c r="T164" s="35"/>
      <c r="U164" s="35"/>
      <c r="V164" s="35"/>
      <c r="W164" s="35"/>
      <c r="X164" s="35"/>
      <c r="Y164" s="35"/>
      <c r="Z164" s="35"/>
      <c r="AA164" s="35"/>
      <c r="AB164" s="35"/>
      <c r="AC164" s="35"/>
      <c r="AD164" s="35"/>
      <c r="AE164" s="35"/>
      <c r="AF164" s="35"/>
      <c r="AG164" s="35"/>
      <c r="AH164" s="35"/>
      <c r="AI164" s="35"/>
      <c r="AJ164" s="35"/>
      <c r="AK164" s="35"/>
      <c r="AL164" s="35"/>
      <c r="AM164" s="35"/>
      <c r="AN164" s="35"/>
      <c r="AO164" s="35"/>
      <c r="AP164" s="35"/>
      <c r="AQ164" s="35"/>
      <c r="AR164" s="35"/>
      <c r="AS164" s="35"/>
      <c r="AT164" s="35"/>
      <c r="AU164" s="35"/>
      <c r="AV164" s="35"/>
      <c r="AW164" s="35"/>
      <c r="AX164" s="35"/>
      <c r="AY164" s="35"/>
      <c r="AZ164" s="35"/>
      <c r="BA164" s="35"/>
      <c r="BB164" s="35"/>
      <c r="BC164" s="35"/>
      <c r="BD164" s="35"/>
      <c r="BE164" s="35"/>
      <c r="BF164" s="35"/>
      <c r="BG164" s="35"/>
      <c r="BH164" s="35"/>
      <c r="BI164" s="35"/>
      <c r="BJ164" s="35"/>
      <c r="BK164" s="35"/>
      <c r="BL164" s="35"/>
    </row>
    <row r="165" spans="1:64" ht="14">
      <c r="A165" s="36"/>
      <c r="B165" s="37"/>
      <c r="C165" s="38">
        <f t="shared" si="6"/>
        <v>0</v>
      </c>
      <c r="D165" s="39"/>
      <c r="E165" s="39"/>
      <c r="F165" s="39"/>
      <c r="G165" s="39"/>
      <c r="H165" s="40"/>
      <c r="I165" s="41"/>
      <c r="J165" s="39"/>
      <c r="K165" s="43">
        <f t="shared" si="7"/>
        <v>0</v>
      </c>
      <c r="L165" s="39"/>
      <c r="M165" s="42" t="str">
        <f t="shared" si="8"/>
        <v/>
      </c>
      <c r="N165" s="35"/>
      <c r="O165" s="35"/>
      <c r="P165" s="35"/>
      <c r="Q165" s="35"/>
      <c r="R165" s="35"/>
      <c r="S165" s="35"/>
      <c r="T165" s="35"/>
      <c r="U165" s="35"/>
      <c r="V165" s="35"/>
      <c r="W165" s="35"/>
      <c r="X165" s="35"/>
      <c r="Y165" s="35"/>
      <c r="Z165" s="35"/>
      <c r="AA165" s="35"/>
      <c r="AB165" s="35"/>
      <c r="AC165" s="35"/>
      <c r="AD165" s="35"/>
      <c r="AE165" s="35"/>
      <c r="AF165" s="35"/>
      <c r="AG165" s="35"/>
      <c r="AH165" s="35"/>
      <c r="AI165" s="35"/>
      <c r="AJ165" s="35"/>
      <c r="AK165" s="35"/>
      <c r="AL165" s="35"/>
      <c r="AM165" s="35"/>
      <c r="AN165" s="35"/>
      <c r="AO165" s="35"/>
      <c r="AP165" s="35"/>
      <c r="AQ165" s="35"/>
      <c r="AR165" s="35"/>
      <c r="AS165" s="35"/>
      <c r="AT165" s="35"/>
      <c r="AU165" s="35"/>
      <c r="AV165" s="35"/>
      <c r="AW165" s="35"/>
      <c r="AX165" s="35"/>
      <c r="AY165" s="35"/>
      <c r="AZ165" s="35"/>
      <c r="BA165" s="35"/>
      <c r="BB165" s="35"/>
      <c r="BC165" s="35"/>
      <c r="BD165" s="35"/>
      <c r="BE165" s="35"/>
      <c r="BF165" s="35"/>
      <c r="BG165" s="35"/>
      <c r="BH165" s="35"/>
      <c r="BI165" s="35"/>
      <c r="BJ165" s="35"/>
      <c r="BK165" s="35"/>
      <c r="BL165" s="35"/>
    </row>
    <row r="166" spans="1:64" ht="14">
      <c r="A166" s="36"/>
      <c r="B166" s="37"/>
      <c r="C166" s="38">
        <f t="shared" si="6"/>
        <v>0</v>
      </c>
      <c r="D166" s="39"/>
      <c r="E166" s="39"/>
      <c r="F166" s="39"/>
      <c r="G166" s="39"/>
      <c r="H166" s="40"/>
      <c r="I166" s="41"/>
      <c r="J166" s="39"/>
      <c r="K166" s="43">
        <f t="shared" si="7"/>
        <v>0</v>
      </c>
      <c r="L166" s="39"/>
      <c r="M166" s="42" t="str">
        <f t="shared" si="8"/>
        <v/>
      </c>
      <c r="N166" s="35"/>
      <c r="O166" s="35"/>
      <c r="P166" s="35"/>
      <c r="Q166" s="35"/>
      <c r="R166" s="35"/>
      <c r="S166" s="35"/>
      <c r="T166" s="35"/>
      <c r="U166" s="35"/>
      <c r="V166" s="35"/>
      <c r="W166" s="35"/>
      <c r="X166" s="35"/>
      <c r="Y166" s="35"/>
      <c r="Z166" s="35"/>
      <c r="AA166" s="35"/>
      <c r="AB166" s="35"/>
      <c r="AC166" s="35"/>
      <c r="AD166" s="35"/>
      <c r="AE166" s="35"/>
      <c r="AF166" s="35"/>
      <c r="AG166" s="35"/>
      <c r="AH166" s="35"/>
      <c r="AI166" s="35"/>
      <c r="AJ166" s="35"/>
      <c r="AK166" s="35"/>
      <c r="AL166" s="35"/>
      <c r="AM166" s="35"/>
      <c r="AN166" s="35"/>
      <c r="AO166" s="35"/>
      <c r="AP166" s="35"/>
      <c r="AQ166" s="35"/>
      <c r="AR166" s="35"/>
      <c r="AS166" s="35"/>
      <c r="AT166" s="35"/>
      <c r="AU166" s="35"/>
      <c r="AV166" s="35"/>
      <c r="AW166" s="35"/>
      <c r="AX166" s="35"/>
      <c r="AY166" s="35"/>
      <c r="AZ166" s="35"/>
      <c r="BA166" s="35"/>
      <c r="BB166" s="35"/>
      <c r="BC166" s="35"/>
      <c r="BD166" s="35"/>
      <c r="BE166" s="35"/>
      <c r="BF166" s="35"/>
      <c r="BG166" s="35"/>
      <c r="BH166" s="35"/>
      <c r="BI166" s="35"/>
      <c r="BJ166" s="35"/>
      <c r="BK166" s="35"/>
      <c r="BL166" s="35"/>
    </row>
    <row r="167" spans="1:64" ht="14">
      <c r="A167" s="36"/>
      <c r="B167" s="37"/>
      <c r="C167" s="38">
        <f t="shared" si="6"/>
        <v>0</v>
      </c>
      <c r="D167" s="39"/>
      <c r="E167" s="39"/>
      <c r="F167" s="39"/>
      <c r="G167" s="39"/>
      <c r="H167" s="40"/>
      <c r="I167" s="41"/>
      <c r="J167" s="39"/>
      <c r="K167" s="43">
        <f t="shared" si="7"/>
        <v>0</v>
      </c>
      <c r="L167" s="39"/>
      <c r="M167" s="42" t="str">
        <f t="shared" si="8"/>
        <v/>
      </c>
      <c r="N167" s="35"/>
      <c r="O167" s="35"/>
      <c r="P167" s="35"/>
      <c r="Q167" s="35"/>
      <c r="R167" s="35"/>
      <c r="S167" s="35"/>
      <c r="T167" s="35"/>
      <c r="U167" s="35"/>
      <c r="V167" s="35"/>
      <c r="W167" s="35"/>
      <c r="X167" s="35"/>
      <c r="Y167" s="35"/>
      <c r="Z167" s="35"/>
      <c r="AA167" s="35"/>
      <c r="AB167" s="35"/>
      <c r="AC167" s="35"/>
      <c r="AD167" s="35"/>
      <c r="AE167" s="35"/>
      <c r="AF167" s="35"/>
      <c r="AG167" s="35"/>
      <c r="AH167" s="35"/>
      <c r="AI167" s="35"/>
      <c r="AJ167" s="35"/>
      <c r="AK167" s="35"/>
      <c r="AL167" s="35"/>
      <c r="AM167" s="35"/>
      <c r="AN167" s="35"/>
      <c r="AO167" s="35"/>
      <c r="AP167" s="35"/>
      <c r="AQ167" s="35"/>
      <c r="AR167" s="35"/>
      <c r="AS167" s="35"/>
      <c r="AT167" s="35"/>
      <c r="AU167" s="35"/>
      <c r="AV167" s="35"/>
      <c r="AW167" s="35"/>
      <c r="AX167" s="35"/>
      <c r="AY167" s="35"/>
      <c r="AZ167" s="35"/>
      <c r="BA167" s="35"/>
      <c r="BB167" s="35"/>
      <c r="BC167" s="35"/>
      <c r="BD167" s="35"/>
      <c r="BE167" s="35"/>
      <c r="BF167" s="35"/>
      <c r="BG167" s="35"/>
      <c r="BH167" s="35"/>
      <c r="BI167" s="35"/>
      <c r="BJ167" s="35"/>
      <c r="BK167" s="35"/>
      <c r="BL167" s="35"/>
    </row>
    <row r="168" spans="1:64" ht="14">
      <c r="A168" s="36"/>
      <c r="B168" s="37"/>
      <c r="C168" s="38">
        <f t="shared" si="6"/>
        <v>0</v>
      </c>
      <c r="D168" s="39"/>
      <c r="E168" s="39"/>
      <c r="F168" s="39"/>
      <c r="G168" s="39"/>
      <c r="H168" s="40"/>
      <c r="I168" s="41"/>
      <c r="J168" s="39"/>
      <c r="K168" s="43">
        <f t="shared" si="7"/>
        <v>0</v>
      </c>
      <c r="L168" s="39"/>
      <c r="M168" s="42" t="str">
        <f t="shared" si="8"/>
        <v/>
      </c>
      <c r="N168" s="35"/>
      <c r="O168" s="35"/>
      <c r="P168" s="35"/>
      <c r="Q168" s="35"/>
      <c r="R168" s="35"/>
      <c r="S168" s="35"/>
      <c r="T168" s="35"/>
      <c r="U168" s="35"/>
      <c r="V168" s="35"/>
      <c r="W168" s="35"/>
      <c r="X168" s="35"/>
      <c r="Y168" s="35"/>
      <c r="Z168" s="35"/>
      <c r="AA168" s="35"/>
      <c r="AB168" s="35"/>
      <c r="AC168" s="35"/>
      <c r="AD168" s="35"/>
      <c r="AE168" s="35"/>
      <c r="AF168" s="35"/>
      <c r="AG168" s="35"/>
      <c r="AH168" s="35"/>
      <c r="AI168" s="35"/>
      <c r="AJ168" s="35"/>
      <c r="AK168" s="35"/>
      <c r="AL168" s="35"/>
      <c r="AM168" s="35"/>
      <c r="AN168" s="35"/>
      <c r="AO168" s="35"/>
      <c r="AP168" s="35"/>
      <c r="AQ168" s="35"/>
      <c r="AR168" s="35"/>
      <c r="AS168" s="35"/>
      <c r="AT168" s="35"/>
      <c r="AU168" s="35"/>
      <c r="AV168" s="35"/>
      <c r="AW168" s="35"/>
      <c r="AX168" s="35"/>
      <c r="AY168" s="35"/>
      <c r="AZ168" s="35"/>
      <c r="BA168" s="35"/>
      <c r="BB168" s="35"/>
      <c r="BC168" s="35"/>
      <c r="BD168" s="35"/>
      <c r="BE168" s="35"/>
      <c r="BF168" s="35"/>
      <c r="BG168" s="35"/>
      <c r="BH168" s="35"/>
      <c r="BI168" s="35"/>
      <c r="BJ168" s="35"/>
      <c r="BK168" s="35"/>
      <c r="BL168" s="35"/>
    </row>
    <row r="169" spans="1:64" ht="14">
      <c r="A169" s="36"/>
      <c r="B169" s="37"/>
      <c r="C169" s="38">
        <f t="shared" si="6"/>
        <v>0</v>
      </c>
      <c r="D169" s="39"/>
      <c r="E169" s="39"/>
      <c r="F169" s="39"/>
      <c r="G169" s="39"/>
      <c r="H169" s="40"/>
      <c r="I169" s="41"/>
      <c r="J169" s="39"/>
      <c r="K169" s="43">
        <f t="shared" si="7"/>
        <v>0</v>
      </c>
      <c r="L169" s="39"/>
      <c r="M169" s="42" t="str">
        <f t="shared" si="8"/>
        <v/>
      </c>
      <c r="N169" s="35"/>
      <c r="O169" s="35"/>
      <c r="P169" s="35"/>
      <c r="Q169" s="35"/>
      <c r="R169" s="35"/>
      <c r="S169" s="35"/>
      <c r="T169" s="35"/>
      <c r="U169" s="35"/>
      <c r="V169" s="35"/>
      <c r="W169" s="35"/>
      <c r="X169" s="35"/>
      <c r="Y169" s="35"/>
      <c r="Z169" s="35"/>
      <c r="AA169" s="35"/>
      <c r="AB169" s="35"/>
      <c r="AC169" s="35"/>
      <c r="AD169" s="35"/>
      <c r="AE169" s="35"/>
      <c r="AF169" s="35"/>
      <c r="AG169" s="35"/>
      <c r="AH169" s="35"/>
      <c r="AI169" s="35"/>
      <c r="AJ169" s="35"/>
      <c r="AK169" s="35"/>
      <c r="AL169" s="35"/>
      <c r="AM169" s="35"/>
      <c r="AN169" s="35"/>
      <c r="AO169" s="35"/>
      <c r="AP169" s="35"/>
      <c r="AQ169" s="35"/>
      <c r="AR169" s="35"/>
      <c r="AS169" s="35"/>
      <c r="AT169" s="35"/>
      <c r="AU169" s="35"/>
      <c r="AV169" s="35"/>
      <c r="AW169" s="35"/>
      <c r="AX169" s="35"/>
      <c r="AY169" s="35"/>
      <c r="AZ169" s="35"/>
      <c r="BA169" s="35"/>
      <c r="BB169" s="35"/>
      <c r="BC169" s="35"/>
      <c r="BD169" s="35"/>
      <c r="BE169" s="35"/>
      <c r="BF169" s="35"/>
      <c r="BG169" s="35"/>
      <c r="BH169" s="35"/>
      <c r="BI169" s="35"/>
      <c r="BJ169" s="35"/>
      <c r="BK169" s="35"/>
      <c r="BL169" s="35"/>
    </row>
    <row r="170" spans="1:64" ht="14">
      <c r="A170" s="36"/>
      <c r="B170" s="37"/>
      <c r="C170" s="38">
        <f t="shared" si="6"/>
        <v>0</v>
      </c>
      <c r="D170" s="39"/>
      <c r="E170" s="39"/>
      <c r="F170" s="39"/>
      <c r="G170" s="39"/>
      <c r="H170" s="40"/>
      <c r="I170" s="41"/>
      <c r="J170" s="39"/>
      <c r="K170" s="43">
        <f t="shared" si="7"/>
        <v>0</v>
      </c>
      <c r="L170" s="39"/>
      <c r="M170" s="42" t="str">
        <f t="shared" si="8"/>
        <v/>
      </c>
      <c r="N170" s="35"/>
      <c r="O170" s="35"/>
      <c r="P170" s="35"/>
      <c r="Q170" s="35"/>
      <c r="R170" s="35"/>
      <c r="S170" s="35"/>
      <c r="T170" s="35"/>
      <c r="U170" s="35"/>
      <c r="V170" s="35"/>
      <c r="W170" s="35"/>
      <c r="X170" s="35"/>
      <c r="Y170" s="35"/>
      <c r="Z170" s="35"/>
      <c r="AA170" s="35"/>
      <c r="AB170" s="35"/>
      <c r="AC170" s="35"/>
      <c r="AD170" s="35"/>
      <c r="AE170" s="35"/>
      <c r="AF170" s="35"/>
      <c r="AG170" s="35"/>
      <c r="AH170" s="35"/>
      <c r="AI170" s="35"/>
      <c r="AJ170" s="35"/>
      <c r="AK170" s="35"/>
      <c r="AL170" s="35"/>
      <c r="AM170" s="35"/>
      <c r="AN170" s="35"/>
      <c r="AO170" s="35"/>
      <c r="AP170" s="35"/>
      <c r="AQ170" s="35"/>
      <c r="AR170" s="35"/>
      <c r="AS170" s="35"/>
      <c r="AT170" s="35"/>
      <c r="AU170" s="35"/>
      <c r="AV170" s="35"/>
      <c r="AW170" s="35"/>
      <c r="AX170" s="35"/>
      <c r="AY170" s="35"/>
      <c r="AZ170" s="35"/>
      <c r="BA170" s="35"/>
      <c r="BB170" s="35"/>
      <c r="BC170" s="35"/>
      <c r="BD170" s="35"/>
      <c r="BE170" s="35"/>
      <c r="BF170" s="35"/>
      <c r="BG170" s="35"/>
      <c r="BH170" s="35"/>
      <c r="BI170" s="35"/>
      <c r="BJ170" s="35"/>
      <c r="BK170" s="35"/>
      <c r="BL170" s="35"/>
    </row>
    <row r="171" spans="1:64" ht="14">
      <c r="A171" s="36"/>
      <c r="B171" s="37"/>
      <c r="C171" s="38">
        <f t="shared" si="6"/>
        <v>0</v>
      </c>
      <c r="D171" s="39"/>
      <c r="E171" s="39"/>
      <c r="F171" s="39"/>
      <c r="G171" s="39"/>
      <c r="H171" s="40"/>
      <c r="I171" s="41"/>
      <c r="J171" s="39"/>
      <c r="K171" s="43">
        <f t="shared" si="7"/>
        <v>0</v>
      </c>
      <c r="L171" s="39"/>
      <c r="M171" s="42" t="str">
        <f t="shared" si="8"/>
        <v/>
      </c>
      <c r="N171" s="35"/>
      <c r="O171" s="35"/>
      <c r="P171" s="35"/>
      <c r="Q171" s="35"/>
      <c r="R171" s="35"/>
      <c r="S171" s="35"/>
      <c r="T171" s="35"/>
      <c r="U171" s="35"/>
      <c r="V171" s="35"/>
      <c r="W171" s="35"/>
      <c r="X171" s="35"/>
      <c r="Y171" s="35"/>
      <c r="Z171" s="35"/>
      <c r="AA171" s="35"/>
      <c r="AB171" s="35"/>
      <c r="AC171" s="35"/>
      <c r="AD171" s="35"/>
      <c r="AE171" s="35"/>
      <c r="AF171" s="35"/>
      <c r="AG171" s="35"/>
      <c r="AH171" s="35"/>
      <c r="AI171" s="35"/>
      <c r="AJ171" s="35"/>
      <c r="AK171" s="35"/>
      <c r="AL171" s="35"/>
      <c r="AM171" s="35"/>
      <c r="AN171" s="35"/>
      <c r="AO171" s="35"/>
      <c r="AP171" s="35"/>
      <c r="AQ171" s="35"/>
      <c r="AR171" s="35"/>
      <c r="AS171" s="35"/>
      <c r="AT171" s="35"/>
      <c r="AU171" s="35"/>
      <c r="AV171" s="35"/>
      <c r="AW171" s="35"/>
      <c r="AX171" s="35"/>
      <c r="AY171" s="35"/>
      <c r="AZ171" s="35"/>
      <c r="BA171" s="35"/>
      <c r="BB171" s="35"/>
      <c r="BC171" s="35"/>
      <c r="BD171" s="35"/>
      <c r="BE171" s="35"/>
      <c r="BF171" s="35"/>
      <c r="BG171" s="35"/>
      <c r="BH171" s="35"/>
      <c r="BI171" s="35"/>
      <c r="BJ171" s="35"/>
      <c r="BK171" s="35"/>
      <c r="BL171" s="35"/>
    </row>
    <row r="172" spans="1:64" ht="14">
      <c r="A172" s="36"/>
      <c r="B172" s="37"/>
      <c r="C172" s="38">
        <f t="shared" si="6"/>
        <v>0</v>
      </c>
      <c r="D172" s="39"/>
      <c r="E172" s="39"/>
      <c r="F172" s="39"/>
      <c r="G172" s="39"/>
      <c r="H172" s="40"/>
      <c r="I172" s="41"/>
      <c r="J172" s="39"/>
      <c r="K172" s="43">
        <f t="shared" si="7"/>
        <v>0</v>
      </c>
      <c r="L172" s="39"/>
      <c r="M172" s="42" t="str">
        <f t="shared" si="8"/>
        <v/>
      </c>
      <c r="N172" s="35"/>
      <c r="O172" s="35"/>
      <c r="P172" s="35"/>
      <c r="Q172" s="35"/>
      <c r="R172" s="35"/>
      <c r="S172" s="35"/>
      <c r="T172" s="35"/>
      <c r="U172" s="35"/>
      <c r="V172" s="35"/>
      <c r="W172" s="35"/>
      <c r="X172" s="35"/>
      <c r="Y172" s="35"/>
      <c r="Z172" s="35"/>
      <c r="AA172" s="35"/>
      <c r="AB172" s="35"/>
      <c r="AC172" s="35"/>
      <c r="AD172" s="35"/>
      <c r="AE172" s="35"/>
      <c r="AF172" s="35"/>
      <c r="AG172" s="35"/>
      <c r="AH172" s="35"/>
      <c r="AI172" s="35"/>
      <c r="AJ172" s="35"/>
      <c r="AK172" s="35"/>
      <c r="AL172" s="35"/>
      <c r="AM172" s="35"/>
      <c r="AN172" s="35"/>
      <c r="AO172" s="35"/>
      <c r="AP172" s="35"/>
      <c r="AQ172" s="35"/>
      <c r="AR172" s="35"/>
      <c r="AS172" s="35"/>
      <c r="AT172" s="35"/>
      <c r="AU172" s="35"/>
      <c r="AV172" s="35"/>
      <c r="AW172" s="35"/>
      <c r="AX172" s="35"/>
      <c r="AY172" s="35"/>
      <c r="AZ172" s="35"/>
      <c r="BA172" s="35"/>
      <c r="BB172" s="35"/>
      <c r="BC172" s="35"/>
      <c r="BD172" s="35"/>
      <c r="BE172" s="35"/>
      <c r="BF172" s="35"/>
      <c r="BG172" s="35"/>
      <c r="BH172" s="35"/>
      <c r="BI172" s="35"/>
      <c r="BJ172" s="35"/>
      <c r="BK172" s="35"/>
      <c r="BL172" s="35"/>
    </row>
    <row r="173" spans="1:64" ht="14">
      <c r="A173" s="36"/>
      <c r="B173" s="37"/>
      <c r="C173" s="38">
        <f t="shared" si="6"/>
        <v>0</v>
      </c>
      <c r="D173" s="39"/>
      <c r="E173" s="39"/>
      <c r="F173" s="39"/>
      <c r="G173" s="39"/>
      <c r="H173" s="40"/>
      <c r="I173" s="41"/>
      <c r="J173" s="39"/>
      <c r="K173" s="43">
        <f t="shared" si="7"/>
        <v>0</v>
      </c>
      <c r="L173" s="39"/>
      <c r="M173" s="42" t="str">
        <f t="shared" si="8"/>
        <v/>
      </c>
      <c r="N173" s="35"/>
      <c r="O173" s="35"/>
      <c r="P173" s="35"/>
      <c r="Q173" s="35"/>
      <c r="R173" s="35"/>
      <c r="S173" s="35"/>
      <c r="T173" s="35"/>
      <c r="U173" s="35"/>
      <c r="V173" s="35"/>
      <c r="W173" s="35"/>
      <c r="X173" s="35"/>
      <c r="Y173" s="35"/>
      <c r="Z173" s="35"/>
      <c r="AA173" s="35"/>
      <c r="AB173" s="35"/>
      <c r="AC173" s="35"/>
      <c r="AD173" s="35"/>
      <c r="AE173" s="35"/>
      <c r="AF173" s="35"/>
      <c r="AG173" s="35"/>
      <c r="AH173" s="35"/>
      <c r="AI173" s="35"/>
      <c r="AJ173" s="35"/>
      <c r="AK173" s="35"/>
      <c r="AL173" s="35"/>
      <c r="AM173" s="35"/>
      <c r="AN173" s="35"/>
      <c r="AO173" s="35"/>
      <c r="AP173" s="35"/>
      <c r="AQ173" s="35"/>
      <c r="AR173" s="35"/>
      <c r="AS173" s="35"/>
      <c r="AT173" s="35"/>
      <c r="AU173" s="35"/>
      <c r="AV173" s="35"/>
      <c r="AW173" s="35"/>
      <c r="AX173" s="35"/>
      <c r="AY173" s="35"/>
      <c r="AZ173" s="35"/>
      <c r="BA173" s="35"/>
      <c r="BB173" s="35"/>
      <c r="BC173" s="35"/>
      <c r="BD173" s="35"/>
      <c r="BE173" s="35"/>
      <c r="BF173" s="35"/>
      <c r="BG173" s="35"/>
      <c r="BH173" s="35"/>
      <c r="BI173" s="35"/>
      <c r="BJ173" s="35"/>
      <c r="BK173" s="35"/>
      <c r="BL173" s="35"/>
    </row>
    <row r="174" spans="1:64" ht="14">
      <c r="A174" s="36"/>
      <c r="B174" s="37"/>
      <c r="C174" s="38">
        <f t="shared" si="6"/>
        <v>0</v>
      </c>
      <c r="D174" s="39"/>
      <c r="E174" s="39"/>
      <c r="F174" s="39"/>
      <c r="G174" s="39"/>
      <c r="H174" s="40"/>
      <c r="I174" s="41"/>
      <c r="J174" s="39"/>
      <c r="K174" s="43">
        <f t="shared" si="7"/>
        <v>0</v>
      </c>
      <c r="L174" s="39"/>
      <c r="M174" s="42" t="str">
        <f t="shared" si="8"/>
        <v/>
      </c>
      <c r="N174" s="35"/>
      <c r="O174" s="35"/>
      <c r="P174" s="35"/>
      <c r="Q174" s="35"/>
      <c r="R174" s="35"/>
      <c r="S174" s="35"/>
      <c r="T174" s="35"/>
      <c r="U174" s="35"/>
      <c r="V174" s="35"/>
      <c r="W174" s="35"/>
      <c r="X174" s="35"/>
      <c r="Y174" s="35"/>
      <c r="Z174" s="35"/>
      <c r="AA174" s="35"/>
      <c r="AB174" s="35"/>
      <c r="AC174" s="35"/>
      <c r="AD174" s="35"/>
      <c r="AE174" s="35"/>
      <c r="AF174" s="35"/>
      <c r="AG174" s="35"/>
      <c r="AH174" s="35"/>
      <c r="AI174" s="35"/>
      <c r="AJ174" s="35"/>
      <c r="AK174" s="35"/>
      <c r="AL174" s="35"/>
      <c r="AM174" s="35"/>
      <c r="AN174" s="35"/>
      <c r="AO174" s="35"/>
      <c r="AP174" s="35"/>
      <c r="AQ174" s="35"/>
      <c r="AR174" s="35"/>
      <c r="AS174" s="35"/>
      <c r="AT174" s="35"/>
      <c r="AU174" s="35"/>
      <c r="AV174" s="35"/>
      <c r="AW174" s="35"/>
      <c r="AX174" s="35"/>
      <c r="AY174" s="35"/>
      <c r="AZ174" s="35"/>
      <c r="BA174" s="35"/>
      <c r="BB174" s="35"/>
      <c r="BC174" s="35"/>
      <c r="BD174" s="35"/>
      <c r="BE174" s="35"/>
      <c r="BF174" s="35"/>
      <c r="BG174" s="35"/>
      <c r="BH174" s="35"/>
      <c r="BI174" s="35"/>
      <c r="BJ174" s="35"/>
      <c r="BK174" s="35"/>
      <c r="BL174" s="35"/>
    </row>
    <row r="175" spans="1:64" ht="14">
      <c r="A175" s="36"/>
      <c r="B175" s="37"/>
      <c r="C175" s="38">
        <f t="shared" si="6"/>
        <v>0</v>
      </c>
      <c r="D175" s="39"/>
      <c r="E175" s="39"/>
      <c r="F175" s="39"/>
      <c r="G175" s="39"/>
      <c r="H175" s="40"/>
      <c r="I175" s="41"/>
      <c r="J175" s="39"/>
      <c r="K175" s="43">
        <f t="shared" si="7"/>
        <v>0</v>
      </c>
      <c r="L175" s="39"/>
      <c r="M175" s="42" t="str">
        <f t="shared" si="8"/>
        <v/>
      </c>
      <c r="N175" s="35"/>
      <c r="O175" s="35"/>
      <c r="P175" s="35"/>
      <c r="Q175" s="35"/>
      <c r="R175" s="35"/>
      <c r="S175" s="35"/>
      <c r="T175" s="35"/>
      <c r="U175" s="35"/>
      <c r="V175" s="35"/>
      <c r="W175" s="35"/>
      <c r="X175" s="35"/>
      <c r="Y175" s="35"/>
      <c r="Z175" s="35"/>
      <c r="AA175" s="35"/>
      <c r="AB175" s="35"/>
      <c r="AC175" s="35"/>
      <c r="AD175" s="35"/>
      <c r="AE175" s="35"/>
      <c r="AF175" s="35"/>
      <c r="AG175" s="35"/>
      <c r="AH175" s="35"/>
      <c r="AI175" s="35"/>
      <c r="AJ175" s="35"/>
      <c r="AK175" s="35"/>
      <c r="AL175" s="35"/>
      <c r="AM175" s="35"/>
      <c r="AN175" s="35"/>
      <c r="AO175" s="35"/>
      <c r="AP175" s="35"/>
      <c r="AQ175" s="35"/>
      <c r="AR175" s="35"/>
      <c r="AS175" s="35"/>
      <c r="AT175" s="35"/>
      <c r="AU175" s="35"/>
      <c r="AV175" s="35"/>
      <c r="AW175" s="35"/>
      <c r="AX175" s="35"/>
      <c r="AY175" s="35"/>
      <c r="AZ175" s="35"/>
      <c r="BA175" s="35"/>
      <c r="BB175" s="35"/>
      <c r="BC175" s="35"/>
      <c r="BD175" s="35"/>
      <c r="BE175" s="35"/>
      <c r="BF175" s="35"/>
      <c r="BG175" s="35"/>
      <c r="BH175" s="35"/>
      <c r="BI175" s="35"/>
      <c r="BJ175" s="35"/>
      <c r="BK175" s="35"/>
      <c r="BL175" s="35"/>
    </row>
    <row r="176" spans="1:64" ht="14">
      <c r="A176" s="36"/>
      <c r="B176" s="37"/>
      <c r="C176" s="38">
        <f t="shared" si="6"/>
        <v>0</v>
      </c>
      <c r="D176" s="39"/>
      <c r="E176" s="39"/>
      <c r="F176" s="39"/>
      <c r="G176" s="39"/>
      <c r="H176" s="40"/>
      <c r="I176" s="41"/>
      <c r="J176" s="39"/>
      <c r="K176" s="43">
        <f t="shared" si="7"/>
        <v>0</v>
      </c>
      <c r="L176" s="39"/>
      <c r="M176" s="42" t="str">
        <f t="shared" si="8"/>
        <v/>
      </c>
      <c r="N176" s="35"/>
      <c r="O176" s="35"/>
      <c r="P176" s="35"/>
      <c r="Q176" s="35"/>
      <c r="R176" s="35"/>
      <c r="S176" s="35"/>
      <c r="T176" s="35"/>
      <c r="U176" s="35"/>
      <c r="V176" s="35"/>
      <c r="W176" s="35"/>
      <c r="X176" s="35"/>
      <c r="Y176" s="35"/>
      <c r="Z176" s="35"/>
      <c r="AA176" s="35"/>
      <c r="AB176" s="35"/>
      <c r="AC176" s="35"/>
      <c r="AD176" s="35"/>
      <c r="AE176" s="35"/>
      <c r="AF176" s="35"/>
      <c r="AG176" s="35"/>
      <c r="AH176" s="35"/>
      <c r="AI176" s="35"/>
      <c r="AJ176" s="35"/>
      <c r="AK176" s="35"/>
      <c r="AL176" s="35"/>
      <c r="AM176" s="35"/>
      <c r="AN176" s="35"/>
      <c r="AO176" s="35"/>
      <c r="AP176" s="35"/>
      <c r="AQ176" s="35"/>
      <c r="AR176" s="35"/>
      <c r="AS176" s="35"/>
      <c r="AT176" s="35"/>
      <c r="AU176" s="35"/>
      <c r="AV176" s="35"/>
      <c r="AW176" s="35"/>
      <c r="AX176" s="35"/>
      <c r="AY176" s="35"/>
      <c r="AZ176" s="35"/>
      <c r="BA176" s="35"/>
      <c r="BB176" s="35"/>
      <c r="BC176" s="35"/>
      <c r="BD176" s="35"/>
      <c r="BE176" s="35"/>
      <c r="BF176" s="35"/>
      <c r="BG176" s="35"/>
      <c r="BH176" s="35"/>
      <c r="BI176" s="35"/>
      <c r="BJ176" s="35"/>
      <c r="BK176" s="35"/>
      <c r="BL176" s="35"/>
    </row>
    <row r="177" spans="1:64" ht="14">
      <c r="A177" s="36"/>
      <c r="B177" s="37"/>
      <c r="C177" s="38">
        <f t="shared" si="6"/>
        <v>0</v>
      </c>
      <c r="D177" s="39"/>
      <c r="E177" s="39"/>
      <c r="F177" s="39"/>
      <c r="G177" s="39"/>
      <c r="H177" s="40"/>
      <c r="I177" s="41"/>
      <c r="J177" s="39"/>
      <c r="K177" s="43">
        <f t="shared" si="7"/>
        <v>0</v>
      </c>
      <c r="L177" s="39"/>
      <c r="M177" s="42" t="str">
        <f t="shared" si="8"/>
        <v/>
      </c>
      <c r="N177" s="35"/>
      <c r="O177" s="35"/>
      <c r="P177" s="35"/>
      <c r="Q177" s="35"/>
      <c r="R177" s="35"/>
      <c r="S177" s="35"/>
      <c r="T177" s="35"/>
      <c r="U177" s="35"/>
      <c r="V177" s="35"/>
      <c r="W177" s="35"/>
      <c r="X177" s="35"/>
      <c r="Y177" s="35"/>
      <c r="Z177" s="35"/>
      <c r="AA177" s="35"/>
      <c r="AB177" s="35"/>
      <c r="AC177" s="35"/>
      <c r="AD177" s="35"/>
      <c r="AE177" s="35"/>
      <c r="AF177" s="35"/>
      <c r="AG177" s="35"/>
      <c r="AH177" s="35"/>
      <c r="AI177" s="35"/>
      <c r="AJ177" s="35"/>
      <c r="AK177" s="35"/>
      <c r="AL177" s="35"/>
      <c r="AM177" s="35"/>
      <c r="AN177" s="35"/>
      <c r="AO177" s="35"/>
      <c r="AP177" s="35"/>
      <c r="AQ177" s="35"/>
      <c r="AR177" s="35"/>
      <c r="AS177" s="35"/>
      <c r="AT177" s="35"/>
      <c r="AU177" s="35"/>
      <c r="AV177" s="35"/>
      <c r="AW177" s="35"/>
      <c r="AX177" s="35"/>
      <c r="AY177" s="35"/>
      <c r="AZ177" s="35"/>
      <c r="BA177" s="35"/>
      <c r="BB177" s="35"/>
      <c r="BC177" s="35"/>
      <c r="BD177" s="35"/>
      <c r="BE177" s="35"/>
      <c r="BF177" s="35"/>
      <c r="BG177" s="35"/>
      <c r="BH177" s="35"/>
      <c r="BI177" s="35"/>
      <c r="BJ177" s="35"/>
      <c r="BK177" s="35"/>
      <c r="BL177" s="35"/>
    </row>
    <row r="178" spans="1:64" ht="14">
      <c r="A178" s="36"/>
      <c r="B178" s="37"/>
      <c r="C178" s="38">
        <f t="shared" si="6"/>
        <v>0</v>
      </c>
      <c r="D178" s="39"/>
      <c r="E178" s="39"/>
      <c r="F178" s="39"/>
      <c r="G178" s="39"/>
      <c r="H178" s="40"/>
      <c r="I178" s="41"/>
      <c r="J178" s="39"/>
      <c r="K178" s="43">
        <f t="shared" si="7"/>
        <v>0</v>
      </c>
      <c r="L178" s="39"/>
      <c r="M178" s="42" t="str">
        <f t="shared" si="8"/>
        <v/>
      </c>
      <c r="N178" s="35"/>
      <c r="O178" s="35"/>
      <c r="P178" s="35"/>
      <c r="Q178" s="35"/>
      <c r="R178" s="35"/>
      <c r="S178" s="35"/>
      <c r="T178" s="35"/>
      <c r="U178" s="35"/>
      <c r="V178" s="35"/>
      <c r="W178" s="35"/>
      <c r="X178" s="35"/>
      <c r="Y178" s="35"/>
      <c r="Z178" s="35"/>
      <c r="AA178" s="35"/>
      <c r="AB178" s="35"/>
      <c r="AC178" s="35"/>
      <c r="AD178" s="35"/>
      <c r="AE178" s="35"/>
      <c r="AF178" s="35"/>
      <c r="AG178" s="35"/>
      <c r="AH178" s="35"/>
      <c r="AI178" s="35"/>
      <c r="AJ178" s="35"/>
      <c r="AK178" s="35"/>
      <c r="AL178" s="35"/>
      <c r="AM178" s="35"/>
      <c r="AN178" s="35"/>
      <c r="AO178" s="35"/>
      <c r="AP178" s="35"/>
      <c r="AQ178" s="35"/>
      <c r="AR178" s="35"/>
      <c r="AS178" s="35"/>
      <c r="AT178" s="35"/>
      <c r="AU178" s="35"/>
      <c r="AV178" s="35"/>
      <c r="AW178" s="35"/>
      <c r="AX178" s="35"/>
      <c r="AY178" s="35"/>
      <c r="AZ178" s="35"/>
      <c r="BA178" s="35"/>
      <c r="BB178" s="35"/>
      <c r="BC178" s="35"/>
      <c r="BD178" s="35"/>
      <c r="BE178" s="35"/>
      <c r="BF178" s="35"/>
      <c r="BG178" s="35"/>
      <c r="BH178" s="35"/>
      <c r="BI178" s="35"/>
      <c r="BJ178" s="35"/>
      <c r="BK178" s="35"/>
      <c r="BL178" s="35"/>
    </row>
    <row r="179" spans="1:64" ht="14">
      <c r="A179" s="36"/>
      <c r="B179" s="37"/>
      <c r="C179" s="38">
        <f t="shared" si="6"/>
        <v>0</v>
      </c>
      <c r="D179" s="39"/>
      <c r="E179" s="39"/>
      <c r="F179" s="39"/>
      <c r="G179" s="39"/>
      <c r="H179" s="40"/>
      <c r="I179" s="41"/>
      <c r="J179" s="39"/>
      <c r="K179" s="43">
        <f t="shared" si="7"/>
        <v>0</v>
      </c>
      <c r="L179" s="39"/>
      <c r="M179" s="42" t="str">
        <f t="shared" si="8"/>
        <v/>
      </c>
      <c r="N179" s="35"/>
      <c r="O179" s="35"/>
      <c r="P179" s="35"/>
      <c r="Q179" s="35"/>
      <c r="R179" s="35"/>
      <c r="S179" s="35"/>
      <c r="T179" s="35"/>
      <c r="U179" s="35"/>
      <c r="V179" s="35"/>
      <c r="W179" s="35"/>
      <c r="X179" s="35"/>
      <c r="Y179" s="35"/>
      <c r="Z179" s="35"/>
      <c r="AA179" s="35"/>
      <c r="AB179" s="35"/>
      <c r="AC179" s="35"/>
      <c r="AD179" s="35"/>
      <c r="AE179" s="35"/>
      <c r="AF179" s="35"/>
      <c r="AG179" s="35"/>
      <c r="AH179" s="35"/>
      <c r="AI179" s="35"/>
      <c r="AJ179" s="35"/>
      <c r="AK179" s="35"/>
      <c r="AL179" s="35"/>
      <c r="AM179" s="35"/>
      <c r="AN179" s="35"/>
      <c r="AO179" s="35"/>
      <c r="AP179" s="35"/>
      <c r="AQ179" s="35"/>
      <c r="AR179" s="35"/>
      <c r="AS179" s="35"/>
      <c r="AT179" s="35"/>
      <c r="AU179" s="35"/>
      <c r="AV179" s="35"/>
      <c r="AW179" s="35"/>
      <c r="AX179" s="35"/>
      <c r="AY179" s="35"/>
      <c r="AZ179" s="35"/>
      <c r="BA179" s="35"/>
      <c r="BB179" s="35"/>
      <c r="BC179" s="35"/>
      <c r="BD179" s="35"/>
      <c r="BE179" s="35"/>
      <c r="BF179" s="35"/>
      <c r="BG179" s="35"/>
      <c r="BH179" s="35"/>
      <c r="BI179" s="35"/>
      <c r="BJ179" s="35"/>
      <c r="BK179" s="35"/>
      <c r="BL179" s="35"/>
    </row>
    <row r="180" spans="1:64" ht="14">
      <c r="A180" s="36"/>
      <c r="B180" s="37"/>
      <c r="C180" s="38">
        <f t="shared" si="6"/>
        <v>0</v>
      </c>
      <c r="D180" s="39"/>
      <c r="E180" s="39"/>
      <c r="F180" s="39"/>
      <c r="G180" s="39"/>
      <c r="H180" s="40"/>
      <c r="I180" s="41"/>
      <c r="J180" s="39"/>
      <c r="K180" s="43">
        <f t="shared" si="7"/>
        <v>0</v>
      </c>
      <c r="L180" s="39"/>
      <c r="M180" s="42" t="str">
        <f t="shared" si="8"/>
        <v/>
      </c>
      <c r="N180" s="35"/>
      <c r="O180" s="35"/>
      <c r="P180" s="35"/>
      <c r="Q180" s="35"/>
      <c r="R180" s="35"/>
      <c r="S180" s="35"/>
      <c r="T180" s="35"/>
      <c r="U180" s="35"/>
      <c r="V180" s="35"/>
      <c r="W180" s="35"/>
      <c r="X180" s="35"/>
      <c r="Y180" s="35"/>
      <c r="Z180" s="35"/>
      <c r="AA180" s="35"/>
      <c r="AB180" s="35"/>
      <c r="AC180" s="35"/>
      <c r="AD180" s="35"/>
      <c r="AE180" s="35"/>
      <c r="AF180" s="35"/>
      <c r="AG180" s="35"/>
      <c r="AH180" s="35"/>
      <c r="AI180" s="35"/>
      <c r="AJ180" s="35"/>
      <c r="AK180" s="35"/>
      <c r="AL180" s="35"/>
      <c r="AM180" s="35"/>
      <c r="AN180" s="35"/>
      <c r="AO180" s="35"/>
      <c r="AP180" s="35"/>
      <c r="AQ180" s="35"/>
      <c r="AR180" s="35"/>
      <c r="AS180" s="35"/>
      <c r="AT180" s="35"/>
      <c r="AU180" s="35"/>
      <c r="AV180" s="35"/>
      <c r="AW180" s="35"/>
      <c r="AX180" s="35"/>
      <c r="AY180" s="35"/>
      <c r="AZ180" s="35"/>
      <c r="BA180" s="35"/>
      <c r="BB180" s="35"/>
      <c r="BC180" s="35"/>
      <c r="BD180" s="35"/>
      <c r="BE180" s="35"/>
      <c r="BF180" s="35"/>
      <c r="BG180" s="35"/>
      <c r="BH180" s="35"/>
      <c r="BI180" s="35"/>
      <c r="BJ180" s="35"/>
      <c r="BK180" s="35"/>
      <c r="BL180" s="35"/>
    </row>
    <row r="181" spans="1:64" ht="14">
      <c r="A181" s="36"/>
      <c r="B181" s="37"/>
      <c r="C181" s="38">
        <f t="shared" si="6"/>
        <v>0</v>
      </c>
      <c r="D181" s="39"/>
      <c r="E181" s="39"/>
      <c r="F181" s="39"/>
      <c r="G181" s="39"/>
      <c r="H181" s="40"/>
      <c r="I181" s="41"/>
      <c r="J181" s="39"/>
      <c r="K181" s="43">
        <f t="shared" si="7"/>
        <v>0</v>
      </c>
      <c r="L181" s="39"/>
      <c r="M181" s="42" t="str">
        <f t="shared" si="8"/>
        <v/>
      </c>
      <c r="N181" s="35"/>
      <c r="O181" s="35"/>
      <c r="P181" s="35"/>
      <c r="Q181" s="35"/>
      <c r="R181" s="35"/>
      <c r="S181" s="35"/>
      <c r="T181" s="35"/>
      <c r="U181" s="35"/>
      <c r="V181" s="35"/>
      <c r="W181" s="35"/>
      <c r="X181" s="35"/>
      <c r="Y181" s="35"/>
      <c r="Z181" s="35"/>
      <c r="AA181" s="35"/>
      <c r="AB181" s="35"/>
      <c r="AC181" s="35"/>
      <c r="AD181" s="35"/>
      <c r="AE181" s="35"/>
      <c r="AF181" s="35"/>
      <c r="AG181" s="35"/>
      <c r="AH181" s="35"/>
      <c r="AI181" s="35"/>
      <c r="AJ181" s="35"/>
      <c r="AK181" s="35"/>
      <c r="AL181" s="35"/>
      <c r="AM181" s="35"/>
      <c r="AN181" s="35"/>
      <c r="AO181" s="35"/>
      <c r="AP181" s="35"/>
      <c r="AQ181" s="35"/>
      <c r="AR181" s="35"/>
      <c r="AS181" s="35"/>
      <c r="AT181" s="35"/>
      <c r="AU181" s="35"/>
      <c r="AV181" s="35"/>
      <c r="AW181" s="35"/>
      <c r="AX181" s="35"/>
      <c r="AY181" s="35"/>
      <c r="AZ181" s="35"/>
      <c r="BA181" s="35"/>
      <c r="BB181" s="35"/>
      <c r="BC181" s="35"/>
      <c r="BD181" s="35"/>
      <c r="BE181" s="35"/>
      <c r="BF181" s="35"/>
      <c r="BG181" s="35"/>
      <c r="BH181" s="35"/>
      <c r="BI181" s="35"/>
      <c r="BJ181" s="35"/>
      <c r="BK181" s="35"/>
      <c r="BL181" s="35"/>
    </row>
    <row r="182" spans="1:64" ht="14">
      <c r="A182" s="36"/>
      <c r="B182" s="37"/>
      <c r="C182" s="38">
        <f t="shared" si="6"/>
        <v>0</v>
      </c>
      <c r="D182" s="39"/>
      <c r="E182" s="39"/>
      <c r="F182" s="39"/>
      <c r="G182" s="39"/>
      <c r="H182" s="40"/>
      <c r="I182" s="41"/>
      <c r="J182" s="39"/>
      <c r="K182" s="43">
        <f t="shared" si="7"/>
        <v>0</v>
      </c>
      <c r="L182" s="39"/>
      <c r="M182" s="42" t="str">
        <f t="shared" si="8"/>
        <v/>
      </c>
      <c r="N182" s="35"/>
      <c r="O182" s="35"/>
      <c r="P182" s="35"/>
      <c r="Q182" s="35"/>
      <c r="R182" s="35"/>
      <c r="S182" s="35"/>
      <c r="T182" s="35"/>
      <c r="U182" s="35"/>
      <c r="V182" s="35"/>
      <c r="W182" s="35"/>
      <c r="X182" s="35"/>
      <c r="Y182" s="35"/>
      <c r="Z182" s="35"/>
      <c r="AA182" s="35"/>
      <c r="AB182" s="35"/>
      <c r="AC182" s="35"/>
      <c r="AD182" s="35"/>
      <c r="AE182" s="35"/>
      <c r="AF182" s="35"/>
      <c r="AG182" s="35"/>
      <c r="AH182" s="35"/>
      <c r="AI182" s="35"/>
      <c r="AJ182" s="35"/>
      <c r="AK182" s="35"/>
      <c r="AL182" s="35"/>
      <c r="AM182" s="35"/>
      <c r="AN182" s="35"/>
      <c r="AO182" s="35"/>
      <c r="AP182" s="35"/>
      <c r="AQ182" s="35"/>
      <c r="AR182" s="35"/>
      <c r="AS182" s="35"/>
      <c r="AT182" s="35"/>
      <c r="AU182" s="35"/>
      <c r="AV182" s="35"/>
      <c r="AW182" s="35"/>
      <c r="AX182" s="35"/>
      <c r="AY182" s="35"/>
      <c r="AZ182" s="35"/>
      <c r="BA182" s="35"/>
      <c r="BB182" s="35"/>
      <c r="BC182" s="35"/>
      <c r="BD182" s="35"/>
      <c r="BE182" s="35"/>
      <c r="BF182" s="35"/>
      <c r="BG182" s="35"/>
      <c r="BH182" s="35"/>
      <c r="BI182" s="35"/>
      <c r="BJ182" s="35"/>
      <c r="BK182" s="35"/>
      <c r="BL182" s="35"/>
    </row>
    <row r="183" spans="1:64" ht="14">
      <c r="A183" s="36"/>
      <c r="B183" s="37"/>
      <c r="C183" s="38">
        <f t="shared" si="6"/>
        <v>0</v>
      </c>
      <c r="D183" s="39"/>
      <c r="E183" s="39"/>
      <c r="F183" s="39"/>
      <c r="G183" s="39"/>
      <c r="H183" s="40"/>
      <c r="I183" s="41"/>
      <c r="J183" s="39"/>
      <c r="K183" s="43">
        <f t="shared" si="7"/>
        <v>0</v>
      </c>
      <c r="L183" s="39"/>
      <c r="M183" s="42" t="str">
        <f t="shared" si="8"/>
        <v/>
      </c>
      <c r="N183" s="35"/>
      <c r="O183" s="35"/>
      <c r="P183" s="35"/>
      <c r="Q183" s="35"/>
      <c r="R183" s="35"/>
      <c r="S183" s="35"/>
      <c r="T183" s="35"/>
      <c r="U183" s="35"/>
      <c r="V183" s="35"/>
      <c r="W183" s="35"/>
      <c r="X183" s="35"/>
      <c r="Y183" s="35"/>
      <c r="Z183" s="35"/>
      <c r="AA183" s="35"/>
      <c r="AB183" s="35"/>
      <c r="AC183" s="35"/>
      <c r="AD183" s="35"/>
      <c r="AE183" s="35"/>
      <c r="AF183" s="35"/>
      <c r="AG183" s="35"/>
      <c r="AH183" s="35"/>
      <c r="AI183" s="35"/>
      <c r="AJ183" s="35"/>
      <c r="AK183" s="35"/>
      <c r="AL183" s="35"/>
      <c r="AM183" s="35"/>
      <c r="AN183" s="35"/>
      <c r="AO183" s="35"/>
      <c r="AP183" s="35"/>
      <c r="AQ183" s="35"/>
      <c r="AR183" s="35"/>
      <c r="AS183" s="35"/>
      <c r="AT183" s="35"/>
      <c r="AU183" s="35"/>
      <c r="AV183" s="35"/>
      <c r="AW183" s="35"/>
      <c r="AX183" s="35"/>
      <c r="AY183" s="35"/>
      <c r="AZ183" s="35"/>
      <c r="BA183" s="35"/>
      <c r="BB183" s="35"/>
      <c r="BC183" s="35"/>
      <c r="BD183" s="35"/>
      <c r="BE183" s="35"/>
      <c r="BF183" s="35"/>
      <c r="BG183" s="35"/>
      <c r="BH183" s="35"/>
      <c r="BI183" s="35"/>
      <c r="BJ183" s="35"/>
      <c r="BK183" s="35"/>
      <c r="BL183" s="35"/>
    </row>
    <row r="184" spans="1:64" ht="14">
      <c r="A184" s="36"/>
      <c r="B184" s="37"/>
      <c r="C184" s="38">
        <f t="shared" si="6"/>
        <v>0</v>
      </c>
      <c r="D184" s="39"/>
      <c r="E184" s="39"/>
      <c r="F184" s="39"/>
      <c r="G184" s="39"/>
      <c r="H184" s="40"/>
      <c r="I184" s="41"/>
      <c r="J184" s="39"/>
      <c r="K184" s="43">
        <f t="shared" si="7"/>
        <v>0</v>
      </c>
      <c r="L184" s="39"/>
      <c r="M184" s="42" t="str">
        <f t="shared" si="8"/>
        <v/>
      </c>
      <c r="N184" s="35"/>
      <c r="O184" s="35"/>
      <c r="P184" s="35"/>
      <c r="Q184" s="35"/>
      <c r="R184" s="35"/>
      <c r="S184" s="35"/>
      <c r="T184" s="35"/>
      <c r="U184" s="35"/>
      <c r="V184" s="35"/>
      <c r="W184" s="35"/>
      <c r="X184" s="35"/>
      <c r="Y184" s="35"/>
      <c r="Z184" s="35"/>
      <c r="AA184" s="35"/>
      <c r="AB184" s="35"/>
      <c r="AC184" s="35"/>
      <c r="AD184" s="35"/>
      <c r="AE184" s="35"/>
      <c r="AF184" s="35"/>
      <c r="AG184" s="35"/>
      <c r="AH184" s="35"/>
      <c r="AI184" s="35"/>
      <c r="AJ184" s="35"/>
      <c r="AK184" s="35"/>
      <c r="AL184" s="35"/>
      <c r="AM184" s="35"/>
      <c r="AN184" s="35"/>
      <c r="AO184" s="35"/>
      <c r="AP184" s="35"/>
      <c r="AQ184" s="35"/>
      <c r="AR184" s="35"/>
      <c r="AS184" s="35"/>
      <c r="AT184" s="35"/>
      <c r="AU184" s="35"/>
      <c r="AV184" s="35"/>
      <c r="AW184" s="35"/>
      <c r="AX184" s="35"/>
      <c r="AY184" s="35"/>
      <c r="AZ184" s="35"/>
      <c r="BA184" s="35"/>
      <c r="BB184" s="35"/>
      <c r="BC184" s="35"/>
      <c r="BD184" s="35"/>
      <c r="BE184" s="35"/>
      <c r="BF184" s="35"/>
      <c r="BG184" s="35"/>
      <c r="BH184" s="35"/>
      <c r="BI184" s="35"/>
      <c r="BJ184" s="35"/>
      <c r="BK184" s="35"/>
      <c r="BL184" s="35"/>
    </row>
    <row r="185" spans="1:64" ht="14">
      <c r="A185" s="36"/>
      <c r="B185" s="37"/>
      <c r="C185" s="38">
        <f t="shared" si="6"/>
        <v>0</v>
      </c>
      <c r="D185" s="39"/>
      <c r="E185" s="39"/>
      <c r="F185" s="39"/>
      <c r="G185" s="39"/>
      <c r="H185" s="40"/>
      <c r="I185" s="41"/>
      <c r="J185" s="39"/>
      <c r="K185" s="43">
        <f t="shared" si="7"/>
        <v>0</v>
      </c>
      <c r="L185" s="39"/>
      <c r="M185" s="42" t="str">
        <f t="shared" si="8"/>
        <v/>
      </c>
      <c r="N185" s="35"/>
      <c r="O185" s="35"/>
      <c r="P185" s="35"/>
      <c r="Q185" s="35"/>
      <c r="R185" s="35"/>
      <c r="S185" s="35"/>
      <c r="T185" s="35"/>
      <c r="U185" s="35"/>
      <c r="V185" s="35"/>
      <c r="W185" s="35"/>
      <c r="X185" s="35"/>
      <c r="Y185" s="35"/>
      <c r="Z185" s="35"/>
      <c r="AA185" s="35"/>
      <c r="AB185" s="35"/>
      <c r="AC185" s="35"/>
      <c r="AD185" s="35"/>
      <c r="AE185" s="35"/>
      <c r="AF185" s="35"/>
      <c r="AG185" s="35"/>
      <c r="AH185" s="35"/>
      <c r="AI185" s="35"/>
      <c r="AJ185" s="35"/>
      <c r="AK185" s="35"/>
      <c r="AL185" s="35"/>
      <c r="AM185" s="35"/>
      <c r="AN185" s="35"/>
      <c r="AO185" s="35"/>
      <c r="AP185" s="35"/>
      <c r="AQ185" s="35"/>
      <c r="AR185" s="35"/>
      <c r="AS185" s="35"/>
      <c r="AT185" s="35"/>
      <c r="AU185" s="35"/>
      <c r="AV185" s="35"/>
      <c r="AW185" s="35"/>
      <c r="AX185" s="35"/>
      <c r="AY185" s="35"/>
      <c r="AZ185" s="35"/>
      <c r="BA185" s="35"/>
      <c r="BB185" s="35"/>
      <c r="BC185" s="35"/>
      <c r="BD185" s="35"/>
      <c r="BE185" s="35"/>
      <c r="BF185" s="35"/>
      <c r="BG185" s="35"/>
      <c r="BH185" s="35"/>
      <c r="BI185" s="35"/>
      <c r="BJ185" s="35"/>
      <c r="BK185" s="35"/>
      <c r="BL185" s="35"/>
    </row>
    <row r="186" spans="1:64" ht="14">
      <c r="A186" s="36"/>
      <c r="B186" s="37"/>
      <c r="C186" s="38">
        <f t="shared" si="6"/>
        <v>0</v>
      </c>
      <c r="D186" s="39"/>
      <c r="E186" s="39"/>
      <c r="F186" s="39"/>
      <c r="G186" s="39"/>
      <c r="H186" s="40"/>
      <c r="I186" s="41"/>
      <c r="J186" s="39"/>
      <c r="K186" s="43">
        <f t="shared" si="7"/>
        <v>0</v>
      </c>
      <c r="L186" s="39"/>
      <c r="M186" s="42" t="str">
        <f t="shared" si="8"/>
        <v/>
      </c>
      <c r="N186" s="35"/>
      <c r="O186" s="35"/>
      <c r="P186" s="35"/>
      <c r="Q186" s="35"/>
      <c r="R186" s="35"/>
      <c r="S186" s="35"/>
      <c r="T186" s="35"/>
      <c r="U186" s="35"/>
      <c r="V186" s="35"/>
      <c r="W186" s="35"/>
      <c r="X186" s="35"/>
      <c r="Y186" s="35"/>
      <c r="Z186" s="35"/>
      <c r="AA186" s="35"/>
      <c r="AB186" s="35"/>
      <c r="AC186" s="35"/>
      <c r="AD186" s="35"/>
      <c r="AE186" s="35"/>
      <c r="AF186" s="35"/>
      <c r="AG186" s="35"/>
      <c r="AH186" s="35"/>
      <c r="AI186" s="35"/>
      <c r="AJ186" s="35"/>
      <c r="AK186" s="35"/>
      <c r="AL186" s="35"/>
      <c r="AM186" s="35"/>
      <c r="AN186" s="35"/>
      <c r="AO186" s="35"/>
      <c r="AP186" s="35"/>
      <c r="AQ186" s="35"/>
      <c r="AR186" s="35"/>
      <c r="AS186" s="35"/>
      <c r="AT186" s="35"/>
      <c r="AU186" s="35"/>
      <c r="AV186" s="35"/>
      <c r="AW186" s="35"/>
      <c r="AX186" s="35"/>
      <c r="AY186" s="35"/>
      <c r="AZ186" s="35"/>
      <c r="BA186" s="35"/>
      <c r="BB186" s="35"/>
      <c r="BC186" s="35"/>
      <c r="BD186" s="35"/>
      <c r="BE186" s="35"/>
      <c r="BF186" s="35"/>
      <c r="BG186" s="35"/>
      <c r="BH186" s="35"/>
      <c r="BI186" s="35"/>
      <c r="BJ186" s="35"/>
      <c r="BK186" s="35"/>
      <c r="BL186" s="35"/>
    </row>
    <row r="187" spans="1:64" ht="14">
      <c r="A187" s="36"/>
      <c r="B187" s="37"/>
      <c r="C187" s="38">
        <f t="shared" si="6"/>
        <v>0</v>
      </c>
      <c r="D187" s="39"/>
      <c r="E187" s="39"/>
      <c r="F187" s="39"/>
      <c r="G187" s="39"/>
      <c r="H187" s="40"/>
      <c r="I187" s="41"/>
      <c r="J187" s="39"/>
      <c r="K187" s="43">
        <f t="shared" si="7"/>
        <v>0</v>
      </c>
      <c r="L187" s="39"/>
      <c r="M187" s="42" t="str">
        <f t="shared" si="8"/>
        <v/>
      </c>
      <c r="N187" s="35"/>
      <c r="O187" s="35"/>
      <c r="P187" s="35"/>
      <c r="Q187" s="35"/>
      <c r="R187" s="35"/>
      <c r="S187" s="35"/>
      <c r="T187" s="35"/>
      <c r="U187" s="35"/>
      <c r="V187" s="35"/>
      <c r="W187" s="35"/>
      <c r="X187" s="35"/>
      <c r="Y187" s="35"/>
      <c r="Z187" s="35"/>
      <c r="AA187" s="35"/>
      <c r="AB187" s="35"/>
      <c r="AC187" s="35"/>
      <c r="AD187" s="35"/>
      <c r="AE187" s="35"/>
      <c r="AF187" s="35"/>
      <c r="AG187" s="35"/>
      <c r="AH187" s="35"/>
      <c r="AI187" s="35"/>
      <c r="AJ187" s="35"/>
      <c r="AK187" s="35"/>
      <c r="AL187" s="35"/>
      <c r="AM187" s="35"/>
      <c r="AN187" s="35"/>
      <c r="AO187" s="35"/>
      <c r="AP187" s="35"/>
      <c r="AQ187" s="35"/>
      <c r="AR187" s="35"/>
      <c r="AS187" s="35"/>
      <c r="AT187" s="35"/>
      <c r="AU187" s="35"/>
      <c r="AV187" s="35"/>
      <c r="AW187" s="35"/>
      <c r="AX187" s="35"/>
      <c r="AY187" s="35"/>
      <c r="AZ187" s="35"/>
      <c r="BA187" s="35"/>
      <c r="BB187" s="35"/>
      <c r="BC187" s="35"/>
      <c r="BD187" s="35"/>
      <c r="BE187" s="35"/>
      <c r="BF187" s="35"/>
      <c r="BG187" s="35"/>
      <c r="BH187" s="35"/>
      <c r="BI187" s="35"/>
      <c r="BJ187" s="35"/>
      <c r="BK187" s="35"/>
      <c r="BL187" s="35"/>
    </row>
    <row r="188" spans="1:64" ht="14">
      <c r="A188" s="36"/>
      <c r="B188" s="37"/>
      <c r="C188" s="38">
        <f t="shared" si="6"/>
        <v>0</v>
      </c>
      <c r="D188" s="39"/>
      <c r="E188" s="39"/>
      <c r="F188" s="39"/>
      <c r="G188" s="39"/>
      <c r="H188" s="40"/>
      <c r="I188" s="41"/>
      <c r="J188" s="39"/>
      <c r="K188" s="43">
        <f t="shared" si="7"/>
        <v>0</v>
      </c>
      <c r="L188" s="39"/>
      <c r="M188" s="42" t="str">
        <f t="shared" si="8"/>
        <v/>
      </c>
      <c r="N188" s="35"/>
      <c r="O188" s="35"/>
      <c r="P188" s="35"/>
      <c r="Q188" s="35"/>
      <c r="R188" s="35"/>
      <c r="S188" s="35"/>
      <c r="T188" s="35"/>
      <c r="U188" s="35"/>
      <c r="V188" s="35"/>
      <c r="W188" s="35"/>
      <c r="X188" s="35"/>
      <c r="Y188" s="35"/>
      <c r="Z188" s="35"/>
      <c r="AA188" s="35"/>
      <c r="AB188" s="35"/>
      <c r="AC188" s="35"/>
      <c r="AD188" s="35"/>
      <c r="AE188" s="35"/>
      <c r="AF188" s="35"/>
      <c r="AG188" s="35"/>
      <c r="AH188" s="35"/>
      <c r="AI188" s="35"/>
      <c r="AJ188" s="35"/>
      <c r="AK188" s="35"/>
      <c r="AL188" s="35"/>
      <c r="AM188" s="35"/>
      <c r="AN188" s="35"/>
      <c r="AO188" s="35"/>
      <c r="AP188" s="35"/>
      <c r="AQ188" s="35"/>
      <c r="AR188" s="35"/>
      <c r="AS188" s="35"/>
      <c r="AT188" s="35"/>
      <c r="AU188" s="35"/>
      <c r="AV188" s="35"/>
      <c r="AW188" s="35"/>
      <c r="AX188" s="35"/>
      <c r="AY188" s="35"/>
      <c r="AZ188" s="35"/>
      <c r="BA188" s="35"/>
      <c r="BB188" s="35"/>
      <c r="BC188" s="35"/>
      <c r="BD188" s="35"/>
      <c r="BE188" s="35"/>
      <c r="BF188" s="35"/>
      <c r="BG188" s="35"/>
      <c r="BH188" s="35"/>
      <c r="BI188" s="35"/>
      <c r="BJ188" s="35"/>
      <c r="BK188" s="35"/>
      <c r="BL188" s="35"/>
    </row>
    <row r="189" spans="1:64" ht="14">
      <c r="A189" s="36"/>
      <c r="B189" s="37"/>
      <c r="C189" s="38">
        <f t="shared" si="6"/>
        <v>0</v>
      </c>
      <c r="D189" s="39"/>
      <c r="E189" s="39"/>
      <c r="F189" s="39"/>
      <c r="G189" s="39"/>
      <c r="H189" s="40"/>
      <c r="I189" s="41"/>
      <c r="J189" s="39"/>
      <c r="K189" s="43">
        <f t="shared" si="7"/>
        <v>0</v>
      </c>
      <c r="L189" s="39"/>
      <c r="M189" s="42" t="str">
        <f t="shared" si="8"/>
        <v/>
      </c>
      <c r="N189" s="35"/>
      <c r="O189" s="35"/>
      <c r="P189" s="35"/>
      <c r="Q189" s="35"/>
      <c r="R189" s="35"/>
      <c r="S189" s="35"/>
      <c r="T189" s="35"/>
      <c r="U189" s="35"/>
      <c r="V189" s="35"/>
      <c r="W189" s="35"/>
      <c r="X189" s="35"/>
      <c r="Y189" s="35"/>
      <c r="Z189" s="35"/>
      <c r="AA189" s="35"/>
      <c r="AB189" s="35"/>
      <c r="AC189" s="35"/>
      <c r="AD189" s="35"/>
      <c r="AE189" s="35"/>
      <c r="AF189" s="35"/>
      <c r="AG189" s="35"/>
      <c r="AH189" s="35"/>
      <c r="AI189" s="35"/>
      <c r="AJ189" s="35"/>
      <c r="AK189" s="35"/>
      <c r="AL189" s="35"/>
      <c r="AM189" s="35"/>
      <c r="AN189" s="35"/>
      <c r="AO189" s="35"/>
      <c r="AP189" s="35"/>
      <c r="AQ189" s="35"/>
      <c r="AR189" s="35"/>
      <c r="AS189" s="35"/>
      <c r="AT189" s="35"/>
      <c r="AU189" s="35"/>
      <c r="AV189" s="35"/>
      <c r="AW189" s="35"/>
      <c r="AX189" s="35"/>
      <c r="AY189" s="35"/>
      <c r="AZ189" s="35"/>
      <c r="BA189" s="35"/>
      <c r="BB189" s="35"/>
      <c r="BC189" s="35"/>
      <c r="BD189" s="35"/>
      <c r="BE189" s="35"/>
      <c r="BF189" s="35"/>
      <c r="BG189" s="35"/>
      <c r="BH189" s="35"/>
      <c r="BI189" s="35"/>
      <c r="BJ189" s="35"/>
      <c r="BK189" s="35"/>
      <c r="BL189" s="35"/>
    </row>
    <row r="190" spans="1:64" ht="14">
      <c r="A190" s="36"/>
      <c r="B190" s="37"/>
      <c r="C190" s="38">
        <f t="shared" si="6"/>
        <v>0</v>
      </c>
      <c r="D190" s="39"/>
      <c r="E190" s="39"/>
      <c r="F190" s="39"/>
      <c r="G190" s="39"/>
      <c r="H190" s="40"/>
      <c r="I190" s="41"/>
      <c r="J190" s="39"/>
      <c r="K190" s="43">
        <f t="shared" si="7"/>
        <v>0</v>
      </c>
      <c r="L190" s="39"/>
      <c r="M190" s="42" t="str">
        <f t="shared" si="8"/>
        <v/>
      </c>
      <c r="N190" s="35"/>
      <c r="O190" s="35"/>
      <c r="P190" s="35"/>
      <c r="Q190" s="35"/>
      <c r="R190" s="35"/>
      <c r="S190" s="35"/>
      <c r="T190" s="35"/>
      <c r="U190" s="35"/>
      <c r="V190" s="35"/>
      <c r="W190" s="35"/>
      <c r="X190" s="35"/>
      <c r="Y190" s="35"/>
      <c r="Z190" s="35"/>
      <c r="AA190" s="35"/>
      <c r="AB190" s="35"/>
      <c r="AC190" s="35"/>
      <c r="AD190" s="35"/>
      <c r="AE190" s="35"/>
      <c r="AF190" s="35"/>
      <c r="AG190" s="35"/>
      <c r="AH190" s="35"/>
      <c r="AI190" s="35"/>
      <c r="AJ190" s="35"/>
      <c r="AK190" s="35"/>
      <c r="AL190" s="35"/>
      <c r="AM190" s="35"/>
      <c r="AN190" s="35"/>
      <c r="AO190" s="35"/>
      <c r="AP190" s="35"/>
      <c r="AQ190" s="35"/>
      <c r="AR190" s="35"/>
      <c r="AS190" s="35"/>
      <c r="AT190" s="35"/>
      <c r="AU190" s="35"/>
      <c r="AV190" s="35"/>
      <c r="AW190" s="35"/>
      <c r="AX190" s="35"/>
      <c r="AY190" s="35"/>
      <c r="AZ190" s="35"/>
      <c r="BA190" s="35"/>
      <c r="BB190" s="35"/>
      <c r="BC190" s="35"/>
      <c r="BD190" s="35"/>
      <c r="BE190" s="35"/>
      <c r="BF190" s="35"/>
      <c r="BG190" s="35"/>
      <c r="BH190" s="35"/>
      <c r="BI190" s="35"/>
      <c r="BJ190" s="35"/>
      <c r="BK190" s="35"/>
      <c r="BL190" s="35"/>
    </row>
    <row r="191" spans="1:64" ht="14">
      <c r="A191" s="36"/>
      <c r="B191" s="37"/>
      <c r="C191" s="38">
        <f t="shared" si="6"/>
        <v>0</v>
      </c>
      <c r="D191" s="39"/>
      <c r="E191" s="39"/>
      <c r="F191" s="39"/>
      <c r="G191" s="39"/>
      <c r="H191" s="40"/>
      <c r="I191" s="41"/>
      <c r="J191" s="39"/>
      <c r="K191" s="43">
        <f t="shared" si="7"/>
        <v>0</v>
      </c>
      <c r="L191" s="39"/>
      <c r="M191" s="42" t="str">
        <f t="shared" si="8"/>
        <v/>
      </c>
      <c r="N191" s="35"/>
      <c r="O191" s="35"/>
      <c r="P191" s="35"/>
      <c r="Q191" s="35"/>
      <c r="R191" s="35"/>
      <c r="S191" s="35"/>
      <c r="T191" s="35"/>
      <c r="U191" s="35"/>
      <c r="V191" s="35"/>
      <c r="W191" s="35"/>
      <c r="X191" s="35"/>
      <c r="Y191" s="35"/>
      <c r="Z191" s="35"/>
      <c r="AA191" s="35"/>
      <c r="AB191" s="35"/>
      <c r="AC191" s="35"/>
      <c r="AD191" s="35"/>
      <c r="AE191" s="35"/>
      <c r="AF191" s="35"/>
      <c r="AG191" s="35"/>
      <c r="AH191" s="35"/>
      <c r="AI191" s="35"/>
      <c r="AJ191" s="35"/>
      <c r="AK191" s="35"/>
      <c r="AL191" s="35"/>
      <c r="AM191" s="35"/>
      <c r="AN191" s="35"/>
      <c r="AO191" s="35"/>
      <c r="AP191" s="35"/>
      <c r="AQ191" s="35"/>
      <c r="AR191" s="35"/>
      <c r="AS191" s="35"/>
      <c r="AT191" s="35"/>
      <c r="AU191" s="35"/>
      <c r="AV191" s="35"/>
      <c r="AW191" s="35"/>
      <c r="AX191" s="35"/>
      <c r="AY191" s="35"/>
      <c r="AZ191" s="35"/>
      <c r="BA191" s="35"/>
      <c r="BB191" s="35"/>
      <c r="BC191" s="35"/>
      <c r="BD191" s="35"/>
      <c r="BE191" s="35"/>
      <c r="BF191" s="35"/>
      <c r="BG191" s="35"/>
      <c r="BH191" s="35"/>
      <c r="BI191" s="35"/>
      <c r="BJ191" s="35"/>
      <c r="BK191" s="35"/>
      <c r="BL191" s="35"/>
    </row>
    <row r="192" spans="1:64" ht="14">
      <c r="A192" s="36"/>
      <c r="B192" s="37"/>
      <c r="C192" s="38">
        <f t="shared" si="6"/>
        <v>0</v>
      </c>
      <c r="D192" s="39"/>
      <c r="E192" s="39"/>
      <c r="F192" s="39"/>
      <c r="G192" s="39"/>
      <c r="H192" s="40"/>
      <c r="I192" s="41"/>
      <c r="J192" s="39"/>
      <c r="K192" s="43">
        <f t="shared" si="7"/>
        <v>0</v>
      </c>
      <c r="L192" s="39"/>
      <c r="M192" s="42" t="str">
        <f t="shared" si="8"/>
        <v/>
      </c>
      <c r="N192" s="35"/>
      <c r="O192" s="35"/>
      <c r="P192" s="35"/>
      <c r="Q192" s="35"/>
      <c r="R192" s="35"/>
      <c r="S192" s="35"/>
      <c r="T192" s="35"/>
      <c r="U192" s="35"/>
      <c r="V192" s="35"/>
      <c r="W192" s="35"/>
      <c r="X192" s="35"/>
      <c r="Y192" s="35"/>
      <c r="Z192" s="35"/>
      <c r="AA192" s="35"/>
      <c r="AB192" s="35"/>
      <c r="AC192" s="35"/>
      <c r="AD192" s="35"/>
      <c r="AE192" s="35"/>
      <c r="AF192" s="35"/>
      <c r="AG192" s="35"/>
      <c r="AH192" s="35"/>
      <c r="AI192" s="35"/>
      <c r="AJ192" s="35"/>
      <c r="AK192" s="35"/>
      <c r="AL192" s="35"/>
      <c r="AM192" s="35"/>
      <c r="AN192" s="35"/>
      <c r="AO192" s="35"/>
      <c r="AP192" s="35"/>
      <c r="AQ192" s="35"/>
      <c r="AR192" s="35"/>
      <c r="AS192" s="35"/>
      <c r="AT192" s="35"/>
      <c r="AU192" s="35"/>
      <c r="AV192" s="35"/>
      <c r="AW192" s="35"/>
      <c r="AX192" s="35"/>
      <c r="AY192" s="35"/>
      <c r="AZ192" s="35"/>
      <c r="BA192" s="35"/>
      <c r="BB192" s="35"/>
      <c r="BC192" s="35"/>
      <c r="BD192" s="35"/>
      <c r="BE192" s="35"/>
      <c r="BF192" s="35"/>
      <c r="BG192" s="35"/>
      <c r="BH192" s="35"/>
      <c r="BI192" s="35"/>
      <c r="BJ192" s="35"/>
      <c r="BK192" s="35"/>
      <c r="BL192" s="35"/>
    </row>
    <row r="193" spans="1:64" ht="14">
      <c r="A193" s="36"/>
      <c r="B193" s="37"/>
      <c r="C193" s="38">
        <f t="shared" si="6"/>
        <v>0</v>
      </c>
      <c r="D193" s="39"/>
      <c r="E193" s="39"/>
      <c r="F193" s="39"/>
      <c r="G193" s="39"/>
      <c r="H193" s="40"/>
      <c r="I193" s="41"/>
      <c r="J193" s="39"/>
      <c r="K193" s="43">
        <f t="shared" si="7"/>
        <v>0</v>
      </c>
      <c r="L193" s="39"/>
      <c r="M193" s="42" t="str">
        <f t="shared" si="8"/>
        <v/>
      </c>
      <c r="N193" s="35"/>
      <c r="O193" s="35"/>
      <c r="P193" s="35"/>
      <c r="Q193" s="35"/>
      <c r="R193" s="35"/>
      <c r="S193" s="35"/>
      <c r="T193" s="35"/>
      <c r="U193" s="35"/>
      <c r="V193" s="35"/>
      <c r="W193" s="35"/>
      <c r="X193" s="35"/>
      <c r="Y193" s="35"/>
      <c r="Z193" s="35"/>
      <c r="AA193" s="35"/>
      <c r="AB193" s="35"/>
      <c r="AC193" s="35"/>
      <c r="AD193" s="35"/>
      <c r="AE193" s="35"/>
      <c r="AF193" s="35"/>
      <c r="AG193" s="35"/>
      <c r="AH193" s="35"/>
      <c r="AI193" s="35"/>
      <c r="AJ193" s="35"/>
      <c r="AK193" s="35"/>
      <c r="AL193" s="35"/>
      <c r="AM193" s="35"/>
      <c r="AN193" s="35"/>
      <c r="AO193" s="35"/>
      <c r="AP193" s="35"/>
      <c r="AQ193" s="35"/>
      <c r="AR193" s="35"/>
      <c r="AS193" s="35"/>
      <c r="AT193" s="35"/>
      <c r="AU193" s="35"/>
      <c r="AV193" s="35"/>
      <c r="AW193" s="35"/>
      <c r="AX193" s="35"/>
      <c r="AY193" s="35"/>
      <c r="AZ193" s="35"/>
      <c r="BA193" s="35"/>
      <c r="BB193" s="35"/>
      <c r="BC193" s="35"/>
      <c r="BD193" s="35"/>
      <c r="BE193" s="35"/>
      <c r="BF193" s="35"/>
      <c r="BG193" s="35"/>
      <c r="BH193" s="35"/>
      <c r="BI193" s="35"/>
      <c r="BJ193" s="35"/>
      <c r="BK193" s="35"/>
      <c r="BL193" s="35"/>
    </row>
    <row r="194" spans="1:64" ht="14">
      <c r="A194" s="36"/>
      <c r="B194" s="37"/>
      <c r="C194" s="38">
        <f t="shared" si="6"/>
        <v>0</v>
      </c>
      <c r="D194" s="39"/>
      <c r="E194" s="39"/>
      <c r="F194" s="39"/>
      <c r="G194" s="39"/>
      <c r="H194" s="40"/>
      <c r="I194" s="41"/>
      <c r="J194" s="39"/>
      <c r="K194" s="43">
        <f t="shared" si="7"/>
        <v>0</v>
      </c>
      <c r="L194" s="39"/>
      <c r="M194" s="42" t="str">
        <f t="shared" si="8"/>
        <v/>
      </c>
      <c r="N194" s="35"/>
      <c r="O194" s="35"/>
      <c r="P194" s="35"/>
      <c r="Q194" s="35"/>
      <c r="R194" s="35"/>
      <c r="S194" s="35"/>
      <c r="T194" s="35"/>
      <c r="U194" s="35"/>
      <c r="V194" s="35"/>
      <c r="W194" s="35"/>
      <c r="X194" s="35"/>
      <c r="Y194" s="35"/>
      <c r="Z194" s="35"/>
      <c r="AA194" s="35"/>
      <c r="AB194" s="35"/>
      <c r="AC194" s="35"/>
      <c r="AD194" s="35"/>
      <c r="AE194" s="35"/>
      <c r="AF194" s="35"/>
      <c r="AG194" s="35"/>
      <c r="AH194" s="35"/>
      <c r="AI194" s="35"/>
      <c r="AJ194" s="35"/>
      <c r="AK194" s="35"/>
      <c r="AL194" s="35"/>
      <c r="AM194" s="35"/>
      <c r="AN194" s="35"/>
      <c r="AO194" s="35"/>
      <c r="AP194" s="35"/>
      <c r="AQ194" s="35"/>
      <c r="AR194" s="35"/>
      <c r="AS194" s="35"/>
      <c r="AT194" s="35"/>
      <c r="AU194" s="35"/>
      <c r="AV194" s="35"/>
      <c r="AW194" s="35"/>
      <c r="AX194" s="35"/>
      <c r="AY194" s="35"/>
      <c r="AZ194" s="35"/>
      <c r="BA194" s="35"/>
      <c r="BB194" s="35"/>
      <c r="BC194" s="35"/>
      <c r="BD194" s="35"/>
      <c r="BE194" s="35"/>
      <c r="BF194" s="35"/>
      <c r="BG194" s="35"/>
      <c r="BH194" s="35"/>
      <c r="BI194" s="35"/>
      <c r="BJ194" s="35"/>
      <c r="BK194" s="35"/>
      <c r="BL194" s="35"/>
    </row>
    <row r="195" spans="1:64" ht="14">
      <c r="A195" s="36"/>
      <c r="B195" s="37"/>
      <c r="C195" s="38">
        <f t="shared" si="6"/>
        <v>0</v>
      </c>
      <c r="D195" s="39"/>
      <c r="E195" s="39"/>
      <c r="F195" s="39"/>
      <c r="G195" s="39"/>
      <c r="H195" s="40"/>
      <c r="I195" s="41"/>
      <c r="J195" s="39"/>
      <c r="K195" s="43">
        <f t="shared" si="7"/>
        <v>0</v>
      </c>
      <c r="L195" s="39"/>
      <c r="M195" s="42" t="str">
        <f t="shared" si="8"/>
        <v/>
      </c>
      <c r="N195" s="35"/>
      <c r="O195" s="35"/>
      <c r="P195" s="35"/>
      <c r="Q195" s="35"/>
      <c r="R195" s="35"/>
      <c r="S195" s="35"/>
      <c r="T195" s="35"/>
      <c r="U195" s="35"/>
      <c r="V195" s="35"/>
      <c r="W195" s="35"/>
      <c r="X195" s="35"/>
      <c r="Y195" s="35"/>
      <c r="Z195" s="35"/>
      <c r="AA195" s="35"/>
      <c r="AB195" s="35"/>
      <c r="AC195" s="35"/>
      <c r="AD195" s="35"/>
      <c r="AE195" s="35"/>
      <c r="AF195" s="35"/>
      <c r="AG195" s="35"/>
      <c r="AH195" s="35"/>
      <c r="AI195" s="35"/>
      <c r="AJ195" s="35"/>
      <c r="AK195" s="35"/>
      <c r="AL195" s="35"/>
      <c r="AM195" s="35"/>
      <c r="AN195" s="35"/>
      <c r="AO195" s="35"/>
      <c r="AP195" s="35"/>
      <c r="AQ195" s="35"/>
      <c r="AR195" s="35"/>
      <c r="AS195" s="35"/>
      <c r="AT195" s="35"/>
      <c r="AU195" s="35"/>
      <c r="AV195" s="35"/>
      <c r="AW195" s="35"/>
      <c r="AX195" s="35"/>
      <c r="AY195" s="35"/>
      <c r="AZ195" s="35"/>
      <c r="BA195" s="35"/>
      <c r="BB195" s="35"/>
      <c r="BC195" s="35"/>
      <c r="BD195" s="35"/>
      <c r="BE195" s="35"/>
      <c r="BF195" s="35"/>
      <c r="BG195" s="35"/>
      <c r="BH195" s="35"/>
      <c r="BI195" s="35"/>
      <c r="BJ195" s="35"/>
      <c r="BK195" s="35"/>
      <c r="BL195" s="35"/>
    </row>
    <row r="196" spans="1:64" ht="14">
      <c r="A196" s="36"/>
      <c r="B196" s="37"/>
      <c r="C196" s="38">
        <f t="shared" si="6"/>
        <v>0</v>
      </c>
      <c r="D196" s="39"/>
      <c r="E196" s="39"/>
      <c r="F196" s="39"/>
      <c r="G196" s="39"/>
      <c r="H196" s="40"/>
      <c r="I196" s="41"/>
      <c r="J196" s="39"/>
      <c r="K196" s="43">
        <f t="shared" si="7"/>
        <v>0</v>
      </c>
      <c r="L196" s="39"/>
      <c r="M196" s="42" t="str">
        <f t="shared" si="8"/>
        <v/>
      </c>
      <c r="N196" s="35"/>
      <c r="O196" s="35"/>
      <c r="P196" s="35"/>
      <c r="Q196" s="35"/>
      <c r="R196" s="35"/>
      <c r="S196" s="35"/>
      <c r="T196" s="35"/>
      <c r="U196" s="35"/>
      <c r="V196" s="35"/>
      <c r="W196" s="35"/>
      <c r="X196" s="35"/>
      <c r="Y196" s="35"/>
      <c r="Z196" s="35"/>
      <c r="AA196" s="35"/>
      <c r="AB196" s="35"/>
      <c r="AC196" s="35"/>
      <c r="AD196" s="35"/>
      <c r="AE196" s="35"/>
      <c r="AF196" s="35"/>
      <c r="AG196" s="35"/>
      <c r="AH196" s="35"/>
      <c r="AI196" s="35"/>
      <c r="AJ196" s="35"/>
      <c r="AK196" s="35"/>
      <c r="AL196" s="35"/>
      <c r="AM196" s="35"/>
      <c r="AN196" s="35"/>
      <c r="AO196" s="35"/>
      <c r="AP196" s="35"/>
      <c r="AQ196" s="35"/>
      <c r="AR196" s="35"/>
      <c r="AS196" s="35"/>
      <c r="AT196" s="35"/>
      <c r="AU196" s="35"/>
      <c r="AV196" s="35"/>
      <c r="AW196" s="35"/>
      <c r="AX196" s="35"/>
      <c r="AY196" s="35"/>
      <c r="AZ196" s="35"/>
      <c r="BA196" s="35"/>
      <c r="BB196" s="35"/>
      <c r="BC196" s="35"/>
      <c r="BD196" s="35"/>
      <c r="BE196" s="35"/>
      <c r="BF196" s="35"/>
      <c r="BG196" s="35"/>
      <c r="BH196" s="35"/>
      <c r="BI196" s="35"/>
      <c r="BJ196" s="35"/>
      <c r="BK196" s="35"/>
      <c r="BL196" s="35"/>
    </row>
    <row r="197" spans="1:64" ht="14">
      <c r="A197" s="36"/>
      <c r="B197" s="37"/>
      <c r="C197" s="38">
        <f t="shared" si="6"/>
        <v>0</v>
      </c>
      <c r="D197" s="39"/>
      <c r="E197" s="39"/>
      <c r="F197" s="39"/>
      <c r="G197" s="39"/>
      <c r="H197" s="40"/>
      <c r="I197" s="41"/>
      <c r="J197" s="39"/>
      <c r="K197" s="43">
        <f t="shared" si="7"/>
        <v>0</v>
      </c>
      <c r="L197" s="39"/>
      <c r="M197" s="42" t="str">
        <f t="shared" si="8"/>
        <v/>
      </c>
      <c r="N197" s="35"/>
      <c r="O197" s="35"/>
      <c r="P197" s="35"/>
      <c r="Q197" s="35"/>
      <c r="R197" s="35"/>
      <c r="S197" s="35"/>
      <c r="T197" s="35"/>
      <c r="U197" s="35"/>
      <c r="V197" s="35"/>
      <c r="W197" s="35"/>
      <c r="X197" s="35"/>
      <c r="Y197" s="35"/>
      <c r="Z197" s="35"/>
      <c r="AA197" s="35"/>
      <c r="AB197" s="35"/>
      <c r="AC197" s="35"/>
      <c r="AD197" s="35"/>
      <c r="AE197" s="35"/>
      <c r="AF197" s="35"/>
      <c r="AG197" s="35"/>
      <c r="AH197" s="35"/>
      <c r="AI197" s="35"/>
      <c r="AJ197" s="35"/>
      <c r="AK197" s="35"/>
      <c r="AL197" s="35"/>
      <c r="AM197" s="35"/>
      <c r="AN197" s="35"/>
      <c r="AO197" s="35"/>
      <c r="AP197" s="35"/>
      <c r="AQ197" s="35"/>
      <c r="AR197" s="35"/>
      <c r="AS197" s="35"/>
      <c r="AT197" s="35"/>
      <c r="AU197" s="35"/>
      <c r="AV197" s="35"/>
      <c r="AW197" s="35"/>
      <c r="AX197" s="35"/>
      <c r="AY197" s="35"/>
      <c r="AZ197" s="35"/>
      <c r="BA197" s="35"/>
      <c r="BB197" s="35"/>
      <c r="BC197" s="35"/>
      <c r="BD197" s="35"/>
      <c r="BE197" s="35"/>
      <c r="BF197" s="35"/>
      <c r="BG197" s="35"/>
      <c r="BH197" s="35"/>
      <c r="BI197" s="35"/>
      <c r="BJ197" s="35"/>
      <c r="BK197" s="35"/>
      <c r="BL197" s="35"/>
    </row>
    <row r="198" spans="1:64" ht="14">
      <c r="A198" s="36"/>
      <c r="B198" s="37"/>
      <c r="C198" s="38">
        <f t="shared" si="6"/>
        <v>0</v>
      </c>
      <c r="D198" s="39"/>
      <c r="E198" s="39"/>
      <c r="F198" s="39"/>
      <c r="G198" s="39"/>
      <c r="H198" s="40"/>
      <c r="I198" s="41"/>
      <c r="J198" s="39"/>
      <c r="K198" s="43">
        <f t="shared" si="7"/>
        <v>0</v>
      </c>
      <c r="L198" s="39"/>
      <c r="M198" s="42" t="str">
        <f t="shared" si="8"/>
        <v/>
      </c>
      <c r="N198" s="35"/>
      <c r="O198" s="35"/>
      <c r="P198" s="35"/>
      <c r="Q198" s="35"/>
      <c r="R198" s="35"/>
      <c r="S198" s="35"/>
      <c r="T198" s="35"/>
      <c r="U198" s="35"/>
      <c r="V198" s="35"/>
      <c r="W198" s="35"/>
      <c r="X198" s="35"/>
      <c r="Y198" s="35"/>
      <c r="Z198" s="35"/>
      <c r="AA198" s="35"/>
      <c r="AB198" s="35"/>
      <c r="AC198" s="35"/>
      <c r="AD198" s="35"/>
      <c r="AE198" s="35"/>
      <c r="AF198" s="35"/>
      <c r="AG198" s="35"/>
      <c r="AH198" s="35"/>
      <c r="AI198" s="35"/>
      <c r="AJ198" s="35"/>
      <c r="AK198" s="35"/>
      <c r="AL198" s="35"/>
      <c r="AM198" s="35"/>
      <c r="AN198" s="35"/>
      <c r="AO198" s="35"/>
      <c r="AP198" s="35"/>
      <c r="AQ198" s="35"/>
      <c r="AR198" s="35"/>
      <c r="AS198" s="35"/>
      <c r="AT198" s="35"/>
      <c r="AU198" s="35"/>
      <c r="AV198" s="35"/>
      <c r="AW198" s="35"/>
      <c r="AX198" s="35"/>
      <c r="AY198" s="35"/>
      <c r="AZ198" s="35"/>
      <c r="BA198" s="35"/>
      <c r="BB198" s="35"/>
      <c r="BC198" s="35"/>
      <c r="BD198" s="35"/>
      <c r="BE198" s="35"/>
      <c r="BF198" s="35"/>
      <c r="BG198" s="35"/>
      <c r="BH198" s="35"/>
      <c r="BI198" s="35"/>
      <c r="BJ198" s="35"/>
      <c r="BK198" s="35"/>
      <c r="BL198" s="35"/>
    </row>
    <row r="199" spans="1:64" ht="14">
      <c r="A199" s="36"/>
      <c r="B199" s="37"/>
      <c r="C199" s="38">
        <f t="shared" si="6"/>
        <v>0</v>
      </c>
      <c r="D199" s="39"/>
      <c r="E199" s="39"/>
      <c r="F199" s="39"/>
      <c r="G199" s="39"/>
      <c r="H199" s="40"/>
      <c r="I199" s="41"/>
      <c r="J199" s="39"/>
      <c r="K199" s="43">
        <f t="shared" si="7"/>
        <v>0</v>
      </c>
      <c r="L199" s="39"/>
      <c r="M199" s="42" t="str">
        <f t="shared" si="8"/>
        <v/>
      </c>
      <c r="N199" s="35"/>
      <c r="O199" s="35"/>
      <c r="P199" s="35"/>
      <c r="Q199" s="35"/>
      <c r="R199" s="35"/>
      <c r="S199" s="35"/>
      <c r="T199" s="35"/>
      <c r="U199" s="35"/>
      <c r="V199" s="35"/>
      <c r="W199" s="35"/>
      <c r="X199" s="35"/>
      <c r="Y199" s="35"/>
      <c r="Z199" s="35"/>
      <c r="AA199" s="35"/>
      <c r="AB199" s="35"/>
      <c r="AC199" s="35"/>
      <c r="AD199" s="35"/>
      <c r="AE199" s="35"/>
      <c r="AF199" s="35"/>
      <c r="AG199" s="35"/>
      <c r="AH199" s="35"/>
      <c r="AI199" s="35"/>
      <c r="AJ199" s="35"/>
      <c r="AK199" s="35"/>
      <c r="AL199" s="35"/>
      <c r="AM199" s="35"/>
      <c r="AN199" s="35"/>
      <c r="AO199" s="35"/>
      <c r="AP199" s="35"/>
      <c r="AQ199" s="35"/>
      <c r="AR199" s="35"/>
      <c r="AS199" s="35"/>
      <c r="AT199" s="35"/>
      <c r="AU199" s="35"/>
      <c r="AV199" s="35"/>
      <c r="AW199" s="35"/>
      <c r="AX199" s="35"/>
      <c r="AY199" s="35"/>
      <c r="AZ199" s="35"/>
      <c r="BA199" s="35"/>
      <c r="BB199" s="35"/>
      <c r="BC199" s="35"/>
      <c r="BD199" s="35"/>
      <c r="BE199" s="35"/>
      <c r="BF199" s="35"/>
      <c r="BG199" s="35"/>
      <c r="BH199" s="35"/>
      <c r="BI199" s="35"/>
      <c r="BJ199" s="35"/>
      <c r="BK199" s="35"/>
      <c r="BL199" s="35"/>
    </row>
    <row r="200" spans="1:64" ht="14">
      <c r="A200" s="36"/>
      <c r="B200" s="37"/>
      <c r="C200" s="38">
        <f t="shared" si="6"/>
        <v>0</v>
      </c>
      <c r="D200" s="39"/>
      <c r="E200" s="39"/>
      <c r="F200" s="39"/>
      <c r="G200" s="39"/>
      <c r="H200" s="40"/>
      <c r="I200" s="41"/>
      <c r="J200" s="39"/>
      <c r="K200" s="43">
        <f t="shared" si="7"/>
        <v>0</v>
      </c>
      <c r="L200" s="39"/>
      <c r="M200" s="42" t="str">
        <f t="shared" si="8"/>
        <v/>
      </c>
      <c r="N200" s="35"/>
      <c r="O200" s="35"/>
      <c r="P200" s="35"/>
      <c r="Q200" s="35"/>
      <c r="R200" s="35"/>
      <c r="S200" s="35"/>
      <c r="T200" s="35"/>
      <c r="U200" s="35"/>
      <c r="V200" s="35"/>
      <c r="W200" s="35"/>
      <c r="X200" s="35"/>
      <c r="Y200" s="35"/>
      <c r="Z200" s="35"/>
      <c r="AA200" s="35"/>
      <c r="AB200" s="35"/>
      <c r="AC200" s="35"/>
      <c r="AD200" s="35"/>
      <c r="AE200" s="35"/>
      <c r="AF200" s="35"/>
      <c r="AG200" s="35"/>
      <c r="AH200" s="35"/>
      <c r="AI200" s="35"/>
      <c r="AJ200" s="35"/>
      <c r="AK200" s="35"/>
      <c r="AL200" s="35"/>
      <c r="AM200" s="35"/>
      <c r="AN200" s="35"/>
      <c r="AO200" s="35"/>
      <c r="AP200" s="35"/>
      <c r="AQ200" s="35"/>
      <c r="AR200" s="35"/>
      <c r="AS200" s="35"/>
      <c r="AT200" s="35"/>
      <c r="AU200" s="35"/>
      <c r="AV200" s="35"/>
      <c r="AW200" s="35"/>
      <c r="AX200" s="35"/>
      <c r="AY200" s="35"/>
      <c r="AZ200" s="35"/>
      <c r="BA200" s="35"/>
      <c r="BB200" s="35"/>
      <c r="BC200" s="35"/>
      <c r="BD200" s="35"/>
      <c r="BE200" s="35"/>
      <c r="BF200" s="35"/>
      <c r="BG200" s="35"/>
      <c r="BH200" s="35"/>
      <c r="BI200" s="35"/>
      <c r="BJ200" s="35"/>
      <c r="BK200" s="35"/>
      <c r="BL200" s="35"/>
    </row>
    <row r="201" spans="1:64" ht="14">
      <c r="A201" s="36"/>
      <c r="B201" s="37"/>
      <c r="C201" s="38">
        <f t="shared" si="6"/>
        <v>0</v>
      </c>
      <c r="D201" s="39"/>
      <c r="E201" s="39"/>
      <c r="F201" s="39"/>
      <c r="G201" s="39"/>
      <c r="H201" s="40"/>
      <c r="I201" s="41"/>
      <c r="J201" s="39"/>
      <c r="K201" s="43">
        <f t="shared" si="7"/>
        <v>0</v>
      </c>
      <c r="L201" s="39"/>
      <c r="M201" s="42" t="str">
        <f t="shared" si="8"/>
        <v/>
      </c>
      <c r="N201" s="35"/>
      <c r="O201" s="35"/>
      <c r="P201" s="35"/>
      <c r="Q201" s="35"/>
      <c r="R201" s="35"/>
      <c r="S201" s="35"/>
      <c r="T201" s="35"/>
      <c r="U201" s="35"/>
      <c r="V201" s="35"/>
      <c r="W201" s="35"/>
      <c r="X201" s="35"/>
      <c r="Y201" s="35"/>
      <c r="Z201" s="35"/>
      <c r="AA201" s="35"/>
      <c r="AB201" s="35"/>
      <c r="AC201" s="35"/>
      <c r="AD201" s="35"/>
      <c r="AE201" s="35"/>
      <c r="AF201" s="35"/>
      <c r="AG201" s="35"/>
      <c r="AH201" s="35"/>
      <c r="AI201" s="35"/>
      <c r="AJ201" s="35"/>
      <c r="AK201" s="35"/>
      <c r="AL201" s="35"/>
      <c r="AM201" s="35"/>
      <c r="AN201" s="35"/>
      <c r="AO201" s="35"/>
      <c r="AP201" s="35"/>
      <c r="AQ201" s="35"/>
      <c r="AR201" s="35"/>
      <c r="AS201" s="35"/>
      <c r="AT201" s="35"/>
      <c r="AU201" s="35"/>
      <c r="AV201" s="35"/>
      <c r="AW201" s="35"/>
      <c r="AX201" s="35"/>
      <c r="AY201" s="35"/>
      <c r="AZ201" s="35"/>
      <c r="BA201" s="35"/>
      <c r="BB201" s="35"/>
      <c r="BC201" s="35"/>
      <c r="BD201" s="35"/>
      <c r="BE201" s="35"/>
      <c r="BF201" s="35"/>
      <c r="BG201" s="35"/>
      <c r="BH201" s="35"/>
      <c r="BI201" s="35"/>
      <c r="BJ201" s="35"/>
      <c r="BK201" s="35"/>
      <c r="BL201" s="35"/>
    </row>
    <row r="202" spans="1:64" ht="14">
      <c r="A202" s="36"/>
      <c r="B202" s="37"/>
      <c r="C202" s="38">
        <f t="shared" ref="C202:C265" si="9">IF($B202&lt;&gt;"",VLOOKUP($B202,Matriz_INM,2,0),0)</f>
        <v>0</v>
      </c>
      <c r="D202" s="39"/>
      <c r="E202" s="39"/>
      <c r="F202" s="39"/>
      <c r="G202" s="39"/>
      <c r="H202" s="40"/>
      <c r="I202" s="41"/>
      <c r="J202" s="39"/>
      <c r="K202" s="43">
        <f t="shared" ref="K202:K265" si="10">IF(M202="%",(IF($J202="EE",4,IF($J202="CE",4,IF($J202="SE",5,IF($J202="ALI",7,IF($J202="AIE",5,0))))))*$C202,$C202*$I202)</f>
        <v>0</v>
      </c>
      <c r="L202" s="39"/>
      <c r="M202" s="42" t="str">
        <f t="shared" ref="M202:M265" si="11">IFERROR(VLOOKUP($B202,Matriz_INM,3,0),"")</f>
        <v/>
      </c>
      <c r="N202" s="35"/>
      <c r="O202" s="35"/>
      <c r="P202" s="35"/>
      <c r="Q202" s="35"/>
      <c r="R202" s="35"/>
      <c r="S202" s="35"/>
      <c r="T202" s="35"/>
      <c r="U202" s="35"/>
      <c r="V202" s="35"/>
      <c r="W202" s="35"/>
      <c r="X202" s="35"/>
      <c r="Y202" s="35"/>
      <c r="Z202" s="35"/>
      <c r="AA202" s="35"/>
      <c r="AB202" s="35"/>
      <c r="AC202" s="35"/>
      <c r="AD202" s="35"/>
      <c r="AE202" s="35"/>
      <c r="AF202" s="35"/>
      <c r="AG202" s="35"/>
      <c r="AH202" s="35"/>
      <c r="AI202" s="35"/>
      <c r="AJ202" s="35"/>
      <c r="AK202" s="35"/>
      <c r="AL202" s="35"/>
      <c r="AM202" s="35"/>
      <c r="AN202" s="35"/>
      <c r="AO202" s="35"/>
      <c r="AP202" s="35"/>
      <c r="AQ202" s="35"/>
      <c r="AR202" s="35"/>
      <c r="AS202" s="35"/>
      <c r="AT202" s="35"/>
      <c r="AU202" s="35"/>
      <c r="AV202" s="35"/>
      <c r="AW202" s="35"/>
      <c r="AX202" s="35"/>
      <c r="AY202" s="35"/>
      <c r="AZ202" s="35"/>
      <c r="BA202" s="35"/>
      <c r="BB202" s="35"/>
      <c r="BC202" s="35"/>
      <c r="BD202" s="35"/>
      <c r="BE202" s="35"/>
      <c r="BF202" s="35"/>
      <c r="BG202" s="35"/>
      <c r="BH202" s="35"/>
      <c r="BI202" s="35"/>
      <c r="BJ202" s="35"/>
      <c r="BK202" s="35"/>
      <c r="BL202" s="35"/>
    </row>
    <row r="203" spans="1:64" ht="14">
      <c r="A203" s="36"/>
      <c r="B203" s="37"/>
      <c r="C203" s="38">
        <f t="shared" si="9"/>
        <v>0</v>
      </c>
      <c r="D203" s="39"/>
      <c r="E203" s="39"/>
      <c r="F203" s="39"/>
      <c r="G203" s="39"/>
      <c r="H203" s="40"/>
      <c r="I203" s="41"/>
      <c r="J203" s="39"/>
      <c r="K203" s="43">
        <f t="shared" si="10"/>
        <v>0</v>
      </c>
      <c r="L203" s="39"/>
      <c r="M203" s="42" t="str">
        <f t="shared" si="11"/>
        <v/>
      </c>
      <c r="N203" s="35"/>
      <c r="O203" s="35"/>
      <c r="P203" s="35"/>
      <c r="Q203" s="35"/>
      <c r="R203" s="35"/>
      <c r="S203" s="35"/>
      <c r="T203" s="35"/>
      <c r="U203" s="35"/>
      <c r="V203" s="35"/>
      <c r="W203" s="35"/>
      <c r="X203" s="35"/>
      <c r="Y203" s="35"/>
      <c r="Z203" s="35"/>
      <c r="AA203" s="35"/>
      <c r="AB203" s="35"/>
      <c r="AC203" s="35"/>
      <c r="AD203" s="35"/>
      <c r="AE203" s="35"/>
      <c r="AF203" s="35"/>
      <c r="AG203" s="35"/>
      <c r="AH203" s="35"/>
      <c r="AI203" s="35"/>
      <c r="AJ203" s="35"/>
      <c r="AK203" s="35"/>
      <c r="AL203" s="35"/>
      <c r="AM203" s="35"/>
      <c r="AN203" s="35"/>
      <c r="AO203" s="35"/>
      <c r="AP203" s="35"/>
      <c r="AQ203" s="35"/>
      <c r="AR203" s="35"/>
      <c r="AS203" s="35"/>
      <c r="AT203" s="35"/>
      <c r="AU203" s="35"/>
      <c r="AV203" s="35"/>
      <c r="AW203" s="35"/>
      <c r="AX203" s="35"/>
      <c r="AY203" s="35"/>
      <c r="AZ203" s="35"/>
      <c r="BA203" s="35"/>
      <c r="BB203" s="35"/>
      <c r="BC203" s="35"/>
      <c r="BD203" s="35"/>
      <c r="BE203" s="35"/>
      <c r="BF203" s="35"/>
      <c r="BG203" s="35"/>
      <c r="BH203" s="35"/>
      <c r="BI203" s="35"/>
      <c r="BJ203" s="35"/>
      <c r="BK203" s="35"/>
      <c r="BL203" s="35"/>
    </row>
    <row r="204" spans="1:64" ht="14">
      <c r="A204" s="36"/>
      <c r="B204" s="37"/>
      <c r="C204" s="38">
        <f t="shared" si="9"/>
        <v>0</v>
      </c>
      <c r="D204" s="39"/>
      <c r="E204" s="39"/>
      <c r="F204" s="39"/>
      <c r="G204" s="39"/>
      <c r="H204" s="40"/>
      <c r="I204" s="41"/>
      <c r="J204" s="39"/>
      <c r="K204" s="43">
        <f t="shared" si="10"/>
        <v>0</v>
      </c>
      <c r="L204" s="39"/>
      <c r="M204" s="42" t="str">
        <f t="shared" si="11"/>
        <v/>
      </c>
      <c r="N204" s="35"/>
      <c r="O204" s="35"/>
      <c r="P204" s="35"/>
      <c r="Q204" s="35"/>
      <c r="R204" s="35"/>
      <c r="S204" s="35"/>
      <c r="T204" s="35"/>
      <c r="U204" s="35"/>
      <c r="V204" s="35"/>
      <c r="W204" s="35"/>
      <c r="X204" s="35"/>
      <c r="Y204" s="35"/>
      <c r="Z204" s="35"/>
      <c r="AA204" s="35"/>
      <c r="AB204" s="35"/>
      <c r="AC204" s="35"/>
      <c r="AD204" s="35"/>
      <c r="AE204" s="35"/>
      <c r="AF204" s="35"/>
      <c r="AG204" s="35"/>
      <c r="AH204" s="35"/>
      <c r="AI204" s="35"/>
      <c r="AJ204" s="35"/>
      <c r="AK204" s="35"/>
      <c r="AL204" s="35"/>
      <c r="AM204" s="35"/>
      <c r="AN204" s="35"/>
      <c r="AO204" s="35"/>
      <c r="AP204" s="35"/>
      <c r="AQ204" s="35"/>
      <c r="AR204" s="35"/>
      <c r="AS204" s="35"/>
      <c r="AT204" s="35"/>
      <c r="AU204" s="35"/>
      <c r="AV204" s="35"/>
      <c r="AW204" s="35"/>
      <c r="AX204" s="35"/>
      <c r="AY204" s="35"/>
      <c r="AZ204" s="35"/>
      <c r="BA204" s="35"/>
      <c r="BB204" s="35"/>
      <c r="BC204" s="35"/>
      <c r="BD204" s="35"/>
      <c r="BE204" s="35"/>
      <c r="BF204" s="35"/>
      <c r="BG204" s="35"/>
      <c r="BH204" s="35"/>
      <c r="BI204" s="35"/>
      <c r="BJ204" s="35"/>
      <c r="BK204" s="35"/>
      <c r="BL204" s="35"/>
    </row>
    <row r="205" spans="1:64" ht="14">
      <c r="A205" s="36"/>
      <c r="B205" s="37"/>
      <c r="C205" s="38">
        <f t="shared" si="9"/>
        <v>0</v>
      </c>
      <c r="D205" s="39"/>
      <c r="E205" s="39"/>
      <c r="F205" s="39"/>
      <c r="G205" s="39"/>
      <c r="H205" s="40"/>
      <c r="I205" s="41"/>
      <c r="J205" s="39"/>
      <c r="K205" s="43">
        <f t="shared" si="10"/>
        <v>0</v>
      </c>
      <c r="L205" s="39"/>
      <c r="M205" s="42" t="str">
        <f t="shared" si="11"/>
        <v/>
      </c>
      <c r="N205" s="35"/>
      <c r="O205" s="35"/>
      <c r="P205" s="35"/>
      <c r="Q205" s="35"/>
      <c r="R205" s="35"/>
      <c r="S205" s="35"/>
      <c r="T205" s="35"/>
      <c r="U205" s="35"/>
      <c r="V205" s="35"/>
      <c r="W205" s="35"/>
      <c r="X205" s="35"/>
      <c r="Y205" s="35"/>
      <c r="Z205" s="35"/>
      <c r="AA205" s="35"/>
      <c r="AB205" s="35"/>
      <c r="AC205" s="35"/>
      <c r="AD205" s="35"/>
      <c r="AE205" s="35"/>
      <c r="AF205" s="35"/>
      <c r="AG205" s="35"/>
      <c r="AH205" s="35"/>
      <c r="AI205" s="35"/>
      <c r="AJ205" s="35"/>
      <c r="AK205" s="35"/>
      <c r="AL205" s="35"/>
      <c r="AM205" s="35"/>
      <c r="AN205" s="35"/>
      <c r="AO205" s="35"/>
      <c r="AP205" s="35"/>
      <c r="AQ205" s="35"/>
      <c r="AR205" s="35"/>
      <c r="AS205" s="35"/>
      <c r="AT205" s="35"/>
      <c r="AU205" s="35"/>
      <c r="AV205" s="35"/>
      <c r="AW205" s="35"/>
      <c r="AX205" s="35"/>
      <c r="AY205" s="35"/>
      <c r="AZ205" s="35"/>
      <c r="BA205" s="35"/>
      <c r="BB205" s="35"/>
      <c r="BC205" s="35"/>
      <c r="BD205" s="35"/>
      <c r="BE205" s="35"/>
      <c r="BF205" s="35"/>
      <c r="BG205" s="35"/>
      <c r="BH205" s="35"/>
      <c r="BI205" s="35"/>
      <c r="BJ205" s="35"/>
      <c r="BK205" s="35"/>
      <c r="BL205" s="35"/>
    </row>
    <row r="206" spans="1:64" ht="14">
      <c r="A206" s="36"/>
      <c r="B206" s="37"/>
      <c r="C206" s="38">
        <f t="shared" si="9"/>
        <v>0</v>
      </c>
      <c r="D206" s="39"/>
      <c r="E206" s="39"/>
      <c r="F206" s="39"/>
      <c r="G206" s="39"/>
      <c r="H206" s="40"/>
      <c r="I206" s="41"/>
      <c r="J206" s="39"/>
      <c r="K206" s="43">
        <f t="shared" si="10"/>
        <v>0</v>
      </c>
      <c r="L206" s="39"/>
      <c r="M206" s="42" t="str">
        <f t="shared" si="11"/>
        <v/>
      </c>
      <c r="N206" s="35"/>
      <c r="O206" s="35"/>
      <c r="P206" s="35"/>
      <c r="Q206" s="35"/>
      <c r="R206" s="35"/>
      <c r="S206" s="35"/>
      <c r="T206" s="35"/>
      <c r="U206" s="35"/>
      <c r="V206" s="35"/>
      <c r="W206" s="35"/>
      <c r="X206" s="35"/>
      <c r="Y206" s="35"/>
      <c r="Z206" s="35"/>
      <c r="AA206" s="35"/>
      <c r="AB206" s="35"/>
      <c r="AC206" s="35"/>
      <c r="AD206" s="35"/>
      <c r="AE206" s="35"/>
      <c r="AF206" s="35"/>
      <c r="AG206" s="35"/>
      <c r="AH206" s="35"/>
      <c r="AI206" s="35"/>
      <c r="AJ206" s="35"/>
      <c r="AK206" s="35"/>
      <c r="AL206" s="35"/>
      <c r="AM206" s="35"/>
      <c r="AN206" s="35"/>
      <c r="AO206" s="35"/>
      <c r="AP206" s="35"/>
      <c r="AQ206" s="35"/>
      <c r="AR206" s="35"/>
      <c r="AS206" s="35"/>
      <c r="AT206" s="35"/>
      <c r="AU206" s="35"/>
      <c r="AV206" s="35"/>
      <c r="AW206" s="35"/>
      <c r="AX206" s="35"/>
      <c r="AY206" s="35"/>
      <c r="AZ206" s="35"/>
      <c r="BA206" s="35"/>
      <c r="BB206" s="35"/>
      <c r="BC206" s="35"/>
      <c r="BD206" s="35"/>
      <c r="BE206" s="35"/>
      <c r="BF206" s="35"/>
      <c r="BG206" s="35"/>
      <c r="BH206" s="35"/>
      <c r="BI206" s="35"/>
      <c r="BJ206" s="35"/>
      <c r="BK206" s="35"/>
      <c r="BL206" s="35"/>
    </row>
    <row r="207" spans="1:64" ht="14">
      <c r="A207" s="36"/>
      <c r="B207" s="37"/>
      <c r="C207" s="38">
        <f t="shared" si="9"/>
        <v>0</v>
      </c>
      <c r="D207" s="39"/>
      <c r="E207" s="39"/>
      <c r="F207" s="39"/>
      <c r="G207" s="39"/>
      <c r="H207" s="40"/>
      <c r="I207" s="41"/>
      <c r="J207" s="39"/>
      <c r="K207" s="43">
        <f t="shared" si="10"/>
        <v>0</v>
      </c>
      <c r="L207" s="39"/>
      <c r="M207" s="42" t="str">
        <f t="shared" si="11"/>
        <v/>
      </c>
      <c r="N207" s="35"/>
      <c r="O207" s="35"/>
      <c r="P207" s="35"/>
      <c r="Q207" s="35"/>
      <c r="R207" s="35"/>
      <c r="S207" s="35"/>
      <c r="T207" s="35"/>
      <c r="U207" s="35"/>
      <c r="V207" s="35"/>
      <c r="W207" s="35"/>
      <c r="X207" s="35"/>
      <c r="Y207" s="35"/>
      <c r="Z207" s="35"/>
      <c r="AA207" s="35"/>
      <c r="AB207" s="35"/>
      <c r="AC207" s="35"/>
      <c r="AD207" s="35"/>
      <c r="AE207" s="35"/>
      <c r="AF207" s="35"/>
      <c r="AG207" s="35"/>
      <c r="AH207" s="35"/>
      <c r="AI207" s="35"/>
      <c r="AJ207" s="35"/>
      <c r="AK207" s="35"/>
      <c r="AL207" s="35"/>
      <c r="AM207" s="35"/>
      <c r="AN207" s="35"/>
      <c r="AO207" s="35"/>
      <c r="AP207" s="35"/>
      <c r="AQ207" s="35"/>
      <c r="AR207" s="35"/>
      <c r="AS207" s="35"/>
      <c r="AT207" s="35"/>
      <c r="AU207" s="35"/>
      <c r="AV207" s="35"/>
      <c r="AW207" s="35"/>
      <c r="AX207" s="35"/>
      <c r="AY207" s="35"/>
      <c r="AZ207" s="35"/>
      <c r="BA207" s="35"/>
      <c r="BB207" s="35"/>
      <c r="BC207" s="35"/>
      <c r="BD207" s="35"/>
      <c r="BE207" s="35"/>
      <c r="BF207" s="35"/>
      <c r="BG207" s="35"/>
      <c r="BH207" s="35"/>
      <c r="BI207" s="35"/>
      <c r="BJ207" s="35"/>
      <c r="BK207" s="35"/>
      <c r="BL207" s="35"/>
    </row>
    <row r="208" spans="1:64" ht="14">
      <c r="A208" s="36"/>
      <c r="B208" s="37"/>
      <c r="C208" s="38">
        <f t="shared" si="9"/>
        <v>0</v>
      </c>
      <c r="D208" s="39"/>
      <c r="E208" s="39"/>
      <c r="F208" s="39"/>
      <c r="G208" s="39"/>
      <c r="H208" s="40"/>
      <c r="I208" s="41"/>
      <c r="J208" s="39"/>
      <c r="K208" s="43">
        <f t="shared" si="10"/>
        <v>0</v>
      </c>
      <c r="L208" s="39"/>
      <c r="M208" s="42" t="str">
        <f t="shared" si="11"/>
        <v/>
      </c>
      <c r="N208" s="35"/>
      <c r="O208" s="35"/>
      <c r="P208" s="35"/>
      <c r="Q208" s="35"/>
      <c r="R208" s="35"/>
      <c r="S208" s="35"/>
      <c r="T208" s="35"/>
      <c r="U208" s="35"/>
      <c r="V208" s="35"/>
      <c r="W208" s="35"/>
      <c r="X208" s="35"/>
      <c r="Y208" s="35"/>
      <c r="Z208" s="35"/>
      <c r="AA208" s="35"/>
      <c r="AB208" s="35"/>
      <c r="AC208" s="35"/>
      <c r="AD208" s="35"/>
      <c r="AE208" s="35"/>
      <c r="AF208" s="35"/>
      <c r="AG208" s="35"/>
      <c r="AH208" s="35"/>
      <c r="AI208" s="35"/>
      <c r="AJ208" s="35"/>
      <c r="AK208" s="35"/>
      <c r="AL208" s="35"/>
      <c r="AM208" s="35"/>
      <c r="AN208" s="35"/>
      <c r="AO208" s="35"/>
      <c r="AP208" s="35"/>
      <c r="AQ208" s="35"/>
      <c r="AR208" s="35"/>
      <c r="AS208" s="35"/>
      <c r="AT208" s="35"/>
      <c r="AU208" s="35"/>
      <c r="AV208" s="35"/>
      <c r="AW208" s="35"/>
      <c r="AX208" s="35"/>
      <c r="AY208" s="35"/>
      <c r="AZ208" s="35"/>
      <c r="BA208" s="35"/>
      <c r="BB208" s="35"/>
      <c r="BC208" s="35"/>
      <c r="BD208" s="35"/>
      <c r="BE208" s="35"/>
      <c r="BF208" s="35"/>
      <c r="BG208" s="35"/>
      <c r="BH208" s="35"/>
      <c r="BI208" s="35"/>
      <c r="BJ208" s="35"/>
      <c r="BK208" s="35"/>
      <c r="BL208" s="35"/>
    </row>
    <row r="209" spans="1:64" ht="14">
      <c r="A209" s="36"/>
      <c r="B209" s="37"/>
      <c r="C209" s="38">
        <f t="shared" si="9"/>
        <v>0</v>
      </c>
      <c r="D209" s="39"/>
      <c r="E209" s="39"/>
      <c r="F209" s="39"/>
      <c r="G209" s="39"/>
      <c r="H209" s="40"/>
      <c r="I209" s="41"/>
      <c r="J209" s="39"/>
      <c r="K209" s="43">
        <f t="shared" si="10"/>
        <v>0</v>
      </c>
      <c r="L209" s="39"/>
      <c r="M209" s="42" t="str">
        <f t="shared" si="11"/>
        <v/>
      </c>
      <c r="N209" s="35"/>
      <c r="O209" s="35"/>
      <c r="P209" s="35"/>
      <c r="Q209" s="35"/>
      <c r="R209" s="35"/>
      <c r="S209" s="35"/>
      <c r="T209" s="35"/>
      <c r="U209" s="35"/>
      <c r="V209" s="35"/>
      <c r="W209" s="35"/>
      <c r="X209" s="35"/>
      <c r="Y209" s="35"/>
      <c r="Z209" s="35"/>
      <c r="AA209" s="35"/>
      <c r="AB209" s="35"/>
      <c r="AC209" s="35"/>
      <c r="AD209" s="35"/>
      <c r="AE209" s="35"/>
      <c r="AF209" s="35"/>
      <c r="AG209" s="35"/>
      <c r="AH209" s="35"/>
      <c r="AI209" s="35"/>
      <c r="AJ209" s="35"/>
      <c r="AK209" s="35"/>
      <c r="AL209" s="35"/>
      <c r="AM209" s="35"/>
      <c r="AN209" s="35"/>
      <c r="AO209" s="35"/>
      <c r="AP209" s="35"/>
      <c r="AQ209" s="35"/>
      <c r="AR209" s="35"/>
      <c r="AS209" s="35"/>
      <c r="AT209" s="35"/>
      <c r="AU209" s="35"/>
      <c r="AV209" s="35"/>
      <c r="AW209" s="35"/>
      <c r="AX209" s="35"/>
      <c r="AY209" s="35"/>
      <c r="AZ209" s="35"/>
      <c r="BA209" s="35"/>
      <c r="BB209" s="35"/>
      <c r="BC209" s="35"/>
      <c r="BD209" s="35"/>
      <c r="BE209" s="35"/>
      <c r="BF209" s="35"/>
      <c r="BG209" s="35"/>
      <c r="BH209" s="35"/>
      <c r="BI209" s="35"/>
      <c r="BJ209" s="35"/>
      <c r="BK209" s="35"/>
      <c r="BL209" s="35"/>
    </row>
    <row r="210" spans="1:64" ht="14">
      <c r="A210" s="36"/>
      <c r="B210" s="37"/>
      <c r="C210" s="38">
        <f t="shared" si="9"/>
        <v>0</v>
      </c>
      <c r="D210" s="39"/>
      <c r="E210" s="39"/>
      <c r="F210" s="39"/>
      <c r="G210" s="39"/>
      <c r="H210" s="40"/>
      <c r="I210" s="41"/>
      <c r="J210" s="39"/>
      <c r="K210" s="43">
        <f t="shared" si="10"/>
        <v>0</v>
      </c>
      <c r="L210" s="39"/>
      <c r="M210" s="42" t="str">
        <f t="shared" si="11"/>
        <v/>
      </c>
      <c r="N210" s="35"/>
      <c r="O210" s="35"/>
      <c r="P210" s="35"/>
      <c r="Q210" s="35"/>
      <c r="R210" s="35"/>
      <c r="S210" s="35"/>
      <c r="T210" s="35"/>
      <c r="U210" s="35"/>
      <c r="V210" s="35"/>
      <c r="W210" s="35"/>
      <c r="X210" s="35"/>
      <c r="Y210" s="35"/>
      <c r="Z210" s="35"/>
      <c r="AA210" s="35"/>
      <c r="AB210" s="35"/>
      <c r="AC210" s="35"/>
      <c r="AD210" s="35"/>
      <c r="AE210" s="35"/>
      <c r="AF210" s="35"/>
      <c r="AG210" s="35"/>
      <c r="AH210" s="35"/>
      <c r="AI210" s="35"/>
      <c r="AJ210" s="35"/>
      <c r="AK210" s="35"/>
      <c r="AL210" s="35"/>
      <c r="AM210" s="35"/>
      <c r="AN210" s="35"/>
      <c r="AO210" s="35"/>
      <c r="AP210" s="35"/>
      <c r="AQ210" s="35"/>
      <c r="AR210" s="35"/>
      <c r="AS210" s="35"/>
      <c r="AT210" s="35"/>
      <c r="AU210" s="35"/>
      <c r="AV210" s="35"/>
      <c r="AW210" s="35"/>
      <c r="AX210" s="35"/>
      <c r="AY210" s="35"/>
      <c r="AZ210" s="35"/>
      <c r="BA210" s="35"/>
      <c r="BB210" s="35"/>
      <c r="BC210" s="35"/>
      <c r="BD210" s="35"/>
      <c r="BE210" s="35"/>
      <c r="BF210" s="35"/>
      <c r="BG210" s="35"/>
      <c r="BH210" s="35"/>
      <c r="BI210" s="35"/>
      <c r="BJ210" s="35"/>
      <c r="BK210" s="35"/>
      <c r="BL210" s="35"/>
    </row>
    <row r="211" spans="1:64" ht="14">
      <c r="A211" s="36"/>
      <c r="B211" s="37"/>
      <c r="C211" s="38">
        <f t="shared" si="9"/>
        <v>0</v>
      </c>
      <c r="D211" s="39"/>
      <c r="E211" s="39"/>
      <c r="F211" s="39"/>
      <c r="G211" s="39"/>
      <c r="H211" s="40"/>
      <c r="I211" s="41"/>
      <c r="J211" s="39"/>
      <c r="K211" s="43">
        <f t="shared" si="10"/>
        <v>0</v>
      </c>
      <c r="L211" s="39"/>
      <c r="M211" s="42" t="str">
        <f t="shared" si="11"/>
        <v/>
      </c>
      <c r="N211" s="35"/>
      <c r="O211" s="35"/>
      <c r="P211" s="35"/>
      <c r="Q211" s="35"/>
      <c r="R211" s="35"/>
      <c r="S211" s="35"/>
      <c r="T211" s="35"/>
      <c r="U211" s="35"/>
      <c r="V211" s="35"/>
      <c r="W211" s="35"/>
      <c r="X211" s="35"/>
      <c r="Y211" s="35"/>
      <c r="Z211" s="35"/>
      <c r="AA211" s="35"/>
      <c r="AB211" s="35"/>
      <c r="AC211" s="35"/>
      <c r="AD211" s="35"/>
      <c r="AE211" s="35"/>
      <c r="AF211" s="35"/>
      <c r="AG211" s="35"/>
      <c r="AH211" s="35"/>
      <c r="AI211" s="35"/>
      <c r="AJ211" s="35"/>
      <c r="AK211" s="35"/>
      <c r="AL211" s="35"/>
      <c r="AM211" s="35"/>
      <c r="AN211" s="35"/>
      <c r="AO211" s="35"/>
      <c r="AP211" s="35"/>
      <c r="AQ211" s="35"/>
      <c r="AR211" s="35"/>
      <c r="AS211" s="35"/>
      <c r="AT211" s="35"/>
      <c r="AU211" s="35"/>
      <c r="AV211" s="35"/>
      <c r="AW211" s="35"/>
      <c r="AX211" s="35"/>
      <c r="AY211" s="35"/>
      <c r="AZ211" s="35"/>
      <c r="BA211" s="35"/>
      <c r="BB211" s="35"/>
      <c r="BC211" s="35"/>
      <c r="BD211" s="35"/>
      <c r="BE211" s="35"/>
      <c r="BF211" s="35"/>
      <c r="BG211" s="35"/>
      <c r="BH211" s="35"/>
      <c r="BI211" s="35"/>
      <c r="BJ211" s="35"/>
      <c r="BK211" s="35"/>
      <c r="BL211" s="35"/>
    </row>
    <row r="212" spans="1:64" ht="14">
      <c r="A212" s="36"/>
      <c r="B212" s="37"/>
      <c r="C212" s="38">
        <f t="shared" si="9"/>
        <v>0</v>
      </c>
      <c r="D212" s="39"/>
      <c r="E212" s="39"/>
      <c r="F212" s="39"/>
      <c r="G212" s="39"/>
      <c r="H212" s="40"/>
      <c r="I212" s="41"/>
      <c r="J212" s="39"/>
      <c r="K212" s="43">
        <f t="shared" si="10"/>
        <v>0</v>
      </c>
      <c r="L212" s="39"/>
      <c r="M212" s="42" t="str">
        <f t="shared" si="11"/>
        <v/>
      </c>
      <c r="N212" s="35"/>
      <c r="O212" s="35"/>
      <c r="P212" s="35"/>
      <c r="Q212" s="35"/>
      <c r="R212" s="35"/>
      <c r="S212" s="35"/>
      <c r="T212" s="35"/>
      <c r="U212" s="35"/>
      <c r="V212" s="35"/>
      <c r="W212" s="35"/>
      <c r="X212" s="35"/>
      <c r="Y212" s="35"/>
      <c r="Z212" s="35"/>
      <c r="AA212" s="35"/>
      <c r="AB212" s="35"/>
      <c r="AC212" s="35"/>
      <c r="AD212" s="35"/>
      <c r="AE212" s="35"/>
      <c r="AF212" s="35"/>
      <c r="AG212" s="35"/>
      <c r="AH212" s="35"/>
      <c r="AI212" s="35"/>
      <c r="AJ212" s="35"/>
      <c r="AK212" s="35"/>
      <c r="AL212" s="35"/>
      <c r="AM212" s="35"/>
      <c r="AN212" s="35"/>
      <c r="AO212" s="35"/>
      <c r="AP212" s="35"/>
      <c r="AQ212" s="35"/>
      <c r="AR212" s="35"/>
      <c r="AS212" s="35"/>
      <c r="AT212" s="35"/>
      <c r="AU212" s="35"/>
      <c r="AV212" s="35"/>
      <c r="AW212" s="35"/>
      <c r="AX212" s="35"/>
      <c r="AY212" s="35"/>
      <c r="AZ212" s="35"/>
      <c r="BA212" s="35"/>
      <c r="BB212" s="35"/>
      <c r="BC212" s="35"/>
      <c r="BD212" s="35"/>
      <c r="BE212" s="35"/>
      <c r="BF212" s="35"/>
      <c r="BG212" s="35"/>
      <c r="BH212" s="35"/>
      <c r="BI212" s="35"/>
      <c r="BJ212" s="35"/>
      <c r="BK212" s="35"/>
      <c r="BL212" s="35"/>
    </row>
    <row r="213" spans="1:64" ht="14">
      <c r="A213" s="36"/>
      <c r="B213" s="37"/>
      <c r="C213" s="38">
        <f t="shared" si="9"/>
        <v>0</v>
      </c>
      <c r="D213" s="39"/>
      <c r="E213" s="39"/>
      <c r="F213" s="39"/>
      <c r="G213" s="39"/>
      <c r="H213" s="40"/>
      <c r="I213" s="41"/>
      <c r="J213" s="39"/>
      <c r="K213" s="43">
        <f t="shared" si="10"/>
        <v>0</v>
      </c>
      <c r="L213" s="39"/>
      <c r="M213" s="42" t="str">
        <f t="shared" si="11"/>
        <v/>
      </c>
      <c r="N213" s="35"/>
      <c r="O213" s="35"/>
      <c r="P213" s="35"/>
      <c r="Q213" s="35"/>
      <c r="R213" s="35"/>
      <c r="S213" s="35"/>
      <c r="T213" s="35"/>
      <c r="U213" s="35"/>
      <c r="V213" s="35"/>
      <c r="W213" s="35"/>
      <c r="X213" s="35"/>
      <c r="Y213" s="35"/>
      <c r="Z213" s="35"/>
      <c r="AA213" s="35"/>
      <c r="AB213" s="35"/>
      <c r="AC213" s="35"/>
      <c r="AD213" s="35"/>
      <c r="AE213" s="35"/>
      <c r="AF213" s="35"/>
      <c r="AG213" s="35"/>
      <c r="AH213" s="35"/>
      <c r="AI213" s="35"/>
      <c r="AJ213" s="35"/>
      <c r="AK213" s="35"/>
      <c r="AL213" s="35"/>
      <c r="AM213" s="35"/>
      <c r="AN213" s="35"/>
      <c r="AO213" s="35"/>
      <c r="AP213" s="35"/>
      <c r="AQ213" s="35"/>
      <c r="AR213" s="35"/>
      <c r="AS213" s="35"/>
      <c r="AT213" s="35"/>
      <c r="AU213" s="35"/>
      <c r="AV213" s="35"/>
      <c r="AW213" s="35"/>
      <c r="AX213" s="35"/>
      <c r="AY213" s="35"/>
      <c r="AZ213" s="35"/>
      <c r="BA213" s="35"/>
      <c r="BB213" s="35"/>
      <c r="BC213" s="35"/>
      <c r="BD213" s="35"/>
      <c r="BE213" s="35"/>
      <c r="BF213" s="35"/>
      <c r="BG213" s="35"/>
      <c r="BH213" s="35"/>
      <c r="BI213" s="35"/>
      <c r="BJ213" s="35"/>
      <c r="BK213" s="35"/>
      <c r="BL213" s="35"/>
    </row>
    <row r="214" spans="1:64" ht="14">
      <c r="A214" s="36"/>
      <c r="B214" s="37"/>
      <c r="C214" s="38">
        <f t="shared" si="9"/>
        <v>0</v>
      </c>
      <c r="D214" s="39"/>
      <c r="E214" s="39"/>
      <c r="F214" s="39"/>
      <c r="G214" s="39"/>
      <c r="H214" s="40"/>
      <c r="I214" s="41"/>
      <c r="J214" s="39"/>
      <c r="K214" s="43">
        <f t="shared" si="10"/>
        <v>0</v>
      </c>
      <c r="L214" s="39"/>
      <c r="M214" s="42" t="str">
        <f t="shared" si="11"/>
        <v/>
      </c>
      <c r="N214" s="35"/>
      <c r="O214" s="35"/>
      <c r="P214" s="35"/>
      <c r="Q214" s="35"/>
      <c r="R214" s="35"/>
      <c r="S214" s="35"/>
      <c r="T214" s="35"/>
      <c r="U214" s="35"/>
      <c r="V214" s="35"/>
      <c r="W214" s="35"/>
      <c r="X214" s="35"/>
      <c r="Y214" s="35"/>
      <c r="Z214" s="35"/>
      <c r="AA214" s="35"/>
      <c r="AB214" s="35"/>
      <c r="AC214" s="35"/>
      <c r="AD214" s="35"/>
      <c r="AE214" s="35"/>
      <c r="AF214" s="35"/>
      <c r="AG214" s="35"/>
      <c r="AH214" s="35"/>
      <c r="AI214" s="35"/>
      <c r="AJ214" s="35"/>
      <c r="AK214" s="35"/>
      <c r="AL214" s="35"/>
      <c r="AM214" s="35"/>
      <c r="AN214" s="35"/>
      <c r="AO214" s="35"/>
      <c r="AP214" s="35"/>
      <c r="AQ214" s="35"/>
      <c r="AR214" s="35"/>
      <c r="AS214" s="35"/>
      <c r="AT214" s="35"/>
      <c r="AU214" s="35"/>
      <c r="AV214" s="35"/>
      <c r="AW214" s="35"/>
      <c r="AX214" s="35"/>
      <c r="AY214" s="35"/>
      <c r="AZ214" s="35"/>
      <c r="BA214" s="35"/>
      <c r="BB214" s="35"/>
      <c r="BC214" s="35"/>
      <c r="BD214" s="35"/>
      <c r="BE214" s="35"/>
      <c r="BF214" s="35"/>
      <c r="BG214" s="35"/>
      <c r="BH214" s="35"/>
      <c r="BI214" s="35"/>
      <c r="BJ214" s="35"/>
      <c r="BK214" s="35"/>
      <c r="BL214" s="35"/>
    </row>
    <row r="215" spans="1:64" ht="14">
      <c r="A215" s="36"/>
      <c r="B215" s="37"/>
      <c r="C215" s="38">
        <f t="shared" si="9"/>
        <v>0</v>
      </c>
      <c r="D215" s="39"/>
      <c r="E215" s="39"/>
      <c r="F215" s="39"/>
      <c r="G215" s="39"/>
      <c r="H215" s="40"/>
      <c r="I215" s="41"/>
      <c r="J215" s="39"/>
      <c r="K215" s="43">
        <f t="shared" si="10"/>
        <v>0</v>
      </c>
      <c r="L215" s="39"/>
      <c r="M215" s="42" t="str">
        <f t="shared" si="11"/>
        <v/>
      </c>
      <c r="N215" s="35"/>
      <c r="O215" s="35"/>
      <c r="P215" s="35"/>
      <c r="Q215" s="35"/>
      <c r="R215" s="35"/>
      <c r="S215" s="35"/>
      <c r="T215" s="35"/>
      <c r="U215" s="35"/>
      <c r="V215" s="35"/>
      <c r="W215" s="35"/>
      <c r="X215" s="35"/>
      <c r="Y215" s="35"/>
      <c r="Z215" s="35"/>
      <c r="AA215" s="35"/>
      <c r="AB215" s="35"/>
      <c r="AC215" s="35"/>
      <c r="AD215" s="35"/>
      <c r="AE215" s="35"/>
      <c r="AF215" s="35"/>
      <c r="AG215" s="35"/>
      <c r="AH215" s="35"/>
      <c r="AI215" s="35"/>
      <c r="AJ215" s="35"/>
      <c r="AK215" s="35"/>
      <c r="AL215" s="35"/>
      <c r="AM215" s="35"/>
      <c r="AN215" s="35"/>
      <c r="AO215" s="35"/>
      <c r="AP215" s="35"/>
      <c r="AQ215" s="35"/>
      <c r="AR215" s="35"/>
      <c r="AS215" s="35"/>
      <c r="AT215" s="35"/>
      <c r="AU215" s="35"/>
      <c r="AV215" s="35"/>
      <c r="AW215" s="35"/>
      <c r="AX215" s="35"/>
      <c r="AY215" s="35"/>
      <c r="AZ215" s="35"/>
      <c r="BA215" s="35"/>
      <c r="BB215" s="35"/>
      <c r="BC215" s="35"/>
      <c r="BD215" s="35"/>
      <c r="BE215" s="35"/>
      <c r="BF215" s="35"/>
      <c r="BG215" s="35"/>
      <c r="BH215" s="35"/>
      <c r="BI215" s="35"/>
      <c r="BJ215" s="35"/>
      <c r="BK215" s="35"/>
      <c r="BL215" s="35"/>
    </row>
    <row r="216" spans="1:64" ht="14">
      <c r="A216" s="36"/>
      <c r="B216" s="37"/>
      <c r="C216" s="38">
        <f t="shared" si="9"/>
        <v>0</v>
      </c>
      <c r="D216" s="39"/>
      <c r="E216" s="39"/>
      <c r="F216" s="39"/>
      <c r="G216" s="39"/>
      <c r="H216" s="40"/>
      <c r="I216" s="41"/>
      <c r="J216" s="39"/>
      <c r="K216" s="43">
        <f t="shared" si="10"/>
        <v>0</v>
      </c>
      <c r="L216" s="39"/>
      <c r="M216" s="42" t="str">
        <f t="shared" si="11"/>
        <v/>
      </c>
      <c r="N216" s="35"/>
      <c r="O216" s="35"/>
      <c r="P216" s="35"/>
      <c r="Q216" s="35"/>
      <c r="R216" s="35"/>
      <c r="S216" s="35"/>
      <c r="T216" s="35"/>
      <c r="U216" s="35"/>
      <c r="V216" s="35"/>
      <c r="W216" s="35"/>
      <c r="X216" s="35"/>
      <c r="Y216" s="35"/>
      <c r="Z216" s="35"/>
      <c r="AA216" s="35"/>
      <c r="AB216" s="35"/>
      <c r="AC216" s="35"/>
      <c r="AD216" s="35"/>
      <c r="AE216" s="35"/>
      <c r="AF216" s="35"/>
      <c r="AG216" s="35"/>
      <c r="AH216" s="35"/>
      <c r="AI216" s="35"/>
      <c r="AJ216" s="35"/>
      <c r="AK216" s="35"/>
      <c r="AL216" s="35"/>
      <c r="AM216" s="35"/>
      <c r="AN216" s="35"/>
      <c r="AO216" s="35"/>
      <c r="AP216" s="35"/>
      <c r="AQ216" s="35"/>
      <c r="AR216" s="35"/>
      <c r="AS216" s="35"/>
      <c r="AT216" s="35"/>
      <c r="AU216" s="35"/>
      <c r="AV216" s="35"/>
      <c r="AW216" s="35"/>
      <c r="AX216" s="35"/>
      <c r="AY216" s="35"/>
      <c r="AZ216" s="35"/>
      <c r="BA216" s="35"/>
      <c r="BB216" s="35"/>
      <c r="BC216" s="35"/>
      <c r="BD216" s="35"/>
      <c r="BE216" s="35"/>
      <c r="BF216" s="35"/>
      <c r="BG216" s="35"/>
      <c r="BH216" s="35"/>
      <c r="BI216" s="35"/>
      <c r="BJ216" s="35"/>
      <c r="BK216" s="35"/>
      <c r="BL216" s="35"/>
    </row>
    <row r="217" spans="1:64" ht="14">
      <c r="A217" s="36"/>
      <c r="B217" s="37"/>
      <c r="C217" s="38">
        <f t="shared" si="9"/>
        <v>0</v>
      </c>
      <c r="D217" s="39"/>
      <c r="E217" s="39"/>
      <c r="F217" s="39"/>
      <c r="G217" s="39"/>
      <c r="H217" s="40"/>
      <c r="I217" s="41"/>
      <c r="J217" s="39"/>
      <c r="K217" s="43">
        <f t="shared" si="10"/>
        <v>0</v>
      </c>
      <c r="L217" s="39"/>
      <c r="M217" s="42" t="str">
        <f t="shared" si="11"/>
        <v/>
      </c>
      <c r="N217" s="35"/>
      <c r="O217" s="35"/>
      <c r="P217" s="35"/>
      <c r="Q217" s="35"/>
      <c r="R217" s="35"/>
      <c r="S217" s="35"/>
      <c r="T217" s="35"/>
      <c r="U217" s="35"/>
      <c r="V217" s="35"/>
      <c r="W217" s="35"/>
      <c r="X217" s="35"/>
      <c r="Y217" s="35"/>
      <c r="Z217" s="35"/>
      <c r="AA217" s="35"/>
      <c r="AB217" s="35"/>
      <c r="AC217" s="35"/>
      <c r="AD217" s="35"/>
      <c r="AE217" s="35"/>
      <c r="AF217" s="35"/>
      <c r="AG217" s="35"/>
      <c r="AH217" s="35"/>
      <c r="AI217" s="35"/>
      <c r="AJ217" s="35"/>
      <c r="AK217" s="35"/>
      <c r="AL217" s="35"/>
      <c r="AM217" s="35"/>
      <c r="AN217" s="35"/>
      <c r="AO217" s="35"/>
      <c r="AP217" s="35"/>
      <c r="AQ217" s="35"/>
      <c r="AR217" s="35"/>
      <c r="AS217" s="35"/>
      <c r="AT217" s="35"/>
      <c r="AU217" s="35"/>
      <c r="AV217" s="35"/>
      <c r="AW217" s="35"/>
      <c r="AX217" s="35"/>
      <c r="AY217" s="35"/>
      <c r="AZ217" s="35"/>
      <c r="BA217" s="35"/>
      <c r="BB217" s="35"/>
      <c r="BC217" s="35"/>
      <c r="BD217" s="35"/>
      <c r="BE217" s="35"/>
      <c r="BF217" s="35"/>
      <c r="BG217" s="35"/>
      <c r="BH217" s="35"/>
      <c r="BI217" s="35"/>
      <c r="BJ217" s="35"/>
      <c r="BK217" s="35"/>
      <c r="BL217" s="35"/>
    </row>
    <row r="218" spans="1:64" ht="14">
      <c r="A218" s="36"/>
      <c r="B218" s="37"/>
      <c r="C218" s="38">
        <f t="shared" si="9"/>
        <v>0</v>
      </c>
      <c r="D218" s="39"/>
      <c r="E218" s="39"/>
      <c r="F218" s="39"/>
      <c r="G218" s="39"/>
      <c r="H218" s="40"/>
      <c r="I218" s="41"/>
      <c r="J218" s="39"/>
      <c r="K218" s="43">
        <f t="shared" si="10"/>
        <v>0</v>
      </c>
      <c r="L218" s="39"/>
      <c r="M218" s="42" t="str">
        <f t="shared" si="11"/>
        <v/>
      </c>
      <c r="N218" s="35"/>
      <c r="O218" s="35"/>
      <c r="P218" s="35"/>
      <c r="Q218" s="35"/>
      <c r="R218" s="35"/>
      <c r="S218" s="35"/>
      <c r="T218" s="35"/>
      <c r="U218" s="35"/>
      <c r="V218" s="35"/>
      <c r="W218" s="35"/>
      <c r="X218" s="35"/>
      <c r="Y218" s="35"/>
      <c r="Z218" s="35"/>
      <c r="AA218" s="35"/>
      <c r="AB218" s="35"/>
      <c r="AC218" s="35"/>
      <c r="AD218" s="35"/>
      <c r="AE218" s="35"/>
      <c r="AF218" s="35"/>
      <c r="AG218" s="35"/>
      <c r="AH218" s="35"/>
      <c r="AI218" s="35"/>
      <c r="AJ218" s="35"/>
      <c r="AK218" s="35"/>
      <c r="AL218" s="35"/>
      <c r="AM218" s="35"/>
      <c r="AN218" s="35"/>
      <c r="AO218" s="35"/>
      <c r="AP218" s="35"/>
      <c r="AQ218" s="35"/>
      <c r="AR218" s="35"/>
      <c r="AS218" s="35"/>
      <c r="AT218" s="35"/>
      <c r="AU218" s="35"/>
      <c r="AV218" s="35"/>
      <c r="AW218" s="35"/>
      <c r="AX218" s="35"/>
      <c r="AY218" s="35"/>
      <c r="AZ218" s="35"/>
      <c r="BA218" s="35"/>
      <c r="BB218" s="35"/>
      <c r="BC218" s="35"/>
      <c r="BD218" s="35"/>
      <c r="BE218" s="35"/>
      <c r="BF218" s="35"/>
      <c r="BG218" s="35"/>
      <c r="BH218" s="35"/>
      <c r="BI218" s="35"/>
      <c r="BJ218" s="35"/>
      <c r="BK218" s="35"/>
      <c r="BL218" s="35"/>
    </row>
    <row r="219" spans="1:64" ht="14">
      <c r="A219" s="36"/>
      <c r="B219" s="37"/>
      <c r="C219" s="38">
        <f t="shared" si="9"/>
        <v>0</v>
      </c>
      <c r="D219" s="39"/>
      <c r="E219" s="39"/>
      <c r="F219" s="39"/>
      <c r="G219" s="39"/>
      <c r="H219" s="40"/>
      <c r="I219" s="41"/>
      <c r="J219" s="39"/>
      <c r="K219" s="43">
        <f t="shared" si="10"/>
        <v>0</v>
      </c>
      <c r="L219" s="39"/>
      <c r="M219" s="42" t="str">
        <f t="shared" si="11"/>
        <v/>
      </c>
      <c r="N219" s="35"/>
      <c r="O219" s="35"/>
      <c r="P219" s="35"/>
      <c r="Q219" s="35"/>
      <c r="R219" s="35"/>
      <c r="S219" s="35"/>
      <c r="T219" s="35"/>
      <c r="U219" s="35"/>
      <c r="V219" s="35"/>
      <c r="W219" s="35"/>
      <c r="X219" s="35"/>
      <c r="Y219" s="35"/>
      <c r="Z219" s="35"/>
      <c r="AA219" s="35"/>
      <c r="AB219" s="35"/>
      <c r="AC219" s="35"/>
      <c r="AD219" s="35"/>
      <c r="AE219" s="35"/>
      <c r="AF219" s="35"/>
      <c r="AG219" s="35"/>
      <c r="AH219" s="35"/>
      <c r="AI219" s="35"/>
      <c r="AJ219" s="35"/>
      <c r="AK219" s="35"/>
      <c r="AL219" s="35"/>
      <c r="AM219" s="35"/>
      <c r="AN219" s="35"/>
      <c r="AO219" s="35"/>
      <c r="AP219" s="35"/>
      <c r="AQ219" s="35"/>
      <c r="AR219" s="35"/>
      <c r="AS219" s="35"/>
      <c r="AT219" s="35"/>
      <c r="AU219" s="35"/>
      <c r="AV219" s="35"/>
      <c r="AW219" s="35"/>
      <c r="AX219" s="35"/>
      <c r="AY219" s="35"/>
      <c r="AZ219" s="35"/>
      <c r="BA219" s="35"/>
      <c r="BB219" s="35"/>
      <c r="BC219" s="35"/>
      <c r="BD219" s="35"/>
      <c r="BE219" s="35"/>
      <c r="BF219" s="35"/>
      <c r="BG219" s="35"/>
      <c r="BH219" s="35"/>
      <c r="BI219" s="35"/>
      <c r="BJ219" s="35"/>
      <c r="BK219" s="35"/>
      <c r="BL219" s="35"/>
    </row>
    <row r="220" spans="1:64" ht="14">
      <c r="A220" s="36"/>
      <c r="B220" s="37"/>
      <c r="C220" s="38">
        <f t="shared" si="9"/>
        <v>0</v>
      </c>
      <c r="D220" s="39"/>
      <c r="E220" s="39"/>
      <c r="F220" s="39"/>
      <c r="G220" s="39"/>
      <c r="H220" s="40"/>
      <c r="I220" s="41"/>
      <c r="J220" s="39"/>
      <c r="K220" s="43">
        <f t="shared" si="10"/>
        <v>0</v>
      </c>
      <c r="L220" s="39"/>
      <c r="M220" s="42" t="str">
        <f t="shared" si="11"/>
        <v/>
      </c>
      <c r="N220" s="35"/>
      <c r="O220" s="35"/>
      <c r="P220" s="35"/>
      <c r="Q220" s="35"/>
      <c r="R220" s="35"/>
      <c r="S220" s="35"/>
      <c r="T220" s="35"/>
      <c r="U220" s="35"/>
      <c r="V220" s="35"/>
      <c r="W220" s="35"/>
      <c r="X220" s="35"/>
      <c r="Y220" s="35"/>
      <c r="Z220" s="35"/>
      <c r="AA220" s="35"/>
      <c r="AB220" s="35"/>
      <c r="AC220" s="35"/>
      <c r="AD220" s="35"/>
      <c r="AE220" s="35"/>
      <c r="AF220" s="35"/>
      <c r="AG220" s="35"/>
      <c r="AH220" s="35"/>
      <c r="AI220" s="35"/>
      <c r="AJ220" s="35"/>
      <c r="AK220" s="35"/>
      <c r="AL220" s="35"/>
      <c r="AM220" s="35"/>
      <c r="AN220" s="35"/>
      <c r="AO220" s="35"/>
      <c r="AP220" s="35"/>
      <c r="AQ220" s="35"/>
      <c r="AR220" s="35"/>
      <c r="AS220" s="35"/>
      <c r="AT220" s="35"/>
      <c r="AU220" s="35"/>
      <c r="AV220" s="35"/>
      <c r="AW220" s="35"/>
      <c r="AX220" s="35"/>
      <c r="AY220" s="35"/>
      <c r="AZ220" s="35"/>
      <c r="BA220" s="35"/>
      <c r="BB220" s="35"/>
      <c r="BC220" s="35"/>
      <c r="BD220" s="35"/>
      <c r="BE220" s="35"/>
      <c r="BF220" s="35"/>
      <c r="BG220" s="35"/>
      <c r="BH220" s="35"/>
      <c r="BI220" s="35"/>
      <c r="BJ220" s="35"/>
      <c r="BK220" s="35"/>
      <c r="BL220" s="35"/>
    </row>
    <row r="221" spans="1:64" ht="14">
      <c r="A221" s="36"/>
      <c r="B221" s="37"/>
      <c r="C221" s="38">
        <f t="shared" si="9"/>
        <v>0</v>
      </c>
      <c r="D221" s="39"/>
      <c r="E221" s="39"/>
      <c r="F221" s="39"/>
      <c r="G221" s="39"/>
      <c r="H221" s="40"/>
      <c r="I221" s="41"/>
      <c r="J221" s="39"/>
      <c r="K221" s="43">
        <f t="shared" si="10"/>
        <v>0</v>
      </c>
      <c r="L221" s="39"/>
      <c r="M221" s="42" t="str">
        <f t="shared" si="11"/>
        <v/>
      </c>
      <c r="N221" s="35"/>
      <c r="O221" s="35"/>
      <c r="P221" s="35"/>
      <c r="Q221" s="35"/>
      <c r="R221" s="35"/>
      <c r="S221" s="35"/>
      <c r="T221" s="35"/>
      <c r="U221" s="35"/>
      <c r="V221" s="35"/>
      <c r="W221" s="35"/>
      <c r="X221" s="35"/>
      <c r="Y221" s="35"/>
      <c r="Z221" s="35"/>
      <c r="AA221" s="35"/>
      <c r="AB221" s="35"/>
      <c r="AC221" s="35"/>
      <c r="AD221" s="35"/>
      <c r="AE221" s="35"/>
      <c r="AF221" s="35"/>
      <c r="AG221" s="35"/>
      <c r="AH221" s="35"/>
      <c r="AI221" s="35"/>
      <c r="AJ221" s="35"/>
      <c r="AK221" s="35"/>
      <c r="AL221" s="35"/>
      <c r="AM221" s="35"/>
      <c r="AN221" s="35"/>
      <c r="AO221" s="35"/>
      <c r="AP221" s="35"/>
      <c r="AQ221" s="35"/>
      <c r="AR221" s="35"/>
      <c r="AS221" s="35"/>
      <c r="AT221" s="35"/>
      <c r="AU221" s="35"/>
      <c r="AV221" s="35"/>
      <c r="AW221" s="35"/>
      <c r="AX221" s="35"/>
      <c r="AY221" s="35"/>
      <c r="AZ221" s="35"/>
      <c r="BA221" s="35"/>
      <c r="BB221" s="35"/>
      <c r="BC221" s="35"/>
      <c r="BD221" s="35"/>
      <c r="BE221" s="35"/>
      <c r="BF221" s="35"/>
      <c r="BG221" s="35"/>
      <c r="BH221" s="35"/>
      <c r="BI221" s="35"/>
      <c r="BJ221" s="35"/>
      <c r="BK221" s="35"/>
      <c r="BL221" s="35"/>
    </row>
    <row r="222" spans="1:64" ht="14">
      <c r="A222" s="36"/>
      <c r="B222" s="37"/>
      <c r="C222" s="38">
        <f t="shared" si="9"/>
        <v>0</v>
      </c>
      <c r="D222" s="39"/>
      <c r="E222" s="39"/>
      <c r="F222" s="39"/>
      <c r="G222" s="39"/>
      <c r="H222" s="40"/>
      <c r="I222" s="41"/>
      <c r="J222" s="39"/>
      <c r="K222" s="43">
        <f t="shared" si="10"/>
        <v>0</v>
      </c>
      <c r="L222" s="39"/>
      <c r="M222" s="42" t="str">
        <f t="shared" si="11"/>
        <v/>
      </c>
      <c r="N222" s="35"/>
      <c r="O222" s="35"/>
      <c r="P222" s="35"/>
      <c r="Q222" s="35"/>
      <c r="R222" s="35"/>
      <c r="S222" s="35"/>
      <c r="T222" s="35"/>
      <c r="U222" s="35"/>
      <c r="V222" s="35"/>
      <c r="W222" s="35"/>
      <c r="X222" s="35"/>
      <c r="Y222" s="35"/>
      <c r="Z222" s="35"/>
      <c r="AA222" s="35"/>
      <c r="AB222" s="35"/>
      <c r="AC222" s="35"/>
      <c r="AD222" s="35"/>
      <c r="AE222" s="35"/>
      <c r="AF222" s="35"/>
      <c r="AG222" s="35"/>
      <c r="AH222" s="35"/>
      <c r="AI222" s="35"/>
      <c r="AJ222" s="35"/>
      <c r="AK222" s="35"/>
      <c r="AL222" s="35"/>
      <c r="AM222" s="35"/>
      <c r="AN222" s="35"/>
      <c r="AO222" s="35"/>
      <c r="AP222" s="35"/>
      <c r="AQ222" s="35"/>
      <c r="AR222" s="35"/>
      <c r="AS222" s="35"/>
      <c r="AT222" s="35"/>
      <c r="AU222" s="35"/>
      <c r="AV222" s="35"/>
      <c r="AW222" s="35"/>
      <c r="AX222" s="35"/>
      <c r="AY222" s="35"/>
      <c r="AZ222" s="35"/>
      <c r="BA222" s="35"/>
      <c r="BB222" s="35"/>
      <c r="BC222" s="35"/>
      <c r="BD222" s="35"/>
      <c r="BE222" s="35"/>
      <c r="BF222" s="35"/>
      <c r="BG222" s="35"/>
      <c r="BH222" s="35"/>
      <c r="BI222" s="35"/>
      <c r="BJ222" s="35"/>
      <c r="BK222" s="35"/>
      <c r="BL222" s="35"/>
    </row>
    <row r="223" spans="1:64" ht="14">
      <c r="A223" s="36"/>
      <c r="B223" s="37"/>
      <c r="C223" s="38">
        <f t="shared" si="9"/>
        <v>0</v>
      </c>
      <c r="D223" s="39"/>
      <c r="E223" s="39"/>
      <c r="F223" s="39"/>
      <c r="G223" s="39"/>
      <c r="H223" s="40"/>
      <c r="I223" s="41"/>
      <c r="J223" s="39"/>
      <c r="K223" s="43">
        <f t="shared" si="10"/>
        <v>0</v>
      </c>
      <c r="L223" s="39"/>
      <c r="M223" s="42" t="str">
        <f t="shared" si="11"/>
        <v/>
      </c>
      <c r="N223" s="35"/>
      <c r="O223" s="35"/>
      <c r="P223" s="35"/>
      <c r="Q223" s="35"/>
      <c r="R223" s="35"/>
      <c r="S223" s="35"/>
      <c r="T223" s="35"/>
      <c r="U223" s="35"/>
      <c r="V223" s="35"/>
      <c r="W223" s="35"/>
      <c r="X223" s="35"/>
      <c r="Y223" s="35"/>
      <c r="Z223" s="35"/>
      <c r="AA223" s="35"/>
      <c r="AB223" s="35"/>
      <c r="AC223" s="35"/>
      <c r="AD223" s="35"/>
      <c r="AE223" s="35"/>
      <c r="AF223" s="35"/>
      <c r="AG223" s="35"/>
      <c r="AH223" s="35"/>
      <c r="AI223" s="35"/>
      <c r="AJ223" s="35"/>
      <c r="AK223" s="35"/>
      <c r="AL223" s="35"/>
      <c r="AM223" s="35"/>
      <c r="AN223" s="35"/>
      <c r="AO223" s="35"/>
      <c r="AP223" s="35"/>
      <c r="AQ223" s="35"/>
      <c r="AR223" s="35"/>
      <c r="AS223" s="35"/>
      <c r="AT223" s="35"/>
      <c r="AU223" s="35"/>
      <c r="AV223" s="35"/>
      <c r="AW223" s="35"/>
      <c r="AX223" s="35"/>
      <c r="AY223" s="35"/>
      <c r="AZ223" s="35"/>
      <c r="BA223" s="35"/>
      <c r="BB223" s="35"/>
      <c r="BC223" s="35"/>
      <c r="BD223" s="35"/>
      <c r="BE223" s="35"/>
      <c r="BF223" s="35"/>
      <c r="BG223" s="35"/>
      <c r="BH223" s="35"/>
      <c r="BI223" s="35"/>
      <c r="BJ223" s="35"/>
      <c r="BK223" s="35"/>
      <c r="BL223" s="35"/>
    </row>
    <row r="224" spans="1:64" ht="14">
      <c r="A224" s="36"/>
      <c r="B224" s="37"/>
      <c r="C224" s="38">
        <f t="shared" si="9"/>
        <v>0</v>
      </c>
      <c r="D224" s="39"/>
      <c r="E224" s="39"/>
      <c r="F224" s="39"/>
      <c r="G224" s="39"/>
      <c r="H224" s="40"/>
      <c r="I224" s="41"/>
      <c r="J224" s="39"/>
      <c r="K224" s="43">
        <f t="shared" si="10"/>
        <v>0</v>
      </c>
      <c r="L224" s="39"/>
      <c r="M224" s="42" t="str">
        <f t="shared" si="11"/>
        <v/>
      </c>
      <c r="N224" s="35"/>
      <c r="O224" s="35"/>
      <c r="P224" s="35"/>
      <c r="Q224" s="35"/>
      <c r="R224" s="35"/>
      <c r="S224" s="35"/>
      <c r="T224" s="35"/>
      <c r="U224" s="35"/>
      <c r="V224" s="35"/>
      <c r="W224" s="35"/>
      <c r="X224" s="35"/>
      <c r="Y224" s="35"/>
      <c r="Z224" s="35"/>
      <c r="AA224" s="35"/>
      <c r="AB224" s="35"/>
      <c r="AC224" s="35"/>
      <c r="AD224" s="35"/>
      <c r="AE224" s="35"/>
      <c r="AF224" s="35"/>
      <c r="AG224" s="35"/>
      <c r="AH224" s="35"/>
      <c r="AI224" s="35"/>
      <c r="AJ224" s="35"/>
      <c r="AK224" s="35"/>
      <c r="AL224" s="35"/>
      <c r="AM224" s="35"/>
      <c r="AN224" s="35"/>
      <c r="AO224" s="35"/>
      <c r="AP224" s="35"/>
      <c r="AQ224" s="35"/>
      <c r="AR224" s="35"/>
      <c r="AS224" s="35"/>
      <c r="AT224" s="35"/>
      <c r="AU224" s="35"/>
      <c r="AV224" s="35"/>
      <c r="AW224" s="35"/>
      <c r="AX224" s="35"/>
      <c r="AY224" s="35"/>
      <c r="AZ224" s="35"/>
      <c r="BA224" s="35"/>
      <c r="BB224" s="35"/>
      <c r="BC224" s="35"/>
      <c r="BD224" s="35"/>
      <c r="BE224" s="35"/>
      <c r="BF224" s="35"/>
      <c r="BG224" s="35"/>
      <c r="BH224" s="35"/>
      <c r="BI224" s="35"/>
      <c r="BJ224" s="35"/>
      <c r="BK224" s="35"/>
      <c r="BL224" s="35"/>
    </row>
    <row r="225" spans="1:64" ht="14">
      <c r="A225" s="36"/>
      <c r="B225" s="37"/>
      <c r="C225" s="38">
        <f t="shared" si="9"/>
        <v>0</v>
      </c>
      <c r="D225" s="39"/>
      <c r="E225" s="39"/>
      <c r="F225" s="39"/>
      <c r="G225" s="39"/>
      <c r="H225" s="40"/>
      <c r="I225" s="41"/>
      <c r="J225" s="39"/>
      <c r="K225" s="43">
        <f t="shared" si="10"/>
        <v>0</v>
      </c>
      <c r="L225" s="39"/>
      <c r="M225" s="42" t="str">
        <f t="shared" si="11"/>
        <v/>
      </c>
      <c r="N225" s="35"/>
      <c r="O225" s="35"/>
      <c r="P225" s="35"/>
      <c r="Q225" s="35"/>
      <c r="R225" s="35"/>
      <c r="S225" s="35"/>
      <c r="T225" s="35"/>
      <c r="U225" s="35"/>
      <c r="V225" s="35"/>
      <c r="W225" s="35"/>
      <c r="X225" s="35"/>
      <c r="Y225" s="35"/>
      <c r="Z225" s="35"/>
      <c r="AA225" s="35"/>
      <c r="AB225" s="35"/>
      <c r="AC225" s="35"/>
      <c r="AD225" s="35"/>
      <c r="AE225" s="35"/>
      <c r="AF225" s="35"/>
      <c r="AG225" s="35"/>
      <c r="AH225" s="35"/>
      <c r="AI225" s="35"/>
      <c r="AJ225" s="35"/>
      <c r="AK225" s="35"/>
      <c r="AL225" s="35"/>
      <c r="AM225" s="35"/>
      <c r="AN225" s="35"/>
      <c r="AO225" s="35"/>
      <c r="AP225" s="35"/>
      <c r="AQ225" s="35"/>
      <c r="AR225" s="35"/>
      <c r="AS225" s="35"/>
      <c r="AT225" s="35"/>
      <c r="AU225" s="35"/>
      <c r="AV225" s="35"/>
      <c r="AW225" s="35"/>
      <c r="AX225" s="35"/>
      <c r="AY225" s="35"/>
      <c r="AZ225" s="35"/>
      <c r="BA225" s="35"/>
      <c r="BB225" s="35"/>
      <c r="BC225" s="35"/>
      <c r="BD225" s="35"/>
      <c r="BE225" s="35"/>
      <c r="BF225" s="35"/>
      <c r="BG225" s="35"/>
      <c r="BH225" s="35"/>
      <c r="BI225" s="35"/>
      <c r="BJ225" s="35"/>
      <c r="BK225" s="35"/>
      <c r="BL225" s="35"/>
    </row>
    <row r="226" spans="1:64" ht="14">
      <c r="A226" s="36"/>
      <c r="B226" s="37"/>
      <c r="C226" s="38">
        <f t="shared" si="9"/>
        <v>0</v>
      </c>
      <c r="D226" s="39"/>
      <c r="E226" s="39"/>
      <c r="F226" s="39"/>
      <c r="G226" s="39"/>
      <c r="H226" s="40"/>
      <c r="I226" s="41"/>
      <c r="J226" s="39"/>
      <c r="K226" s="43">
        <f t="shared" si="10"/>
        <v>0</v>
      </c>
      <c r="L226" s="39"/>
      <c r="M226" s="42" t="str">
        <f t="shared" si="11"/>
        <v/>
      </c>
      <c r="N226" s="35"/>
      <c r="O226" s="35"/>
      <c r="P226" s="35"/>
      <c r="Q226" s="35"/>
      <c r="R226" s="35"/>
      <c r="S226" s="35"/>
      <c r="T226" s="35"/>
      <c r="U226" s="35"/>
      <c r="V226" s="35"/>
      <c r="W226" s="35"/>
      <c r="X226" s="35"/>
      <c r="Y226" s="35"/>
      <c r="Z226" s="35"/>
      <c r="AA226" s="35"/>
      <c r="AB226" s="35"/>
      <c r="AC226" s="35"/>
      <c r="AD226" s="35"/>
      <c r="AE226" s="35"/>
      <c r="AF226" s="35"/>
      <c r="AG226" s="35"/>
      <c r="AH226" s="35"/>
      <c r="AI226" s="35"/>
      <c r="AJ226" s="35"/>
      <c r="AK226" s="35"/>
      <c r="AL226" s="35"/>
      <c r="AM226" s="35"/>
      <c r="AN226" s="35"/>
      <c r="AO226" s="35"/>
      <c r="AP226" s="35"/>
      <c r="AQ226" s="35"/>
      <c r="AR226" s="35"/>
      <c r="AS226" s="35"/>
      <c r="AT226" s="35"/>
      <c r="AU226" s="35"/>
      <c r="AV226" s="35"/>
      <c r="AW226" s="35"/>
      <c r="AX226" s="35"/>
      <c r="AY226" s="35"/>
      <c r="AZ226" s="35"/>
      <c r="BA226" s="35"/>
      <c r="BB226" s="35"/>
      <c r="BC226" s="35"/>
      <c r="BD226" s="35"/>
      <c r="BE226" s="35"/>
      <c r="BF226" s="35"/>
      <c r="BG226" s="35"/>
      <c r="BH226" s="35"/>
      <c r="BI226" s="35"/>
      <c r="BJ226" s="35"/>
      <c r="BK226" s="35"/>
      <c r="BL226" s="35"/>
    </row>
    <row r="227" spans="1:64" ht="14">
      <c r="A227" s="36"/>
      <c r="B227" s="37"/>
      <c r="C227" s="38">
        <f t="shared" si="9"/>
        <v>0</v>
      </c>
      <c r="D227" s="39"/>
      <c r="E227" s="39"/>
      <c r="F227" s="39"/>
      <c r="G227" s="39"/>
      <c r="H227" s="40"/>
      <c r="I227" s="41"/>
      <c r="J227" s="39"/>
      <c r="K227" s="43">
        <f t="shared" si="10"/>
        <v>0</v>
      </c>
      <c r="L227" s="39"/>
      <c r="M227" s="42" t="str">
        <f t="shared" si="11"/>
        <v/>
      </c>
      <c r="N227" s="35"/>
      <c r="O227" s="35"/>
      <c r="P227" s="35"/>
      <c r="Q227" s="35"/>
      <c r="R227" s="35"/>
      <c r="S227" s="35"/>
      <c r="T227" s="35"/>
      <c r="U227" s="35"/>
      <c r="V227" s="35"/>
      <c r="W227" s="35"/>
      <c r="X227" s="35"/>
      <c r="Y227" s="35"/>
      <c r="Z227" s="35"/>
      <c r="AA227" s="35"/>
      <c r="AB227" s="35"/>
      <c r="AC227" s="35"/>
      <c r="AD227" s="35"/>
      <c r="AE227" s="35"/>
      <c r="AF227" s="35"/>
      <c r="AG227" s="35"/>
      <c r="AH227" s="35"/>
      <c r="AI227" s="35"/>
      <c r="AJ227" s="35"/>
      <c r="AK227" s="35"/>
      <c r="AL227" s="35"/>
      <c r="AM227" s="35"/>
      <c r="AN227" s="35"/>
      <c r="AO227" s="35"/>
      <c r="AP227" s="35"/>
      <c r="AQ227" s="35"/>
      <c r="AR227" s="35"/>
      <c r="AS227" s="35"/>
      <c r="AT227" s="35"/>
      <c r="AU227" s="35"/>
      <c r="AV227" s="35"/>
      <c r="AW227" s="35"/>
      <c r="AX227" s="35"/>
      <c r="AY227" s="35"/>
      <c r="AZ227" s="35"/>
      <c r="BA227" s="35"/>
      <c r="BB227" s="35"/>
      <c r="BC227" s="35"/>
      <c r="BD227" s="35"/>
      <c r="BE227" s="35"/>
      <c r="BF227" s="35"/>
      <c r="BG227" s="35"/>
      <c r="BH227" s="35"/>
      <c r="BI227" s="35"/>
      <c r="BJ227" s="35"/>
      <c r="BK227" s="35"/>
      <c r="BL227" s="35"/>
    </row>
    <row r="228" spans="1:64" ht="14">
      <c r="A228" s="36"/>
      <c r="B228" s="37"/>
      <c r="C228" s="38">
        <f t="shared" si="9"/>
        <v>0</v>
      </c>
      <c r="D228" s="39"/>
      <c r="E228" s="39"/>
      <c r="F228" s="39"/>
      <c r="G228" s="39"/>
      <c r="H228" s="40"/>
      <c r="I228" s="41"/>
      <c r="J228" s="39"/>
      <c r="K228" s="43">
        <f t="shared" si="10"/>
        <v>0</v>
      </c>
      <c r="L228" s="39"/>
      <c r="M228" s="42" t="str">
        <f t="shared" si="11"/>
        <v/>
      </c>
      <c r="N228" s="35"/>
      <c r="O228" s="35"/>
      <c r="P228" s="35"/>
      <c r="Q228" s="35"/>
      <c r="R228" s="35"/>
      <c r="S228" s="35"/>
      <c r="T228" s="35"/>
      <c r="U228" s="35"/>
      <c r="V228" s="35"/>
      <c r="W228" s="35"/>
      <c r="X228" s="35"/>
      <c r="Y228" s="35"/>
      <c r="Z228" s="35"/>
      <c r="AA228" s="35"/>
      <c r="AB228" s="35"/>
      <c r="AC228" s="35"/>
      <c r="AD228" s="35"/>
      <c r="AE228" s="35"/>
      <c r="AF228" s="35"/>
      <c r="AG228" s="35"/>
      <c r="AH228" s="35"/>
      <c r="AI228" s="35"/>
      <c r="AJ228" s="35"/>
      <c r="AK228" s="35"/>
      <c r="AL228" s="35"/>
      <c r="AM228" s="35"/>
      <c r="AN228" s="35"/>
      <c r="AO228" s="35"/>
      <c r="AP228" s="35"/>
      <c r="AQ228" s="35"/>
      <c r="AR228" s="35"/>
      <c r="AS228" s="35"/>
      <c r="AT228" s="35"/>
      <c r="AU228" s="35"/>
      <c r="AV228" s="35"/>
      <c r="AW228" s="35"/>
      <c r="AX228" s="35"/>
      <c r="AY228" s="35"/>
      <c r="AZ228" s="35"/>
      <c r="BA228" s="35"/>
      <c r="BB228" s="35"/>
      <c r="BC228" s="35"/>
      <c r="BD228" s="35"/>
      <c r="BE228" s="35"/>
      <c r="BF228" s="35"/>
      <c r="BG228" s="35"/>
      <c r="BH228" s="35"/>
      <c r="BI228" s="35"/>
      <c r="BJ228" s="35"/>
      <c r="BK228" s="35"/>
      <c r="BL228" s="35"/>
    </row>
    <row r="229" spans="1:64" ht="14">
      <c r="A229" s="36"/>
      <c r="B229" s="37"/>
      <c r="C229" s="38">
        <f t="shared" si="9"/>
        <v>0</v>
      </c>
      <c r="D229" s="39"/>
      <c r="E229" s="39"/>
      <c r="F229" s="39"/>
      <c r="G229" s="39"/>
      <c r="H229" s="40"/>
      <c r="I229" s="41"/>
      <c r="J229" s="39"/>
      <c r="K229" s="43">
        <f t="shared" si="10"/>
        <v>0</v>
      </c>
      <c r="L229" s="39"/>
      <c r="M229" s="42" t="str">
        <f t="shared" si="11"/>
        <v/>
      </c>
      <c r="N229" s="35"/>
      <c r="O229" s="35"/>
      <c r="P229" s="35"/>
      <c r="Q229" s="35"/>
      <c r="R229" s="35"/>
      <c r="S229" s="35"/>
      <c r="T229" s="35"/>
      <c r="U229" s="35"/>
      <c r="V229" s="35"/>
      <c r="W229" s="35"/>
      <c r="X229" s="35"/>
      <c r="Y229" s="35"/>
      <c r="Z229" s="35"/>
      <c r="AA229" s="35"/>
      <c r="AB229" s="35"/>
      <c r="AC229" s="35"/>
      <c r="AD229" s="35"/>
      <c r="AE229" s="35"/>
      <c r="AF229" s="35"/>
      <c r="AG229" s="35"/>
      <c r="AH229" s="35"/>
      <c r="AI229" s="35"/>
      <c r="AJ229" s="35"/>
      <c r="AK229" s="35"/>
      <c r="AL229" s="35"/>
      <c r="AM229" s="35"/>
      <c r="AN229" s="35"/>
      <c r="AO229" s="35"/>
      <c r="AP229" s="35"/>
      <c r="AQ229" s="35"/>
      <c r="AR229" s="35"/>
      <c r="AS229" s="35"/>
      <c r="AT229" s="35"/>
      <c r="AU229" s="35"/>
      <c r="AV229" s="35"/>
      <c r="AW229" s="35"/>
      <c r="AX229" s="35"/>
      <c r="AY229" s="35"/>
      <c r="AZ229" s="35"/>
      <c r="BA229" s="35"/>
      <c r="BB229" s="35"/>
      <c r="BC229" s="35"/>
      <c r="BD229" s="35"/>
      <c r="BE229" s="35"/>
      <c r="BF229" s="35"/>
      <c r="BG229" s="35"/>
      <c r="BH229" s="35"/>
      <c r="BI229" s="35"/>
      <c r="BJ229" s="35"/>
      <c r="BK229" s="35"/>
      <c r="BL229" s="35"/>
    </row>
    <row r="230" spans="1:64" ht="14">
      <c r="A230" s="36"/>
      <c r="B230" s="37"/>
      <c r="C230" s="38">
        <f t="shared" si="9"/>
        <v>0</v>
      </c>
      <c r="D230" s="39"/>
      <c r="E230" s="39"/>
      <c r="F230" s="39"/>
      <c r="G230" s="39"/>
      <c r="H230" s="40"/>
      <c r="I230" s="41"/>
      <c r="J230" s="39"/>
      <c r="K230" s="43">
        <f t="shared" si="10"/>
        <v>0</v>
      </c>
      <c r="L230" s="39"/>
      <c r="M230" s="42" t="str">
        <f t="shared" si="11"/>
        <v/>
      </c>
      <c r="N230" s="35"/>
      <c r="O230" s="35"/>
      <c r="P230" s="35"/>
      <c r="Q230" s="35"/>
      <c r="R230" s="35"/>
      <c r="S230" s="35"/>
      <c r="T230" s="35"/>
      <c r="U230" s="35"/>
      <c r="V230" s="35"/>
      <c r="W230" s="35"/>
      <c r="X230" s="35"/>
      <c r="Y230" s="35"/>
      <c r="Z230" s="35"/>
      <c r="AA230" s="35"/>
      <c r="AB230" s="35"/>
      <c r="AC230" s="35"/>
      <c r="AD230" s="35"/>
      <c r="AE230" s="35"/>
      <c r="AF230" s="35"/>
      <c r="AG230" s="35"/>
      <c r="AH230" s="35"/>
      <c r="AI230" s="35"/>
      <c r="AJ230" s="35"/>
      <c r="AK230" s="35"/>
      <c r="AL230" s="35"/>
      <c r="AM230" s="35"/>
      <c r="AN230" s="35"/>
      <c r="AO230" s="35"/>
      <c r="AP230" s="35"/>
      <c r="AQ230" s="35"/>
      <c r="AR230" s="35"/>
      <c r="AS230" s="35"/>
      <c r="AT230" s="35"/>
      <c r="AU230" s="35"/>
      <c r="AV230" s="35"/>
      <c r="AW230" s="35"/>
      <c r="AX230" s="35"/>
      <c r="AY230" s="35"/>
      <c r="AZ230" s="35"/>
      <c r="BA230" s="35"/>
      <c r="BB230" s="35"/>
      <c r="BC230" s="35"/>
      <c r="BD230" s="35"/>
      <c r="BE230" s="35"/>
      <c r="BF230" s="35"/>
      <c r="BG230" s="35"/>
      <c r="BH230" s="35"/>
      <c r="BI230" s="35"/>
      <c r="BJ230" s="35"/>
      <c r="BK230" s="35"/>
      <c r="BL230" s="35"/>
    </row>
    <row r="231" spans="1:64" ht="14">
      <c r="A231" s="36"/>
      <c r="B231" s="37"/>
      <c r="C231" s="38">
        <f t="shared" si="9"/>
        <v>0</v>
      </c>
      <c r="D231" s="39"/>
      <c r="E231" s="39"/>
      <c r="F231" s="39"/>
      <c r="G231" s="39"/>
      <c r="H231" s="40"/>
      <c r="I231" s="41"/>
      <c r="J231" s="39"/>
      <c r="K231" s="43">
        <f t="shared" si="10"/>
        <v>0</v>
      </c>
      <c r="L231" s="39"/>
      <c r="M231" s="42" t="str">
        <f t="shared" si="11"/>
        <v/>
      </c>
      <c r="N231" s="35"/>
      <c r="O231" s="35"/>
      <c r="P231" s="35"/>
      <c r="Q231" s="35"/>
      <c r="R231" s="35"/>
      <c r="S231" s="35"/>
      <c r="T231" s="35"/>
      <c r="U231" s="35"/>
      <c r="V231" s="35"/>
      <c r="W231" s="35"/>
      <c r="X231" s="35"/>
      <c r="Y231" s="35"/>
      <c r="Z231" s="35"/>
      <c r="AA231" s="35"/>
      <c r="AB231" s="35"/>
      <c r="AC231" s="35"/>
      <c r="AD231" s="35"/>
      <c r="AE231" s="35"/>
      <c r="AF231" s="35"/>
      <c r="AG231" s="35"/>
      <c r="AH231" s="35"/>
      <c r="AI231" s="35"/>
      <c r="AJ231" s="35"/>
      <c r="AK231" s="35"/>
      <c r="AL231" s="35"/>
      <c r="AM231" s="35"/>
      <c r="AN231" s="35"/>
      <c r="AO231" s="35"/>
      <c r="AP231" s="35"/>
      <c r="AQ231" s="35"/>
      <c r="AR231" s="35"/>
      <c r="AS231" s="35"/>
      <c r="AT231" s="35"/>
      <c r="AU231" s="35"/>
      <c r="AV231" s="35"/>
      <c r="AW231" s="35"/>
      <c r="AX231" s="35"/>
      <c r="AY231" s="35"/>
      <c r="AZ231" s="35"/>
      <c r="BA231" s="35"/>
      <c r="BB231" s="35"/>
      <c r="BC231" s="35"/>
      <c r="BD231" s="35"/>
      <c r="BE231" s="35"/>
      <c r="BF231" s="35"/>
      <c r="BG231" s="35"/>
      <c r="BH231" s="35"/>
      <c r="BI231" s="35"/>
      <c r="BJ231" s="35"/>
      <c r="BK231" s="35"/>
      <c r="BL231" s="35"/>
    </row>
    <row r="232" spans="1:64" ht="14">
      <c r="A232" s="36"/>
      <c r="B232" s="37"/>
      <c r="C232" s="38">
        <f t="shared" si="9"/>
        <v>0</v>
      </c>
      <c r="D232" s="39"/>
      <c r="E232" s="39"/>
      <c r="F232" s="39"/>
      <c r="G232" s="39"/>
      <c r="H232" s="40"/>
      <c r="I232" s="41"/>
      <c r="J232" s="39"/>
      <c r="K232" s="43">
        <f t="shared" si="10"/>
        <v>0</v>
      </c>
      <c r="L232" s="39"/>
      <c r="M232" s="42" t="str">
        <f t="shared" si="11"/>
        <v/>
      </c>
      <c r="N232" s="35"/>
      <c r="O232" s="35"/>
      <c r="P232" s="35"/>
      <c r="Q232" s="35"/>
      <c r="R232" s="35"/>
      <c r="S232" s="35"/>
      <c r="T232" s="35"/>
      <c r="U232" s="35"/>
      <c r="V232" s="35"/>
      <c r="W232" s="35"/>
      <c r="X232" s="35"/>
      <c r="Y232" s="35"/>
      <c r="Z232" s="35"/>
      <c r="AA232" s="35"/>
      <c r="AB232" s="35"/>
      <c r="AC232" s="35"/>
      <c r="AD232" s="35"/>
      <c r="AE232" s="35"/>
      <c r="AF232" s="35"/>
      <c r="AG232" s="35"/>
      <c r="AH232" s="35"/>
      <c r="AI232" s="35"/>
      <c r="AJ232" s="35"/>
      <c r="AK232" s="35"/>
      <c r="AL232" s="35"/>
      <c r="AM232" s="35"/>
      <c r="AN232" s="35"/>
      <c r="AO232" s="35"/>
      <c r="AP232" s="35"/>
      <c r="AQ232" s="35"/>
      <c r="AR232" s="35"/>
      <c r="AS232" s="35"/>
      <c r="AT232" s="35"/>
      <c r="AU232" s="35"/>
      <c r="AV232" s="35"/>
      <c r="AW232" s="35"/>
      <c r="AX232" s="35"/>
      <c r="AY232" s="35"/>
      <c r="AZ232" s="35"/>
      <c r="BA232" s="35"/>
      <c r="BB232" s="35"/>
      <c r="BC232" s="35"/>
      <c r="BD232" s="35"/>
      <c r="BE232" s="35"/>
      <c r="BF232" s="35"/>
      <c r="BG232" s="35"/>
      <c r="BH232" s="35"/>
      <c r="BI232" s="35"/>
      <c r="BJ232" s="35"/>
      <c r="BK232" s="35"/>
      <c r="BL232" s="35"/>
    </row>
    <row r="233" spans="1:64" ht="14">
      <c r="A233" s="36"/>
      <c r="B233" s="37"/>
      <c r="C233" s="38">
        <f t="shared" si="9"/>
        <v>0</v>
      </c>
      <c r="D233" s="39"/>
      <c r="E233" s="39"/>
      <c r="F233" s="39"/>
      <c r="G233" s="39"/>
      <c r="H233" s="40"/>
      <c r="I233" s="41"/>
      <c r="J233" s="39"/>
      <c r="K233" s="43">
        <f t="shared" si="10"/>
        <v>0</v>
      </c>
      <c r="L233" s="39"/>
      <c r="M233" s="42" t="str">
        <f t="shared" si="11"/>
        <v/>
      </c>
      <c r="N233" s="35"/>
      <c r="O233" s="35"/>
      <c r="P233" s="35"/>
      <c r="Q233" s="35"/>
      <c r="R233" s="35"/>
      <c r="S233" s="35"/>
      <c r="T233" s="35"/>
      <c r="U233" s="35"/>
      <c r="V233" s="35"/>
      <c r="W233" s="35"/>
      <c r="X233" s="35"/>
      <c r="Y233" s="35"/>
      <c r="Z233" s="35"/>
      <c r="AA233" s="35"/>
      <c r="AB233" s="35"/>
      <c r="AC233" s="35"/>
      <c r="AD233" s="35"/>
      <c r="AE233" s="35"/>
      <c r="AF233" s="35"/>
      <c r="AG233" s="35"/>
      <c r="AH233" s="35"/>
      <c r="AI233" s="35"/>
      <c r="AJ233" s="35"/>
      <c r="AK233" s="35"/>
      <c r="AL233" s="35"/>
      <c r="AM233" s="35"/>
      <c r="AN233" s="35"/>
      <c r="AO233" s="35"/>
      <c r="AP233" s="35"/>
      <c r="AQ233" s="35"/>
      <c r="AR233" s="35"/>
      <c r="AS233" s="35"/>
      <c r="AT233" s="35"/>
      <c r="AU233" s="35"/>
      <c r="AV233" s="35"/>
      <c r="AW233" s="35"/>
      <c r="AX233" s="35"/>
      <c r="AY233" s="35"/>
      <c r="AZ233" s="35"/>
      <c r="BA233" s="35"/>
      <c r="BB233" s="35"/>
      <c r="BC233" s="35"/>
      <c r="BD233" s="35"/>
      <c r="BE233" s="35"/>
      <c r="BF233" s="35"/>
      <c r="BG233" s="35"/>
      <c r="BH233" s="35"/>
      <c r="BI233" s="35"/>
      <c r="BJ233" s="35"/>
      <c r="BK233" s="35"/>
      <c r="BL233" s="35"/>
    </row>
    <row r="234" spans="1:64" ht="14">
      <c r="A234" s="36"/>
      <c r="B234" s="37"/>
      <c r="C234" s="38">
        <f t="shared" si="9"/>
        <v>0</v>
      </c>
      <c r="D234" s="39"/>
      <c r="E234" s="39"/>
      <c r="F234" s="39"/>
      <c r="G234" s="39"/>
      <c r="H234" s="40"/>
      <c r="I234" s="41"/>
      <c r="J234" s="39"/>
      <c r="K234" s="43">
        <f t="shared" si="10"/>
        <v>0</v>
      </c>
      <c r="L234" s="39"/>
      <c r="M234" s="42" t="str">
        <f t="shared" si="11"/>
        <v/>
      </c>
      <c r="N234" s="35"/>
      <c r="O234" s="35"/>
      <c r="P234" s="35"/>
      <c r="Q234" s="35"/>
      <c r="R234" s="35"/>
      <c r="S234" s="35"/>
      <c r="T234" s="35"/>
      <c r="U234" s="35"/>
      <c r="V234" s="35"/>
      <c r="W234" s="35"/>
      <c r="X234" s="35"/>
      <c r="Y234" s="35"/>
      <c r="Z234" s="35"/>
      <c r="AA234" s="35"/>
      <c r="AB234" s="35"/>
      <c r="AC234" s="35"/>
      <c r="AD234" s="35"/>
      <c r="AE234" s="35"/>
      <c r="AF234" s="35"/>
      <c r="AG234" s="35"/>
      <c r="AH234" s="35"/>
      <c r="AI234" s="35"/>
      <c r="AJ234" s="35"/>
      <c r="AK234" s="35"/>
      <c r="AL234" s="35"/>
      <c r="AM234" s="35"/>
      <c r="AN234" s="35"/>
      <c r="AO234" s="35"/>
      <c r="AP234" s="35"/>
      <c r="AQ234" s="35"/>
      <c r="AR234" s="35"/>
      <c r="AS234" s="35"/>
      <c r="AT234" s="35"/>
      <c r="AU234" s="35"/>
      <c r="AV234" s="35"/>
      <c r="AW234" s="35"/>
      <c r="AX234" s="35"/>
      <c r="AY234" s="35"/>
      <c r="AZ234" s="35"/>
      <c r="BA234" s="35"/>
      <c r="BB234" s="35"/>
      <c r="BC234" s="35"/>
      <c r="BD234" s="35"/>
      <c r="BE234" s="35"/>
      <c r="BF234" s="35"/>
      <c r="BG234" s="35"/>
      <c r="BH234" s="35"/>
      <c r="BI234" s="35"/>
      <c r="BJ234" s="35"/>
      <c r="BK234" s="35"/>
      <c r="BL234" s="35"/>
    </row>
    <row r="235" spans="1:64" ht="14">
      <c r="A235" s="36"/>
      <c r="B235" s="37"/>
      <c r="C235" s="38">
        <f t="shared" si="9"/>
        <v>0</v>
      </c>
      <c r="D235" s="39"/>
      <c r="E235" s="39"/>
      <c r="F235" s="39"/>
      <c r="G235" s="39"/>
      <c r="H235" s="40"/>
      <c r="I235" s="41"/>
      <c r="J235" s="39"/>
      <c r="K235" s="43">
        <f t="shared" si="10"/>
        <v>0</v>
      </c>
      <c r="L235" s="39"/>
      <c r="M235" s="42" t="str">
        <f t="shared" si="11"/>
        <v/>
      </c>
      <c r="N235" s="35"/>
      <c r="O235" s="35"/>
      <c r="P235" s="35"/>
      <c r="Q235" s="35"/>
      <c r="R235" s="35"/>
      <c r="S235" s="35"/>
      <c r="T235" s="35"/>
      <c r="U235" s="35"/>
      <c r="V235" s="35"/>
      <c r="W235" s="35"/>
      <c r="X235" s="35"/>
      <c r="Y235" s="35"/>
      <c r="Z235" s="35"/>
      <c r="AA235" s="35"/>
      <c r="AB235" s="35"/>
      <c r="AC235" s="35"/>
      <c r="AD235" s="35"/>
      <c r="AE235" s="35"/>
      <c r="AF235" s="35"/>
      <c r="AG235" s="35"/>
      <c r="AH235" s="35"/>
      <c r="AI235" s="35"/>
      <c r="AJ235" s="35"/>
      <c r="AK235" s="35"/>
      <c r="AL235" s="35"/>
      <c r="AM235" s="35"/>
      <c r="AN235" s="35"/>
      <c r="AO235" s="35"/>
      <c r="AP235" s="35"/>
      <c r="AQ235" s="35"/>
      <c r="AR235" s="35"/>
      <c r="AS235" s="35"/>
      <c r="AT235" s="35"/>
      <c r="AU235" s="35"/>
      <c r="AV235" s="35"/>
      <c r="AW235" s="35"/>
      <c r="AX235" s="35"/>
      <c r="AY235" s="35"/>
      <c r="AZ235" s="35"/>
      <c r="BA235" s="35"/>
      <c r="BB235" s="35"/>
      <c r="BC235" s="35"/>
      <c r="BD235" s="35"/>
      <c r="BE235" s="35"/>
      <c r="BF235" s="35"/>
      <c r="BG235" s="35"/>
      <c r="BH235" s="35"/>
      <c r="BI235" s="35"/>
      <c r="BJ235" s="35"/>
      <c r="BK235" s="35"/>
      <c r="BL235" s="35"/>
    </row>
    <row r="236" spans="1:64" ht="14">
      <c r="A236" s="36"/>
      <c r="B236" s="37"/>
      <c r="C236" s="38">
        <f t="shared" si="9"/>
        <v>0</v>
      </c>
      <c r="D236" s="39"/>
      <c r="E236" s="39"/>
      <c r="F236" s="39"/>
      <c r="G236" s="39"/>
      <c r="H236" s="40"/>
      <c r="I236" s="41"/>
      <c r="J236" s="39"/>
      <c r="K236" s="43">
        <f t="shared" si="10"/>
        <v>0</v>
      </c>
      <c r="L236" s="39"/>
      <c r="M236" s="42" t="str">
        <f t="shared" si="11"/>
        <v/>
      </c>
      <c r="N236" s="35"/>
      <c r="O236" s="35"/>
      <c r="P236" s="35"/>
      <c r="Q236" s="35"/>
      <c r="R236" s="35"/>
      <c r="S236" s="35"/>
      <c r="T236" s="35"/>
      <c r="U236" s="35"/>
      <c r="V236" s="35"/>
      <c r="W236" s="35"/>
      <c r="X236" s="35"/>
      <c r="Y236" s="35"/>
      <c r="Z236" s="35"/>
      <c r="AA236" s="35"/>
      <c r="AB236" s="35"/>
      <c r="AC236" s="35"/>
      <c r="AD236" s="35"/>
      <c r="AE236" s="35"/>
      <c r="AF236" s="35"/>
      <c r="AG236" s="35"/>
      <c r="AH236" s="35"/>
      <c r="AI236" s="35"/>
      <c r="AJ236" s="35"/>
      <c r="AK236" s="35"/>
      <c r="AL236" s="35"/>
      <c r="AM236" s="35"/>
      <c r="AN236" s="35"/>
      <c r="AO236" s="35"/>
      <c r="AP236" s="35"/>
      <c r="AQ236" s="35"/>
      <c r="AR236" s="35"/>
      <c r="AS236" s="35"/>
      <c r="AT236" s="35"/>
      <c r="AU236" s="35"/>
      <c r="AV236" s="35"/>
      <c r="AW236" s="35"/>
      <c r="AX236" s="35"/>
      <c r="AY236" s="35"/>
      <c r="AZ236" s="35"/>
      <c r="BA236" s="35"/>
      <c r="BB236" s="35"/>
      <c r="BC236" s="35"/>
      <c r="BD236" s="35"/>
      <c r="BE236" s="35"/>
      <c r="BF236" s="35"/>
      <c r="BG236" s="35"/>
      <c r="BH236" s="35"/>
      <c r="BI236" s="35"/>
      <c r="BJ236" s="35"/>
      <c r="BK236" s="35"/>
      <c r="BL236" s="35"/>
    </row>
    <row r="237" spans="1:64" ht="14">
      <c r="A237" s="36"/>
      <c r="B237" s="37"/>
      <c r="C237" s="38">
        <f t="shared" si="9"/>
        <v>0</v>
      </c>
      <c r="D237" s="39"/>
      <c r="E237" s="39"/>
      <c r="F237" s="39"/>
      <c r="G237" s="39"/>
      <c r="H237" s="40"/>
      <c r="I237" s="41"/>
      <c r="J237" s="39"/>
      <c r="K237" s="43">
        <f t="shared" si="10"/>
        <v>0</v>
      </c>
      <c r="L237" s="39"/>
      <c r="M237" s="42" t="str">
        <f t="shared" si="11"/>
        <v/>
      </c>
      <c r="N237" s="35"/>
      <c r="O237" s="35"/>
      <c r="P237" s="35"/>
      <c r="Q237" s="35"/>
      <c r="R237" s="35"/>
      <c r="S237" s="35"/>
      <c r="T237" s="35"/>
      <c r="U237" s="35"/>
      <c r="V237" s="35"/>
      <c r="W237" s="35"/>
      <c r="X237" s="35"/>
      <c r="Y237" s="35"/>
      <c r="Z237" s="35"/>
      <c r="AA237" s="35"/>
      <c r="AB237" s="35"/>
      <c r="AC237" s="35"/>
      <c r="AD237" s="35"/>
      <c r="AE237" s="35"/>
      <c r="AF237" s="35"/>
      <c r="AG237" s="35"/>
      <c r="AH237" s="35"/>
      <c r="AI237" s="35"/>
      <c r="AJ237" s="35"/>
      <c r="AK237" s="35"/>
      <c r="AL237" s="35"/>
      <c r="AM237" s="35"/>
      <c r="AN237" s="35"/>
      <c r="AO237" s="35"/>
      <c r="AP237" s="35"/>
      <c r="AQ237" s="35"/>
      <c r="AR237" s="35"/>
      <c r="AS237" s="35"/>
      <c r="AT237" s="35"/>
      <c r="AU237" s="35"/>
      <c r="AV237" s="35"/>
      <c r="AW237" s="35"/>
      <c r="AX237" s="35"/>
      <c r="AY237" s="35"/>
      <c r="AZ237" s="35"/>
      <c r="BA237" s="35"/>
      <c r="BB237" s="35"/>
      <c r="BC237" s="35"/>
      <c r="BD237" s="35"/>
      <c r="BE237" s="35"/>
      <c r="BF237" s="35"/>
      <c r="BG237" s="35"/>
      <c r="BH237" s="35"/>
      <c r="BI237" s="35"/>
      <c r="BJ237" s="35"/>
      <c r="BK237" s="35"/>
      <c r="BL237" s="35"/>
    </row>
    <row r="238" spans="1:64" ht="14">
      <c r="A238" s="36"/>
      <c r="B238" s="37"/>
      <c r="C238" s="38">
        <f t="shared" si="9"/>
        <v>0</v>
      </c>
      <c r="D238" s="39"/>
      <c r="E238" s="39"/>
      <c r="F238" s="39"/>
      <c r="G238" s="39"/>
      <c r="H238" s="40"/>
      <c r="I238" s="41"/>
      <c r="J238" s="39"/>
      <c r="K238" s="43">
        <f t="shared" si="10"/>
        <v>0</v>
      </c>
      <c r="L238" s="39"/>
      <c r="M238" s="42" t="str">
        <f t="shared" si="11"/>
        <v/>
      </c>
      <c r="N238" s="35"/>
      <c r="O238" s="35"/>
      <c r="P238" s="35"/>
      <c r="Q238" s="35"/>
      <c r="R238" s="35"/>
      <c r="S238" s="35"/>
      <c r="T238" s="35"/>
      <c r="U238" s="35"/>
      <c r="V238" s="35"/>
      <c r="W238" s="35"/>
      <c r="X238" s="35"/>
      <c r="Y238" s="35"/>
      <c r="Z238" s="35"/>
      <c r="AA238" s="35"/>
      <c r="AB238" s="35"/>
      <c r="AC238" s="35"/>
      <c r="AD238" s="35"/>
      <c r="AE238" s="35"/>
      <c r="AF238" s="35"/>
      <c r="AG238" s="35"/>
      <c r="AH238" s="35"/>
      <c r="AI238" s="35"/>
      <c r="AJ238" s="35"/>
      <c r="AK238" s="35"/>
      <c r="AL238" s="35"/>
      <c r="AM238" s="35"/>
      <c r="AN238" s="35"/>
      <c r="AO238" s="35"/>
      <c r="AP238" s="35"/>
      <c r="AQ238" s="35"/>
      <c r="AR238" s="35"/>
      <c r="AS238" s="35"/>
      <c r="AT238" s="35"/>
      <c r="AU238" s="35"/>
      <c r="AV238" s="35"/>
      <c r="AW238" s="35"/>
      <c r="AX238" s="35"/>
      <c r="AY238" s="35"/>
      <c r="AZ238" s="35"/>
      <c r="BA238" s="35"/>
      <c r="BB238" s="35"/>
      <c r="BC238" s="35"/>
      <c r="BD238" s="35"/>
      <c r="BE238" s="35"/>
      <c r="BF238" s="35"/>
      <c r="BG238" s="35"/>
      <c r="BH238" s="35"/>
      <c r="BI238" s="35"/>
      <c r="BJ238" s="35"/>
      <c r="BK238" s="35"/>
      <c r="BL238" s="35"/>
    </row>
    <row r="239" spans="1:64" ht="14">
      <c r="A239" s="36"/>
      <c r="B239" s="37"/>
      <c r="C239" s="38">
        <f t="shared" si="9"/>
        <v>0</v>
      </c>
      <c r="D239" s="39"/>
      <c r="E239" s="39"/>
      <c r="F239" s="39"/>
      <c r="G239" s="39"/>
      <c r="H239" s="40"/>
      <c r="I239" s="41"/>
      <c r="J239" s="39"/>
      <c r="K239" s="43">
        <f t="shared" si="10"/>
        <v>0</v>
      </c>
      <c r="L239" s="39"/>
      <c r="M239" s="42" t="str">
        <f t="shared" si="11"/>
        <v/>
      </c>
      <c r="N239" s="35"/>
      <c r="O239" s="35"/>
      <c r="P239" s="35"/>
      <c r="Q239" s="35"/>
      <c r="R239" s="35"/>
      <c r="S239" s="35"/>
      <c r="T239" s="35"/>
      <c r="U239" s="35"/>
      <c r="V239" s="35"/>
      <c r="W239" s="35"/>
      <c r="X239" s="35"/>
      <c r="Y239" s="35"/>
      <c r="Z239" s="35"/>
      <c r="AA239" s="35"/>
      <c r="AB239" s="35"/>
      <c r="AC239" s="35"/>
      <c r="AD239" s="35"/>
      <c r="AE239" s="35"/>
      <c r="AF239" s="35"/>
      <c r="AG239" s="35"/>
      <c r="AH239" s="35"/>
      <c r="AI239" s="35"/>
      <c r="AJ239" s="35"/>
      <c r="AK239" s="35"/>
      <c r="AL239" s="35"/>
      <c r="AM239" s="35"/>
      <c r="AN239" s="35"/>
      <c r="AO239" s="35"/>
      <c r="AP239" s="35"/>
      <c r="AQ239" s="35"/>
      <c r="AR239" s="35"/>
      <c r="AS239" s="35"/>
      <c r="AT239" s="35"/>
      <c r="AU239" s="35"/>
      <c r="AV239" s="35"/>
      <c r="AW239" s="35"/>
      <c r="AX239" s="35"/>
      <c r="AY239" s="35"/>
      <c r="AZ239" s="35"/>
      <c r="BA239" s="35"/>
      <c r="BB239" s="35"/>
      <c r="BC239" s="35"/>
      <c r="BD239" s="35"/>
      <c r="BE239" s="35"/>
      <c r="BF239" s="35"/>
      <c r="BG239" s="35"/>
      <c r="BH239" s="35"/>
      <c r="BI239" s="35"/>
      <c r="BJ239" s="35"/>
      <c r="BK239" s="35"/>
      <c r="BL239" s="35"/>
    </row>
    <row r="240" spans="1:64" ht="14">
      <c r="A240" s="36"/>
      <c r="B240" s="37"/>
      <c r="C240" s="38">
        <f t="shared" si="9"/>
        <v>0</v>
      </c>
      <c r="D240" s="39"/>
      <c r="E240" s="39"/>
      <c r="F240" s="39"/>
      <c r="G240" s="39"/>
      <c r="H240" s="40"/>
      <c r="I240" s="41"/>
      <c r="J240" s="39"/>
      <c r="K240" s="43">
        <f t="shared" si="10"/>
        <v>0</v>
      </c>
      <c r="L240" s="39"/>
      <c r="M240" s="42" t="str">
        <f t="shared" si="11"/>
        <v/>
      </c>
      <c r="N240" s="35"/>
      <c r="O240" s="35"/>
      <c r="P240" s="35"/>
      <c r="Q240" s="35"/>
      <c r="R240" s="35"/>
      <c r="S240" s="35"/>
      <c r="T240" s="35"/>
      <c r="U240" s="35"/>
      <c r="V240" s="35"/>
      <c r="W240" s="35"/>
      <c r="X240" s="35"/>
      <c r="Y240" s="35"/>
      <c r="Z240" s="35"/>
      <c r="AA240" s="35"/>
      <c r="AB240" s="35"/>
      <c r="AC240" s="35"/>
      <c r="AD240" s="35"/>
      <c r="AE240" s="35"/>
      <c r="AF240" s="35"/>
      <c r="AG240" s="35"/>
      <c r="AH240" s="35"/>
      <c r="AI240" s="35"/>
      <c r="AJ240" s="35"/>
      <c r="AK240" s="35"/>
      <c r="AL240" s="35"/>
      <c r="AM240" s="35"/>
      <c r="AN240" s="35"/>
      <c r="AO240" s="35"/>
      <c r="AP240" s="35"/>
      <c r="AQ240" s="35"/>
      <c r="AR240" s="35"/>
      <c r="AS240" s="35"/>
      <c r="AT240" s="35"/>
      <c r="AU240" s="35"/>
      <c r="AV240" s="35"/>
      <c r="AW240" s="35"/>
      <c r="AX240" s="35"/>
      <c r="AY240" s="35"/>
      <c r="AZ240" s="35"/>
      <c r="BA240" s="35"/>
      <c r="BB240" s="35"/>
      <c r="BC240" s="35"/>
      <c r="BD240" s="35"/>
      <c r="BE240" s="35"/>
      <c r="BF240" s="35"/>
      <c r="BG240" s="35"/>
      <c r="BH240" s="35"/>
      <c r="BI240" s="35"/>
      <c r="BJ240" s="35"/>
      <c r="BK240" s="35"/>
      <c r="BL240" s="35"/>
    </row>
    <row r="241" spans="1:64" ht="14">
      <c r="A241" s="36"/>
      <c r="B241" s="37"/>
      <c r="C241" s="38">
        <f t="shared" si="9"/>
        <v>0</v>
      </c>
      <c r="D241" s="39"/>
      <c r="E241" s="39"/>
      <c r="F241" s="39"/>
      <c r="G241" s="39"/>
      <c r="H241" s="40"/>
      <c r="I241" s="41"/>
      <c r="J241" s="39"/>
      <c r="K241" s="43">
        <f t="shared" si="10"/>
        <v>0</v>
      </c>
      <c r="L241" s="39"/>
      <c r="M241" s="42" t="str">
        <f t="shared" si="11"/>
        <v/>
      </c>
      <c r="N241" s="35"/>
      <c r="O241" s="35"/>
      <c r="P241" s="35"/>
      <c r="Q241" s="35"/>
      <c r="R241" s="35"/>
      <c r="S241" s="35"/>
      <c r="T241" s="35"/>
      <c r="U241" s="35"/>
      <c r="V241" s="35"/>
      <c r="W241" s="35"/>
      <c r="X241" s="35"/>
      <c r="Y241" s="35"/>
      <c r="Z241" s="35"/>
      <c r="AA241" s="35"/>
      <c r="AB241" s="35"/>
      <c r="AC241" s="35"/>
      <c r="AD241" s="35"/>
      <c r="AE241" s="35"/>
      <c r="AF241" s="35"/>
      <c r="AG241" s="35"/>
      <c r="AH241" s="35"/>
      <c r="AI241" s="35"/>
      <c r="AJ241" s="35"/>
      <c r="AK241" s="35"/>
      <c r="AL241" s="35"/>
      <c r="AM241" s="35"/>
      <c r="AN241" s="35"/>
      <c r="AO241" s="35"/>
      <c r="AP241" s="35"/>
      <c r="AQ241" s="35"/>
      <c r="AR241" s="35"/>
      <c r="AS241" s="35"/>
      <c r="AT241" s="35"/>
      <c r="AU241" s="35"/>
      <c r="AV241" s="35"/>
      <c r="AW241" s="35"/>
      <c r="AX241" s="35"/>
      <c r="AY241" s="35"/>
      <c r="AZ241" s="35"/>
      <c r="BA241" s="35"/>
      <c r="BB241" s="35"/>
      <c r="BC241" s="35"/>
      <c r="BD241" s="35"/>
      <c r="BE241" s="35"/>
      <c r="BF241" s="35"/>
      <c r="BG241" s="35"/>
      <c r="BH241" s="35"/>
      <c r="BI241" s="35"/>
      <c r="BJ241" s="35"/>
      <c r="BK241" s="35"/>
      <c r="BL241" s="35"/>
    </row>
    <row r="242" spans="1:64" ht="14">
      <c r="A242" s="36"/>
      <c r="B242" s="37"/>
      <c r="C242" s="38">
        <f t="shared" si="9"/>
        <v>0</v>
      </c>
      <c r="D242" s="39"/>
      <c r="E242" s="39"/>
      <c r="F242" s="39"/>
      <c r="G242" s="39"/>
      <c r="H242" s="40"/>
      <c r="I242" s="41"/>
      <c r="J242" s="39"/>
      <c r="K242" s="43">
        <f t="shared" si="10"/>
        <v>0</v>
      </c>
      <c r="L242" s="39"/>
      <c r="M242" s="42" t="str">
        <f t="shared" si="11"/>
        <v/>
      </c>
      <c r="N242" s="35"/>
      <c r="O242" s="35"/>
      <c r="P242" s="35"/>
      <c r="Q242" s="35"/>
      <c r="R242" s="35"/>
      <c r="S242" s="35"/>
      <c r="T242" s="35"/>
      <c r="U242" s="35"/>
      <c r="V242" s="35"/>
      <c r="W242" s="35"/>
      <c r="X242" s="35"/>
      <c r="Y242" s="35"/>
      <c r="Z242" s="35"/>
      <c r="AA242" s="35"/>
      <c r="AB242" s="35"/>
      <c r="AC242" s="35"/>
      <c r="AD242" s="35"/>
      <c r="AE242" s="35"/>
      <c r="AF242" s="35"/>
      <c r="AG242" s="35"/>
      <c r="AH242" s="35"/>
      <c r="AI242" s="35"/>
      <c r="AJ242" s="35"/>
      <c r="AK242" s="35"/>
      <c r="AL242" s="35"/>
      <c r="AM242" s="35"/>
      <c r="AN242" s="35"/>
      <c r="AO242" s="35"/>
      <c r="AP242" s="35"/>
      <c r="AQ242" s="35"/>
      <c r="AR242" s="35"/>
      <c r="AS242" s="35"/>
      <c r="AT242" s="35"/>
      <c r="AU242" s="35"/>
      <c r="AV242" s="35"/>
      <c r="AW242" s="35"/>
      <c r="AX242" s="35"/>
      <c r="AY242" s="35"/>
      <c r="AZ242" s="35"/>
      <c r="BA242" s="35"/>
      <c r="BB242" s="35"/>
      <c r="BC242" s="35"/>
      <c r="BD242" s="35"/>
      <c r="BE242" s="35"/>
      <c r="BF242" s="35"/>
      <c r="BG242" s="35"/>
      <c r="BH242" s="35"/>
      <c r="BI242" s="35"/>
      <c r="BJ242" s="35"/>
      <c r="BK242" s="35"/>
      <c r="BL242" s="35"/>
    </row>
    <row r="243" spans="1:64" ht="14">
      <c r="A243" s="36"/>
      <c r="B243" s="37"/>
      <c r="C243" s="38">
        <f t="shared" si="9"/>
        <v>0</v>
      </c>
      <c r="D243" s="39"/>
      <c r="E243" s="39"/>
      <c r="F243" s="39"/>
      <c r="G243" s="39"/>
      <c r="H243" s="40"/>
      <c r="I243" s="41"/>
      <c r="J243" s="39"/>
      <c r="K243" s="43">
        <f t="shared" si="10"/>
        <v>0</v>
      </c>
      <c r="L243" s="39"/>
      <c r="M243" s="42" t="str">
        <f t="shared" si="11"/>
        <v/>
      </c>
      <c r="N243" s="35"/>
      <c r="O243" s="35"/>
      <c r="P243" s="35"/>
      <c r="Q243" s="35"/>
      <c r="R243" s="35"/>
      <c r="S243" s="35"/>
      <c r="T243" s="35"/>
      <c r="U243" s="35"/>
      <c r="V243" s="35"/>
      <c r="W243" s="35"/>
      <c r="X243" s="35"/>
      <c r="Y243" s="35"/>
      <c r="Z243" s="35"/>
      <c r="AA243" s="35"/>
      <c r="AB243" s="35"/>
      <c r="AC243" s="35"/>
      <c r="AD243" s="35"/>
      <c r="AE243" s="35"/>
      <c r="AF243" s="35"/>
      <c r="AG243" s="35"/>
      <c r="AH243" s="35"/>
      <c r="AI243" s="35"/>
      <c r="AJ243" s="35"/>
      <c r="AK243" s="35"/>
      <c r="AL243" s="35"/>
      <c r="AM243" s="35"/>
      <c r="AN243" s="35"/>
      <c r="AO243" s="35"/>
      <c r="AP243" s="35"/>
      <c r="AQ243" s="35"/>
      <c r="AR243" s="35"/>
      <c r="AS243" s="35"/>
      <c r="AT243" s="35"/>
      <c r="AU243" s="35"/>
      <c r="AV243" s="35"/>
      <c r="AW243" s="35"/>
      <c r="AX243" s="35"/>
      <c r="AY243" s="35"/>
      <c r="AZ243" s="35"/>
      <c r="BA243" s="35"/>
      <c r="BB243" s="35"/>
      <c r="BC243" s="35"/>
      <c r="BD243" s="35"/>
      <c r="BE243" s="35"/>
      <c r="BF243" s="35"/>
      <c r="BG243" s="35"/>
      <c r="BH243" s="35"/>
      <c r="BI243" s="35"/>
      <c r="BJ243" s="35"/>
      <c r="BK243" s="35"/>
      <c r="BL243" s="35"/>
    </row>
    <row r="244" spans="1:64" ht="14">
      <c r="A244" s="36"/>
      <c r="B244" s="37"/>
      <c r="C244" s="38">
        <f t="shared" si="9"/>
        <v>0</v>
      </c>
      <c r="D244" s="39"/>
      <c r="E244" s="39"/>
      <c r="F244" s="39"/>
      <c r="G244" s="39"/>
      <c r="H244" s="40"/>
      <c r="I244" s="41"/>
      <c r="J244" s="39"/>
      <c r="K244" s="43">
        <f t="shared" si="10"/>
        <v>0</v>
      </c>
      <c r="L244" s="39"/>
      <c r="M244" s="42" t="str">
        <f t="shared" si="11"/>
        <v/>
      </c>
      <c r="N244" s="35"/>
      <c r="O244" s="35"/>
      <c r="P244" s="35"/>
      <c r="Q244" s="35"/>
      <c r="R244" s="35"/>
      <c r="S244" s="35"/>
      <c r="T244" s="35"/>
      <c r="U244" s="35"/>
      <c r="V244" s="35"/>
      <c r="W244" s="35"/>
      <c r="X244" s="35"/>
      <c r="Y244" s="35"/>
      <c r="Z244" s="35"/>
      <c r="AA244" s="35"/>
      <c r="AB244" s="35"/>
      <c r="AC244" s="35"/>
      <c r="AD244" s="35"/>
      <c r="AE244" s="35"/>
      <c r="AF244" s="35"/>
      <c r="AG244" s="35"/>
      <c r="AH244" s="35"/>
      <c r="AI244" s="35"/>
      <c r="AJ244" s="35"/>
      <c r="AK244" s="35"/>
      <c r="AL244" s="35"/>
      <c r="AM244" s="35"/>
      <c r="AN244" s="35"/>
      <c r="AO244" s="35"/>
      <c r="AP244" s="35"/>
      <c r="AQ244" s="35"/>
      <c r="AR244" s="35"/>
      <c r="AS244" s="35"/>
      <c r="AT244" s="35"/>
      <c r="AU244" s="35"/>
      <c r="AV244" s="35"/>
      <c r="AW244" s="35"/>
      <c r="AX244" s="35"/>
      <c r="AY244" s="35"/>
      <c r="AZ244" s="35"/>
      <c r="BA244" s="35"/>
      <c r="BB244" s="35"/>
      <c r="BC244" s="35"/>
      <c r="BD244" s="35"/>
      <c r="BE244" s="35"/>
      <c r="BF244" s="35"/>
      <c r="BG244" s="35"/>
      <c r="BH244" s="35"/>
      <c r="BI244" s="35"/>
      <c r="BJ244" s="35"/>
      <c r="BK244" s="35"/>
      <c r="BL244" s="35"/>
    </row>
    <row r="245" spans="1:64" ht="14">
      <c r="A245" s="36"/>
      <c r="B245" s="37"/>
      <c r="C245" s="38">
        <f t="shared" si="9"/>
        <v>0</v>
      </c>
      <c r="D245" s="39"/>
      <c r="E245" s="39"/>
      <c r="F245" s="39"/>
      <c r="G245" s="39"/>
      <c r="H245" s="40"/>
      <c r="I245" s="41"/>
      <c r="J245" s="39"/>
      <c r="K245" s="43">
        <f t="shared" si="10"/>
        <v>0</v>
      </c>
      <c r="L245" s="39"/>
      <c r="M245" s="42" t="str">
        <f t="shared" si="11"/>
        <v/>
      </c>
      <c r="N245" s="35"/>
      <c r="O245" s="35"/>
      <c r="P245" s="35"/>
      <c r="Q245" s="35"/>
      <c r="R245" s="35"/>
      <c r="S245" s="35"/>
      <c r="T245" s="35"/>
      <c r="U245" s="35"/>
      <c r="V245" s="35"/>
      <c r="W245" s="35"/>
      <c r="X245" s="35"/>
      <c r="Y245" s="35"/>
      <c r="Z245" s="35"/>
      <c r="AA245" s="35"/>
      <c r="AB245" s="35"/>
      <c r="AC245" s="35"/>
      <c r="AD245" s="35"/>
      <c r="AE245" s="35"/>
      <c r="AF245" s="35"/>
      <c r="AG245" s="35"/>
      <c r="AH245" s="35"/>
      <c r="AI245" s="35"/>
      <c r="AJ245" s="35"/>
      <c r="AK245" s="35"/>
      <c r="AL245" s="35"/>
      <c r="AM245" s="35"/>
      <c r="AN245" s="35"/>
      <c r="AO245" s="35"/>
      <c r="AP245" s="35"/>
      <c r="AQ245" s="35"/>
      <c r="AR245" s="35"/>
      <c r="AS245" s="35"/>
      <c r="AT245" s="35"/>
      <c r="AU245" s="35"/>
      <c r="AV245" s="35"/>
      <c r="AW245" s="35"/>
      <c r="AX245" s="35"/>
      <c r="AY245" s="35"/>
      <c r="AZ245" s="35"/>
      <c r="BA245" s="35"/>
      <c r="BB245" s="35"/>
      <c r="BC245" s="35"/>
      <c r="BD245" s="35"/>
      <c r="BE245" s="35"/>
      <c r="BF245" s="35"/>
      <c r="BG245" s="35"/>
      <c r="BH245" s="35"/>
      <c r="BI245" s="35"/>
      <c r="BJ245" s="35"/>
      <c r="BK245" s="35"/>
      <c r="BL245" s="35"/>
    </row>
    <row r="246" spans="1:64" ht="14">
      <c r="A246" s="36"/>
      <c r="B246" s="37"/>
      <c r="C246" s="38">
        <f t="shared" si="9"/>
        <v>0</v>
      </c>
      <c r="D246" s="39"/>
      <c r="E246" s="39"/>
      <c r="F246" s="39"/>
      <c r="G246" s="39"/>
      <c r="H246" s="40"/>
      <c r="I246" s="41"/>
      <c r="J246" s="39"/>
      <c r="K246" s="43">
        <f t="shared" si="10"/>
        <v>0</v>
      </c>
      <c r="L246" s="39"/>
      <c r="M246" s="42" t="str">
        <f t="shared" si="11"/>
        <v/>
      </c>
      <c r="N246" s="35"/>
      <c r="O246" s="35"/>
      <c r="P246" s="35"/>
      <c r="Q246" s="35"/>
      <c r="R246" s="35"/>
      <c r="S246" s="35"/>
      <c r="T246" s="35"/>
      <c r="U246" s="35"/>
      <c r="V246" s="35"/>
      <c r="W246" s="35"/>
      <c r="X246" s="35"/>
      <c r="Y246" s="35"/>
      <c r="Z246" s="35"/>
      <c r="AA246" s="35"/>
      <c r="AB246" s="35"/>
      <c r="AC246" s="35"/>
      <c r="AD246" s="35"/>
      <c r="AE246" s="35"/>
      <c r="AF246" s="35"/>
      <c r="AG246" s="35"/>
      <c r="AH246" s="35"/>
      <c r="AI246" s="35"/>
      <c r="AJ246" s="35"/>
      <c r="AK246" s="35"/>
      <c r="AL246" s="35"/>
      <c r="AM246" s="35"/>
      <c r="AN246" s="35"/>
      <c r="AO246" s="35"/>
      <c r="AP246" s="35"/>
      <c r="AQ246" s="35"/>
      <c r="AR246" s="35"/>
      <c r="AS246" s="35"/>
      <c r="AT246" s="35"/>
      <c r="AU246" s="35"/>
      <c r="AV246" s="35"/>
      <c r="AW246" s="35"/>
      <c r="AX246" s="35"/>
      <c r="AY246" s="35"/>
      <c r="AZ246" s="35"/>
      <c r="BA246" s="35"/>
      <c r="BB246" s="35"/>
      <c r="BC246" s="35"/>
      <c r="BD246" s="35"/>
      <c r="BE246" s="35"/>
      <c r="BF246" s="35"/>
      <c r="BG246" s="35"/>
      <c r="BH246" s="35"/>
      <c r="BI246" s="35"/>
      <c r="BJ246" s="35"/>
      <c r="BK246" s="35"/>
      <c r="BL246" s="35"/>
    </row>
    <row r="247" spans="1:64" ht="14">
      <c r="A247" s="36"/>
      <c r="B247" s="37"/>
      <c r="C247" s="38">
        <f t="shared" si="9"/>
        <v>0</v>
      </c>
      <c r="D247" s="39"/>
      <c r="E247" s="39"/>
      <c r="F247" s="39"/>
      <c r="G247" s="39"/>
      <c r="H247" s="40"/>
      <c r="I247" s="41"/>
      <c r="J247" s="39"/>
      <c r="K247" s="43">
        <f t="shared" si="10"/>
        <v>0</v>
      </c>
      <c r="L247" s="39"/>
      <c r="M247" s="42" t="str">
        <f t="shared" si="11"/>
        <v/>
      </c>
      <c r="N247" s="35"/>
      <c r="O247" s="35"/>
      <c r="P247" s="35"/>
      <c r="Q247" s="35"/>
      <c r="R247" s="35"/>
      <c r="S247" s="35"/>
      <c r="T247" s="35"/>
      <c r="U247" s="35"/>
      <c r="V247" s="35"/>
      <c r="W247" s="35"/>
      <c r="X247" s="35"/>
      <c r="Y247" s="35"/>
      <c r="Z247" s="35"/>
      <c r="AA247" s="35"/>
      <c r="AB247" s="35"/>
      <c r="AC247" s="35"/>
      <c r="AD247" s="35"/>
      <c r="AE247" s="35"/>
      <c r="AF247" s="35"/>
      <c r="AG247" s="35"/>
      <c r="AH247" s="35"/>
      <c r="AI247" s="35"/>
      <c r="AJ247" s="35"/>
      <c r="AK247" s="35"/>
      <c r="AL247" s="35"/>
      <c r="AM247" s="35"/>
      <c r="AN247" s="35"/>
      <c r="AO247" s="35"/>
      <c r="AP247" s="35"/>
      <c r="AQ247" s="35"/>
      <c r="AR247" s="35"/>
      <c r="AS247" s="35"/>
      <c r="AT247" s="35"/>
      <c r="AU247" s="35"/>
      <c r="AV247" s="35"/>
      <c r="AW247" s="35"/>
      <c r="AX247" s="35"/>
      <c r="AY247" s="35"/>
      <c r="AZ247" s="35"/>
      <c r="BA247" s="35"/>
      <c r="BB247" s="35"/>
      <c r="BC247" s="35"/>
      <c r="BD247" s="35"/>
      <c r="BE247" s="35"/>
      <c r="BF247" s="35"/>
      <c r="BG247" s="35"/>
      <c r="BH247" s="35"/>
      <c r="BI247" s="35"/>
      <c r="BJ247" s="35"/>
      <c r="BK247" s="35"/>
      <c r="BL247" s="35"/>
    </row>
    <row r="248" spans="1:64" ht="14">
      <c r="A248" s="36"/>
      <c r="B248" s="37"/>
      <c r="C248" s="38">
        <f t="shared" si="9"/>
        <v>0</v>
      </c>
      <c r="D248" s="39"/>
      <c r="E248" s="39"/>
      <c r="F248" s="39"/>
      <c r="G248" s="39"/>
      <c r="H248" s="40"/>
      <c r="I248" s="41"/>
      <c r="J248" s="39"/>
      <c r="K248" s="43">
        <f t="shared" si="10"/>
        <v>0</v>
      </c>
      <c r="L248" s="39"/>
      <c r="M248" s="42" t="str">
        <f t="shared" si="11"/>
        <v/>
      </c>
      <c r="N248" s="35"/>
      <c r="O248" s="35"/>
      <c r="P248" s="35"/>
      <c r="Q248" s="35"/>
      <c r="R248" s="35"/>
      <c r="S248" s="35"/>
      <c r="T248" s="35"/>
      <c r="U248" s="35"/>
      <c r="V248" s="35"/>
      <c r="W248" s="35"/>
      <c r="X248" s="35"/>
      <c r="Y248" s="35"/>
      <c r="Z248" s="35"/>
      <c r="AA248" s="35"/>
      <c r="AB248" s="35"/>
      <c r="AC248" s="35"/>
      <c r="AD248" s="35"/>
      <c r="AE248" s="35"/>
      <c r="AF248" s="35"/>
      <c r="AG248" s="35"/>
      <c r="AH248" s="35"/>
      <c r="AI248" s="35"/>
      <c r="AJ248" s="35"/>
      <c r="AK248" s="35"/>
      <c r="AL248" s="35"/>
      <c r="AM248" s="35"/>
      <c r="AN248" s="35"/>
      <c r="AO248" s="35"/>
      <c r="AP248" s="35"/>
      <c r="AQ248" s="35"/>
      <c r="AR248" s="35"/>
      <c r="AS248" s="35"/>
      <c r="AT248" s="35"/>
      <c r="AU248" s="35"/>
      <c r="AV248" s="35"/>
      <c r="AW248" s="35"/>
      <c r="AX248" s="35"/>
      <c r="AY248" s="35"/>
      <c r="AZ248" s="35"/>
      <c r="BA248" s="35"/>
      <c r="BB248" s="35"/>
      <c r="BC248" s="35"/>
      <c r="BD248" s="35"/>
      <c r="BE248" s="35"/>
      <c r="BF248" s="35"/>
      <c r="BG248" s="35"/>
      <c r="BH248" s="35"/>
      <c r="BI248" s="35"/>
      <c r="BJ248" s="35"/>
      <c r="BK248" s="35"/>
      <c r="BL248" s="35"/>
    </row>
    <row r="249" spans="1:64" ht="14">
      <c r="A249" s="36"/>
      <c r="B249" s="37"/>
      <c r="C249" s="38">
        <f t="shared" si="9"/>
        <v>0</v>
      </c>
      <c r="D249" s="39"/>
      <c r="E249" s="39"/>
      <c r="F249" s="39"/>
      <c r="G249" s="39"/>
      <c r="H249" s="40"/>
      <c r="I249" s="41"/>
      <c r="J249" s="39"/>
      <c r="K249" s="43">
        <f t="shared" si="10"/>
        <v>0</v>
      </c>
      <c r="L249" s="39"/>
      <c r="M249" s="42" t="str">
        <f t="shared" si="11"/>
        <v/>
      </c>
      <c r="N249" s="35"/>
      <c r="O249" s="35"/>
      <c r="P249" s="35"/>
      <c r="Q249" s="35"/>
      <c r="R249" s="35"/>
      <c r="S249" s="35"/>
      <c r="T249" s="35"/>
      <c r="U249" s="35"/>
      <c r="V249" s="35"/>
      <c r="W249" s="35"/>
      <c r="X249" s="35"/>
      <c r="Y249" s="35"/>
      <c r="Z249" s="35"/>
      <c r="AA249" s="35"/>
      <c r="AB249" s="35"/>
      <c r="AC249" s="35"/>
      <c r="AD249" s="35"/>
      <c r="AE249" s="35"/>
      <c r="AF249" s="35"/>
      <c r="AG249" s="35"/>
      <c r="AH249" s="35"/>
      <c r="AI249" s="35"/>
      <c r="AJ249" s="35"/>
      <c r="AK249" s="35"/>
      <c r="AL249" s="35"/>
      <c r="AM249" s="35"/>
      <c r="AN249" s="35"/>
      <c r="AO249" s="35"/>
      <c r="AP249" s="35"/>
      <c r="AQ249" s="35"/>
      <c r="AR249" s="35"/>
      <c r="AS249" s="35"/>
      <c r="AT249" s="35"/>
      <c r="AU249" s="35"/>
      <c r="AV249" s="35"/>
      <c r="AW249" s="35"/>
      <c r="AX249" s="35"/>
      <c r="AY249" s="35"/>
      <c r="AZ249" s="35"/>
      <c r="BA249" s="35"/>
      <c r="BB249" s="35"/>
      <c r="BC249" s="35"/>
      <c r="BD249" s="35"/>
      <c r="BE249" s="35"/>
      <c r="BF249" s="35"/>
      <c r="BG249" s="35"/>
      <c r="BH249" s="35"/>
      <c r="BI249" s="35"/>
      <c r="BJ249" s="35"/>
      <c r="BK249" s="35"/>
      <c r="BL249" s="35"/>
    </row>
    <row r="250" spans="1:64" ht="14">
      <c r="A250" s="36"/>
      <c r="B250" s="37"/>
      <c r="C250" s="38">
        <f t="shared" si="9"/>
        <v>0</v>
      </c>
      <c r="D250" s="39"/>
      <c r="E250" s="39"/>
      <c r="F250" s="39"/>
      <c r="G250" s="39"/>
      <c r="H250" s="40"/>
      <c r="I250" s="41"/>
      <c r="J250" s="39"/>
      <c r="K250" s="43">
        <f t="shared" si="10"/>
        <v>0</v>
      </c>
      <c r="L250" s="39"/>
      <c r="M250" s="42" t="str">
        <f t="shared" si="11"/>
        <v/>
      </c>
      <c r="N250" s="35"/>
      <c r="O250" s="35"/>
      <c r="P250" s="35"/>
      <c r="Q250" s="35"/>
      <c r="R250" s="35"/>
      <c r="S250" s="35"/>
      <c r="T250" s="35"/>
      <c r="U250" s="35"/>
      <c r="V250" s="35"/>
      <c r="W250" s="35"/>
      <c r="X250" s="35"/>
      <c r="Y250" s="35"/>
      <c r="Z250" s="35"/>
      <c r="AA250" s="35"/>
      <c r="AB250" s="35"/>
      <c r="AC250" s="35"/>
      <c r="AD250" s="35"/>
      <c r="AE250" s="35"/>
      <c r="AF250" s="35"/>
      <c r="AG250" s="35"/>
      <c r="AH250" s="35"/>
      <c r="AI250" s="35"/>
      <c r="AJ250" s="35"/>
      <c r="AK250" s="35"/>
      <c r="AL250" s="35"/>
      <c r="AM250" s="35"/>
      <c r="AN250" s="35"/>
      <c r="AO250" s="35"/>
      <c r="AP250" s="35"/>
      <c r="AQ250" s="35"/>
      <c r="AR250" s="35"/>
      <c r="AS250" s="35"/>
      <c r="AT250" s="35"/>
      <c r="AU250" s="35"/>
      <c r="AV250" s="35"/>
      <c r="AW250" s="35"/>
      <c r="AX250" s="35"/>
      <c r="AY250" s="35"/>
      <c r="AZ250" s="35"/>
      <c r="BA250" s="35"/>
      <c r="BB250" s="35"/>
      <c r="BC250" s="35"/>
      <c r="BD250" s="35"/>
      <c r="BE250" s="35"/>
      <c r="BF250" s="35"/>
      <c r="BG250" s="35"/>
      <c r="BH250" s="35"/>
      <c r="BI250" s="35"/>
      <c r="BJ250" s="35"/>
      <c r="BK250" s="35"/>
      <c r="BL250" s="35"/>
    </row>
    <row r="251" spans="1:64" ht="14">
      <c r="A251" s="36"/>
      <c r="B251" s="37"/>
      <c r="C251" s="38">
        <f t="shared" si="9"/>
        <v>0</v>
      </c>
      <c r="D251" s="39"/>
      <c r="E251" s="39"/>
      <c r="F251" s="39"/>
      <c r="G251" s="39"/>
      <c r="H251" s="40"/>
      <c r="I251" s="41"/>
      <c r="J251" s="39"/>
      <c r="K251" s="43">
        <f t="shared" si="10"/>
        <v>0</v>
      </c>
      <c r="L251" s="39"/>
      <c r="M251" s="42" t="str">
        <f t="shared" si="11"/>
        <v/>
      </c>
      <c r="N251" s="35"/>
      <c r="O251" s="35"/>
      <c r="P251" s="35"/>
      <c r="Q251" s="35"/>
      <c r="R251" s="35"/>
      <c r="S251" s="35"/>
      <c r="T251" s="35"/>
      <c r="U251" s="35"/>
      <c r="V251" s="35"/>
      <c r="W251" s="35"/>
      <c r="X251" s="35"/>
      <c r="Y251" s="35"/>
      <c r="Z251" s="35"/>
      <c r="AA251" s="35"/>
      <c r="AB251" s="35"/>
      <c r="AC251" s="35"/>
      <c r="AD251" s="35"/>
      <c r="AE251" s="35"/>
      <c r="AF251" s="35"/>
      <c r="AG251" s="35"/>
      <c r="AH251" s="35"/>
      <c r="AI251" s="35"/>
      <c r="AJ251" s="35"/>
      <c r="AK251" s="35"/>
      <c r="AL251" s="35"/>
      <c r="AM251" s="35"/>
      <c r="AN251" s="35"/>
      <c r="AO251" s="35"/>
      <c r="AP251" s="35"/>
      <c r="AQ251" s="35"/>
      <c r="AR251" s="35"/>
      <c r="AS251" s="35"/>
      <c r="AT251" s="35"/>
      <c r="AU251" s="35"/>
      <c r="AV251" s="35"/>
      <c r="AW251" s="35"/>
      <c r="AX251" s="35"/>
      <c r="AY251" s="35"/>
      <c r="AZ251" s="35"/>
      <c r="BA251" s="35"/>
      <c r="BB251" s="35"/>
      <c r="BC251" s="35"/>
      <c r="BD251" s="35"/>
      <c r="BE251" s="35"/>
      <c r="BF251" s="35"/>
      <c r="BG251" s="35"/>
      <c r="BH251" s="35"/>
      <c r="BI251" s="35"/>
      <c r="BJ251" s="35"/>
      <c r="BK251" s="35"/>
      <c r="BL251" s="35"/>
    </row>
    <row r="252" spans="1:64" ht="14">
      <c r="A252" s="36"/>
      <c r="B252" s="37"/>
      <c r="C252" s="38">
        <f t="shared" si="9"/>
        <v>0</v>
      </c>
      <c r="D252" s="39"/>
      <c r="E252" s="39"/>
      <c r="F252" s="39"/>
      <c r="G252" s="39"/>
      <c r="H252" s="40"/>
      <c r="I252" s="41"/>
      <c r="J252" s="39"/>
      <c r="K252" s="43">
        <f t="shared" si="10"/>
        <v>0</v>
      </c>
      <c r="L252" s="39"/>
      <c r="M252" s="42" t="str">
        <f t="shared" si="11"/>
        <v/>
      </c>
      <c r="N252" s="35"/>
      <c r="O252" s="35"/>
      <c r="P252" s="35"/>
      <c r="Q252" s="35"/>
      <c r="R252" s="35"/>
      <c r="S252" s="35"/>
      <c r="T252" s="35"/>
      <c r="U252" s="35"/>
      <c r="V252" s="35"/>
      <c r="W252" s="35"/>
      <c r="X252" s="35"/>
      <c r="Y252" s="35"/>
      <c r="Z252" s="35"/>
      <c r="AA252" s="35"/>
      <c r="AB252" s="35"/>
      <c r="AC252" s="35"/>
      <c r="AD252" s="35"/>
      <c r="AE252" s="35"/>
      <c r="AF252" s="35"/>
      <c r="AG252" s="35"/>
      <c r="AH252" s="35"/>
      <c r="AI252" s="35"/>
      <c r="AJ252" s="35"/>
      <c r="AK252" s="35"/>
      <c r="AL252" s="35"/>
      <c r="AM252" s="35"/>
      <c r="AN252" s="35"/>
      <c r="AO252" s="35"/>
      <c r="AP252" s="35"/>
      <c r="AQ252" s="35"/>
      <c r="AR252" s="35"/>
      <c r="AS252" s="35"/>
      <c r="AT252" s="35"/>
      <c r="AU252" s="35"/>
      <c r="AV252" s="35"/>
      <c r="AW252" s="35"/>
      <c r="AX252" s="35"/>
      <c r="AY252" s="35"/>
      <c r="AZ252" s="35"/>
      <c r="BA252" s="35"/>
      <c r="BB252" s="35"/>
      <c r="BC252" s="35"/>
      <c r="BD252" s="35"/>
      <c r="BE252" s="35"/>
      <c r="BF252" s="35"/>
      <c r="BG252" s="35"/>
      <c r="BH252" s="35"/>
      <c r="BI252" s="35"/>
      <c r="BJ252" s="35"/>
      <c r="BK252" s="35"/>
      <c r="BL252" s="35"/>
    </row>
    <row r="253" spans="1:64" ht="14">
      <c r="A253" s="36"/>
      <c r="B253" s="37"/>
      <c r="C253" s="38">
        <f t="shared" si="9"/>
        <v>0</v>
      </c>
      <c r="D253" s="39"/>
      <c r="E253" s="39"/>
      <c r="F253" s="39"/>
      <c r="G253" s="39"/>
      <c r="H253" s="40"/>
      <c r="I253" s="41"/>
      <c r="J253" s="39"/>
      <c r="K253" s="43">
        <f t="shared" si="10"/>
        <v>0</v>
      </c>
      <c r="L253" s="39"/>
      <c r="M253" s="42" t="str">
        <f t="shared" si="11"/>
        <v/>
      </c>
      <c r="N253" s="35"/>
      <c r="O253" s="35"/>
      <c r="P253" s="35"/>
      <c r="Q253" s="35"/>
      <c r="R253" s="35"/>
      <c r="S253" s="35"/>
      <c r="T253" s="35"/>
      <c r="U253" s="35"/>
      <c r="V253" s="35"/>
      <c r="W253" s="35"/>
      <c r="X253" s="35"/>
      <c r="Y253" s="35"/>
      <c r="Z253" s="35"/>
      <c r="AA253" s="35"/>
      <c r="AB253" s="35"/>
      <c r="AC253" s="35"/>
      <c r="AD253" s="35"/>
      <c r="AE253" s="35"/>
      <c r="AF253" s="35"/>
      <c r="AG253" s="35"/>
      <c r="AH253" s="35"/>
      <c r="AI253" s="35"/>
      <c r="AJ253" s="35"/>
      <c r="AK253" s="35"/>
      <c r="AL253" s="35"/>
      <c r="AM253" s="35"/>
      <c r="AN253" s="35"/>
      <c r="AO253" s="35"/>
      <c r="AP253" s="35"/>
      <c r="AQ253" s="35"/>
      <c r="AR253" s="35"/>
      <c r="AS253" s="35"/>
      <c r="AT253" s="35"/>
      <c r="AU253" s="35"/>
      <c r="AV253" s="35"/>
      <c r="AW253" s="35"/>
      <c r="AX253" s="35"/>
      <c r="AY253" s="35"/>
      <c r="AZ253" s="35"/>
      <c r="BA253" s="35"/>
      <c r="BB253" s="35"/>
      <c r="BC253" s="35"/>
      <c r="BD253" s="35"/>
      <c r="BE253" s="35"/>
      <c r="BF253" s="35"/>
      <c r="BG253" s="35"/>
      <c r="BH253" s="35"/>
      <c r="BI253" s="35"/>
      <c r="BJ253" s="35"/>
      <c r="BK253" s="35"/>
      <c r="BL253" s="35"/>
    </row>
    <row r="254" spans="1:64" ht="14">
      <c r="A254" s="36"/>
      <c r="B254" s="37"/>
      <c r="C254" s="38">
        <f t="shared" si="9"/>
        <v>0</v>
      </c>
      <c r="D254" s="39"/>
      <c r="E254" s="39"/>
      <c r="F254" s="39"/>
      <c r="G254" s="39"/>
      <c r="H254" s="40"/>
      <c r="I254" s="41"/>
      <c r="J254" s="39"/>
      <c r="K254" s="43">
        <f t="shared" si="10"/>
        <v>0</v>
      </c>
      <c r="L254" s="39"/>
      <c r="M254" s="42" t="str">
        <f t="shared" si="11"/>
        <v/>
      </c>
      <c r="N254" s="35"/>
      <c r="O254" s="35"/>
      <c r="P254" s="35"/>
      <c r="Q254" s="35"/>
      <c r="R254" s="35"/>
      <c r="S254" s="35"/>
      <c r="T254" s="35"/>
      <c r="U254" s="35"/>
      <c r="V254" s="35"/>
      <c r="W254" s="35"/>
      <c r="X254" s="35"/>
      <c r="Y254" s="35"/>
      <c r="Z254" s="35"/>
      <c r="AA254" s="35"/>
      <c r="AB254" s="35"/>
      <c r="AC254" s="35"/>
      <c r="AD254" s="35"/>
      <c r="AE254" s="35"/>
      <c r="AF254" s="35"/>
      <c r="AG254" s="35"/>
      <c r="AH254" s="35"/>
      <c r="AI254" s="35"/>
      <c r="AJ254" s="35"/>
      <c r="AK254" s="35"/>
      <c r="AL254" s="35"/>
      <c r="AM254" s="35"/>
      <c r="AN254" s="35"/>
      <c r="AO254" s="35"/>
      <c r="AP254" s="35"/>
      <c r="AQ254" s="35"/>
      <c r="AR254" s="35"/>
      <c r="AS254" s="35"/>
      <c r="AT254" s="35"/>
      <c r="AU254" s="35"/>
      <c r="AV254" s="35"/>
      <c r="AW254" s="35"/>
      <c r="AX254" s="35"/>
      <c r="AY254" s="35"/>
      <c r="AZ254" s="35"/>
      <c r="BA254" s="35"/>
      <c r="BB254" s="35"/>
      <c r="BC254" s="35"/>
      <c r="BD254" s="35"/>
      <c r="BE254" s="35"/>
      <c r="BF254" s="35"/>
      <c r="BG254" s="35"/>
      <c r="BH254" s="35"/>
      <c r="BI254" s="35"/>
      <c r="BJ254" s="35"/>
      <c r="BK254" s="35"/>
      <c r="BL254" s="35"/>
    </row>
    <row r="255" spans="1:64" ht="14">
      <c r="A255" s="36"/>
      <c r="B255" s="37"/>
      <c r="C255" s="38">
        <f t="shared" si="9"/>
        <v>0</v>
      </c>
      <c r="D255" s="39"/>
      <c r="E255" s="39"/>
      <c r="F255" s="39"/>
      <c r="G255" s="39"/>
      <c r="H255" s="40"/>
      <c r="I255" s="41"/>
      <c r="J255" s="39"/>
      <c r="K255" s="43">
        <f t="shared" si="10"/>
        <v>0</v>
      </c>
      <c r="L255" s="39"/>
      <c r="M255" s="42" t="str">
        <f t="shared" si="11"/>
        <v/>
      </c>
      <c r="N255" s="35"/>
      <c r="O255" s="35"/>
      <c r="P255" s="35"/>
      <c r="Q255" s="35"/>
      <c r="R255" s="35"/>
      <c r="S255" s="35"/>
      <c r="T255" s="35"/>
      <c r="U255" s="35"/>
      <c r="V255" s="35"/>
      <c r="W255" s="35"/>
      <c r="X255" s="35"/>
      <c r="Y255" s="35"/>
      <c r="Z255" s="35"/>
      <c r="AA255" s="35"/>
      <c r="AB255" s="35"/>
      <c r="AC255" s="35"/>
      <c r="AD255" s="35"/>
      <c r="AE255" s="35"/>
      <c r="AF255" s="35"/>
      <c r="AG255" s="35"/>
      <c r="AH255" s="35"/>
      <c r="AI255" s="35"/>
      <c r="AJ255" s="35"/>
      <c r="AK255" s="35"/>
      <c r="AL255" s="35"/>
      <c r="AM255" s="35"/>
      <c r="AN255" s="35"/>
      <c r="AO255" s="35"/>
      <c r="AP255" s="35"/>
      <c r="AQ255" s="35"/>
      <c r="AR255" s="35"/>
      <c r="AS255" s="35"/>
      <c r="AT255" s="35"/>
      <c r="AU255" s="35"/>
      <c r="AV255" s="35"/>
      <c r="AW255" s="35"/>
      <c r="AX255" s="35"/>
      <c r="AY255" s="35"/>
      <c r="AZ255" s="35"/>
      <c r="BA255" s="35"/>
      <c r="BB255" s="35"/>
      <c r="BC255" s="35"/>
      <c r="BD255" s="35"/>
      <c r="BE255" s="35"/>
      <c r="BF255" s="35"/>
      <c r="BG255" s="35"/>
      <c r="BH255" s="35"/>
      <c r="BI255" s="35"/>
      <c r="BJ255" s="35"/>
      <c r="BK255" s="35"/>
      <c r="BL255" s="35"/>
    </row>
    <row r="256" spans="1:64" ht="14">
      <c r="A256" s="36"/>
      <c r="B256" s="37"/>
      <c r="C256" s="38">
        <f t="shared" si="9"/>
        <v>0</v>
      </c>
      <c r="D256" s="39"/>
      <c r="E256" s="39"/>
      <c r="F256" s="39"/>
      <c r="G256" s="39"/>
      <c r="H256" s="40"/>
      <c r="I256" s="41"/>
      <c r="J256" s="39"/>
      <c r="K256" s="43">
        <f t="shared" si="10"/>
        <v>0</v>
      </c>
      <c r="L256" s="39"/>
      <c r="M256" s="42" t="str">
        <f t="shared" si="11"/>
        <v/>
      </c>
      <c r="N256" s="35"/>
      <c r="O256" s="35"/>
      <c r="P256" s="35"/>
      <c r="Q256" s="35"/>
      <c r="R256" s="35"/>
      <c r="S256" s="35"/>
      <c r="T256" s="35"/>
      <c r="U256" s="35"/>
      <c r="V256" s="35"/>
      <c r="W256" s="35"/>
      <c r="X256" s="35"/>
      <c r="Y256" s="35"/>
      <c r="Z256" s="35"/>
      <c r="AA256" s="35"/>
      <c r="AB256" s="35"/>
      <c r="AC256" s="35"/>
      <c r="AD256" s="35"/>
      <c r="AE256" s="35"/>
      <c r="AF256" s="35"/>
      <c r="AG256" s="35"/>
      <c r="AH256" s="35"/>
      <c r="AI256" s="35"/>
      <c r="AJ256" s="35"/>
      <c r="AK256" s="35"/>
      <c r="AL256" s="35"/>
      <c r="AM256" s="35"/>
      <c r="AN256" s="35"/>
      <c r="AO256" s="35"/>
      <c r="AP256" s="35"/>
      <c r="AQ256" s="35"/>
      <c r="AR256" s="35"/>
      <c r="AS256" s="35"/>
      <c r="AT256" s="35"/>
      <c r="AU256" s="35"/>
      <c r="AV256" s="35"/>
      <c r="AW256" s="35"/>
      <c r="AX256" s="35"/>
      <c r="AY256" s="35"/>
      <c r="AZ256" s="35"/>
      <c r="BA256" s="35"/>
      <c r="BB256" s="35"/>
      <c r="BC256" s="35"/>
      <c r="BD256" s="35"/>
      <c r="BE256" s="35"/>
      <c r="BF256" s="35"/>
      <c r="BG256" s="35"/>
      <c r="BH256" s="35"/>
      <c r="BI256" s="35"/>
      <c r="BJ256" s="35"/>
      <c r="BK256" s="35"/>
      <c r="BL256" s="35"/>
    </row>
    <row r="257" spans="1:64" ht="14">
      <c r="A257" s="36"/>
      <c r="B257" s="37"/>
      <c r="C257" s="38">
        <f t="shared" si="9"/>
        <v>0</v>
      </c>
      <c r="D257" s="39"/>
      <c r="E257" s="39"/>
      <c r="F257" s="39"/>
      <c r="G257" s="39"/>
      <c r="H257" s="40"/>
      <c r="I257" s="41"/>
      <c r="J257" s="39"/>
      <c r="K257" s="43">
        <f t="shared" si="10"/>
        <v>0</v>
      </c>
      <c r="L257" s="39"/>
      <c r="M257" s="42" t="str">
        <f t="shared" si="11"/>
        <v/>
      </c>
      <c r="N257" s="35"/>
      <c r="O257" s="35"/>
      <c r="P257" s="35"/>
      <c r="Q257" s="35"/>
      <c r="R257" s="35"/>
      <c r="S257" s="35"/>
      <c r="T257" s="35"/>
      <c r="U257" s="35"/>
      <c r="V257" s="35"/>
      <c r="W257" s="35"/>
      <c r="X257" s="35"/>
      <c r="Y257" s="35"/>
      <c r="Z257" s="35"/>
      <c r="AA257" s="35"/>
      <c r="AB257" s="35"/>
      <c r="AC257" s="35"/>
      <c r="AD257" s="35"/>
      <c r="AE257" s="35"/>
      <c r="AF257" s="35"/>
      <c r="AG257" s="35"/>
      <c r="AH257" s="35"/>
      <c r="AI257" s="35"/>
      <c r="AJ257" s="35"/>
      <c r="AK257" s="35"/>
      <c r="AL257" s="35"/>
      <c r="AM257" s="35"/>
      <c r="AN257" s="35"/>
      <c r="AO257" s="35"/>
      <c r="AP257" s="35"/>
      <c r="AQ257" s="35"/>
      <c r="AR257" s="35"/>
      <c r="AS257" s="35"/>
      <c r="AT257" s="35"/>
      <c r="AU257" s="35"/>
      <c r="AV257" s="35"/>
      <c r="AW257" s="35"/>
      <c r="AX257" s="35"/>
      <c r="AY257" s="35"/>
      <c r="AZ257" s="35"/>
      <c r="BA257" s="35"/>
      <c r="BB257" s="35"/>
      <c r="BC257" s="35"/>
      <c r="BD257" s="35"/>
      <c r="BE257" s="35"/>
      <c r="BF257" s="35"/>
      <c r="BG257" s="35"/>
      <c r="BH257" s="35"/>
      <c r="BI257" s="35"/>
      <c r="BJ257" s="35"/>
      <c r="BK257" s="35"/>
      <c r="BL257" s="35"/>
    </row>
    <row r="258" spans="1:64" ht="14">
      <c r="A258" s="36"/>
      <c r="B258" s="37"/>
      <c r="C258" s="38">
        <f t="shared" si="9"/>
        <v>0</v>
      </c>
      <c r="D258" s="39"/>
      <c r="E258" s="39"/>
      <c r="F258" s="39"/>
      <c r="G258" s="39"/>
      <c r="H258" s="40"/>
      <c r="I258" s="41"/>
      <c r="J258" s="39"/>
      <c r="K258" s="43">
        <f t="shared" si="10"/>
        <v>0</v>
      </c>
      <c r="L258" s="39"/>
      <c r="M258" s="42" t="str">
        <f t="shared" si="11"/>
        <v/>
      </c>
      <c r="N258" s="35"/>
      <c r="O258" s="35"/>
      <c r="P258" s="35"/>
      <c r="Q258" s="35"/>
      <c r="R258" s="35"/>
      <c r="S258" s="35"/>
      <c r="T258" s="35"/>
      <c r="U258" s="35"/>
      <c r="V258" s="35"/>
      <c r="W258" s="35"/>
      <c r="X258" s="35"/>
      <c r="Y258" s="35"/>
      <c r="Z258" s="35"/>
      <c r="AA258" s="35"/>
      <c r="AB258" s="35"/>
      <c r="AC258" s="35"/>
      <c r="AD258" s="35"/>
      <c r="AE258" s="35"/>
      <c r="AF258" s="35"/>
      <c r="AG258" s="35"/>
      <c r="AH258" s="35"/>
      <c r="AI258" s="35"/>
      <c r="AJ258" s="35"/>
      <c r="AK258" s="35"/>
      <c r="AL258" s="35"/>
      <c r="AM258" s="35"/>
      <c r="AN258" s="35"/>
      <c r="AO258" s="35"/>
      <c r="AP258" s="35"/>
      <c r="AQ258" s="35"/>
      <c r="AR258" s="35"/>
      <c r="AS258" s="35"/>
      <c r="AT258" s="35"/>
      <c r="AU258" s="35"/>
      <c r="AV258" s="35"/>
      <c r="AW258" s="35"/>
      <c r="AX258" s="35"/>
      <c r="AY258" s="35"/>
      <c r="AZ258" s="35"/>
      <c r="BA258" s="35"/>
      <c r="BB258" s="35"/>
      <c r="BC258" s="35"/>
      <c r="BD258" s="35"/>
      <c r="BE258" s="35"/>
      <c r="BF258" s="35"/>
      <c r="BG258" s="35"/>
      <c r="BH258" s="35"/>
      <c r="BI258" s="35"/>
      <c r="BJ258" s="35"/>
      <c r="BK258" s="35"/>
      <c r="BL258" s="35"/>
    </row>
    <row r="259" spans="1:64" ht="14">
      <c r="A259" s="36"/>
      <c r="B259" s="37"/>
      <c r="C259" s="38">
        <f t="shared" si="9"/>
        <v>0</v>
      </c>
      <c r="D259" s="39"/>
      <c r="E259" s="39"/>
      <c r="F259" s="39"/>
      <c r="G259" s="39"/>
      <c r="H259" s="40"/>
      <c r="I259" s="41"/>
      <c r="J259" s="39"/>
      <c r="K259" s="43">
        <f t="shared" si="10"/>
        <v>0</v>
      </c>
      <c r="L259" s="39"/>
      <c r="M259" s="42" t="str">
        <f t="shared" si="11"/>
        <v/>
      </c>
      <c r="N259" s="35"/>
      <c r="O259" s="35"/>
      <c r="P259" s="35"/>
      <c r="Q259" s="35"/>
      <c r="R259" s="35"/>
      <c r="S259" s="35"/>
      <c r="T259" s="35"/>
      <c r="U259" s="35"/>
      <c r="V259" s="35"/>
      <c r="W259" s="35"/>
      <c r="X259" s="35"/>
      <c r="Y259" s="35"/>
      <c r="Z259" s="35"/>
      <c r="AA259" s="35"/>
      <c r="AB259" s="35"/>
      <c r="AC259" s="35"/>
      <c r="AD259" s="35"/>
      <c r="AE259" s="35"/>
      <c r="AF259" s="35"/>
      <c r="AG259" s="35"/>
      <c r="AH259" s="35"/>
      <c r="AI259" s="35"/>
      <c r="AJ259" s="35"/>
      <c r="AK259" s="35"/>
      <c r="AL259" s="35"/>
      <c r="AM259" s="35"/>
      <c r="AN259" s="35"/>
      <c r="AO259" s="35"/>
      <c r="AP259" s="35"/>
      <c r="AQ259" s="35"/>
      <c r="AR259" s="35"/>
      <c r="AS259" s="35"/>
      <c r="AT259" s="35"/>
      <c r="AU259" s="35"/>
      <c r="AV259" s="35"/>
      <c r="AW259" s="35"/>
      <c r="AX259" s="35"/>
      <c r="AY259" s="35"/>
      <c r="AZ259" s="35"/>
      <c r="BA259" s="35"/>
      <c r="BB259" s="35"/>
      <c r="BC259" s="35"/>
      <c r="BD259" s="35"/>
      <c r="BE259" s="35"/>
      <c r="BF259" s="35"/>
      <c r="BG259" s="35"/>
      <c r="BH259" s="35"/>
      <c r="BI259" s="35"/>
      <c r="BJ259" s="35"/>
      <c r="BK259" s="35"/>
      <c r="BL259" s="35"/>
    </row>
    <row r="260" spans="1:64" ht="14">
      <c r="A260" s="36"/>
      <c r="B260" s="37"/>
      <c r="C260" s="38">
        <f t="shared" si="9"/>
        <v>0</v>
      </c>
      <c r="D260" s="39"/>
      <c r="E260" s="39"/>
      <c r="F260" s="39"/>
      <c r="G260" s="39"/>
      <c r="H260" s="40"/>
      <c r="I260" s="41"/>
      <c r="J260" s="39"/>
      <c r="K260" s="43">
        <f t="shared" si="10"/>
        <v>0</v>
      </c>
      <c r="L260" s="39"/>
      <c r="M260" s="42" t="str">
        <f t="shared" si="11"/>
        <v/>
      </c>
      <c r="N260" s="35"/>
      <c r="O260" s="35"/>
      <c r="P260" s="35"/>
      <c r="Q260" s="35"/>
      <c r="R260" s="35"/>
      <c r="S260" s="35"/>
      <c r="T260" s="35"/>
      <c r="U260" s="35"/>
      <c r="V260" s="35"/>
      <c r="W260" s="35"/>
      <c r="X260" s="35"/>
      <c r="Y260" s="35"/>
      <c r="Z260" s="35"/>
      <c r="AA260" s="35"/>
      <c r="AB260" s="35"/>
      <c r="AC260" s="35"/>
      <c r="AD260" s="35"/>
      <c r="AE260" s="35"/>
      <c r="AF260" s="35"/>
      <c r="AG260" s="35"/>
      <c r="AH260" s="35"/>
      <c r="AI260" s="35"/>
      <c r="AJ260" s="35"/>
      <c r="AK260" s="35"/>
      <c r="AL260" s="35"/>
      <c r="AM260" s="35"/>
      <c r="AN260" s="35"/>
      <c r="AO260" s="35"/>
      <c r="AP260" s="35"/>
      <c r="AQ260" s="35"/>
      <c r="AR260" s="35"/>
      <c r="AS260" s="35"/>
      <c r="AT260" s="35"/>
      <c r="AU260" s="35"/>
      <c r="AV260" s="35"/>
      <c r="AW260" s="35"/>
      <c r="AX260" s="35"/>
      <c r="AY260" s="35"/>
      <c r="AZ260" s="35"/>
      <c r="BA260" s="35"/>
      <c r="BB260" s="35"/>
      <c r="BC260" s="35"/>
      <c r="BD260" s="35"/>
      <c r="BE260" s="35"/>
      <c r="BF260" s="35"/>
      <c r="BG260" s="35"/>
      <c r="BH260" s="35"/>
      <c r="BI260" s="35"/>
      <c r="BJ260" s="35"/>
      <c r="BK260" s="35"/>
      <c r="BL260" s="35"/>
    </row>
    <row r="261" spans="1:64" ht="14">
      <c r="A261" s="36"/>
      <c r="B261" s="37"/>
      <c r="C261" s="38">
        <f t="shared" si="9"/>
        <v>0</v>
      </c>
      <c r="D261" s="39"/>
      <c r="E261" s="39"/>
      <c r="F261" s="39"/>
      <c r="G261" s="39"/>
      <c r="H261" s="40"/>
      <c r="I261" s="41"/>
      <c r="J261" s="39"/>
      <c r="K261" s="43">
        <f t="shared" si="10"/>
        <v>0</v>
      </c>
      <c r="L261" s="39"/>
      <c r="M261" s="42" t="str">
        <f t="shared" si="11"/>
        <v/>
      </c>
      <c r="N261" s="35"/>
      <c r="O261" s="35"/>
      <c r="P261" s="35"/>
      <c r="Q261" s="35"/>
      <c r="R261" s="35"/>
      <c r="S261" s="35"/>
      <c r="T261" s="35"/>
      <c r="U261" s="35"/>
      <c r="V261" s="35"/>
      <c r="W261" s="35"/>
      <c r="X261" s="35"/>
      <c r="Y261" s="35"/>
      <c r="Z261" s="35"/>
      <c r="AA261" s="35"/>
      <c r="AB261" s="35"/>
      <c r="AC261" s="35"/>
      <c r="AD261" s="35"/>
      <c r="AE261" s="35"/>
      <c r="AF261" s="35"/>
      <c r="AG261" s="35"/>
      <c r="AH261" s="35"/>
      <c r="AI261" s="35"/>
      <c r="AJ261" s="35"/>
      <c r="AK261" s="35"/>
      <c r="AL261" s="35"/>
      <c r="AM261" s="35"/>
      <c r="AN261" s="35"/>
      <c r="AO261" s="35"/>
      <c r="AP261" s="35"/>
      <c r="AQ261" s="35"/>
      <c r="AR261" s="35"/>
      <c r="AS261" s="35"/>
      <c r="AT261" s="35"/>
      <c r="AU261" s="35"/>
      <c r="AV261" s="35"/>
      <c r="AW261" s="35"/>
      <c r="AX261" s="35"/>
      <c r="AY261" s="35"/>
      <c r="AZ261" s="35"/>
      <c r="BA261" s="35"/>
      <c r="BB261" s="35"/>
      <c r="BC261" s="35"/>
      <c r="BD261" s="35"/>
      <c r="BE261" s="35"/>
      <c r="BF261" s="35"/>
      <c r="BG261" s="35"/>
      <c r="BH261" s="35"/>
      <c r="BI261" s="35"/>
      <c r="BJ261" s="35"/>
      <c r="BK261" s="35"/>
      <c r="BL261" s="35"/>
    </row>
    <row r="262" spans="1:64" ht="14">
      <c r="A262" s="36"/>
      <c r="B262" s="37"/>
      <c r="C262" s="38">
        <f t="shared" si="9"/>
        <v>0</v>
      </c>
      <c r="D262" s="39"/>
      <c r="E262" s="39"/>
      <c r="F262" s="39"/>
      <c r="G262" s="39"/>
      <c r="H262" s="40"/>
      <c r="I262" s="41"/>
      <c r="J262" s="39"/>
      <c r="K262" s="43">
        <f t="shared" si="10"/>
        <v>0</v>
      </c>
      <c r="L262" s="39"/>
      <c r="M262" s="42" t="str">
        <f t="shared" si="11"/>
        <v/>
      </c>
      <c r="N262" s="35"/>
      <c r="O262" s="35"/>
      <c r="P262" s="35"/>
      <c r="Q262" s="35"/>
      <c r="R262" s="35"/>
      <c r="S262" s="35"/>
      <c r="T262" s="35"/>
      <c r="U262" s="35"/>
      <c r="V262" s="35"/>
      <c r="W262" s="35"/>
      <c r="X262" s="35"/>
      <c r="Y262" s="35"/>
      <c r="Z262" s="35"/>
      <c r="AA262" s="35"/>
      <c r="AB262" s="35"/>
      <c r="AC262" s="35"/>
      <c r="AD262" s="35"/>
      <c r="AE262" s="35"/>
      <c r="AF262" s="35"/>
      <c r="AG262" s="35"/>
      <c r="AH262" s="35"/>
      <c r="AI262" s="35"/>
      <c r="AJ262" s="35"/>
      <c r="AK262" s="35"/>
      <c r="AL262" s="35"/>
      <c r="AM262" s="35"/>
      <c r="AN262" s="35"/>
      <c r="AO262" s="35"/>
      <c r="AP262" s="35"/>
      <c r="AQ262" s="35"/>
      <c r="AR262" s="35"/>
      <c r="AS262" s="35"/>
      <c r="AT262" s="35"/>
      <c r="AU262" s="35"/>
      <c r="AV262" s="35"/>
      <c r="AW262" s="35"/>
      <c r="AX262" s="35"/>
      <c r="AY262" s="35"/>
      <c r="AZ262" s="35"/>
      <c r="BA262" s="35"/>
      <c r="BB262" s="35"/>
      <c r="BC262" s="35"/>
      <c r="BD262" s="35"/>
      <c r="BE262" s="35"/>
      <c r="BF262" s="35"/>
      <c r="BG262" s="35"/>
      <c r="BH262" s="35"/>
      <c r="BI262" s="35"/>
      <c r="BJ262" s="35"/>
      <c r="BK262" s="35"/>
      <c r="BL262" s="35"/>
    </row>
    <row r="263" spans="1:64" ht="14">
      <c r="A263" s="36"/>
      <c r="B263" s="37"/>
      <c r="C263" s="38">
        <f t="shared" si="9"/>
        <v>0</v>
      </c>
      <c r="D263" s="39"/>
      <c r="E263" s="39"/>
      <c r="F263" s="39"/>
      <c r="G263" s="39"/>
      <c r="H263" s="40"/>
      <c r="I263" s="41"/>
      <c r="J263" s="39"/>
      <c r="K263" s="43">
        <f t="shared" si="10"/>
        <v>0</v>
      </c>
      <c r="L263" s="39"/>
      <c r="M263" s="42" t="str">
        <f t="shared" si="11"/>
        <v/>
      </c>
      <c r="N263" s="35"/>
      <c r="O263" s="35"/>
      <c r="P263" s="35"/>
      <c r="Q263" s="35"/>
      <c r="R263" s="35"/>
      <c r="S263" s="35"/>
      <c r="T263" s="35"/>
      <c r="U263" s="35"/>
      <c r="V263" s="35"/>
      <c r="W263" s="35"/>
      <c r="X263" s="35"/>
      <c r="Y263" s="35"/>
      <c r="Z263" s="35"/>
      <c r="AA263" s="35"/>
      <c r="AB263" s="35"/>
      <c r="AC263" s="35"/>
      <c r="AD263" s="35"/>
      <c r="AE263" s="35"/>
      <c r="AF263" s="35"/>
      <c r="AG263" s="35"/>
      <c r="AH263" s="35"/>
      <c r="AI263" s="35"/>
      <c r="AJ263" s="35"/>
      <c r="AK263" s="35"/>
      <c r="AL263" s="35"/>
      <c r="AM263" s="35"/>
      <c r="AN263" s="35"/>
      <c r="AO263" s="35"/>
      <c r="AP263" s="35"/>
      <c r="AQ263" s="35"/>
      <c r="AR263" s="35"/>
      <c r="AS263" s="35"/>
      <c r="AT263" s="35"/>
      <c r="AU263" s="35"/>
      <c r="AV263" s="35"/>
      <c r="AW263" s="35"/>
      <c r="AX263" s="35"/>
      <c r="AY263" s="35"/>
      <c r="AZ263" s="35"/>
      <c r="BA263" s="35"/>
      <c r="BB263" s="35"/>
      <c r="BC263" s="35"/>
      <c r="BD263" s="35"/>
      <c r="BE263" s="35"/>
      <c r="BF263" s="35"/>
      <c r="BG263" s="35"/>
      <c r="BH263" s="35"/>
      <c r="BI263" s="35"/>
      <c r="BJ263" s="35"/>
      <c r="BK263" s="35"/>
      <c r="BL263" s="35"/>
    </row>
    <row r="264" spans="1:64" ht="14">
      <c r="A264" s="36"/>
      <c r="B264" s="37"/>
      <c r="C264" s="38">
        <f t="shared" si="9"/>
        <v>0</v>
      </c>
      <c r="D264" s="39"/>
      <c r="E264" s="39"/>
      <c r="F264" s="39"/>
      <c r="G264" s="39"/>
      <c r="H264" s="40"/>
      <c r="I264" s="41"/>
      <c r="J264" s="39"/>
      <c r="K264" s="43">
        <f t="shared" si="10"/>
        <v>0</v>
      </c>
      <c r="L264" s="39"/>
      <c r="M264" s="42" t="str">
        <f t="shared" si="11"/>
        <v/>
      </c>
      <c r="N264" s="35"/>
      <c r="O264" s="35"/>
      <c r="P264" s="35"/>
      <c r="Q264" s="35"/>
      <c r="R264" s="35"/>
      <c r="S264" s="35"/>
      <c r="T264" s="35"/>
      <c r="U264" s="35"/>
      <c r="V264" s="35"/>
      <c r="W264" s="35"/>
      <c r="X264" s="35"/>
      <c r="Y264" s="35"/>
      <c r="Z264" s="35"/>
      <c r="AA264" s="35"/>
      <c r="AB264" s="35"/>
      <c r="AC264" s="35"/>
      <c r="AD264" s="35"/>
      <c r="AE264" s="35"/>
      <c r="AF264" s="35"/>
      <c r="AG264" s="35"/>
      <c r="AH264" s="35"/>
      <c r="AI264" s="35"/>
      <c r="AJ264" s="35"/>
      <c r="AK264" s="35"/>
      <c r="AL264" s="35"/>
      <c r="AM264" s="35"/>
      <c r="AN264" s="35"/>
      <c r="AO264" s="35"/>
      <c r="AP264" s="35"/>
      <c r="AQ264" s="35"/>
      <c r="AR264" s="35"/>
      <c r="AS264" s="35"/>
      <c r="AT264" s="35"/>
      <c r="AU264" s="35"/>
      <c r="AV264" s="35"/>
      <c r="AW264" s="35"/>
      <c r="AX264" s="35"/>
      <c r="AY264" s="35"/>
      <c r="AZ264" s="35"/>
      <c r="BA264" s="35"/>
      <c r="BB264" s="35"/>
      <c r="BC264" s="35"/>
      <c r="BD264" s="35"/>
      <c r="BE264" s="35"/>
      <c r="BF264" s="35"/>
      <c r="BG264" s="35"/>
      <c r="BH264" s="35"/>
      <c r="BI264" s="35"/>
      <c r="BJ264" s="35"/>
      <c r="BK264" s="35"/>
      <c r="BL264" s="35"/>
    </row>
    <row r="265" spans="1:64" ht="14">
      <c r="A265" s="36"/>
      <c r="B265" s="37"/>
      <c r="C265" s="38">
        <f t="shared" si="9"/>
        <v>0</v>
      </c>
      <c r="D265" s="39"/>
      <c r="E265" s="39"/>
      <c r="F265" s="39"/>
      <c r="G265" s="39"/>
      <c r="H265" s="40"/>
      <c r="I265" s="41"/>
      <c r="J265" s="39"/>
      <c r="K265" s="43">
        <f t="shared" si="10"/>
        <v>0</v>
      </c>
      <c r="L265" s="39"/>
      <c r="M265" s="42" t="str">
        <f t="shared" si="11"/>
        <v/>
      </c>
      <c r="N265" s="35"/>
      <c r="O265" s="35"/>
      <c r="P265" s="35"/>
      <c r="Q265" s="35"/>
      <c r="R265" s="35"/>
      <c r="S265" s="35"/>
      <c r="T265" s="35"/>
      <c r="U265" s="35"/>
      <c r="V265" s="35"/>
      <c r="W265" s="35"/>
      <c r="X265" s="35"/>
      <c r="Y265" s="35"/>
      <c r="Z265" s="35"/>
      <c r="AA265" s="35"/>
      <c r="AB265" s="35"/>
      <c r="AC265" s="35"/>
      <c r="AD265" s="35"/>
      <c r="AE265" s="35"/>
      <c r="AF265" s="35"/>
      <c r="AG265" s="35"/>
      <c r="AH265" s="35"/>
      <c r="AI265" s="35"/>
      <c r="AJ265" s="35"/>
      <c r="AK265" s="35"/>
      <c r="AL265" s="35"/>
      <c r="AM265" s="35"/>
      <c r="AN265" s="35"/>
      <c r="AO265" s="35"/>
      <c r="AP265" s="35"/>
      <c r="AQ265" s="35"/>
      <c r="AR265" s="35"/>
      <c r="AS265" s="35"/>
      <c r="AT265" s="35"/>
      <c r="AU265" s="35"/>
      <c r="AV265" s="35"/>
      <c r="AW265" s="35"/>
      <c r="AX265" s="35"/>
      <c r="AY265" s="35"/>
      <c r="AZ265" s="35"/>
      <c r="BA265" s="35"/>
      <c r="BB265" s="35"/>
      <c r="BC265" s="35"/>
      <c r="BD265" s="35"/>
      <c r="BE265" s="35"/>
      <c r="BF265" s="35"/>
      <c r="BG265" s="35"/>
      <c r="BH265" s="35"/>
      <c r="BI265" s="35"/>
      <c r="BJ265" s="35"/>
      <c r="BK265" s="35"/>
      <c r="BL265" s="35"/>
    </row>
    <row r="266" spans="1:64" ht="14">
      <c r="A266" s="36"/>
      <c r="B266" s="37"/>
      <c r="C266" s="38">
        <f t="shared" ref="C266:C329" si="12">IF($B266&lt;&gt;"",VLOOKUP($B266,Matriz_INM,2,0),0)</f>
        <v>0</v>
      </c>
      <c r="D266" s="39"/>
      <c r="E266" s="39"/>
      <c r="F266" s="39"/>
      <c r="G266" s="39"/>
      <c r="H266" s="40"/>
      <c r="I266" s="41"/>
      <c r="J266" s="39"/>
      <c r="K266" s="43">
        <f t="shared" ref="K266:K329" si="13">IF(M266="%",(IF($J266="EE",4,IF($J266="CE",4,IF($J266="SE",5,IF($J266="ALI",7,IF($J266="AIE",5,0))))))*$C266,$C266*$I266)</f>
        <v>0</v>
      </c>
      <c r="L266" s="39"/>
      <c r="M266" s="42" t="str">
        <f t="shared" ref="M266:M329" si="14">IFERROR(VLOOKUP($B266,Matriz_INM,3,0),"")</f>
        <v/>
      </c>
      <c r="N266" s="35"/>
      <c r="O266" s="35"/>
      <c r="P266" s="35"/>
      <c r="Q266" s="35"/>
      <c r="R266" s="35"/>
      <c r="S266" s="35"/>
      <c r="T266" s="35"/>
      <c r="U266" s="35"/>
      <c r="V266" s="35"/>
      <c r="W266" s="35"/>
      <c r="X266" s="35"/>
      <c r="Y266" s="35"/>
      <c r="Z266" s="35"/>
      <c r="AA266" s="35"/>
      <c r="AB266" s="35"/>
      <c r="AC266" s="35"/>
      <c r="AD266" s="35"/>
      <c r="AE266" s="35"/>
      <c r="AF266" s="35"/>
      <c r="AG266" s="35"/>
      <c r="AH266" s="35"/>
      <c r="AI266" s="35"/>
      <c r="AJ266" s="35"/>
      <c r="AK266" s="35"/>
      <c r="AL266" s="35"/>
      <c r="AM266" s="35"/>
      <c r="AN266" s="35"/>
      <c r="AO266" s="35"/>
      <c r="AP266" s="35"/>
      <c r="AQ266" s="35"/>
      <c r="AR266" s="35"/>
      <c r="AS266" s="35"/>
      <c r="AT266" s="35"/>
      <c r="AU266" s="35"/>
      <c r="AV266" s="35"/>
      <c r="AW266" s="35"/>
      <c r="AX266" s="35"/>
      <c r="AY266" s="35"/>
      <c r="AZ266" s="35"/>
      <c r="BA266" s="35"/>
      <c r="BB266" s="35"/>
      <c r="BC266" s="35"/>
      <c r="BD266" s="35"/>
      <c r="BE266" s="35"/>
      <c r="BF266" s="35"/>
      <c r="BG266" s="35"/>
      <c r="BH266" s="35"/>
      <c r="BI266" s="35"/>
      <c r="BJ266" s="35"/>
      <c r="BK266" s="35"/>
      <c r="BL266" s="35"/>
    </row>
    <row r="267" spans="1:64" ht="14">
      <c r="A267" s="36"/>
      <c r="B267" s="37"/>
      <c r="C267" s="38">
        <f t="shared" si="12"/>
        <v>0</v>
      </c>
      <c r="D267" s="39"/>
      <c r="E267" s="39"/>
      <c r="F267" s="39"/>
      <c r="G267" s="39"/>
      <c r="H267" s="40"/>
      <c r="I267" s="41"/>
      <c r="J267" s="39"/>
      <c r="K267" s="43">
        <f t="shared" si="13"/>
        <v>0</v>
      </c>
      <c r="L267" s="39"/>
      <c r="M267" s="42" t="str">
        <f t="shared" si="14"/>
        <v/>
      </c>
      <c r="N267" s="35"/>
      <c r="O267" s="35"/>
      <c r="P267" s="35"/>
      <c r="Q267" s="35"/>
      <c r="R267" s="35"/>
      <c r="S267" s="35"/>
      <c r="T267" s="35"/>
      <c r="U267" s="35"/>
      <c r="V267" s="35"/>
      <c r="W267" s="35"/>
      <c r="X267" s="35"/>
      <c r="Y267" s="35"/>
      <c r="Z267" s="35"/>
      <c r="AA267" s="35"/>
      <c r="AB267" s="35"/>
      <c r="AC267" s="35"/>
      <c r="AD267" s="35"/>
      <c r="AE267" s="35"/>
      <c r="AF267" s="35"/>
      <c r="AG267" s="35"/>
      <c r="AH267" s="35"/>
      <c r="AI267" s="35"/>
      <c r="AJ267" s="35"/>
      <c r="AK267" s="35"/>
      <c r="AL267" s="35"/>
      <c r="AM267" s="35"/>
      <c r="AN267" s="35"/>
      <c r="AO267" s="35"/>
      <c r="AP267" s="35"/>
      <c r="AQ267" s="35"/>
      <c r="AR267" s="35"/>
      <c r="AS267" s="35"/>
      <c r="AT267" s="35"/>
      <c r="AU267" s="35"/>
      <c r="AV267" s="35"/>
      <c r="AW267" s="35"/>
      <c r="AX267" s="35"/>
      <c r="AY267" s="35"/>
      <c r="AZ267" s="35"/>
      <c r="BA267" s="35"/>
      <c r="BB267" s="35"/>
      <c r="BC267" s="35"/>
      <c r="BD267" s="35"/>
      <c r="BE267" s="35"/>
      <c r="BF267" s="35"/>
      <c r="BG267" s="35"/>
      <c r="BH267" s="35"/>
      <c r="BI267" s="35"/>
      <c r="BJ267" s="35"/>
      <c r="BK267" s="35"/>
      <c r="BL267" s="35"/>
    </row>
    <row r="268" spans="1:64" ht="14">
      <c r="A268" s="36"/>
      <c r="B268" s="37"/>
      <c r="C268" s="38">
        <f t="shared" si="12"/>
        <v>0</v>
      </c>
      <c r="D268" s="39"/>
      <c r="E268" s="39"/>
      <c r="F268" s="39"/>
      <c r="G268" s="39"/>
      <c r="H268" s="40"/>
      <c r="I268" s="41"/>
      <c r="J268" s="39"/>
      <c r="K268" s="43">
        <f t="shared" si="13"/>
        <v>0</v>
      </c>
      <c r="L268" s="39"/>
      <c r="M268" s="42" t="str">
        <f t="shared" si="14"/>
        <v/>
      </c>
      <c r="N268" s="35"/>
      <c r="O268" s="35"/>
      <c r="P268" s="35"/>
      <c r="Q268" s="35"/>
      <c r="R268" s="35"/>
      <c r="S268" s="35"/>
      <c r="T268" s="35"/>
      <c r="U268" s="35"/>
      <c r="V268" s="35"/>
      <c r="W268" s="35"/>
      <c r="X268" s="35"/>
      <c r="Y268" s="35"/>
      <c r="Z268" s="35"/>
      <c r="AA268" s="35"/>
      <c r="AB268" s="35"/>
      <c r="AC268" s="35"/>
      <c r="AD268" s="35"/>
      <c r="AE268" s="35"/>
      <c r="AF268" s="35"/>
      <c r="AG268" s="35"/>
      <c r="AH268" s="35"/>
      <c r="AI268" s="35"/>
      <c r="AJ268" s="35"/>
      <c r="AK268" s="35"/>
      <c r="AL268" s="35"/>
      <c r="AM268" s="35"/>
      <c r="AN268" s="35"/>
      <c r="AO268" s="35"/>
      <c r="AP268" s="35"/>
      <c r="AQ268" s="35"/>
      <c r="AR268" s="35"/>
      <c r="AS268" s="35"/>
      <c r="AT268" s="35"/>
      <c r="AU268" s="35"/>
      <c r="AV268" s="35"/>
      <c r="AW268" s="35"/>
      <c r="AX268" s="35"/>
      <c r="AY268" s="35"/>
      <c r="AZ268" s="35"/>
      <c r="BA268" s="35"/>
      <c r="BB268" s="35"/>
      <c r="BC268" s="35"/>
      <c r="BD268" s="35"/>
      <c r="BE268" s="35"/>
      <c r="BF268" s="35"/>
      <c r="BG268" s="35"/>
      <c r="BH268" s="35"/>
      <c r="BI268" s="35"/>
      <c r="BJ268" s="35"/>
      <c r="BK268" s="35"/>
      <c r="BL268" s="35"/>
    </row>
    <row r="269" spans="1:64" ht="14">
      <c r="A269" s="36"/>
      <c r="B269" s="37"/>
      <c r="C269" s="38">
        <f t="shared" si="12"/>
        <v>0</v>
      </c>
      <c r="D269" s="39"/>
      <c r="E269" s="39"/>
      <c r="F269" s="39"/>
      <c r="G269" s="39"/>
      <c r="H269" s="40"/>
      <c r="I269" s="41"/>
      <c r="J269" s="39"/>
      <c r="K269" s="43">
        <f t="shared" si="13"/>
        <v>0</v>
      </c>
      <c r="L269" s="39"/>
      <c r="M269" s="42" t="str">
        <f t="shared" si="14"/>
        <v/>
      </c>
      <c r="N269" s="35"/>
      <c r="O269" s="35"/>
      <c r="P269" s="35"/>
      <c r="Q269" s="35"/>
      <c r="R269" s="35"/>
      <c r="S269" s="35"/>
      <c r="T269" s="35"/>
      <c r="U269" s="35"/>
      <c r="V269" s="35"/>
      <c r="W269" s="35"/>
      <c r="X269" s="35"/>
      <c r="Y269" s="35"/>
      <c r="Z269" s="35"/>
      <c r="AA269" s="35"/>
      <c r="AB269" s="35"/>
      <c r="AC269" s="35"/>
      <c r="AD269" s="35"/>
      <c r="AE269" s="35"/>
      <c r="AF269" s="35"/>
      <c r="AG269" s="35"/>
      <c r="AH269" s="35"/>
      <c r="AI269" s="35"/>
      <c r="AJ269" s="35"/>
      <c r="AK269" s="35"/>
      <c r="AL269" s="35"/>
      <c r="AM269" s="35"/>
      <c r="AN269" s="35"/>
      <c r="AO269" s="35"/>
      <c r="AP269" s="35"/>
      <c r="AQ269" s="35"/>
      <c r="AR269" s="35"/>
      <c r="AS269" s="35"/>
      <c r="AT269" s="35"/>
      <c r="AU269" s="35"/>
      <c r="AV269" s="35"/>
      <c r="AW269" s="35"/>
      <c r="AX269" s="35"/>
      <c r="AY269" s="35"/>
      <c r="AZ269" s="35"/>
      <c r="BA269" s="35"/>
      <c r="BB269" s="35"/>
      <c r="BC269" s="35"/>
      <c r="BD269" s="35"/>
      <c r="BE269" s="35"/>
      <c r="BF269" s="35"/>
      <c r="BG269" s="35"/>
      <c r="BH269" s="35"/>
      <c r="BI269" s="35"/>
      <c r="BJ269" s="35"/>
      <c r="BK269" s="35"/>
      <c r="BL269" s="35"/>
    </row>
    <row r="270" spans="1:64" ht="14">
      <c r="A270" s="36"/>
      <c r="B270" s="37"/>
      <c r="C270" s="38">
        <f t="shared" si="12"/>
        <v>0</v>
      </c>
      <c r="D270" s="39"/>
      <c r="E270" s="39"/>
      <c r="F270" s="39"/>
      <c r="G270" s="39"/>
      <c r="H270" s="40"/>
      <c r="I270" s="41"/>
      <c r="J270" s="39"/>
      <c r="K270" s="43">
        <f t="shared" si="13"/>
        <v>0</v>
      </c>
      <c r="L270" s="39"/>
      <c r="M270" s="42" t="str">
        <f t="shared" si="14"/>
        <v/>
      </c>
      <c r="N270" s="35"/>
      <c r="O270" s="35"/>
      <c r="P270" s="35"/>
      <c r="Q270" s="35"/>
      <c r="R270" s="35"/>
      <c r="S270" s="35"/>
      <c r="T270" s="35"/>
      <c r="U270" s="35"/>
      <c r="V270" s="35"/>
      <c r="W270" s="35"/>
      <c r="X270" s="35"/>
      <c r="Y270" s="35"/>
      <c r="Z270" s="35"/>
      <c r="AA270" s="35"/>
      <c r="AB270" s="35"/>
      <c r="AC270" s="35"/>
      <c r="AD270" s="35"/>
      <c r="AE270" s="35"/>
      <c r="AF270" s="35"/>
      <c r="AG270" s="35"/>
      <c r="AH270" s="35"/>
      <c r="AI270" s="35"/>
      <c r="AJ270" s="35"/>
      <c r="AK270" s="35"/>
      <c r="AL270" s="35"/>
      <c r="AM270" s="35"/>
      <c r="AN270" s="35"/>
      <c r="AO270" s="35"/>
      <c r="AP270" s="35"/>
      <c r="AQ270" s="35"/>
      <c r="AR270" s="35"/>
      <c r="AS270" s="35"/>
      <c r="AT270" s="35"/>
      <c r="AU270" s="35"/>
      <c r="AV270" s="35"/>
      <c r="AW270" s="35"/>
      <c r="AX270" s="35"/>
      <c r="AY270" s="35"/>
      <c r="AZ270" s="35"/>
      <c r="BA270" s="35"/>
      <c r="BB270" s="35"/>
      <c r="BC270" s="35"/>
      <c r="BD270" s="35"/>
      <c r="BE270" s="35"/>
      <c r="BF270" s="35"/>
      <c r="BG270" s="35"/>
      <c r="BH270" s="35"/>
      <c r="BI270" s="35"/>
      <c r="BJ270" s="35"/>
      <c r="BK270" s="35"/>
      <c r="BL270" s="35"/>
    </row>
    <row r="271" spans="1:64" ht="14">
      <c r="A271" s="36"/>
      <c r="B271" s="37"/>
      <c r="C271" s="38">
        <f t="shared" si="12"/>
        <v>0</v>
      </c>
      <c r="D271" s="39"/>
      <c r="E271" s="39"/>
      <c r="F271" s="39"/>
      <c r="G271" s="39"/>
      <c r="H271" s="40"/>
      <c r="I271" s="41"/>
      <c r="J271" s="39"/>
      <c r="K271" s="43">
        <f t="shared" si="13"/>
        <v>0</v>
      </c>
      <c r="L271" s="39"/>
      <c r="M271" s="42" t="str">
        <f t="shared" si="14"/>
        <v/>
      </c>
      <c r="N271" s="35"/>
      <c r="O271" s="35"/>
      <c r="P271" s="35"/>
      <c r="Q271" s="35"/>
      <c r="R271" s="35"/>
      <c r="S271" s="35"/>
      <c r="T271" s="35"/>
      <c r="U271" s="35"/>
      <c r="V271" s="35"/>
      <c r="W271" s="35"/>
      <c r="X271" s="35"/>
      <c r="Y271" s="35"/>
      <c r="Z271" s="35"/>
      <c r="AA271" s="35"/>
      <c r="AB271" s="35"/>
      <c r="AC271" s="35"/>
      <c r="AD271" s="35"/>
      <c r="AE271" s="35"/>
      <c r="AF271" s="35"/>
      <c r="AG271" s="35"/>
      <c r="AH271" s="35"/>
      <c r="AI271" s="35"/>
      <c r="AJ271" s="35"/>
      <c r="AK271" s="35"/>
      <c r="AL271" s="35"/>
      <c r="AM271" s="35"/>
      <c r="AN271" s="35"/>
      <c r="AO271" s="35"/>
      <c r="AP271" s="35"/>
      <c r="AQ271" s="35"/>
      <c r="AR271" s="35"/>
      <c r="AS271" s="35"/>
      <c r="AT271" s="35"/>
      <c r="AU271" s="35"/>
      <c r="AV271" s="35"/>
      <c r="AW271" s="35"/>
      <c r="AX271" s="35"/>
      <c r="AY271" s="35"/>
      <c r="AZ271" s="35"/>
      <c r="BA271" s="35"/>
      <c r="BB271" s="35"/>
      <c r="BC271" s="35"/>
      <c r="BD271" s="35"/>
      <c r="BE271" s="35"/>
      <c r="BF271" s="35"/>
      <c r="BG271" s="35"/>
      <c r="BH271" s="35"/>
      <c r="BI271" s="35"/>
      <c r="BJ271" s="35"/>
      <c r="BK271" s="35"/>
      <c r="BL271" s="35"/>
    </row>
    <row r="272" spans="1:64" ht="14">
      <c r="A272" s="36"/>
      <c r="B272" s="37"/>
      <c r="C272" s="38">
        <f t="shared" si="12"/>
        <v>0</v>
      </c>
      <c r="D272" s="39"/>
      <c r="E272" s="39"/>
      <c r="F272" s="39"/>
      <c r="G272" s="39"/>
      <c r="H272" s="40"/>
      <c r="I272" s="41"/>
      <c r="J272" s="39"/>
      <c r="K272" s="43">
        <f t="shared" si="13"/>
        <v>0</v>
      </c>
      <c r="L272" s="39"/>
      <c r="M272" s="42" t="str">
        <f t="shared" si="14"/>
        <v/>
      </c>
      <c r="N272" s="35"/>
      <c r="O272" s="35"/>
      <c r="P272" s="35"/>
      <c r="Q272" s="35"/>
      <c r="R272" s="35"/>
      <c r="S272" s="35"/>
      <c r="T272" s="35"/>
      <c r="U272" s="35"/>
      <c r="V272" s="35"/>
      <c r="W272" s="35"/>
      <c r="X272" s="35"/>
      <c r="Y272" s="35"/>
      <c r="Z272" s="35"/>
      <c r="AA272" s="35"/>
      <c r="AB272" s="35"/>
      <c r="AC272" s="35"/>
      <c r="AD272" s="35"/>
      <c r="AE272" s="35"/>
      <c r="AF272" s="35"/>
      <c r="AG272" s="35"/>
      <c r="AH272" s="35"/>
      <c r="AI272" s="35"/>
      <c r="AJ272" s="35"/>
      <c r="AK272" s="35"/>
      <c r="AL272" s="35"/>
      <c r="AM272" s="35"/>
      <c r="AN272" s="35"/>
      <c r="AO272" s="35"/>
      <c r="AP272" s="35"/>
      <c r="AQ272" s="35"/>
      <c r="AR272" s="35"/>
      <c r="AS272" s="35"/>
      <c r="AT272" s="35"/>
      <c r="AU272" s="35"/>
      <c r="AV272" s="35"/>
      <c r="AW272" s="35"/>
      <c r="AX272" s="35"/>
      <c r="AY272" s="35"/>
      <c r="AZ272" s="35"/>
      <c r="BA272" s="35"/>
      <c r="BB272" s="35"/>
      <c r="BC272" s="35"/>
      <c r="BD272" s="35"/>
      <c r="BE272" s="35"/>
      <c r="BF272" s="35"/>
      <c r="BG272" s="35"/>
      <c r="BH272" s="35"/>
      <c r="BI272" s="35"/>
      <c r="BJ272" s="35"/>
      <c r="BK272" s="35"/>
      <c r="BL272" s="35"/>
    </row>
    <row r="273" spans="1:64" ht="14">
      <c r="A273" s="36"/>
      <c r="B273" s="37"/>
      <c r="C273" s="38">
        <f t="shared" si="12"/>
        <v>0</v>
      </c>
      <c r="D273" s="39"/>
      <c r="E273" s="39"/>
      <c r="F273" s="39"/>
      <c r="G273" s="39"/>
      <c r="H273" s="40"/>
      <c r="I273" s="41"/>
      <c r="J273" s="39"/>
      <c r="K273" s="43">
        <f t="shared" si="13"/>
        <v>0</v>
      </c>
      <c r="L273" s="39"/>
      <c r="M273" s="42" t="str">
        <f t="shared" si="14"/>
        <v/>
      </c>
      <c r="N273" s="35"/>
      <c r="O273" s="35"/>
      <c r="P273" s="35"/>
      <c r="Q273" s="35"/>
      <c r="R273" s="35"/>
      <c r="S273" s="35"/>
      <c r="T273" s="35"/>
      <c r="U273" s="35"/>
      <c r="V273" s="35"/>
      <c r="W273" s="35"/>
      <c r="X273" s="35"/>
      <c r="Y273" s="35"/>
      <c r="Z273" s="35"/>
      <c r="AA273" s="35"/>
      <c r="AB273" s="35"/>
      <c r="AC273" s="35"/>
      <c r="AD273" s="35"/>
      <c r="AE273" s="35"/>
      <c r="AF273" s="35"/>
      <c r="AG273" s="35"/>
      <c r="AH273" s="35"/>
      <c r="AI273" s="35"/>
      <c r="AJ273" s="35"/>
      <c r="AK273" s="35"/>
      <c r="AL273" s="35"/>
      <c r="AM273" s="35"/>
      <c r="AN273" s="35"/>
      <c r="AO273" s="35"/>
      <c r="AP273" s="35"/>
      <c r="AQ273" s="35"/>
      <c r="AR273" s="35"/>
      <c r="AS273" s="35"/>
      <c r="AT273" s="35"/>
      <c r="AU273" s="35"/>
      <c r="AV273" s="35"/>
      <c r="AW273" s="35"/>
      <c r="AX273" s="35"/>
      <c r="AY273" s="35"/>
      <c r="AZ273" s="35"/>
      <c r="BA273" s="35"/>
      <c r="BB273" s="35"/>
      <c r="BC273" s="35"/>
      <c r="BD273" s="35"/>
      <c r="BE273" s="35"/>
      <c r="BF273" s="35"/>
      <c r="BG273" s="35"/>
      <c r="BH273" s="35"/>
      <c r="BI273" s="35"/>
      <c r="BJ273" s="35"/>
      <c r="BK273" s="35"/>
      <c r="BL273" s="35"/>
    </row>
    <row r="274" spans="1:64" ht="14">
      <c r="A274" s="36"/>
      <c r="B274" s="37"/>
      <c r="C274" s="38">
        <f t="shared" si="12"/>
        <v>0</v>
      </c>
      <c r="D274" s="39"/>
      <c r="E274" s="39"/>
      <c r="F274" s="39"/>
      <c r="G274" s="39"/>
      <c r="H274" s="40"/>
      <c r="I274" s="41"/>
      <c r="J274" s="39"/>
      <c r="K274" s="43">
        <f t="shared" si="13"/>
        <v>0</v>
      </c>
      <c r="L274" s="39"/>
      <c r="M274" s="42" t="str">
        <f t="shared" si="14"/>
        <v/>
      </c>
      <c r="N274" s="35"/>
      <c r="O274" s="35"/>
      <c r="P274" s="35"/>
      <c r="Q274" s="35"/>
      <c r="R274" s="35"/>
      <c r="S274" s="35"/>
      <c r="T274" s="35"/>
      <c r="U274" s="35"/>
      <c r="V274" s="35"/>
      <c r="W274" s="35"/>
      <c r="X274" s="35"/>
      <c r="Y274" s="35"/>
      <c r="Z274" s="35"/>
      <c r="AA274" s="35"/>
      <c r="AB274" s="35"/>
      <c r="AC274" s="35"/>
      <c r="AD274" s="35"/>
      <c r="AE274" s="35"/>
      <c r="AF274" s="35"/>
      <c r="AG274" s="35"/>
      <c r="AH274" s="35"/>
      <c r="AI274" s="35"/>
      <c r="AJ274" s="35"/>
      <c r="AK274" s="35"/>
      <c r="AL274" s="35"/>
      <c r="AM274" s="35"/>
      <c r="AN274" s="35"/>
      <c r="AO274" s="35"/>
      <c r="AP274" s="35"/>
      <c r="AQ274" s="35"/>
      <c r="AR274" s="35"/>
      <c r="AS274" s="35"/>
      <c r="AT274" s="35"/>
      <c r="AU274" s="35"/>
      <c r="AV274" s="35"/>
      <c r="AW274" s="35"/>
      <c r="AX274" s="35"/>
      <c r="AY274" s="35"/>
      <c r="AZ274" s="35"/>
      <c r="BA274" s="35"/>
      <c r="BB274" s="35"/>
      <c r="BC274" s="35"/>
      <c r="BD274" s="35"/>
      <c r="BE274" s="35"/>
      <c r="BF274" s="35"/>
      <c r="BG274" s="35"/>
      <c r="BH274" s="35"/>
      <c r="BI274" s="35"/>
      <c r="BJ274" s="35"/>
      <c r="BK274" s="35"/>
      <c r="BL274" s="35"/>
    </row>
    <row r="275" spans="1:64" ht="14">
      <c r="A275" s="36"/>
      <c r="B275" s="37"/>
      <c r="C275" s="38">
        <f t="shared" si="12"/>
        <v>0</v>
      </c>
      <c r="D275" s="39"/>
      <c r="E275" s="39"/>
      <c r="F275" s="39"/>
      <c r="G275" s="39"/>
      <c r="H275" s="40"/>
      <c r="I275" s="41"/>
      <c r="J275" s="39"/>
      <c r="K275" s="43">
        <f t="shared" si="13"/>
        <v>0</v>
      </c>
      <c r="L275" s="39"/>
      <c r="M275" s="42" t="str">
        <f t="shared" si="14"/>
        <v/>
      </c>
      <c r="N275" s="35"/>
      <c r="O275" s="35"/>
      <c r="P275" s="35"/>
      <c r="Q275" s="35"/>
      <c r="R275" s="35"/>
      <c r="S275" s="35"/>
      <c r="T275" s="35"/>
      <c r="U275" s="35"/>
      <c r="V275" s="35"/>
      <c r="W275" s="35"/>
      <c r="X275" s="35"/>
      <c r="Y275" s="35"/>
      <c r="Z275" s="35"/>
      <c r="AA275" s="35"/>
      <c r="AB275" s="35"/>
      <c r="AC275" s="35"/>
      <c r="AD275" s="35"/>
      <c r="AE275" s="35"/>
      <c r="AF275" s="35"/>
      <c r="AG275" s="35"/>
      <c r="AH275" s="35"/>
      <c r="AI275" s="35"/>
      <c r="AJ275" s="35"/>
      <c r="AK275" s="35"/>
      <c r="AL275" s="35"/>
      <c r="AM275" s="35"/>
      <c r="AN275" s="35"/>
      <c r="AO275" s="35"/>
      <c r="AP275" s="35"/>
      <c r="AQ275" s="35"/>
      <c r="AR275" s="35"/>
      <c r="AS275" s="35"/>
      <c r="AT275" s="35"/>
      <c r="AU275" s="35"/>
      <c r="AV275" s="35"/>
      <c r="AW275" s="35"/>
      <c r="AX275" s="35"/>
      <c r="AY275" s="35"/>
      <c r="AZ275" s="35"/>
      <c r="BA275" s="35"/>
      <c r="BB275" s="35"/>
      <c r="BC275" s="35"/>
      <c r="BD275" s="35"/>
      <c r="BE275" s="35"/>
      <c r="BF275" s="35"/>
      <c r="BG275" s="35"/>
      <c r="BH275" s="35"/>
      <c r="BI275" s="35"/>
      <c r="BJ275" s="35"/>
      <c r="BK275" s="35"/>
      <c r="BL275" s="35"/>
    </row>
    <row r="276" spans="1:64" ht="14">
      <c r="A276" s="36"/>
      <c r="B276" s="37"/>
      <c r="C276" s="38">
        <f t="shared" si="12"/>
        <v>0</v>
      </c>
      <c r="D276" s="39"/>
      <c r="E276" s="39"/>
      <c r="F276" s="39"/>
      <c r="G276" s="39"/>
      <c r="H276" s="40"/>
      <c r="I276" s="41"/>
      <c r="J276" s="39"/>
      <c r="K276" s="43">
        <f t="shared" si="13"/>
        <v>0</v>
      </c>
      <c r="L276" s="39"/>
      <c r="M276" s="42" t="str">
        <f t="shared" si="14"/>
        <v/>
      </c>
      <c r="N276" s="35"/>
      <c r="O276" s="35"/>
      <c r="P276" s="35"/>
      <c r="Q276" s="35"/>
      <c r="R276" s="35"/>
      <c r="S276" s="35"/>
      <c r="T276" s="35"/>
      <c r="U276" s="35"/>
      <c r="V276" s="35"/>
      <c r="W276" s="35"/>
      <c r="X276" s="35"/>
      <c r="Y276" s="35"/>
      <c r="Z276" s="35"/>
      <c r="AA276" s="35"/>
      <c r="AB276" s="35"/>
      <c r="AC276" s="35"/>
      <c r="AD276" s="35"/>
      <c r="AE276" s="35"/>
      <c r="AF276" s="35"/>
      <c r="AG276" s="35"/>
      <c r="AH276" s="35"/>
      <c r="AI276" s="35"/>
      <c r="AJ276" s="35"/>
      <c r="AK276" s="35"/>
      <c r="AL276" s="35"/>
      <c r="AM276" s="35"/>
      <c r="AN276" s="35"/>
      <c r="AO276" s="35"/>
      <c r="AP276" s="35"/>
      <c r="AQ276" s="35"/>
      <c r="AR276" s="35"/>
      <c r="AS276" s="35"/>
      <c r="AT276" s="35"/>
      <c r="AU276" s="35"/>
      <c r="AV276" s="35"/>
      <c r="AW276" s="35"/>
      <c r="AX276" s="35"/>
      <c r="AY276" s="35"/>
      <c r="AZ276" s="35"/>
      <c r="BA276" s="35"/>
      <c r="BB276" s="35"/>
      <c r="BC276" s="35"/>
      <c r="BD276" s="35"/>
      <c r="BE276" s="35"/>
      <c r="BF276" s="35"/>
      <c r="BG276" s="35"/>
      <c r="BH276" s="35"/>
      <c r="BI276" s="35"/>
      <c r="BJ276" s="35"/>
      <c r="BK276" s="35"/>
      <c r="BL276" s="35"/>
    </row>
    <row r="277" spans="1:64" ht="14">
      <c r="A277" s="36"/>
      <c r="B277" s="37"/>
      <c r="C277" s="38">
        <f t="shared" si="12"/>
        <v>0</v>
      </c>
      <c r="D277" s="39"/>
      <c r="E277" s="39"/>
      <c r="F277" s="39"/>
      <c r="G277" s="39"/>
      <c r="H277" s="40"/>
      <c r="I277" s="41"/>
      <c r="J277" s="39"/>
      <c r="K277" s="43">
        <f t="shared" si="13"/>
        <v>0</v>
      </c>
      <c r="L277" s="39"/>
      <c r="M277" s="42" t="str">
        <f t="shared" si="14"/>
        <v/>
      </c>
      <c r="N277" s="35"/>
      <c r="O277" s="35"/>
      <c r="P277" s="35"/>
      <c r="Q277" s="35"/>
      <c r="R277" s="35"/>
      <c r="S277" s="35"/>
      <c r="T277" s="35"/>
      <c r="U277" s="35"/>
      <c r="V277" s="35"/>
      <c r="W277" s="35"/>
      <c r="X277" s="35"/>
      <c r="Y277" s="35"/>
      <c r="Z277" s="35"/>
      <c r="AA277" s="35"/>
      <c r="AB277" s="35"/>
      <c r="AC277" s="35"/>
      <c r="AD277" s="35"/>
      <c r="AE277" s="35"/>
      <c r="AF277" s="35"/>
      <c r="AG277" s="35"/>
      <c r="AH277" s="35"/>
      <c r="AI277" s="35"/>
      <c r="AJ277" s="35"/>
      <c r="AK277" s="35"/>
      <c r="AL277" s="35"/>
      <c r="AM277" s="35"/>
      <c r="AN277" s="35"/>
      <c r="AO277" s="35"/>
      <c r="AP277" s="35"/>
      <c r="AQ277" s="35"/>
      <c r="AR277" s="35"/>
      <c r="AS277" s="35"/>
      <c r="AT277" s="35"/>
      <c r="AU277" s="35"/>
      <c r="AV277" s="35"/>
      <c r="AW277" s="35"/>
      <c r="AX277" s="35"/>
      <c r="AY277" s="35"/>
      <c r="AZ277" s="35"/>
      <c r="BA277" s="35"/>
      <c r="BB277" s="35"/>
      <c r="BC277" s="35"/>
      <c r="BD277" s="35"/>
      <c r="BE277" s="35"/>
      <c r="BF277" s="35"/>
      <c r="BG277" s="35"/>
      <c r="BH277" s="35"/>
      <c r="BI277" s="35"/>
      <c r="BJ277" s="35"/>
      <c r="BK277" s="35"/>
      <c r="BL277" s="35"/>
    </row>
    <row r="278" spans="1:64" ht="14">
      <c r="A278" s="36"/>
      <c r="B278" s="37"/>
      <c r="C278" s="38">
        <f t="shared" si="12"/>
        <v>0</v>
      </c>
      <c r="D278" s="39"/>
      <c r="E278" s="39"/>
      <c r="F278" s="39"/>
      <c r="G278" s="39"/>
      <c r="H278" s="40"/>
      <c r="I278" s="41"/>
      <c r="J278" s="39"/>
      <c r="K278" s="43">
        <f t="shared" si="13"/>
        <v>0</v>
      </c>
      <c r="L278" s="39"/>
      <c r="M278" s="42" t="str">
        <f t="shared" si="14"/>
        <v/>
      </c>
      <c r="N278" s="35"/>
      <c r="O278" s="35"/>
      <c r="P278" s="35"/>
      <c r="Q278" s="35"/>
      <c r="R278" s="35"/>
      <c r="S278" s="35"/>
      <c r="T278" s="35"/>
      <c r="U278" s="35"/>
      <c r="V278" s="35"/>
      <c r="W278" s="35"/>
      <c r="X278" s="35"/>
      <c r="Y278" s="35"/>
      <c r="Z278" s="35"/>
      <c r="AA278" s="35"/>
      <c r="AB278" s="35"/>
      <c r="AC278" s="35"/>
      <c r="AD278" s="35"/>
      <c r="AE278" s="35"/>
      <c r="AF278" s="35"/>
      <c r="AG278" s="35"/>
      <c r="AH278" s="35"/>
      <c r="AI278" s="35"/>
      <c r="AJ278" s="35"/>
      <c r="AK278" s="35"/>
      <c r="AL278" s="35"/>
      <c r="AM278" s="35"/>
      <c r="AN278" s="35"/>
      <c r="AO278" s="35"/>
      <c r="AP278" s="35"/>
      <c r="AQ278" s="35"/>
      <c r="AR278" s="35"/>
      <c r="AS278" s="35"/>
      <c r="AT278" s="35"/>
      <c r="AU278" s="35"/>
      <c r="AV278" s="35"/>
      <c r="AW278" s="35"/>
      <c r="AX278" s="35"/>
      <c r="AY278" s="35"/>
      <c r="AZ278" s="35"/>
      <c r="BA278" s="35"/>
      <c r="BB278" s="35"/>
      <c r="BC278" s="35"/>
      <c r="BD278" s="35"/>
      <c r="BE278" s="35"/>
      <c r="BF278" s="35"/>
      <c r="BG278" s="35"/>
      <c r="BH278" s="35"/>
      <c r="BI278" s="35"/>
      <c r="BJ278" s="35"/>
      <c r="BK278" s="35"/>
      <c r="BL278" s="35"/>
    </row>
    <row r="279" spans="1:64" ht="14">
      <c r="A279" s="36"/>
      <c r="B279" s="37"/>
      <c r="C279" s="38">
        <f t="shared" si="12"/>
        <v>0</v>
      </c>
      <c r="D279" s="39"/>
      <c r="E279" s="39"/>
      <c r="F279" s="39"/>
      <c r="G279" s="39"/>
      <c r="H279" s="40"/>
      <c r="I279" s="41"/>
      <c r="J279" s="39"/>
      <c r="K279" s="43">
        <f t="shared" si="13"/>
        <v>0</v>
      </c>
      <c r="L279" s="39"/>
      <c r="M279" s="42" t="str">
        <f t="shared" si="14"/>
        <v/>
      </c>
      <c r="N279" s="35"/>
      <c r="O279" s="35"/>
      <c r="P279" s="35"/>
      <c r="Q279" s="35"/>
      <c r="R279" s="35"/>
      <c r="S279" s="35"/>
      <c r="T279" s="35"/>
      <c r="U279" s="35"/>
      <c r="V279" s="35"/>
      <c r="W279" s="35"/>
      <c r="X279" s="35"/>
      <c r="Y279" s="35"/>
      <c r="Z279" s="35"/>
      <c r="AA279" s="35"/>
      <c r="AB279" s="35"/>
      <c r="AC279" s="35"/>
      <c r="AD279" s="35"/>
      <c r="AE279" s="35"/>
      <c r="AF279" s="35"/>
      <c r="AG279" s="35"/>
      <c r="AH279" s="35"/>
      <c r="AI279" s="35"/>
      <c r="AJ279" s="35"/>
      <c r="AK279" s="35"/>
      <c r="AL279" s="35"/>
      <c r="AM279" s="35"/>
      <c r="AN279" s="35"/>
      <c r="AO279" s="35"/>
      <c r="AP279" s="35"/>
      <c r="AQ279" s="35"/>
      <c r="AR279" s="35"/>
      <c r="AS279" s="35"/>
      <c r="AT279" s="35"/>
      <c r="AU279" s="35"/>
      <c r="AV279" s="35"/>
      <c r="AW279" s="35"/>
      <c r="AX279" s="35"/>
      <c r="AY279" s="35"/>
      <c r="AZ279" s="35"/>
      <c r="BA279" s="35"/>
      <c r="BB279" s="35"/>
      <c r="BC279" s="35"/>
      <c r="BD279" s="35"/>
      <c r="BE279" s="35"/>
      <c r="BF279" s="35"/>
      <c r="BG279" s="35"/>
      <c r="BH279" s="35"/>
      <c r="BI279" s="35"/>
      <c r="BJ279" s="35"/>
      <c r="BK279" s="35"/>
      <c r="BL279" s="35"/>
    </row>
    <row r="280" spans="1:64" ht="14">
      <c r="A280" s="36"/>
      <c r="B280" s="37"/>
      <c r="C280" s="38">
        <f t="shared" si="12"/>
        <v>0</v>
      </c>
      <c r="D280" s="39"/>
      <c r="E280" s="39"/>
      <c r="F280" s="39"/>
      <c r="G280" s="39"/>
      <c r="H280" s="40"/>
      <c r="I280" s="41"/>
      <c r="J280" s="39"/>
      <c r="K280" s="43">
        <f t="shared" si="13"/>
        <v>0</v>
      </c>
      <c r="L280" s="39"/>
      <c r="M280" s="42" t="str">
        <f t="shared" si="14"/>
        <v/>
      </c>
      <c r="N280" s="35"/>
      <c r="O280" s="35"/>
      <c r="P280" s="35"/>
      <c r="Q280" s="35"/>
      <c r="R280" s="35"/>
      <c r="S280" s="35"/>
      <c r="T280" s="35"/>
      <c r="U280" s="35"/>
      <c r="V280" s="35"/>
      <c r="W280" s="35"/>
      <c r="X280" s="35"/>
      <c r="Y280" s="35"/>
      <c r="Z280" s="35"/>
      <c r="AA280" s="35"/>
      <c r="AB280" s="35"/>
      <c r="AC280" s="35"/>
      <c r="AD280" s="35"/>
      <c r="AE280" s="35"/>
      <c r="AF280" s="35"/>
      <c r="AG280" s="35"/>
      <c r="AH280" s="35"/>
      <c r="AI280" s="35"/>
      <c r="AJ280" s="35"/>
      <c r="AK280" s="35"/>
      <c r="AL280" s="35"/>
      <c r="AM280" s="35"/>
      <c r="AN280" s="35"/>
      <c r="AO280" s="35"/>
      <c r="AP280" s="35"/>
      <c r="AQ280" s="35"/>
      <c r="AR280" s="35"/>
      <c r="AS280" s="35"/>
      <c r="AT280" s="35"/>
      <c r="AU280" s="35"/>
      <c r="AV280" s="35"/>
      <c r="AW280" s="35"/>
      <c r="AX280" s="35"/>
      <c r="AY280" s="35"/>
      <c r="AZ280" s="35"/>
      <c r="BA280" s="35"/>
      <c r="BB280" s="35"/>
      <c r="BC280" s="35"/>
      <c r="BD280" s="35"/>
      <c r="BE280" s="35"/>
      <c r="BF280" s="35"/>
      <c r="BG280" s="35"/>
      <c r="BH280" s="35"/>
      <c r="BI280" s="35"/>
      <c r="BJ280" s="35"/>
      <c r="BK280" s="35"/>
      <c r="BL280" s="35"/>
    </row>
    <row r="281" spans="1:64" ht="14">
      <c r="A281" s="36"/>
      <c r="B281" s="37"/>
      <c r="C281" s="38">
        <f t="shared" si="12"/>
        <v>0</v>
      </c>
      <c r="D281" s="39"/>
      <c r="E281" s="39"/>
      <c r="F281" s="39"/>
      <c r="G281" s="39"/>
      <c r="H281" s="40"/>
      <c r="I281" s="41"/>
      <c r="J281" s="39"/>
      <c r="K281" s="43">
        <f t="shared" si="13"/>
        <v>0</v>
      </c>
      <c r="L281" s="39"/>
      <c r="M281" s="42" t="str">
        <f t="shared" si="14"/>
        <v/>
      </c>
      <c r="N281" s="35"/>
      <c r="O281" s="35"/>
      <c r="P281" s="35"/>
      <c r="Q281" s="35"/>
      <c r="R281" s="35"/>
      <c r="S281" s="35"/>
      <c r="T281" s="35"/>
      <c r="U281" s="35"/>
      <c r="V281" s="35"/>
      <c r="W281" s="35"/>
      <c r="X281" s="35"/>
      <c r="Y281" s="35"/>
      <c r="Z281" s="35"/>
      <c r="AA281" s="35"/>
      <c r="AB281" s="35"/>
      <c r="AC281" s="35"/>
      <c r="AD281" s="35"/>
      <c r="AE281" s="35"/>
      <c r="AF281" s="35"/>
      <c r="AG281" s="35"/>
      <c r="AH281" s="35"/>
      <c r="AI281" s="35"/>
      <c r="AJ281" s="35"/>
      <c r="AK281" s="35"/>
      <c r="AL281" s="35"/>
      <c r="AM281" s="35"/>
      <c r="AN281" s="35"/>
      <c r="AO281" s="35"/>
      <c r="AP281" s="35"/>
      <c r="AQ281" s="35"/>
      <c r="AR281" s="35"/>
      <c r="AS281" s="35"/>
      <c r="AT281" s="35"/>
      <c r="AU281" s="35"/>
      <c r="AV281" s="35"/>
      <c r="AW281" s="35"/>
      <c r="AX281" s="35"/>
      <c r="AY281" s="35"/>
      <c r="AZ281" s="35"/>
      <c r="BA281" s="35"/>
      <c r="BB281" s="35"/>
      <c r="BC281" s="35"/>
      <c r="BD281" s="35"/>
      <c r="BE281" s="35"/>
      <c r="BF281" s="35"/>
      <c r="BG281" s="35"/>
      <c r="BH281" s="35"/>
      <c r="BI281" s="35"/>
      <c r="BJ281" s="35"/>
      <c r="BK281" s="35"/>
      <c r="BL281" s="35"/>
    </row>
    <row r="282" spans="1:64" ht="14">
      <c r="A282" s="36"/>
      <c r="B282" s="37"/>
      <c r="C282" s="38">
        <f t="shared" si="12"/>
        <v>0</v>
      </c>
      <c r="D282" s="39"/>
      <c r="E282" s="39"/>
      <c r="F282" s="39"/>
      <c r="G282" s="39"/>
      <c r="H282" s="40"/>
      <c r="I282" s="41"/>
      <c r="J282" s="39"/>
      <c r="K282" s="43">
        <f t="shared" si="13"/>
        <v>0</v>
      </c>
      <c r="L282" s="39"/>
      <c r="M282" s="42" t="str">
        <f t="shared" si="14"/>
        <v/>
      </c>
      <c r="N282" s="35"/>
      <c r="O282" s="35"/>
      <c r="P282" s="35"/>
      <c r="Q282" s="35"/>
      <c r="R282" s="35"/>
      <c r="S282" s="35"/>
      <c r="T282" s="35"/>
      <c r="U282" s="35"/>
      <c r="V282" s="35"/>
      <c r="W282" s="35"/>
      <c r="X282" s="35"/>
      <c r="Y282" s="35"/>
      <c r="Z282" s="35"/>
      <c r="AA282" s="35"/>
      <c r="AB282" s="35"/>
      <c r="AC282" s="35"/>
      <c r="AD282" s="35"/>
      <c r="AE282" s="35"/>
      <c r="AF282" s="35"/>
      <c r="AG282" s="35"/>
      <c r="AH282" s="35"/>
      <c r="AI282" s="35"/>
      <c r="AJ282" s="35"/>
      <c r="AK282" s="35"/>
      <c r="AL282" s="35"/>
      <c r="AM282" s="35"/>
      <c r="AN282" s="35"/>
      <c r="AO282" s="35"/>
      <c r="AP282" s="35"/>
      <c r="AQ282" s="35"/>
      <c r="AR282" s="35"/>
      <c r="AS282" s="35"/>
      <c r="AT282" s="35"/>
      <c r="AU282" s="35"/>
      <c r="AV282" s="35"/>
      <c r="AW282" s="35"/>
      <c r="AX282" s="35"/>
      <c r="AY282" s="35"/>
      <c r="AZ282" s="35"/>
      <c r="BA282" s="35"/>
      <c r="BB282" s="35"/>
      <c r="BC282" s="35"/>
      <c r="BD282" s="35"/>
      <c r="BE282" s="35"/>
      <c r="BF282" s="35"/>
      <c r="BG282" s="35"/>
      <c r="BH282" s="35"/>
      <c r="BI282" s="35"/>
      <c r="BJ282" s="35"/>
      <c r="BK282" s="35"/>
      <c r="BL282" s="35"/>
    </row>
    <row r="283" spans="1:64" ht="14">
      <c r="A283" s="36"/>
      <c r="B283" s="37"/>
      <c r="C283" s="38">
        <f t="shared" si="12"/>
        <v>0</v>
      </c>
      <c r="D283" s="39"/>
      <c r="E283" s="39"/>
      <c r="F283" s="39"/>
      <c r="G283" s="39"/>
      <c r="H283" s="40"/>
      <c r="I283" s="41"/>
      <c r="J283" s="39"/>
      <c r="K283" s="43">
        <f t="shared" si="13"/>
        <v>0</v>
      </c>
      <c r="L283" s="39"/>
      <c r="M283" s="42" t="str">
        <f t="shared" si="14"/>
        <v/>
      </c>
      <c r="N283" s="35"/>
      <c r="O283" s="35"/>
      <c r="P283" s="35"/>
      <c r="Q283" s="35"/>
      <c r="R283" s="35"/>
      <c r="S283" s="35"/>
      <c r="T283" s="35"/>
      <c r="U283" s="35"/>
      <c r="V283" s="35"/>
      <c r="W283" s="35"/>
      <c r="X283" s="35"/>
      <c r="Y283" s="35"/>
      <c r="Z283" s="35"/>
      <c r="AA283" s="35"/>
      <c r="AB283" s="35"/>
      <c r="AC283" s="35"/>
      <c r="AD283" s="35"/>
      <c r="AE283" s="35"/>
      <c r="AF283" s="35"/>
      <c r="AG283" s="35"/>
      <c r="AH283" s="35"/>
      <c r="AI283" s="35"/>
      <c r="AJ283" s="35"/>
      <c r="AK283" s="35"/>
      <c r="AL283" s="35"/>
      <c r="AM283" s="35"/>
      <c r="AN283" s="35"/>
      <c r="AO283" s="35"/>
      <c r="AP283" s="35"/>
      <c r="AQ283" s="35"/>
      <c r="AR283" s="35"/>
      <c r="AS283" s="35"/>
      <c r="AT283" s="35"/>
      <c r="AU283" s="35"/>
      <c r="AV283" s="35"/>
      <c r="AW283" s="35"/>
      <c r="AX283" s="35"/>
      <c r="AY283" s="35"/>
      <c r="AZ283" s="35"/>
      <c r="BA283" s="35"/>
      <c r="BB283" s="35"/>
      <c r="BC283" s="35"/>
      <c r="BD283" s="35"/>
      <c r="BE283" s="35"/>
      <c r="BF283" s="35"/>
      <c r="BG283" s="35"/>
      <c r="BH283" s="35"/>
      <c r="BI283" s="35"/>
      <c r="BJ283" s="35"/>
      <c r="BK283" s="35"/>
      <c r="BL283" s="35"/>
    </row>
    <row r="284" spans="1:64" ht="14">
      <c r="A284" s="36"/>
      <c r="B284" s="37"/>
      <c r="C284" s="38">
        <f t="shared" si="12"/>
        <v>0</v>
      </c>
      <c r="D284" s="39"/>
      <c r="E284" s="39"/>
      <c r="F284" s="39"/>
      <c r="G284" s="39"/>
      <c r="H284" s="40"/>
      <c r="I284" s="41"/>
      <c r="J284" s="39"/>
      <c r="K284" s="43">
        <f t="shared" si="13"/>
        <v>0</v>
      </c>
      <c r="L284" s="39"/>
      <c r="M284" s="42" t="str">
        <f t="shared" si="14"/>
        <v/>
      </c>
      <c r="N284" s="35"/>
      <c r="O284" s="35"/>
      <c r="P284" s="35"/>
      <c r="Q284" s="35"/>
      <c r="R284" s="35"/>
      <c r="S284" s="35"/>
      <c r="T284" s="35"/>
      <c r="U284" s="35"/>
      <c r="V284" s="35"/>
      <c r="W284" s="35"/>
      <c r="X284" s="35"/>
      <c r="Y284" s="35"/>
      <c r="Z284" s="35"/>
      <c r="AA284" s="35"/>
      <c r="AB284" s="35"/>
      <c r="AC284" s="35"/>
      <c r="AD284" s="35"/>
      <c r="AE284" s="35"/>
      <c r="AF284" s="35"/>
      <c r="AG284" s="35"/>
      <c r="AH284" s="35"/>
      <c r="AI284" s="35"/>
      <c r="AJ284" s="35"/>
      <c r="AK284" s="35"/>
      <c r="AL284" s="35"/>
      <c r="AM284" s="35"/>
      <c r="AN284" s="35"/>
      <c r="AO284" s="35"/>
      <c r="AP284" s="35"/>
      <c r="AQ284" s="35"/>
      <c r="AR284" s="35"/>
      <c r="AS284" s="35"/>
      <c r="AT284" s="35"/>
      <c r="AU284" s="35"/>
      <c r="AV284" s="35"/>
      <c r="AW284" s="35"/>
      <c r="AX284" s="35"/>
      <c r="AY284" s="35"/>
      <c r="AZ284" s="35"/>
      <c r="BA284" s="35"/>
      <c r="BB284" s="35"/>
      <c r="BC284" s="35"/>
      <c r="BD284" s="35"/>
      <c r="BE284" s="35"/>
      <c r="BF284" s="35"/>
      <c r="BG284" s="35"/>
      <c r="BH284" s="35"/>
      <c r="BI284" s="35"/>
      <c r="BJ284" s="35"/>
      <c r="BK284" s="35"/>
      <c r="BL284" s="35"/>
    </row>
    <row r="285" spans="1:64" ht="14">
      <c r="A285" s="36"/>
      <c r="B285" s="37"/>
      <c r="C285" s="38">
        <f t="shared" si="12"/>
        <v>0</v>
      </c>
      <c r="D285" s="39"/>
      <c r="E285" s="39"/>
      <c r="F285" s="39"/>
      <c r="G285" s="39"/>
      <c r="H285" s="40"/>
      <c r="I285" s="41"/>
      <c r="J285" s="39"/>
      <c r="K285" s="43">
        <f t="shared" si="13"/>
        <v>0</v>
      </c>
      <c r="L285" s="39"/>
      <c r="M285" s="42" t="str">
        <f t="shared" si="14"/>
        <v/>
      </c>
      <c r="N285" s="35"/>
      <c r="O285" s="35"/>
      <c r="P285" s="35"/>
      <c r="Q285" s="35"/>
      <c r="R285" s="35"/>
      <c r="S285" s="35"/>
      <c r="T285" s="35"/>
      <c r="U285" s="35"/>
      <c r="V285" s="35"/>
      <c r="W285" s="35"/>
      <c r="X285" s="35"/>
      <c r="Y285" s="35"/>
      <c r="Z285" s="35"/>
      <c r="AA285" s="35"/>
      <c r="AB285" s="35"/>
      <c r="AC285" s="35"/>
      <c r="AD285" s="35"/>
      <c r="AE285" s="35"/>
      <c r="AF285" s="35"/>
      <c r="AG285" s="35"/>
      <c r="AH285" s="35"/>
      <c r="AI285" s="35"/>
      <c r="AJ285" s="35"/>
      <c r="AK285" s="35"/>
      <c r="AL285" s="35"/>
      <c r="AM285" s="35"/>
      <c r="AN285" s="35"/>
      <c r="AO285" s="35"/>
      <c r="AP285" s="35"/>
      <c r="AQ285" s="35"/>
      <c r="AR285" s="35"/>
      <c r="AS285" s="35"/>
      <c r="AT285" s="35"/>
      <c r="AU285" s="35"/>
      <c r="AV285" s="35"/>
      <c r="AW285" s="35"/>
      <c r="AX285" s="35"/>
      <c r="AY285" s="35"/>
      <c r="AZ285" s="35"/>
      <c r="BA285" s="35"/>
      <c r="BB285" s="35"/>
      <c r="BC285" s="35"/>
      <c r="BD285" s="35"/>
      <c r="BE285" s="35"/>
      <c r="BF285" s="35"/>
      <c r="BG285" s="35"/>
      <c r="BH285" s="35"/>
      <c r="BI285" s="35"/>
      <c r="BJ285" s="35"/>
      <c r="BK285" s="35"/>
      <c r="BL285" s="35"/>
    </row>
    <row r="286" spans="1:64" ht="14">
      <c r="A286" s="36"/>
      <c r="B286" s="37"/>
      <c r="C286" s="38">
        <f t="shared" si="12"/>
        <v>0</v>
      </c>
      <c r="D286" s="39"/>
      <c r="E286" s="39"/>
      <c r="F286" s="39"/>
      <c r="G286" s="39"/>
      <c r="H286" s="40"/>
      <c r="I286" s="41"/>
      <c r="J286" s="39"/>
      <c r="K286" s="43">
        <f t="shared" si="13"/>
        <v>0</v>
      </c>
      <c r="L286" s="39"/>
      <c r="M286" s="42" t="str">
        <f t="shared" si="14"/>
        <v/>
      </c>
      <c r="N286" s="35"/>
      <c r="O286" s="35"/>
      <c r="P286" s="35"/>
      <c r="Q286" s="35"/>
      <c r="R286" s="35"/>
      <c r="S286" s="35"/>
      <c r="T286" s="35"/>
      <c r="U286" s="35"/>
      <c r="V286" s="35"/>
      <c r="W286" s="35"/>
      <c r="X286" s="35"/>
      <c r="Y286" s="35"/>
      <c r="Z286" s="35"/>
      <c r="AA286" s="35"/>
      <c r="AB286" s="35"/>
      <c r="AC286" s="35"/>
      <c r="AD286" s="35"/>
      <c r="AE286" s="35"/>
      <c r="AF286" s="35"/>
      <c r="AG286" s="35"/>
      <c r="AH286" s="35"/>
      <c r="AI286" s="35"/>
      <c r="AJ286" s="35"/>
      <c r="AK286" s="35"/>
      <c r="AL286" s="35"/>
      <c r="AM286" s="35"/>
      <c r="AN286" s="35"/>
      <c r="AO286" s="35"/>
      <c r="AP286" s="35"/>
      <c r="AQ286" s="35"/>
      <c r="AR286" s="35"/>
      <c r="AS286" s="35"/>
      <c r="AT286" s="35"/>
      <c r="AU286" s="35"/>
      <c r="AV286" s="35"/>
      <c r="AW286" s="35"/>
      <c r="AX286" s="35"/>
      <c r="AY286" s="35"/>
      <c r="AZ286" s="35"/>
      <c r="BA286" s="35"/>
      <c r="BB286" s="35"/>
      <c r="BC286" s="35"/>
      <c r="BD286" s="35"/>
      <c r="BE286" s="35"/>
      <c r="BF286" s="35"/>
      <c r="BG286" s="35"/>
      <c r="BH286" s="35"/>
      <c r="BI286" s="35"/>
      <c r="BJ286" s="35"/>
      <c r="BK286" s="35"/>
      <c r="BL286" s="35"/>
    </row>
    <row r="287" spans="1:64" ht="14">
      <c r="A287" s="36"/>
      <c r="B287" s="37"/>
      <c r="C287" s="38">
        <f t="shared" si="12"/>
        <v>0</v>
      </c>
      <c r="D287" s="39"/>
      <c r="E287" s="39"/>
      <c r="F287" s="39"/>
      <c r="G287" s="39"/>
      <c r="H287" s="40"/>
      <c r="I287" s="41"/>
      <c r="J287" s="39"/>
      <c r="K287" s="43">
        <f t="shared" si="13"/>
        <v>0</v>
      </c>
      <c r="L287" s="39"/>
      <c r="M287" s="42" t="str">
        <f t="shared" si="14"/>
        <v/>
      </c>
      <c r="N287" s="35"/>
      <c r="O287" s="35"/>
      <c r="P287" s="35"/>
      <c r="Q287" s="35"/>
      <c r="R287" s="35"/>
      <c r="S287" s="35"/>
      <c r="T287" s="35"/>
      <c r="U287" s="35"/>
      <c r="V287" s="35"/>
      <c r="W287" s="35"/>
      <c r="X287" s="35"/>
      <c r="Y287" s="35"/>
      <c r="Z287" s="35"/>
      <c r="AA287" s="35"/>
      <c r="AB287" s="35"/>
      <c r="AC287" s="35"/>
      <c r="AD287" s="35"/>
      <c r="AE287" s="35"/>
      <c r="AF287" s="35"/>
      <c r="AG287" s="35"/>
      <c r="AH287" s="35"/>
      <c r="AI287" s="35"/>
      <c r="AJ287" s="35"/>
      <c r="AK287" s="35"/>
      <c r="AL287" s="35"/>
      <c r="AM287" s="35"/>
      <c r="AN287" s="35"/>
      <c r="AO287" s="35"/>
      <c r="AP287" s="35"/>
      <c r="AQ287" s="35"/>
      <c r="AR287" s="35"/>
      <c r="AS287" s="35"/>
      <c r="AT287" s="35"/>
      <c r="AU287" s="35"/>
      <c r="AV287" s="35"/>
      <c r="AW287" s="35"/>
      <c r="AX287" s="35"/>
      <c r="AY287" s="35"/>
      <c r="AZ287" s="35"/>
      <c r="BA287" s="35"/>
      <c r="BB287" s="35"/>
      <c r="BC287" s="35"/>
      <c r="BD287" s="35"/>
      <c r="BE287" s="35"/>
      <c r="BF287" s="35"/>
      <c r="BG287" s="35"/>
      <c r="BH287" s="35"/>
      <c r="BI287" s="35"/>
      <c r="BJ287" s="35"/>
      <c r="BK287" s="35"/>
      <c r="BL287" s="35"/>
    </row>
    <row r="288" spans="1:64" ht="14">
      <c r="A288" s="36"/>
      <c r="B288" s="37"/>
      <c r="C288" s="38">
        <f t="shared" si="12"/>
        <v>0</v>
      </c>
      <c r="D288" s="39"/>
      <c r="E288" s="39"/>
      <c r="F288" s="39"/>
      <c r="G288" s="39"/>
      <c r="H288" s="40"/>
      <c r="I288" s="41"/>
      <c r="J288" s="39"/>
      <c r="K288" s="43">
        <f t="shared" si="13"/>
        <v>0</v>
      </c>
      <c r="L288" s="39"/>
      <c r="M288" s="42" t="str">
        <f t="shared" si="14"/>
        <v/>
      </c>
      <c r="N288" s="35"/>
      <c r="O288" s="35"/>
      <c r="P288" s="35"/>
      <c r="Q288" s="35"/>
      <c r="R288" s="35"/>
      <c r="S288" s="35"/>
      <c r="T288" s="35"/>
      <c r="U288" s="35"/>
      <c r="V288" s="35"/>
      <c r="W288" s="35"/>
      <c r="X288" s="35"/>
      <c r="Y288" s="35"/>
      <c r="Z288" s="35"/>
      <c r="AA288" s="35"/>
      <c r="AB288" s="35"/>
      <c r="AC288" s="35"/>
      <c r="AD288" s="35"/>
      <c r="AE288" s="35"/>
      <c r="AF288" s="35"/>
      <c r="AG288" s="35"/>
      <c r="AH288" s="35"/>
      <c r="AI288" s="35"/>
      <c r="AJ288" s="35"/>
      <c r="AK288" s="35"/>
      <c r="AL288" s="35"/>
      <c r="AM288" s="35"/>
      <c r="AN288" s="35"/>
      <c r="AO288" s="35"/>
      <c r="AP288" s="35"/>
      <c r="AQ288" s="35"/>
      <c r="AR288" s="35"/>
      <c r="AS288" s="35"/>
      <c r="AT288" s="35"/>
      <c r="AU288" s="35"/>
      <c r="AV288" s="35"/>
      <c r="AW288" s="35"/>
      <c r="AX288" s="35"/>
      <c r="AY288" s="35"/>
      <c r="AZ288" s="35"/>
      <c r="BA288" s="35"/>
      <c r="BB288" s="35"/>
      <c r="BC288" s="35"/>
      <c r="BD288" s="35"/>
      <c r="BE288" s="35"/>
      <c r="BF288" s="35"/>
      <c r="BG288" s="35"/>
      <c r="BH288" s="35"/>
      <c r="BI288" s="35"/>
      <c r="BJ288" s="35"/>
      <c r="BK288" s="35"/>
      <c r="BL288" s="35"/>
    </row>
    <row r="289" spans="1:64" ht="14">
      <c r="A289" s="36"/>
      <c r="B289" s="37"/>
      <c r="C289" s="38">
        <f t="shared" si="12"/>
        <v>0</v>
      </c>
      <c r="D289" s="39"/>
      <c r="E289" s="39"/>
      <c r="F289" s="39"/>
      <c r="G289" s="39"/>
      <c r="H289" s="40"/>
      <c r="I289" s="41"/>
      <c r="J289" s="39"/>
      <c r="K289" s="43">
        <f t="shared" si="13"/>
        <v>0</v>
      </c>
      <c r="L289" s="39"/>
      <c r="M289" s="42" t="str">
        <f t="shared" si="14"/>
        <v/>
      </c>
      <c r="N289" s="35"/>
      <c r="O289" s="35"/>
      <c r="P289" s="35"/>
      <c r="Q289" s="35"/>
      <c r="R289" s="35"/>
      <c r="S289" s="35"/>
      <c r="T289" s="35"/>
      <c r="U289" s="35"/>
      <c r="V289" s="35"/>
      <c r="W289" s="35"/>
      <c r="X289" s="35"/>
      <c r="Y289" s="35"/>
      <c r="Z289" s="35"/>
      <c r="AA289" s="35"/>
      <c r="AB289" s="35"/>
      <c r="AC289" s="35"/>
      <c r="AD289" s="35"/>
      <c r="AE289" s="35"/>
      <c r="AF289" s="35"/>
      <c r="AG289" s="35"/>
      <c r="AH289" s="35"/>
      <c r="AI289" s="35"/>
      <c r="AJ289" s="35"/>
      <c r="AK289" s="35"/>
      <c r="AL289" s="35"/>
      <c r="AM289" s="35"/>
      <c r="AN289" s="35"/>
      <c r="AO289" s="35"/>
      <c r="AP289" s="35"/>
      <c r="AQ289" s="35"/>
      <c r="AR289" s="35"/>
      <c r="AS289" s="35"/>
      <c r="AT289" s="35"/>
      <c r="AU289" s="35"/>
      <c r="AV289" s="35"/>
      <c r="AW289" s="35"/>
      <c r="AX289" s="35"/>
      <c r="AY289" s="35"/>
      <c r="AZ289" s="35"/>
      <c r="BA289" s="35"/>
      <c r="BB289" s="35"/>
      <c r="BC289" s="35"/>
      <c r="BD289" s="35"/>
      <c r="BE289" s="35"/>
      <c r="BF289" s="35"/>
      <c r="BG289" s="35"/>
      <c r="BH289" s="35"/>
      <c r="BI289" s="35"/>
      <c r="BJ289" s="35"/>
      <c r="BK289" s="35"/>
      <c r="BL289" s="35"/>
    </row>
    <row r="290" spans="1:64" ht="14">
      <c r="A290" s="36"/>
      <c r="B290" s="37"/>
      <c r="C290" s="38">
        <f t="shared" si="12"/>
        <v>0</v>
      </c>
      <c r="D290" s="39"/>
      <c r="E290" s="39"/>
      <c r="F290" s="39"/>
      <c r="G290" s="39"/>
      <c r="H290" s="40"/>
      <c r="I290" s="41"/>
      <c r="J290" s="39"/>
      <c r="K290" s="43">
        <f t="shared" si="13"/>
        <v>0</v>
      </c>
      <c r="L290" s="39"/>
      <c r="M290" s="42" t="str">
        <f t="shared" si="14"/>
        <v/>
      </c>
      <c r="N290" s="35"/>
      <c r="O290" s="35"/>
      <c r="P290" s="35"/>
      <c r="Q290" s="35"/>
      <c r="R290" s="35"/>
      <c r="S290" s="35"/>
      <c r="T290" s="35"/>
      <c r="U290" s="35"/>
      <c r="V290" s="35"/>
      <c r="W290" s="35"/>
      <c r="X290" s="35"/>
      <c r="Y290" s="35"/>
      <c r="Z290" s="35"/>
      <c r="AA290" s="35"/>
      <c r="AB290" s="35"/>
      <c r="AC290" s="35"/>
      <c r="AD290" s="35"/>
      <c r="AE290" s="35"/>
      <c r="AF290" s="35"/>
      <c r="AG290" s="35"/>
      <c r="AH290" s="35"/>
      <c r="AI290" s="35"/>
      <c r="AJ290" s="35"/>
      <c r="AK290" s="35"/>
      <c r="AL290" s="35"/>
      <c r="AM290" s="35"/>
      <c r="AN290" s="35"/>
      <c r="AO290" s="35"/>
      <c r="AP290" s="35"/>
      <c r="AQ290" s="35"/>
      <c r="AR290" s="35"/>
      <c r="AS290" s="35"/>
      <c r="AT290" s="35"/>
      <c r="AU290" s="35"/>
      <c r="AV290" s="35"/>
      <c r="AW290" s="35"/>
      <c r="AX290" s="35"/>
      <c r="AY290" s="35"/>
      <c r="AZ290" s="35"/>
      <c r="BA290" s="35"/>
      <c r="BB290" s="35"/>
      <c r="BC290" s="35"/>
      <c r="BD290" s="35"/>
      <c r="BE290" s="35"/>
      <c r="BF290" s="35"/>
      <c r="BG290" s="35"/>
      <c r="BH290" s="35"/>
      <c r="BI290" s="35"/>
      <c r="BJ290" s="35"/>
      <c r="BK290" s="35"/>
      <c r="BL290" s="35"/>
    </row>
    <row r="291" spans="1:64" ht="14">
      <c r="A291" s="36"/>
      <c r="B291" s="37"/>
      <c r="C291" s="38">
        <f t="shared" si="12"/>
        <v>0</v>
      </c>
      <c r="D291" s="39"/>
      <c r="E291" s="39"/>
      <c r="F291" s="39"/>
      <c r="G291" s="39"/>
      <c r="H291" s="40"/>
      <c r="I291" s="41"/>
      <c r="J291" s="39"/>
      <c r="K291" s="43">
        <f t="shared" si="13"/>
        <v>0</v>
      </c>
      <c r="L291" s="39"/>
      <c r="M291" s="42" t="str">
        <f t="shared" si="14"/>
        <v/>
      </c>
      <c r="N291" s="35"/>
      <c r="O291" s="35"/>
      <c r="P291" s="35"/>
      <c r="Q291" s="35"/>
      <c r="R291" s="35"/>
      <c r="S291" s="35"/>
      <c r="T291" s="35"/>
      <c r="U291" s="35"/>
      <c r="V291" s="35"/>
      <c r="W291" s="35"/>
      <c r="X291" s="35"/>
      <c r="Y291" s="35"/>
      <c r="Z291" s="35"/>
      <c r="AA291" s="35"/>
      <c r="AB291" s="35"/>
      <c r="AC291" s="35"/>
      <c r="AD291" s="35"/>
      <c r="AE291" s="35"/>
      <c r="AF291" s="35"/>
      <c r="AG291" s="35"/>
      <c r="AH291" s="35"/>
      <c r="AI291" s="35"/>
      <c r="AJ291" s="35"/>
      <c r="AK291" s="35"/>
      <c r="AL291" s="35"/>
      <c r="AM291" s="35"/>
      <c r="AN291" s="35"/>
      <c r="AO291" s="35"/>
      <c r="AP291" s="35"/>
      <c r="AQ291" s="35"/>
      <c r="AR291" s="35"/>
      <c r="AS291" s="35"/>
      <c r="AT291" s="35"/>
      <c r="AU291" s="35"/>
      <c r="AV291" s="35"/>
      <c r="AW291" s="35"/>
      <c r="AX291" s="35"/>
      <c r="AY291" s="35"/>
      <c r="AZ291" s="35"/>
      <c r="BA291" s="35"/>
      <c r="BB291" s="35"/>
      <c r="BC291" s="35"/>
      <c r="BD291" s="35"/>
      <c r="BE291" s="35"/>
      <c r="BF291" s="35"/>
      <c r="BG291" s="35"/>
      <c r="BH291" s="35"/>
      <c r="BI291" s="35"/>
      <c r="BJ291" s="35"/>
      <c r="BK291" s="35"/>
      <c r="BL291" s="35"/>
    </row>
    <row r="292" spans="1:64" ht="14">
      <c r="A292" s="36"/>
      <c r="B292" s="37"/>
      <c r="C292" s="38">
        <f t="shared" si="12"/>
        <v>0</v>
      </c>
      <c r="D292" s="39"/>
      <c r="E292" s="39"/>
      <c r="F292" s="39"/>
      <c r="G292" s="39"/>
      <c r="H292" s="40"/>
      <c r="I292" s="41"/>
      <c r="J292" s="39"/>
      <c r="K292" s="43">
        <f t="shared" si="13"/>
        <v>0</v>
      </c>
      <c r="L292" s="39"/>
      <c r="M292" s="42" t="str">
        <f t="shared" si="14"/>
        <v/>
      </c>
      <c r="N292" s="35"/>
      <c r="O292" s="35"/>
      <c r="P292" s="35"/>
      <c r="Q292" s="35"/>
      <c r="R292" s="35"/>
      <c r="S292" s="35"/>
      <c r="T292" s="35"/>
      <c r="U292" s="35"/>
      <c r="V292" s="35"/>
      <c r="W292" s="35"/>
      <c r="X292" s="35"/>
      <c r="Y292" s="35"/>
      <c r="Z292" s="35"/>
      <c r="AA292" s="35"/>
      <c r="AB292" s="35"/>
      <c r="AC292" s="35"/>
      <c r="AD292" s="35"/>
      <c r="AE292" s="35"/>
      <c r="AF292" s="35"/>
      <c r="AG292" s="35"/>
      <c r="AH292" s="35"/>
      <c r="AI292" s="35"/>
      <c r="AJ292" s="35"/>
      <c r="AK292" s="35"/>
      <c r="AL292" s="35"/>
      <c r="AM292" s="35"/>
      <c r="AN292" s="35"/>
      <c r="AO292" s="35"/>
      <c r="AP292" s="35"/>
      <c r="AQ292" s="35"/>
      <c r="AR292" s="35"/>
      <c r="AS292" s="35"/>
      <c r="AT292" s="35"/>
      <c r="AU292" s="35"/>
      <c r="AV292" s="35"/>
      <c r="AW292" s="35"/>
      <c r="AX292" s="35"/>
      <c r="AY292" s="35"/>
      <c r="AZ292" s="35"/>
      <c r="BA292" s="35"/>
      <c r="BB292" s="35"/>
      <c r="BC292" s="35"/>
      <c r="BD292" s="35"/>
      <c r="BE292" s="35"/>
      <c r="BF292" s="35"/>
      <c r="BG292" s="35"/>
      <c r="BH292" s="35"/>
      <c r="BI292" s="35"/>
      <c r="BJ292" s="35"/>
      <c r="BK292" s="35"/>
      <c r="BL292" s="35"/>
    </row>
    <row r="293" spans="1:64" ht="14">
      <c r="A293" s="36"/>
      <c r="B293" s="37"/>
      <c r="C293" s="38">
        <f t="shared" si="12"/>
        <v>0</v>
      </c>
      <c r="D293" s="39"/>
      <c r="E293" s="39"/>
      <c r="F293" s="39"/>
      <c r="G293" s="39"/>
      <c r="H293" s="40"/>
      <c r="I293" s="41"/>
      <c r="J293" s="39"/>
      <c r="K293" s="43">
        <f t="shared" si="13"/>
        <v>0</v>
      </c>
      <c r="L293" s="39"/>
      <c r="M293" s="42" t="str">
        <f t="shared" si="14"/>
        <v/>
      </c>
      <c r="N293" s="35"/>
      <c r="O293" s="35"/>
      <c r="P293" s="35"/>
      <c r="Q293" s="35"/>
      <c r="R293" s="35"/>
      <c r="S293" s="35"/>
      <c r="T293" s="35"/>
      <c r="U293" s="35"/>
      <c r="V293" s="35"/>
      <c r="W293" s="35"/>
      <c r="X293" s="35"/>
      <c r="Y293" s="35"/>
      <c r="Z293" s="35"/>
      <c r="AA293" s="35"/>
      <c r="AB293" s="35"/>
      <c r="AC293" s="35"/>
      <c r="AD293" s="35"/>
      <c r="AE293" s="35"/>
      <c r="AF293" s="35"/>
      <c r="AG293" s="35"/>
      <c r="AH293" s="35"/>
      <c r="AI293" s="35"/>
      <c r="AJ293" s="35"/>
      <c r="AK293" s="35"/>
      <c r="AL293" s="35"/>
      <c r="AM293" s="35"/>
      <c r="AN293" s="35"/>
      <c r="AO293" s="35"/>
      <c r="AP293" s="35"/>
      <c r="AQ293" s="35"/>
      <c r="AR293" s="35"/>
      <c r="AS293" s="35"/>
      <c r="AT293" s="35"/>
      <c r="AU293" s="35"/>
      <c r="AV293" s="35"/>
      <c r="AW293" s="35"/>
      <c r="AX293" s="35"/>
      <c r="AY293" s="35"/>
      <c r="AZ293" s="35"/>
      <c r="BA293" s="35"/>
      <c r="BB293" s="35"/>
      <c r="BC293" s="35"/>
      <c r="BD293" s="35"/>
      <c r="BE293" s="35"/>
      <c r="BF293" s="35"/>
      <c r="BG293" s="35"/>
      <c r="BH293" s="35"/>
      <c r="BI293" s="35"/>
      <c r="BJ293" s="35"/>
      <c r="BK293" s="35"/>
      <c r="BL293" s="35"/>
    </row>
    <row r="294" spans="1:64" ht="14">
      <c r="A294" s="36"/>
      <c r="B294" s="37"/>
      <c r="C294" s="38">
        <f t="shared" si="12"/>
        <v>0</v>
      </c>
      <c r="D294" s="39"/>
      <c r="E294" s="39"/>
      <c r="F294" s="39"/>
      <c r="G294" s="39"/>
      <c r="H294" s="40"/>
      <c r="I294" s="41"/>
      <c r="J294" s="39"/>
      <c r="K294" s="43">
        <f t="shared" si="13"/>
        <v>0</v>
      </c>
      <c r="L294" s="39"/>
      <c r="M294" s="42" t="str">
        <f t="shared" si="14"/>
        <v/>
      </c>
      <c r="N294" s="35"/>
      <c r="O294" s="35"/>
      <c r="P294" s="35"/>
      <c r="Q294" s="35"/>
      <c r="R294" s="35"/>
      <c r="S294" s="35"/>
      <c r="T294" s="35"/>
      <c r="U294" s="35"/>
      <c r="V294" s="35"/>
      <c r="W294" s="35"/>
      <c r="X294" s="35"/>
      <c r="Y294" s="35"/>
      <c r="Z294" s="35"/>
      <c r="AA294" s="35"/>
      <c r="AB294" s="35"/>
      <c r="AC294" s="35"/>
      <c r="AD294" s="35"/>
      <c r="AE294" s="35"/>
      <c r="AF294" s="35"/>
      <c r="AG294" s="35"/>
      <c r="AH294" s="35"/>
      <c r="AI294" s="35"/>
      <c r="AJ294" s="35"/>
      <c r="AK294" s="35"/>
      <c r="AL294" s="35"/>
      <c r="AM294" s="35"/>
      <c r="AN294" s="35"/>
      <c r="AO294" s="35"/>
      <c r="AP294" s="35"/>
      <c r="AQ294" s="35"/>
      <c r="AR294" s="35"/>
      <c r="AS294" s="35"/>
      <c r="AT294" s="35"/>
      <c r="AU294" s="35"/>
      <c r="AV294" s="35"/>
      <c r="AW294" s="35"/>
      <c r="AX294" s="35"/>
      <c r="AY294" s="35"/>
      <c r="AZ294" s="35"/>
      <c r="BA294" s="35"/>
      <c r="BB294" s="35"/>
      <c r="BC294" s="35"/>
      <c r="BD294" s="35"/>
      <c r="BE294" s="35"/>
      <c r="BF294" s="35"/>
      <c r="BG294" s="35"/>
      <c r="BH294" s="35"/>
      <c r="BI294" s="35"/>
      <c r="BJ294" s="35"/>
      <c r="BK294" s="35"/>
      <c r="BL294" s="35"/>
    </row>
    <row r="295" spans="1:64" ht="14">
      <c r="A295" s="36"/>
      <c r="B295" s="37"/>
      <c r="C295" s="38">
        <f t="shared" si="12"/>
        <v>0</v>
      </c>
      <c r="D295" s="39"/>
      <c r="E295" s="39"/>
      <c r="F295" s="39"/>
      <c r="G295" s="39"/>
      <c r="H295" s="40"/>
      <c r="I295" s="41"/>
      <c r="J295" s="39"/>
      <c r="K295" s="43">
        <f t="shared" si="13"/>
        <v>0</v>
      </c>
      <c r="L295" s="39"/>
      <c r="M295" s="42" t="str">
        <f t="shared" si="14"/>
        <v/>
      </c>
      <c r="N295" s="35"/>
      <c r="O295" s="35"/>
      <c r="P295" s="35"/>
      <c r="Q295" s="35"/>
      <c r="R295" s="35"/>
      <c r="S295" s="35"/>
      <c r="T295" s="35"/>
      <c r="U295" s="35"/>
      <c r="V295" s="35"/>
      <c r="W295" s="35"/>
      <c r="X295" s="35"/>
      <c r="Y295" s="35"/>
      <c r="Z295" s="35"/>
      <c r="AA295" s="35"/>
      <c r="AB295" s="35"/>
      <c r="AC295" s="35"/>
      <c r="AD295" s="35"/>
      <c r="AE295" s="35"/>
      <c r="AF295" s="35"/>
      <c r="AG295" s="35"/>
      <c r="AH295" s="35"/>
      <c r="AI295" s="35"/>
      <c r="AJ295" s="35"/>
      <c r="AK295" s="35"/>
      <c r="AL295" s="35"/>
      <c r="AM295" s="35"/>
      <c r="AN295" s="35"/>
      <c r="AO295" s="35"/>
      <c r="AP295" s="35"/>
      <c r="AQ295" s="35"/>
      <c r="AR295" s="35"/>
      <c r="AS295" s="35"/>
      <c r="AT295" s="35"/>
      <c r="AU295" s="35"/>
      <c r="AV295" s="35"/>
      <c r="AW295" s="35"/>
      <c r="AX295" s="35"/>
      <c r="AY295" s="35"/>
      <c r="AZ295" s="35"/>
      <c r="BA295" s="35"/>
      <c r="BB295" s="35"/>
      <c r="BC295" s="35"/>
      <c r="BD295" s="35"/>
      <c r="BE295" s="35"/>
      <c r="BF295" s="35"/>
      <c r="BG295" s="35"/>
      <c r="BH295" s="35"/>
      <c r="BI295" s="35"/>
      <c r="BJ295" s="35"/>
      <c r="BK295" s="35"/>
      <c r="BL295" s="35"/>
    </row>
    <row r="296" spans="1:64" ht="14">
      <c r="A296" s="36"/>
      <c r="B296" s="37"/>
      <c r="C296" s="38">
        <f t="shared" si="12"/>
        <v>0</v>
      </c>
      <c r="D296" s="39"/>
      <c r="E296" s="39"/>
      <c r="F296" s="39"/>
      <c r="G296" s="39"/>
      <c r="H296" s="40"/>
      <c r="I296" s="41"/>
      <c r="J296" s="39"/>
      <c r="K296" s="43">
        <f t="shared" si="13"/>
        <v>0</v>
      </c>
      <c r="L296" s="39"/>
      <c r="M296" s="42" t="str">
        <f t="shared" si="14"/>
        <v/>
      </c>
      <c r="N296" s="35"/>
      <c r="O296" s="35"/>
      <c r="P296" s="35"/>
      <c r="Q296" s="35"/>
      <c r="R296" s="35"/>
      <c r="S296" s="35"/>
      <c r="T296" s="35"/>
      <c r="U296" s="35"/>
      <c r="V296" s="35"/>
      <c r="W296" s="35"/>
      <c r="X296" s="35"/>
      <c r="Y296" s="35"/>
      <c r="Z296" s="35"/>
      <c r="AA296" s="35"/>
      <c r="AB296" s="35"/>
      <c r="AC296" s="35"/>
      <c r="AD296" s="35"/>
      <c r="AE296" s="35"/>
      <c r="AF296" s="35"/>
      <c r="AG296" s="35"/>
      <c r="AH296" s="35"/>
      <c r="AI296" s="35"/>
      <c r="AJ296" s="35"/>
      <c r="AK296" s="35"/>
      <c r="AL296" s="35"/>
      <c r="AM296" s="35"/>
      <c r="AN296" s="35"/>
      <c r="AO296" s="35"/>
      <c r="AP296" s="35"/>
      <c r="AQ296" s="35"/>
      <c r="AR296" s="35"/>
      <c r="AS296" s="35"/>
      <c r="AT296" s="35"/>
      <c r="AU296" s="35"/>
      <c r="AV296" s="35"/>
      <c r="AW296" s="35"/>
      <c r="AX296" s="35"/>
      <c r="AY296" s="35"/>
      <c r="AZ296" s="35"/>
      <c r="BA296" s="35"/>
      <c r="BB296" s="35"/>
      <c r="BC296" s="35"/>
      <c r="BD296" s="35"/>
      <c r="BE296" s="35"/>
      <c r="BF296" s="35"/>
      <c r="BG296" s="35"/>
      <c r="BH296" s="35"/>
      <c r="BI296" s="35"/>
      <c r="BJ296" s="35"/>
      <c r="BK296" s="35"/>
      <c r="BL296" s="35"/>
    </row>
    <row r="297" spans="1:64" ht="14">
      <c r="A297" s="36"/>
      <c r="B297" s="37"/>
      <c r="C297" s="38">
        <f t="shared" si="12"/>
        <v>0</v>
      </c>
      <c r="D297" s="39"/>
      <c r="E297" s="39"/>
      <c r="F297" s="39"/>
      <c r="G297" s="39"/>
      <c r="H297" s="40"/>
      <c r="I297" s="41"/>
      <c r="J297" s="39"/>
      <c r="K297" s="43">
        <f t="shared" si="13"/>
        <v>0</v>
      </c>
      <c r="L297" s="39"/>
      <c r="M297" s="42" t="str">
        <f t="shared" si="14"/>
        <v/>
      </c>
      <c r="N297" s="35"/>
      <c r="O297" s="35"/>
      <c r="P297" s="35"/>
      <c r="Q297" s="35"/>
      <c r="R297" s="35"/>
      <c r="S297" s="35"/>
      <c r="T297" s="35"/>
      <c r="U297" s="35"/>
      <c r="V297" s="35"/>
      <c r="W297" s="35"/>
      <c r="X297" s="35"/>
      <c r="Y297" s="35"/>
      <c r="Z297" s="35"/>
      <c r="AA297" s="35"/>
      <c r="AB297" s="35"/>
      <c r="AC297" s="35"/>
      <c r="AD297" s="35"/>
      <c r="AE297" s="35"/>
      <c r="AF297" s="35"/>
      <c r="AG297" s="35"/>
      <c r="AH297" s="35"/>
      <c r="AI297" s="35"/>
      <c r="AJ297" s="35"/>
      <c r="AK297" s="35"/>
      <c r="AL297" s="35"/>
      <c r="AM297" s="35"/>
      <c r="AN297" s="35"/>
      <c r="AO297" s="35"/>
      <c r="AP297" s="35"/>
      <c r="AQ297" s="35"/>
      <c r="AR297" s="35"/>
      <c r="AS297" s="35"/>
      <c r="AT297" s="35"/>
      <c r="AU297" s="35"/>
      <c r="AV297" s="35"/>
      <c r="AW297" s="35"/>
      <c r="AX297" s="35"/>
      <c r="AY297" s="35"/>
      <c r="AZ297" s="35"/>
      <c r="BA297" s="35"/>
      <c r="BB297" s="35"/>
      <c r="BC297" s="35"/>
      <c r="BD297" s="35"/>
      <c r="BE297" s="35"/>
      <c r="BF297" s="35"/>
      <c r="BG297" s="35"/>
      <c r="BH297" s="35"/>
      <c r="BI297" s="35"/>
      <c r="BJ297" s="35"/>
      <c r="BK297" s="35"/>
      <c r="BL297" s="35"/>
    </row>
    <row r="298" spans="1:64" ht="14">
      <c r="A298" s="36"/>
      <c r="B298" s="37"/>
      <c r="C298" s="38">
        <f t="shared" si="12"/>
        <v>0</v>
      </c>
      <c r="D298" s="39"/>
      <c r="E298" s="39"/>
      <c r="F298" s="39"/>
      <c r="G298" s="39"/>
      <c r="H298" s="40"/>
      <c r="I298" s="41"/>
      <c r="J298" s="39"/>
      <c r="K298" s="43">
        <f t="shared" si="13"/>
        <v>0</v>
      </c>
      <c r="L298" s="39"/>
      <c r="M298" s="42" t="str">
        <f t="shared" si="14"/>
        <v/>
      </c>
      <c r="N298" s="35"/>
      <c r="O298" s="35"/>
      <c r="P298" s="35"/>
      <c r="Q298" s="35"/>
      <c r="R298" s="35"/>
      <c r="S298" s="35"/>
      <c r="T298" s="35"/>
      <c r="U298" s="35"/>
      <c r="V298" s="35"/>
      <c r="W298" s="35"/>
      <c r="X298" s="35"/>
      <c r="Y298" s="35"/>
      <c r="Z298" s="35"/>
      <c r="AA298" s="35"/>
      <c r="AB298" s="35"/>
      <c r="AC298" s="35"/>
      <c r="AD298" s="35"/>
      <c r="AE298" s="35"/>
      <c r="AF298" s="35"/>
      <c r="AG298" s="35"/>
      <c r="AH298" s="35"/>
      <c r="AI298" s="35"/>
      <c r="AJ298" s="35"/>
      <c r="AK298" s="35"/>
      <c r="AL298" s="35"/>
      <c r="AM298" s="35"/>
      <c r="AN298" s="35"/>
      <c r="AO298" s="35"/>
      <c r="AP298" s="35"/>
      <c r="AQ298" s="35"/>
      <c r="AR298" s="35"/>
      <c r="AS298" s="35"/>
      <c r="AT298" s="35"/>
      <c r="AU298" s="35"/>
      <c r="AV298" s="35"/>
      <c r="AW298" s="35"/>
      <c r="AX298" s="35"/>
      <c r="AY298" s="35"/>
      <c r="AZ298" s="35"/>
      <c r="BA298" s="35"/>
      <c r="BB298" s="35"/>
      <c r="BC298" s="35"/>
      <c r="BD298" s="35"/>
      <c r="BE298" s="35"/>
      <c r="BF298" s="35"/>
      <c r="BG298" s="35"/>
      <c r="BH298" s="35"/>
      <c r="BI298" s="35"/>
      <c r="BJ298" s="35"/>
      <c r="BK298" s="35"/>
      <c r="BL298" s="35"/>
    </row>
    <row r="299" spans="1:64" ht="14">
      <c r="A299" s="36"/>
      <c r="B299" s="37"/>
      <c r="C299" s="38">
        <f t="shared" si="12"/>
        <v>0</v>
      </c>
      <c r="D299" s="39"/>
      <c r="E299" s="39"/>
      <c r="F299" s="39"/>
      <c r="G299" s="39"/>
      <c r="H299" s="40"/>
      <c r="I299" s="41"/>
      <c r="J299" s="39"/>
      <c r="K299" s="43">
        <f t="shared" si="13"/>
        <v>0</v>
      </c>
      <c r="L299" s="39"/>
      <c r="M299" s="42" t="str">
        <f t="shared" si="14"/>
        <v/>
      </c>
      <c r="N299" s="35"/>
      <c r="O299" s="35"/>
      <c r="P299" s="35"/>
      <c r="Q299" s="35"/>
      <c r="R299" s="35"/>
      <c r="S299" s="35"/>
      <c r="T299" s="35"/>
      <c r="U299" s="35"/>
      <c r="V299" s="35"/>
      <c r="W299" s="35"/>
      <c r="X299" s="35"/>
      <c r="Y299" s="35"/>
      <c r="Z299" s="35"/>
      <c r="AA299" s="35"/>
      <c r="AB299" s="35"/>
      <c r="AC299" s="35"/>
      <c r="AD299" s="35"/>
      <c r="AE299" s="35"/>
      <c r="AF299" s="35"/>
      <c r="AG299" s="35"/>
      <c r="AH299" s="35"/>
      <c r="AI299" s="35"/>
      <c r="AJ299" s="35"/>
      <c r="AK299" s="35"/>
      <c r="AL299" s="35"/>
      <c r="AM299" s="35"/>
      <c r="AN299" s="35"/>
      <c r="AO299" s="35"/>
      <c r="AP299" s="35"/>
      <c r="AQ299" s="35"/>
      <c r="AR299" s="35"/>
      <c r="AS299" s="35"/>
      <c r="AT299" s="35"/>
      <c r="AU299" s="35"/>
      <c r="AV299" s="35"/>
      <c r="AW299" s="35"/>
      <c r="AX299" s="35"/>
      <c r="AY299" s="35"/>
      <c r="AZ299" s="35"/>
      <c r="BA299" s="35"/>
      <c r="BB299" s="35"/>
      <c r="BC299" s="35"/>
      <c r="BD299" s="35"/>
      <c r="BE299" s="35"/>
      <c r="BF299" s="35"/>
      <c r="BG299" s="35"/>
      <c r="BH299" s="35"/>
      <c r="BI299" s="35"/>
      <c r="BJ299" s="35"/>
      <c r="BK299" s="35"/>
      <c r="BL299" s="35"/>
    </row>
    <row r="300" spans="1:64" ht="14">
      <c r="A300" s="36"/>
      <c r="B300" s="37"/>
      <c r="C300" s="38">
        <f t="shared" si="12"/>
        <v>0</v>
      </c>
      <c r="D300" s="39"/>
      <c r="E300" s="39"/>
      <c r="F300" s="39"/>
      <c r="G300" s="39"/>
      <c r="H300" s="40"/>
      <c r="I300" s="41"/>
      <c r="J300" s="39"/>
      <c r="K300" s="43">
        <f t="shared" si="13"/>
        <v>0</v>
      </c>
      <c r="L300" s="39"/>
      <c r="M300" s="42" t="str">
        <f t="shared" si="14"/>
        <v/>
      </c>
      <c r="N300" s="35"/>
      <c r="O300" s="35"/>
      <c r="P300" s="35"/>
      <c r="Q300" s="35"/>
      <c r="R300" s="35"/>
      <c r="S300" s="35"/>
      <c r="T300" s="35"/>
      <c r="U300" s="35"/>
      <c r="V300" s="35"/>
      <c r="W300" s="35"/>
      <c r="X300" s="35"/>
      <c r="Y300" s="35"/>
      <c r="Z300" s="35"/>
      <c r="AA300" s="35"/>
      <c r="AB300" s="35"/>
      <c r="AC300" s="35"/>
      <c r="AD300" s="35"/>
      <c r="AE300" s="35"/>
      <c r="AF300" s="35"/>
      <c r="AG300" s="35"/>
      <c r="AH300" s="35"/>
      <c r="AI300" s="35"/>
      <c r="AJ300" s="35"/>
      <c r="AK300" s="35"/>
      <c r="AL300" s="35"/>
      <c r="AM300" s="35"/>
      <c r="AN300" s="35"/>
      <c r="AO300" s="35"/>
      <c r="AP300" s="35"/>
      <c r="AQ300" s="35"/>
      <c r="AR300" s="35"/>
      <c r="AS300" s="35"/>
      <c r="AT300" s="35"/>
      <c r="AU300" s="35"/>
      <c r="AV300" s="35"/>
      <c r="AW300" s="35"/>
      <c r="AX300" s="35"/>
      <c r="AY300" s="35"/>
      <c r="AZ300" s="35"/>
      <c r="BA300" s="35"/>
      <c r="BB300" s="35"/>
      <c r="BC300" s="35"/>
      <c r="BD300" s="35"/>
      <c r="BE300" s="35"/>
      <c r="BF300" s="35"/>
      <c r="BG300" s="35"/>
      <c r="BH300" s="35"/>
      <c r="BI300" s="35"/>
      <c r="BJ300" s="35"/>
      <c r="BK300" s="35"/>
      <c r="BL300" s="35"/>
    </row>
    <row r="301" spans="1:64" ht="14">
      <c r="A301" s="36"/>
      <c r="B301" s="37"/>
      <c r="C301" s="38">
        <f t="shared" si="12"/>
        <v>0</v>
      </c>
      <c r="D301" s="39"/>
      <c r="E301" s="39"/>
      <c r="F301" s="39"/>
      <c r="G301" s="39"/>
      <c r="H301" s="40"/>
      <c r="I301" s="41"/>
      <c r="J301" s="39"/>
      <c r="K301" s="43">
        <f t="shared" si="13"/>
        <v>0</v>
      </c>
      <c r="L301" s="39"/>
      <c r="M301" s="42" t="str">
        <f t="shared" si="14"/>
        <v/>
      </c>
      <c r="N301" s="35"/>
      <c r="O301" s="35"/>
      <c r="P301" s="35"/>
      <c r="Q301" s="35"/>
      <c r="R301" s="35"/>
      <c r="S301" s="35"/>
      <c r="T301" s="35"/>
      <c r="U301" s="35"/>
      <c r="V301" s="35"/>
      <c r="W301" s="35"/>
      <c r="X301" s="35"/>
      <c r="Y301" s="35"/>
      <c r="Z301" s="35"/>
      <c r="AA301" s="35"/>
      <c r="AB301" s="35"/>
      <c r="AC301" s="35"/>
      <c r="AD301" s="35"/>
      <c r="AE301" s="35"/>
      <c r="AF301" s="35"/>
      <c r="AG301" s="35"/>
      <c r="AH301" s="35"/>
      <c r="AI301" s="35"/>
      <c r="AJ301" s="35"/>
      <c r="AK301" s="35"/>
      <c r="AL301" s="35"/>
      <c r="AM301" s="35"/>
      <c r="AN301" s="35"/>
      <c r="AO301" s="35"/>
      <c r="AP301" s="35"/>
      <c r="AQ301" s="35"/>
      <c r="AR301" s="35"/>
      <c r="AS301" s="35"/>
      <c r="AT301" s="35"/>
      <c r="AU301" s="35"/>
      <c r="AV301" s="35"/>
      <c r="AW301" s="35"/>
      <c r="AX301" s="35"/>
      <c r="AY301" s="35"/>
      <c r="AZ301" s="35"/>
      <c r="BA301" s="35"/>
      <c r="BB301" s="35"/>
      <c r="BC301" s="35"/>
      <c r="BD301" s="35"/>
      <c r="BE301" s="35"/>
      <c r="BF301" s="35"/>
      <c r="BG301" s="35"/>
      <c r="BH301" s="35"/>
      <c r="BI301" s="35"/>
      <c r="BJ301" s="35"/>
      <c r="BK301" s="35"/>
      <c r="BL301" s="35"/>
    </row>
    <row r="302" spans="1:64" ht="14">
      <c r="A302" s="36"/>
      <c r="B302" s="37"/>
      <c r="C302" s="38">
        <f t="shared" si="12"/>
        <v>0</v>
      </c>
      <c r="D302" s="39"/>
      <c r="E302" s="39"/>
      <c r="F302" s="39"/>
      <c r="G302" s="39"/>
      <c r="H302" s="40"/>
      <c r="I302" s="41"/>
      <c r="J302" s="39"/>
      <c r="K302" s="43">
        <f t="shared" si="13"/>
        <v>0</v>
      </c>
      <c r="L302" s="39"/>
      <c r="M302" s="42" t="str">
        <f t="shared" si="14"/>
        <v/>
      </c>
      <c r="N302" s="35"/>
      <c r="O302" s="35"/>
      <c r="P302" s="35"/>
      <c r="Q302" s="35"/>
      <c r="R302" s="35"/>
      <c r="S302" s="35"/>
      <c r="T302" s="35"/>
      <c r="U302" s="35"/>
      <c r="V302" s="35"/>
      <c r="W302" s="35"/>
      <c r="X302" s="35"/>
      <c r="Y302" s="35"/>
      <c r="Z302" s="35"/>
      <c r="AA302" s="35"/>
      <c r="AB302" s="35"/>
      <c r="AC302" s="35"/>
      <c r="AD302" s="35"/>
      <c r="AE302" s="35"/>
      <c r="AF302" s="35"/>
      <c r="AG302" s="35"/>
      <c r="AH302" s="35"/>
      <c r="AI302" s="35"/>
      <c r="AJ302" s="35"/>
      <c r="AK302" s="35"/>
      <c r="AL302" s="35"/>
      <c r="AM302" s="35"/>
      <c r="AN302" s="35"/>
      <c r="AO302" s="35"/>
      <c r="AP302" s="35"/>
      <c r="AQ302" s="35"/>
      <c r="AR302" s="35"/>
      <c r="AS302" s="35"/>
      <c r="AT302" s="35"/>
      <c r="AU302" s="35"/>
      <c r="AV302" s="35"/>
      <c r="AW302" s="35"/>
      <c r="AX302" s="35"/>
      <c r="AY302" s="35"/>
      <c r="AZ302" s="35"/>
      <c r="BA302" s="35"/>
      <c r="BB302" s="35"/>
      <c r="BC302" s="35"/>
      <c r="BD302" s="35"/>
      <c r="BE302" s="35"/>
      <c r="BF302" s="35"/>
      <c r="BG302" s="35"/>
      <c r="BH302" s="35"/>
      <c r="BI302" s="35"/>
      <c r="BJ302" s="35"/>
      <c r="BK302" s="35"/>
      <c r="BL302" s="35"/>
    </row>
    <row r="303" spans="1:64" ht="14">
      <c r="A303" s="36"/>
      <c r="B303" s="37"/>
      <c r="C303" s="38">
        <f t="shared" si="12"/>
        <v>0</v>
      </c>
      <c r="D303" s="39"/>
      <c r="E303" s="39"/>
      <c r="F303" s="39"/>
      <c r="G303" s="39"/>
      <c r="H303" s="40"/>
      <c r="I303" s="41"/>
      <c r="J303" s="39"/>
      <c r="K303" s="43">
        <f t="shared" si="13"/>
        <v>0</v>
      </c>
      <c r="L303" s="39"/>
      <c r="M303" s="42" t="str">
        <f t="shared" si="14"/>
        <v/>
      </c>
      <c r="N303" s="35"/>
      <c r="O303" s="35"/>
      <c r="P303" s="35"/>
      <c r="Q303" s="35"/>
      <c r="R303" s="35"/>
      <c r="S303" s="35"/>
      <c r="T303" s="35"/>
      <c r="U303" s="35"/>
      <c r="V303" s="35"/>
      <c r="W303" s="35"/>
      <c r="X303" s="35"/>
      <c r="Y303" s="35"/>
      <c r="Z303" s="35"/>
      <c r="AA303" s="35"/>
      <c r="AB303" s="35"/>
      <c r="AC303" s="35"/>
      <c r="AD303" s="35"/>
      <c r="AE303" s="35"/>
      <c r="AF303" s="35"/>
      <c r="AG303" s="35"/>
      <c r="AH303" s="35"/>
      <c r="AI303" s="35"/>
      <c r="AJ303" s="35"/>
      <c r="AK303" s="35"/>
      <c r="AL303" s="35"/>
      <c r="AM303" s="35"/>
      <c r="AN303" s="35"/>
      <c r="AO303" s="35"/>
      <c r="AP303" s="35"/>
      <c r="AQ303" s="35"/>
      <c r="AR303" s="35"/>
      <c r="AS303" s="35"/>
      <c r="AT303" s="35"/>
      <c r="AU303" s="35"/>
      <c r="AV303" s="35"/>
      <c r="AW303" s="35"/>
      <c r="AX303" s="35"/>
      <c r="AY303" s="35"/>
      <c r="AZ303" s="35"/>
      <c r="BA303" s="35"/>
      <c r="BB303" s="35"/>
      <c r="BC303" s="35"/>
      <c r="BD303" s="35"/>
      <c r="BE303" s="35"/>
      <c r="BF303" s="35"/>
      <c r="BG303" s="35"/>
      <c r="BH303" s="35"/>
      <c r="BI303" s="35"/>
      <c r="BJ303" s="35"/>
      <c r="BK303" s="35"/>
      <c r="BL303" s="35"/>
    </row>
    <row r="304" spans="1:64" ht="14">
      <c r="A304" s="36"/>
      <c r="B304" s="37"/>
      <c r="C304" s="38">
        <f t="shared" si="12"/>
        <v>0</v>
      </c>
      <c r="D304" s="39"/>
      <c r="E304" s="39"/>
      <c r="F304" s="39"/>
      <c r="G304" s="39"/>
      <c r="H304" s="40"/>
      <c r="I304" s="41"/>
      <c r="J304" s="39"/>
      <c r="K304" s="43">
        <f t="shared" si="13"/>
        <v>0</v>
      </c>
      <c r="L304" s="39"/>
      <c r="M304" s="42" t="str">
        <f t="shared" si="14"/>
        <v/>
      </c>
      <c r="N304" s="35"/>
      <c r="O304" s="35"/>
      <c r="P304" s="35"/>
      <c r="Q304" s="35"/>
      <c r="R304" s="35"/>
      <c r="S304" s="35"/>
      <c r="T304" s="35"/>
      <c r="U304" s="35"/>
      <c r="V304" s="35"/>
      <c r="W304" s="35"/>
      <c r="X304" s="35"/>
      <c r="Y304" s="35"/>
      <c r="Z304" s="35"/>
      <c r="AA304" s="35"/>
      <c r="AB304" s="35"/>
      <c r="AC304" s="35"/>
      <c r="AD304" s="35"/>
      <c r="AE304" s="35"/>
      <c r="AF304" s="35"/>
      <c r="AG304" s="35"/>
      <c r="AH304" s="35"/>
      <c r="AI304" s="35"/>
      <c r="AJ304" s="35"/>
      <c r="AK304" s="35"/>
      <c r="AL304" s="35"/>
      <c r="AM304" s="35"/>
      <c r="AN304" s="35"/>
      <c r="AO304" s="35"/>
      <c r="AP304" s="35"/>
      <c r="AQ304" s="35"/>
      <c r="AR304" s="35"/>
      <c r="AS304" s="35"/>
      <c r="AT304" s="35"/>
      <c r="AU304" s="35"/>
      <c r="AV304" s="35"/>
      <c r="AW304" s="35"/>
      <c r="AX304" s="35"/>
      <c r="AY304" s="35"/>
      <c r="AZ304" s="35"/>
      <c r="BA304" s="35"/>
      <c r="BB304" s="35"/>
      <c r="BC304" s="35"/>
      <c r="BD304" s="35"/>
      <c r="BE304" s="35"/>
      <c r="BF304" s="35"/>
      <c r="BG304" s="35"/>
      <c r="BH304" s="35"/>
      <c r="BI304" s="35"/>
      <c r="BJ304" s="35"/>
      <c r="BK304" s="35"/>
      <c r="BL304" s="35"/>
    </row>
    <row r="305" spans="1:64" ht="14">
      <c r="A305" s="36"/>
      <c r="B305" s="37"/>
      <c r="C305" s="38">
        <f t="shared" si="12"/>
        <v>0</v>
      </c>
      <c r="D305" s="39"/>
      <c r="E305" s="39"/>
      <c r="F305" s="39"/>
      <c r="G305" s="39"/>
      <c r="H305" s="40"/>
      <c r="I305" s="41"/>
      <c r="J305" s="39"/>
      <c r="K305" s="43">
        <f t="shared" si="13"/>
        <v>0</v>
      </c>
      <c r="L305" s="39"/>
      <c r="M305" s="42" t="str">
        <f t="shared" si="14"/>
        <v/>
      </c>
      <c r="N305" s="35"/>
      <c r="O305" s="35"/>
      <c r="P305" s="35"/>
      <c r="Q305" s="35"/>
      <c r="R305" s="35"/>
      <c r="S305" s="35"/>
      <c r="T305" s="35"/>
      <c r="U305" s="35"/>
      <c r="V305" s="35"/>
      <c r="W305" s="35"/>
      <c r="X305" s="35"/>
      <c r="Y305" s="35"/>
      <c r="Z305" s="35"/>
      <c r="AA305" s="35"/>
      <c r="AB305" s="35"/>
      <c r="AC305" s="35"/>
      <c r="AD305" s="35"/>
      <c r="AE305" s="35"/>
      <c r="AF305" s="35"/>
      <c r="AG305" s="35"/>
      <c r="AH305" s="35"/>
      <c r="AI305" s="35"/>
      <c r="AJ305" s="35"/>
      <c r="AK305" s="35"/>
      <c r="AL305" s="35"/>
      <c r="AM305" s="35"/>
      <c r="AN305" s="35"/>
      <c r="AO305" s="35"/>
      <c r="AP305" s="35"/>
      <c r="AQ305" s="35"/>
      <c r="AR305" s="35"/>
      <c r="AS305" s="35"/>
      <c r="AT305" s="35"/>
      <c r="AU305" s="35"/>
      <c r="AV305" s="35"/>
      <c r="AW305" s="35"/>
      <c r="AX305" s="35"/>
      <c r="AY305" s="35"/>
      <c r="AZ305" s="35"/>
      <c r="BA305" s="35"/>
      <c r="BB305" s="35"/>
      <c r="BC305" s="35"/>
      <c r="BD305" s="35"/>
      <c r="BE305" s="35"/>
      <c r="BF305" s="35"/>
      <c r="BG305" s="35"/>
      <c r="BH305" s="35"/>
      <c r="BI305" s="35"/>
      <c r="BJ305" s="35"/>
      <c r="BK305" s="35"/>
      <c r="BL305" s="35"/>
    </row>
    <row r="306" spans="1:64" ht="14">
      <c r="A306" s="36"/>
      <c r="B306" s="37"/>
      <c r="C306" s="38">
        <f t="shared" si="12"/>
        <v>0</v>
      </c>
      <c r="D306" s="39"/>
      <c r="E306" s="39"/>
      <c r="F306" s="39"/>
      <c r="G306" s="39"/>
      <c r="H306" s="40"/>
      <c r="I306" s="41"/>
      <c r="J306" s="39"/>
      <c r="K306" s="43">
        <f t="shared" si="13"/>
        <v>0</v>
      </c>
      <c r="L306" s="39"/>
      <c r="M306" s="42" t="str">
        <f t="shared" si="14"/>
        <v/>
      </c>
      <c r="N306" s="35"/>
      <c r="O306" s="35"/>
      <c r="P306" s="35"/>
      <c r="Q306" s="35"/>
      <c r="R306" s="35"/>
      <c r="S306" s="35"/>
      <c r="T306" s="35"/>
      <c r="U306" s="35"/>
      <c r="V306" s="35"/>
      <c r="W306" s="35"/>
      <c r="X306" s="35"/>
      <c r="Y306" s="35"/>
      <c r="Z306" s="35"/>
      <c r="AA306" s="35"/>
      <c r="AB306" s="35"/>
      <c r="AC306" s="35"/>
      <c r="AD306" s="35"/>
      <c r="AE306" s="35"/>
      <c r="AF306" s="35"/>
      <c r="AG306" s="35"/>
      <c r="AH306" s="35"/>
      <c r="AI306" s="35"/>
      <c r="AJ306" s="35"/>
      <c r="AK306" s="35"/>
      <c r="AL306" s="35"/>
      <c r="AM306" s="35"/>
      <c r="AN306" s="35"/>
      <c r="AO306" s="35"/>
      <c r="AP306" s="35"/>
      <c r="AQ306" s="35"/>
      <c r="AR306" s="35"/>
      <c r="AS306" s="35"/>
      <c r="AT306" s="35"/>
      <c r="AU306" s="35"/>
      <c r="AV306" s="35"/>
      <c r="AW306" s="35"/>
      <c r="AX306" s="35"/>
      <c r="AY306" s="35"/>
      <c r="AZ306" s="35"/>
      <c r="BA306" s="35"/>
      <c r="BB306" s="35"/>
      <c r="BC306" s="35"/>
      <c r="BD306" s="35"/>
      <c r="BE306" s="35"/>
      <c r="BF306" s="35"/>
      <c r="BG306" s="35"/>
      <c r="BH306" s="35"/>
      <c r="BI306" s="35"/>
      <c r="BJ306" s="35"/>
      <c r="BK306" s="35"/>
      <c r="BL306" s="35"/>
    </row>
    <row r="307" spans="1:64" ht="14">
      <c r="A307" s="36"/>
      <c r="B307" s="37"/>
      <c r="C307" s="38">
        <f t="shared" si="12"/>
        <v>0</v>
      </c>
      <c r="D307" s="39"/>
      <c r="E307" s="39"/>
      <c r="F307" s="39"/>
      <c r="G307" s="39"/>
      <c r="H307" s="40"/>
      <c r="I307" s="41"/>
      <c r="J307" s="39"/>
      <c r="K307" s="43">
        <f t="shared" si="13"/>
        <v>0</v>
      </c>
      <c r="L307" s="39"/>
      <c r="M307" s="42" t="str">
        <f t="shared" si="14"/>
        <v/>
      </c>
      <c r="N307" s="35"/>
      <c r="O307" s="35"/>
      <c r="P307" s="35"/>
      <c r="Q307" s="35"/>
      <c r="R307" s="35"/>
      <c r="S307" s="35"/>
      <c r="T307" s="35"/>
      <c r="U307" s="35"/>
      <c r="V307" s="35"/>
      <c r="W307" s="35"/>
      <c r="X307" s="35"/>
      <c r="Y307" s="35"/>
      <c r="Z307" s="35"/>
      <c r="AA307" s="35"/>
      <c r="AB307" s="35"/>
      <c r="AC307" s="35"/>
      <c r="AD307" s="35"/>
      <c r="AE307" s="35"/>
      <c r="AF307" s="35"/>
      <c r="AG307" s="35"/>
      <c r="AH307" s="35"/>
      <c r="AI307" s="35"/>
      <c r="AJ307" s="35"/>
      <c r="AK307" s="35"/>
      <c r="AL307" s="35"/>
      <c r="AM307" s="35"/>
      <c r="AN307" s="35"/>
      <c r="AO307" s="35"/>
      <c r="AP307" s="35"/>
      <c r="AQ307" s="35"/>
      <c r="AR307" s="35"/>
      <c r="AS307" s="35"/>
      <c r="AT307" s="35"/>
      <c r="AU307" s="35"/>
      <c r="AV307" s="35"/>
      <c r="AW307" s="35"/>
      <c r="AX307" s="35"/>
      <c r="AY307" s="35"/>
      <c r="AZ307" s="35"/>
      <c r="BA307" s="35"/>
      <c r="BB307" s="35"/>
      <c r="BC307" s="35"/>
      <c r="BD307" s="35"/>
      <c r="BE307" s="35"/>
      <c r="BF307" s="35"/>
      <c r="BG307" s="35"/>
      <c r="BH307" s="35"/>
      <c r="BI307" s="35"/>
      <c r="BJ307" s="35"/>
      <c r="BK307" s="35"/>
      <c r="BL307" s="35"/>
    </row>
    <row r="308" spans="1:64" ht="14">
      <c r="A308" s="36"/>
      <c r="B308" s="37"/>
      <c r="C308" s="38">
        <f t="shared" si="12"/>
        <v>0</v>
      </c>
      <c r="D308" s="39"/>
      <c r="E308" s="39"/>
      <c r="F308" s="39"/>
      <c r="G308" s="39"/>
      <c r="H308" s="40"/>
      <c r="I308" s="41"/>
      <c r="J308" s="39"/>
      <c r="K308" s="43">
        <f t="shared" si="13"/>
        <v>0</v>
      </c>
      <c r="L308" s="39"/>
      <c r="M308" s="42" t="str">
        <f t="shared" si="14"/>
        <v/>
      </c>
      <c r="N308" s="35"/>
      <c r="O308" s="35"/>
      <c r="P308" s="35"/>
      <c r="Q308" s="35"/>
      <c r="R308" s="35"/>
      <c r="S308" s="35"/>
      <c r="T308" s="35"/>
      <c r="U308" s="35"/>
      <c r="V308" s="35"/>
      <c r="W308" s="35"/>
      <c r="X308" s="35"/>
      <c r="Y308" s="35"/>
      <c r="Z308" s="35"/>
      <c r="AA308" s="35"/>
      <c r="AB308" s="35"/>
      <c r="AC308" s="35"/>
      <c r="AD308" s="35"/>
      <c r="AE308" s="35"/>
      <c r="AF308" s="35"/>
      <c r="AG308" s="35"/>
      <c r="AH308" s="35"/>
      <c r="AI308" s="35"/>
      <c r="AJ308" s="35"/>
      <c r="AK308" s="35"/>
      <c r="AL308" s="35"/>
      <c r="AM308" s="35"/>
      <c r="AN308" s="35"/>
      <c r="AO308" s="35"/>
      <c r="AP308" s="35"/>
      <c r="AQ308" s="35"/>
      <c r="AR308" s="35"/>
      <c r="AS308" s="35"/>
      <c r="AT308" s="35"/>
      <c r="AU308" s="35"/>
      <c r="AV308" s="35"/>
      <c r="AW308" s="35"/>
      <c r="AX308" s="35"/>
      <c r="AY308" s="35"/>
      <c r="AZ308" s="35"/>
      <c r="BA308" s="35"/>
      <c r="BB308" s="35"/>
      <c r="BC308" s="35"/>
      <c r="BD308" s="35"/>
      <c r="BE308" s="35"/>
      <c r="BF308" s="35"/>
      <c r="BG308" s="35"/>
      <c r="BH308" s="35"/>
      <c r="BI308" s="35"/>
      <c r="BJ308" s="35"/>
      <c r="BK308" s="35"/>
      <c r="BL308" s="35"/>
    </row>
    <row r="309" spans="1:64" ht="14">
      <c r="A309" s="36"/>
      <c r="B309" s="37"/>
      <c r="C309" s="38">
        <f t="shared" si="12"/>
        <v>0</v>
      </c>
      <c r="D309" s="39"/>
      <c r="E309" s="39"/>
      <c r="F309" s="39"/>
      <c r="G309" s="39"/>
      <c r="H309" s="40"/>
      <c r="I309" s="41"/>
      <c r="J309" s="39"/>
      <c r="K309" s="43">
        <f t="shared" si="13"/>
        <v>0</v>
      </c>
      <c r="L309" s="39"/>
      <c r="M309" s="42" t="str">
        <f t="shared" si="14"/>
        <v/>
      </c>
      <c r="N309" s="35"/>
      <c r="O309" s="35"/>
      <c r="P309" s="35"/>
      <c r="Q309" s="35"/>
      <c r="R309" s="35"/>
      <c r="S309" s="35"/>
      <c r="T309" s="35"/>
      <c r="U309" s="35"/>
      <c r="V309" s="35"/>
      <c r="W309" s="35"/>
      <c r="X309" s="35"/>
      <c r="Y309" s="35"/>
      <c r="Z309" s="35"/>
      <c r="AA309" s="35"/>
      <c r="AB309" s="35"/>
      <c r="AC309" s="35"/>
      <c r="AD309" s="35"/>
      <c r="AE309" s="35"/>
      <c r="AF309" s="35"/>
      <c r="AG309" s="35"/>
      <c r="AH309" s="35"/>
      <c r="AI309" s="35"/>
      <c r="AJ309" s="35"/>
      <c r="AK309" s="35"/>
      <c r="AL309" s="35"/>
      <c r="AM309" s="35"/>
      <c r="AN309" s="35"/>
      <c r="AO309" s="35"/>
      <c r="AP309" s="35"/>
      <c r="AQ309" s="35"/>
      <c r="AR309" s="35"/>
      <c r="AS309" s="35"/>
      <c r="AT309" s="35"/>
      <c r="AU309" s="35"/>
      <c r="AV309" s="35"/>
      <c r="AW309" s="35"/>
      <c r="AX309" s="35"/>
      <c r="AY309" s="35"/>
      <c r="AZ309" s="35"/>
      <c r="BA309" s="35"/>
      <c r="BB309" s="35"/>
      <c r="BC309" s="35"/>
      <c r="BD309" s="35"/>
      <c r="BE309" s="35"/>
      <c r="BF309" s="35"/>
      <c r="BG309" s="35"/>
      <c r="BH309" s="35"/>
      <c r="BI309" s="35"/>
      <c r="BJ309" s="35"/>
      <c r="BK309" s="35"/>
      <c r="BL309" s="35"/>
    </row>
    <row r="310" spans="1:64" ht="14">
      <c r="A310" s="36"/>
      <c r="B310" s="37"/>
      <c r="C310" s="38">
        <f t="shared" si="12"/>
        <v>0</v>
      </c>
      <c r="D310" s="39"/>
      <c r="E310" s="39"/>
      <c r="F310" s="39"/>
      <c r="G310" s="39"/>
      <c r="H310" s="40"/>
      <c r="I310" s="41"/>
      <c r="J310" s="39"/>
      <c r="K310" s="43">
        <f t="shared" si="13"/>
        <v>0</v>
      </c>
      <c r="L310" s="39"/>
      <c r="M310" s="42" t="str">
        <f t="shared" si="14"/>
        <v/>
      </c>
      <c r="N310" s="35"/>
      <c r="O310" s="35"/>
      <c r="P310" s="35"/>
      <c r="Q310" s="35"/>
      <c r="R310" s="35"/>
      <c r="S310" s="35"/>
      <c r="T310" s="35"/>
      <c r="U310" s="35"/>
      <c r="V310" s="35"/>
      <c r="W310" s="35"/>
      <c r="X310" s="35"/>
      <c r="Y310" s="35"/>
      <c r="Z310" s="35"/>
      <c r="AA310" s="35"/>
      <c r="AB310" s="35"/>
      <c r="AC310" s="35"/>
      <c r="AD310" s="35"/>
      <c r="AE310" s="35"/>
      <c r="AF310" s="35"/>
      <c r="AG310" s="35"/>
      <c r="AH310" s="35"/>
      <c r="AI310" s="35"/>
      <c r="AJ310" s="35"/>
      <c r="AK310" s="35"/>
      <c r="AL310" s="35"/>
      <c r="AM310" s="35"/>
      <c r="AN310" s="35"/>
      <c r="AO310" s="35"/>
      <c r="AP310" s="35"/>
      <c r="AQ310" s="35"/>
      <c r="AR310" s="35"/>
      <c r="AS310" s="35"/>
      <c r="AT310" s="35"/>
      <c r="AU310" s="35"/>
      <c r="AV310" s="35"/>
      <c r="AW310" s="35"/>
      <c r="AX310" s="35"/>
      <c r="AY310" s="35"/>
      <c r="AZ310" s="35"/>
      <c r="BA310" s="35"/>
      <c r="BB310" s="35"/>
      <c r="BC310" s="35"/>
      <c r="BD310" s="35"/>
      <c r="BE310" s="35"/>
      <c r="BF310" s="35"/>
      <c r="BG310" s="35"/>
      <c r="BH310" s="35"/>
      <c r="BI310" s="35"/>
      <c r="BJ310" s="35"/>
      <c r="BK310" s="35"/>
      <c r="BL310" s="35"/>
    </row>
    <row r="311" spans="1:64" ht="14">
      <c r="A311" s="36"/>
      <c r="B311" s="37"/>
      <c r="C311" s="38">
        <f t="shared" si="12"/>
        <v>0</v>
      </c>
      <c r="D311" s="39"/>
      <c r="E311" s="39"/>
      <c r="F311" s="39"/>
      <c r="G311" s="39"/>
      <c r="H311" s="40"/>
      <c r="I311" s="41"/>
      <c r="J311" s="39"/>
      <c r="K311" s="43">
        <f t="shared" si="13"/>
        <v>0</v>
      </c>
      <c r="L311" s="39"/>
      <c r="M311" s="42" t="str">
        <f t="shared" si="14"/>
        <v/>
      </c>
      <c r="N311" s="35"/>
      <c r="O311" s="35"/>
      <c r="P311" s="35"/>
      <c r="Q311" s="35"/>
      <c r="R311" s="35"/>
      <c r="S311" s="35"/>
      <c r="T311" s="35"/>
      <c r="U311" s="35"/>
      <c r="V311" s="35"/>
      <c r="W311" s="35"/>
      <c r="X311" s="35"/>
      <c r="Y311" s="35"/>
      <c r="Z311" s="35"/>
      <c r="AA311" s="35"/>
      <c r="AB311" s="35"/>
      <c r="AC311" s="35"/>
      <c r="AD311" s="35"/>
      <c r="AE311" s="35"/>
      <c r="AF311" s="35"/>
      <c r="AG311" s="35"/>
      <c r="AH311" s="35"/>
      <c r="AI311" s="35"/>
      <c r="AJ311" s="35"/>
      <c r="AK311" s="35"/>
      <c r="AL311" s="35"/>
      <c r="AM311" s="35"/>
      <c r="AN311" s="35"/>
      <c r="AO311" s="35"/>
      <c r="AP311" s="35"/>
      <c r="AQ311" s="35"/>
      <c r="AR311" s="35"/>
      <c r="AS311" s="35"/>
      <c r="AT311" s="35"/>
      <c r="AU311" s="35"/>
      <c r="AV311" s="35"/>
      <c r="AW311" s="35"/>
      <c r="AX311" s="35"/>
      <c r="AY311" s="35"/>
      <c r="AZ311" s="35"/>
      <c r="BA311" s="35"/>
      <c r="BB311" s="35"/>
      <c r="BC311" s="35"/>
      <c r="BD311" s="35"/>
      <c r="BE311" s="35"/>
      <c r="BF311" s="35"/>
      <c r="BG311" s="35"/>
      <c r="BH311" s="35"/>
      <c r="BI311" s="35"/>
      <c r="BJ311" s="35"/>
      <c r="BK311" s="35"/>
      <c r="BL311" s="35"/>
    </row>
    <row r="312" spans="1:64" ht="14">
      <c r="A312" s="36"/>
      <c r="B312" s="37"/>
      <c r="C312" s="38">
        <f t="shared" si="12"/>
        <v>0</v>
      </c>
      <c r="D312" s="39"/>
      <c r="E312" s="39"/>
      <c r="F312" s="39"/>
      <c r="G312" s="39"/>
      <c r="H312" s="40"/>
      <c r="I312" s="41"/>
      <c r="J312" s="39"/>
      <c r="K312" s="43">
        <f t="shared" si="13"/>
        <v>0</v>
      </c>
      <c r="L312" s="39"/>
      <c r="M312" s="42" t="str">
        <f t="shared" si="14"/>
        <v/>
      </c>
      <c r="N312" s="35"/>
      <c r="O312" s="35"/>
      <c r="P312" s="35"/>
      <c r="Q312" s="35"/>
      <c r="R312" s="35"/>
      <c r="S312" s="35"/>
      <c r="T312" s="35"/>
      <c r="U312" s="35"/>
      <c r="V312" s="35"/>
      <c r="W312" s="35"/>
      <c r="X312" s="35"/>
      <c r="Y312" s="35"/>
      <c r="Z312" s="35"/>
      <c r="AA312" s="35"/>
      <c r="AB312" s="35"/>
      <c r="AC312" s="35"/>
      <c r="AD312" s="35"/>
      <c r="AE312" s="35"/>
      <c r="AF312" s="35"/>
      <c r="AG312" s="35"/>
      <c r="AH312" s="35"/>
      <c r="AI312" s="35"/>
      <c r="AJ312" s="35"/>
      <c r="AK312" s="35"/>
      <c r="AL312" s="35"/>
      <c r="AM312" s="35"/>
      <c r="AN312" s="35"/>
      <c r="AO312" s="35"/>
      <c r="AP312" s="35"/>
      <c r="AQ312" s="35"/>
      <c r="AR312" s="35"/>
      <c r="AS312" s="35"/>
      <c r="AT312" s="35"/>
      <c r="AU312" s="35"/>
      <c r="AV312" s="35"/>
      <c r="AW312" s="35"/>
      <c r="AX312" s="35"/>
      <c r="AY312" s="35"/>
      <c r="AZ312" s="35"/>
      <c r="BA312" s="35"/>
      <c r="BB312" s="35"/>
      <c r="BC312" s="35"/>
      <c r="BD312" s="35"/>
      <c r="BE312" s="35"/>
      <c r="BF312" s="35"/>
      <c r="BG312" s="35"/>
      <c r="BH312" s="35"/>
      <c r="BI312" s="35"/>
      <c r="BJ312" s="35"/>
      <c r="BK312" s="35"/>
      <c r="BL312" s="35"/>
    </row>
    <row r="313" spans="1:64" ht="14">
      <c r="A313" s="36"/>
      <c r="B313" s="37"/>
      <c r="C313" s="38">
        <f t="shared" si="12"/>
        <v>0</v>
      </c>
      <c r="D313" s="39"/>
      <c r="E313" s="39"/>
      <c r="F313" s="39"/>
      <c r="G313" s="39"/>
      <c r="H313" s="40"/>
      <c r="I313" s="41"/>
      <c r="J313" s="39"/>
      <c r="K313" s="43">
        <f t="shared" si="13"/>
        <v>0</v>
      </c>
      <c r="L313" s="39"/>
      <c r="M313" s="42" t="str">
        <f t="shared" si="14"/>
        <v/>
      </c>
      <c r="N313" s="35"/>
      <c r="O313" s="35"/>
      <c r="P313" s="35"/>
      <c r="Q313" s="35"/>
      <c r="R313" s="35"/>
      <c r="S313" s="35"/>
      <c r="T313" s="35"/>
      <c r="U313" s="35"/>
      <c r="V313" s="35"/>
      <c r="W313" s="35"/>
      <c r="X313" s="35"/>
      <c r="Y313" s="35"/>
      <c r="Z313" s="35"/>
      <c r="AA313" s="35"/>
      <c r="AB313" s="35"/>
      <c r="AC313" s="35"/>
      <c r="AD313" s="35"/>
      <c r="AE313" s="35"/>
      <c r="AF313" s="35"/>
      <c r="AG313" s="35"/>
      <c r="AH313" s="35"/>
      <c r="AI313" s="35"/>
      <c r="AJ313" s="35"/>
      <c r="AK313" s="35"/>
      <c r="AL313" s="35"/>
      <c r="AM313" s="35"/>
      <c r="AN313" s="35"/>
      <c r="AO313" s="35"/>
      <c r="AP313" s="35"/>
      <c r="AQ313" s="35"/>
      <c r="AR313" s="35"/>
      <c r="AS313" s="35"/>
      <c r="AT313" s="35"/>
      <c r="AU313" s="35"/>
      <c r="AV313" s="35"/>
      <c r="AW313" s="35"/>
      <c r="AX313" s="35"/>
      <c r="AY313" s="35"/>
      <c r="AZ313" s="35"/>
      <c r="BA313" s="35"/>
      <c r="BB313" s="35"/>
      <c r="BC313" s="35"/>
      <c r="BD313" s="35"/>
      <c r="BE313" s="35"/>
      <c r="BF313" s="35"/>
      <c r="BG313" s="35"/>
      <c r="BH313" s="35"/>
      <c r="BI313" s="35"/>
      <c r="BJ313" s="35"/>
      <c r="BK313" s="35"/>
      <c r="BL313" s="35"/>
    </row>
    <row r="314" spans="1:64" ht="14">
      <c r="A314" s="36"/>
      <c r="B314" s="37"/>
      <c r="C314" s="38">
        <f t="shared" si="12"/>
        <v>0</v>
      </c>
      <c r="D314" s="39"/>
      <c r="E314" s="39"/>
      <c r="F314" s="39"/>
      <c r="G314" s="39"/>
      <c r="H314" s="40"/>
      <c r="I314" s="41"/>
      <c r="J314" s="39"/>
      <c r="K314" s="43">
        <f t="shared" si="13"/>
        <v>0</v>
      </c>
      <c r="L314" s="39"/>
      <c r="M314" s="42" t="str">
        <f t="shared" si="14"/>
        <v/>
      </c>
      <c r="N314" s="35"/>
      <c r="O314" s="35"/>
      <c r="P314" s="35"/>
      <c r="Q314" s="35"/>
      <c r="R314" s="35"/>
      <c r="S314" s="35"/>
      <c r="T314" s="35"/>
      <c r="U314" s="35"/>
      <c r="V314" s="35"/>
      <c r="W314" s="35"/>
      <c r="X314" s="35"/>
      <c r="Y314" s="35"/>
      <c r="Z314" s="35"/>
      <c r="AA314" s="35"/>
      <c r="AB314" s="35"/>
      <c r="AC314" s="35"/>
      <c r="AD314" s="35"/>
      <c r="AE314" s="35"/>
      <c r="AF314" s="35"/>
      <c r="AG314" s="35"/>
      <c r="AH314" s="35"/>
      <c r="AI314" s="35"/>
      <c r="AJ314" s="35"/>
      <c r="AK314" s="35"/>
      <c r="AL314" s="35"/>
      <c r="AM314" s="35"/>
      <c r="AN314" s="35"/>
      <c r="AO314" s="35"/>
      <c r="AP314" s="35"/>
      <c r="AQ314" s="35"/>
      <c r="AR314" s="35"/>
      <c r="AS314" s="35"/>
      <c r="AT314" s="35"/>
      <c r="AU314" s="35"/>
      <c r="AV314" s="35"/>
      <c r="AW314" s="35"/>
      <c r="AX314" s="35"/>
      <c r="AY314" s="35"/>
      <c r="AZ314" s="35"/>
      <c r="BA314" s="35"/>
      <c r="BB314" s="35"/>
      <c r="BC314" s="35"/>
      <c r="BD314" s="35"/>
      <c r="BE314" s="35"/>
      <c r="BF314" s="35"/>
      <c r="BG314" s="35"/>
      <c r="BH314" s="35"/>
      <c r="BI314" s="35"/>
      <c r="BJ314" s="35"/>
      <c r="BK314" s="35"/>
      <c r="BL314" s="35"/>
    </row>
    <row r="315" spans="1:64" ht="14">
      <c r="A315" s="36"/>
      <c r="B315" s="37"/>
      <c r="C315" s="38">
        <f t="shared" si="12"/>
        <v>0</v>
      </c>
      <c r="D315" s="39"/>
      <c r="E315" s="39"/>
      <c r="F315" s="39"/>
      <c r="G315" s="39"/>
      <c r="H315" s="40"/>
      <c r="I315" s="41"/>
      <c r="J315" s="39"/>
      <c r="K315" s="43">
        <f t="shared" si="13"/>
        <v>0</v>
      </c>
      <c r="L315" s="39"/>
      <c r="M315" s="42" t="str">
        <f t="shared" si="14"/>
        <v/>
      </c>
      <c r="N315" s="35"/>
      <c r="O315" s="35"/>
      <c r="P315" s="35"/>
      <c r="Q315" s="35"/>
      <c r="R315" s="35"/>
      <c r="S315" s="35"/>
      <c r="T315" s="35"/>
      <c r="U315" s="35"/>
      <c r="V315" s="35"/>
      <c r="W315" s="35"/>
      <c r="X315" s="35"/>
      <c r="Y315" s="35"/>
      <c r="Z315" s="35"/>
      <c r="AA315" s="35"/>
      <c r="AB315" s="35"/>
      <c r="AC315" s="35"/>
      <c r="AD315" s="35"/>
      <c r="AE315" s="35"/>
      <c r="AF315" s="35"/>
      <c r="AG315" s="35"/>
      <c r="AH315" s="35"/>
      <c r="AI315" s="35"/>
      <c r="AJ315" s="35"/>
      <c r="AK315" s="35"/>
      <c r="AL315" s="35"/>
      <c r="AM315" s="35"/>
      <c r="AN315" s="35"/>
      <c r="AO315" s="35"/>
      <c r="AP315" s="35"/>
      <c r="AQ315" s="35"/>
      <c r="AR315" s="35"/>
      <c r="AS315" s="35"/>
      <c r="AT315" s="35"/>
      <c r="AU315" s="35"/>
      <c r="AV315" s="35"/>
      <c r="AW315" s="35"/>
      <c r="AX315" s="35"/>
      <c r="AY315" s="35"/>
      <c r="AZ315" s="35"/>
      <c r="BA315" s="35"/>
      <c r="BB315" s="35"/>
      <c r="BC315" s="35"/>
      <c r="BD315" s="35"/>
      <c r="BE315" s="35"/>
      <c r="BF315" s="35"/>
      <c r="BG315" s="35"/>
      <c r="BH315" s="35"/>
      <c r="BI315" s="35"/>
      <c r="BJ315" s="35"/>
      <c r="BK315" s="35"/>
      <c r="BL315" s="35"/>
    </row>
    <row r="316" spans="1:64" ht="14">
      <c r="A316" s="36"/>
      <c r="B316" s="37"/>
      <c r="C316" s="38">
        <f t="shared" si="12"/>
        <v>0</v>
      </c>
      <c r="D316" s="39"/>
      <c r="E316" s="39"/>
      <c r="F316" s="39"/>
      <c r="G316" s="39"/>
      <c r="H316" s="40"/>
      <c r="I316" s="41"/>
      <c r="J316" s="39"/>
      <c r="K316" s="43">
        <f t="shared" si="13"/>
        <v>0</v>
      </c>
      <c r="L316" s="39"/>
      <c r="M316" s="42" t="str">
        <f t="shared" si="14"/>
        <v/>
      </c>
      <c r="N316" s="35"/>
      <c r="O316" s="35"/>
      <c r="P316" s="35"/>
      <c r="Q316" s="35"/>
      <c r="R316" s="35"/>
      <c r="S316" s="35"/>
      <c r="T316" s="35"/>
      <c r="U316" s="35"/>
      <c r="V316" s="35"/>
      <c r="W316" s="35"/>
      <c r="X316" s="35"/>
      <c r="Y316" s="35"/>
      <c r="Z316" s="35"/>
      <c r="AA316" s="35"/>
      <c r="AB316" s="35"/>
      <c r="AC316" s="35"/>
      <c r="AD316" s="35"/>
      <c r="AE316" s="35"/>
      <c r="AF316" s="35"/>
      <c r="AG316" s="35"/>
      <c r="AH316" s="35"/>
      <c r="AI316" s="35"/>
      <c r="AJ316" s="35"/>
      <c r="AK316" s="35"/>
      <c r="AL316" s="35"/>
      <c r="AM316" s="35"/>
      <c r="AN316" s="35"/>
      <c r="AO316" s="35"/>
      <c r="AP316" s="35"/>
      <c r="AQ316" s="35"/>
      <c r="AR316" s="35"/>
      <c r="AS316" s="35"/>
      <c r="AT316" s="35"/>
      <c r="AU316" s="35"/>
      <c r="AV316" s="35"/>
      <c r="AW316" s="35"/>
      <c r="AX316" s="35"/>
      <c r="AY316" s="35"/>
      <c r="AZ316" s="35"/>
      <c r="BA316" s="35"/>
      <c r="BB316" s="35"/>
      <c r="BC316" s="35"/>
      <c r="BD316" s="35"/>
      <c r="BE316" s="35"/>
      <c r="BF316" s="35"/>
      <c r="BG316" s="35"/>
      <c r="BH316" s="35"/>
      <c r="BI316" s="35"/>
      <c r="BJ316" s="35"/>
      <c r="BK316" s="35"/>
      <c r="BL316" s="35"/>
    </row>
    <row r="317" spans="1:64" ht="14">
      <c r="A317" s="36"/>
      <c r="B317" s="37"/>
      <c r="C317" s="38">
        <f t="shared" si="12"/>
        <v>0</v>
      </c>
      <c r="D317" s="39"/>
      <c r="E317" s="39"/>
      <c r="F317" s="39"/>
      <c r="G317" s="39"/>
      <c r="H317" s="40"/>
      <c r="I317" s="41"/>
      <c r="J317" s="39"/>
      <c r="K317" s="43">
        <f t="shared" si="13"/>
        <v>0</v>
      </c>
      <c r="L317" s="39"/>
      <c r="M317" s="42" t="str">
        <f t="shared" si="14"/>
        <v/>
      </c>
      <c r="N317" s="35"/>
      <c r="O317" s="35"/>
      <c r="P317" s="35"/>
      <c r="Q317" s="35"/>
      <c r="R317" s="35"/>
      <c r="S317" s="35"/>
      <c r="T317" s="35"/>
      <c r="U317" s="35"/>
      <c r="V317" s="35"/>
      <c r="W317" s="35"/>
      <c r="X317" s="35"/>
      <c r="Y317" s="35"/>
      <c r="Z317" s="35"/>
      <c r="AA317" s="35"/>
      <c r="AB317" s="35"/>
      <c r="AC317" s="35"/>
      <c r="AD317" s="35"/>
      <c r="AE317" s="35"/>
      <c r="AF317" s="35"/>
      <c r="AG317" s="35"/>
      <c r="AH317" s="35"/>
      <c r="AI317" s="35"/>
      <c r="AJ317" s="35"/>
      <c r="AK317" s="35"/>
      <c r="AL317" s="35"/>
      <c r="AM317" s="35"/>
      <c r="AN317" s="35"/>
      <c r="AO317" s="35"/>
      <c r="AP317" s="35"/>
      <c r="AQ317" s="35"/>
      <c r="AR317" s="35"/>
      <c r="AS317" s="35"/>
      <c r="AT317" s="35"/>
      <c r="AU317" s="35"/>
      <c r="AV317" s="35"/>
      <c r="AW317" s="35"/>
      <c r="AX317" s="35"/>
      <c r="AY317" s="35"/>
      <c r="AZ317" s="35"/>
      <c r="BA317" s="35"/>
      <c r="BB317" s="35"/>
      <c r="BC317" s="35"/>
      <c r="BD317" s="35"/>
      <c r="BE317" s="35"/>
      <c r="BF317" s="35"/>
      <c r="BG317" s="35"/>
      <c r="BH317" s="35"/>
      <c r="BI317" s="35"/>
      <c r="BJ317" s="35"/>
      <c r="BK317" s="35"/>
      <c r="BL317" s="35"/>
    </row>
    <row r="318" spans="1:64" ht="14">
      <c r="A318" s="36"/>
      <c r="B318" s="37"/>
      <c r="C318" s="38">
        <f t="shared" si="12"/>
        <v>0</v>
      </c>
      <c r="D318" s="39"/>
      <c r="E318" s="39"/>
      <c r="F318" s="39"/>
      <c r="G318" s="39"/>
      <c r="H318" s="40"/>
      <c r="I318" s="41"/>
      <c r="J318" s="39"/>
      <c r="K318" s="43">
        <f t="shared" si="13"/>
        <v>0</v>
      </c>
      <c r="L318" s="39"/>
      <c r="M318" s="42" t="str">
        <f t="shared" si="14"/>
        <v/>
      </c>
      <c r="N318" s="35"/>
      <c r="O318" s="35"/>
      <c r="P318" s="35"/>
      <c r="Q318" s="35"/>
      <c r="R318" s="35"/>
      <c r="S318" s="35"/>
      <c r="T318" s="35"/>
      <c r="U318" s="35"/>
      <c r="V318" s="35"/>
      <c r="W318" s="35"/>
      <c r="X318" s="35"/>
      <c r="Y318" s="35"/>
      <c r="Z318" s="35"/>
      <c r="AA318" s="35"/>
      <c r="AB318" s="35"/>
      <c r="AC318" s="35"/>
      <c r="AD318" s="35"/>
      <c r="AE318" s="35"/>
      <c r="AF318" s="35"/>
      <c r="AG318" s="35"/>
      <c r="AH318" s="35"/>
      <c r="AI318" s="35"/>
      <c r="AJ318" s="35"/>
      <c r="AK318" s="35"/>
      <c r="AL318" s="35"/>
      <c r="AM318" s="35"/>
      <c r="AN318" s="35"/>
      <c r="AO318" s="35"/>
      <c r="AP318" s="35"/>
      <c r="AQ318" s="35"/>
      <c r="AR318" s="35"/>
      <c r="AS318" s="35"/>
      <c r="AT318" s="35"/>
      <c r="AU318" s="35"/>
      <c r="AV318" s="35"/>
      <c r="AW318" s="35"/>
      <c r="AX318" s="35"/>
      <c r="AY318" s="35"/>
      <c r="AZ318" s="35"/>
      <c r="BA318" s="35"/>
      <c r="BB318" s="35"/>
      <c r="BC318" s="35"/>
      <c r="BD318" s="35"/>
      <c r="BE318" s="35"/>
      <c r="BF318" s="35"/>
      <c r="BG318" s="35"/>
      <c r="BH318" s="35"/>
      <c r="BI318" s="35"/>
      <c r="BJ318" s="35"/>
      <c r="BK318" s="35"/>
      <c r="BL318" s="35"/>
    </row>
    <row r="319" spans="1:64" ht="14">
      <c r="A319" s="36"/>
      <c r="B319" s="37"/>
      <c r="C319" s="38">
        <f t="shared" si="12"/>
        <v>0</v>
      </c>
      <c r="D319" s="39"/>
      <c r="E319" s="39"/>
      <c r="F319" s="39"/>
      <c r="G319" s="39"/>
      <c r="H319" s="40"/>
      <c r="I319" s="41"/>
      <c r="J319" s="39"/>
      <c r="K319" s="43">
        <f t="shared" si="13"/>
        <v>0</v>
      </c>
      <c r="L319" s="39"/>
      <c r="M319" s="42" t="str">
        <f t="shared" si="14"/>
        <v/>
      </c>
      <c r="N319" s="35"/>
      <c r="O319" s="35"/>
      <c r="P319" s="35"/>
      <c r="Q319" s="35"/>
      <c r="R319" s="35"/>
      <c r="S319" s="35"/>
      <c r="T319" s="35"/>
      <c r="U319" s="35"/>
      <c r="V319" s="35"/>
      <c r="W319" s="35"/>
      <c r="X319" s="35"/>
      <c r="Y319" s="35"/>
      <c r="Z319" s="35"/>
      <c r="AA319" s="35"/>
      <c r="AB319" s="35"/>
      <c r="AC319" s="35"/>
      <c r="AD319" s="35"/>
      <c r="AE319" s="35"/>
      <c r="AF319" s="35"/>
      <c r="AG319" s="35"/>
      <c r="AH319" s="35"/>
      <c r="AI319" s="35"/>
      <c r="AJ319" s="35"/>
      <c r="AK319" s="35"/>
      <c r="AL319" s="35"/>
      <c r="AM319" s="35"/>
      <c r="AN319" s="35"/>
      <c r="AO319" s="35"/>
      <c r="AP319" s="35"/>
      <c r="AQ319" s="35"/>
      <c r="AR319" s="35"/>
      <c r="AS319" s="35"/>
      <c r="AT319" s="35"/>
      <c r="AU319" s="35"/>
      <c r="AV319" s="35"/>
      <c r="AW319" s="35"/>
      <c r="AX319" s="35"/>
      <c r="AY319" s="35"/>
      <c r="AZ319" s="35"/>
      <c r="BA319" s="35"/>
      <c r="BB319" s="35"/>
      <c r="BC319" s="35"/>
      <c r="BD319" s="35"/>
      <c r="BE319" s="35"/>
      <c r="BF319" s="35"/>
      <c r="BG319" s="35"/>
      <c r="BH319" s="35"/>
      <c r="BI319" s="35"/>
      <c r="BJ319" s="35"/>
      <c r="BK319" s="35"/>
      <c r="BL319" s="35"/>
    </row>
    <row r="320" spans="1:64" ht="14">
      <c r="A320" s="36"/>
      <c r="B320" s="37"/>
      <c r="C320" s="38">
        <f t="shared" si="12"/>
        <v>0</v>
      </c>
      <c r="D320" s="39"/>
      <c r="E320" s="39"/>
      <c r="F320" s="39"/>
      <c r="G320" s="39"/>
      <c r="H320" s="40"/>
      <c r="I320" s="41"/>
      <c r="J320" s="39"/>
      <c r="K320" s="43">
        <f t="shared" si="13"/>
        <v>0</v>
      </c>
      <c r="L320" s="39"/>
      <c r="M320" s="42" t="str">
        <f t="shared" si="14"/>
        <v/>
      </c>
      <c r="N320" s="35"/>
      <c r="O320" s="35"/>
      <c r="P320" s="35"/>
      <c r="Q320" s="35"/>
      <c r="R320" s="35"/>
      <c r="S320" s="35"/>
      <c r="T320" s="35"/>
      <c r="U320" s="35"/>
      <c r="V320" s="35"/>
      <c r="W320" s="35"/>
      <c r="X320" s="35"/>
      <c r="Y320" s="35"/>
      <c r="Z320" s="35"/>
      <c r="AA320" s="35"/>
      <c r="AB320" s="35"/>
      <c r="AC320" s="35"/>
      <c r="AD320" s="35"/>
      <c r="AE320" s="35"/>
      <c r="AF320" s="35"/>
      <c r="AG320" s="35"/>
      <c r="AH320" s="35"/>
      <c r="AI320" s="35"/>
      <c r="AJ320" s="35"/>
      <c r="AK320" s="35"/>
      <c r="AL320" s="35"/>
      <c r="AM320" s="35"/>
      <c r="AN320" s="35"/>
      <c r="AO320" s="35"/>
      <c r="AP320" s="35"/>
      <c r="AQ320" s="35"/>
      <c r="AR320" s="35"/>
      <c r="AS320" s="35"/>
      <c r="AT320" s="35"/>
      <c r="AU320" s="35"/>
      <c r="AV320" s="35"/>
      <c r="AW320" s="35"/>
      <c r="AX320" s="35"/>
      <c r="AY320" s="35"/>
      <c r="AZ320" s="35"/>
      <c r="BA320" s="35"/>
      <c r="BB320" s="35"/>
      <c r="BC320" s="35"/>
      <c r="BD320" s="35"/>
      <c r="BE320" s="35"/>
      <c r="BF320" s="35"/>
      <c r="BG320" s="35"/>
      <c r="BH320" s="35"/>
      <c r="BI320" s="35"/>
      <c r="BJ320" s="35"/>
      <c r="BK320" s="35"/>
      <c r="BL320" s="35"/>
    </row>
    <row r="321" spans="1:64" ht="14">
      <c r="A321" s="36"/>
      <c r="B321" s="37"/>
      <c r="C321" s="38">
        <f t="shared" si="12"/>
        <v>0</v>
      </c>
      <c r="D321" s="39"/>
      <c r="E321" s="39"/>
      <c r="F321" s="39"/>
      <c r="G321" s="39"/>
      <c r="H321" s="40"/>
      <c r="I321" s="41"/>
      <c r="J321" s="39"/>
      <c r="K321" s="43">
        <f t="shared" si="13"/>
        <v>0</v>
      </c>
      <c r="L321" s="39"/>
      <c r="M321" s="42" t="str">
        <f t="shared" si="14"/>
        <v/>
      </c>
      <c r="N321" s="35"/>
      <c r="O321" s="35"/>
      <c r="P321" s="35"/>
      <c r="Q321" s="35"/>
      <c r="R321" s="35"/>
      <c r="S321" s="35"/>
      <c r="T321" s="35"/>
      <c r="U321" s="35"/>
      <c r="V321" s="35"/>
      <c r="W321" s="35"/>
      <c r="X321" s="35"/>
      <c r="Y321" s="35"/>
      <c r="Z321" s="35"/>
      <c r="AA321" s="35"/>
      <c r="AB321" s="35"/>
      <c r="AC321" s="35"/>
      <c r="AD321" s="35"/>
      <c r="AE321" s="35"/>
      <c r="AF321" s="35"/>
      <c r="AG321" s="35"/>
      <c r="AH321" s="35"/>
      <c r="AI321" s="35"/>
      <c r="AJ321" s="35"/>
      <c r="AK321" s="35"/>
      <c r="AL321" s="35"/>
      <c r="AM321" s="35"/>
      <c r="AN321" s="35"/>
      <c r="AO321" s="35"/>
      <c r="AP321" s="35"/>
      <c r="AQ321" s="35"/>
      <c r="AR321" s="35"/>
      <c r="AS321" s="35"/>
      <c r="AT321" s="35"/>
      <c r="AU321" s="35"/>
      <c r="AV321" s="35"/>
      <c r="AW321" s="35"/>
      <c r="AX321" s="35"/>
      <c r="AY321" s="35"/>
      <c r="AZ321" s="35"/>
      <c r="BA321" s="35"/>
      <c r="BB321" s="35"/>
      <c r="BC321" s="35"/>
      <c r="BD321" s="35"/>
      <c r="BE321" s="35"/>
      <c r="BF321" s="35"/>
      <c r="BG321" s="35"/>
      <c r="BH321" s="35"/>
      <c r="BI321" s="35"/>
      <c r="BJ321" s="35"/>
      <c r="BK321" s="35"/>
      <c r="BL321" s="35"/>
    </row>
    <row r="322" spans="1:64" ht="14">
      <c r="A322" s="36"/>
      <c r="B322" s="37"/>
      <c r="C322" s="38">
        <f t="shared" si="12"/>
        <v>0</v>
      </c>
      <c r="D322" s="39"/>
      <c r="E322" s="39"/>
      <c r="F322" s="39"/>
      <c r="G322" s="39"/>
      <c r="H322" s="40"/>
      <c r="I322" s="41"/>
      <c r="J322" s="39"/>
      <c r="K322" s="43">
        <f t="shared" si="13"/>
        <v>0</v>
      </c>
      <c r="L322" s="39"/>
      <c r="M322" s="42" t="str">
        <f t="shared" si="14"/>
        <v/>
      </c>
      <c r="N322" s="35"/>
      <c r="O322" s="35"/>
      <c r="P322" s="35"/>
      <c r="Q322" s="35"/>
      <c r="R322" s="35"/>
      <c r="S322" s="35"/>
      <c r="T322" s="35"/>
      <c r="U322" s="35"/>
      <c r="V322" s="35"/>
      <c r="W322" s="35"/>
      <c r="X322" s="35"/>
      <c r="Y322" s="35"/>
      <c r="Z322" s="35"/>
      <c r="AA322" s="35"/>
      <c r="AB322" s="35"/>
      <c r="AC322" s="35"/>
      <c r="AD322" s="35"/>
      <c r="AE322" s="35"/>
      <c r="AF322" s="35"/>
      <c r="AG322" s="35"/>
      <c r="AH322" s="35"/>
      <c r="AI322" s="35"/>
      <c r="AJ322" s="35"/>
      <c r="AK322" s="35"/>
      <c r="AL322" s="35"/>
      <c r="AM322" s="35"/>
      <c r="AN322" s="35"/>
      <c r="AO322" s="35"/>
      <c r="AP322" s="35"/>
      <c r="AQ322" s="35"/>
      <c r="AR322" s="35"/>
      <c r="AS322" s="35"/>
      <c r="AT322" s="35"/>
      <c r="AU322" s="35"/>
      <c r="AV322" s="35"/>
      <c r="AW322" s="35"/>
      <c r="AX322" s="35"/>
      <c r="AY322" s="35"/>
      <c r="AZ322" s="35"/>
      <c r="BA322" s="35"/>
      <c r="BB322" s="35"/>
      <c r="BC322" s="35"/>
      <c r="BD322" s="35"/>
      <c r="BE322" s="35"/>
      <c r="BF322" s="35"/>
      <c r="BG322" s="35"/>
      <c r="BH322" s="35"/>
      <c r="BI322" s="35"/>
      <c r="BJ322" s="35"/>
      <c r="BK322" s="35"/>
      <c r="BL322" s="35"/>
    </row>
    <row r="323" spans="1:64" ht="14">
      <c r="A323" s="36"/>
      <c r="B323" s="37"/>
      <c r="C323" s="38">
        <f t="shared" si="12"/>
        <v>0</v>
      </c>
      <c r="D323" s="39"/>
      <c r="E323" s="39"/>
      <c r="F323" s="39"/>
      <c r="G323" s="39"/>
      <c r="H323" s="40"/>
      <c r="I323" s="41"/>
      <c r="J323" s="39"/>
      <c r="K323" s="43">
        <f t="shared" si="13"/>
        <v>0</v>
      </c>
      <c r="L323" s="39"/>
      <c r="M323" s="42" t="str">
        <f t="shared" si="14"/>
        <v/>
      </c>
      <c r="N323" s="35"/>
      <c r="O323" s="35"/>
      <c r="P323" s="35"/>
      <c r="Q323" s="35"/>
      <c r="R323" s="35"/>
      <c r="S323" s="35"/>
      <c r="T323" s="35"/>
      <c r="U323" s="35"/>
      <c r="V323" s="35"/>
      <c r="W323" s="35"/>
      <c r="X323" s="35"/>
      <c r="Y323" s="35"/>
      <c r="Z323" s="35"/>
      <c r="AA323" s="35"/>
      <c r="AB323" s="35"/>
      <c r="AC323" s="35"/>
      <c r="AD323" s="35"/>
      <c r="AE323" s="35"/>
      <c r="AF323" s="35"/>
      <c r="AG323" s="35"/>
      <c r="AH323" s="35"/>
      <c r="AI323" s="35"/>
      <c r="AJ323" s="35"/>
      <c r="AK323" s="35"/>
      <c r="AL323" s="35"/>
      <c r="AM323" s="35"/>
      <c r="AN323" s="35"/>
      <c r="AO323" s="35"/>
      <c r="AP323" s="35"/>
      <c r="AQ323" s="35"/>
      <c r="AR323" s="35"/>
      <c r="AS323" s="35"/>
      <c r="AT323" s="35"/>
      <c r="AU323" s="35"/>
      <c r="AV323" s="35"/>
      <c r="AW323" s="35"/>
      <c r="AX323" s="35"/>
      <c r="AY323" s="35"/>
      <c r="AZ323" s="35"/>
      <c r="BA323" s="35"/>
      <c r="BB323" s="35"/>
      <c r="BC323" s="35"/>
      <c r="BD323" s="35"/>
      <c r="BE323" s="35"/>
      <c r="BF323" s="35"/>
      <c r="BG323" s="35"/>
      <c r="BH323" s="35"/>
      <c r="BI323" s="35"/>
      <c r="BJ323" s="35"/>
      <c r="BK323" s="35"/>
      <c r="BL323" s="35"/>
    </row>
    <row r="324" spans="1:64" ht="14">
      <c r="A324" s="36"/>
      <c r="B324" s="37"/>
      <c r="C324" s="38">
        <f t="shared" si="12"/>
        <v>0</v>
      </c>
      <c r="D324" s="39"/>
      <c r="E324" s="39"/>
      <c r="F324" s="39"/>
      <c r="G324" s="39"/>
      <c r="H324" s="40"/>
      <c r="I324" s="41"/>
      <c r="J324" s="39"/>
      <c r="K324" s="43">
        <f t="shared" si="13"/>
        <v>0</v>
      </c>
      <c r="L324" s="39"/>
      <c r="M324" s="42" t="str">
        <f t="shared" si="14"/>
        <v/>
      </c>
      <c r="N324" s="35"/>
      <c r="O324" s="35"/>
      <c r="P324" s="35"/>
      <c r="Q324" s="35"/>
      <c r="R324" s="35"/>
      <c r="S324" s="35"/>
      <c r="T324" s="35"/>
      <c r="U324" s="35"/>
      <c r="V324" s="35"/>
      <c r="W324" s="35"/>
      <c r="X324" s="35"/>
      <c r="Y324" s="35"/>
      <c r="Z324" s="35"/>
      <c r="AA324" s="35"/>
      <c r="AB324" s="35"/>
      <c r="AC324" s="35"/>
      <c r="AD324" s="35"/>
      <c r="AE324" s="35"/>
      <c r="AF324" s="35"/>
      <c r="AG324" s="35"/>
      <c r="AH324" s="35"/>
      <c r="AI324" s="35"/>
      <c r="AJ324" s="35"/>
      <c r="AK324" s="35"/>
      <c r="AL324" s="35"/>
      <c r="AM324" s="35"/>
      <c r="AN324" s="35"/>
      <c r="AO324" s="35"/>
      <c r="AP324" s="35"/>
      <c r="AQ324" s="35"/>
      <c r="AR324" s="35"/>
      <c r="AS324" s="35"/>
      <c r="AT324" s="35"/>
      <c r="AU324" s="35"/>
      <c r="AV324" s="35"/>
      <c r="AW324" s="35"/>
      <c r="AX324" s="35"/>
      <c r="AY324" s="35"/>
      <c r="AZ324" s="35"/>
      <c r="BA324" s="35"/>
      <c r="BB324" s="35"/>
      <c r="BC324" s="35"/>
      <c r="BD324" s="35"/>
      <c r="BE324" s="35"/>
      <c r="BF324" s="35"/>
      <c r="BG324" s="35"/>
      <c r="BH324" s="35"/>
      <c r="BI324" s="35"/>
      <c r="BJ324" s="35"/>
      <c r="BK324" s="35"/>
      <c r="BL324" s="35"/>
    </row>
    <row r="325" spans="1:64" ht="14">
      <c r="A325" s="36"/>
      <c r="B325" s="37"/>
      <c r="C325" s="38">
        <f t="shared" si="12"/>
        <v>0</v>
      </c>
      <c r="D325" s="39"/>
      <c r="E325" s="39"/>
      <c r="F325" s="39"/>
      <c r="G325" s="39"/>
      <c r="H325" s="40"/>
      <c r="I325" s="41"/>
      <c r="J325" s="39"/>
      <c r="K325" s="43">
        <f t="shared" si="13"/>
        <v>0</v>
      </c>
      <c r="L325" s="39"/>
      <c r="M325" s="42" t="str">
        <f t="shared" si="14"/>
        <v/>
      </c>
      <c r="N325" s="35"/>
      <c r="O325" s="35"/>
      <c r="P325" s="35"/>
      <c r="Q325" s="35"/>
      <c r="R325" s="35"/>
      <c r="S325" s="35"/>
      <c r="T325" s="35"/>
      <c r="U325" s="35"/>
      <c r="V325" s="35"/>
      <c r="W325" s="35"/>
      <c r="X325" s="35"/>
      <c r="Y325" s="35"/>
      <c r="Z325" s="35"/>
      <c r="AA325" s="35"/>
      <c r="AB325" s="35"/>
      <c r="AC325" s="35"/>
      <c r="AD325" s="35"/>
      <c r="AE325" s="35"/>
      <c r="AF325" s="35"/>
      <c r="AG325" s="35"/>
      <c r="AH325" s="35"/>
      <c r="AI325" s="35"/>
      <c r="AJ325" s="35"/>
      <c r="AK325" s="35"/>
      <c r="AL325" s="35"/>
      <c r="AM325" s="35"/>
      <c r="AN325" s="35"/>
      <c r="AO325" s="35"/>
      <c r="AP325" s="35"/>
      <c r="AQ325" s="35"/>
      <c r="AR325" s="35"/>
      <c r="AS325" s="35"/>
      <c r="AT325" s="35"/>
      <c r="AU325" s="35"/>
      <c r="AV325" s="35"/>
      <c r="AW325" s="35"/>
      <c r="AX325" s="35"/>
      <c r="AY325" s="35"/>
      <c r="AZ325" s="35"/>
      <c r="BA325" s="35"/>
      <c r="BB325" s="35"/>
      <c r="BC325" s="35"/>
      <c r="BD325" s="35"/>
      <c r="BE325" s="35"/>
      <c r="BF325" s="35"/>
      <c r="BG325" s="35"/>
      <c r="BH325" s="35"/>
      <c r="BI325" s="35"/>
      <c r="BJ325" s="35"/>
      <c r="BK325" s="35"/>
      <c r="BL325" s="35"/>
    </row>
    <row r="326" spans="1:64" ht="14">
      <c r="A326" s="36"/>
      <c r="B326" s="37"/>
      <c r="C326" s="38">
        <f t="shared" si="12"/>
        <v>0</v>
      </c>
      <c r="D326" s="39"/>
      <c r="E326" s="39"/>
      <c r="F326" s="39"/>
      <c r="G326" s="39"/>
      <c r="H326" s="40"/>
      <c r="I326" s="41"/>
      <c r="J326" s="39"/>
      <c r="K326" s="43">
        <f t="shared" si="13"/>
        <v>0</v>
      </c>
      <c r="L326" s="39"/>
      <c r="M326" s="42" t="str">
        <f t="shared" si="14"/>
        <v/>
      </c>
      <c r="N326" s="35"/>
      <c r="O326" s="35"/>
      <c r="P326" s="35"/>
      <c r="Q326" s="35"/>
      <c r="R326" s="35"/>
      <c r="S326" s="35"/>
      <c r="T326" s="35"/>
      <c r="U326" s="35"/>
      <c r="V326" s="35"/>
      <c r="W326" s="35"/>
      <c r="X326" s="35"/>
      <c r="Y326" s="35"/>
      <c r="Z326" s="35"/>
      <c r="AA326" s="35"/>
      <c r="AB326" s="35"/>
      <c r="AC326" s="35"/>
      <c r="AD326" s="35"/>
      <c r="AE326" s="35"/>
      <c r="AF326" s="35"/>
      <c r="AG326" s="35"/>
      <c r="AH326" s="35"/>
      <c r="AI326" s="35"/>
      <c r="AJ326" s="35"/>
      <c r="AK326" s="35"/>
      <c r="AL326" s="35"/>
      <c r="AM326" s="35"/>
      <c r="AN326" s="35"/>
      <c r="AO326" s="35"/>
      <c r="AP326" s="35"/>
      <c r="AQ326" s="35"/>
      <c r="AR326" s="35"/>
      <c r="AS326" s="35"/>
      <c r="AT326" s="35"/>
      <c r="AU326" s="35"/>
      <c r="AV326" s="35"/>
      <c r="AW326" s="35"/>
      <c r="AX326" s="35"/>
      <c r="AY326" s="35"/>
      <c r="AZ326" s="35"/>
      <c r="BA326" s="35"/>
      <c r="BB326" s="35"/>
      <c r="BC326" s="35"/>
      <c r="BD326" s="35"/>
      <c r="BE326" s="35"/>
      <c r="BF326" s="35"/>
      <c r="BG326" s="35"/>
      <c r="BH326" s="35"/>
      <c r="BI326" s="35"/>
      <c r="BJ326" s="35"/>
      <c r="BK326" s="35"/>
      <c r="BL326" s="35"/>
    </row>
    <row r="327" spans="1:64" ht="14">
      <c r="A327" s="36"/>
      <c r="B327" s="37"/>
      <c r="C327" s="38">
        <f t="shared" si="12"/>
        <v>0</v>
      </c>
      <c r="D327" s="39"/>
      <c r="E327" s="39"/>
      <c r="F327" s="39"/>
      <c r="G327" s="39"/>
      <c r="H327" s="40"/>
      <c r="I327" s="41"/>
      <c r="J327" s="39"/>
      <c r="K327" s="43">
        <f t="shared" si="13"/>
        <v>0</v>
      </c>
      <c r="L327" s="39"/>
      <c r="M327" s="42" t="str">
        <f t="shared" si="14"/>
        <v/>
      </c>
      <c r="N327" s="35"/>
      <c r="O327" s="35"/>
      <c r="P327" s="35"/>
      <c r="Q327" s="35"/>
      <c r="R327" s="35"/>
      <c r="S327" s="35"/>
      <c r="T327" s="35"/>
      <c r="U327" s="35"/>
      <c r="V327" s="35"/>
      <c r="W327" s="35"/>
      <c r="X327" s="35"/>
      <c r="Y327" s="35"/>
      <c r="Z327" s="35"/>
      <c r="AA327" s="35"/>
      <c r="AB327" s="35"/>
      <c r="AC327" s="35"/>
      <c r="AD327" s="35"/>
      <c r="AE327" s="35"/>
      <c r="AF327" s="35"/>
      <c r="AG327" s="35"/>
      <c r="AH327" s="35"/>
      <c r="AI327" s="35"/>
      <c r="AJ327" s="35"/>
      <c r="AK327" s="35"/>
      <c r="AL327" s="35"/>
      <c r="AM327" s="35"/>
      <c r="AN327" s="35"/>
      <c r="AO327" s="35"/>
      <c r="AP327" s="35"/>
      <c r="AQ327" s="35"/>
      <c r="AR327" s="35"/>
      <c r="AS327" s="35"/>
      <c r="AT327" s="35"/>
      <c r="AU327" s="35"/>
      <c r="AV327" s="35"/>
      <c r="AW327" s="35"/>
      <c r="AX327" s="35"/>
      <c r="AY327" s="35"/>
      <c r="AZ327" s="35"/>
      <c r="BA327" s="35"/>
      <c r="BB327" s="35"/>
      <c r="BC327" s="35"/>
      <c r="BD327" s="35"/>
      <c r="BE327" s="35"/>
      <c r="BF327" s="35"/>
      <c r="BG327" s="35"/>
      <c r="BH327" s="35"/>
      <c r="BI327" s="35"/>
      <c r="BJ327" s="35"/>
      <c r="BK327" s="35"/>
      <c r="BL327" s="35"/>
    </row>
    <row r="328" spans="1:64" ht="14">
      <c r="A328" s="36"/>
      <c r="B328" s="37"/>
      <c r="C328" s="38">
        <f t="shared" si="12"/>
        <v>0</v>
      </c>
      <c r="D328" s="39"/>
      <c r="E328" s="39"/>
      <c r="F328" s="39"/>
      <c r="G328" s="39"/>
      <c r="H328" s="40"/>
      <c r="I328" s="41"/>
      <c r="J328" s="39"/>
      <c r="K328" s="43">
        <f t="shared" si="13"/>
        <v>0</v>
      </c>
      <c r="L328" s="39"/>
      <c r="M328" s="42" t="str">
        <f t="shared" si="14"/>
        <v/>
      </c>
      <c r="N328" s="35"/>
      <c r="O328" s="35"/>
      <c r="P328" s="35"/>
      <c r="Q328" s="35"/>
      <c r="R328" s="35"/>
      <c r="S328" s="35"/>
      <c r="T328" s="35"/>
      <c r="U328" s="35"/>
      <c r="V328" s="35"/>
      <c r="W328" s="35"/>
      <c r="X328" s="35"/>
      <c r="Y328" s="35"/>
      <c r="Z328" s="35"/>
      <c r="AA328" s="35"/>
      <c r="AB328" s="35"/>
      <c r="AC328" s="35"/>
      <c r="AD328" s="35"/>
      <c r="AE328" s="35"/>
      <c r="AF328" s="35"/>
      <c r="AG328" s="35"/>
      <c r="AH328" s="35"/>
      <c r="AI328" s="35"/>
      <c r="AJ328" s="35"/>
      <c r="AK328" s="35"/>
      <c r="AL328" s="35"/>
      <c r="AM328" s="35"/>
      <c r="AN328" s="35"/>
      <c r="AO328" s="35"/>
      <c r="AP328" s="35"/>
      <c r="AQ328" s="35"/>
      <c r="AR328" s="35"/>
      <c r="AS328" s="35"/>
      <c r="AT328" s="35"/>
      <c r="AU328" s="35"/>
      <c r="AV328" s="35"/>
      <c r="AW328" s="35"/>
      <c r="AX328" s="35"/>
      <c r="AY328" s="35"/>
      <c r="AZ328" s="35"/>
      <c r="BA328" s="35"/>
      <c r="BB328" s="35"/>
      <c r="BC328" s="35"/>
      <c r="BD328" s="35"/>
      <c r="BE328" s="35"/>
      <c r="BF328" s="35"/>
      <c r="BG328" s="35"/>
      <c r="BH328" s="35"/>
      <c r="BI328" s="35"/>
      <c r="BJ328" s="35"/>
      <c r="BK328" s="35"/>
      <c r="BL328" s="35"/>
    </row>
    <row r="329" spans="1:64" ht="14">
      <c r="A329" s="36"/>
      <c r="B329" s="37"/>
      <c r="C329" s="38">
        <f t="shared" si="12"/>
        <v>0</v>
      </c>
      <c r="D329" s="39"/>
      <c r="E329" s="39"/>
      <c r="F329" s="39"/>
      <c r="G329" s="39"/>
      <c r="H329" s="40"/>
      <c r="I329" s="41"/>
      <c r="J329" s="39"/>
      <c r="K329" s="43">
        <f t="shared" si="13"/>
        <v>0</v>
      </c>
      <c r="L329" s="39"/>
      <c r="M329" s="42" t="str">
        <f t="shared" si="14"/>
        <v/>
      </c>
      <c r="N329" s="35"/>
      <c r="O329" s="35"/>
      <c r="P329" s="35"/>
      <c r="Q329" s="35"/>
      <c r="R329" s="35"/>
      <c r="S329" s="35"/>
      <c r="T329" s="35"/>
      <c r="U329" s="35"/>
      <c r="V329" s="35"/>
      <c r="W329" s="35"/>
      <c r="X329" s="35"/>
      <c r="Y329" s="35"/>
      <c r="Z329" s="35"/>
      <c r="AA329" s="35"/>
      <c r="AB329" s="35"/>
      <c r="AC329" s="35"/>
      <c r="AD329" s="35"/>
      <c r="AE329" s="35"/>
      <c r="AF329" s="35"/>
      <c r="AG329" s="35"/>
      <c r="AH329" s="35"/>
      <c r="AI329" s="35"/>
      <c r="AJ329" s="35"/>
      <c r="AK329" s="35"/>
      <c r="AL329" s="35"/>
      <c r="AM329" s="35"/>
      <c r="AN329" s="35"/>
      <c r="AO329" s="35"/>
      <c r="AP329" s="35"/>
      <c r="AQ329" s="35"/>
      <c r="AR329" s="35"/>
      <c r="AS329" s="35"/>
      <c r="AT329" s="35"/>
      <c r="AU329" s="35"/>
      <c r="AV329" s="35"/>
      <c r="AW329" s="35"/>
      <c r="AX329" s="35"/>
      <c r="AY329" s="35"/>
      <c r="AZ329" s="35"/>
      <c r="BA329" s="35"/>
      <c r="BB329" s="35"/>
      <c r="BC329" s="35"/>
      <c r="BD329" s="35"/>
      <c r="BE329" s="35"/>
      <c r="BF329" s="35"/>
      <c r="BG329" s="35"/>
      <c r="BH329" s="35"/>
      <c r="BI329" s="35"/>
      <c r="BJ329" s="35"/>
      <c r="BK329" s="35"/>
      <c r="BL329" s="35"/>
    </row>
    <row r="330" spans="1:64" ht="14">
      <c r="A330" s="36"/>
      <c r="B330" s="37"/>
      <c r="C330" s="38">
        <f t="shared" ref="C330:C382" si="15">IF($B330&lt;&gt;"",VLOOKUP($B330,Matriz_INM,2,0),0)</f>
        <v>0</v>
      </c>
      <c r="D330" s="39"/>
      <c r="E330" s="39"/>
      <c r="F330" s="39"/>
      <c r="G330" s="39"/>
      <c r="H330" s="40"/>
      <c r="I330" s="41"/>
      <c r="J330" s="39"/>
      <c r="K330" s="43">
        <f t="shared" ref="K330:K382" si="16">IF(M330="%",(IF($J330="EE",4,IF($J330="CE",4,IF($J330="SE",5,IF($J330="ALI",7,IF($J330="AIE",5,0))))))*$C330,$C330*$I330)</f>
        <v>0</v>
      </c>
      <c r="L330" s="39"/>
      <c r="M330" s="42" t="str">
        <f t="shared" ref="M330:M382" si="17">IFERROR(VLOOKUP($B330,Matriz_INM,3,0),"")</f>
        <v/>
      </c>
      <c r="N330" s="35"/>
      <c r="O330" s="35"/>
      <c r="P330" s="35"/>
      <c r="Q330" s="35"/>
      <c r="R330" s="35"/>
      <c r="S330" s="35"/>
      <c r="T330" s="35"/>
      <c r="U330" s="35"/>
      <c r="V330" s="35"/>
      <c r="W330" s="35"/>
      <c r="X330" s="35"/>
      <c r="Y330" s="35"/>
      <c r="Z330" s="35"/>
      <c r="AA330" s="35"/>
      <c r="AB330" s="35"/>
      <c r="AC330" s="35"/>
      <c r="AD330" s="35"/>
      <c r="AE330" s="35"/>
      <c r="AF330" s="35"/>
      <c r="AG330" s="35"/>
      <c r="AH330" s="35"/>
      <c r="AI330" s="35"/>
      <c r="AJ330" s="35"/>
      <c r="AK330" s="35"/>
      <c r="AL330" s="35"/>
      <c r="AM330" s="35"/>
      <c r="AN330" s="35"/>
      <c r="AO330" s="35"/>
      <c r="AP330" s="35"/>
      <c r="AQ330" s="35"/>
      <c r="AR330" s="35"/>
      <c r="AS330" s="35"/>
      <c r="AT330" s="35"/>
      <c r="AU330" s="35"/>
      <c r="AV330" s="35"/>
      <c r="AW330" s="35"/>
      <c r="AX330" s="35"/>
      <c r="AY330" s="35"/>
      <c r="AZ330" s="35"/>
      <c r="BA330" s="35"/>
      <c r="BB330" s="35"/>
      <c r="BC330" s="35"/>
      <c r="BD330" s="35"/>
      <c r="BE330" s="35"/>
      <c r="BF330" s="35"/>
      <c r="BG330" s="35"/>
      <c r="BH330" s="35"/>
      <c r="BI330" s="35"/>
      <c r="BJ330" s="35"/>
      <c r="BK330" s="35"/>
      <c r="BL330" s="35"/>
    </row>
    <row r="331" spans="1:64" ht="14">
      <c r="A331" s="36"/>
      <c r="B331" s="37"/>
      <c r="C331" s="38">
        <f t="shared" si="15"/>
        <v>0</v>
      </c>
      <c r="D331" s="39"/>
      <c r="E331" s="39"/>
      <c r="F331" s="39"/>
      <c r="G331" s="39"/>
      <c r="H331" s="40"/>
      <c r="I331" s="41"/>
      <c r="J331" s="39"/>
      <c r="K331" s="43">
        <f t="shared" si="16"/>
        <v>0</v>
      </c>
      <c r="L331" s="39"/>
      <c r="M331" s="42" t="str">
        <f t="shared" si="17"/>
        <v/>
      </c>
      <c r="N331" s="35"/>
      <c r="O331" s="35"/>
      <c r="P331" s="35"/>
      <c r="Q331" s="35"/>
      <c r="R331" s="35"/>
      <c r="S331" s="35"/>
      <c r="T331" s="35"/>
      <c r="U331" s="35"/>
      <c r="V331" s="35"/>
      <c r="W331" s="35"/>
      <c r="X331" s="35"/>
      <c r="Y331" s="35"/>
      <c r="Z331" s="35"/>
      <c r="AA331" s="35"/>
      <c r="AB331" s="35"/>
      <c r="AC331" s="35"/>
      <c r="AD331" s="35"/>
      <c r="AE331" s="35"/>
      <c r="AF331" s="35"/>
      <c r="AG331" s="35"/>
      <c r="AH331" s="35"/>
      <c r="AI331" s="35"/>
      <c r="AJ331" s="35"/>
      <c r="AK331" s="35"/>
      <c r="AL331" s="35"/>
      <c r="AM331" s="35"/>
      <c r="AN331" s="35"/>
      <c r="AO331" s="35"/>
      <c r="AP331" s="35"/>
      <c r="AQ331" s="35"/>
      <c r="AR331" s="35"/>
      <c r="AS331" s="35"/>
      <c r="AT331" s="35"/>
      <c r="AU331" s="35"/>
      <c r="AV331" s="35"/>
      <c r="AW331" s="35"/>
      <c r="AX331" s="35"/>
      <c r="AY331" s="35"/>
      <c r="AZ331" s="35"/>
      <c r="BA331" s="35"/>
      <c r="BB331" s="35"/>
      <c r="BC331" s="35"/>
      <c r="BD331" s="35"/>
      <c r="BE331" s="35"/>
      <c r="BF331" s="35"/>
      <c r="BG331" s="35"/>
      <c r="BH331" s="35"/>
      <c r="BI331" s="35"/>
      <c r="BJ331" s="35"/>
      <c r="BK331" s="35"/>
      <c r="BL331" s="35"/>
    </row>
    <row r="332" spans="1:64" ht="14">
      <c r="A332" s="36"/>
      <c r="B332" s="37"/>
      <c r="C332" s="38">
        <f t="shared" si="15"/>
        <v>0</v>
      </c>
      <c r="D332" s="39"/>
      <c r="E332" s="39"/>
      <c r="F332" s="39"/>
      <c r="G332" s="39"/>
      <c r="H332" s="40"/>
      <c r="I332" s="41"/>
      <c r="J332" s="39"/>
      <c r="K332" s="43">
        <f t="shared" si="16"/>
        <v>0</v>
      </c>
      <c r="L332" s="39"/>
      <c r="M332" s="42" t="str">
        <f t="shared" si="17"/>
        <v/>
      </c>
      <c r="N332" s="35"/>
      <c r="O332" s="35"/>
      <c r="P332" s="35"/>
      <c r="Q332" s="35"/>
      <c r="R332" s="35"/>
      <c r="S332" s="35"/>
      <c r="T332" s="35"/>
      <c r="U332" s="35"/>
      <c r="V332" s="35"/>
      <c r="W332" s="35"/>
      <c r="X332" s="35"/>
      <c r="Y332" s="35"/>
      <c r="Z332" s="35"/>
      <c r="AA332" s="35"/>
      <c r="AB332" s="35"/>
      <c r="AC332" s="35"/>
      <c r="AD332" s="35"/>
      <c r="AE332" s="35"/>
      <c r="AF332" s="35"/>
      <c r="AG332" s="35"/>
      <c r="AH332" s="35"/>
      <c r="AI332" s="35"/>
      <c r="AJ332" s="35"/>
      <c r="AK332" s="35"/>
      <c r="AL332" s="35"/>
      <c r="AM332" s="35"/>
      <c r="AN332" s="35"/>
      <c r="AO332" s="35"/>
      <c r="AP332" s="35"/>
      <c r="AQ332" s="35"/>
      <c r="AR332" s="35"/>
      <c r="AS332" s="35"/>
      <c r="AT332" s="35"/>
      <c r="AU332" s="35"/>
      <c r="AV332" s="35"/>
      <c r="AW332" s="35"/>
      <c r="AX332" s="35"/>
      <c r="AY332" s="35"/>
      <c r="AZ332" s="35"/>
      <c r="BA332" s="35"/>
      <c r="BB332" s="35"/>
      <c r="BC332" s="35"/>
      <c r="BD332" s="35"/>
      <c r="BE332" s="35"/>
      <c r="BF332" s="35"/>
      <c r="BG332" s="35"/>
      <c r="BH332" s="35"/>
      <c r="BI332" s="35"/>
      <c r="BJ332" s="35"/>
      <c r="BK332" s="35"/>
      <c r="BL332" s="35"/>
    </row>
    <row r="333" spans="1:64" ht="14">
      <c r="A333" s="36"/>
      <c r="B333" s="37"/>
      <c r="C333" s="38">
        <f t="shared" si="15"/>
        <v>0</v>
      </c>
      <c r="D333" s="39"/>
      <c r="E333" s="39"/>
      <c r="F333" s="39"/>
      <c r="G333" s="39"/>
      <c r="H333" s="40"/>
      <c r="I333" s="41"/>
      <c r="J333" s="39"/>
      <c r="K333" s="43">
        <f t="shared" si="16"/>
        <v>0</v>
      </c>
      <c r="L333" s="39"/>
      <c r="M333" s="42" t="str">
        <f t="shared" si="17"/>
        <v/>
      </c>
      <c r="N333" s="35"/>
      <c r="O333" s="35"/>
      <c r="P333" s="35"/>
      <c r="Q333" s="35"/>
      <c r="R333" s="35"/>
      <c r="S333" s="35"/>
      <c r="T333" s="35"/>
      <c r="U333" s="35"/>
      <c r="V333" s="35"/>
      <c r="W333" s="35"/>
      <c r="X333" s="35"/>
      <c r="Y333" s="35"/>
      <c r="Z333" s="35"/>
      <c r="AA333" s="35"/>
      <c r="AB333" s="35"/>
      <c r="AC333" s="35"/>
      <c r="AD333" s="35"/>
      <c r="AE333" s="35"/>
      <c r="AF333" s="35"/>
      <c r="AG333" s="35"/>
      <c r="AH333" s="35"/>
      <c r="AI333" s="35"/>
      <c r="AJ333" s="35"/>
      <c r="AK333" s="35"/>
      <c r="AL333" s="35"/>
      <c r="AM333" s="35"/>
      <c r="AN333" s="35"/>
      <c r="AO333" s="35"/>
      <c r="AP333" s="35"/>
      <c r="AQ333" s="35"/>
      <c r="AR333" s="35"/>
      <c r="AS333" s="35"/>
      <c r="AT333" s="35"/>
      <c r="AU333" s="35"/>
      <c r="AV333" s="35"/>
      <c r="AW333" s="35"/>
      <c r="AX333" s="35"/>
      <c r="AY333" s="35"/>
      <c r="AZ333" s="35"/>
      <c r="BA333" s="35"/>
      <c r="BB333" s="35"/>
      <c r="BC333" s="35"/>
      <c r="BD333" s="35"/>
      <c r="BE333" s="35"/>
      <c r="BF333" s="35"/>
      <c r="BG333" s="35"/>
      <c r="BH333" s="35"/>
      <c r="BI333" s="35"/>
      <c r="BJ333" s="35"/>
      <c r="BK333" s="35"/>
      <c r="BL333" s="35"/>
    </row>
    <row r="334" spans="1:64" ht="14">
      <c r="A334" s="36"/>
      <c r="B334" s="37"/>
      <c r="C334" s="38">
        <f t="shared" si="15"/>
        <v>0</v>
      </c>
      <c r="D334" s="39"/>
      <c r="E334" s="39"/>
      <c r="F334" s="39"/>
      <c r="G334" s="39"/>
      <c r="H334" s="40"/>
      <c r="I334" s="41"/>
      <c r="J334" s="39"/>
      <c r="K334" s="43">
        <f t="shared" si="16"/>
        <v>0</v>
      </c>
      <c r="L334" s="39"/>
      <c r="M334" s="42" t="str">
        <f t="shared" si="17"/>
        <v/>
      </c>
      <c r="N334" s="35"/>
      <c r="O334" s="35"/>
      <c r="P334" s="35"/>
      <c r="Q334" s="35"/>
      <c r="R334" s="35"/>
      <c r="S334" s="35"/>
      <c r="T334" s="35"/>
      <c r="U334" s="35"/>
      <c r="V334" s="35"/>
      <c r="W334" s="35"/>
      <c r="X334" s="35"/>
      <c r="Y334" s="35"/>
      <c r="Z334" s="35"/>
      <c r="AA334" s="35"/>
      <c r="AB334" s="35"/>
      <c r="AC334" s="35"/>
      <c r="AD334" s="35"/>
      <c r="AE334" s="35"/>
      <c r="AF334" s="35"/>
      <c r="AG334" s="35"/>
      <c r="AH334" s="35"/>
      <c r="AI334" s="35"/>
      <c r="AJ334" s="35"/>
      <c r="AK334" s="35"/>
      <c r="AL334" s="35"/>
      <c r="AM334" s="35"/>
      <c r="AN334" s="35"/>
      <c r="AO334" s="35"/>
      <c r="AP334" s="35"/>
      <c r="AQ334" s="35"/>
      <c r="AR334" s="35"/>
      <c r="AS334" s="35"/>
      <c r="AT334" s="35"/>
      <c r="AU334" s="35"/>
      <c r="AV334" s="35"/>
      <c r="AW334" s="35"/>
      <c r="AX334" s="35"/>
      <c r="AY334" s="35"/>
      <c r="AZ334" s="35"/>
      <c r="BA334" s="35"/>
      <c r="BB334" s="35"/>
      <c r="BC334" s="35"/>
      <c r="BD334" s="35"/>
      <c r="BE334" s="35"/>
      <c r="BF334" s="35"/>
      <c r="BG334" s="35"/>
      <c r="BH334" s="35"/>
      <c r="BI334" s="35"/>
      <c r="BJ334" s="35"/>
      <c r="BK334" s="35"/>
      <c r="BL334" s="35"/>
    </row>
    <row r="335" spans="1:64" ht="14">
      <c r="A335" s="36"/>
      <c r="B335" s="37"/>
      <c r="C335" s="38">
        <f t="shared" si="15"/>
        <v>0</v>
      </c>
      <c r="D335" s="39"/>
      <c r="E335" s="39"/>
      <c r="F335" s="39"/>
      <c r="G335" s="39"/>
      <c r="H335" s="40"/>
      <c r="I335" s="41"/>
      <c r="J335" s="39"/>
      <c r="K335" s="43">
        <f t="shared" si="16"/>
        <v>0</v>
      </c>
      <c r="L335" s="39"/>
      <c r="M335" s="42" t="str">
        <f t="shared" si="17"/>
        <v/>
      </c>
      <c r="N335" s="35"/>
      <c r="O335" s="35"/>
      <c r="P335" s="35"/>
      <c r="Q335" s="35"/>
      <c r="R335" s="35"/>
      <c r="S335" s="35"/>
      <c r="T335" s="35"/>
      <c r="U335" s="35"/>
      <c r="V335" s="35"/>
      <c r="W335" s="35"/>
      <c r="X335" s="35"/>
      <c r="Y335" s="35"/>
      <c r="Z335" s="35"/>
      <c r="AA335" s="35"/>
      <c r="AB335" s="35"/>
      <c r="AC335" s="35"/>
      <c r="AD335" s="35"/>
      <c r="AE335" s="35"/>
      <c r="AF335" s="35"/>
      <c r="AG335" s="35"/>
      <c r="AH335" s="35"/>
      <c r="AI335" s="35"/>
      <c r="AJ335" s="35"/>
      <c r="AK335" s="35"/>
      <c r="AL335" s="35"/>
      <c r="AM335" s="35"/>
      <c r="AN335" s="35"/>
      <c r="AO335" s="35"/>
      <c r="AP335" s="35"/>
      <c r="AQ335" s="35"/>
      <c r="AR335" s="35"/>
      <c r="AS335" s="35"/>
      <c r="AT335" s="35"/>
      <c r="AU335" s="35"/>
      <c r="AV335" s="35"/>
      <c r="AW335" s="35"/>
      <c r="AX335" s="35"/>
      <c r="AY335" s="35"/>
      <c r="AZ335" s="35"/>
      <c r="BA335" s="35"/>
      <c r="BB335" s="35"/>
      <c r="BC335" s="35"/>
      <c r="BD335" s="35"/>
      <c r="BE335" s="35"/>
      <c r="BF335" s="35"/>
      <c r="BG335" s="35"/>
      <c r="BH335" s="35"/>
      <c r="BI335" s="35"/>
      <c r="BJ335" s="35"/>
      <c r="BK335" s="35"/>
      <c r="BL335" s="35"/>
    </row>
    <row r="336" spans="1:64" ht="14">
      <c r="A336" s="36"/>
      <c r="B336" s="37"/>
      <c r="C336" s="38">
        <f t="shared" si="15"/>
        <v>0</v>
      </c>
      <c r="D336" s="39"/>
      <c r="E336" s="39"/>
      <c r="F336" s="39"/>
      <c r="G336" s="39"/>
      <c r="H336" s="40"/>
      <c r="I336" s="41"/>
      <c r="J336" s="39"/>
      <c r="K336" s="43">
        <f t="shared" si="16"/>
        <v>0</v>
      </c>
      <c r="L336" s="39"/>
      <c r="M336" s="42" t="str">
        <f t="shared" si="17"/>
        <v/>
      </c>
      <c r="N336" s="35"/>
      <c r="O336" s="35"/>
      <c r="P336" s="35"/>
      <c r="Q336" s="35"/>
      <c r="R336" s="35"/>
      <c r="S336" s="35"/>
      <c r="T336" s="35"/>
      <c r="U336" s="35"/>
      <c r="V336" s="35"/>
      <c r="W336" s="35"/>
      <c r="X336" s="35"/>
      <c r="Y336" s="35"/>
      <c r="Z336" s="35"/>
      <c r="AA336" s="35"/>
      <c r="AB336" s="35"/>
      <c r="AC336" s="35"/>
      <c r="AD336" s="35"/>
      <c r="AE336" s="35"/>
      <c r="AF336" s="35"/>
      <c r="AG336" s="35"/>
      <c r="AH336" s="35"/>
      <c r="AI336" s="35"/>
      <c r="AJ336" s="35"/>
      <c r="AK336" s="35"/>
      <c r="AL336" s="35"/>
      <c r="AM336" s="35"/>
      <c r="AN336" s="35"/>
      <c r="AO336" s="35"/>
      <c r="AP336" s="35"/>
      <c r="AQ336" s="35"/>
      <c r="AR336" s="35"/>
      <c r="AS336" s="35"/>
      <c r="AT336" s="35"/>
      <c r="AU336" s="35"/>
      <c r="AV336" s="35"/>
      <c r="AW336" s="35"/>
      <c r="AX336" s="35"/>
      <c r="AY336" s="35"/>
      <c r="AZ336" s="35"/>
      <c r="BA336" s="35"/>
      <c r="BB336" s="35"/>
      <c r="BC336" s="35"/>
      <c r="BD336" s="35"/>
      <c r="BE336" s="35"/>
      <c r="BF336" s="35"/>
      <c r="BG336" s="35"/>
      <c r="BH336" s="35"/>
      <c r="BI336" s="35"/>
      <c r="BJ336" s="35"/>
      <c r="BK336" s="35"/>
      <c r="BL336" s="35"/>
    </row>
    <row r="337" spans="1:64" ht="14">
      <c r="A337" s="36"/>
      <c r="B337" s="37"/>
      <c r="C337" s="38">
        <f t="shared" si="15"/>
        <v>0</v>
      </c>
      <c r="D337" s="39"/>
      <c r="E337" s="39"/>
      <c r="F337" s="39"/>
      <c r="G337" s="39"/>
      <c r="H337" s="40"/>
      <c r="I337" s="41"/>
      <c r="J337" s="39"/>
      <c r="K337" s="43">
        <f t="shared" si="16"/>
        <v>0</v>
      </c>
      <c r="L337" s="39"/>
      <c r="M337" s="42" t="str">
        <f t="shared" si="17"/>
        <v/>
      </c>
      <c r="N337" s="35"/>
      <c r="O337" s="35"/>
      <c r="P337" s="35"/>
      <c r="Q337" s="35"/>
      <c r="R337" s="35"/>
      <c r="S337" s="35"/>
      <c r="T337" s="35"/>
      <c r="U337" s="35"/>
      <c r="V337" s="35"/>
      <c r="W337" s="35"/>
      <c r="X337" s="35"/>
      <c r="Y337" s="35"/>
      <c r="Z337" s="35"/>
      <c r="AA337" s="35"/>
      <c r="AB337" s="35"/>
      <c r="AC337" s="35"/>
      <c r="AD337" s="35"/>
      <c r="AE337" s="35"/>
      <c r="AF337" s="35"/>
      <c r="AG337" s="35"/>
      <c r="AH337" s="35"/>
      <c r="AI337" s="35"/>
      <c r="AJ337" s="35"/>
      <c r="AK337" s="35"/>
      <c r="AL337" s="35"/>
      <c r="AM337" s="35"/>
      <c r="AN337" s="35"/>
      <c r="AO337" s="35"/>
      <c r="AP337" s="35"/>
      <c r="AQ337" s="35"/>
      <c r="AR337" s="35"/>
      <c r="AS337" s="35"/>
      <c r="AT337" s="35"/>
      <c r="AU337" s="35"/>
      <c r="AV337" s="35"/>
      <c r="AW337" s="35"/>
      <c r="AX337" s="35"/>
      <c r="AY337" s="35"/>
      <c r="AZ337" s="35"/>
      <c r="BA337" s="35"/>
      <c r="BB337" s="35"/>
      <c r="BC337" s="35"/>
      <c r="BD337" s="35"/>
      <c r="BE337" s="35"/>
      <c r="BF337" s="35"/>
      <c r="BG337" s="35"/>
      <c r="BH337" s="35"/>
      <c r="BI337" s="35"/>
      <c r="BJ337" s="35"/>
      <c r="BK337" s="35"/>
      <c r="BL337" s="35"/>
    </row>
    <row r="338" spans="1:64" ht="14">
      <c r="A338" s="36"/>
      <c r="B338" s="37"/>
      <c r="C338" s="38">
        <f t="shared" si="15"/>
        <v>0</v>
      </c>
      <c r="D338" s="39"/>
      <c r="E338" s="39"/>
      <c r="F338" s="39"/>
      <c r="G338" s="39"/>
      <c r="H338" s="40"/>
      <c r="I338" s="41"/>
      <c r="J338" s="39"/>
      <c r="K338" s="43">
        <f t="shared" si="16"/>
        <v>0</v>
      </c>
      <c r="L338" s="39"/>
      <c r="M338" s="42" t="str">
        <f t="shared" si="17"/>
        <v/>
      </c>
      <c r="N338" s="35"/>
      <c r="O338" s="35"/>
      <c r="P338" s="35"/>
      <c r="Q338" s="35"/>
      <c r="R338" s="35"/>
      <c r="S338" s="35"/>
      <c r="T338" s="35"/>
      <c r="U338" s="35"/>
      <c r="V338" s="35"/>
      <c r="W338" s="35"/>
      <c r="X338" s="35"/>
      <c r="Y338" s="35"/>
      <c r="Z338" s="35"/>
      <c r="AA338" s="35"/>
      <c r="AB338" s="35"/>
      <c r="AC338" s="35"/>
      <c r="AD338" s="35"/>
      <c r="AE338" s="35"/>
      <c r="AF338" s="35"/>
      <c r="AG338" s="35"/>
      <c r="AH338" s="35"/>
      <c r="AI338" s="35"/>
      <c r="AJ338" s="35"/>
      <c r="AK338" s="35"/>
      <c r="AL338" s="35"/>
      <c r="AM338" s="35"/>
      <c r="AN338" s="35"/>
      <c r="AO338" s="35"/>
      <c r="AP338" s="35"/>
      <c r="AQ338" s="35"/>
      <c r="AR338" s="35"/>
      <c r="AS338" s="35"/>
      <c r="AT338" s="35"/>
      <c r="AU338" s="35"/>
      <c r="AV338" s="35"/>
      <c r="AW338" s="35"/>
      <c r="AX338" s="35"/>
      <c r="AY338" s="35"/>
      <c r="AZ338" s="35"/>
      <c r="BA338" s="35"/>
      <c r="BB338" s="35"/>
      <c r="BC338" s="35"/>
      <c r="BD338" s="35"/>
      <c r="BE338" s="35"/>
      <c r="BF338" s="35"/>
      <c r="BG338" s="35"/>
      <c r="BH338" s="35"/>
      <c r="BI338" s="35"/>
      <c r="BJ338" s="35"/>
      <c r="BK338" s="35"/>
      <c r="BL338" s="35"/>
    </row>
    <row r="339" spans="1:64" ht="14">
      <c r="A339" s="36"/>
      <c r="B339" s="37"/>
      <c r="C339" s="38">
        <f t="shared" si="15"/>
        <v>0</v>
      </c>
      <c r="D339" s="39"/>
      <c r="E339" s="39"/>
      <c r="F339" s="39"/>
      <c r="G339" s="39"/>
      <c r="H339" s="40"/>
      <c r="I339" s="41"/>
      <c r="J339" s="39"/>
      <c r="K339" s="43">
        <f t="shared" si="16"/>
        <v>0</v>
      </c>
      <c r="L339" s="39"/>
      <c r="M339" s="42" t="str">
        <f t="shared" si="17"/>
        <v/>
      </c>
      <c r="N339" s="35"/>
      <c r="O339" s="35"/>
      <c r="P339" s="35"/>
      <c r="Q339" s="35"/>
      <c r="R339" s="35"/>
      <c r="S339" s="35"/>
      <c r="T339" s="35"/>
      <c r="U339" s="35"/>
      <c r="V339" s="35"/>
      <c r="W339" s="35"/>
      <c r="X339" s="35"/>
      <c r="Y339" s="35"/>
      <c r="Z339" s="35"/>
      <c r="AA339" s="35"/>
      <c r="AB339" s="35"/>
      <c r="AC339" s="35"/>
      <c r="AD339" s="35"/>
      <c r="AE339" s="35"/>
      <c r="AF339" s="35"/>
      <c r="AG339" s="35"/>
      <c r="AH339" s="35"/>
      <c r="AI339" s="35"/>
      <c r="AJ339" s="35"/>
      <c r="AK339" s="35"/>
      <c r="AL339" s="35"/>
      <c r="AM339" s="35"/>
      <c r="AN339" s="35"/>
      <c r="AO339" s="35"/>
      <c r="AP339" s="35"/>
      <c r="AQ339" s="35"/>
      <c r="AR339" s="35"/>
      <c r="AS339" s="35"/>
      <c r="AT339" s="35"/>
      <c r="AU339" s="35"/>
      <c r="AV339" s="35"/>
      <c r="AW339" s="35"/>
      <c r="AX339" s="35"/>
      <c r="AY339" s="35"/>
      <c r="AZ339" s="35"/>
      <c r="BA339" s="35"/>
      <c r="BB339" s="35"/>
      <c r="BC339" s="35"/>
      <c r="BD339" s="35"/>
      <c r="BE339" s="35"/>
      <c r="BF339" s="35"/>
      <c r="BG339" s="35"/>
      <c r="BH339" s="35"/>
      <c r="BI339" s="35"/>
      <c r="BJ339" s="35"/>
      <c r="BK339" s="35"/>
      <c r="BL339" s="35"/>
    </row>
    <row r="340" spans="1:64" ht="14">
      <c r="A340" s="36"/>
      <c r="B340" s="37"/>
      <c r="C340" s="38">
        <f t="shared" si="15"/>
        <v>0</v>
      </c>
      <c r="D340" s="39"/>
      <c r="E340" s="39"/>
      <c r="F340" s="39"/>
      <c r="G340" s="39"/>
      <c r="H340" s="40"/>
      <c r="I340" s="41"/>
      <c r="J340" s="39"/>
      <c r="K340" s="43">
        <f t="shared" si="16"/>
        <v>0</v>
      </c>
      <c r="L340" s="39"/>
      <c r="M340" s="42" t="str">
        <f t="shared" si="17"/>
        <v/>
      </c>
      <c r="N340" s="35"/>
      <c r="O340" s="35"/>
      <c r="P340" s="35"/>
      <c r="Q340" s="35"/>
      <c r="R340" s="35"/>
      <c r="S340" s="35"/>
      <c r="T340" s="35"/>
      <c r="U340" s="35"/>
      <c r="V340" s="35"/>
      <c r="W340" s="35"/>
      <c r="X340" s="35"/>
      <c r="Y340" s="35"/>
      <c r="Z340" s="35"/>
      <c r="AA340" s="35"/>
      <c r="AB340" s="35"/>
      <c r="AC340" s="35"/>
      <c r="AD340" s="35"/>
      <c r="AE340" s="35"/>
      <c r="AF340" s="35"/>
      <c r="AG340" s="35"/>
      <c r="AH340" s="35"/>
      <c r="AI340" s="35"/>
      <c r="AJ340" s="35"/>
      <c r="AK340" s="35"/>
      <c r="AL340" s="35"/>
      <c r="AM340" s="35"/>
      <c r="AN340" s="35"/>
      <c r="AO340" s="35"/>
      <c r="AP340" s="35"/>
      <c r="AQ340" s="35"/>
      <c r="AR340" s="35"/>
      <c r="AS340" s="35"/>
      <c r="AT340" s="35"/>
      <c r="AU340" s="35"/>
      <c r="AV340" s="35"/>
      <c r="AW340" s="35"/>
      <c r="AX340" s="35"/>
      <c r="AY340" s="35"/>
      <c r="AZ340" s="35"/>
      <c r="BA340" s="35"/>
      <c r="BB340" s="35"/>
      <c r="BC340" s="35"/>
      <c r="BD340" s="35"/>
      <c r="BE340" s="35"/>
      <c r="BF340" s="35"/>
      <c r="BG340" s="35"/>
      <c r="BH340" s="35"/>
      <c r="BI340" s="35"/>
      <c r="BJ340" s="35"/>
      <c r="BK340" s="35"/>
      <c r="BL340" s="35"/>
    </row>
    <row r="341" spans="1:64" ht="14">
      <c r="A341" s="36"/>
      <c r="B341" s="37"/>
      <c r="C341" s="38">
        <f t="shared" si="15"/>
        <v>0</v>
      </c>
      <c r="D341" s="39"/>
      <c r="E341" s="39"/>
      <c r="F341" s="39"/>
      <c r="G341" s="39"/>
      <c r="H341" s="40"/>
      <c r="I341" s="41"/>
      <c r="J341" s="39"/>
      <c r="K341" s="43">
        <f t="shared" si="16"/>
        <v>0</v>
      </c>
      <c r="L341" s="39"/>
      <c r="M341" s="42" t="str">
        <f t="shared" si="17"/>
        <v/>
      </c>
      <c r="N341" s="35"/>
      <c r="O341" s="35"/>
      <c r="P341" s="35"/>
      <c r="Q341" s="35"/>
      <c r="R341" s="35"/>
      <c r="S341" s="35"/>
      <c r="T341" s="35"/>
      <c r="U341" s="35"/>
      <c r="V341" s="35"/>
      <c r="W341" s="35"/>
      <c r="X341" s="35"/>
      <c r="Y341" s="35"/>
      <c r="Z341" s="35"/>
      <c r="AA341" s="35"/>
      <c r="AB341" s="35"/>
      <c r="AC341" s="35"/>
      <c r="AD341" s="35"/>
      <c r="AE341" s="35"/>
      <c r="AF341" s="35"/>
      <c r="AG341" s="35"/>
      <c r="AH341" s="35"/>
      <c r="AI341" s="35"/>
      <c r="AJ341" s="35"/>
      <c r="AK341" s="35"/>
      <c r="AL341" s="35"/>
      <c r="AM341" s="35"/>
      <c r="AN341" s="35"/>
      <c r="AO341" s="35"/>
      <c r="AP341" s="35"/>
      <c r="AQ341" s="35"/>
      <c r="AR341" s="35"/>
      <c r="AS341" s="35"/>
      <c r="AT341" s="35"/>
      <c r="AU341" s="35"/>
      <c r="AV341" s="35"/>
      <c r="AW341" s="35"/>
      <c r="AX341" s="35"/>
      <c r="AY341" s="35"/>
      <c r="AZ341" s="35"/>
      <c r="BA341" s="35"/>
      <c r="BB341" s="35"/>
      <c r="BC341" s="35"/>
      <c r="BD341" s="35"/>
      <c r="BE341" s="35"/>
      <c r="BF341" s="35"/>
      <c r="BG341" s="35"/>
      <c r="BH341" s="35"/>
      <c r="BI341" s="35"/>
      <c r="BJ341" s="35"/>
      <c r="BK341" s="35"/>
      <c r="BL341" s="35"/>
    </row>
    <row r="342" spans="1:64" ht="14">
      <c r="A342" s="36"/>
      <c r="B342" s="37"/>
      <c r="C342" s="38">
        <f t="shared" si="15"/>
        <v>0</v>
      </c>
      <c r="D342" s="39"/>
      <c r="E342" s="39"/>
      <c r="F342" s="39"/>
      <c r="G342" s="39"/>
      <c r="H342" s="40"/>
      <c r="I342" s="41"/>
      <c r="J342" s="39"/>
      <c r="K342" s="43">
        <f t="shared" si="16"/>
        <v>0</v>
      </c>
      <c r="L342" s="39"/>
      <c r="M342" s="42" t="str">
        <f t="shared" si="17"/>
        <v/>
      </c>
      <c r="N342" s="35"/>
      <c r="O342" s="35"/>
      <c r="P342" s="35"/>
      <c r="Q342" s="35"/>
      <c r="R342" s="35"/>
      <c r="S342" s="35"/>
      <c r="T342" s="35"/>
      <c r="U342" s="35"/>
      <c r="V342" s="35"/>
      <c r="W342" s="35"/>
      <c r="X342" s="35"/>
      <c r="Y342" s="35"/>
      <c r="Z342" s="35"/>
      <c r="AA342" s="35"/>
      <c r="AB342" s="35"/>
      <c r="AC342" s="35"/>
      <c r="AD342" s="35"/>
      <c r="AE342" s="35"/>
      <c r="AF342" s="35"/>
      <c r="AG342" s="35"/>
      <c r="AH342" s="35"/>
      <c r="AI342" s="35"/>
      <c r="AJ342" s="35"/>
      <c r="AK342" s="35"/>
      <c r="AL342" s="35"/>
      <c r="AM342" s="35"/>
      <c r="AN342" s="35"/>
      <c r="AO342" s="35"/>
      <c r="AP342" s="35"/>
      <c r="AQ342" s="35"/>
      <c r="AR342" s="35"/>
      <c r="AS342" s="35"/>
      <c r="AT342" s="35"/>
      <c r="AU342" s="35"/>
      <c r="AV342" s="35"/>
      <c r="AW342" s="35"/>
      <c r="AX342" s="35"/>
      <c r="AY342" s="35"/>
      <c r="AZ342" s="35"/>
      <c r="BA342" s="35"/>
      <c r="BB342" s="35"/>
      <c r="BC342" s="35"/>
      <c r="BD342" s="35"/>
      <c r="BE342" s="35"/>
      <c r="BF342" s="35"/>
      <c r="BG342" s="35"/>
      <c r="BH342" s="35"/>
      <c r="BI342" s="35"/>
      <c r="BJ342" s="35"/>
      <c r="BK342" s="35"/>
      <c r="BL342" s="35"/>
    </row>
    <row r="343" spans="1:64" ht="14">
      <c r="A343" s="36"/>
      <c r="B343" s="37"/>
      <c r="C343" s="38">
        <f t="shared" si="15"/>
        <v>0</v>
      </c>
      <c r="D343" s="39"/>
      <c r="E343" s="39"/>
      <c r="F343" s="39"/>
      <c r="G343" s="39"/>
      <c r="H343" s="40"/>
      <c r="I343" s="41"/>
      <c r="J343" s="39"/>
      <c r="K343" s="43">
        <f t="shared" si="16"/>
        <v>0</v>
      </c>
      <c r="L343" s="39"/>
      <c r="M343" s="42" t="str">
        <f t="shared" si="17"/>
        <v/>
      </c>
      <c r="N343" s="35"/>
      <c r="O343" s="35"/>
      <c r="P343" s="35"/>
      <c r="Q343" s="35"/>
      <c r="R343" s="35"/>
      <c r="S343" s="35"/>
      <c r="T343" s="35"/>
      <c r="U343" s="35"/>
      <c r="V343" s="35"/>
      <c r="W343" s="35"/>
      <c r="X343" s="35"/>
      <c r="Y343" s="35"/>
      <c r="Z343" s="35"/>
      <c r="AA343" s="35"/>
      <c r="AB343" s="35"/>
      <c r="AC343" s="35"/>
      <c r="AD343" s="35"/>
      <c r="AE343" s="35"/>
      <c r="AF343" s="35"/>
      <c r="AG343" s="35"/>
      <c r="AH343" s="35"/>
      <c r="AI343" s="35"/>
      <c r="AJ343" s="35"/>
      <c r="AK343" s="35"/>
      <c r="AL343" s="35"/>
      <c r="AM343" s="35"/>
      <c r="AN343" s="35"/>
      <c r="AO343" s="35"/>
      <c r="AP343" s="35"/>
      <c r="AQ343" s="35"/>
      <c r="AR343" s="35"/>
      <c r="AS343" s="35"/>
      <c r="AT343" s="35"/>
      <c r="AU343" s="35"/>
      <c r="AV343" s="35"/>
      <c r="AW343" s="35"/>
      <c r="AX343" s="35"/>
      <c r="AY343" s="35"/>
      <c r="AZ343" s="35"/>
      <c r="BA343" s="35"/>
      <c r="BB343" s="35"/>
      <c r="BC343" s="35"/>
      <c r="BD343" s="35"/>
      <c r="BE343" s="35"/>
      <c r="BF343" s="35"/>
      <c r="BG343" s="35"/>
      <c r="BH343" s="35"/>
      <c r="BI343" s="35"/>
      <c r="BJ343" s="35"/>
      <c r="BK343" s="35"/>
      <c r="BL343" s="35"/>
    </row>
    <row r="344" spans="1:64" ht="14">
      <c r="A344" s="36"/>
      <c r="B344" s="37"/>
      <c r="C344" s="38">
        <f t="shared" si="15"/>
        <v>0</v>
      </c>
      <c r="D344" s="39"/>
      <c r="E344" s="39"/>
      <c r="F344" s="39"/>
      <c r="G344" s="39"/>
      <c r="H344" s="40"/>
      <c r="I344" s="41"/>
      <c r="J344" s="39"/>
      <c r="K344" s="43">
        <f t="shared" si="16"/>
        <v>0</v>
      </c>
      <c r="L344" s="39"/>
      <c r="M344" s="42" t="str">
        <f t="shared" si="17"/>
        <v/>
      </c>
      <c r="N344" s="35"/>
      <c r="O344" s="35"/>
      <c r="P344" s="35"/>
      <c r="Q344" s="35"/>
      <c r="R344" s="35"/>
      <c r="S344" s="35"/>
      <c r="T344" s="35"/>
      <c r="U344" s="35"/>
      <c r="V344" s="35"/>
      <c r="W344" s="35"/>
      <c r="X344" s="35"/>
      <c r="Y344" s="35"/>
      <c r="Z344" s="35"/>
      <c r="AA344" s="35"/>
      <c r="AB344" s="35"/>
      <c r="AC344" s="35"/>
      <c r="AD344" s="35"/>
      <c r="AE344" s="35"/>
      <c r="AF344" s="35"/>
      <c r="AG344" s="35"/>
      <c r="AH344" s="35"/>
      <c r="AI344" s="35"/>
      <c r="AJ344" s="35"/>
      <c r="AK344" s="35"/>
      <c r="AL344" s="35"/>
      <c r="AM344" s="35"/>
      <c r="AN344" s="35"/>
      <c r="AO344" s="35"/>
      <c r="AP344" s="35"/>
      <c r="AQ344" s="35"/>
      <c r="AR344" s="35"/>
      <c r="AS344" s="35"/>
      <c r="AT344" s="35"/>
      <c r="AU344" s="35"/>
      <c r="AV344" s="35"/>
      <c r="AW344" s="35"/>
      <c r="AX344" s="35"/>
      <c r="AY344" s="35"/>
      <c r="AZ344" s="35"/>
      <c r="BA344" s="35"/>
      <c r="BB344" s="35"/>
      <c r="BC344" s="35"/>
      <c r="BD344" s="35"/>
      <c r="BE344" s="35"/>
      <c r="BF344" s="35"/>
      <c r="BG344" s="35"/>
      <c r="BH344" s="35"/>
      <c r="BI344" s="35"/>
      <c r="BJ344" s="35"/>
      <c r="BK344" s="35"/>
      <c r="BL344" s="35"/>
    </row>
    <row r="345" spans="1:64" ht="14">
      <c r="A345" s="36"/>
      <c r="B345" s="37"/>
      <c r="C345" s="38">
        <f t="shared" si="15"/>
        <v>0</v>
      </c>
      <c r="D345" s="39"/>
      <c r="E345" s="39"/>
      <c r="F345" s="39"/>
      <c r="G345" s="39"/>
      <c r="H345" s="40"/>
      <c r="I345" s="41"/>
      <c r="J345" s="39"/>
      <c r="K345" s="43">
        <f t="shared" si="16"/>
        <v>0</v>
      </c>
      <c r="L345" s="39"/>
      <c r="M345" s="42" t="str">
        <f t="shared" si="17"/>
        <v/>
      </c>
      <c r="N345" s="35"/>
      <c r="O345" s="35"/>
      <c r="P345" s="35"/>
      <c r="Q345" s="35"/>
      <c r="R345" s="35"/>
      <c r="S345" s="35"/>
      <c r="T345" s="35"/>
      <c r="U345" s="35"/>
      <c r="V345" s="35"/>
      <c r="W345" s="35"/>
      <c r="X345" s="35"/>
      <c r="Y345" s="35"/>
      <c r="Z345" s="35"/>
      <c r="AA345" s="35"/>
      <c r="AB345" s="35"/>
      <c r="AC345" s="35"/>
      <c r="AD345" s="35"/>
      <c r="AE345" s="35"/>
      <c r="AF345" s="35"/>
      <c r="AG345" s="35"/>
      <c r="AH345" s="35"/>
      <c r="AI345" s="35"/>
      <c r="AJ345" s="35"/>
      <c r="AK345" s="35"/>
      <c r="AL345" s="35"/>
      <c r="AM345" s="35"/>
      <c r="AN345" s="35"/>
      <c r="AO345" s="35"/>
      <c r="AP345" s="35"/>
      <c r="AQ345" s="35"/>
      <c r="AR345" s="35"/>
      <c r="AS345" s="35"/>
      <c r="AT345" s="35"/>
      <c r="AU345" s="35"/>
      <c r="AV345" s="35"/>
      <c r="AW345" s="35"/>
      <c r="AX345" s="35"/>
      <c r="AY345" s="35"/>
      <c r="AZ345" s="35"/>
      <c r="BA345" s="35"/>
      <c r="BB345" s="35"/>
      <c r="BC345" s="35"/>
      <c r="BD345" s="35"/>
      <c r="BE345" s="35"/>
      <c r="BF345" s="35"/>
      <c r="BG345" s="35"/>
      <c r="BH345" s="35"/>
      <c r="BI345" s="35"/>
      <c r="BJ345" s="35"/>
      <c r="BK345" s="35"/>
      <c r="BL345" s="35"/>
    </row>
    <row r="346" spans="1:64" ht="14">
      <c r="A346" s="36"/>
      <c r="B346" s="37"/>
      <c r="C346" s="38">
        <f t="shared" si="15"/>
        <v>0</v>
      </c>
      <c r="D346" s="39"/>
      <c r="E346" s="39"/>
      <c r="F346" s="39"/>
      <c r="G346" s="39"/>
      <c r="H346" s="40"/>
      <c r="I346" s="41"/>
      <c r="J346" s="39"/>
      <c r="K346" s="43">
        <f t="shared" si="16"/>
        <v>0</v>
      </c>
      <c r="L346" s="39"/>
      <c r="M346" s="42" t="str">
        <f t="shared" si="17"/>
        <v/>
      </c>
      <c r="N346" s="35"/>
      <c r="O346" s="35"/>
      <c r="P346" s="35"/>
      <c r="Q346" s="35"/>
      <c r="R346" s="35"/>
      <c r="S346" s="35"/>
      <c r="T346" s="35"/>
      <c r="U346" s="35"/>
      <c r="V346" s="35"/>
      <c r="W346" s="35"/>
      <c r="X346" s="35"/>
      <c r="Y346" s="35"/>
      <c r="Z346" s="35"/>
      <c r="AA346" s="35"/>
      <c r="AB346" s="35"/>
      <c r="AC346" s="35"/>
      <c r="AD346" s="35"/>
      <c r="AE346" s="35"/>
      <c r="AF346" s="35"/>
      <c r="AG346" s="35"/>
      <c r="AH346" s="35"/>
      <c r="AI346" s="35"/>
      <c r="AJ346" s="35"/>
      <c r="AK346" s="35"/>
      <c r="AL346" s="35"/>
      <c r="AM346" s="35"/>
      <c r="AN346" s="35"/>
      <c r="AO346" s="35"/>
      <c r="AP346" s="35"/>
      <c r="AQ346" s="35"/>
      <c r="AR346" s="35"/>
      <c r="AS346" s="35"/>
      <c r="AT346" s="35"/>
      <c r="AU346" s="35"/>
      <c r="AV346" s="35"/>
      <c r="AW346" s="35"/>
      <c r="AX346" s="35"/>
      <c r="AY346" s="35"/>
      <c r="AZ346" s="35"/>
      <c r="BA346" s="35"/>
      <c r="BB346" s="35"/>
      <c r="BC346" s="35"/>
      <c r="BD346" s="35"/>
      <c r="BE346" s="35"/>
      <c r="BF346" s="35"/>
      <c r="BG346" s="35"/>
      <c r="BH346" s="35"/>
      <c r="BI346" s="35"/>
      <c r="BJ346" s="35"/>
      <c r="BK346" s="35"/>
      <c r="BL346" s="35"/>
    </row>
    <row r="347" spans="1:64" ht="14">
      <c r="A347" s="36"/>
      <c r="B347" s="37"/>
      <c r="C347" s="38">
        <f t="shared" si="15"/>
        <v>0</v>
      </c>
      <c r="D347" s="39"/>
      <c r="E347" s="39"/>
      <c r="F347" s="39"/>
      <c r="G347" s="39"/>
      <c r="H347" s="40"/>
      <c r="I347" s="41"/>
      <c r="J347" s="39"/>
      <c r="K347" s="43">
        <f t="shared" si="16"/>
        <v>0</v>
      </c>
      <c r="L347" s="39"/>
      <c r="M347" s="42" t="str">
        <f t="shared" si="17"/>
        <v/>
      </c>
      <c r="N347" s="35"/>
      <c r="O347" s="35"/>
      <c r="P347" s="35"/>
      <c r="Q347" s="35"/>
      <c r="R347" s="35"/>
      <c r="S347" s="35"/>
      <c r="T347" s="35"/>
      <c r="U347" s="35"/>
      <c r="V347" s="35"/>
      <c r="W347" s="35"/>
      <c r="X347" s="35"/>
      <c r="Y347" s="35"/>
      <c r="Z347" s="35"/>
      <c r="AA347" s="35"/>
      <c r="AB347" s="35"/>
      <c r="AC347" s="35"/>
      <c r="AD347" s="35"/>
      <c r="AE347" s="35"/>
      <c r="AF347" s="35"/>
      <c r="AG347" s="35"/>
      <c r="AH347" s="35"/>
      <c r="AI347" s="35"/>
      <c r="AJ347" s="35"/>
      <c r="AK347" s="35"/>
      <c r="AL347" s="35"/>
      <c r="AM347" s="35"/>
      <c r="AN347" s="35"/>
      <c r="AO347" s="35"/>
      <c r="AP347" s="35"/>
      <c r="AQ347" s="35"/>
      <c r="AR347" s="35"/>
      <c r="AS347" s="35"/>
      <c r="AT347" s="35"/>
      <c r="AU347" s="35"/>
      <c r="AV347" s="35"/>
      <c r="AW347" s="35"/>
      <c r="AX347" s="35"/>
      <c r="AY347" s="35"/>
      <c r="AZ347" s="35"/>
      <c r="BA347" s="35"/>
      <c r="BB347" s="35"/>
      <c r="BC347" s="35"/>
      <c r="BD347" s="35"/>
      <c r="BE347" s="35"/>
      <c r="BF347" s="35"/>
      <c r="BG347" s="35"/>
      <c r="BH347" s="35"/>
      <c r="BI347" s="35"/>
      <c r="BJ347" s="35"/>
      <c r="BK347" s="35"/>
      <c r="BL347" s="35"/>
    </row>
    <row r="348" spans="1:64" ht="14">
      <c r="A348" s="36"/>
      <c r="B348" s="37"/>
      <c r="C348" s="38">
        <f t="shared" si="15"/>
        <v>0</v>
      </c>
      <c r="D348" s="39"/>
      <c r="E348" s="39"/>
      <c r="F348" s="39"/>
      <c r="G348" s="39"/>
      <c r="H348" s="40"/>
      <c r="I348" s="41"/>
      <c r="J348" s="39"/>
      <c r="K348" s="43">
        <f t="shared" si="16"/>
        <v>0</v>
      </c>
      <c r="L348" s="39"/>
      <c r="M348" s="42" t="str">
        <f t="shared" si="17"/>
        <v/>
      </c>
      <c r="N348" s="35"/>
      <c r="O348" s="35"/>
      <c r="P348" s="35"/>
      <c r="Q348" s="35"/>
      <c r="R348" s="35"/>
      <c r="S348" s="35"/>
      <c r="T348" s="35"/>
      <c r="U348" s="35"/>
      <c r="V348" s="35"/>
      <c r="W348" s="35"/>
      <c r="X348" s="35"/>
      <c r="Y348" s="35"/>
      <c r="Z348" s="35"/>
      <c r="AA348" s="35"/>
      <c r="AB348" s="35"/>
      <c r="AC348" s="35"/>
      <c r="AD348" s="35"/>
      <c r="AE348" s="35"/>
      <c r="AF348" s="35"/>
      <c r="AG348" s="35"/>
      <c r="AH348" s="35"/>
      <c r="AI348" s="35"/>
      <c r="AJ348" s="35"/>
      <c r="AK348" s="35"/>
      <c r="AL348" s="35"/>
      <c r="AM348" s="35"/>
      <c r="AN348" s="35"/>
      <c r="AO348" s="35"/>
      <c r="AP348" s="35"/>
      <c r="AQ348" s="35"/>
      <c r="AR348" s="35"/>
      <c r="AS348" s="35"/>
      <c r="AT348" s="35"/>
      <c r="AU348" s="35"/>
      <c r="AV348" s="35"/>
      <c r="AW348" s="35"/>
      <c r="AX348" s="35"/>
      <c r="AY348" s="35"/>
      <c r="AZ348" s="35"/>
      <c r="BA348" s="35"/>
      <c r="BB348" s="35"/>
      <c r="BC348" s="35"/>
      <c r="BD348" s="35"/>
      <c r="BE348" s="35"/>
      <c r="BF348" s="35"/>
      <c r="BG348" s="35"/>
      <c r="BH348" s="35"/>
      <c r="BI348" s="35"/>
      <c r="BJ348" s="35"/>
      <c r="BK348" s="35"/>
      <c r="BL348" s="35"/>
    </row>
    <row r="349" spans="1:64" ht="14">
      <c r="A349" s="36"/>
      <c r="B349" s="37"/>
      <c r="C349" s="38">
        <f t="shared" si="15"/>
        <v>0</v>
      </c>
      <c r="D349" s="39"/>
      <c r="E349" s="39"/>
      <c r="F349" s="39"/>
      <c r="G349" s="39"/>
      <c r="H349" s="40"/>
      <c r="I349" s="41"/>
      <c r="J349" s="39"/>
      <c r="K349" s="43">
        <f t="shared" si="16"/>
        <v>0</v>
      </c>
      <c r="L349" s="39"/>
      <c r="M349" s="42" t="str">
        <f t="shared" si="17"/>
        <v/>
      </c>
      <c r="N349" s="35"/>
      <c r="O349" s="35"/>
      <c r="P349" s="35"/>
      <c r="Q349" s="35"/>
      <c r="R349" s="35"/>
      <c r="S349" s="35"/>
      <c r="T349" s="35"/>
      <c r="U349" s="35"/>
      <c r="V349" s="35"/>
      <c r="W349" s="35"/>
      <c r="X349" s="35"/>
      <c r="Y349" s="35"/>
      <c r="Z349" s="35"/>
      <c r="AA349" s="35"/>
      <c r="AB349" s="35"/>
      <c r="AC349" s="35"/>
      <c r="AD349" s="35"/>
      <c r="AE349" s="35"/>
      <c r="AF349" s="35"/>
      <c r="AG349" s="35"/>
      <c r="AH349" s="35"/>
      <c r="AI349" s="35"/>
      <c r="AJ349" s="35"/>
      <c r="AK349" s="35"/>
      <c r="AL349" s="35"/>
      <c r="AM349" s="35"/>
      <c r="AN349" s="35"/>
      <c r="AO349" s="35"/>
      <c r="AP349" s="35"/>
      <c r="AQ349" s="35"/>
      <c r="AR349" s="35"/>
      <c r="AS349" s="35"/>
      <c r="AT349" s="35"/>
      <c r="AU349" s="35"/>
      <c r="AV349" s="35"/>
      <c r="AW349" s="35"/>
      <c r="AX349" s="35"/>
      <c r="AY349" s="35"/>
      <c r="AZ349" s="35"/>
      <c r="BA349" s="35"/>
      <c r="BB349" s="35"/>
      <c r="BC349" s="35"/>
      <c r="BD349" s="35"/>
      <c r="BE349" s="35"/>
      <c r="BF349" s="35"/>
      <c r="BG349" s="35"/>
      <c r="BH349" s="35"/>
      <c r="BI349" s="35"/>
      <c r="BJ349" s="35"/>
      <c r="BK349" s="35"/>
      <c r="BL349" s="35"/>
    </row>
    <row r="350" spans="1:64" ht="14">
      <c r="A350" s="36"/>
      <c r="B350" s="37"/>
      <c r="C350" s="38">
        <f t="shared" si="15"/>
        <v>0</v>
      </c>
      <c r="D350" s="39"/>
      <c r="E350" s="39"/>
      <c r="F350" s="39"/>
      <c r="G350" s="39"/>
      <c r="H350" s="40"/>
      <c r="I350" s="41"/>
      <c r="J350" s="39"/>
      <c r="K350" s="43">
        <f t="shared" si="16"/>
        <v>0</v>
      </c>
      <c r="L350" s="39"/>
      <c r="M350" s="42" t="str">
        <f t="shared" si="17"/>
        <v/>
      </c>
      <c r="N350" s="35"/>
      <c r="O350" s="35"/>
      <c r="P350" s="35"/>
      <c r="Q350" s="35"/>
      <c r="R350" s="35"/>
      <c r="S350" s="35"/>
      <c r="T350" s="35"/>
      <c r="U350" s="35"/>
      <c r="V350" s="35"/>
      <c r="W350" s="35"/>
      <c r="X350" s="35"/>
      <c r="Y350" s="35"/>
      <c r="Z350" s="35"/>
      <c r="AA350" s="35"/>
      <c r="AB350" s="35"/>
      <c r="AC350" s="35"/>
      <c r="AD350" s="35"/>
      <c r="AE350" s="35"/>
      <c r="AF350" s="35"/>
      <c r="AG350" s="35"/>
      <c r="AH350" s="35"/>
      <c r="AI350" s="35"/>
      <c r="AJ350" s="35"/>
      <c r="AK350" s="35"/>
      <c r="AL350" s="35"/>
      <c r="AM350" s="35"/>
      <c r="AN350" s="35"/>
      <c r="AO350" s="35"/>
      <c r="AP350" s="35"/>
      <c r="AQ350" s="35"/>
      <c r="AR350" s="35"/>
      <c r="AS350" s="35"/>
      <c r="AT350" s="35"/>
      <c r="AU350" s="35"/>
      <c r="AV350" s="35"/>
      <c r="AW350" s="35"/>
      <c r="AX350" s="35"/>
      <c r="AY350" s="35"/>
      <c r="AZ350" s="35"/>
      <c r="BA350" s="35"/>
      <c r="BB350" s="35"/>
      <c r="BC350" s="35"/>
      <c r="BD350" s="35"/>
      <c r="BE350" s="35"/>
      <c r="BF350" s="35"/>
      <c r="BG350" s="35"/>
      <c r="BH350" s="35"/>
      <c r="BI350" s="35"/>
      <c r="BJ350" s="35"/>
      <c r="BK350" s="35"/>
      <c r="BL350" s="35"/>
    </row>
    <row r="351" spans="1:64" ht="14">
      <c r="A351" s="36"/>
      <c r="B351" s="37"/>
      <c r="C351" s="38">
        <f t="shared" si="15"/>
        <v>0</v>
      </c>
      <c r="D351" s="39"/>
      <c r="E351" s="39"/>
      <c r="F351" s="39"/>
      <c r="G351" s="39"/>
      <c r="H351" s="40"/>
      <c r="I351" s="41"/>
      <c r="J351" s="39"/>
      <c r="K351" s="43">
        <f t="shared" si="16"/>
        <v>0</v>
      </c>
      <c r="L351" s="39"/>
      <c r="M351" s="42" t="str">
        <f t="shared" si="17"/>
        <v/>
      </c>
      <c r="N351" s="35"/>
      <c r="O351" s="35"/>
      <c r="P351" s="35"/>
      <c r="Q351" s="35"/>
      <c r="R351" s="35"/>
      <c r="S351" s="35"/>
      <c r="T351" s="35"/>
      <c r="U351" s="35"/>
      <c r="V351" s="35"/>
      <c r="W351" s="35"/>
      <c r="X351" s="35"/>
      <c r="Y351" s="35"/>
      <c r="Z351" s="35"/>
      <c r="AA351" s="35"/>
      <c r="AB351" s="35"/>
      <c r="AC351" s="35"/>
      <c r="AD351" s="35"/>
      <c r="AE351" s="35"/>
      <c r="AF351" s="35"/>
      <c r="AG351" s="35"/>
      <c r="AH351" s="35"/>
      <c r="AI351" s="35"/>
      <c r="AJ351" s="35"/>
      <c r="AK351" s="35"/>
      <c r="AL351" s="35"/>
      <c r="AM351" s="35"/>
      <c r="AN351" s="35"/>
      <c r="AO351" s="35"/>
      <c r="AP351" s="35"/>
      <c r="AQ351" s="35"/>
      <c r="AR351" s="35"/>
      <c r="AS351" s="35"/>
      <c r="AT351" s="35"/>
      <c r="AU351" s="35"/>
      <c r="AV351" s="35"/>
      <c r="AW351" s="35"/>
      <c r="AX351" s="35"/>
      <c r="AY351" s="35"/>
      <c r="AZ351" s="35"/>
      <c r="BA351" s="35"/>
      <c r="BB351" s="35"/>
      <c r="BC351" s="35"/>
      <c r="BD351" s="35"/>
      <c r="BE351" s="35"/>
      <c r="BF351" s="35"/>
      <c r="BG351" s="35"/>
      <c r="BH351" s="35"/>
      <c r="BI351" s="35"/>
      <c r="BJ351" s="35"/>
      <c r="BK351" s="35"/>
      <c r="BL351" s="35"/>
    </row>
    <row r="352" spans="1:64" ht="14">
      <c r="A352" s="36"/>
      <c r="B352" s="37"/>
      <c r="C352" s="38">
        <f t="shared" si="15"/>
        <v>0</v>
      </c>
      <c r="D352" s="39"/>
      <c r="E352" s="39"/>
      <c r="F352" s="39"/>
      <c r="G352" s="39"/>
      <c r="H352" s="40"/>
      <c r="I352" s="41"/>
      <c r="J352" s="39"/>
      <c r="K352" s="43">
        <f t="shared" si="16"/>
        <v>0</v>
      </c>
      <c r="L352" s="39"/>
      <c r="M352" s="42" t="str">
        <f t="shared" si="17"/>
        <v/>
      </c>
      <c r="N352" s="35"/>
      <c r="O352" s="35"/>
      <c r="P352" s="35"/>
      <c r="Q352" s="35"/>
      <c r="R352" s="35"/>
      <c r="S352" s="35"/>
      <c r="T352" s="35"/>
      <c r="U352" s="35"/>
      <c r="V352" s="35"/>
      <c r="W352" s="35"/>
      <c r="X352" s="35"/>
      <c r="Y352" s="35"/>
      <c r="Z352" s="35"/>
      <c r="AA352" s="35"/>
      <c r="AB352" s="35"/>
      <c r="AC352" s="35"/>
      <c r="AD352" s="35"/>
      <c r="AE352" s="35"/>
      <c r="AF352" s="35"/>
      <c r="AG352" s="35"/>
      <c r="AH352" s="35"/>
      <c r="AI352" s="35"/>
      <c r="AJ352" s="35"/>
      <c r="AK352" s="35"/>
      <c r="AL352" s="35"/>
      <c r="AM352" s="35"/>
      <c r="AN352" s="35"/>
      <c r="AO352" s="35"/>
      <c r="AP352" s="35"/>
      <c r="AQ352" s="35"/>
      <c r="AR352" s="35"/>
      <c r="AS352" s="35"/>
      <c r="AT352" s="35"/>
      <c r="AU352" s="35"/>
      <c r="AV352" s="35"/>
      <c r="AW352" s="35"/>
      <c r="AX352" s="35"/>
      <c r="AY352" s="35"/>
      <c r="AZ352" s="35"/>
      <c r="BA352" s="35"/>
      <c r="BB352" s="35"/>
      <c r="BC352" s="35"/>
      <c r="BD352" s="35"/>
      <c r="BE352" s="35"/>
      <c r="BF352" s="35"/>
      <c r="BG352" s="35"/>
      <c r="BH352" s="35"/>
      <c r="BI352" s="35"/>
      <c r="BJ352" s="35"/>
      <c r="BK352" s="35"/>
      <c r="BL352" s="35"/>
    </row>
    <row r="353" spans="1:64" ht="14">
      <c r="A353" s="36"/>
      <c r="B353" s="37"/>
      <c r="C353" s="38">
        <f t="shared" si="15"/>
        <v>0</v>
      </c>
      <c r="D353" s="39"/>
      <c r="E353" s="39"/>
      <c r="F353" s="39"/>
      <c r="G353" s="39"/>
      <c r="H353" s="40"/>
      <c r="I353" s="41"/>
      <c r="J353" s="39"/>
      <c r="K353" s="43">
        <f t="shared" si="16"/>
        <v>0</v>
      </c>
      <c r="L353" s="39"/>
      <c r="M353" s="42" t="str">
        <f t="shared" si="17"/>
        <v/>
      </c>
      <c r="N353" s="35"/>
      <c r="O353" s="35"/>
      <c r="P353" s="35"/>
      <c r="Q353" s="35"/>
      <c r="R353" s="35"/>
      <c r="S353" s="35"/>
      <c r="T353" s="35"/>
      <c r="U353" s="35"/>
      <c r="V353" s="35"/>
      <c r="W353" s="35"/>
      <c r="X353" s="35"/>
      <c r="Y353" s="35"/>
      <c r="Z353" s="35"/>
      <c r="AA353" s="35"/>
      <c r="AB353" s="35"/>
      <c r="AC353" s="35"/>
      <c r="AD353" s="35"/>
      <c r="AE353" s="35"/>
      <c r="AF353" s="35"/>
      <c r="AG353" s="35"/>
      <c r="AH353" s="35"/>
      <c r="AI353" s="35"/>
      <c r="AJ353" s="35"/>
      <c r="AK353" s="35"/>
      <c r="AL353" s="35"/>
      <c r="AM353" s="35"/>
      <c r="AN353" s="35"/>
      <c r="AO353" s="35"/>
      <c r="AP353" s="35"/>
      <c r="AQ353" s="35"/>
      <c r="AR353" s="35"/>
      <c r="AS353" s="35"/>
      <c r="AT353" s="35"/>
      <c r="AU353" s="35"/>
      <c r="AV353" s="35"/>
      <c r="AW353" s="35"/>
      <c r="AX353" s="35"/>
      <c r="AY353" s="35"/>
      <c r="AZ353" s="35"/>
      <c r="BA353" s="35"/>
      <c r="BB353" s="35"/>
      <c r="BC353" s="35"/>
      <c r="BD353" s="35"/>
      <c r="BE353" s="35"/>
      <c r="BF353" s="35"/>
      <c r="BG353" s="35"/>
      <c r="BH353" s="35"/>
      <c r="BI353" s="35"/>
      <c r="BJ353" s="35"/>
      <c r="BK353" s="35"/>
      <c r="BL353" s="35"/>
    </row>
    <row r="354" spans="1:64" ht="14">
      <c r="A354" s="36"/>
      <c r="B354" s="37"/>
      <c r="C354" s="38">
        <f t="shared" si="15"/>
        <v>0</v>
      </c>
      <c r="D354" s="39"/>
      <c r="E354" s="39"/>
      <c r="F354" s="39"/>
      <c r="G354" s="39"/>
      <c r="H354" s="40"/>
      <c r="I354" s="41"/>
      <c r="J354" s="39"/>
      <c r="K354" s="43">
        <f t="shared" si="16"/>
        <v>0</v>
      </c>
      <c r="L354" s="39"/>
      <c r="M354" s="42" t="str">
        <f t="shared" si="17"/>
        <v/>
      </c>
      <c r="N354" s="35"/>
      <c r="O354" s="35"/>
      <c r="P354" s="35"/>
      <c r="Q354" s="35"/>
      <c r="R354" s="35"/>
      <c r="S354" s="35"/>
      <c r="T354" s="35"/>
      <c r="U354" s="35"/>
      <c r="V354" s="35"/>
      <c r="W354" s="35"/>
      <c r="X354" s="35"/>
      <c r="Y354" s="35"/>
      <c r="Z354" s="35"/>
      <c r="AA354" s="35"/>
      <c r="AB354" s="35"/>
      <c r="AC354" s="35"/>
      <c r="AD354" s="35"/>
      <c r="AE354" s="35"/>
      <c r="AF354" s="35"/>
      <c r="AG354" s="35"/>
      <c r="AH354" s="35"/>
      <c r="AI354" s="35"/>
      <c r="AJ354" s="35"/>
      <c r="AK354" s="35"/>
      <c r="AL354" s="35"/>
      <c r="AM354" s="35"/>
      <c r="AN354" s="35"/>
      <c r="AO354" s="35"/>
      <c r="AP354" s="35"/>
      <c r="AQ354" s="35"/>
      <c r="AR354" s="35"/>
      <c r="AS354" s="35"/>
      <c r="AT354" s="35"/>
      <c r="AU354" s="35"/>
      <c r="AV354" s="35"/>
      <c r="AW354" s="35"/>
      <c r="AX354" s="35"/>
      <c r="AY354" s="35"/>
      <c r="AZ354" s="35"/>
      <c r="BA354" s="35"/>
      <c r="BB354" s="35"/>
      <c r="BC354" s="35"/>
      <c r="BD354" s="35"/>
      <c r="BE354" s="35"/>
      <c r="BF354" s="35"/>
      <c r="BG354" s="35"/>
      <c r="BH354" s="35"/>
      <c r="BI354" s="35"/>
      <c r="BJ354" s="35"/>
      <c r="BK354" s="35"/>
      <c r="BL354" s="35"/>
    </row>
    <row r="355" spans="1:64" ht="14">
      <c r="A355" s="36"/>
      <c r="B355" s="37"/>
      <c r="C355" s="38">
        <f t="shared" si="15"/>
        <v>0</v>
      </c>
      <c r="D355" s="39"/>
      <c r="E355" s="39"/>
      <c r="F355" s="39"/>
      <c r="G355" s="39"/>
      <c r="H355" s="40"/>
      <c r="I355" s="41"/>
      <c r="J355" s="39"/>
      <c r="K355" s="43">
        <f t="shared" si="16"/>
        <v>0</v>
      </c>
      <c r="L355" s="39"/>
      <c r="M355" s="42" t="str">
        <f t="shared" si="17"/>
        <v/>
      </c>
      <c r="N355" s="35"/>
      <c r="O355" s="35"/>
      <c r="P355" s="35"/>
      <c r="Q355" s="35"/>
      <c r="R355" s="35"/>
      <c r="S355" s="35"/>
      <c r="T355" s="35"/>
      <c r="U355" s="35"/>
      <c r="V355" s="35"/>
      <c r="W355" s="35"/>
      <c r="X355" s="35"/>
      <c r="Y355" s="35"/>
      <c r="Z355" s="35"/>
      <c r="AA355" s="35"/>
      <c r="AB355" s="35"/>
      <c r="AC355" s="35"/>
      <c r="AD355" s="35"/>
      <c r="AE355" s="35"/>
      <c r="AF355" s="35"/>
      <c r="AG355" s="35"/>
      <c r="AH355" s="35"/>
      <c r="AI355" s="35"/>
      <c r="AJ355" s="35"/>
      <c r="AK355" s="35"/>
      <c r="AL355" s="35"/>
      <c r="AM355" s="35"/>
      <c r="AN355" s="35"/>
      <c r="AO355" s="35"/>
      <c r="AP355" s="35"/>
      <c r="AQ355" s="35"/>
      <c r="AR355" s="35"/>
      <c r="AS355" s="35"/>
      <c r="AT355" s="35"/>
      <c r="AU355" s="35"/>
      <c r="AV355" s="35"/>
      <c r="AW355" s="35"/>
      <c r="AX355" s="35"/>
      <c r="AY355" s="35"/>
      <c r="AZ355" s="35"/>
      <c r="BA355" s="35"/>
      <c r="BB355" s="35"/>
      <c r="BC355" s="35"/>
      <c r="BD355" s="35"/>
      <c r="BE355" s="35"/>
      <c r="BF355" s="35"/>
      <c r="BG355" s="35"/>
      <c r="BH355" s="35"/>
      <c r="BI355" s="35"/>
      <c r="BJ355" s="35"/>
      <c r="BK355" s="35"/>
      <c r="BL355" s="35"/>
    </row>
    <row r="356" spans="1:64" ht="14">
      <c r="A356" s="36"/>
      <c r="B356" s="37"/>
      <c r="C356" s="38">
        <f t="shared" si="15"/>
        <v>0</v>
      </c>
      <c r="D356" s="39"/>
      <c r="E356" s="39"/>
      <c r="F356" s="39"/>
      <c r="G356" s="39"/>
      <c r="H356" s="40"/>
      <c r="I356" s="41"/>
      <c r="J356" s="39"/>
      <c r="K356" s="43">
        <f t="shared" si="16"/>
        <v>0</v>
      </c>
      <c r="L356" s="39"/>
      <c r="M356" s="42" t="str">
        <f t="shared" si="17"/>
        <v/>
      </c>
      <c r="N356" s="35"/>
      <c r="O356" s="35"/>
      <c r="P356" s="35"/>
      <c r="Q356" s="35"/>
      <c r="R356" s="35"/>
      <c r="S356" s="35"/>
      <c r="T356" s="35"/>
      <c r="U356" s="35"/>
      <c r="V356" s="35"/>
      <c r="W356" s="35"/>
      <c r="X356" s="35"/>
      <c r="Y356" s="35"/>
      <c r="Z356" s="35"/>
      <c r="AA356" s="35"/>
      <c r="AB356" s="35"/>
      <c r="AC356" s="35"/>
      <c r="AD356" s="35"/>
      <c r="AE356" s="35"/>
      <c r="AF356" s="35"/>
      <c r="AG356" s="35"/>
      <c r="AH356" s="35"/>
      <c r="AI356" s="35"/>
      <c r="AJ356" s="35"/>
      <c r="AK356" s="35"/>
      <c r="AL356" s="35"/>
      <c r="AM356" s="35"/>
      <c r="AN356" s="35"/>
      <c r="AO356" s="35"/>
      <c r="AP356" s="35"/>
      <c r="AQ356" s="35"/>
      <c r="AR356" s="35"/>
      <c r="AS356" s="35"/>
      <c r="AT356" s="35"/>
      <c r="AU356" s="35"/>
      <c r="AV356" s="35"/>
      <c r="AW356" s="35"/>
      <c r="AX356" s="35"/>
      <c r="AY356" s="35"/>
      <c r="AZ356" s="35"/>
      <c r="BA356" s="35"/>
      <c r="BB356" s="35"/>
      <c r="BC356" s="35"/>
      <c r="BD356" s="35"/>
      <c r="BE356" s="35"/>
      <c r="BF356" s="35"/>
      <c r="BG356" s="35"/>
      <c r="BH356" s="35"/>
      <c r="BI356" s="35"/>
      <c r="BJ356" s="35"/>
      <c r="BK356" s="35"/>
      <c r="BL356" s="35"/>
    </row>
    <row r="357" spans="1:64" ht="14">
      <c r="A357" s="36"/>
      <c r="B357" s="37"/>
      <c r="C357" s="38">
        <f t="shared" si="15"/>
        <v>0</v>
      </c>
      <c r="D357" s="39"/>
      <c r="E357" s="39"/>
      <c r="F357" s="39"/>
      <c r="G357" s="39"/>
      <c r="H357" s="40"/>
      <c r="I357" s="41"/>
      <c r="J357" s="39"/>
      <c r="K357" s="43">
        <f t="shared" si="16"/>
        <v>0</v>
      </c>
      <c r="L357" s="39"/>
      <c r="M357" s="42" t="str">
        <f t="shared" si="17"/>
        <v/>
      </c>
      <c r="N357" s="35"/>
      <c r="O357" s="35"/>
      <c r="P357" s="35"/>
      <c r="Q357" s="35"/>
      <c r="R357" s="35"/>
      <c r="S357" s="35"/>
      <c r="T357" s="35"/>
      <c r="U357" s="35"/>
      <c r="V357" s="35"/>
      <c r="W357" s="35"/>
      <c r="X357" s="35"/>
      <c r="Y357" s="35"/>
      <c r="Z357" s="35"/>
      <c r="AA357" s="35"/>
      <c r="AB357" s="35"/>
      <c r="AC357" s="35"/>
      <c r="AD357" s="35"/>
      <c r="AE357" s="35"/>
      <c r="AF357" s="35"/>
      <c r="AG357" s="35"/>
      <c r="AH357" s="35"/>
      <c r="AI357" s="35"/>
      <c r="AJ357" s="35"/>
      <c r="AK357" s="35"/>
      <c r="AL357" s="35"/>
      <c r="AM357" s="35"/>
      <c r="AN357" s="35"/>
      <c r="AO357" s="35"/>
      <c r="AP357" s="35"/>
      <c r="AQ357" s="35"/>
      <c r="AR357" s="35"/>
      <c r="AS357" s="35"/>
      <c r="AT357" s="35"/>
      <c r="AU357" s="35"/>
      <c r="AV357" s="35"/>
      <c r="AW357" s="35"/>
      <c r="AX357" s="35"/>
      <c r="AY357" s="35"/>
      <c r="AZ357" s="35"/>
      <c r="BA357" s="35"/>
      <c r="BB357" s="35"/>
      <c r="BC357" s="35"/>
      <c r="BD357" s="35"/>
      <c r="BE357" s="35"/>
      <c r="BF357" s="35"/>
      <c r="BG357" s="35"/>
      <c r="BH357" s="35"/>
      <c r="BI357" s="35"/>
      <c r="BJ357" s="35"/>
      <c r="BK357" s="35"/>
      <c r="BL357" s="35"/>
    </row>
    <row r="358" spans="1:64" ht="14">
      <c r="A358" s="36"/>
      <c r="B358" s="37"/>
      <c r="C358" s="38">
        <f t="shared" si="15"/>
        <v>0</v>
      </c>
      <c r="D358" s="39"/>
      <c r="E358" s="39"/>
      <c r="F358" s="39"/>
      <c r="G358" s="39"/>
      <c r="H358" s="40"/>
      <c r="I358" s="41"/>
      <c r="J358" s="39"/>
      <c r="K358" s="43">
        <f t="shared" si="16"/>
        <v>0</v>
      </c>
      <c r="L358" s="39"/>
      <c r="M358" s="42" t="str">
        <f t="shared" si="17"/>
        <v/>
      </c>
      <c r="N358" s="35"/>
      <c r="O358" s="35"/>
      <c r="P358" s="35"/>
      <c r="Q358" s="35"/>
      <c r="R358" s="35"/>
      <c r="S358" s="35"/>
      <c r="T358" s="35"/>
      <c r="U358" s="35"/>
      <c r="V358" s="35"/>
      <c r="W358" s="35"/>
      <c r="X358" s="35"/>
      <c r="Y358" s="35"/>
      <c r="Z358" s="35"/>
      <c r="AA358" s="35"/>
      <c r="AB358" s="35"/>
      <c r="AC358" s="35"/>
      <c r="AD358" s="35"/>
      <c r="AE358" s="35"/>
      <c r="AF358" s="35"/>
      <c r="AG358" s="35"/>
      <c r="AH358" s="35"/>
      <c r="AI358" s="35"/>
      <c r="AJ358" s="35"/>
      <c r="AK358" s="35"/>
      <c r="AL358" s="35"/>
      <c r="AM358" s="35"/>
      <c r="AN358" s="35"/>
      <c r="AO358" s="35"/>
      <c r="AP358" s="35"/>
      <c r="AQ358" s="35"/>
      <c r="AR358" s="35"/>
      <c r="AS358" s="35"/>
      <c r="AT358" s="35"/>
      <c r="AU358" s="35"/>
      <c r="AV358" s="35"/>
      <c r="AW358" s="35"/>
      <c r="AX358" s="35"/>
      <c r="AY358" s="35"/>
      <c r="AZ358" s="35"/>
      <c r="BA358" s="35"/>
      <c r="BB358" s="35"/>
      <c r="BC358" s="35"/>
      <c r="BD358" s="35"/>
      <c r="BE358" s="35"/>
      <c r="BF358" s="35"/>
      <c r="BG358" s="35"/>
      <c r="BH358" s="35"/>
      <c r="BI358" s="35"/>
      <c r="BJ358" s="35"/>
      <c r="BK358" s="35"/>
      <c r="BL358" s="35"/>
    </row>
    <row r="359" spans="1:64" ht="14">
      <c r="A359" s="36"/>
      <c r="B359" s="37"/>
      <c r="C359" s="38">
        <f t="shared" si="15"/>
        <v>0</v>
      </c>
      <c r="D359" s="39"/>
      <c r="E359" s="39"/>
      <c r="F359" s="39"/>
      <c r="G359" s="39"/>
      <c r="H359" s="40"/>
      <c r="I359" s="41"/>
      <c r="J359" s="39"/>
      <c r="K359" s="43">
        <f t="shared" si="16"/>
        <v>0</v>
      </c>
      <c r="L359" s="39"/>
      <c r="M359" s="42" t="str">
        <f t="shared" si="17"/>
        <v/>
      </c>
      <c r="N359" s="35"/>
      <c r="O359" s="35"/>
      <c r="P359" s="35"/>
      <c r="Q359" s="35"/>
      <c r="R359" s="35"/>
      <c r="S359" s="35"/>
      <c r="T359" s="35"/>
      <c r="U359" s="35"/>
      <c r="V359" s="35"/>
      <c r="W359" s="35"/>
      <c r="X359" s="35"/>
      <c r="Y359" s="35"/>
      <c r="Z359" s="35"/>
      <c r="AA359" s="35"/>
      <c r="AB359" s="35"/>
      <c r="AC359" s="35"/>
      <c r="AD359" s="35"/>
      <c r="AE359" s="35"/>
      <c r="AF359" s="35"/>
      <c r="AG359" s="35"/>
      <c r="AH359" s="35"/>
      <c r="AI359" s="35"/>
      <c r="AJ359" s="35"/>
      <c r="AK359" s="35"/>
      <c r="AL359" s="35"/>
      <c r="AM359" s="35"/>
      <c r="AN359" s="35"/>
      <c r="AO359" s="35"/>
      <c r="AP359" s="35"/>
      <c r="AQ359" s="35"/>
      <c r="AR359" s="35"/>
      <c r="AS359" s="35"/>
      <c r="AT359" s="35"/>
      <c r="AU359" s="35"/>
      <c r="AV359" s="35"/>
      <c r="AW359" s="35"/>
      <c r="AX359" s="35"/>
      <c r="AY359" s="35"/>
      <c r="AZ359" s="35"/>
      <c r="BA359" s="35"/>
      <c r="BB359" s="35"/>
      <c r="BC359" s="35"/>
      <c r="BD359" s="35"/>
      <c r="BE359" s="35"/>
      <c r="BF359" s="35"/>
      <c r="BG359" s="35"/>
      <c r="BH359" s="35"/>
      <c r="BI359" s="35"/>
      <c r="BJ359" s="35"/>
      <c r="BK359" s="35"/>
      <c r="BL359" s="35"/>
    </row>
    <row r="360" spans="1:64" ht="14">
      <c r="A360" s="36"/>
      <c r="B360" s="37"/>
      <c r="C360" s="38">
        <f t="shared" si="15"/>
        <v>0</v>
      </c>
      <c r="D360" s="39"/>
      <c r="E360" s="39"/>
      <c r="F360" s="39"/>
      <c r="G360" s="39"/>
      <c r="H360" s="40"/>
      <c r="I360" s="41"/>
      <c r="J360" s="39"/>
      <c r="K360" s="43">
        <f t="shared" si="16"/>
        <v>0</v>
      </c>
      <c r="L360" s="39"/>
      <c r="M360" s="42" t="str">
        <f t="shared" si="17"/>
        <v/>
      </c>
      <c r="N360" s="35"/>
      <c r="O360" s="35"/>
      <c r="P360" s="35"/>
      <c r="Q360" s="35"/>
      <c r="R360" s="35"/>
      <c r="S360" s="35"/>
      <c r="T360" s="35"/>
      <c r="U360" s="35"/>
      <c r="V360" s="35"/>
      <c r="W360" s="35"/>
      <c r="X360" s="35"/>
      <c r="Y360" s="35"/>
      <c r="Z360" s="35"/>
      <c r="AA360" s="35"/>
      <c r="AB360" s="35"/>
      <c r="AC360" s="35"/>
      <c r="AD360" s="35"/>
      <c r="AE360" s="35"/>
      <c r="AF360" s="35"/>
      <c r="AG360" s="35"/>
      <c r="AH360" s="35"/>
      <c r="AI360" s="35"/>
      <c r="AJ360" s="35"/>
      <c r="AK360" s="35"/>
      <c r="AL360" s="35"/>
      <c r="AM360" s="35"/>
      <c r="AN360" s="35"/>
      <c r="AO360" s="35"/>
      <c r="AP360" s="35"/>
      <c r="AQ360" s="35"/>
      <c r="AR360" s="35"/>
      <c r="AS360" s="35"/>
      <c r="AT360" s="35"/>
      <c r="AU360" s="35"/>
      <c r="AV360" s="35"/>
      <c r="AW360" s="35"/>
      <c r="AX360" s="35"/>
      <c r="AY360" s="35"/>
      <c r="AZ360" s="35"/>
      <c r="BA360" s="35"/>
      <c r="BB360" s="35"/>
      <c r="BC360" s="35"/>
      <c r="BD360" s="35"/>
      <c r="BE360" s="35"/>
      <c r="BF360" s="35"/>
      <c r="BG360" s="35"/>
      <c r="BH360" s="35"/>
      <c r="BI360" s="35"/>
      <c r="BJ360" s="35"/>
      <c r="BK360" s="35"/>
      <c r="BL360" s="35"/>
    </row>
    <row r="361" spans="1:64" ht="14">
      <c r="A361" s="36"/>
      <c r="B361" s="37"/>
      <c r="C361" s="38">
        <f t="shared" si="15"/>
        <v>0</v>
      </c>
      <c r="D361" s="39"/>
      <c r="E361" s="39"/>
      <c r="F361" s="39"/>
      <c r="G361" s="39"/>
      <c r="H361" s="40"/>
      <c r="I361" s="41"/>
      <c r="J361" s="39"/>
      <c r="K361" s="43">
        <f t="shared" si="16"/>
        <v>0</v>
      </c>
      <c r="L361" s="39"/>
      <c r="M361" s="42" t="str">
        <f t="shared" si="17"/>
        <v/>
      </c>
      <c r="N361" s="35"/>
      <c r="O361" s="35"/>
      <c r="P361" s="35"/>
      <c r="Q361" s="35"/>
      <c r="R361" s="35"/>
      <c r="S361" s="35"/>
      <c r="T361" s="35"/>
      <c r="U361" s="35"/>
      <c r="V361" s="35"/>
      <c r="W361" s="35"/>
      <c r="X361" s="35"/>
      <c r="Y361" s="35"/>
      <c r="Z361" s="35"/>
      <c r="AA361" s="35"/>
      <c r="AB361" s="35"/>
      <c r="AC361" s="35"/>
      <c r="AD361" s="35"/>
      <c r="AE361" s="35"/>
      <c r="AF361" s="35"/>
      <c r="AG361" s="35"/>
      <c r="AH361" s="35"/>
      <c r="AI361" s="35"/>
      <c r="AJ361" s="35"/>
      <c r="AK361" s="35"/>
      <c r="AL361" s="35"/>
      <c r="AM361" s="35"/>
      <c r="AN361" s="35"/>
      <c r="AO361" s="35"/>
      <c r="AP361" s="35"/>
      <c r="AQ361" s="35"/>
      <c r="AR361" s="35"/>
      <c r="AS361" s="35"/>
      <c r="AT361" s="35"/>
      <c r="AU361" s="35"/>
      <c r="AV361" s="35"/>
      <c r="AW361" s="35"/>
      <c r="AX361" s="35"/>
      <c r="AY361" s="35"/>
      <c r="AZ361" s="35"/>
      <c r="BA361" s="35"/>
      <c r="BB361" s="35"/>
      <c r="BC361" s="35"/>
      <c r="BD361" s="35"/>
      <c r="BE361" s="35"/>
      <c r="BF361" s="35"/>
      <c r="BG361" s="35"/>
      <c r="BH361" s="35"/>
      <c r="BI361" s="35"/>
      <c r="BJ361" s="35"/>
      <c r="BK361" s="35"/>
      <c r="BL361" s="35"/>
    </row>
    <row r="362" spans="1:64" ht="14">
      <c r="A362" s="36"/>
      <c r="B362" s="37"/>
      <c r="C362" s="38">
        <f t="shared" si="15"/>
        <v>0</v>
      </c>
      <c r="D362" s="39"/>
      <c r="E362" s="39"/>
      <c r="F362" s="39"/>
      <c r="G362" s="39"/>
      <c r="H362" s="40"/>
      <c r="I362" s="41"/>
      <c r="J362" s="39"/>
      <c r="K362" s="43">
        <f t="shared" si="16"/>
        <v>0</v>
      </c>
      <c r="L362" s="39"/>
      <c r="M362" s="42" t="str">
        <f t="shared" si="17"/>
        <v/>
      </c>
      <c r="N362" s="35"/>
      <c r="O362" s="35"/>
      <c r="P362" s="35"/>
      <c r="Q362" s="35"/>
      <c r="R362" s="35"/>
      <c r="S362" s="35"/>
      <c r="T362" s="35"/>
      <c r="U362" s="35"/>
      <c r="V362" s="35"/>
      <c r="W362" s="35"/>
      <c r="X362" s="35"/>
      <c r="Y362" s="35"/>
      <c r="Z362" s="35"/>
      <c r="AA362" s="35"/>
      <c r="AB362" s="35"/>
      <c r="AC362" s="35"/>
      <c r="AD362" s="35"/>
      <c r="AE362" s="35"/>
      <c r="AF362" s="35"/>
      <c r="AG362" s="35"/>
      <c r="AH362" s="35"/>
      <c r="AI362" s="35"/>
      <c r="AJ362" s="35"/>
      <c r="AK362" s="35"/>
      <c r="AL362" s="35"/>
      <c r="AM362" s="35"/>
      <c r="AN362" s="35"/>
      <c r="AO362" s="35"/>
      <c r="AP362" s="35"/>
      <c r="AQ362" s="35"/>
      <c r="AR362" s="35"/>
      <c r="AS362" s="35"/>
      <c r="AT362" s="35"/>
      <c r="AU362" s="35"/>
      <c r="AV362" s="35"/>
      <c r="AW362" s="35"/>
      <c r="AX362" s="35"/>
      <c r="AY362" s="35"/>
      <c r="AZ362" s="35"/>
      <c r="BA362" s="35"/>
      <c r="BB362" s="35"/>
      <c r="BC362" s="35"/>
      <c r="BD362" s="35"/>
      <c r="BE362" s="35"/>
      <c r="BF362" s="35"/>
      <c r="BG362" s="35"/>
      <c r="BH362" s="35"/>
      <c r="BI362" s="35"/>
      <c r="BJ362" s="35"/>
      <c r="BK362" s="35"/>
      <c r="BL362" s="35"/>
    </row>
    <row r="363" spans="1:64" ht="14">
      <c r="A363" s="36"/>
      <c r="B363" s="37"/>
      <c r="C363" s="38">
        <f t="shared" si="15"/>
        <v>0</v>
      </c>
      <c r="D363" s="39"/>
      <c r="E363" s="39"/>
      <c r="F363" s="39"/>
      <c r="G363" s="39"/>
      <c r="H363" s="40"/>
      <c r="I363" s="41"/>
      <c r="J363" s="39"/>
      <c r="K363" s="43">
        <f t="shared" si="16"/>
        <v>0</v>
      </c>
      <c r="L363" s="39"/>
      <c r="M363" s="42" t="str">
        <f t="shared" si="17"/>
        <v/>
      </c>
      <c r="N363" s="35"/>
      <c r="O363" s="35"/>
      <c r="P363" s="35"/>
      <c r="Q363" s="35"/>
      <c r="R363" s="35"/>
      <c r="S363" s="35"/>
      <c r="T363" s="35"/>
      <c r="U363" s="35"/>
      <c r="V363" s="35"/>
      <c r="W363" s="35"/>
      <c r="X363" s="35"/>
      <c r="Y363" s="35"/>
      <c r="Z363" s="35"/>
      <c r="AA363" s="35"/>
      <c r="AB363" s="35"/>
      <c r="AC363" s="35"/>
      <c r="AD363" s="35"/>
      <c r="AE363" s="35"/>
      <c r="AF363" s="35"/>
      <c r="AG363" s="35"/>
      <c r="AH363" s="35"/>
      <c r="AI363" s="35"/>
      <c r="AJ363" s="35"/>
      <c r="AK363" s="35"/>
      <c r="AL363" s="35"/>
      <c r="AM363" s="35"/>
      <c r="AN363" s="35"/>
      <c r="AO363" s="35"/>
      <c r="AP363" s="35"/>
      <c r="AQ363" s="35"/>
      <c r="AR363" s="35"/>
      <c r="AS363" s="35"/>
      <c r="AT363" s="35"/>
      <c r="AU363" s="35"/>
      <c r="AV363" s="35"/>
      <c r="AW363" s="35"/>
      <c r="AX363" s="35"/>
      <c r="AY363" s="35"/>
      <c r="AZ363" s="35"/>
      <c r="BA363" s="35"/>
      <c r="BB363" s="35"/>
      <c r="BC363" s="35"/>
      <c r="BD363" s="35"/>
      <c r="BE363" s="35"/>
      <c r="BF363" s="35"/>
      <c r="BG363" s="35"/>
      <c r="BH363" s="35"/>
      <c r="BI363" s="35"/>
      <c r="BJ363" s="35"/>
      <c r="BK363" s="35"/>
      <c r="BL363" s="35"/>
    </row>
    <row r="364" spans="1:64" ht="14">
      <c r="A364" s="36"/>
      <c r="B364" s="37"/>
      <c r="C364" s="38">
        <f t="shared" si="15"/>
        <v>0</v>
      </c>
      <c r="D364" s="39"/>
      <c r="E364" s="39"/>
      <c r="F364" s="39"/>
      <c r="G364" s="39"/>
      <c r="H364" s="40"/>
      <c r="I364" s="41"/>
      <c r="J364" s="39"/>
      <c r="K364" s="43">
        <f t="shared" si="16"/>
        <v>0</v>
      </c>
      <c r="L364" s="39"/>
      <c r="M364" s="42" t="str">
        <f t="shared" si="17"/>
        <v/>
      </c>
      <c r="N364" s="35"/>
      <c r="O364" s="35"/>
      <c r="P364" s="35"/>
      <c r="Q364" s="35"/>
      <c r="R364" s="35"/>
      <c r="S364" s="35"/>
      <c r="T364" s="35"/>
      <c r="U364" s="35"/>
      <c r="V364" s="35"/>
      <c r="W364" s="35"/>
      <c r="X364" s="35"/>
      <c r="Y364" s="35"/>
      <c r="Z364" s="35"/>
      <c r="AA364" s="35"/>
      <c r="AB364" s="35"/>
      <c r="AC364" s="35"/>
      <c r="AD364" s="35"/>
      <c r="AE364" s="35"/>
      <c r="AF364" s="35"/>
      <c r="AG364" s="35"/>
      <c r="AH364" s="35"/>
      <c r="AI364" s="35"/>
      <c r="AJ364" s="35"/>
      <c r="AK364" s="35"/>
      <c r="AL364" s="35"/>
      <c r="AM364" s="35"/>
      <c r="AN364" s="35"/>
      <c r="AO364" s="35"/>
      <c r="AP364" s="35"/>
      <c r="AQ364" s="35"/>
      <c r="AR364" s="35"/>
      <c r="AS364" s="35"/>
      <c r="AT364" s="35"/>
      <c r="AU364" s="35"/>
      <c r="AV364" s="35"/>
      <c r="AW364" s="35"/>
      <c r="AX364" s="35"/>
      <c r="AY364" s="35"/>
      <c r="AZ364" s="35"/>
      <c r="BA364" s="35"/>
      <c r="BB364" s="35"/>
      <c r="BC364" s="35"/>
      <c r="BD364" s="35"/>
      <c r="BE364" s="35"/>
      <c r="BF364" s="35"/>
      <c r="BG364" s="35"/>
      <c r="BH364" s="35"/>
      <c r="BI364" s="35"/>
      <c r="BJ364" s="35"/>
      <c r="BK364" s="35"/>
      <c r="BL364" s="35"/>
    </row>
    <row r="365" spans="1:64" ht="14">
      <c r="A365" s="36"/>
      <c r="B365" s="37"/>
      <c r="C365" s="38">
        <f t="shared" si="15"/>
        <v>0</v>
      </c>
      <c r="D365" s="39"/>
      <c r="E365" s="39"/>
      <c r="F365" s="39"/>
      <c r="G365" s="39"/>
      <c r="H365" s="40"/>
      <c r="I365" s="41"/>
      <c r="J365" s="39"/>
      <c r="K365" s="43">
        <f t="shared" si="16"/>
        <v>0</v>
      </c>
      <c r="L365" s="39"/>
      <c r="M365" s="42" t="str">
        <f t="shared" si="17"/>
        <v/>
      </c>
      <c r="N365" s="35"/>
      <c r="O365" s="35"/>
      <c r="P365" s="35"/>
      <c r="Q365" s="35"/>
      <c r="R365" s="35"/>
      <c r="S365" s="35"/>
      <c r="T365" s="35"/>
      <c r="U365" s="35"/>
      <c r="V365" s="35"/>
      <c r="W365" s="35"/>
      <c r="X365" s="35"/>
      <c r="Y365" s="35"/>
      <c r="Z365" s="35"/>
      <c r="AA365" s="35"/>
      <c r="AB365" s="35"/>
      <c r="AC365" s="35"/>
      <c r="AD365" s="35"/>
      <c r="AE365" s="35"/>
      <c r="AF365" s="35"/>
      <c r="AG365" s="35"/>
      <c r="AH365" s="35"/>
      <c r="AI365" s="35"/>
      <c r="AJ365" s="35"/>
      <c r="AK365" s="35"/>
      <c r="AL365" s="35"/>
      <c r="AM365" s="35"/>
      <c r="AN365" s="35"/>
      <c r="AO365" s="35"/>
      <c r="AP365" s="35"/>
      <c r="AQ365" s="35"/>
      <c r="AR365" s="35"/>
      <c r="AS365" s="35"/>
      <c r="AT365" s="35"/>
      <c r="AU365" s="35"/>
      <c r="AV365" s="35"/>
      <c r="AW365" s="35"/>
      <c r="AX365" s="35"/>
      <c r="AY365" s="35"/>
      <c r="AZ365" s="35"/>
      <c r="BA365" s="35"/>
      <c r="BB365" s="35"/>
      <c r="BC365" s="35"/>
      <c r="BD365" s="35"/>
      <c r="BE365" s="35"/>
      <c r="BF365" s="35"/>
      <c r="BG365" s="35"/>
      <c r="BH365" s="35"/>
      <c r="BI365" s="35"/>
      <c r="BJ365" s="35"/>
      <c r="BK365" s="35"/>
      <c r="BL365" s="35"/>
    </row>
    <row r="366" spans="1:64" ht="14">
      <c r="A366" s="36"/>
      <c r="B366" s="37"/>
      <c r="C366" s="38">
        <f t="shared" si="15"/>
        <v>0</v>
      </c>
      <c r="D366" s="39"/>
      <c r="E366" s="39"/>
      <c r="F366" s="39"/>
      <c r="G366" s="39"/>
      <c r="H366" s="40"/>
      <c r="I366" s="41"/>
      <c r="J366" s="39"/>
      <c r="K366" s="43">
        <f t="shared" si="16"/>
        <v>0</v>
      </c>
      <c r="L366" s="39"/>
      <c r="M366" s="42" t="str">
        <f t="shared" si="17"/>
        <v/>
      </c>
      <c r="N366" s="35"/>
      <c r="O366" s="35"/>
      <c r="P366" s="35"/>
      <c r="Q366" s="35"/>
      <c r="R366" s="35"/>
      <c r="S366" s="35"/>
      <c r="T366" s="35"/>
      <c r="U366" s="35"/>
      <c r="V366" s="35"/>
      <c r="W366" s="35"/>
      <c r="X366" s="35"/>
      <c r="Y366" s="35"/>
      <c r="Z366" s="35"/>
      <c r="AA366" s="35"/>
      <c r="AB366" s="35"/>
      <c r="AC366" s="35"/>
      <c r="AD366" s="35"/>
      <c r="AE366" s="35"/>
      <c r="AF366" s="35"/>
      <c r="AG366" s="35"/>
      <c r="AH366" s="35"/>
      <c r="AI366" s="35"/>
      <c r="AJ366" s="35"/>
      <c r="AK366" s="35"/>
      <c r="AL366" s="35"/>
      <c r="AM366" s="35"/>
      <c r="AN366" s="35"/>
      <c r="AO366" s="35"/>
      <c r="AP366" s="35"/>
      <c r="AQ366" s="35"/>
      <c r="AR366" s="35"/>
      <c r="AS366" s="35"/>
      <c r="AT366" s="35"/>
      <c r="AU366" s="35"/>
      <c r="AV366" s="35"/>
      <c r="AW366" s="35"/>
      <c r="AX366" s="35"/>
      <c r="AY366" s="35"/>
      <c r="AZ366" s="35"/>
      <c r="BA366" s="35"/>
      <c r="BB366" s="35"/>
      <c r="BC366" s="35"/>
      <c r="BD366" s="35"/>
      <c r="BE366" s="35"/>
      <c r="BF366" s="35"/>
      <c r="BG366" s="35"/>
      <c r="BH366" s="35"/>
      <c r="BI366" s="35"/>
      <c r="BJ366" s="35"/>
      <c r="BK366" s="35"/>
      <c r="BL366" s="35"/>
    </row>
    <row r="367" spans="1:64" ht="14">
      <c r="A367" s="36"/>
      <c r="B367" s="37"/>
      <c r="C367" s="38">
        <f t="shared" si="15"/>
        <v>0</v>
      </c>
      <c r="D367" s="39"/>
      <c r="E367" s="39"/>
      <c r="F367" s="39"/>
      <c r="G367" s="39"/>
      <c r="H367" s="40"/>
      <c r="I367" s="41"/>
      <c r="J367" s="39"/>
      <c r="K367" s="43">
        <f t="shared" si="16"/>
        <v>0</v>
      </c>
      <c r="L367" s="39"/>
      <c r="M367" s="42" t="str">
        <f t="shared" si="17"/>
        <v/>
      </c>
      <c r="N367" s="35"/>
      <c r="O367" s="35"/>
      <c r="P367" s="35"/>
      <c r="Q367" s="35"/>
      <c r="R367" s="35"/>
      <c r="S367" s="35"/>
      <c r="T367" s="35"/>
      <c r="U367" s="35"/>
      <c r="V367" s="35"/>
      <c r="W367" s="35"/>
      <c r="X367" s="35"/>
      <c r="Y367" s="35"/>
      <c r="Z367" s="35"/>
      <c r="AA367" s="35"/>
      <c r="AB367" s="35"/>
      <c r="AC367" s="35"/>
      <c r="AD367" s="35"/>
      <c r="AE367" s="35"/>
      <c r="AF367" s="35"/>
      <c r="AG367" s="35"/>
      <c r="AH367" s="35"/>
      <c r="AI367" s="35"/>
      <c r="AJ367" s="35"/>
      <c r="AK367" s="35"/>
      <c r="AL367" s="35"/>
      <c r="AM367" s="35"/>
      <c r="AN367" s="35"/>
      <c r="AO367" s="35"/>
      <c r="AP367" s="35"/>
      <c r="AQ367" s="35"/>
      <c r="AR367" s="35"/>
      <c r="AS367" s="35"/>
      <c r="AT367" s="35"/>
      <c r="AU367" s="35"/>
      <c r="AV367" s="35"/>
      <c r="AW367" s="35"/>
      <c r="AX367" s="35"/>
      <c r="AY367" s="35"/>
      <c r="AZ367" s="35"/>
      <c r="BA367" s="35"/>
      <c r="BB367" s="35"/>
      <c r="BC367" s="35"/>
      <c r="BD367" s="35"/>
      <c r="BE367" s="35"/>
      <c r="BF367" s="35"/>
      <c r="BG367" s="35"/>
      <c r="BH367" s="35"/>
      <c r="BI367" s="35"/>
      <c r="BJ367" s="35"/>
      <c r="BK367" s="35"/>
      <c r="BL367" s="35"/>
    </row>
    <row r="368" spans="1:64" ht="14">
      <c r="A368" s="36"/>
      <c r="B368" s="37"/>
      <c r="C368" s="38">
        <f t="shared" si="15"/>
        <v>0</v>
      </c>
      <c r="D368" s="39"/>
      <c r="E368" s="39"/>
      <c r="F368" s="39"/>
      <c r="G368" s="39"/>
      <c r="H368" s="40"/>
      <c r="I368" s="41"/>
      <c r="J368" s="39"/>
      <c r="K368" s="43">
        <f t="shared" si="16"/>
        <v>0</v>
      </c>
      <c r="L368" s="39"/>
      <c r="M368" s="42" t="str">
        <f t="shared" si="17"/>
        <v/>
      </c>
      <c r="N368" s="35"/>
      <c r="O368" s="35"/>
      <c r="P368" s="35"/>
      <c r="Q368" s="35"/>
      <c r="R368" s="35"/>
      <c r="S368" s="35"/>
      <c r="T368" s="35"/>
      <c r="U368" s="35"/>
      <c r="V368" s="35"/>
      <c r="W368" s="35"/>
      <c r="X368" s="35"/>
      <c r="Y368" s="35"/>
      <c r="Z368" s="35"/>
      <c r="AA368" s="35"/>
      <c r="AB368" s="35"/>
      <c r="AC368" s="35"/>
      <c r="AD368" s="35"/>
      <c r="AE368" s="35"/>
      <c r="AF368" s="35"/>
      <c r="AG368" s="35"/>
      <c r="AH368" s="35"/>
      <c r="AI368" s="35"/>
      <c r="AJ368" s="35"/>
      <c r="AK368" s="35"/>
      <c r="AL368" s="35"/>
      <c r="AM368" s="35"/>
      <c r="AN368" s="35"/>
      <c r="AO368" s="35"/>
      <c r="AP368" s="35"/>
      <c r="AQ368" s="35"/>
      <c r="AR368" s="35"/>
      <c r="AS368" s="35"/>
      <c r="AT368" s="35"/>
      <c r="AU368" s="35"/>
      <c r="AV368" s="35"/>
      <c r="AW368" s="35"/>
      <c r="AX368" s="35"/>
      <c r="AY368" s="35"/>
      <c r="AZ368" s="35"/>
      <c r="BA368" s="35"/>
      <c r="BB368" s="35"/>
      <c r="BC368" s="35"/>
      <c r="BD368" s="35"/>
      <c r="BE368" s="35"/>
      <c r="BF368" s="35"/>
      <c r="BG368" s="35"/>
      <c r="BH368" s="35"/>
      <c r="BI368" s="35"/>
      <c r="BJ368" s="35"/>
      <c r="BK368" s="35"/>
      <c r="BL368" s="35"/>
    </row>
    <row r="369" spans="1:64" ht="14">
      <c r="A369" s="36"/>
      <c r="B369" s="37"/>
      <c r="C369" s="38">
        <f t="shared" si="15"/>
        <v>0</v>
      </c>
      <c r="D369" s="39"/>
      <c r="E369" s="39"/>
      <c r="F369" s="39"/>
      <c r="G369" s="39"/>
      <c r="H369" s="40"/>
      <c r="I369" s="41"/>
      <c r="J369" s="39"/>
      <c r="K369" s="43">
        <f t="shared" si="16"/>
        <v>0</v>
      </c>
      <c r="L369" s="39"/>
      <c r="M369" s="42" t="str">
        <f t="shared" si="17"/>
        <v/>
      </c>
      <c r="N369" s="35"/>
      <c r="O369" s="35"/>
      <c r="P369" s="35"/>
      <c r="Q369" s="35"/>
      <c r="R369" s="35"/>
      <c r="S369" s="35"/>
      <c r="T369" s="35"/>
      <c r="U369" s="35"/>
      <c r="V369" s="35"/>
      <c r="W369" s="35"/>
      <c r="X369" s="35"/>
      <c r="Y369" s="35"/>
      <c r="Z369" s="35"/>
      <c r="AA369" s="35"/>
      <c r="AB369" s="35"/>
      <c r="AC369" s="35"/>
      <c r="AD369" s="35"/>
      <c r="AE369" s="35"/>
      <c r="AF369" s="35"/>
      <c r="AG369" s="35"/>
      <c r="AH369" s="35"/>
      <c r="AI369" s="35"/>
      <c r="AJ369" s="35"/>
      <c r="AK369" s="35"/>
      <c r="AL369" s="35"/>
      <c r="AM369" s="35"/>
      <c r="AN369" s="35"/>
      <c r="AO369" s="35"/>
      <c r="AP369" s="35"/>
      <c r="AQ369" s="35"/>
      <c r="AR369" s="35"/>
      <c r="AS369" s="35"/>
      <c r="AT369" s="35"/>
      <c r="AU369" s="35"/>
      <c r="AV369" s="35"/>
      <c r="AW369" s="35"/>
      <c r="AX369" s="35"/>
      <c r="AY369" s="35"/>
      <c r="AZ369" s="35"/>
      <c r="BA369" s="35"/>
      <c r="BB369" s="35"/>
      <c r="BC369" s="35"/>
      <c r="BD369" s="35"/>
      <c r="BE369" s="35"/>
      <c r="BF369" s="35"/>
      <c r="BG369" s="35"/>
      <c r="BH369" s="35"/>
      <c r="BI369" s="35"/>
      <c r="BJ369" s="35"/>
      <c r="BK369" s="35"/>
      <c r="BL369" s="35"/>
    </row>
    <row r="370" spans="1:64" ht="14">
      <c r="A370" s="36"/>
      <c r="B370" s="37"/>
      <c r="C370" s="38">
        <f t="shared" si="15"/>
        <v>0</v>
      </c>
      <c r="D370" s="39"/>
      <c r="E370" s="39"/>
      <c r="F370" s="39"/>
      <c r="G370" s="39"/>
      <c r="H370" s="40"/>
      <c r="I370" s="41"/>
      <c r="J370" s="39"/>
      <c r="K370" s="43">
        <f t="shared" si="16"/>
        <v>0</v>
      </c>
      <c r="L370" s="39"/>
      <c r="M370" s="42" t="str">
        <f t="shared" si="17"/>
        <v/>
      </c>
      <c r="N370" s="35"/>
      <c r="O370" s="35"/>
      <c r="P370" s="35"/>
      <c r="Q370" s="35"/>
      <c r="R370" s="35"/>
      <c r="S370" s="35"/>
      <c r="T370" s="35"/>
      <c r="U370" s="35"/>
      <c r="V370" s="35"/>
      <c r="W370" s="35"/>
      <c r="X370" s="35"/>
      <c r="Y370" s="35"/>
      <c r="Z370" s="35"/>
      <c r="AA370" s="35"/>
      <c r="AB370" s="35"/>
      <c r="AC370" s="35"/>
      <c r="AD370" s="35"/>
      <c r="AE370" s="35"/>
      <c r="AF370" s="35"/>
      <c r="AG370" s="35"/>
      <c r="AH370" s="35"/>
      <c r="AI370" s="35"/>
      <c r="AJ370" s="35"/>
      <c r="AK370" s="35"/>
      <c r="AL370" s="35"/>
      <c r="AM370" s="35"/>
      <c r="AN370" s="35"/>
      <c r="AO370" s="35"/>
      <c r="AP370" s="35"/>
      <c r="AQ370" s="35"/>
      <c r="AR370" s="35"/>
      <c r="AS370" s="35"/>
      <c r="AT370" s="35"/>
      <c r="AU370" s="35"/>
      <c r="AV370" s="35"/>
      <c r="AW370" s="35"/>
      <c r="AX370" s="35"/>
      <c r="AY370" s="35"/>
      <c r="AZ370" s="35"/>
      <c r="BA370" s="35"/>
      <c r="BB370" s="35"/>
      <c r="BC370" s="35"/>
      <c r="BD370" s="35"/>
      <c r="BE370" s="35"/>
      <c r="BF370" s="35"/>
      <c r="BG370" s="35"/>
      <c r="BH370" s="35"/>
      <c r="BI370" s="35"/>
      <c r="BJ370" s="35"/>
      <c r="BK370" s="35"/>
      <c r="BL370" s="35"/>
    </row>
    <row r="371" spans="1:64" ht="14">
      <c r="A371" s="36"/>
      <c r="B371" s="37"/>
      <c r="C371" s="38">
        <f t="shared" si="15"/>
        <v>0</v>
      </c>
      <c r="D371" s="39"/>
      <c r="E371" s="39"/>
      <c r="F371" s="39"/>
      <c r="G371" s="39"/>
      <c r="H371" s="40"/>
      <c r="I371" s="41"/>
      <c r="J371" s="39"/>
      <c r="K371" s="43">
        <f t="shared" si="16"/>
        <v>0</v>
      </c>
      <c r="L371" s="39"/>
      <c r="M371" s="42" t="str">
        <f t="shared" si="17"/>
        <v/>
      </c>
      <c r="N371" s="35"/>
      <c r="O371" s="35"/>
      <c r="P371" s="35"/>
      <c r="Q371" s="35"/>
      <c r="R371" s="35"/>
      <c r="S371" s="35"/>
      <c r="T371" s="35"/>
      <c r="U371" s="35"/>
      <c r="V371" s="35"/>
      <c r="W371" s="35"/>
      <c r="X371" s="35"/>
      <c r="Y371" s="35"/>
      <c r="Z371" s="35"/>
      <c r="AA371" s="35"/>
      <c r="AB371" s="35"/>
      <c r="AC371" s="35"/>
      <c r="AD371" s="35"/>
      <c r="AE371" s="35"/>
      <c r="AF371" s="35"/>
      <c r="AG371" s="35"/>
      <c r="AH371" s="35"/>
      <c r="AI371" s="35"/>
      <c r="AJ371" s="35"/>
      <c r="AK371" s="35"/>
      <c r="AL371" s="35"/>
      <c r="AM371" s="35"/>
      <c r="AN371" s="35"/>
      <c r="AO371" s="35"/>
      <c r="AP371" s="35"/>
      <c r="AQ371" s="35"/>
      <c r="AR371" s="35"/>
      <c r="AS371" s="35"/>
      <c r="AT371" s="35"/>
      <c r="AU371" s="35"/>
      <c r="AV371" s="35"/>
      <c r="AW371" s="35"/>
      <c r="AX371" s="35"/>
      <c r="AY371" s="35"/>
      <c r="AZ371" s="35"/>
      <c r="BA371" s="35"/>
      <c r="BB371" s="35"/>
      <c r="BC371" s="35"/>
      <c r="BD371" s="35"/>
      <c r="BE371" s="35"/>
      <c r="BF371" s="35"/>
      <c r="BG371" s="35"/>
      <c r="BH371" s="35"/>
      <c r="BI371" s="35"/>
      <c r="BJ371" s="35"/>
      <c r="BK371" s="35"/>
      <c r="BL371" s="35"/>
    </row>
    <row r="372" spans="1:64" ht="14">
      <c r="A372" s="36"/>
      <c r="B372" s="37"/>
      <c r="C372" s="38">
        <f t="shared" si="15"/>
        <v>0</v>
      </c>
      <c r="D372" s="39"/>
      <c r="E372" s="39"/>
      <c r="F372" s="39"/>
      <c r="G372" s="39"/>
      <c r="H372" s="40"/>
      <c r="I372" s="41"/>
      <c r="J372" s="39"/>
      <c r="K372" s="43">
        <f t="shared" si="16"/>
        <v>0</v>
      </c>
      <c r="L372" s="39"/>
      <c r="M372" s="42" t="str">
        <f t="shared" si="17"/>
        <v/>
      </c>
      <c r="N372" s="35"/>
      <c r="O372" s="35"/>
      <c r="P372" s="35"/>
      <c r="Q372" s="35"/>
      <c r="R372" s="35"/>
      <c r="S372" s="35"/>
      <c r="T372" s="35"/>
      <c r="U372" s="35"/>
      <c r="V372" s="35"/>
      <c r="W372" s="35"/>
      <c r="X372" s="35"/>
      <c r="Y372" s="35"/>
      <c r="Z372" s="35"/>
      <c r="AA372" s="35"/>
      <c r="AB372" s="35"/>
      <c r="AC372" s="35"/>
      <c r="AD372" s="35"/>
      <c r="AE372" s="35"/>
      <c r="AF372" s="35"/>
      <c r="AG372" s="35"/>
      <c r="AH372" s="35"/>
      <c r="AI372" s="35"/>
      <c r="AJ372" s="35"/>
      <c r="AK372" s="35"/>
      <c r="AL372" s="35"/>
      <c r="AM372" s="35"/>
      <c r="AN372" s="35"/>
      <c r="AO372" s="35"/>
      <c r="AP372" s="35"/>
      <c r="AQ372" s="35"/>
      <c r="AR372" s="35"/>
      <c r="AS372" s="35"/>
      <c r="AT372" s="35"/>
      <c r="AU372" s="35"/>
      <c r="AV372" s="35"/>
      <c r="AW372" s="35"/>
      <c r="AX372" s="35"/>
      <c r="AY372" s="35"/>
      <c r="AZ372" s="35"/>
      <c r="BA372" s="35"/>
      <c r="BB372" s="35"/>
      <c r="BC372" s="35"/>
      <c r="BD372" s="35"/>
      <c r="BE372" s="35"/>
      <c r="BF372" s="35"/>
      <c r="BG372" s="35"/>
      <c r="BH372" s="35"/>
      <c r="BI372" s="35"/>
      <c r="BJ372" s="35"/>
      <c r="BK372" s="35"/>
      <c r="BL372" s="35"/>
    </row>
    <row r="373" spans="1:64" ht="14">
      <c r="A373" s="36"/>
      <c r="B373" s="37"/>
      <c r="C373" s="38">
        <f t="shared" si="15"/>
        <v>0</v>
      </c>
      <c r="D373" s="39"/>
      <c r="E373" s="39"/>
      <c r="F373" s="39"/>
      <c r="G373" s="39"/>
      <c r="H373" s="40"/>
      <c r="I373" s="41"/>
      <c r="J373" s="39"/>
      <c r="K373" s="43">
        <f t="shared" si="16"/>
        <v>0</v>
      </c>
      <c r="L373" s="39"/>
      <c r="M373" s="42" t="str">
        <f t="shared" si="17"/>
        <v/>
      </c>
      <c r="N373" s="35"/>
      <c r="O373" s="35"/>
      <c r="P373" s="35"/>
      <c r="Q373" s="35"/>
      <c r="R373" s="35"/>
      <c r="S373" s="35"/>
      <c r="T373" s="35"/>
      <c r="U373" s="35"/>
      <c r="V373" s="35"/>
      <c r="W373" s="35"/>
      <c r="X373" s="35"/>
      <c r="Y373" s="35"/>
      <c r="Z373" s="35"/>
      <c r="AA373" s="35"/>
      <c r="AB373" s="35"/>
      <c r="AC373" s="35"/>
      <c r="AD373" s="35"/>
      <c r="AE373" s="35"/>
      <c r="AF373" s="35"/>
      <c r="AG373" s="35"/>
      <c r="AH373" s="35"/>
      <c r="AI373" s="35"/>
      <c r="AJ373" s="35"/>
      <c r="AK373" s="35"/>
      <c r="AL373" s="35"/>
      <c r="AM373" s="35"/>
      <c r="AN373" s="35"/>
      <c r="AO373" s="35"/>
      <c r="AP373" s="35"/>
      <c r="AQ373" s="35"/>
      <c r="AR373" s="35"/>
      <c r="AS373" s="35"/>
      <c r="AT373" s="35"/>
      <c r="AU373" s="35"/>
      <c r="AV373" s="35"/>
      <c r="AW373" s="35"/>
      <c r="AX373" s="35"/>
      <c r="AY373" s="35"/>
      <c r="AZ373" s="35"/>
      <c r="BA373" s="35"/>
      <c r="BB373" s="35"/>
      <c r="BC373" s="35"/>
      <c r="BD373" s="35"/>
      <c r="BE373" s="35"/>
      <c r="BF373" s="35"/>
      <c r="BG373" s="35"/>
      <c r="BH373" s="35"/>
      <c r="BI373" s="35"/>
      <c r="BJ373" s="35"/>
      <c r="BK373" s="35"/>
      <c r="BL373" s="35"/>
    </row>
    <row r="374" spans="1:64" ht="14">
      <c r="A374" s="36"/>
      <c r="B374" s="37"/>
      <c r="C374" s="38">
        <f t="shared" si="15"/>
        <v>0</v>
      </c>
      <c r="D374" s="39"/>
      <c r="E374" s="39"/>
      <c r="F374" s="39"/>
      <c r="G374" s="39"/>
      <c r="H374" s="40"/>
      <c r="I374" s="41"/>
      <c r="J374" s="39"/>
      <c r="K374" s="43">
        <f t="shared" si="16"/>
        <v>0</v>
      </c>
      <c r="L374" s="39"/>
      <c r="M374" s="42" t="str">
        <f t="shared" si="17"/>
        <v/>
      </c>
      <c r="N374" s="35"/>
      <c r="O374" s="35"/>
      <c r="P374" s="35"/>
      <c r="Q374" s="35"/>
      <c r="R374" s="35"/>
      <c r="S374" s="35"/>
      <c r="T374" s="35"/>
      <c r="U374" s="35"/>
      <c r="V374" s="35"/>
      <c r="W374" s="35"/>
      <c r="X374" s="35"/>
      <c r="Y374" s="35"/>
      <c r="Z374" s="35"/>
      <c r="AA374" s="35"/>
      <c r="AB374" s="35"/>
      <c r="AC374" s="35"/>
      <c r="AD374" s="35"/>
      <c r="AE374" s="35"/>
      <c r="AF374" s="35"/>
      <c r="AG374" s="35"/>
      <c r="AH374" s="35"/>
      <c r="AI374" s="35"/>
      <c r="AJ374" s="35"/>
      <c r="AK374" s="35"/>
      <c r="AL374" s="35"/>
      <c r="AM374" s="35"/>
      <c r="AN374" s="35"/>
      <c r="AO374" s="35"/>
      <c r="AP374" s="35"/>
      <c r="AQ374" s="35"/>
      <c r="AR374" s="35"/>
      <c r="AS374" s="35"/>
      <c r="AT374" s="35"/>
      <c r="AU374" s="35"/>
      <c r="AV374" s="35"/>
      <c r="AW374" s="35"/>
      <c r="AX374" s="35"/>
      <c r="AY374" s="35"/>
      <c r="AZ374" s="35"/>
      <c r="BA374" s="35"/>
      <c r="BB374" s="35"/>
      <c r="BC374" s="35"/>
      <c r="BD374" s="35"/>
      <c r="BE374" s="35"/>
      <c r="BF374" s="35"/>
      <c r="BG374" s="35"/>
      <c r="BH374" s="35"/>
      <c r="BI374" s="35"/>
      <c r="BJ374" s="35"/>
      <c r="BK374" s="35"/>
      <c r="BL374" s="35"/>
    </row>
    <row r="375" spans="1:64" ht="14">
      <c r="A375" s="36"/>
      <c r="B375" s="37"/>
      <c r="C375" s="38">
        <f t="shared" si="15"/>
        <v>0</v>
      </c>
      <c r="D375" s="39"/>
      <c r="E375" s="39"/>
      <c r="F375" s="39"/>
      <c r="G375" s="39"/>
      <c r="H375" s="40"/>
      <c r="I375" s="41"/>
      <c r="J375" s="39"/>
      <c r="K375" s="43">
        <f t="shared" si="16"/>
        <v>0</v>
      </c>
      <c r="L375" s="39"/>
      <c r="M375" s="42" t="str">
        <f t="shared" si="17"/>
        <v/>
      </c>
      <c r="N375" s="35"/>
      <c r="O375" s="35"/>
      <c r="P375" s="35"/>
      <c r="Q375" s="35"/>
      <c r="R375" s="35"/>
      <c r="S375" s="35"/>
      <c r="T375" s="35"/>
      <c r="U375" s="35"/>
      <c r="V375" s="35"/>
      <c r="W375" s="35"/>
      <c r="X375" s="35"/>
      <c r="Y375" s="35"/>
      <c r="Z375" s="35"/>
      <c r="AA375" s="35"/>
      <c r="AB375" s="35"/>
      <c r="AC375" s="35"/>
      <c r="AD375" s="35"/>
      <c r="AE375" s="35"/>
      <c r="AF375" s="35"/>
      <c r="AG375" s="35"/>
      <c r="AH375" s="35"/>
      <c r="AI375" s="35"/>
      <c r="AJ375" s="35"/>
      <c r="AK375" s="35"/>
      <c r="AL375" s="35"/>
      <c r="AM375" s="35"/>
      <c r="AN375" s="35"/>
      <c r="AO375" s="35"/>
      <c r="AP375" s="35"/>
      <c r="AQ375" s="35"/>
      <c r="AR375" s="35"/>
      <c r="AS375" s="35"/>
      <c r="AT375" s="35"/>
      <c r="AU375" s="35"/>
      <c r="AV375" s="35"/>
      <c r="AW375" s="35"/>
      <c r="AX375" s="35"/>
      <c r="AY375" s="35"/>
      <c r="AZ375" s="35"/>
      <c r="BA375" s="35"/>
      <c r="BB375" s="35"/>
      <c r="BC375" s="35"/>
      <c r="BD375" s="35"/>
      <c r="BE375" s="35"/>
      <c r="BF375" s="35"/>
      <c r="BG375" s="35"/>
      <c r="BH375" s="35"/>
      <c r="BI375" s="35"/>
      <c r="BJ375" s="35"/>
      <c r="BK375" s="35"/>
      <c r="BL375" s="35"/>
    </row>
    <row r="376" spans="1:64" ht="14">
      <c r="A376" s="36"/>
      <c r="B376" s="37"/>
      <c r="C376" s="38">
        <f t="shared" si="15"/>
        <v>0</v>
      </c>
      <c r="D376" s="39"/>
      <c r="E376" s="39"/>
      <c r="F376" s="39"/>
      <c r="G376" s="39"/>
      <c r="H376" s="40"/>
      <c r="I376" s="41"/>
      <c r="J376" s="39"/>
      <c r="K376" s="43">
        <f t="shared" si="16"/>
        <v>0</v>
      </c>
      <c r="L376" s="39"/>
      <c r="M376" s="42" t="str">
        <f t="shared" si="17"/>
        <v/>
      </c>
      <c r="N376" s="35"/>
      <c r="O376" s="35"/>
      <c r="P376" s="35"/>
      <c r="Q376" s="35"/>
      <c r="R376" s="35"/>
      <c r="S376" s="35"/>
      <c r="T376" s="35"/>
      <c r="U376" s="35"/>
      <c r="V376" s="35"/>
      <c r="W376" s="35"/>
      <c r="X376" s="35"/>
      <c r="Y376" s="35"/>
      <c r="Z376" s="35"/>
      <c r="AA376" s="35"/>
      <c r="AB376" s="35"/>
      <c r="AC376" s="35"/>
      <c r="AD376" s="35"/>
      <c r="AE376" s="35"/>
      <c r="AF376" s="35"/>
      <c r="AG376" s="35"/>
      <c r="AH376" s="35"/>
      <c r="AI376" s="35"/>
      <c r="AJ376" s="35"/>
      <c r="AK376" s="35"/>
      <c r="AL376" s="35"/>
      <c r="AM376" s="35"/>
      <c r="AN376" s="35"/>
      <c r="AO376" s="35"/>
      <c r="AP376" s="35"/>
      <c r="AQ376" s="35"/>
      <c r="AR376" s="35"/>
      <c r="AS376" s="35"/>
      <c r="AT376" s="35"/>
      <c r="AU376" s="35"/>
      <c r="AV376" s="35"/>
      <c r="AW376" s="35"/>
      <c r="AX376" s="35"/>
      <c r="AY376" s="35"/>
      <c r="AZ376" s="35"/>
      <c r="BA376" s="35"/>
      <c r="BB376" s="35"/>
      <c r="BC376" s="35"/>
      <c r="BD376" s="35"/>
      <c r="BE376" s="35"/>
      <c r="BF376" s="35"/>
      <c r="BG376" s="35"/>
      <c r="BH376" s="35"/>
      <c r="BI376" s="35"/>
      <c r="BJ376" s="35"/>
      <c r="BK376" s="35"/>
      <c r="BL376" s="35"/>
    </row>
    <row r="377" spans="1:64" ht="14">
      <c r="A377" s="36"/>
      <c r="B377" s="37"/>
      <c r="C377" s="38">
        <f t="shared" si="15"/>
        <v>0</v>
      </c>
      <c r="D377" s="39"/>
      <c r="E377" s="39"/>
      <c r="F377" s="39"/>
      <c r="G377" s="39"/>
      <c r="H377" s="40"/>
      <c r="I377" s="41"/>
      <c r="J377" s="39"/>
      <c r="K377" s="43">
        <f t="shared" si="16"/>
        <v>0</v>
      </c>
      <c r="L377" s="39"/>
      <c r="M377" s="42" t="str">
        <f t="shared" si="17"/>
        <v/>
      </c>
      <c r="N377" s="35"/>
      <c r="O377" s="35"/>
      <c r="P377" s="35"/>
      <c r="Q377" s="35"/>
      <c r="R377" s="35"/>
      <c r="S377" s="35"/>
      <c r="T377" s="35"/>
      <c r="U377" s="35"/>
      <c r="V377" s="35"/>
      <c r="W377" s="35"/>
      <c r="X377" s="35"/>
      <c r="Y377" s="35"/>
      <c r="Z377" s="35"/>
      <c r="AA377" s="35"/>
      <c r="AB377" s="35"/>
      <c r="AC377" s="35"/>
      <c r="AD377" s="35"/>
      <c r="AE377" s="35"/>
      <c r="AF377" s="35"/>
      <c r="AG377" s="35"/>
      <c r="AH377" s="35"/>
      <c r="AI377" s="35"/>
      <c r="AJ377" s="35"/>
      <c r="AK377" s="35"/>
      <c r="AL377" s="35"/>
      <c r="AM377" s="35"/>
      <c r="AN377" s="35"/>
      <c r="AO377" s="35"/>
      <c r="AP377" s="35"/>
      <c r="AQ377" s="35"/>
      <c r="AR377" s="35"/>
      <c r="AS377" s="35"/>
      <c r="AT377" s="35"/>
      <c r="AU377" s="35"/>
      <c r="AV377" s="35"/>
      <c r="AW377" s="35"/>
      <c r="AX377" s="35"/>
      <c r="AY377" s="35"/>
      <c r="AZ377" s="35"/>
      <c r="BA377" s="35"/>
      <c r="BB377" s="35"/>
      <c r="BC377" s="35"/>
      <c r="BD377" s="35"/>
      <c r="BE377" s="35"/>
      <c r="BF377" s="35"/>
      <c r="BG377" s="35"/>
      <c r="BH377" s="35"/>
      <c r="BI377" s="35"/>
      <c r="BJ377" s="35"/>
      <c r="BK377" s="35"/>
      <c r="BL377" s="35"/>
    </row>
    <row r="378" spans="1:64" ht="14">
      <c r="A378" s="36"/>
      <c r="B378" s="37"/>
      <c r="C378" s="38">
        <f t="shared" si="15"/>
        <v>0</v>
      </c>
      <c r="D378" s="39"/>
      <c r="E378" s="39"/>
      <c r="F378" s="39"/>
      <c r="G378" s="39"/>
      <c r="H378" s="40"/>
      <c r="I378" s="41"/>
      <c r="J378" s="39"/>
      <c r="K378" s="43">
        <f t="shared" si="16"/>
        <v>0</v>
      </c>
      <c r="L378" s="39"/>
      <c r="M378" s="42" t="str">
        <f t="shared" si="17"/>
        <v/>
      </c>
      <c r="N378" s="35"/>
      <c r="O378" s="35"/>
      <c r="P378" s="35"/>
      <c r="Q378" s="35"/>
      <c r="R378" s="35"/>
      <c r="S378" s="35"/>
      <c r="T378" s="35"/>
      <c r="U378" s="35"/>
      <c r="V378" s="35"/>
      <c r="W378" s="35"/>
      <c r="X378" s="35"/>
      <c r="Y378" s="35"/>
      <c r="Z378" s="35"/>
      <c r="AA378" s="35"/>
      <c r="AB378" s="35"/>
      <c r="AC378" s="35"/>
      <c r="AD378" s="35"/>
      <c r="AE378" s="35"/>
      <c r="AF378" s="35"/>
      <c r="AG378" s="35"/>
      <c r="AH378" s="35"/>
      <c r="AI378" s="35"/>
      <c r="AJ378" s="35"/>
      <c r="AK378" s="35"/>
      <c r="AL378" s="35"/>
      <c r="AM378" s="35"/>
      <c r="AN378" s="35"/>
      <c r="AO378" s="35"/>
      <c r="AP378" s="35"/>
      <c r="AQ378" s="35"/>
      <c r="AR378" s="35"/>
      <c r="AS378" s="35"/>
      <c r="AT378" s="35"/>
      <c r="AU378" s="35"/>
      <c r="AV378" s="35"/>
      <c r="AW378" s="35"/>
      <c r="AX378" s="35"/>
      <c r="AY378" s="35"/>
      <c r="AZ378" s="35"/>
      <c r="BA378" s="35"/>
      <c r="BB378" s="35"/>
      <c r="BC378" s="35"/>
      <c r="BD378" s="35"/>
      <c r="BE378" s="35"/>
      <c r="BF378" s="35"/>
      <c r="BG378" s="35"/>
      <c r="BH378" s="35"/>
      <c r="BI378" s="35"/>
      <c r="BJ378" s="35"/>
      <c r="BK378" s="35"/>
      <c r="BL378" s="35"/>
    </row>
    <row r="379" spans="1:64" ht="14">
      <c r="A379" s="36"/>
      <c r="B379" s="37"/>
      <c r="C379" s="38">
        <f t="shared" si="15"/>
        <v>0</v>
      </c>
      <c r="D379" s="39"/>
      <c r="E379" s="39"/>
      <c r="F379" s="39"/>
      <c r="G379" s="39"/>
      <c r="H379" s="40"/>
      <c r="I379" s="41"/>
      <c r="J379" s="39"/>
      <c r="K379" s="43">
        <f t="shared" si="16"/>
        <v>0</v>
      </c>
      <c r="L379" s="39"/>
      <c r="M379" s="42" t="str">
        <f t="shared" si="17"/>
        <v/>
      </c>
      <c r="N379" s="35"/>
      <c r="O379" s="35"/>
      <c r="P379" s="35"/>
      <c r="Q379" s="35"/>
      <c r="R379" s="35"/>
      <c r="S379" s="35"/>
      <c r="T379" s="35"/>
      <c r="U379" s="35"/>
      <c r="V379" s="35"/>
      <c r="W379" s="35"/>
      <c r="X379" s="35"/>
      <c r="Y379" s="35"/>
      <c r="Z379" s="35"/>
      <c r="AA379" s="35"/>
      <c r="AB379" s="35"/>
      <c r="AC379" s="35"/>
      <c r="AD379" s="35"/>
      <c r="AE379" s="35"/>
      <c r="AF379" s="35"/>
      <c r="AG379" s="35"/>
      <c r="AH379" s="35"/>
      <c r="AI379" s="35"/>
      <c r="AJ379" s="35"/>
      <c r="AK379" s="35"/>
      <c r="AL379" s="35"/>
      <c r="AM379" s="35"/>
      <c r="AN379" s="35"/>
      <c r="AO379" s="35"/>
      <c r="AP379" s="35"/>
      <c r="AQ379" s="35"/>
      <c r="AR379" s="35"/>
      <c r="AS379" s="35"/>
      <c r="AT379" s="35"/>
      <c r="AU379" s="35"/>
      <c r="AV379" s="35"/>
      <c r="AW379" s="35"/>
      <c r="AX379" s="35"/>
      <c r="AY379" s="35"/>
      <c r="AZ379" s="35"/>
      <c r="BA379" s="35"/>
      <c r="BB379" s="35"/>
      <c r="BC379" s="35"/>
      <c r="BD379" s="35"/>
      <c r="BE379" s="35"/>
      <c r="BF379" s="35"/>
      <c r="BG379" s="35"/>
      <c r="BH379" s="35"/>
      <c r="BI379" s="35"/>
      <c r="BJ379" s="35"/>
      <c r="BK379" s="35"/>
      <c r="BL379" s="35"/>
    </row>
    <row r="380" spans="1:64" ht="14">
      <c r="A380" s="36"/>
      <c r="B380" s="37"/>
      <c r="C380" s="38">
        <f t="shared" si="15"/>
        <v>0</v>
      </c>
      <c r="D380" s="39"/>
      <c r="E380" s="39"/>
      <c r="F380" s="39"/>
      <c r="G380" s="39"/>
      <c r="H380" s="40"/>
      <c r="I380" s="41"/>
      <c r="J380" s="39"/>
      <c r="K380" s="43">
        <f t="shared" si="16"/>
        <v>0</v>
      </c>
      <c r="L380" s="39"/>
      <c r="M380" s="42" t="str">
        <f t="shared" si="17"/>
        <v/>
      </c>
      <c r="N380" s="35"/>
      <c r="O380" s="35"/>
      <c r="P380" s="35"/>
      <c r="Q380" s="35"/>
      <c r="R380" s="35"/>
      <c r="S380" s="35"/>
      <c r="T380" s="35"/>
      <c r="U380" s="35"/>
      <c r="V380" s="35"/>
      <c r="W380" s="35"/>
      <c r="X380" s="35"/>
      <c r="Y380" s="35"/>
      <c r="Z380" s="35"/>
      <c r="AA380" s="35"/>
      <c r="AB380" s="35"/>
      <c r="AC380" s="35"/>
      <c r="AD380" s="35"/>
      <c r="AE380" s="35"/>
      <c r="AF380" s="35"/>
      <c r="AG380" s="35"/>
      <c r="AH380" s="35"/>
      <c r="AI380" s="35"/>
      <c r="AJ380" s="35"/>
      <c r="AK380" s="35"/>
      <c r="AL380" s="35"/>
      <c r="AM380" s="35"/>
      <c r="AN380" s="35"/>
      <c r="AO380" s="35"/>
      <c r="AP380" s="35"/>
      <c r="AQ380" s="35"/>
      <c r="AR380" s="35"/>
      <c r="AS380" s="35"/>
      <c r="AT380" s="35"/>
      <c r="AU380" s="35"/>
      <c r="AV380" s="35"/>
      <c r="AW380" s="35"/>
      <c r="AX380" s="35"/>
      <c r="AY380" s="35"/>
      <c r="AZ380" s="35"/>
      <c r="BA380" s="35"/>
      <c r="BB380" s="35"/>
      <c r="BC380" s="35"/>
      <c r="BD380" s="35"/>
      <c r="BE380" s="35"/>
      <c r="BF380" s="35"/>
      <c r="BG380" s="35"/>
      <c r="BH380" s="35"/>
      <c r="BI380" s="35"/>
      <c r="BJ380" s="35"/>
      <c r="BK380" s="35"/>
      <c r="BL380" s="35"/>
    </row>
    <row r="381" spans="1:64" ht="14">
      <c r="A381" s="36"/>
      <c r="B381" s="37"/>
      <c r="C381" s="38">
        <f t="shared" si="15"/>
        <v>0</v>
      </c>
      <c r="D381" s="39"/>
      <c r="E381" s="39"/>
      <c r="F381" s="39"/>
      <c r="G381" s="39"/>
      <c r="H381" s="40"/>
      <c r="I381" s="41"/>
      <c r="J381" s="39"/>
      <c r="K381" s="43">
        <f t="shared" si="16"/>
        <v>0</v>
      </c>
      <c r="L381" s="39"/>
      <c r="M381" s="42" t="str">
        <f t="shared" si="17"/>
        <v/>
      </c>
      <c r="N381" s="35"/>
      <c r="O381" s="35"/>
      <c r="P381" s="35"/>
      <c r="Q381" s="35"/>
      <c r="R381" s="35"/>
      <c r="S381" s="35"/>
      <c r="T381" s="35"/>
      <c r="U381" s="35"/>
      <c r="V381" s="35"/>
      <c r="W381" s="35"/>
      <c r="X381" s="35"/>
      <c r="Y381" s="35"/>
      <c r="Z381" s="35"/>
      <c r="AA381" s="35"/>
      <c r="AB381" s="35"/>
      <c r="AC381" s="35"/>
      <c r="AD381" s="35"/>
      <c r="AE381" s="35"/>
      <c r="AF381" s="35"/>
      <c r="AG381" s="35"/>
      <c r="AH381" s="35"/>
      <c r="AI381" s="35"/>
      <c r="AJ381" s="35"/>
      <c r="AK381" s="35"/>
      <c r="AL381" s="35"/>
      <c r="AM381" s="35"/>
      <c r="AN381" s="35"/>
      <c r="AO381" s="35"/>
      <c r="AP381" s="35"/>
      <c r="AQ381" s="35"/>
      <c r="AR381" s="35"/>
      <c r="AS381" s="35"/>
      <c r="AT381" s="35"/>
      <c r="AU381" s="35"/>
      <c r="AV381" s="35"/>
      <c r="AW381" s="35"/>
      <c r="AX381" s="35"/>
      <c r="AY381" s="35"/>
      <c r="AZ381" s="35"/>
      <c r="BA381" s="35"/>
      <c r="BB381" s="35"/>
      <c r="BC381" s="35"/>
      <c r="BD381" s="35"/>
      <c r="BE381" s="35"/>
      <c r="BF381" s="35"/>
      <c r="BG381" s="35"/>
      <c r="BH381" s="35"/>
      <c r="BI381" s="35"/>
      <c r="BJ381" s="35"/>
      <c r="BK381" s="35"/>
      <c r="BL381" s="35"/>
    </row>
    <row r="382" spans="1:64" ht="14">
      <c r="A382" s="36"/>
      <c r="B382" s="37"/>
      <c r="C382" s="38">
        <f t="shared" si="15"/>
        <v>0</v>
      </c>
      <c r="D382" s="39"/>
      <c r="E382" s="39"/>
      <c r="F382" s="39"/>
      <c r="G382" s="39"/>
      <c r="H382" s="40"/>
      <c r="I382" s="41"/>
      <c r="J382" s="39"/>
      <c r="K382" s="43">
        <f t="shared" si="16"/>
        <v>0</v>
      </c>
      <c r="L382" s="39"/>
      <c r="M382" s="42" t="str">
        <f t="shared" si="17"/>
        <v/>
      </c>
      <c r="N382" s="35"/>
      <c r="O382" s="35"/>
      <c r="P382" s="35"/>
      <c r="Q382" s="35"/>
      <c r="R382" s="35"/>
      <c r="S382" s="35"/>
      <c r="T382" s="35"/>
      <c r="U382" s="35"/>
      <c r="V382" s="35"/>
      <c r="W382" s="35"/>
      <c r="X382" s="35"/>
      <c r="Y382" s="35"/>
      <c r="Z382" s="35"/>
      <c r="AA382" s="35"/>
      <c r="AB382" s="35"/>
      <c r="AC382" s="35"/>
      <c r="AD382" s="35"/>
      <c r="AE382" s="35"/>
      <c r="AF382" s="35"/>
      <c r="AG382" s="35"/>
      <c r="AH382" s="35"/>
      <c r="AI382" s="35"/>
      <c r="AJ382" s="35"/>
      <c r="AK382" s="35"/>
      <c r="AL382" s="35"/>
      <c r="AM382" s="35"/>
      <c r="AN382" s="35"/>
      <c r="AO382" s="35"/>
      <c r="AP382" s="35"/>
      <c r="AQ382" s="35"/>
      <c r="AR382" s="35"/>
      <c r="AS382" s="35"/>
      <c r="AT382" s="35"/>
      <c r="AU382" s="35"/>
      <c r="AV382" s="35"/>
      <c r="AW382" s="35"/>
      <c r="AX382" s="35"/>
      <c r="AY382" s="35"/>
      <c r="AZ382" s="35"/>
      <c r="BA382" s="35"/>
      <c r="BB382" s="35"/>
      <c r="BC382" s="35"/>
      <c r="BD382" s="35"/>
      <c r="BE382" s="35"/>
      <c r="BF382" s="35"/>
      <c r="BG382" s="35"/>
      <c r="BH382" s="35"/>
      <c r="BI382" s="35"/>
      <c r="BJ382" s="35"/>
      <c r="BK382" s="35"/>
      <c r="BL382" s="35"/>
    </row>
    <row r="383" spans="1:64" ht="14">
      <c r="A383" s="217" t="s">
        <v>58</v>
      </c>
      <c r="B383" s="217"/>
      <c r="C383" s="217"/>
      <c r="D383" s="217"/>
      <c r="E383" s="217"/>
      <c r="F383" s="217"/>
      <c r="G383" s="217"/>
      <c r="H383" s="217"/>
      <c r="I383" s="217"/>
      <c r="J383" s="217"/>
      <c r="K383" s="217"/>
      <c r="L383" s="217"/>
      <c r="M383" s="68"/>
      <c r="N383" s="35"/>
      <c r="O383" s="35"/>
      <c r="P383" s="35"/>
      <c r="Q383" s="35"/>
      <c r="R383" s="35"/>
      <c r="S383" s="35"/>
      <c r="T383" s="35"/>
      <c r="U383" s="35"/>
      <c r="V383" s="35"/>
      <c r="W383" s="35"/>
      <c r="X383" s="35"/>
      <c r="Y383" s="35"/>
      <c r="Z383" s="35"/>
      <c r="AA383" s="35"/>
      <c r="AB383" s="35"/>
      <c r="AC383" s="35"/>
      <c r="AD383" s="35"/>
      <c r="AE383" s="35"/>
      <c r="AF383" s="35"/>
      <c r="AG383" s="35"/>
      <c r="AH383" s="35"/>
      <c r="AI383" s="35"/>
      <c r="AJ383" s="35"/>
      <c r="AK383" s="35"/>
      <c r="AL383" s="35"/>
      <c r="AM383" s="35"/>
      <c r="AN383" s="35"/>
      <c r="AO383" s="35"/>
      <c r="AP383" s="35"/>
      <c r="AQ383" s="35"/>
      <c r="AR383" s="35"/>
      <c r="AS383" s="35"/>
      <c r="AT383" s="35"/>
      <c r="AU383" s="35"/>
      <c r="AV383" s="35"/>
      <c r="AW383" s="35"/>
      <c r="AX383" s="35"/>
      <c r="AY383" s="35"/>
      <c r="AZ383" s="35"/>
      <c r="BA383" s="35"/>
      <c r="BB383" s="35"/>
      <c r="BC383" s="35"/>
      <c r="BD383" s="35"/>
      <c r="BE383" s="35"/>
      <c r="BF383" s="35"/>
      <c r="BG383" s="35"/>
      <c r="BH383" s="35"/>
      <c r="BI383" s="35"/>
      <c r="BJ383" s="35"/>
      <c r="BK383" s="35"/>
      <c r="BL383" s="35"/>
    </row>
    <row r="384" spans="1:64" ht="13">
      <c r="A384" s="47"/>
      <c r="B384" s="48"/>
      <c r="C384" s="48"/>
      <c r="D384" s="49"/>
      <c r="E384" s="49"/>
      <c r="F384" s="49"/>
      <c r="G384" s="49"/>
      <c r="I384" s="47"/>
      <c r="J384" s="47"/>
      <c r="K384" s="51">
        <f>SUM(K9:K383)</f>
        <v>0</v>
      </c>
      <c r="L384" s="52"/>
      <c r="M384" s="47"/>
    </row>
  </sheetData>
  <mergeCells count="13">
    <mergeCell ref="A383:L383"/>
    <mergeCell ref="A5:C6"/>
    <mergeCell ref="D5:E6"/>
    <mergeCell ref="I5:J5"/>
    <mergeCell ref="K5:L5"/>
    <mergeCell ref="I6:J6"/>
    <mergeCell ref="K6:L6"/>
    <mergeCell ref="C1:L1"/>
    <mergeCell ref="I3:J3"/>
    <mergeCell ref="K3:L3"/>
    <mergeCell ref="I4:J4"/>
    <mergeCell ref="K4:L4"/>
    <mergeCell ref="A9:L9"/>
  </mergeCells>
  <conditionalFormatting sqref="I10:I382">
    <cfRule type="expression" dxfId="37" priority="2">
      <formula>$M10="%"</formula>
    </cfRule>
  </conditionalFormatting>
  <conditionalFormatting sqref="J38:J382 J10:J12 J19:J22 J24:J30">
    <cfRule type="expression" dxfId="36" priority="3">
      <formula>AND($J10&lt;&gt;"INM",$M10="Q")</formula>
    </cfRule>
  </conditionalFormatting>
  <conditionalFormatting sqref="I10:I382">
    <cfRule type="expression" dxfId="35" priority="4">
      <formula>OR(AND($I10&lt;&gt;"",$M10="%"),AND($I10="",$M10="Q"))</formula>
    </cfRule>
  </conditionalFormatting>
  <conditionalFormatting sqref="J38:J382 J10:J12 J19:J22 J24:J30">
    <cfRule type="expression" dxfId="34" priority="5">
      <formula>AND(OR($J10="INM",$J10=""),$M10="%")</formula>
    </cfRule>
  </conditionalFormatting>
  <conditionalFormatting sqref="J13">
    <cfRule type="expression" dxfId="33" priority="6">
      <formula>AND($J13&lt;&gt;"INM",$M13="Q")</formula>
    </cfRule>
  </conditionalFormatting>
  <conditionalFormatting sqref="J13">
    <cfRule type="expression" dxfId="32" priority="7">
      <formula>AND(OR($J13="INM",$J13=""),$M13="%")</formula>
    </cfRule>
  </conditionalFormatting>
  <conditionalFormatting sqref="J14">
    <cfRule type="expression" dxfId="31" priority="8">
      <formula>AND($J14&lt;&gt;"INM",$M14="Q")</formula>
    </cfRule>
  </conditionalFormatting>
  <conditionalFormatting sqref="J14">
    <cfRule type="expression" dxfId="30" priority="9">
      <formula>AND(OR($J14="INM",$J14=""),$M14="%")</formula>
    </cfRule>
  </conditionalFormatting>
  <conditionalFormatting sqref="J15">
    <cfRule type="expression" dxfId="29" priority="10">
      <formula>AND($J15&lt;&gt;"INM",$M15="Q")</formula>
    </cfRule>
  </conditionalFormatting>
  <conditionalFormatting sqref="J15">
    <cfRule type="expression" dxfId="28" priority="11">
      <formula>AND(OR($J15="INM",$J15=""),$M15="%")</formula>
    </cfRule>
  </conditionalFormatting>
  <conditionalFormatting sqref="J16">
    <cfRule type="expression" dxfId="27" priority="12">
      <formula>AND($J16&lt;&gt;"INM",$M16="Q")</formula>
    </cfRule>
  </conditionalFormatting>
  <conditionalFormatting sqref="J16">
    <cfRule type="expression" dxfId="26" priority="13">
      <formula>AND(OR($J16="INM",$J16=""),$M16="%")</formula>
    </cfRule>
  </conditionalFormatting>
  <conditionalFormatting sqref="J17">
    <cfRule type="expression" dxfId="25" priority="14">
      <formula>AND($J17&lt;&gt;"INM",$M17="Q")</formula>
    </cfRule>
  </conditionalFormatting>
  <conditionalFormatting sqref="J17">
    <cfRule type="expression" dxfId="24" priority="15">
      <formula>AND(OR($J17="INM",$J17=""),$M17="%")</formula>
    </cfRule>
  </conditionalFormatting>
  <conditionalFormatting sqref="J18">
    <cfRule type="expression" dxfId="23" priority="16">
      <formula>AND($J18&lt;&gt;"INM",$M18="Q")</formula>
    </cfRule>
  </conditionalFormatting>
  <conditionalFormatting sqref="J18">
    <cfRule type="expression" dxfId="22" priority="17">
      <formula>AND(OR($J18="INM",$J18=""),$M18="%")</formula>
    </cfRule>
  </conditionalFormatting>
  <conditionalFormatting sqref="J23">
    <cfRule type="expression" dxfId="21" priority="18">
      <formula>AND($J23&lt;&gt;"INM",$M23="Q")</formula>
    </cfRule>
  </conditionalFormatting>
  <conditionalFormatting sqref="J23">
    <cfRule type="expression" dxfId="20" priority="19">
      <formula>AND(OR($J23="INM",$J23=""),$M23="%")</formula>
    </cfRule>
  </conditionalFormatting>
  <conditionalFormatting sqref="J31">
    <cfRule type="expression" dxfId="19" priority="20">
      <formula>AND($J31&lt;&gt;"INM",$M31="Q")</formula>
    </cfRule>
  </conditionalFormatting>
  <conditionalFormatting sqref="J31">
    <cfRule type="expression" dxfId="18" priority="21">
      <formula>AND(OR($J31="INM",$J31=""),$M31="%")</formula>
    </cfRule>
  </conditionalFormatting>
  <conditionalFormatting sqref="J32">
    <cfRule type="expression" dxfId="17" priority="22">
      <formula>AND($J32&lt;&gt;"INM",$M32="Q")</formula>
    </cfRule>
  </conditionalFormatting>
  <conditionalFormatting sqref="J32">
    <cfRule type="expression" dxfId="16" priority="23">
      <formula>AND(OR($J32="INM",$J32=""),$M32="%")</formula>
    </cfRule>
  </conditionalFormatting>
  <conditionalFormatting sqref="J33">
    <cfRule type="expression" dxfId="15" priority="24">
      <formula>AND($J33&lt;&gt;"INM",$M33="Q")</formula>
    </cfRule>
  </conditionalFormatting>
  <conditionalFormatting sqref="J33">
    <cfRule type="expression" dxfId="14" priority="25">
      <formula>AND(OR($J33="INM",$J33=""),$M33="%")</formula>
    </cfRule>
  </conditionalFormatting>
  <conditionalFormatting sqref="J34">
    <cfRule type="expression" dxfId="13" priority="26">
      <formula>AND($J34&lt;&gt;"INM",$M34="Q")</formula>
    </cfRule>
  </conditionalFormatting>
  <conditionalFormatting sqref="J34">
    <cfRule type="expression" dxfId="12" priority="27">
      <formula>AND(OR($J34="INM",$J34=""),$M34="%")</formula>
    </cfRule>
  </conditionalFormatting>
  <conditionalFormatting sqref="J35">
    <cfRule type="expression" dxfId="11" priority="28">
      <formula>AND($J35&lt;&gt;"INM",$M35="Q")</formula>
    </cfRule>
  </conditionalFormatting>
  <conditionalFormatting sqref="J35">
    <cfRule type="expression" dxfId="10" priority="29">
      <formula>AND(OR($J35="INM",$J35=""),$M35="%")</formula>
    </cfRule>
  </conditionalFormatting>
  <conditionalFormatting sqref="J36">
    <cfRule type="expression" dxfId="9" priority="30">
      <formula>AND($J36&lt;&gt;"INM",$M36="Q")</formula>
    </cfRule>
  </conditionalFormatting>
  <conditionalFormatting sqref="J36">
    <cfRule type="expression" dxfId="8" priority="31">
      <formula>AND(OR($J36="INM",$J36=""),$M36="%")</formula>
    </cfRule>
  </conditionalFormatting>
  <conditionalFormatting sqref="J37">
    <cfRule type="expression" dxfId="7" priority="32">
      <formula>AND($J37&lt;&gt;"INM",$M37="Q")</formula>
    </cfRule>
  </conditionalFormatting>
  <conditionalFormatting sqref="J37">
    <cfRule type="expression" dxfId="6" priority="33">
      <formula>AND(OR($J37="INM",$J37=""),$M37="%")</formula>
    </cfRule>
  </conditionalFormatting>
  <dataValidations count="3">
    <dataValidation type="list" operator="equal" allowBlank="1" showInputMessage="1" showErrorMessage="1" sqref="B10:B382">
      <formula1>Deflatores</formula1>
      <formula2>0</formula2>
    </dataValidation>
    <dataValidation type="whole" operator="greaterThanOrEqual" allowBlank="1" showInputMessage="1" showErrorMessage="1" errorTitle="Insira apenas números (&gt;=0)" sqref="I10:I382">
      <formula1>0</formula1>
      <formula2>0</formula2>
    </dataValidation>
    <dataValidation type="list" operator="equal" allowBlank="1" showInputMessage="1" showErrorMessage="1" errorTitle="Erro" error="Selecione uma das opções apresentada" sqref="J10:J382">
      <formula1>"-------,EE,SE,CE,ALI,AIE,INM"</formula1>
      <formula2>0</formula2>
    </dataValidation>
  </dataValidations>
  <pageMargins left="0.196527777777778" right="0.196527777777778" top="0.32986111111111099" bottom="0.42986111111111103" header="0.179861111111111" footer="0.27569444444444402"/>
  <pageSetup paperSize="9" firstPageNumber="0" fitToHeight="10" orientation="landscape" horizontalDpi="300" verticalDpi="300"/>
  <headerFooter>
    <oddHeader>&amp;C&amp;A</oddHeader>
    <oddFooter>&amp;CPágina &amp;P de &amp;N</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pageSetUpPr fitToPage="1"/>
  </sheetPr>
  <dimension ref="A1:BL405"/>
  <sheetViews>
    <sheetView zoomScaleNormal="100" workbookViewId="0"/>
  </sheetViews>
  <sheetFormatPr defaultColWidth="8.90625" defaultRowHeight="12.5"/>
  <cols>
    <col min="1" max="1" width="0.81640625" style="19" customWidth="1"/>
    <col min="2" max="2" width="4.54296875" style="18" customWidth="1"/>
    <col min="3" max="3" width="34.08984375" style="20" customWidth="1"/>
    <col min="4" max="4" width="14.36328125" style="20" hidden="1" customWidth="1"/>
    <col min="5" max="5" width="10.08984375" style="20" customWidth="1"/>
    <col min="6" max="6" width="7.81640625" style="20" customWidth="1"/>
    <col min="7" max="7" width="15.54296875" style="20" customWidth="1"/>
    <col min="8" max="8" width="19.6328125" style="20" customWidth="1"/>
    <col min="9" max="9" width="44" style="21" customWidth="1"/>
    <col min="10" max="10" width="11.54296875" style="18" customWidth="1"/>
    <col min="11" max="11" width="9.453125" style="19" customWidth="1"/>
    <col min="12" max="12" width="8.36328125" style="19" customWidth="1"/>
    <col min="13" max="14" width="9.08984375" style="19" customWidth="1"/>
    <col min="15" max="15" width="9.6328125" style="19" customWidth="1"/>
    <col min="16" max="24" width="9.08984375" style="19" customWidth="1"/>
    <col min="25" max="64" width="8.90625" style="19" customWidth="1"/>
  </cols>
  <sheetData>
    <row r="1" spans="1:64" ht="69" customHeight="1">
      <c r="B1" s="2" t="s">
        <v>0</v>
      </c>
      <c r="C1" s="69"/>
      <c r="D1" s="69"/>
      <c r="E1" s="69"/>
      <c r="F1" s="69"/>
      <c r="G1" s="213" t="s">
        <v>78</v>
      </c>
      <c r="H1" s="213"/>
      <c r="I1" s="213"/>
      <c r="J1" s="213"/>
      <c r="K1" s="213"/>
      <c r="L1" s="213"/>
      <c r="M1" s="70"/>
      <c r="N1" s="70"/>
      <c r="O1" s="71"/>
      <c r="P1" s="71"/>
      <c r="Q1" s="71"/>
      <c r="R1" s="71"/>
      <c r="S1" s="71"/>
      <c r="T1" s="71"/>
      <c r="U1" s="71"/>
      <c r="V1" s="72"/>
    </row>
    <row r="2" spans="1:64" ht="9" customHeight="1">
      <c r="B2" s="73"/>
      <c r="C2" s="74"/>
      <c r="D2" s="74"/>
      <c r="E2" s="74"/>
      <c r="F2" s="74"/>
      <c r="G2" s="74"/>
      <c r="H2" s="74"/>
      <c r="I2" s="74"/>
      <c r="J2" s="74"/>
      <c r="K2" s="74"/>
      <c r="L2" s="74"/>
      <c r="M2" s="74"/>
    </row>
    <row r="3" spans="1:64" ht="18.649999999999999" customHeight="1">
      <c r="B3" s="219" t="s">
        <v>79</v>
      </c>
      <c r="C3" s="219"/>
      <c r="D3" s="223" t="str">
        <f>TEXT(J404,"#.##0,0#")</f>
        <v>0,0</v>
      </c>
      <c r="E3" s="223"/>
      <c r="F3" s="24"/>
      <c r="G3" s="24"/>
      <c r="H3" s="24"/>
      <c r="I3" s="75" t="s">
        <v>8</v>
      </c>
      <c r="J3" s="215"/>
      <c r="K3" s="215"/>
      <c r="L3" s="215"/>
    </row>
    <row r="4" spans="1:64" ht="18.649999999999999" customHeight="1">
      <c r="B4" s="219"/>
      <c r="C4" s="219"/>
      <c r="D4" s="223"/>
      <c r="E4" s="223"/>
      <c r="F4" s="24"/>
      <c r="G4" s="24"/>
      <c r="H4" s="24"/>
      <c r="I4" s="75" t="s">
        <v>9</v>
      </c>
      <c r="J4" s="216"/>
      <c r="K4" s="216"/>
      <c r="L4" s="216"/>
    </row>
    <row r="5" spans="1:64" ht="18.649999999999999" customHeight="1">
      <c r="B5" s="219" t="s">
        <v>80</v>
      </c>
      <c r="C5" s="219"/>
      <c r="D5" s="223" t="str">
        <f>TEXT(K404,"#.##0,0#")</f>
        <v>0,0</v>
      </c>
      <c r="E5" s="223"/>
      <c r="F5" s="24"/>
      <c r="G5" s="24"/>
      <c r="H5" s="24"/>
      <c r="I5" s="75" t="s">
        <v>10</v>
      </c>
      <c r="J5" s="215"/>
      <c r="K5" s="215"/>
      <c r="L5" s="215"/>
    </row>
    <row r="6" spans="1:64" ht="18.649999999999999" customHeight="1">
      <c r="B6" s="219"/>
      <c r="C6" s="219"/>
      <c r="D6" s="223"/>
      <c r="E6" s="223"/>
      <c r="F6" s="24"/>
      <c r="G6" s="24"/>
      <c r="H6" s="24"/>
      <c r="I6" s="75" t="s">
        <v>11</v>
      </c>
      <c r="J6" s="216"/>
      <c r="K6" s="216"/>
      <c r="L6" s="216"/>
    </row>
    <row r="7" spans="1:64" ht="9" customHeight="1">
      <c r="B7" s="76"/>
      <c r="C7" s="76"/>
      <c r="D7" s="76"/>
      <c r="E7" s="76"/>
      <c r="F7" s="76"/>
      <c r="G7" s="76"/>
      <c r="H7" s="76"/>
      <c r="I7" s="77"/>
      <c r="J7" s="77"/>
      <c r="K7" s="77"/>
      <c r="L7" s="77"/>
    </row>
    <row r="8" spans="1:64" ht="26.4" customHeight="1">
      <c r="A8" s="60"/>
      <c r="B8" s="224" t="s">
        <v>37</v>
      </c>
      <c r="C8" s="225" t="s">
        <v>81</v>
      </c>
      <c r="D8" s="31" t="s">
        <v>52</v>
      </c>
      <c r="E8" s="226" t="s">
        <v>82</v>
      </c>
      <c r="F8" s="226" t="s">
        <v>40</v>
      </c>
      <c r="G8" s="226" t="s">
        <v>43</v>
      </c>
      <c r="H8" s="226"/>
      <c r="I8" s="227" t="s">
        <v>83</v>
      </c>
      <c r="J8" s="228" t="s">
        <v>84</v>
      </c>
      <c r="K8" s="228"/>
      <c r="L8" s="228" t="s">
        <v>56</v>
      </c>
      <c r="M8" s="60"/>
      <c r="N8" s="60"/>
      <c r="O8" s="60"/>
      <c r="P8" s="60"/>
      <c r="Q8" s="60"/>
      <c r="R8" s="60"/>
      <c r="S8" s="60"/>
      <c r="T8" s="60"/>
      <c r="U8" s="60"/>
      <c r="V8" s="60"/>
      <c r="W8" s="60"/>
      <c r="X8" s="60"/>
      <c r="Y8" s="60"/>
      <c r="Z8" s="60"/>
      <c r="AA8" s="60"/>
      <c r="AB8" s="60"/>
      <c r="AC8" s="60"/>
      <c r="AD8" s="60"/>
      <c r="AE8" s="60"/>
      <c r="AF8" s="60"/>
      <c r="AG8" s="60"/>
      <c r="AH8" s="60"/>
      <c r="AI8" s="60"/>
      <c r="AJ8" s="60"/>
      <c r="AK8" s="60"/>
      <c r="AL8" s="60"/>
      <c r="AM8" s="60"/>
      <c r="AN8" s="60"/>
      <c r="AO8" s="60"/>
      <c r="AP8" s="60"/>
      <c r="AQ8" s="60"/>
      <c r="AR8" s="60"/>
      <c r="AS8" s="60"/>
      <c r="AT8" s="60"/>
      <c r="AU8" s="60"/>
      <c r="AV8" s="60"/>
      <c r="AW8" s="60"/>
      <c r="AX8" s="60"/>
      <c r="AY8" s="60"/>
      <c r="AZ8" s="60"/>
      <c r="BA8" s="60"/>
      <c r="BB8" s="60"/>
      <c r="BC8" s="60"/>
      <c r="BD8" s="60"/>
      <c r="BE8" s="60"/>
      <c r="BF8" s="60"/>
      <c r="BG8" s="60"/>
      <c r="BH8" s="60"/>
      <c r="BI8" s="60"/>
      <c r="BJ8" s="60"/>
      <c r="BK8" s="60"/>
      <c r="BL8" s="60"/>
    </row>
    <row r="9" spans="1:64" ht="15.5">
      <c r="A9" s="34"/>
      <c r="B9" s="224"/>
      <c r="C9" s="225"/>
      <c r="D9" s="30"/>
      <c r="E9" s="226"/>
      <c r="F9" s="226"/>
      <c r="G9" s="226"/>
      <c r="H9" s="226"/>
      <c r="I9" s="227"/>
      <c r="J9" s="33" t="s">
        <v>85</v>
      </c>
      <c r="K9" s="33" t="s">
        <v>55</v>
      </c>
      <c r="L9" s="228"/>
      <c r="M9" s="34"/>
      <c r="N9" s="34"/>
      <c r="O9" s="34"/>
      <c r="P9" s="34"/>
      <c r="Q9" s="34"/>
      <c r="R9" s="34"/>
      <c r="S9" s="34"/>
      <c r="T9" s="34"/>
      <c r="U9" s="34"/>
      <c r="V9" s="34"/>
      <c r="W9" s="34"/>
      <c r="X9" s="34"/>
      <c r="Y9" s="34"/>
      <c r="Z9" s="34"/>
      <c r="AA9" s="34"/>
      <c r="AB9" s="34"/>
      <c r="AC9" s="34"/>
      <c r="AD9" s="34"/>
      <c r="AE9" s="34"/>
      <c r="AF9" s="34"/>
      <c r="AG9" s="34"/>
      <c r="AH9" s="34"/>
      <c r="AI9" s="34"/>
      <c r="AJ9" s="34"/>
      <c r="AK9" s="34"/>
      <c r="AL9" s="34"/>
      <c r="AM9" s="34"/>
      <c r="AN9" s="34"/>
      <c r="AO9" s="34"/>
      <c r="AP9" s="34"/>
      <c r="AQ9" s="34"/>
      <c r="AR9" s="34"/>
      <c r="AS9" s="34"/>
      <c r="AT9" s="34"/>
      <c r="AU9" s="34"/>
      <c r="AV9" s="34"/>
      <c r="AW9" s="34"/>
      <c r="AX9" s="34"/>
      <c r="AY9" s="34"/>
      <c r="AZ9" s="34"/>
      <c r="BA9" s="34"/>
      <c r="BB9" s="34"/>
      <c r="BC9" s="34"/>
      <c r="BD9" s="34"/>
      <c r="BE9" s="34"/>
      <c r="BF9" s="34"/>
      <c r="BG9" s="34"/>
      <c r="BH9" s="34"/>
      <c r="BI9" s="34"/>
      <c r="BJ9" s="34"/>
      <c r="BK9" s="34"/>
      <c r="BL9" s="34"/>
    </row>
    <row r="10" spans="1:64" ht="14">
      <c r="A10" s="35"/>
      <c r="B10" s="217" t="s">
        <v>57</v>
      </c>
      <c r="C10" s="217"/>
      <c r="D10" s="217"/>
      <c r="E10" s="217"/>
      <c r="F10" s="217"/>
      <c r="G10" s="217"/>
      <c r="H10" s="217"/>
      <c r="I10" s="217"/>
      <c r="J10" s="217"/>
      <c r="K10" s="217"/>
      <c r="L10" s="217"/>
      <c r="M10" s="35"/>
      <c r="N10" s="35"/>
      <c r="O10" s="35"/>
      <c r="P10" s="35"/>
      <c r="Q10" s="35"/>
      <c r="R10" s="35"/>
      <c r="S10" s="35"/>
      <c r="T10" s="35"/>
      <c r="U10" s="35"/>
      <c r="V10" s="35"/>
      <c r="W10" s="35"/>
      <c r="X10" s="35"/>
      <c r="Y10" s="35"/>
      <c r="Z10" s="35"/>
      <c r="AA10" s="35"/>
      <c r="AB10" s="35"/>
      <c r="AC10" s="35"/>
      <c r="AD10" s="35"/>
      <c r="AE10" s="35"/>
      <c r="AF10" s="35"/>
      <c r="AG10" s="35"/>
      <c r="AH10" s="35"/>
      <c r="AI10" s="35"/>
      <c r="AJ10" s="35"/>
      <c r="AK10" s="35"/>
      <c r="AL10" s="35"/>
      <c r="AM10" s="35"/>
      <c r="AN10" s="35"/>
      <c r="AO10" s="35"/>
      <c r="AP10" s="35"/>
      <c r="AQ10" s="35"/>
      <c r="AR10" s="35"/>
      <c r="AS10" s="35"/>
      <c r="AT10" s="35"/>
      <c r="AU10" s="35"/>
      <c r="AV10" s="35"/>
      <c r="AW10" s="35"/>
      <c r="AX10" s="35"/>
      <c r="AY10" s="35"/>
      <c r="AZ10" s="35"/>
      <c r="BA10" s="35"/>
      <c r="BB10" s="35"/>
      <c r="BC10" s="35"/>
      <c r="BD10" s="35"/>
      <c r="BE10" s="35"/>
      <c r="BF10" s="35"/>
      <c r="BG10" s="35"/>
      <c r="BH10" s="35"/>
      <c r="BI10" s="35"/>
      <c r="BJ10" s="35"/>
      <c r="BK10" s="35"/>
      <c r="BL10" s="35"/>
    </row>
    <row r="11" spans="1:64" ht="24" customHeight="1">
      <c r="A11" s="35"/>
      <c r="B11" s="36"/>
      <c r="C11" s="39"/>
      <c r="D11" s="78"/>
      <c r="E11" s="78"/>
      <c r="F11" s="78"/>
      <c r="G11" s="229"/>
      <c r="H11" s="229"/>
      <c r="I11" s="40"/>
      <c r="J11" s="43" t="str">
        <f t="shared" ref="J11:J74" si="0">IF($C11&lt;&gt;"",$E11*1.5,"")</f>
        <v/>
      </c>
      <c r="K11" s="79" t="str">
        <f t="shared" ref="K11:K74" si="1">IFERROR($J11/10,"")</f>
        <v/>
      </c>
      <c r="L11" s="39"/>
      <c r="M11" s="35"/>
      <c r="N11" s="35"/>
      <c r="O11" s="35"/>
      <c r="P11" s="35"/>
      <c r="Q11" s="35"/>
      <c r="R11" s="35"/>
      <c r="S11" s="35"/>
      <c r="T11" s="35"/>
      <c r="U11" s="35"/>
      <c r="V11" s="35"/>
      <c r="W11" s="35"/>
      <c r="X11" s="35"/>
      <c r="Y11" s="35"/>
      <c r="Z11" s="35"/>
      <c r="AA11" s="35"/>
      <c r="AB11" s="35"/>
      <c r="AC11" s="35"/>
      <c r="AD11" s="35"/>
      <c r="AE11" s="35"/>
      <c r="AF11" s="35"/>
      <c r="AG11" s="35"/>
      <c r="AH11" s="35"/>
      <c r="AI11" s="35"/>
      <c r="AJ11" s="35"/>
      <c r="AK11" s="35"/>
      <c r="AL11" s="35"/>
      <c r="AM11" s="35"/>
      <c r="AN11" s="35"/>
      <c r="AO11" s="35"/>
      <c r="AP11" s="35"/>
      <c r="AQ11" s="35"/>
      <c r="AR11" s="35"/>
      <c r="AS11" s="35"/>
      <c r="AT11" s="35"/>
      <c r="AU11" s="35"/>
      <c r="AV11" s="35"/>
      <c r="AW11" s="35"/>
      <c r="AX11" s="35"/>
      <c r="AY11" s="35"/>
      <c r="AZ11" s="35"/>
      <c r="BA11" s="35"/>
      <c r="BB11" s="35"/>
      <c r="BC11" s="35"/>
      <c r="BD11" s="35"/>
      <c r="BE11" s="35"/>
      <c r="BF11" s="35"/>
      <c r="BG11" s="35"/>
      <c r="BH11" s="35"/>
      <c r="BI11" s="35"/>
      <c r="BJ11" s="35"/>
      <c r="BK11" s="35"/>
      <c r="BL11" s="35"/>
    </row>
    <row r="12" spans="1:64" ht="13.75" customHeight="1">
      <c r="A12" s="35"/>
      <c r="B12" s="36"/>
      <c r="C12" s="39"/>
      <c r="D12" s="78"/>
      <c r="E12" s="78"/>
      <c r="F12" s="78"/>
      <c r="G12" s="229" t="s">
        <v>86</v>
      </c>
      <c r="H12" s="229"/>
      <c r="I12" s="40"/>
      <c r="J12" s="43" t="str">
        <f t="shared" si="0"/>
        <v/>
      </c>
      <c r="K12" s="79" t="str">
        <f t="shared" si="1"/>
        <v/>
      </c>
      <c r="L12" s="39"/>
      <c r="M12" s="35"/>
      <c r="N12" s="35"/>
      <c r="O12" s="35"/>
      <c r="P12" s="35"/>
      <c r="Q12" s="35"/>
      <c r="R12" s="35"/>
      <c r="S12" s="35"/>
      <c r="T12" s="35"/>
      <c r="U12" s="35"/>
      <c r="V12" s="35"/>
      <c r="W12" s="35"/>
      <c r="X12" s="35"/>
      <c r="Y12" s="35"/>
      <c r="Z12" s="35"/>
      <c r="AA12" s="35"/>
      <c r="AB12" s="35"/>
      <c r="AC12" s="35"/>
      <c r="AD12" s="35"/>
      <c r="AE12" s="35"/>
      <c r="AF12" s="35"/>
      <c r="AG12" s="35"/>
      <c r="AH12" s="35"/>
      <c r="AI12" s="35"/>
      <c r="AJ12" s="35"/>
      <c r="AK12" s="35"/>
      <c r="AL12" s="35"/>
      <c r="AM12" s="35"/>
      <c r="AN12" s="35"/>
      <c r="AO12" s="35"/>
      <c r="AP12" s="35"/>
      <c r="AQ12" s="35"/>
      <c r="AR12" s="35"/>
      <c r="AS12" s="35"/>
      <c r="AT12" s="35"/>
      <c r="AU12" s="35"/>
      <c r="AV12" s="35"/>
      <c r="AW12" s="35"/>
      <c r="AX12" s="35"/>
      <c r="AY12" s="35"/>
      <c r="AZ12" s="35"/>
      <c r="BA12" s="35"/>
      <c r="BB12" s="35"/>
      <c r="BC12" s="35"/>
      <c r="BD12" s="35"/>
      <c r="BE12" s="35"/>
      <c r="BF12" s="35"/>
      <c r="BG12" s="35"/>
      <c r="BH12" s="35"/>
      <c r="BI12" s="35"/>
      <c r="BJ12" s="35"/>
      <c r="BK12" s="35"/>
      <c r="BL12" s="35"/>
    </row>
    <row r="13" spans="1:64" ht="14">
      <c r="A13" s="35"/>
      <c r="B13" s="36"/>
      <c r="C13" s="39"/>
      <c r="D13" s="78"/>
      <c r="E13" s="78"/>
      <c r="F13" s="78"/>
      <c r="G13" s="229"/>
      <c r="H13" s="229"/>
      <c r="I13" s="40"/>
      <c r="J13" s="43" t="str">
        <f t="shared" si="0"/>
        <v/>
      </c>
      <c r="K13" s="79" t="str">
        <f t="shared" si="1"/>
        <v/>
      </c>
      <c r="L13" s="39"/>
      <c r="M13" s="35"/>
      <c r="N13" s="35"/>
      <c r="O13" s="35"/>
      <c r="P13" s="35"/>
      <c r="Q13" s="35"/>
      <c r="R13" s="35"/>
      <c r="S13" s="35"/>
      <c r="T13" s="35"/>
      <c r="U13" s="35"/>
      <c r="V13" s="35"/>
      <c r="W13" s="35"/>
      <c r="X13" s="35"/>
      <c r="Y13" s="35"/>
      <c r="Z13" s="35"/>
      <c r="AA13" s="35"/>
      <c r="AB13" s="35"/>
      <c r="AC13" s="35"/>
      <c r="AD13" s="35"/>
      <c r="AE13" s="35"/>
      <c r="AF13" s="35"/>
      <c r="AG13" s="35"/>
      <c r="AH13" s="35"/>
      <c r="AI13" s="35"/>
      <c r="AJ13" s="35"/>
      <c r="AK13" s="35"/>
      <c r="AL13" s="35"/>
      <c r="AM13" s="35"/>
      <c r="AN13" s="35"/>
      <c r="AO13" s="35"/>
      <c r="AP13" s="35"/>
      <c r="AQ13" s="35"/>
      <c r="AR13" s="35"/>
      <c r="AS13" s="35"/>
      <c r="AT13" s="35"/>
      <c r="AU13" s="35"/>
      <c r="AV13" s="35"/>
      <c r="AW13" s="35"/>
      <c r="AX13" s="35"/>
      <c r="AY13" s="35"/>
      <c r="AZ13" s="35"/>
      <c r="BA13" s="35"/>
      <c r="BB13" s="35"/>
      <c r="BC13" s="35"/>
      <c r="BD13" s="35"/>
      <c r="BE13" s="35"/>
      <c r="BF13" s="35"/>
      <c r="BG13" s="35"/>
      <c r="BH13" s="35"/>
      <c r="BI13" s="35"/>
      <c r="BJ13" s="35"/>
      <c r="BK13" s="35"/>
      <c r="BL13" s="35"/>
    </row>
    <row r="14" spans="1:64" ht="14">
      <c r="A14" s="35"/>
      <c r="B14" s="36"/>
      <c r="C14" s="39"/>
      <c r="D14" s="78"/>
      <c r="E14" s="78"/>
      <c r="F14" s="78"/>
      <c r="G14" s="229"/>
      <c r="H14" s="229"/>
      <c r="I14" s="40"/>
      <c r="J14" s="43" t="str">
        <f t="shared" si="0"/>
        <v/>
      </c>
      <c r="K14" s="79" t="str">
        <f t="shared" si="1"/>
        <v/>
      </c>
      <c r="L14" s="39"/>
      <c r="M14" s="35"/>
      <c r="N14" s="35"/>
      <c r="O14" s="35"/>
      <c r="P14" s="35"/>
      <c r="Q14" s="35"/>
      <c r="R14" s="35"/>
      <c r="S14" s="35"/>
      <c r="T14" s="35"/>
      <c r="U14" s="35"/>
      <c r="V14" s="35"/>
      <c r="W14" s="35"/>
      <c r="X14" s="35"/>
      <c r="Y14" s="35"/>
      <c r="Z14" s="35"/>
      <c r="AA14" s="35"/>
      <c r="AB14" s="35"/>
      <c r="AC14" s="35"/>
      <c r="AD14" s="35"/>
      <c r="AE14" s="35"/>
      <c r="AF14" s="35"/>
      <c r="AG14" s="35"/>
      <c r="AH14" s="35"/>
      <c r="AI14" s="35"/>
      <c r="AJ14" s="35"/>
      <c r="AK14" s="35"/>
      <c r="AL14" s="35"/>
      <c r="AM14" s="35"/>
      <c r="AN14" s="35"/>
      <c r="AO14" s="35"/>
      <c r="AP14" s="35"/>
      <c r="AQ14" s="35"/>
      <c r="AR14" s="35"/>
      <c r="AS14" s="35"/>
      <c r="AT14" s="35"/>
      <c r="AU14" s="35"/>
      <c r="AV14" s="35"/>
      <c r="AW14" s="35"/>
      <c r="AX14" s="35"/>
      <c r="AY14" s="35"/>
      <c r="AZ14" s="35"/>
      <c r="BA14" s="35"/>
      <c r="BB14" s="35"/>
      <c r="BC14" s="35"/>
      <c r="BD14" s="35"/>
      <c r="BE14" s="35"/>
      <c r="BF14" s="35"/>
      <c r="BG14" s="35"/>
      <c r="BH14" s="35"/>
      <c r="BI14" s="35"/>
      <c r="BJ14" s="35"/>
      <c r="BK14" s="35"/>
      <c r="BL14" s="35"/>
    </row>
    <row r="15" spans="1:64" ht="14">
      <c r="A15" s="35"/>
      <c r="B15" s="36"/>
      <c r="C15" s="39"/>
      <c r="D15" s="78"/>
      <c r="E15" s="78"/>
      <c r="F15" s="78"/>
      <c r="G15" s="229"/>
      <c r="H15" s="229"/>
      <c r="I15" s="40"/>
      <c r="J15" s="43" t="str">
        <f t="shared" si="0"/>
        <v/>
      </c>
      <c r="K15" s="79" t="str">
        <f t="shared" si="1"/>
        <v/>
      </c>
      <c r="L15" s="39"/>
      <c r="M15" s="35"/>
      <c r="N15" s="35"/>
      <c r="O15" s="35"/>
      <c r="P15" s="35"/>
      <c r="Q15" s="35"/>
      <c r="R15" s="35"/>
      <c r="S15" s="35"/>
      <c r="T15" s="35"/>
      <c r="U15" s="35"/>
      <c r="V15" s="35"/>
      <c r="W15" s="35"/>
      <c r="X15" s="35"/>
      <c r="Y15" s="35"/>
      <c r="Z15" s="35"/>
      <c r="AA15" s="35"/>
      <c r="AB15" s="35"/>
      <c r="AC15" s="35"/>
      <c r="AD15" s="35"/>
      <c r="AE15" s="35"/>
      <c r="AF15" s="35"/>
      <c r="AG15" s="35"/>
      <c r="AH15" s="35"/>
      <c r="AI15" s="35"/>
      <c r="AJ15" s="35"/>
      <c r="AK15" s="35"/>
      <c r="AL15" s="35"/>
      <c r="AM15" s="35"/>
      <c r="AN15" s="35"/>
      <c r="AO15" s="35"/>
      <c r="AP15" s="35"/>
      <c r="AQ15" s="35"/>
      <c r="AR15" s="35"/>
      <c r="AS15" s="35"/>
      <c r="AT15" s="35"/>
      <c r="AU15" s="35"/>
      <c r="AV15" s="35"/>
      <c r="AW15" s="35"/>
      <c r="AX15" s="35"/>
      <c r="AY15" s="35"/>
      <c r="AZ15" s="35"/>
      <c r="BA15" s="35"/>
      <c r="BB15" s="35"/>
      <c r="BC15" s="35"/>
      <c r="BD15" s="35"/>
      <c r="BE15" s="35"/>
      <c r="BF15" s="35"/>
      <c r="BG15" s="35"/>
      <c r="BH15" s="35"/>
      <c r="BI15" s="35"/>
      <c r="BJ15" s="35"/>
      <c r="BK15" s="35"/>
      <c r="BL15" s="35"/>
    </row>
    <row r="16" spans="1:64" ht="14">
      <c r="A16" s="35"/>
      <c r="B16" s="36"/>
      <c r="C16" s="39"/>
      <c r="D16" s="78"/>
      <c r="E16" s="78"/>
      <c r="F16" s="78"/>
      <c r="G16" s="229"/>
      <c r="H16" s="229"/>
      <c r="I16" s="40"/>
      <c r="J16" s="43" t="str">
        <f t="shared" si="0"/>
        <v/>
      </c>
      <c r="K16" s="79" t="str">
        <f t="shared" si="1"/>
        <v/>
      </c>
      <c r="L16" s="39"/>
      <c r="M16" s="35"/>
      <c r="N16" s="35"/>
      <c r="O16" s="35"/>
      <c r="P16" s="35"/>
      <c r="Q16" s="35"/>
      <c r="R16" s="35"/>
      <c r="S16" s="35"/>
      <c r="T16" s="35"/>
      <c r="U16" s="35"/>
      <c r="V16" s="35"/>
      <c r="W16" s="35"/>
      <c r="X16" s="35"/>
      <c r="Y16" s="35"/>
      <c r="Z16" s="35"/>
      <c r="AA16" s="35"/>
      <c r="AB16" s="35"/>
      <c r="AC16" s="35"/>
      <c r="AD16" s="35"/>
      <c r="AE16" s="35"/>
      <c r="AF16" s="35"/>
      <c r="AG16" s="35"/>
      <c r="AH16" s="35"/>
      <c r="AI16" s="35"/>
      <c r="AJ16" s="35"/>
      <c r="AK16" s="35"/>
      <c r="AL16" s="35"/>
      <c r="AM16" s="35"/>
      <c r="AN16" s="35"/>
      <c r="AO16" s="35"/>
      <c r="AP16" s="35"/>
      <c r="AQ16" s="35"/>
      <c r="AR16" s="35"/>
      <c r="AS16" s="35"/>
      <c r="AT16" s="35"/>
      <c r="AU16" s="35"/>
      <c r="AV16" s="35"/>
      <c r="AW16" s="35"/>
      <c r="AX16" s="35"/>
      <c r="AY16" s="35"/>
      <c r="AZ16" s="35"/>
      <c r="BA16" s="35"/>
      <c r="BB16" s="35"/>
      <c r="BC16" s="35"/>
      <c r="BD16" s="35"/>
      <c r="BE16" s="35"/>
      <c r="BF16" s="35"/>
      <c r="BG16" s="35"/>
      <c r="BH16" s="35"/>
      <c r="BI16" s="35"/>
      <c r="BJ16" s="35"/>
      <c r="BK16" s="35"/>
      <c r="BL16" s="35"/>
    </row>
    <row r="17" spans="1:64" ht="14">
      <c r="A17" s="35"/>
      <c r="B17" s="36"/>
      <c r="C17" s="39"/>
      <c r="D17" s="78"/>
      <c r="E17" s="78"/>
      <c r="F17" s="78"/>
      <c r="G17" s="229"/>
      <c r="H17" s="229"/>
      <c r="I17" s="40"/>
      <c r="J17" s="43" t="str">
        <f t="shared" si="0"/>
        <v/>
      </c>
      <c r="K17" s="79" t="str">
        <f t="shared" si="1"/>
        <v/>
      </c>
      <c r="L17" s="39"/>
      <c r="M17" s="35"/>
      <c r="N17" s="35"/>
      <c r="O17" s="35"/>
      <c r="P17" s="35"/>
      <c r="Q17" s="35"/>
      <c r="R17" s="35"/>
      <c r="S17" s="35"/>
      <c r="T17" s="35"/>
      <c r="U17" s="35"/>
      <c r="V17" s="35"/>
      <c r="W17" s="35"/>
      <c r="X17" s="35"/>
      <c r="Y17" s="35"/>
      <c r="Z17" s="35"/>
      <c r="AA17" s="35"/>
      <c r="AB17" s="35"/>
      <c r="AC17" s="35"/>
      <c r="AD17" s="35"/>
      <c r="AE17" s="35"/>
      <c r="AF17" s="35"/>
      <c r="AG17" s="35"/>
      <c r="AH17" s="35"/>
      <c r="AI17" s="35"/>
      <c r="AJ17" s="35"/>
      <c r="AK17" s="35"/>
      <c r="AL17" s="35"/>
      <c r="AM17" s="35"/>
      <c r="AN17" s="35"/>
      <c r="AO17" s="35"/>
      <c r="AP17" s="35"/>
      <c r="AQ17" s="35"/>
      <c r="AR17" s="35"/>
      <c r="AS17" s="35"/>
      <c r="AT17" s="35"/>
      <c r="AU17" s="35"/>
      <c r="AV17" s="35"/>
      <c r="AW17" s="35"/>
      <c r="AX17" s="35"/>
      <c r="AY17" s="35"/>
      <c r="AZ17" s="35"/>
      <c r="BA17" s="35"/>
      <c r="BB17" s="35"/>
      <c r="BC17" s="35"/>
      <c r="BD17" s="35"/>
      <c r="BE17" s="35"/>
      <c r="BF17" s="35"/>
      <c r="BG17" s="35"/>
      <c r="BH17" s="35"/>
      <c r="BI17" s="35"/>
      <c r="BJ17" s="35"/>
      <c r="BK17" s="35"/>
      <c r="BL17" s="35"/>
    </row>
    <row r="18" spans="1:64" ht="14">
      <c r="A18" s="35"/>
      <c r="B18" s="36"/>
      <c r="C18" s="39"/>
      <c r="D18" s="78"/>
      <c r="E18" s="78"/>
      <c r="F18" s="78"/>
      <c r="G18" s="229"/>
      <c r="H18" s="229"/>
      <c r="I18" s="40"/>
      <c r="J18" s="43" t="str">
        <f t="shared" si="0"/>
        <v/>
      </c>
      <c r="K18" s="79" t="str">
        <f t="shared" si="1"/>
        <v/>
      </c>
      <c r="L18" s="39"/>
      <c r="M18" s="35"/>
      <c r="N18" s="35"/>
      <c r="O18" s="35"/>
      <c r="P18" s="35"/>
      <c r="Q18" s="35"/>
      <c r="R18" s="35"/>
      <c r="S18" s="35"/>
      <c r="T18" s="35"/>
      <c r="U18" s="35"/>
      <c r="V18" s="35"/>
      <c r="W18" s="35"/>
      <c r="X18" s="35"/>
      <c r="Y18" s="35"/>
      <c r="Z18" s="35"/>
      <c r="AA18" s="35"/>
      <c r="AB18" s="35"/>
      <c r="AC18" s="35"/>
      <c r="AD18" s="35"/>
      <c r="AE18" s="35"/>
      <c r="AF18" s="35"/>
      <c r="AG18" s="35"/>
      <c r="AH18" s="35"/>
      <c r="AI18" s="35"/>
      <c r="AJ18" s="35"/>
      <c r="AK18" s="35"/>
      <c r="AL18" s="35"/>
      <c r="AM18" s="35"/>
      <c r="AN18" s="35"/>
      <c r="AO18" s="35"/>
      <c r="AP18" s="35"/>
      <c r="AQ18" s="35"/>
      <c r="AR18" s="35"/>
      <c r="AS18" s="35"/>
      <c r="AT18" s="35"/>
      <c r="AU18" s="35"/>
      <c r="AV18" s="35"/>
      <c r="AW18" s="35"/>
      <c r="AX18" s="35"/>
      <c r="AY18" s="35"/>
      <c r="AZ18" s="35"/>
      <c r="BA18" s="35"/>
      <c r="BB18" s="35"/>
      <c r="BC18" s="35"/>
      <c r="BD18" s="35"/>
      <c r="BE18" s="35"/>
      <c r="BF18" s="35"/>
      <c r="BG18" s="35"/>
      <c r="BH18" s="35"/>
      <c r="BI18" s="35"/>
      <c r="BJ18" s="35"/>
      <c r="BK18" s="35"/>
      <c r="BL18" s="35"/>
    </row>
    <row r="19" spans="1:64" ht="14">
      <c r="A19" s="35"/>
      <c r="B19" s="36"/>
      <c r="C19" s="39"/>
      <c r="D19" s="78"/>
      <c r="E19" s="78"/>
      <c r="F19" s="78"/>
      <c r="G19" s="229"/>
      <c r="H19" s="229"/>
      <c r="I19" s="40"/>
      <c r="J19" s="43" t="str">
        <f t="shared" si="0"/>
        <v/>
      </c>
      <c r="K19" s="79" t="str">
        <f t="shared" si="1"/>
        <v/>
      </c>
      <c r="L19" s="39"/>
      <c r="M19" s="35"/>
      <c r="N19" s="35"/>
      <c r="O19" s="35"/>
      <c r="P19" s="35"/>
      <c r="Q19" s="35"/>
      <c r="R19" s="35"/>
      <c r="S19" s="35"/>
      <c r="T19" s="35"/>
      <c r="U19" s="35"/>
      <c r="V19" s="35"/>
      <c r="W19" s="35"/>
      <c r="X19" s="35"/>
      <c r="Y19" s="35"/>
      <c r="Z19" s="35"/>
      <c r="AA19" s="35"/>
      <c r="AB19" s="35"/>
      <c r="AC19" s="35"/>
      <c r="AD19" s="35"/>
      <c r="AE19" s="35"/>
      <c r="AF19" s="35"/>
      <c r="AG19" s="35"/>
      <c r="AH19" s="35"/>
      <c r="AI19" s="35"/>
      <c r="AJ19" s="35"/>
      <c r="AK19" s="35"/>
      <c r="AL19" s="35"/>
      <c r="AM19" s="35"/>
      <c r="AN19" s="35"/>
      <c r="AO19" s="35"/>
      <c r="AP19" s="35"/>
      <c r="AQ19" s="35"/>
      <c r="AR19" s="35"/>
      <c r="AS19" s="35"/>
      <c r="AT19" s="35"/>
      <c r="AU19" s="35"/>
      <c r="AV19" s="35"/>
      <c r="AW19" s="35"/>
      <c r="AX19" s="35"/>
      <c r="AY19" s="35"/>
      <c r="AZ19" s="35"/>
      <c r="BA19" s="35"/>
      <c r="BB19" s="35"/>
      <c r="BC19" s="35"/>
      <c r="BD19" s="35"/>
      <c r="BE19" s="35"/>
      <c r="BF19" s="35"/>
      <c r="BG19" s="35"/>
      <c r="BH19" s="35"/>
      <c r="BI19" s="35"/>
      <c r="BJ19" s="35"/>
      <c r="BK19" s="35"/>
      <c r="BL19" s="35"/>
    </row>
    <row r="20" spans="1:64" ht="14">
      <c r="A20" s="35"/>
      <c r="B20" s="36"/>
      <c r="C20" s="39"/>
      <c r="D20" s="78"/>
      <c r="E20" s="78"/>
      <c r="F20" s="78"/>
      <c r="G20" s="229"/>
      <c r="H20" s="229"/>
      <c r="I20" s="40"/>
      <c r="J20" s="43" t="str">
        <f t="shared" si="0"/>
        <v/>
      </c>
      <c r="K20" s="79" t="str">
        <f t="shared" si="1"/>
        <v/>
      </c>
      <c r="L20" s="39"/>
      <c r="M20" s="35"/>
      <c r="N20" s="35"/>
      <c r="O20" s="35"/>
      <c r="P20" s="35"/>
      <c r="Q20" s="35"/>
      <c r="R20" s="35"/>
      <c r="S20" s="35"/>
      <c r="T20" s="35"/>
      <c r="U20" s="35"/>
      <c r="V20" s="35"/>
      <c r="W20" s="35"/>
      <c r="X20" s="35"/>
      <c r="Y20" s="35"/>
      <c r="Z20" s="35"/>
      <c r="AA20" s="35"/>
      <c r="AB20" s="35"/>
      <c r="AC20" s="35"/>
      <c r="AD20" s="35"/>
      <c r="AE20" s="35"/>
      <c r="AF20" s="35"/>
      <c r="AG20" s="35"/>
      <c r="AH20" s="35"/>
      <c r="AI20" s="35"/>
      <c r="AJ20" s="35"/>
      <c r="AK20" s="35"/>
      <c r="AL20" s="35"/>
      <c r="AM20" s="35"/>
      <c r="AN20" s="35"/>
      <c r="AO20" s="35"/>
      <c r="AP20" s="35"/>
      <c r="AQ20" s="35"/>
      <c r="AR20" s="35"/>
      <c r="AS20" s="35"/>
      <c r="AT20" s="35"/>
      <c r="AU20" s="35"/>
      <c r="AV20" s="35"/>
      <c r="AW20" s="35"/>
      <c r="AX20" s="35"/>
      <c r="AY20" s="35"/>
      <c r="AZ20" s="35"/>
      <c r="BA20" s="35"/>
      <c r="BB20" s="35"/>
      <c r="BC20" s="35"/>
      <c r="BD20" s="35"/>
      <c r="BE20" s="35"/>
      <c r="BF20" s="35"/>
      <c r="BG20" s="35"/>
      <c r="BH20" s="35"/>
      <c r="BI20" s="35"/>
      <c r="BJ20" s="35"/>
      <c r="BK20" s="35"/>
      <c r="BL20" s="35"/>
    </row>
    <row r="21" spans="1:64" ht="14">
      <c r="A21" s="35"/>
      <c r="B21" s="36"/>
      <c r="C21" s="39"/>
      <c r="D21" s="78"/>
      <c r="E21" s="78"/>
      <c r="F21" s="78"/>
      <c r="G21" s="229"/>
      <c r="H21" s="229"/>
      <c r="I21" s="40"/>
      <c r="J21" s="43" t="str">
        <f t="shared" si="0"/>
        <v/>
      </c>
      <c r="K21" s="79" t="str">
        <f t="shared" si="1"/>
        <v/>
      </c>
      <c r="L21" s="39"/>
      <c r="M21" s="35"/>
      <c r="N21" s="35"/>
      <c r="O21" s="35"/>
      <c r="P21" s="35"/>
      <c r="Q21" s="35"/>
      <c r="R21" s="35"/>
      <c r="S21" s="35"/>
      <c r="T21" s="35"/>
      <c r="U21" s="35"/>
      <c r="V21" s="35"/>
      <c r="W21" s="35"/>
      <c r="X21" s="35"/>
      <c r="Y21" s="35"/>
      <c r="Z21" s="35"/>
      <c r="AA21" s="35"/>
      <c r="AB21" s="35"/>
      <c r="AC21" s="35"/>
      <c r="AD21" s="35"/>
      <c r="AE21" s="35"/>
      <c r="AF21" s="35"/>
      <c r="AG21" s="35"/>
      <c r="AH21" s="35"/>
      <c r="AI21" s="35"/>
      <c r="AJ21" s="35"/>
      <c r="AK21" s="35"/>
      <c r="AL21" s="35"/>
      <c r="AM21" s="35"/>
      <c r="AN21" s="35"/>
      <c r="AO21" s="35"/>
      <c r="AP21" s="35"/>
      <c r="AQ21" s="35"/>
      <c r="AR21" s="35"/>
      <c r="AS21" s="35"/>
      <c r="AT21" s="35"/>
      <c r="AU21" s="35"/>
      <c r="AV21" s="35"/>
      <c r="AW21" s="35"/>
      <c r="AX21" s="35"/>
      <c r="AY21" s="35"/>
      <c r="AZ21" s="35"/>
      <c r="BA21" s="35"/>
      <c r="BB21" s="35"/>
      <c r="BC21" s="35"/>
      <c r="BD21" s="35"/>
      <c r="BE21" s="35"/>
      <c r="BF21" s="35"/>
      <c r="BG21" s="35"/>
      <c r="BH21" s="35"/>
      <c r="BI21" s="35"/>
      <c r="BJ21" s="35"/>
      <c r="BK21" s="35"/>
      <c r="BL21" s="35"/>
    </row>
    <row r="22" spans="1:64" ht="14">
      <c r="A22" s="35"/>
      <c r="B22" s="36"/>
      <c r="C22" s="39"/>
      <c r="D22" s="78"/>
      <c r="E22" s="78"/>
      <c r="F22" s="78"/>
      <c r="G22" s="229"/>
      <c r="H22" s="229"/>
      <c r="I22" s="40"/>
      <c r="J22" s="43" t="str">
        <f t="shared" si="0"/>
        <v/>
      </c>
      <c r="K22" s="79" t="str">
        <f t="shared" si="1"/>
        <v/>
      </c>
      <c r="L22" s="39"/>
      <c r="M22" s="35"/>
      <c r="N22" s="35"/>
      <c r="O22" s="35"/>
      <c r="P22" s="35"/>
      <c r="Q22" s="35"/>
      <c r="R22" s="35"/>
      <c r="S22" s="35"/>
      <c r="T22" s="35"/>
      <c r="U22" s="35"/>
      <c r="V22" s="35"/>
      <c r="W22" s="35"/>
      <c r="X22" s="35"/>
      <c r="Y22" s="35"/>
      <c r="Z22" s="35"/>
      <c r="AA22" s="35"/>
      <c r="AB22" s="35"/>
      <c r="AC22" s="35"/>
      <c r="AD22" s="35"/>
      <c r="AE22" s="35"/>
      <c r="AF22" s="35"/>
      <c r="AG22" s="35"/>
      <c r="AH22" s="35"/>
      <c r="AI22" s="35"/>
      <c r="AJ22" s="35"/>
      <c r="AK22" s="35"/>
      <c r="AL22" s="35"/>
      <c r="AM22" s="35"/>
      <c r="AN22" s="35"/>
      <c r="AO22" s="35"/>
      <c r="AP22" s="35"/>
      <c r="AQ22" s="35"/>
      <c r="AR22" s="35"/>
      <c r="AS22" s="35"/>
      <c r="AT22" s="35"/>
      <c r="AU22" s="35"/>
      <c r="AV22" s="35"/>
      <c r="AW22" s="35"/>
      <c r="AX22" s="35"/>
      <c r="AY22" s="35"/>
      <c r="AZ22" s="35"/>
      <c r="BA22" s="35"/>
      <c r="BB22" s="35"/>
      <c r="BC22" s="35"/>
      <c r="BD22" s="35"/>
      <c r="BE22" s="35"/>
      <c r="BF22" s="35"/>
      <c r="BG22" s="35"/>
      <c r="BH22" s="35"/>
      <c r="BI22" s="35"/>
      <c r="BJ22" s="35"/>
      <c r="BK22" s="35"/>
      <c r="BL22" s="35"/>
    </row>
    <row r="23" spans="1:64" ht="14">
      <c r="A23" s="35"/>
      <c r="B23" s="36"/>
      <c r="C23" s="39"/>
      <c r="D23" s="78"/>
      <c r="E23" s="78"/>
      <c r="F23" s="78"/>
      <c r="G23" s="229"/>
      <c r="H23" s="229"/>
      <c r="I23" s="40"/>
      <c r="J23" s="43" t="str">
        <f t="shared" si="0"/>
        <v/>
      </c>
      <c r="K23" s="79" t="str">
        <f t="shared" si="1"/>
        <v/>
      </c>
      <c r="L23" s="39"/>
      <c r="M23" s="35"/>
      <c r="N23" s="35"/>
      <c r="O23" s="35"/>
      <c r="P23" s="35"/>
      <c r="Q23" s="35"/>
      <c r="R23" s="35"/>
      <c r="S23" s="35"/>
      <c r="T23" s="35"/>
      <c r="U23" s="35"/>
      <c r="V23" s="35"/>
      <c r="W23" s="35"/>
      <c r="X23" s="35"/>
      <c r="Y23" s="35"/>
      <c r="Z23" s="35"/>
      <c r="AA23" s="35"/>
      <c r="AB23" s="35"/>
      <c r="AC23" s="35"/>
      <c r="AD23" s="35"/>
      <c r="AE23" s="35"/>
      <c r="AF23" s="35"/>
      <c r="AG23" s="35"/>
      <c r="AH23" s="35"/>
      <c r="AI23" s="35"/>
      <c r="AJ23" s="35"/>
      <c r="AK23" s="35"/>
      <c r="AL23" s="35"/>
      <c r="AM23" s="35"/>
      <c r="AN23" s="35"/>
      <c r="AO23" s="35"/>
      <c r="AP23" s="35"/>
      <c r="AQ23" s="35"/>
      <c r="AR23" s="35"/>
      <c r="AS23" s="35"/>
      <c r="AT23" s="35"/>
      <c r="AU23" s="35"/>
      <c r="AV23" s="35"/>
      <c r="AW23" s="35"/>
      <c r="AX23" s="35"/>
      <c r="AY23" s="35"/>
      <c r="AZ23" s="35"/>
      <c r="BA23" s="35"/>
      <c r="BB23" s="35"/>
      <c r="BC23" s="35"/>
      <c r="BD23" s="35"/>
      <c r="BE23" s="35"/>
      <c r="BF23" s="35"/>
      <c r="BG23" s="35"/>
      <c r="BH23" s="35"/>
      <c r="BI23" s="35"/>
      <c r="BJ23" s="35"/>
      <c r="BK23" s="35"/>
      <c r="BL23" s="35"/>
    </row>
    <row r="24" spans="1:64" ht="14">
      <c r="A24" s="35"/>
      <c r="B24" s="36"/>
      <c r="C24" s="39"/>
      <c r="D24" s="78"/>
      <c r="E24" s="78"/>
      <c r="F24" s="78"/>
      <c r="G24" s="229"/>
      <c r="H24" s="229"/>
      <c r="I24" s="40"/>
      <c r="J24" s="43" t="str">
        <f t="shared" si="0"/>
        <v/>
      </c>
      <c r="K24" s="79" t="str">
        <f t="shared" si="1"/>
        <v/>
      </c>
      <c r="L24" s="39"/>
      <c r="M24" s="35"/>
      <c r="N24" s="35"/>
      <c r="O24" s="35"/>
      <c r="P24" s="35"/>
      <c r="Q24" s="35"/>
      <c r="R24" s="35"/>
      <c r="S24" s="35"/>
      <c r="T24" s="35"/>
      <c r="U24" s="35"/>
      <c r="V24" s="35"/>
      <c r="W24" s="35"/>
      <c r="X24" s="35"/>
      <c r="Y24" s="35"/>
      <c r="Z24" s="35"/>
      <c r="AA24" s="35"/>
      <c r="AB24" s="35"/>
      <c r="AC24" s="35"/>
      <c r="AD24" s="35"/>
      <c r="AE24" s="35"/>
      <c r="AF24" s="35"/>
      <c r="AG24" s="35"/>
      <c r="AH24" s="35"/>
      <c r="AI24" s="35"/>
      <c r="AJ24" s="35"/>
      <c r="AK24" s="35"/>
      <c r="AL24" s="35"/>
      <c r="AM24" s="35"/>
      <c r="AN24" s="35"/>
      <c r="AO24" s="35"/>
      <c r="AP24" s="35"/>
      <c r="AQ24" s="35"/>
      <c r="AR24" s="35"/>
      <c r="AS24" s="35"/>
      <c r="AT24" s="35"/>
      <c r="AU24" s="35"/>
      <c r="AV24" s="35"/>
      <c r="AW24" s="35"/>
      <c r="AX24" s="35"/>
      <c r="AY24" s="35"/>
      <c r="AZ24" s="35"/>
      <c r="BA24" s="35"/>
      <c r="BB24" s="35"/>
      <c r="BC24" s="35"/>
      <c r="BD24" s="35"/>
      <c r="BE24" s="35"/>
      <c r="BF24" s="35"/>
      <c r="BG24" s="35"/>
      <c r="BH24" s="35"/>
      <c r="BI24" s="35"/>
      <c r="BJ24" s="35"/>
      <c r="BK24" s="35"/>
      <c r="BL24" s="35"/>
    </row>
    <row r="25" spans="1:64" ht="14">
      <c r="A25" s="35"/>
      <c r="B25" s="36"/>
      <c r="C25" s="39"/>
      <c r="D25" s="78"/>
      <c r="E25" s="78"/>
      <c r="F25" s="78"/>
      <c r="G25" s="229"/>
      <c r="H25" s="229"/>
      <c r="I25" s="40"/>
      <c r="J25" s="43" t="str">
        <f t="shared" si="0"/>
        <v/>
      </c>
      <c r="K25" s="79" t="str">
        <f t="shared" si="1"/>
        <v/>
      </c>
      <c r="L25" s="39"/>
      <c r="M25" s="35"/>
      <c r="N25" s="35"/>
      <c r="O25" s="35"/>
      <c r="P25" s="35"/>
      <c r="Q25" s="35"/>
      <c r="R25" s="35"/>
      <c r="S25" s="35"/>
      <c r="T25" s="35"/>
      <c r="U25" s="35"/>
      <c r="V25" s="35"/>
      <c r="W25" s="35"/>
      <c r="X25" s="35"/>
      <c r="Y25" s="35"/>
      <c r="Z25" s="35"/>
      <c r="AA25" s="35"/>
      <c r="AB25" s="35"/>
      <c r="AC25" s="35"/>
      <c r="AD25" s="35"/>
      <c r="AE25" s="35"/>
      <c r="AF25" s="35"/>
      <c r="AG25" s="35"/>
      <c r="AH25" s="35"/>
      <c r="AI25" s="35"/>
      <c r="AJ25" s="35"/>
      <c r="AK25" s="35"/>
      <c r="AL25" s="35"/>
      <c r="AM25" s="35"/>
      <c r="AN25" s="35"/>
      <c r="AO25" s="35"/>
      <c r="AP25" s="35"/>
      <c r="AQ25" s="35"/>
      <c r="AR25" s="35"/>
      <c r="AS25" s="35"/>
      <c r="AT25" s="35"/>
      <c r="AU25" s="35"/>
      <c r="AV25" s="35"/>
      <c r="AW25" s="35"/>
      <c r="AX25" s="35"/>
      <c r="AY25" s="35"/>
      <c r="AZ25" s="35"/>
      <c r="BA25" s="35"/>
      <c r="BB25" s="35"/>
      <c r="BC25" s="35"/>
      <c r="BD25" s="35"/>
      <c r="BE25" s="35"/>
      <c r="BF25" s="35"/>
      <c r="BG25" s="35"/>
      <c r="BH25" s="35"/>
      <c r="BI25" s="35"/>
      <c r="BJ25" s="35"/>
      <c r="BK25" s="35"/>
      <c r="BL25" s="35"/>
    </row>
    <row r="26" spans="1:64" ht="14">
      <c r="A26" s="35"/>
      <c r="B26" s="36"/>
      <c r="C26" s="39"/>
      <c r="D26" s="78"/>
      <c r="E26" s="78"/>
      <c r="F26" s="78"/>
      <c r="G26" s="229"/>
      <c r="H26" s="229"/>
      <c r="I26" s="40"/>
      <c r="J26" s="43" t="str">
        <f t="shared" si="0"/>
        <v/>
      </c>
      <c r="K26" s="79" t="str">
        <f t="shared" si="1"/>
        <v/>
      </c>
      <c r="L26" s="39"/>
      <c r="M26" s="35"/>
      <c r="N26" s="35"/>
      <c r="O26" s="35"/>
      <c r="P26" s="35"/>
      <c r="Q26" s="35"/>
      <c r="R26" s="35"/>
      <c r="S26" s="35"/>
      <c r="T26" s="35"/>
      <c r="U26" s="35"/>
      <c r="V26" s="35"/>
      <c r="W26" s="35"/>
      <c r="X26" s="35"/>
      <c r="Y26" s="35"/>
      <c r="Z26" s="35"/>
      <c r="AA26" s="35"/>
      <c r="AB26" s="35"/>
      <c r="AC26" s="35"/>
      <c r="AD26" s="35"/>
      <c r="AE26" s="35"/>
      <c r="AF26" s="35"/>
      <c r="AG26" s="35"/>
      <c r="AH26" s="35"/>
      <c r="AI26" s="35"/>
      <c r="AJ26" s="35"/>
      <c r="AK26" s="35"/>
      <c r="AL26" s="35"/>
      <c r="AM26" s="35"/>
      <c r="AN26" s="35"/>
      <c r="AO26" s="35"/>
      <c r="AP26" s="35"/>
      <c r="AQ26" s="35"/>
      <c r="AR26" s="35"/>
      <c r="AS26" s="35"/>
      <c r="AT26" s="35"/>
      <c r="AU26" s="35"/>
      <c r="AV26" s="35"/>
      <c r="AW26" s="35"/>
      <c r="AX26" s="35"/>
      <c r="AY26" s="35"/>
      <c r="AZ26" s="35"/>
      <c r="BA26" s="35"/>
      <c r="BB26" s="35"/>
      <c r="BC26" s="35"/>
      <c r="BD26" s="35"/>
      <c r="BE26" s="35"/>
      <c r="BF26" s="35"/>
      <c r="BG26" s="35"/>
      <c r="BH26" s="35"/>
      <c r="BI26" s="35"/>
      <c r="BJ26" s="35"/>
      <c r="BK26" s="35"/>
      <c r="BL26" s="35"/>
    </row>
    <row r="27" spans="1:64" ht="14">
      <c r="A27" s="35"/>
      <c r="B27" s="36"/>
      <c r="C27" s="39"/>
      <c r="D27" s="78"/>
      <c r="E27" s="78"/>
      <c r="F27" s="78"/>
      <c r="G27" s="229"/>
      <c r="H27" s="229"/>
      <c r="I27" s="40"/>
      <c r="J27" s="43" t="str">
        <f t="shared" si="0"/>
        <v/>
      </c>
      <c r="K27" s="79" t="str">
        <f t="shared" si="1"/>
        <v/>
      </c>
      <c r="L27" s="39"/>
      <c r="M27" s="35"/>
      <c r="N27" s="35"/>
      <c r="O27" s="35"/>
      <c r="P27" s="35"/>
      <c r="Q27" s="35"/>
      <c r="R27" s="35"/>
      <c r="S27" s="35"/>
      <c r="T27" s="35"/>
      <c r="U27" s="35"/>
      <c r="V27" s="35"/>
      <c r="W27" s="35"/>
      <c r="X27" s="35"/>
      <c r="Y27" s="35"/>
      <c r="Z27" s="35"/>
      <c r="AA27" s="35"/>
      <c r="AB27" s="35"/>
      <c r="AC27" s="35"/>
      <c r="AD27" s="35"/>
      <c r="AE27" s="35"/>
      <c r="AF27" s="35"/>
      <c r="AG27" s="35"/>
      <c r="AH27" s="35"/>
      <c r="AI27" s="35"/>
      <c r="AJ27" s="35"/>
      <c r="AK27" s="35"/>
      <c r="AL27" s="35"/>
      <c r="AM27" s="35"/>
      <c r="AN27" s="35"/>
      <c r="AO27" s="35"/>
      <c r="AP27" s="35"/>
      <c r="AQ27" s="35"/>
      <c r="AR27" s="35"/>
      <c r="AS27" s="35"/>
      <c r="AT27" s="35"/>
      <c r="AU27" s="35"/>
      <c r="AV27" s="35"/>
      <c r="AW27" s="35"/>
      <c r="AX27" s="35"/>
      <c r="AY27" s="35"/>
      <c r="AZ27" s="35"/>
      <c r="BA27" s="35"/>
      <c r="BB27" s="35"/>
      <c r="BC27" s="35"/>
      <c r="BD27" s="35"/>
      <c r="BE27" s="35"/>
      <c r="BF27" s="35"/>
      <c r="BG27" s="35"/>
      <c r="BH27" s="35"/>
      <c r="BI27" s="35"/>
      <c r="BJ27" s="35"/>
      <c r="BK27" s="35"/>
      <c r="BL27" s="35"/>
    </row>
    <row r="28" spans="1:64" ht="14">
      <c r="A28" s="35"/>
      <c r="B28" s="36"/>
      <c r="C28" s="39"/>
      <c r="D28" s="78"/>
      <c r="E28" s="78"/>
      <c r="F28" s="78"/>
      <c r="G28" s="229"/>
      <c r="H28" s="229"/>
      <c r="I28" s="40"/>
      <c r="J28" s="43" t="str">
        <f t="shared" si="0"/>
        <v/>
      </c>
      <c r="K28" s="79" t="str">
        <f t="shared" si="1"/>
        <v/>
      </c>
      <c r="L28" s="39"/>
      <c r="M28" s="35"/>
      <c r="N28" s="35"/>
      <c r="O28" s="35"/>
      <c r="P28" s="35"/>
      <c r="Q28" s="35"/>
      <c r="R28" s="35"/>
      <c r="S28" s="35"/>
      <c r="T28" s="35"/>
      <c r="U28" s="35"/>
      <c r="V28" s="35"/>
      <c r="W28" s="35"/>
      <c r="X28" s="35"/>
      <c r="Y28" s="35"/>
      <c r="Z28" s="35"/>
      <c r="AA28" s="35"/>
      <c r="AB28" s="35"/>
      <c r="AC28" s="35"/>
      <c r="AD28" s="35"/>
      <c r="AE28" s="35"/>
      <c r="AF28" s="35"/>
      <c r="AG28" s="35"/>
      <c r="AH28" s="35"/>
      <c r="AI28" s="35"/>
      <c r="AJ28" s="35"/>
      <c r="AK28" s="35"/>
      <c r="AL28" s="35"/>
      <c r="AM28" s="35"/>
      <c r="AN28" s="35"/>
      <c r="AO28" s="35"/>
      <c r="AP28" s="35"/>
      <c r="AQ28" s="35"/>
      <c r="AR28" s="35"/>
      <c r="AS28" s="35"/>
      <c r="AT28" s="35"/>
      <c r="AU28" s="35"/>
      <c r="AV28" s="35"/>
      <c r="AW28" s="35"/>
      <c r="AX28" s="35"/>
      <c r="AY28" s="35"/>
      <c r="AZ28" s="35"/>
      <c r="BA28" s="35"/>
      <c r="BB28" s="35"/>
      <c r="BC28" s="35"/>
      <c r="BD28" s="35"/>
      <c r="BE28" s="35"/>
      <c r="BF28" s="35"/>
      <c r="BG28" s="35"/>
      <c r="BH28" s="35"/>
      <c r="BI28" s="35"/>
      <c r="BJ28" s="35"/>
      <c r="BK28" s="35"/>
      <c r="BL28" s="35"/>
    </row>
    <row r="29" spans="1:64" ht="14">
      <c r="A29" s="35"/>
      <c r="B29" s="36"/>
      <c r="C29" s="39"/>
      <c r="D29" s="78"/>
      <c r="E29" s="78"/>
      <c r="F29" s="78"/>
      <c r="G29" s="229"/>
      <c r="H29" s="229"/>
      <c r="I29" s="80"/>
      <c r="J29" s="43" t="str">
        <f t="shared" si="0"/>
        <v/>
      </c>
      <c r="K29" s="79" t="str">
        <f t="shared" si="1"/>
        <v/>
      </c>
      <c r="L29" s="39"/>
      <c r="M29" s="35"/>
      <c r="N29" s="35"/>
      <c r="O29" s="35"/>
      <c r="P29" s="35"/>
      <c r="Q29" s="35"/>
      <c r="R29" s="35"/>
      <c r="S29" s="35"/>
      <c r="T29" s="35"/>
      <c r="U29" s="35"/>
      <c r="V29" s="35"/>
      <c r="W29" s="35"/>
      <c r="X29" s="35"/>
      <c r="Y29" s="35"/>
      <c r="Z29" s="35"/>
      <c r="AA29" s="35"/>
      <c r="AB29" s="35"/>
      <c r="AC29" s="35"/>
      <c r="AD29" s="35"/>
      <c r="AE29" s="35"/>
      <c r="AF29" s="35"/>
      <c r="AG29" s="35"/>
      <c r="AH29" s="35"/>
      <c r="AI29" s="35"/>
      <c r="AJ29" s="35"/>
      <c r="AK29" s="35"/>
      <c r="AL29" s="35"/>
      <c r="AM29" s="35"/>
      <c r="AN29" s="35"/>
      <c r="AO29" s="35"/>
      <c r="AP29" s="35"/>
      <c r="AQ29" s="35"/>
      <c r="AR29" s="35"/>
      <c r="AS29" s="35"/>
      <c r="AT29" s="35"/>
      <c r="AU29" s="35"/>
      <c r="AV29" s="35"/>
      <c r="AW29" s="35"/>
      <c r="AX29" s="35"/>
      <c r="AY29" s="35"/>
      <c r="AZ29" s="35"/>
      <c r="BA29" s="35"/>
      <c r="BB29" s="35"/>
      <c r="BC29" s="35"/>
      <c r="BD29" s="35"/>
      <c r="BE29" s="35"/>
      <c r="BF29" s="35"/>
      <c r="BG29" s="35"/>
      <c r="BH29" s="35"/>
      <c r="BI29" s="35"/>
      <c r="BJ29" s="35"/>
      <c r="BK29" s="35"/>
      <c r="BL29" s="35"/>
    </row>
    <row r="30" spans="1:64" ht="14">
      <c r="A30" s="35"/>
      <c r="B30" s="36"/>
      <c r="C30" s="39"/>
      <c r="D30" s="78"/>
      <c r="E30" s="78"/>
      <c r="F30" s="78"/>
      <c r="G30" s="229"/>
      <c r="H30" s="229"/>
      <c r="I30" s="80"/>
      <c r="J30" s="43" t="str">
        <f t="shared" si="0"/>
        <v/>
      </c>
      <c r="K30" s="79" t="str">
        <f t="shared" si="1"/>
        <v/>
      </c>
      <c r="L30" s="39"/>
      <c r="M30" s="35"/>
      <c r="N30" s="35"/>
      <c r="O30" s="35"/>
      <c r="P30" s="35"/>
      <c r="Q30" s="35"/>
      <c r="R30" s="35"/>
      <c r="S30" s="35"/>
      <c r="T30" s="35"/>
      <c r="U30" s="35"/>
      <c r="V30" s="35"/>
      <c r="W30" s="35"/>
      <c r="X30" s="35"/>
      <c r="Y30" s="35"/>
      <c r="Z30" s="35"/>
      <c r="AA30" s="35"/>
      <c r="AB30" s="35"/>
      <c r="AC30" s="35"/>
      <c r="AD30" s="35"/>
      <c r="AE30" s="35"/>
      <c r="AF30" s="35"/>
      <c r="AG30" s="35"/>
      <c r="AH30" s="35"/>
      <c r="AI30" s="35"/>
      <c r="AJ30" s="35"/>
      <c r="AK30" s="35"/>
      <c r="AL30" s="35"/>
      <c r="AM30" s="35"/>
      <c r="AN30" s="35"/>
      <c r="AO30" s="35"/>
      <c r="AP30" s="35"/>
      <c r="AQ30" s="35"/>
      <c r="AR30" s="35"/>
      <c r="AS30" s="35"/>
      <c r="AT30" s="35"/>
      <c r="AU30" s="35"/>
      <c r="AV30" s="35"/>
      <c r="AW30" s="35"/>
      <c r="AX30" s="35"/>
      <c r="AY30" s="35"/>
      <c r="AZ30" s="35"/>
      <c r="BA30" s="35"/>
      <c r="BB30" s="35"/>
      <c r="BC30" s="35"/>
      <c r="BD30" s="35"/>
      <c r="BE30" s="35"/>
      <c r="BF30" s="35"/>
      <c r="BG30" s="35"/>
      <c r="BH30" s="35"/>
      <c r="BI30" s="35"/>
      <c r="BJ30" s="35"/>
      <c r="BK30" s="35"/>
      <c r="BL30" s="35"/>
    </row>
    <row r="31" spans="1:64" ht="14">
      <c r="A31" s="35"/>
      <c r="B31" s="36"/>
      <c r="C31" s="39"/>
      <c r="D31" s="78"/>
      <c r="E31" s="78"/>
      <c r="F31" s="78"/>
      <c r="G31" s="229"/>
      <c r="H31" s="229"/>
      <c r="I31" s="40"/>
      <c r="J31" s="43" t="str">
        <f t="shared" si="0"/>
        <v/>
      </c>
      <c r="K31" s="79" t="str">
        <f t="shared" si="1"/>
        <v/>
      </c>
      <c r="L31" s="39"/>
      <c r="M31" s="35"/>
      <c r="N31" s="35"/>
      <c r="O31" s="35"/>
      <c r="P31" s="35"/>
      <c r="Q31" s="35"/>
      <c r="R31" s="35"/>
      <c r="S31" s="35"/>
      <c r="T31" s="35"/>
      <c r="U31" s="35"/>
      <c r="V31" s="35"/>
      <c r="W31" s="35"/>
      <c r="X31" s="35"/>
      <c r="Y31" s="35"/>
      <c r="Z31" s="35"/>
      <c r="AA31" s="35"/>
      <c r="AB31" s="35"/>
      <c r="AC31" s="35"/>
      <c r="AD31" s="35"/>
      <c r="AE31" s="35"/>
      <c r="AF31" s="35"/>
      <c r="AG31" s="35"/>
      <c r="AH31" s="35"/>
      <c r="AI31" s="35"/>
      <c r="AJ31" s="35"/>
      <c r="AK31" s="35"/>
      <c r="AL31" s="35"/>
      <c r="AM31" s="35"/>
      <c r="AN31" s="35"/>
      <c r="AO31" s="35"/>
      <c r="AP31" s="35"/>
      <c r="AQ31" s="35"/>
      <c r="AR31" s="35"/>
      <c r="AS31" s="35"/>
      <c r="AT31" s="35"/>
      <c r="AU31" s="35"/>
      <c r="AV31" s="35"/>
      <c r="AW31" s="35"/>
      <c r="AX31" s="35"/>
      <c r="AY31" s="35"/>
      <c r="AZ31" s="35"/>
      <c r="BA31" s="35"/>
      <c r="BB31" s="35"/>
      <c r="BC31" s="35"/>
      <c r="BD31" s="35"/>
      <c r="BE31" s="35"/>
      <c r="BF31" s="35"/>
      <c r="BG31" s="35"/>
      <c r="BH31" s="35"/>
      <c r="BI31" s="35"/>
      <c r="BJ31" s="35"/>
      <c r="BK31" s="35"/>
      <c r="BL31" s="35"/>
    </row>
    <row r="32" spans="1:64" ht="14">
      <c r="A32" s="35"/>
      <c r="B32" s="36"/>
      <c r="C32" s="39"/>
      <c r="D32" s="78"/>
      <c r="E32" s="78"/>
      <c r="F32" s="78"/>
      <c r="G32" s="229"/>
      <c r="H32" s="229"/>
      <c r="I32" s="40"/>
      <c r="J32" s="43" t="str">
        <f t="shared" si="0"/>
        <v/>
      </c>
      <c r="K32" s="79" t="str">
        <f t="shared" si="1"/>
        <v/>
      </c>
      <c r="L32" s="39"/>
      <c r="M32" s="35"/>
      <c r="N32" s="35"/>
      <c r="O32" s="35"/>
      <c r="P32" s="35"/>
      <c r="Q32" s="35"/>
      <c r="R32" s="35"/>
      <c r="S32" s="35"/>
      <c r="T32" s="35"/>
      <c r="U32" s="35"/>
      <c r="V32" s="35"/>
      <c r="W32" s="35"/>
      <c r="X32" s="35"/>
      <c r="Y32" s="35"/>
      <c r="Z32" s="35"/>
      <c r="AA32" s="35"/>
      <c r="AB32" s="35"/>
      <c r="AC32" s="35"/>
      <c r="AD32" s="35"/>
      <c r="AE32" s="35"/>
      <c r="AF32" s="35"/>
      <c r="AG32" s="35"/>
      <c r="AH32" s="35"/>
      <c r="AI32" s="35"/>
      <c r="AJ32" s="35"/>
      <c r="AK32" s="35"/>
      <c r="AL32" s="35"/>
      <c r="AM32" s="35"/>
      <c r="AN32" s="35"/>
      <c r="AO32" s="35"/>
      <c r="AP32" s="35"/>
      <c r="AQ32" s="35"/>
      <c r="AR32" s="35"/>
      <c r="AS32" s="35"/>
      <c r="AT32" s="35"/>
      <c r="AU32" s="35"/>
      <c r="AV32" s="35"/>
      <c r="AW32" s="35"/>
      <c r="AX32" s="35"/>
      <c r="AY32" s="35"/>
      <c r="AZ32" s="35"/>
      <c r="BA32" s="35"/>
      <c r="BB32" s="35"/>
      <c r="BC32" s="35"/>
      <c r="BD32" s="35"/>
      <c r="BE32" s="35"/>
      <c r="BF32" s="35"/>
      <c r="BG32" s="35"/>
      <c r="BH32" s="35"/>
      <c r="BI32" s="35"/>
      <c r="BJ32" s="35"/>
      <c r="BK32" s="35"/>
      <c r="BL32" s="35"/>
    </row>
    <row r="33" spans="1:64" ht="14">
      <c r="A33" s="35"/>
      <c r="B33" s="36"/>
      <c r="C33" s="39"/>
      <c r="D33" s="78"/>
      <c r="E33" s="78"/>
      <c r="F33" s="78"/>
      <c r="G33" s="229"/>
      <c r="H33" s="229"/>
      <c r="I33" s="40"/>
      <c r="J33" s="43" t="str">
        <f t="shared" si="0"/>
        <v/>
      </c>
      <c r="K33" s="79" t="str">
        <f t="shared" si="1"/>
        <v/>
      </c>
      <c r="L33" s="39"/>
      <c r="M33" s="35"/>
      <c r="N33" s="35"/>
      <c r="O33" s="35"/>
      <c r="P33" s="35"/>
      <c r="Q33" s="35"/>
      <c r="R33" s="35"/>
      <c r="S33" s="35"/>
      <c r="T33" s="35"/>
      <c r="U33" s="35"/>
      <c r="V33" s="35"/>
      <c r="W33" s="35"/>
      <c r="X33" s="35"/>
      <c r="Y33" s="35"/>
      <c r="Z33" s="35"/>
      <c r="AA33" s="35"/>
      <c r="AB33" s="35"/>
      <c r="AC33" s="35"/>
      <c r="AD33" s="35"/>
      <c r="AE33" s="35"/>
      <c r="AF33" s="35"/>
      <c r="AG33" s="35"/>
      <c r="AH33" s="35"/>
      <c r="AI33" s="35"/>
      <c r="AJ33" s="35"/>
      <c r="AK33" s="35"/>
      <c r="AL33" s="35"/>
      <c r="AM33" s="35"/>
      <c r="AN33" s="35"/>
      <c r="AO33" s="35"/>
      <c r="AP33" s="35"/>
      <c r="AQ33" s="35"/>
      <c r="AR33" s="35"/>
      <c r="AS33" s="35"/>
      <c r="AT33" s="35"/>
      <c r="AU33" s="35"/>
      <c r="AV33" s="35"/>
      <c r="AW33" s="35"/>
      <c r="AX33" s="35"/>
      <c r="AY33" s="35"/>
      <c r="AZ33" s="35"/>
      <c r="BA33" s="35"/>
      <c r="BB33" s="35"/>
      <c r="BC33" s="35"/>
      <c r="BD33" s="35"/>
      <c r="BE33" s="35"/>
      <c r="BF33" s="35"/>
      <c r="BG33" s="35"/>
      <c r="BH33" s="35"/>
      <c r="BI33" s="35"/>
      <c r="BJ33" s="35"/>
      <c r="BK33" s="35"/>
      <c r="BL33" s="35"/>
    </row>
    <row r="34" spans="1:64" ht="14">
      <c r="A34" s="35"/>
      <c r="B34" s="36"/>
      <c r="C34" s="39"/>
      <c r="D34" s="78"/>
      <c r="E34" s="78"/>
      <c r="F34" s="78"/>
      <c r="G34" s="229"/>
      <c r="H34" s="229"/>
      <c r="I34" s="40"/>
      <c r="J34" s="43" t="str">
        <f t="shared" si="0"/>
        <v/>
      </c>
      <c r="K34" s="79" t="str">
        <f t="shared" si="1"/>
        <v/>
      </c>
      <c r="L34" s="39"/>
      <c r="M34" s="35"/>
      <c r="N34" s="35"/>
      <c r="O34" s="35"/>
      <c r="P34" s="35"/>
      <c r="Q34" s="35"/>
      <c r="R34" s="35"/>
      <c r="S34" s="35"/>
      <c r="T34" s="35"/>
      <c r="U34" s="35"/>
      <c r="V34" s="35"/>
      <c r="W34" s="35"/>
      <c r="X34" s="35"/>
      <c r="Y34" s="35"/>
      <c r="Z34" s="35"/>
      <c r="AA34" s="35"/>
      <c r="AB34" s="35"/>
      <c r="AC34" s="35"/>
      <c r="AD34" s="35"/>
      <c r="AE34" s="35"/>
      <c r="AF34" s="35"/>
      <c r="AG34" s="35"/>
      <c r="AH34" s="35"/>
      <c r="AI34" s="35"/>
      <c r="AJ34" s="35"/>
      <c r="AK34" s="35"/>
      <c r="AL34" s="35"/>
      <c r="AM34" s="35"/>
      <c r="AN34" s="35"/>
      <c r="AO34" s="35"/>
      <c r="AP34" s="35"/>
      <c r="AQ34" s="35"/>
      <c r="AR34" s="35"/>
      <c r="AS34" s="35"/>
      <c r="AT34" s="35"/>
      <c r="AU34" s="35"/>
      <c r="AV34" s="35"/>
      <c r="AW34" s="35"/>
      <c r="AX34" s="35"/>
      <c r="AY34" s="35"/>
      <c r="AZ34" s="35"/>
      <c r="BA34" s="35"/>
      <c r="BB34" s="35"/>
      <c r="BC34" s="35"/>
      <c r="BD34" s="35"/>
      <c r="BE34" s="35"/>
      <c r="BF34" s="35"/>
      <c r="BG34" s="35"/>
      <c r="BH34" s="35"/>
      <c r="BI34" s="35"/>
      <c r="BJ34" s="35"/>
      <c r="BK34" s="35"/>
      <c r="BL34" s="35"/>
    </row>
    <row r="35" spans="1:64" ht="14">
      <c r="A35" s="35"/>
      <c r="B35" s="36"/>
      <c r="C35" s="39"/>
      <c r="D35" s="78"/>
      <c r="E35" s="78"/>
      <c r="F35" s="78"/>
      <c r="G35" s="229"/>
      <c r="H35" s="229"/>
      <c r="I35" s="40"/>
      <c r="J35" s="43" t="str">
        <f t="shared" si="0"/>
        <v/>
      </c>
      <c r="K35" s="79" t="str">
        <f t="shared" si="1"/>
        <v/>
      </c>
      <c r="L35" s="39"/>
      <c r="M35" s="35"/>
      <c r="N35" s="35"/>
      <c r="O35" s="35"/>
      <c r="P35" s="35"/>
      <c r="Q35" s="35"/>
      <c r="R35" s="35"/>
      <c r="S35" s="35"/>
      <c r="T35" s="35"/>
      <c r="U35" s="35"/>
      <c r="V35" s="35"/>
      <c r="W35" s="35"/>
      <c r="X35" s="35"/>
      <c r="Y35" s="35"/>
      <c r="Z35" s="35"/>
      <c r="AA35" s="35"/>
      <c r="AB35" s="35"/>
      <c r="AC35" s="35"/>
      <c r="AD35" s="35"/>
      <c r="AE35" s="35"/>
      <c r="AF35" s="35"/>
      <c r="AG35" s="35"/>
      <c r="AH35" s="35"/>
      <c r="AI35" s="35"/>
      <c r="AJ35" s="35"/>
      <c r="AK35" s="35"/>
      <c r="AL35" s="35"/>
      <c r="AM35" s="35"/>
      <c r="AN35" s="35"/>
      <c r="AO35" s="35"/>
      <c r="AP35" s="35"/>
      <c r="AQ35" s="35"/>
      <c r="AR35" s="35"/>
      <c r="AS35" s="35"/>
      <c r="AT35" s="35"/>
      <c r="AU35" s="35"/>
      <c r="AV35" s="35"/>
      <c r="AW35" s="35"/>
      <c r="AX35" s="35"/>
      <c r="AY35" s="35"/>
      <c r="AZ35" s="35"/>
      <c r="BA35" s="35"/>
      <c r="BB35" s="35"/>
      <c r="BC35" s="35"/>
      <c r="BD35" s="35"/>
      <c r="BE35" s="35"/>
      <c r="BF35" s="35"/>
      <c r="BG35" s="35"/>
      <c r="BH35" s="35"/>
      <c r="BI35" s="35"/>
      <c r="BJ35" s="35"/>
      <c r="BK35" s="35"/>
      <c r="BL35" s="35"/>
    </row>
    <row r="36" spans="1:64" ht="14">
      <c r="A36" s="35"/>
      <c r="B36" s="36"/>
      <c r="C36" s="39"/>
      <c r="D36" s="78"/>
      <c r="E36" s="78"/>
      <c r="F36" s="78"/>
      <c r="G36" s="229"/>
      <c r="H36" s="229"/>
      <c r="I36" s="40"/>
      <c r="J36" s="43" t="str">
        <f t="shared" si="0"/>
        <v/>
      </c>
      <c r="K36" s="79" t="str">
        <f t="shared" si="1"/>
        <v/>
      </c>
      <c r="L36" s="39"/>
      <c r="M36" s="35"/>
      <c r="N36" s="35"/>
      <c r="O36" s="35"/>
      <c r="P36" s="35"/>
      <c r="Q36" s="35"/>
      <c r="R36" s="35"/>
      <c r="S36" s="35"/>
      <c r="T36" s="35"/>
      <c r="U36" s="35"/>
      <c r="V36" s="35"/>
      <c r="W36" s="35"/>
      <c r="X36" s="35"/>
      <c r="Y36" s="35"/>
      <c r="Z36" s="35"/>
      <c r="AA36" s="35"/>
      <c r="AB36" s="35"/>
      <c r="AC36" s="35"/>
      <c r="AD36" s="35"/>
      <c r="AE36" s="35"/>
      <c r="AF36" s="35"/>
      <c r="AG36" s="35"/>
      <c r="AH36" s="35"/>
      <c r="AI36" s="35"/>
      <c r="AJ36" s="35"/>
      <c r="AK36" s="35"/>
      <c r="AL36" s="35"/>
      <c r="AM36" s="35"/>
      <c r="AN36" s="35"/>
      <c r="AO36" s="35"/>
      <c r="AP36" s="35"/>
      <c r="AQ36" s="35"/>
      <c r="AR36" s="35"/>
      <c r="AS36" s="35"/>
      <c r="AT36" s="35"/>
      <c r="AU36" s="35"/>
      <c r="AV36" s="35"/>
      <c r="AW36" s="35"/>
      <c r="AX36" s="35"/>
      <c r="AY36" s="35"/>
      <c r="AZ36" s="35"/>
      <c r="BA36" s="35"/>
      <c r="BB36" s="35"/>
      <c r="BC36" s="35"/>
      <c r="BD36" s="35"/>
      <c r="BE36" s="35"/>
      <c r="BF36" s="35"/>
      <c r="BG36" s="35"/>
      <c r="BH36" s="35"/>
      <c r="BI36" s="35"/>
      <c r="BJ36" s="35"/>
      <c r="BK36" s="35"/>
      <c r="BL36" s="35"/>
    </row>
    <row r="37" spans="1:64" ht="14">
      <c r="A37" s="35"/>
      <c r="B37" s="36"/>
      <c r="C37" s="39"/>
      <c r="D37" s="78"/>
      <c r="E37" s="78"/>
      <c r="F37" s="78"/>
      <c r="G37" s="229"/>
      <c r="H37" s="229"/>
      <c r="I37" s="40"/>
      <c r="J37" s="43" t="str">
        <f t="shared" si="0"/>
        <v/>
      </c>
      <c r="K37" s="79" t="str">
        <f t="shared" si="1"/>
        <v/>
      </c>
      <c r="L37" s="39"/>
      <c r="M37" s="35"/>
      <c r="N37" s="35"/>
      <c r="O37" s="35"/>
      <c r="P37" s="35"/>
      <c r="Q37" s="35"/>
      <c r="R37" s="35"/>
      <c r="S37" s="35"/>
      <c r="T37" s="35"/>
      <c r="U37" s="35"/>
      <c r="V37" s="35"/>
      <c r="W37" s="35"/>
      <c r="X37" s="35"/>
      <c r="Y37" s="35"/>
      <c r="Z37" s="35"/>
      <c r="AA37" s="35"/>
      <c r="AB37" s="35"/>
      <c r="AC37" s="35"/>
      <c r="AD37" s="35"/>
      <c r="AE37" s="35"/>
      <c r="AF37" s="35"/>
      <c r="AG37" s="35"/>
      <c r="AH37" s="35"/>
      <c r="AI37" s="35"/>
      <c r="AJ37" s="35"/>
      <c r="AK37" s="35"/>
      <c r="AL37" s="35"/>
      <c r="AM37" s="35"/>
      <c r="AN37" s="35"/>
      <c r="AO37" s="35"/>
      <c r="AP37" s="35"/>
      <c r="AQ37" s="35"/>
      <c r="AR37" s="35"/>
      <c r="AS37" s="35"/>
      <c r="AT37" s="35"/>
      <c r="AU37" s="35"/>
      <c r="AV37" s="35"/>
      <c r="AW37" s="35"/>
      <c r="AX37" s="35"/>
      <c r="AY37" s="35"/>
      <c r="AZ37" s="35"/>
      <c r="BA37" s="35"/>
      <c r="BB37" s="35"/>
      <c r="BC37" s="35"/>
      <c r="BD37" s="35"/>
      <c r="BE37" s="35"/>
      <c r="BF37" s="35"/>
      <c r="BG37" s="35"/>
      <c r="BH37" s="35"/>
      <c r="BI37" s="35"/>
      <c r="BJ37" s="35"/>
      <c r="BK37" s="35"/>
      <c r="BL37" s="35"/>
    </row>
    <row r="38" spans="1:64" ht="14">
      <c r="A38" s="35"/>
      <c r="B38" s="36"/>
      <c r="C38" s="39"/>
      <c r="D38" s="78"/>
      <c r="E38" s="78"/>
      <c r="F38" s="78"/>
      <c r="G38" s="229"/>
      <c r="H38" s="229"/>
      <c r="I38" s="40"/>
      <c r="J38" s="43" t="str">
        <f t="shared" si="0"/>
        <v/>
      </c>
      <c r="K38" s="79" t="str">
        <f t="shared" si="1"/>
        <v/>
      </c>
      <c r="L38" s="39"/>
      <c r="M38" s="35"/>
      <c r="N38" s="35"/>
      <c r="O38" s="35"/>
      <c r="P38" s="35"/>
      <c r="Q38" s="35"/>
      <c r="R38" s="35"/>
      <c r="S38" s="35"/>
      <c r="T38" s="35"/>
      <c r="U38" s="35"/>
      <c r="V38" s="35"/>
      <c r="W38" s="35"/>
      <c r="X38" s="35"/>
      <c r="Y38" s="35"/>
      <c r="Z38" s="35"/>
      <c r="AA38" s="35"/>
      <c r="AB38" s="35"/>
      <c r="AC38" s="35"/>
      <c r="AD38" s="35"/>
      <c r="AE38" s="35"/>
      <c r="AF38" s="35"/>
      <c r="AG38" s="35"/>
      <c r="AH38" s="35"/>
      <c r="AI38" s="35"/>
      <c r="AJ38" s="35"/>
      <c r="AK38" s="35"/>
      <c r="AL38" s="35"/>
      <c r="AM38" s="35"/>
      <c r="AN38" s="35"/>
      <c r="AO38" s="35"/>
      <c r="AP38" s="35"/>
      <c r="AQ38" s="35"/>
      <c r="AR38" s="35"/>
      <c r="AS38" s="35"/>
      <c r="AT38" s="35"/>
      <c r="AU38" s="35"/>
      <c r="AV38" s="35"/>
      <c r="AW38" s="35"/>
      <c r="AX38" s="35"/>
      <c r="AY38" s="35"/>
      <c r="AZ38" s="35"/>
      <c r="BA38" s="35"/>
      <c r="BB38" s="35"/>
      <c r="BC38" s="35"/>
      <c r="BD38" s="35"/>
      <c r="BE38" s="35"/>
      <c r="BF38" s="35"/>
      <c r="BG38" s="35"/>
      <c r="BH38" s="35"/>
      <c r="BI38" s="35"/>
      <c r="BJ38" s="35"/>
      <c r="BK38" s="35"/>
      <c r="BL38" s="35"/>
    </row>
    <row r="39" spans="1:64" ht="14">
      <c r="A39" s="35"/>
      <c r="B39" s="36"/>
      <c r="C39" s="39"/>
      <c r="D39" s="78"/>
      <c r="E39" s="78"/>
      <c r="F39" s="78"/>
      <c r="G39" s="229"/>
      <c r="H39" s="229"/>
      <c r="I39" s="40"/>
      <c r="J39" s="43" t="str">
        <f t="shared" si="0"/>
        <v/>
      </c>
      <c r="K39" s="79" t="str">
        <f t="shared" si="1"/>
        <v/>
      </c>
      <c r="L39" s="39"/>
      <c r="M39" s="35"/>
      <c r="N39" s="35"/>
      <c r="O39" s="35"/>
      <c r="P39" s="35"/>
      <c r="Q39" s="35"/>
      <c r="R39" s="35"/>
      <c r="S39" s="35"/>
      <c r="T39" s="35"/>
      <c r="U39" s="35"/>
      <c r="V39" s="35"/>
      <c r="W39" s="35"/>
      <c r="X39" s="35"/>
      <c r="Y39" s="35"/>
      <c r="Z39" s="35"/>
      <c r="AA39" s="35"/>
      <c r="AB39" s="35"/>
      <c r="AC39" s="35"/>
      <c r="AD39" s="35"/>
      <c r="AE39" s="35"/>
      <c r="AF39" s="35"/>
      <c r="AG39" s="35"/>
      <c r="AH39" s="35"/>
      <c r="AI39" s="35"/>
      <c r="AJ39" s="35"/>
      <c r="AK39" s="35"/>
      <c r="AL39" s="35"/>
      <c r="AM39" s="35"/>
      <c r="AN39" s="35"/>
      <c r="AO39" s="35"/>
      <c r="AP39" s="35"/>
      <c r="AQ39" s="35"/>
      <c r="AR39" s="35"/>
      <c r="AS39" s="35"/>
      <c r="AT39" s="35"/>
      <c r="AU39" s="35"/>
      <c r="AV39" s="35"/>
      <c r="AW39" s="35"/>
      <c r="AX39" s="35"/>
      <c r="AY39" s="35"/>
      <c r="AZ39" s="35"/>
      <c r="BA39" s="35"/>
      <c r="BB39" s="35"/>
      <c r="BC39" s="35"/>
      <c r="BD39" s="35"/>
      <c r="BE39" s="35"/>
      <c r="BF39" s="35"/>
      <c r="BG39" s="35"/>
      <c r="BH39" s="35"/>
      <c r="BI39" s="35"/>
      <c r="BJ39" s="35"/>
      <c r="BK39" s="35"/>
      <c r="BL39" s="35"/>
    </row>
    <row r="40" spans="1:64" ht="14">
      <c r="A40" s="35"/>
      <c r="B40" s="36"/>
      <c r="C40" s="39"/>
      <c r="D40" s="78"/>
      <c r="E40" s="78"/>
      <c r="F40" s="78"/>
      <c r="G40" s="229"/>
      <c r="H40" s="229"/>
      <c r="I40" s="40"/>
      <c r="J40" s="43" t="str">
        <f t="shared" si="0"/>
        <v/>
      </c>
      <c r="K40" s="79" t="str">
        <f t="shared" si="1"/>
        <v/>
      </c>
      <c r="L40" s="39"/>
      <c r="M40" s="35"/>
      <c r="N40" s="35"/>
      <c r="O40" s="35"/>
      <c r="P40" s="35"/>
      <c r="Q40" s="35"/>
      <c r="R40" s="35"/>
      <c r="S40" s="35"/>
      <c r="T40" s="35"/>
      <c r="U40" s="35"/>
      <c r="V40" s="35"/>
      <c r="W40" s="35"/>
      <c r="X40" s="35"/>
      <c r="Y40" s="35"/>
      <c r="Z40" s="35"/>
      <c r="AA40" s="35"/>
      <c r="AB40" s="35"/>
      <c r="AC40" s="35"/>
      <c r="AD40" s="35"/>
      <c r="AE40" s="35"/>
      <c r="AF40" s="35"/>
      <c r="AG40" s="35"/>
      <c r="AH40" s="35"/>
      <c r="AI40" s="35"/>
      <c r="AJ40" s="35"/>
      <c r="AK40" s="35"/>
      <c r="AL40" s="35"/>
      <c r="AM40" s="35"/>
      <c r="AN40" s="35"/>
      <c r="AO40" s="35"/>
      <c r="AP40" s="35"/>
      <c r="AQ40" s="35"/>
      <c r="AR40" s="35"/>
      <c r="AS40" s="35"/>
      <c r="AT40" s="35"/>
      <c r="AU40" s="35"/>
      <c r="AV40" s="35"/>
      <c r="AW40" s="35"/>
      <c r="AX40" s="35"/>
      <c r="AY40" s="35"/>
      <c r="AZ40" s="35"/>
      <c r="BA40" s="35"/>
      <c r="BB40" s="35"/>
      <c r="BC40" s="35"/>
      <c r="BD40" s="35"/>
      <c r="BE40" s="35"/>
      <c r="BF40" s="35"/>
      <c r="BG40" s="35"/>
      <c r="BH40" s="35"/>
      <c r="BI40" s="35"/>
      <c r="BJ40" s="35"/>
      <c r="BK40" s="35"/>
      <c r="BL40" s="35"/>
    </row>
    <row r="41" spans="1:64" ht="14">
      <c r="A41" s="35"/>
      <c r="B41" s="36"/>
      <c r="C41" s="39"/>
      <c r="D41" s="78"/>
      <c r="E41" s="78"/>
      <c r="F41" s="78"/>
      <c r="G41" s="229"/>
      <c r="H41" s="229"/>
      <c r="I41" s="40"/>
      <c r="J41" s="43" t="str">
        <f t="shared" si="0"/>
        <v/>
      </c>
      <c r="K41" s="79" t="str">
        <f t="shared" si="1"/>
        <v/>
      </c>
      <c r="L41" s="39"/>
      <c r="M41" s="35"/>
      <c r="N41" s="35"/>
      <c r="O41" s="35"/>
      <c r="P41" s="35"/>
      <c r="Q41" s="35"/>
      <c r="R41" s="35"/>
      <c r="S41" s="35"/>
      <c r="T41" s="35"/>
      <c r="U41" s="35"/>
      <c r="V41" s="35"/>
      <c r="W41" s="35"/>
      <c r="X41" s="35"/>
      <c r="Y41" s="35"/>
      <c r="Z41" s="35"/>
      <c r="AA41" s="35"/>
      <c r="AB41" s="35"/>
      <c r="AC41" s="35"/>
      <c r="AD41" s="35"/>
      <c r="AE41" s="35"/>
      <c r="AF41" s="35"/>
      <c r="AG41" s="35"/>
      <c r="AH41" s="35"/>
      <c r="AI41" s="35"/>
      <c r="AJ41" s="35"/>
      <c r="AK41" s="35"/>
      <c r="AL41" s="35"/>
      <c r="AM41" s="35"/>
      <c r="AN41" s="35"/>
      <c r="AO41" s="35"/>
      <c r="AP41" s="35"/>
      <c r="AQ41" s="35"/>
      <c r="AR41" s="35"/>
      <c r="AS41" s="35"/>
      <c r="AT41" s="35"/>
      <c r="AU41" s="35"/>
      <c r="AV41" s="35"/>
      <c r="AW41" s="35"/>
      <c r="AX41" s="35"/>
      <c r="AY41" s="35"/>
      <c r="AZ41" s="35"/>
      <c r="BA41" s="35"/>
      <c r="BB41" s="35"/>
      <c r="BC41" s="35"/>
      <c r="BD41" s="35"/>
      <c r="BE41" s="35"/>
      <c r="BF41" s="35"/>
      <c r="BG41" s="35"/>
      <c r="BH41" s="35"/>
      <c r="BI41" s="35"/>
      <c r="BJ41" s="35"/>
      <c r="BK41" s="35"/>
      <c r="BL41" s="35"/>
    </row>
    <row r="42" spans="1:64" ht="14">
      <c r="A42" s="35"/>
      <c r="B42" s="36"/>
      <c r="C42" s="39"/>
      <c r="D42" s="78"/>
      <c r="E42" s="78"/>
      <c r="F42" s="78"/>
      <c r="G42" s="229"/>
      <c r="H42" s="229"/>
      <c r="I42" s="40"/>
      <c r="J42" s="43" t="str">
        <f t="shared" si="0"/>
        <v/>
      </c>
      <c r="K42" s="79" t="str">
        <f t="shared" si="1"/>
        <v/>
      </c>
      <c r="L42" s="39"/>
      <c r="M42" s="35"/>
      <c r="N42" s="35"/>
      <c r="O42" s="35"/>
      <c r="P42" s="35"/>
      <c r="Q42" s="35"/>
      <c r="R42" s="35"/>
      <c r="S42" s="35"/>
      <c r="T42" s="35"/>
      <c r="U42" s="35"/>
      <c r="V42" s="35"/>
      <c r="W42" s="35"/>
      <c r="X42" s="35"/>
      <c r="Y42" s="35"/>
      <c r="Z42" s="35"/>
      <c r="AA42" s="35"/>
      <c r="AB42" s="35"/>
      <c r="AC42" s="35"/>
      <c r="AD42" s="35"/>
      <c r="AE42" s="35"/>
      <c r="AF42" s="35"/>
      <c r="AG42" s="35"/>
      <c r="AH42" s="35"/>
      <c r="AI42" s="35"/>
      <c r="AJ42" s="35"/>
      <c r="AK42" s="35"/>
      <c r="AL42" s="35"/>
      <c r="AM42" s="35"/>
      <c r="AN42" s="35"/>
      <c r="AO42" s="35"/>
      <c r="AP42" s="35"/>
      <c r="AQ42" s="35"/>
      <c r="AR42" s="35"/>
      <c r="AS42" s="35"/>
      <c r="AT42" s="35"/>
      <c r="AU42" s="35"/>
      <c r="AV42" s="35"/>
      <c r="AW42" s="35"/>
      <c r="AX42" s="35"/>
      <c r="AY42" s="35"/>
      <c r="AZ42" s="35"/>
      <c r="BA42" s="35"/>
      <c r="BB42" s="35"/>
      <c r="BC42" s="35"/>
      <c r="BD42" s="35"/>
      <c r="BE42" s="35"/>
      <c r="BF42" s="35"/>
      <c r="BG42" s="35"/>
      <c r="BH42" s="35"/>
      <c r="BI42" s="35"/>
      <c r="BJ42" s="35"/>
      <c r="BK42" s="35"/>
      <c r="BL42" s="35"/>
    </row>
    <row r="43" spans="1:64" ht="14">
      <c r="A43" s="35"/>
      <c r="B43" s="36"/>
      <c r="C43" s="39"/>
      <c r="D43" s="78"/>
      <c r="E43" s="78"/>
      <c r="F43" s="78"/>
      <c r="G43" s="229"/>
      <c r="H43" s="229"/>
      <c r="I43" s="40"/>
      <c r="J43" s="43" t="str">
        <f t="shared" si="0"/>
        <v/>
      </c>
      <c r="K43" s="79" t="str">
        <f t="shared" si="1"/>
        <v/>
      </c>
      <c r="L43" s="39"/>
      <c r="M43" s="35"/>
      <c r="N43" s="35"/>
      <c r="O43" s="35"/>
      <c r="P43" s="35"/>
      <c r="Q43" s="35"/>
      <c r="R43" s="35"/>
      <c r="S43" s="35"/>
      <c r="T43" s="35"/>
      <c r="U43" s="35"/>
      <c r="V43" s="35"/>
      <c r="W43" s="35"/>
      <c r="X43" s="35"/>
      <c r="Y43" s="35"/>
      <c r="Z43" s="35"/>
      <c r="AA43" s="35"/>
      <c r="AB43" s="35"/>
      <c r="AC43" s="35"/>
      <c r="AD43" s="35"/>
      <c r="AE43" s="35"/>
      <c r="AF43" s="35"/>
      <c r="AG43" s="35"/>
      <c r="AH43" s="35"/>
      <c r="AI43" s="35"/>
      <c r="AJ43" s="35"/>
      <c r="AK43" s="35"/>
      <c r="AL43" s="35"/>
      <c r="AM43" s="35"/>
      <c r="AN43" s="35"/>
      <c r="AO43" s="35"/>
      <c r="AP43" s="35"/>
      <c r="AQ43" s="35"/>
      <c r="AR43" s="35"/>
      <c r="AS43" s="35"/>
      <c r="AT43" s="35"/>
      <c r="AU43" s="35"/>
      <c r="AV43" s="35"/>
      <c r="AW43" s="35"/>
      <c r="AX43" s="35"/>
      <c r="AY43" s="35"/>
      <c r="AZ43" s="35"/>
      <c r="BA43" s="35"/>
      <c r="BB43" s="35"/>
      <c r="BC43" s="35"/>
      <c r="BD43" s="35"/>
      <c r="BE43" s="35"/>
      <c r="BF43" s="35"/>
      <c r="BG43" s="35"/>
      <c r="BH43" s="35"/>
      <c r="BI43" s="35"/>
      <c r="BJ43" s="35"/>
      <c r="BK43" s="35"/>
      <c r="BL43" s="35"/>
    </row>
    <row r="44" spans="1:64" ht="14">
      <c r="A44" s="35"/>
      <c r="B44" s="36"/>
      <c r="C44" s="39"/>
      <c r="D44" s="78"/>
      <c r="E44" s="78"/>
      <c r="F44" s="78"/>
      <c r="G44" s="229"/>
      <c r="H44" s="229"/>
      <c r="I44" s="40"/>
      <c r="J44" s="43" t="str">
        <f t="shared" si="0"/>
        <v/>
      </c>
      <c r="K44" s="79" t="str">
        <f t="shared" si="1"/>
        <v/>
      </c>
      <c r="L44" s="39"/>
      <c r="M44" s="35"/>
      <c r="N44" s="35"/>
      <c r="O44" s="35"/>
      <c r="P44" s="35"/>
      <c r="Q44" s="35"/>
      <c r="R44" s="35"/>
      <c r="S44" s="35"/>
      <c r="T44" s="35"/>
      <c r="U44" s="35"/>
      <c r="V44" s="35"/>
      <c r="W44" s="35"/>
      <c r="X44" s="35"/>
      <c r="Y44" s="35"/>
      <c r="Z44" s="35"/>
      <c r="AA44" s="35"/>
      <c r="AB44" s="35"/>
      <c r="AC44" s="35"/>
      <c r="AD44" s="35"/>
      <c r="AE44" s="35"/>
      <c r="AF44" s="35"/>
      <c r="AG44" s="35"/>
      <c r="AH44" s="35"/>
      <c r="AI44" s="35"/>
      <c r="AJ44" s="35"/>
      <c r="AK44" s="35"/>
      <c r="AL44" s="35"/>
      <c r="AM44" s="35"/>
      <c r="AN44" s="35"/>
      <c r="AO44" s="35"/>
      <c r="AP44" s="35"/>
      <c r="AQ44" s="35"/>
      <c r="AR44" s="35"/>
      <c r="AS44" s="35"/>
      <c r="AT44" s="35"/>
      <c r="AU44" s="35"/>
      <c r="AV44" s="35"/>
      <c r="AW44" s="35"/>
      <c r="AX44" s="35"/>
      <c r="AY44" s="35"/>
      <c r="AZ44" s="35"/>
      <c r="BA44" s="35"/>
      <c r="BB44" s="35"/>
      <c r="BC44" s="35"/>
      <c r="BD44" s="35"/>
      <c r="BE44" s="35"/>
      <c r="BF44" s="35"/>
      <c r="BG44" s="35"/>
      <c r="BH44" s="35"/>
      <c r="BI44" s="35"/>
      <c r="BJ44" s="35"/>
      <c r="BK44" s="35"/>
      <c r="BL44" s="35"/>
    </row>
    <row r="45" spans="1:64" ht="14">
      <c r="A45" s="35"/>
      <c r="B45" s="36"/>
      <c r="C45" s="39"/>
      <c r="D45" s="78"/>
      <c r="E45" s="78"/>
      <c r="F45" s="78"/>
      <c r="G45" s="229"/>
      <c r="H45" s="229"/>
      <c r="I45" s="40"/>
      <c r="J45" s="43" t="str">
        <f t="shared" si="0"/>
        <v/>
      </c>
      <c r="K45" s="79" t="str">
        <f t="shared" si="1"/>
        <v/>
      </c>
      <c r="L45" s="39"/>
      <c r="M45" s="35"/>
      <c r="N45" s="35"/>
      <c r="O45" s="35"/>
      <c r="P45" s="35"/>
      <c r="Q45" s="35"/>
      <c r="R45" s="35"/>
      <c r="S45" s="35"/>
      <c r="T45" s="35"/>
      <c r="U45" s="35"/>
      <c r="V45" s="35"/>
      <c r="W45" s="35"/>
      <c r="X45" s="35"/>
      <c r="Y45" s="35"/>
      <c r="Z45" s="35"/>
      <c r="AA45" s="35"/>
      <c r="AB45" s="35"/>
      <c r="AC45" s="35"/>
      <c r="AD45" s="35"/>
      <c r="AE45" s="35"/>
      <c r="AF45" s="35"/>
      <c r="AG45" s="35"/>
      <c r="AH45" s="35"/>
      <c r="AI45" s="35"/>
      <c r="AJ45" s="35"/>
      <c r="AK45" s="35"/>
      <c r="AL45" s="35"/>
      <c r="AM45" s="35"/>
      <c r="AN45" s="35"/>
      <c r="AO45" s="35"/>
      <c r="AP45" s="35"/>
      <c r="AQ45" s="35"/>
      <c r="AR45" s="35"/>
      <c r="AS45" s="35"/>
      <c r="AT45" s="35"/>
      <c r="AU45" s="35"/>
      <c r="AV45" s="35"/>
      <c r="AW45" s="35"/>
      <c r="AX45" s="35"/>
      <c r="AY45" s="35"/>
      <c r="AZ45" s="35"/>
      <c r="BA45" s="35"/>
      <c r="BB45" s="35"/>
      <c r="BC45" s="35"/>
      <c r="BD45" s="35"/>
      <c r="BE45" s="35"/>
      <c r="BF45" s="35"/>
      <c r="BG45" s="35"/>
      <c r="BH45" s="35"/>
      <c r="BI45" s="35"/>
      <c r="BJ45" s="35"/>
      <c r="BK45" s="35"/>
      <c r="BL45" s="35"/>
    </row>
    <row r="46" spans="1:64" ht="14">
      <c r="A46" s="35"/>
      <c r="B46" s="36"/>
      <c r="C46" s="39"/>
      <c r="D46" s="78"/>
      <c r="E46" s="78"/>
      <c r="F46" s="78"/>
      <c r="G46" s="229"/>
      <c r="H46" s="229"/>
      <c r="I46" s="40"/>
      <c r="J46" s="43" t="str">
        <f t="shared" si="0"/>
        <v/>
      </c>
      <c r="K46" s="79" t="str">
        <f t="shared" si="1"/>
        <v/>
      </c>
      <c r="L46" s="39"/>
      <c r="M46" s="35"/>
      <c r="N46" s="35"/>
      <c r="O46" s="35"/>
      <c r="P46" s="35"/>
      <c r="Q46" s="35"/>
      <c r="R46" s="35"/>
      <c r="S46" s="35"/>
      <c r="T46" s="35"/>
      <c r="U46" s="35"/>
      <c r="V46" s="35"/>
      <c r="W46" s="35"/>
      <c r="X46" s="35"/>
      <c r="Y46" s="35"/>
      <c r="Z46" s="35"/>
      <c r="AA46" s="35"/>
      <c r="AB46" s="35"/>
      <c r="AC46" s="35"/>
      <c r="AD46" s="35"/>
      <c r="AE46" s="35"/>
      <c r="AF46" s="35"/>
      <c r="AG46" s="35"/>
      <c r="AH46" s="35"/>
      <c r="AI46" s="35"/>
      <c r="AJ46" s="35"/>
      <c r="AK46" s="35"/>
      <c r="AL46" s="35"/>
      <c r="AM46" s="35"/>
      <c r="AN46" s="35"/>
      <c r="AO46" s="35"/>
      <c r="AP46" s="35"/>
      <c r="AQ46" s="35"/>
      <c r="AR46" s="35"/>
      <c r="AS46" s="35"/>
      <c r="AT46" s="35"/>
      <c r="AU46" s="35"/>
      <c r="AV46" s="35"/>
      <c r="AW46" s="35"/>
      <c r="AX46" s="35"/>
      <c r="AY46" s="35"/>
      <c r="AZ46" s="35"/>
      <c r="BA46" s="35"/>
      <c r="BB46" s="35"/>
      <c r="BC46" s="35"/>
      <c r="BD46" s="35"/>
      <c r="BE46" s="35"/>
      <c r="BF46" s="35"/>
      <c r="BG46" s="35"/>
      <c r="BH46" s="35"/>
      <c r="BI46" s="35"/>
      <c r="BJ46" s="35"/>
      <c r="BK46" s="35"/>
      <c r="BL46" s="35"/>
    </row>
    <row r="47" spans="1:64" ht="14">
      <c r="A47" s="35"/>
      <c r="B47" s="36"/>
      <c r="C47" s="39"/>
      <c r="D47" s="78"/>
      <c r="E47" s="78"/>
      <c r="F47" s="78"/>
      <c r="G47" s="229"/>
      <c r="H47" s="229"/>
      <c r="I47" s="40"/>
      <c r="J47" s="43" t="str">
        <f t="shared" si="0"/>
        <v/>
      </c>
      <c r="K47" s="79" t="str">
        <f t="shared" si="1"/>
        <v/>
      </c>
      <c r="L47" s="39"/>
      <c r="M47" s="35"/>
      <c r="N47" s="35"/>
      <c r="O47" s="35"/>
      <c r="P47" s="35"/>
      <c r="Q47" s="35"/>
      <c r="R47" s="35"/>
      <c r="S47" s="35"/>
      <c r="T47" s="35"/>
      <c r="U47" s="35"/>
      <c r="V47" s="35"/>
      <c r="W47" s="35"/>
      <c r="X47" s="35"/>
      <c r="Y47" s="35"/>
      <c r="Z47" s="35"/>
      <c r="AA47" s="35"/>
      <c r="AB47" s="35"/>
      <c r="AC47" s="35"/>
      <c r="AD47" s="35"/>
      <c r="AE47" s="35"/>
      <c r="AF47" s="35"/>
      <c r="AG47" s="35"/>
      <c r="AH47" s="35"/>
      <c r="AI47" s="35"/>
      <c r="AJ47" s="35"/>
      <c r="AK47" s="35"/>
      <c r="AL47" s="35"/>
      <c r="AM47" s="35"/>
      <c r="AN47" s="35"/>
      <c r="AO47" s="35"/>
      <c r="AP47" s="35"/>
      <c r="AQ47" s="35"/>
      <c r="AR47" s="35"/>
      <c r="AS47" s="35"/>
      <c r="AT47" s="35"/>
      <c r="AU47" s="35"/>
      <c r="AV47" s="35"/>
      <c r="AW47" s="35"/>
      <c r="AX47" s="35"/>
      <c r="AY47" s="35"/>
      <c r="AZ47" s="35"/>
      <c r="BA47" s="35"/>
      <c r="BB47" s="35"/>
      <c r="BC47" s="35"/>
      <c r="BD47" s="35"/>
      <c r="BE47" s="35"/>
      <c r="BF47" s="35"/>
      <c r="BG47" s="35"/>
      <c r="BH47" s="35"/>
      <c r="BI47" s="35"/>
      <c r="BJ47" s="35"/>
      <c r="BK47" s="35"/>
      <c r="BL47" s="35"/>
    </row>
    <row r="48" spans="1:64" ht="14">
      <c r="A48" s="35"/>
      <c r="B48" s="36"/>
      <c r="C48" s="39"/>
      <c r="D48" s="78"/>
      <c r="E48" s="78"/>
      <c r="F48" s="78"/>
      <c r="G48" s="229"/>
      <c r="H48" s="229"/>
      <c r="I48" s="40"/>
      <c r="J48" s="43" t="str">
        <f t="shared" si="0"/>
        <v/>
      </c>
      <c r="K48" s="79" t="str">
        <f t="shared" si="1"/>
        <v/>
      </c>
      <c r="L48" s="39"/>
      <c r="M48" s="35"/>
      <c r="N48" s="35"/>
      <c r="O48" s="35"/>
      <c r="P48" s="35"/>
      <c r="Q48" s="35"/>
      <c r="R48" s="35"/>
      <c r="S48" s="35"/>
      <c r="T48" s="35"/>
      <c r="U48" s="35"/>
      <c r="V48" s="35"/>
      <c r="W48" s="35"/>
      <c r="X48" s="35"/>
      <c r="Y48" s="35"/>
      <c r="Z48" s="35"/>
      <c r="AA48" s="35"/>
      <c r="AB48" s="35"/>
      <c r="AC48" s="35"/>
      <c r="AD48" s="35"/>
      <c r="AE48" s="35"/>
      <c r="AF48" s="35"/>
      <c r="AG48" s="35"/>
      <c r="AH48" s="35"/>
      <c r="AI48" s="35"/>
      <c r="AJ48" s="35"/>
      <c r="AK48" s="35"/>
      <c r="AL48" s="35"/>
      <c r="AM48" s="35"/>
      <c r="AN48" s="35"/>
      <c r="AO48" s="35"/>
      <c r="AP48" s="35"/>
      <c r="AQ48" s="35"/>
      <c r="AR48" s="35"/>
      <c r="AS48" s="35"/>
      <c r="AT48" s="35"/>
      <c r="AU48" s="35"/>
      <c r="AV48" s="35"/>
      <c r="AW48" s="35"/>
      <c r="AX48" s="35"/>
      <c r="AY48" s="35"/>
      <c r="AZ48" s="35"/>
      <c r="BA48" s="35"/>
      <c r="BB48" s="35"/>
      <c r="BC48" s="35"/>
      <c r="BD48" s="35"/>
      <c r="BE48" s="35"/>
      <c r="BF48" s="35"/>
      <c r="BG48" s="35"/>
      <c r="BH48" s="35"/>
      <c r="BI48" s="35"/>
      <c r="BJ48" s="35"/>
      <c r="BK48" s="35"/>
      <c r="BL48" s="35"/>
    </row>
    <row r="49" spans="1:64" ht="14">
      <c r="A49" s="35"/>
      <c r="B49" s="36"/>
      <c r="C49" s="39"/>
      <c r="D49" s="78"/>
      <c r="E49" s="78"/>
      <c r="F49" s="78"/>
      <c r="G49" s="229"/>
      <c r="H49" s="229"/>
      <c r="I49" s="40"/>
      <c r="J49" s="43" t="str">
        <f t="shared" si="0"/>
        <v/>
      </c>
      <c r="K49" s="79" t="str">
        <f t="shared" si="1"/>
        <v/>
      </c>
      <c r="L49" s="39"/>
      <c r="M49" s="35"/>
      <c r="N49" s="35"/>
      <c r="O49" s="35"/>
      <c r="P49" s="35"/>
      <c r="Q49" s="35"/>
      <c r="R49" s="35"/>
      <c r="S49" s="35"/>
      <c r="T49" s="35"/>
      <c r="U49" s="35"/>
      <c r="V49" s="35"/>
      <c r="W49" s="35"/>
      <c r="X49" s="35"/>
      <c r="Y49" s="35"/>
      <c r="Z49" s="35"/>
      <c r="AA49" s="35"/>
      <c r="AB49" s="35"/>
      <c r="AC49" s="35"/>
      <c r="AD49" s="35"/>
      <c r="AE49" s="35"/>
      <c r="AF49" s="35"/>
      <c r="AG49" s="35"/>
      <c r="AH49" s="35"/>
      <c r="AI49" s="35"/>
      <c r="AJ49" s="35"/>
      <c r="AK49" s="35"/>
      <c r="AL49" s="35"/>
      <c r="AM49" s="35"/>
      <c r="AN49" s="35"/>
      <c r="AO49" s="35"/>
      <c r="AP49" s="35"/>
      <c r="AQ49" s="35"/>
      <c r="AR49" s="35"/>
      <c r="AS49" s="35"/>
      <c r="AT49" s="35"/>
      <c r="AU49" s="35"/>
      <c r="AV49" s="35"/>
      <c r="AW49" s="35"/>
      <c r="AX49" s="35"/>
      <c r="AY49" s="35"/>
      <c r="AZ49" s="35"/>
      <c r="BA49" s="35"/>
      <c r="BB49" s="35"/>
      <c r="BC49" s="35"/>
      <c r="BD49" s="35"/>
      <c r="BE49" s="35"/>
      <c r="BF49" s="35"/>
      <c r="BG49" s="35"/>
      <c r="BH49" s="35"/>
      <c r="BI49" s="35"/>
      <c r="BJ49" s="35"/>
      <c r="BK49" s="35"/>
      <c r="BL49" s="35"/>
    </row>
    <row r="50" spans="1:64" ht="14">
      <c r="A50" s="35"/>
      <c r="B50" s="36"/>
      <c r="C50" s="39"/>
      <c r="D50" s="78"/>
      <c r="E50" s="78"/>
      <c r="F50" s="78"/>
      <c r="G50" s="229"/>
      <c r="H50" s="229"/>
      <c r="I50" s="40"/>
      <c r="J50" s="43" t="str">
        <f t="shared" si="0"/>
        <v/>
      </c>
      <c r="K50" s="79" t="str">
        <f t="shared" si="1"/>
        <v/>
      </c>
      <c r="L50" s="39"/>
      <c r="M50" s="35"/>
      <c r="N50" s="35"/>
      <c r="O50" s="35"/>
      <c r="P50" s="35"/>
      <c r="Q50" s="35"/>
      <c r="R50" s="35"/>
      <c r="S50" s="35"/>
      <c r="T50" s="35"/>
      <c r="U50" s="35"/>
      <c r="V50" s="35"/>
      <c r="W50" s="35"/>
      <c r="X50" s="35"/>
      <c r="Y50" s="35"/>
      <c r="Z50" s="35"/>
      <c r="AA50" s="35"/>
      <c r="AB50" s="35"/>
      <c r="AC50" s="35"/>
      <c r="AD50" s="35"/>
      <c r="AE50" s="35"/>
      <c r="AF50" s="35"/>
      <c r="AG50" s="35"/>
      <c r="AH50" s="35"/>
      <c r="AI50" s="35"/>
      <c r="AJ50" s="35"/>
      <c r="AK50" s="35"/>
      <c r="AL50" s="35"/>
      <c r="AM50" s="35"/>
      <c r="AN50" s="35"/>
      <c r="AO50" s="35"/>
      <c r="AP50" s="35"/>
      <c r="AQ50" s="35"/>
      <c r="AR50" s="35"/>
      <c r="AS50" s="35"/>
      <c r="AT50" s="35"/>
      <c r="AU50" s="35"/>
      <c r="AV50" s="35"/>
      <c r="AW50" s="35"/>
      <c r="AX50" s="35"/>
      <c r="AY50" s="35"/>
      <c r="AZ50" s="35"/>
      <c r="BA50" s="35"/>
      <c r="BB50" s="35"/>
      <c r="BC50" s="35"/>
      <c r="BD50" s="35"/>
      <c r="BE50" s="35"/>
      <c r="BF50" s="35"/>
      <c r="BG50" s="35"/>
      <c r="BH50" s="35"/>
      <c r="BI50" s="35"/>
      <c r="BJ50" s="35"/>
      <c r="BK50" s="35"/>
      <c r="BL50" s="35"/>
    </row>
    <row r="51" spans="1:64" ht="14">
      <c r="A51" s="35"/>
      <c r="B51" s="36"/>
      <c r="C51" s="39"/>
      <c r="D51" s="78"/>
      <c r="E51" s="78"/>
      <c r="F51" s="78"/>
      <c r="G51" s="229"/>
      <c r="H51" s="229"/>
      <c r="I51" s="40"/>
      <c r="J51" s="43" t="str">
        <f t="shared" si="0"/>
        <v/>
      </c>
      <c r="K51" s="79" t="str">
        <f t="shared" si="1"/>
        <v/>
      </c>
      <c r="L51" s="39"/>
      <c r="M51" s="35"/>
      <c r="N51" s="35"/>
      <c r="O51" s="35"/>
      <c r="P51" s="35"/>
      <c r="Q51" s="35"/>
      <c r="R51" s="35"/>
      <c r="S51" s="35"/>
      <c r="T51" s="35"/>
      <c r="U51" s="35"/>
      <c r="V51" s="35"/>
      <c r="W51" s="35"/>
      <c r="X51" s="35"/>
      <c r="Y51" s="35"/>
      <c r="Z51" s="35"/>
      <c r="AA51" s="35"/>
      <c r="AB51" s="35"/>
      <c r="AC51" s="35"/>
      <c r="AD51" s="35"/>
      <c r="AE51" s="35"/>
      <c r="AF51" s="35"/>
      <c r="AG51" s="35"/>
      <c r="AH51" s="35"/>
      <c r="AI51" s="35"/>
      <c r="AJ51" s="35"/>
      <c r="AK51" s="35"/>
      <c r="AL51" s="35"/>
      <c r="AM51" s="35"/>
      <c r="AN51" s="35"/>
      <c r="AO51" s="35"/>
      <c r="AP51" s="35"/>
      <c r="AQ51" s="35"/>
      <c r="AR51" s="35"/>
      <c r="AS51" s="35"/>
      <c r="AT51" s="35"/>
      <c r="AU51" s="35"/>
      <c r="AV51" s="35"/>
      <c r="AW51" s="35"/>
      <c r="AX51" s="35"/>
      <c r="AY51" s="35"/>
      <c r="AZ51" s="35"/>
      <c r="BA51" s="35"/>
      <c r="BB51" s="35"/>
      <c r="BC51" s="35"/>
      <c r="BD51" s="35"/>
      <c r="BE51" s="35"/>
      <c r="BF51" s="35"/>
      <c r="BG51" s="35"/>
      <c r="BH51" s="35"/>
      <c r="BI51" s="35"/>
      <c r="BJ51" s="35"/>
      <c r="BK51" s="35"/>
      <c r="BL51" s="35"/>
    </row>
    <row r="52" spans="1:64" ht="14">
      <c r="A52" s="35"/>
      <c r="B52" s="36"/>
      <c r="C52" s="39"/>
      <c r="D52" s="78"/>
      <c r="E52" s="78"/>
      <c r="F52" s="78"/>
      <c r="G52" s="229"/>
      <c r="H52" s="229"/>
      <c r="I52" s="40"/>
      <c r="J52" s="43" t="str">
        <f t="shared" si="0"/>
        <v/>
      </c>
      <c r="K52" s="79" t="str">
        <f t="shared" si="1"/>
        <v/>
      </c>
      <c r="L52" s="39"/>
      <c r="M52" s="35"/>
      <c r="N52" s="35"/>
      <c r="O52" s="35"/>
      <c r="P52" s="35"/>
      <c r="Q52" s="35"/>
      <c r="R52" s="35"/>
      <c r="S52" s="35"/>
      <c r="T52" s="35"/>
      <c r="U52" s="35"/>
      <c r="V52" s="35"/>
      <c r="W52" s="35"/>
      <c r="X52" s="35"/>
      <c r="Y52" s="35"/>
      <c r="Z52" s="35"/>
      <c r="AA52" s="35"/>
      <c r="AB52" s="35"/>
      <c r="AC52" s="35"/>
      <c r="AD52" s="35"/>
      <c r="AE52" s="35"/>
      <c r="AF52" s="35"/>
      <c r="AG52" s="35"/>
      <c r="AH52" s="35"/>
      <c r="AI52" s="35"/>
      <c r="AJ52" s="35"/>
      <c r="AK52" s="35"/>
      <c r="AL52" s="35"/>
      <c r="AM52" s="35"/>
      <c r="AN52" s="35"/>
      <c r="AO52" s="35"/>
      <c r="AP52" s="35"/>
      <c r="AQ52" s="35"/>
      <c r="AR52" s="35"/>
      <c r="AS52" s="35"/>
      <c r="AT52" s="35"/>
      <c r="AU52" s="35"/>
      <c r="AV52" s="35"/>
      <c r="AW52" s="35"/>
      <c r="AX52" s="35"/>
      <c r="AY52" s="35"/>
      <c r="AZ52" s="35"/>
      <c r="BA52" s="35"/>
      <c r="BB52" s="35"/>
      <c r="BC52" s="35"/>
      <c r="BD52" s="35"/>
      <c r="BE52" s="35"/>
      <c r="BF52" s="35"/>
      <c r="BG52" s="35"/>
      <c r="BH52" s="35"/>
      <c r="BI52" s="35"/>
      <c r="BJ52" s="35"/>
      <c r="BK52" s="35"/>
      <c r="BL52" s="35"/>
    </row>
    <row r="53" spans="1:64" ht="14">
      <c r="A53" s="35"/>
      <c r="B53" s="36"/>
      <c r="C53" s="39"/>
      <c r="D53" s="78"/>
      <c r="E53" s="78"/>
      <c r="F53" s="78"/>
      <c r="G53" s="229"/>
      <c r="H53" s="229"/>
      <c r="I53" s="40"/>
      <c r="J53" s="43" t="str">
        <f t="shared" si="0"/>
        <v/>
      </c>
      <c r="K53" s="79" t="str">
        <f t="shared" si="1"/>
        <v/>
      </c>
      <c r="L53" s="39"/>
      <c r="M53" s="35"/>
      <c r="N53" s="35"/>
      <c r="O53" s="35"/>
      <c r="P53" s="35"/>
      <c r="Q53" s="35"/>
      <c r="R53" s="35"/>
      <c r="S53" s="35"/>
      <c r="T53" s="35"/>
      <c r="U53" s="35"/>
      <c r="V53" s="35"/>
      <c r="W53" s="35"/>
      <c r="X53" s="35"/>
      <c r="Y53" s="35"/>
      <c r="Z53" s="35"/>
      <c r="AA53" s="35"/>
      <c r="AB53" s="35"/>
      <c r="AC53" s="35"/>
      <c r="AD53" s="35"/>
      <c r="AE53" s="35"/>
      <c r="AF53" s="35"/>
      <c r="AG53" s="35"/>
      <c r="AH53" s="35"/>
      <c r="AI53" s="35"/>
      <c r="AJ53" s="35"/>
      <c r="AK53" s="35"/>
      <c r="AL53" s="35"/>
      <c r="AM53" s="35"/>
      <c r="AN53" s="35"/>
      <c r="AO53" s="35"/>
      <c r="AP53" s="35"/>
      <c r="AQ53" s="35"/>
      <c r="AR53" s="35"/>
      <c r="AS53" s="35"/>
      <c r="AT53" s="35"/>
      <c r="AU53" s="35"/>
      <c r="AV53" s="35"/>
      <c r="AW53" s="35"/>
      <c r="AX53" s="35"/>
      <c r="AY53" s="35"/>
      <c r="AZ53" s="35"/>
      <c r="BA53" s="35"/>
      <c r="BB53" s="35"/>
      <c r="BC53" s="35"/>
      <c r="BD53" s="35"/>
      <c r="BE53" s="35"/>
      <c r="BF53" s="35"/>
      <c r="BG53" s="35"/>
      <c r="BH53" s="35"/>
      <c r="BI53" s="35"/>
      <c r="BJ53" s="35"/>
      <c r="BK53" s="35"/>
      <c r="BL53" s="35"/>
    </row>
    <row r="54" spans="1:64" ht="14">
      <c r="A54" s="35"/>
      <c r="B54" s="36"/>
      <c r="C54" s="39"/>
      <c r="D54" s="78"/>
      <c r="E54" s="78"/>
      <c r="F54" s="78"/>
      <c r="G54" s="229"/>
      <c r="H54" s="229"/>
      <c r="I54" s="40"/>
      <c r="J54" s="43" t="str">
        <f t="shared" si="0"/>
        <v/>
      </c>
      <c r="K54" s="79" t="str">
        <f t="shared" si="1"/>
        <v/>
      </c>
      <c r="L54" s="39"/>
      <c r="M54" s="35"/>
      <c r="N54" s="35"/>
      <c r="O54" s="35"/>
      <c r="P54" s="35"/>
      <c r="Q54" s="35"/>
      <c r="R54" s="35"/>
      <c r="S54" s="35"/>
      <c r="T54" s="35"/>
      <c r="U54" s="35"/>
      <c r="V54" s="35"/>
      <c r="W54" s="35"/>
      <c r="X54" s="35"/>
      <c r="Y54" s="35"/>
      <c r="Z54" s="35"/>
      <c r="AA54" s="35"/>
      <c r="AB54" s="35"/>
      <c r="AC54" s="35"/>
      <c r="AD54" s="35"/>
      <c r="AE54" s="35"/>
      <c r="AF54" s="35"/>
      <c r="AG54" s="35"/>
      <c r="AH54" s="35"/>
      <c r="AI54" s="35"/>
      <c r="AJ54" s="35"/>
      <c r="AK54" s="35"/>
      <c r="AL54" s="35"/>
      <c r="AM54" s="35"/>
      <c r="AN54" s="35"/>
      <c r="AO54" s="35"/>
      <c r="AP54" s="35"/>
      <c r="AQ54" s="35"/>
      <c r="AR54" s="35"/>
      <c r="AS54" s="35"/>
      <c r="AT54" s="35"/>
      <c r="AU54" s="35"/>
      <c r="AV54" s="35"/>
      <c r="AW54" s="35"/>
      <c r="AX54" s="35"/>
      <c r="AY54" s="35"/>
      <c r="AZ54" s="35"/>
      <c r="BA54" s="35"/>
      <c r="BB54" s="35"/>
      <c r="BC54" s="35"/>
      <c r="BD54" s="35"/>
      <c r="BE54" s="35"/>
      <c r="BF54" s="35"/>
      <c r="BG54" s="35"/>
      <c r="BH54" s="35"/>
      <c r="BI54" s="35"/>
      <c r="BJ54" s="35"/>
      <c r="BK54" s="35"/>
      <c r="BL54" s="35"/>
    </row>
    <row r="55" spans="1:64" ht="14">
      <c r="A55" s="35"/>
      <c r="B55" s="36"/>
      <c r="C55" s="39"/>
      <c r="D55" s="78"/>
      <c r="E55" s="78"/>
      <c r="F55" s="78"/>
      <c r="G55" s="229"/>
      <c r="H55" s="229"/>
      <c r="I55" s="40"/>
      <c r="J55" s="43" t="str">
        <f t="shared" si="0"/>
        <v/>
      </c>
      <c r="K55" s="79" t="str">
        <f t="shared" si="1"/>
        <v/>
      </c>
      <c r="L55" s="39"/>
      <c r="M55" s="35"/>
      <c r="N55" s="35"/>
      <c r="O55" s="35"/>
      <c r="P55" s="35"/>
      <c r="Q55" s="35"/>
      <c r="R55" s="35"/>
      <c r="S55" s="35"/>
      <c r="T55" s="35"/>
      <c r="U55" s="35"/>
      <c r="V55" s="35"/>
      <c r="W55" s="35"/>
      <c r="X55" s="35"/>
      <c r="Y55" s="35"/>
      <c r="Z55" s="35"/>
      <c r="AA55" s="35"/>
      <c r="AB55" s="35"/>
      <c r="AC55" s="35"/>
      <c r="AD55" s="35"/>
      <c r="AE55" s="35"/>
      <c r="AF55" s="35"/>
      <c r="AG55" s="35"/>
      <c r="AH55" s="35"/>
      <c r="AI55" s="35"/>
      <c r="AJ55" s="35"/>
      <c r="AK55" s="35"/>
      <c r="AL55" s="35"/>
      <c r="AM55" s="35"/>
      <c r="AN55" s="35"/>
      <c r="AO55" s="35"/>
      <c r="AP55" s="35"/>
      <c r="AQ55" s="35"/>
      <c r="AR55" s="35"/>
      <c r="AS55" s="35"/>
      <c r="AT55" s="35"/>
      <c r="AU55" s="35"/>
      <c r="AV55" s="35"/>
      <c r="AW55" s="35"/>
      <c r="AX55" s="35"/>
      <c r="AY55" s="35"/>
      <c r="AZ55" s="35"/>
      <c r="BA55" s="35"/>
      <c r="BB55" s="35"/>
      <c r="BC55" s="35"/>
      <c r="BD55" s="35"/>
      <c r="BE55" s="35"/>
      <c r="BF55" s="35"/>
      <c r="BG55" s="35"/>
      <c r="BH55" s="35"/>
      <c r="BI55" s="35"/>
      <c r="BJ55" s="35"/>
      <c r="BK55" s="35"/>
      <c r="BL55" s="35"/>
    </row>
    <row r="56" spans="1:64" ht="14">
      <c r="A56" s="35"/>
      <c r="B56" s="36"/>
      <c r="C56" s="39"/>
      <c r="D56" s="78"/>
      <c r="E56" s="78"/>
      <c r="F56" s="78"/>
      <c r="G56" s="229"/>
      <c r="H56" s="229"/>
      <c r="I56" s="40"/>
      <c r="J56" s="43" t="str">
        <f t="shared" si="0"/>
        <v/>
      </c>
      <c r="K56" s="79" t="str">
        <f t="shared" si="1"/>
        <v/>
      </c>
      <c r="L56" s="39"/>
      <c r="M56" s="35"/>
      <c r="N56" s="35"/>
      <c r="O56" s="35"/>
      <c r="P56" s="35"/>
      <c r="Q56" s="35"/>
      <c r="R56" s="35"/>
      <c r="S56" s="35"/>
      <c r="T56" s="35"/>
      <c r="U56" s="35"/>
      <c r="V56" s="35"/>
      <c r="W56" s="35"/>
      <c r="X56" s="35"/>
      <c r="Y56" s="35"/>
      <c r="Z56" s="35"/>
      <c r="AA56" s="35"/>
      <c r="AB56" s="35"/>
      <c r="AC56" s="35"/>
      <c r="AD56" s="35"/>
      <c r="AE56" s="35"/>
      <c r="AF56" s="35"/>
      <c r="AG56" s="35"/>
      <c r="AH56" s="35"/>
      <c r="AI56" s="35"/>
      <c r="AJ56" s="35"/>
      <c r="AK56" s="35"/>
      <c r="AL56" s="35"/>
      <c r="AM56" s="35"/>
      <c r="AN56" s="35"/>
      <c r="AO56" s="35"/>
      <c r="AP56" s="35"/>
      <c r="AQ56" s="35"/>
      <c r="AR56" s="35"/>
      <c r="AS56" s="35"/>
      <c r="AT56" s="35"/>
      <c r="AU56" s="35"/>
      <c r="AV56" s="35"/>
      <c r="AW56" s="35"/>
      <c r="AX56" s="35"/>
      <c r="AY56" s="35"/>
      <c r="AZ56" s="35"/>
      <c r="BA56" s="35"/>
      <c r="BB56" s="35"/>
      <c r="BC56" s="35"/>
      <c r="BD56" s="35"/>
      <c r="BE56" s="35"/>
      <c r="BF56" s="35"/>
      <c r="BG56" s="35"/>
      <c r="BH56" s="35"/>
      <c r="BI56" s="35"/>
      <c r="BJ56" s="35"/>
      <c r="BK56" s="35"/>
      <c r="BL56" s="35"/>
    </row>
    <row r="57" spans="1:64" ht="14">
      <c r="A57" s="35"/>
      <c r="B57" s="36"/>
      <c r="C57" s="39"/>
      <c r="D57" s="78"/>
      <c r="E57" s="78"/>
      <c r="F57" s="78"/>
      <c r="G57" s="229"/>
      <c r="H57" s="229"/>
      <c r="I57" s="40"/>
      <c r="J57" s="43" t="str">
        <f t="shared" si="0"/>
        <v/>
      </c>
      <c r="K57" s="79" t="str">
        <f t="shared" si="1"/>
        <v/>
      </c>
      <c r="L57" s="39"/>
      <c r="M57" s="35"/>
      <c r="N57" s="35"/>
      <c r="O57" s="35"/>
      <c r="P57" s="35"/>
      <c r="Q57" s="35"/>
      <c r="R57" s="35"/>
      <c r="S57" s="35"/>
      <c r="T57" s="35"/>
      <c r="U57" s="35"/>
      <c r="V57" s="35"/>
      <c r="W57" s="35"/>
      <c r="X57" s="35"/>
      <c r="Y57" s="35"/>
      <c r="Z57" s="35"/>
      <c r="AA57" s="35"/>
      <c r="AB57" s="35"/>
      <c r="AC57" s="35"/>
      <c r="AD57" s="35"/>
      <c r="AE57" s="35"/>
      <c r="AF57" s="35"/>
      <c r="AG57" s="35"/>
      <c r="AH57" s="35"/>
      <c r="AI57" s="35"/>
      <c r="AJ57" s="35"/>
      <c r="AK57" s="35"/>
      <c r="AL57" s="35"/>
      <c r="AM57" s="35"/>
      <c r="AN57" s="35"/>
      <c r="AO57" s="35"/>
      <c r="AP57" s="35"/>
      <c r="AQ57" s="35"/>
      <c r="AR57" s="35"/>
      <c r="AS57" s="35"/>
      <c r="AT57" s="35"/>
      <c r="AU57" s="35"/>
      <c r="AV57" s="35"/>
      <c r="AW57" s="35"/>
      <c r="AX57" s="35"/>
      <c r="AY57" s="35"/>
      <c r="AZ57" s="35"/>
      <c r="BA57" s="35"/>
      <c r="BB57" s="35"/>
      <c r="BC57" s="35"/>
      <c r="BD57" s="35"/>
      <c r="BE57" s="35"/>
      <c r="BF57" s="35"/>
      <c r="BG57" s="35"/>
      <c r="BH57" s="35"/>
      <c r="BI57" s="35"/>
      <c r="BJ57" s="35"/>
      <c r="BK57" s="35"/>
      <c r="BL57" s="35"/>
    </row>
    <row r="58" spans="1:64" ht="14">
      <c r="A58" s="35"/>
      <c r="B58" s="36"/>
      <c r="C58" s="39"/>
      <c r="D58" s="78"/>
      <c r="E58" s="78"/>
      <c r="F58" s="78"/>
      <c r="G58" s="229"/>
      <c r="H58" s="229"/>
      <c r="I58" s="40"/>
      <c r="J58" s="43" t="str">
        <f t="shared" si="0"/>
        <v/>
      </c>
      <c r="K58" s="79" t="str">
        <f t="shared" si="1"/>
        <v/>
      </c>
      <c r="L58" s="39"/>
      <c r="M58" s="35"/>
      <c r="N58" s="35"/>
      <c r="O58" s="35"/>
      <c r="P58" s="35"/>
      <c r="Q58" s="35"/>
      <c r="R58" s="35"/>
      <c r="S58" s="35"/>
      <c r="T58" s="35"/>
      <c r="U58" s="35"/>
      <c r="V58" s="35"/>
      <c r="W58" s="35"/>
      <c r="X58" s="35"/>
      <c r="Y58" s="35"/>
      <c r="Z58" s="35"/>
      <c r="AA58" s="35"/>
      <c r="AB58" s="35"/>
      <c r="AC58" s="35"/>
      <c r="AD58" s="35"/>
      <c r="AE58" s="35"/>
      <c r="AF58" s="35"/>
      <c r="AG58" s="35"/>
      <c r="AH58" s="35"/>
      <c r="AI58" s="35"/>
      <c r="AJ58" s="35"/>
      <c r="AK58" s="35"/>
      <c r="AL58" s="35"/>
      <c r="AM58" s="35"/>
      <c r="AN58" s="35"/>
      <c r="AO58" s="35"/>
      <c r="AP58" s="35"/>
      <c r="AQ58" s="35"/>
      <c r="AR58" s="35"/>
      <c r="AS58" s="35"/>
      <c r="AT58" s="35"/>
      <c r="AU58" s="35"/>
      <c r="AV58" s="35"/>
      <c r="AW58" s="35"/>
      <c r="AX58" s="35"/>
      <c r="AY58" s="35"/>
      <c r="AZ58" s="35"/>
      <c r="BA58" s="35"/>
      <c r="BB58" s="35"/>
      <c r="BC58" s="35"/>
      <c r="BD58" s="35"/>
      <c r="BE58" s="35"/>
      <c r="BF58" s="35"/>
      <c r="BG58" s="35"/>
      <c r="BH58" s="35"/>
      <c r="BI58" s="35"/>
      <c r="BJ58" s="35"/>
      <c r="BK58" s="35"/>
      <c r="BL58" s="35"/>
    </row>
    <row r="59" spans="1:64" ht="14">
      <c r="A59" s="35"/>
      <c r="B59" s="36"/>
      <c r="C59" s="39"/>
      <c r="D59" s="78"/>
      <c r="E59" s="78"/>
      <c r="F59" s="78"/>
      <c r="G59" s="229"/>
      <c r="H59" s="229"/>
      <c r="I59" s="40"/>
      <c r="J59" s="43" t="str">
        <f t="shared" si="0"/>
        <v/>
      </c>
      <c r="K59" s="79" t="str">
        <f t="shared" si="1"/>
        <v/>
      </c>
      <c r="L59" s="39"/>
      <c r="M59" s="35"/>
      <c r="N59" s="35"/>
      <c r="O59" s="35"/>
      <c r="P59" s="35"/>
      <c r="Q59" s="35"/>
      <c r="R59" s="35"/>
      <c r="S59" s="35"/>
      <c r="T59" s="35"/>
      <c r="U59" s="35"/>
      <c r="V59" s="35"/>
      <c r="W59" s="35"/>
      <c r="X59" s="35"/>
      <c r="Y59" s="35"/>
      <c r="Z59" s="35"/>
      <c r="AA59" s="35"/>
      <c r="AB59" s="35"/>
      <c r="AC59" s="35"/>
      <c r="AD59" s="35"/>
      <c r="AE59" s="35"/>
      <c r="AF59" s="35"/>
      <c r="AG59" s="35"/>
      <c r="AH59" s="35"/>
      <c r="AI59" s="35"/>
      <c r="AJ59" s="35"/>
      <c r="AK59" s="35"/>
      <c r="AL59" s="35"/>
      <c r="AM59" s="35"/>
      <c r="AN59" s="35"/>
      <c r="AO59" s="35"/>
      <c r="AP59" s="35"/>
      <c r="AQ59" s="35"/>
      <c r="AR59" s="35"/>
      <c r="AS59" s="35"/>
      <c r="AT59" s="35"/>
      <c r="AU59" s="35"/>
      <c r="AV59" s="35"/>
      <c r="AW59" s="35"/>
      <c r="AX59" s="35"/>
      <c r="AY59" s="35"/>
      <c r="AZ59" s="35"/>
      <c r="BA59" s="35"/>
      <c r="BB59" s="35"/>
      <c r="BC59" s="35"/>
      <c r="BD59" s="35"/>
      <c r="BE59" s="35"/>
      <c r="BF59" s="35"/>
      <c r="BG59" s="35"/>
      <c r="BH59" s="35"/>
      <c r="BI59" s="35"/>
      <c r="BJ59" s="35"/>
      <c r="BK59" s="35"/>
      <c r="BL59" s="35"/>
    </row>
    <row r="60" spans="1:64" ht="14">
      <c r="A60" s="35"/>
      <c r="B60" s="36"/>
      <c r="C60" s="39"/>
      <c r="D60" s="78"/>
      <c r="E60" s="78"/>
      <c r="F60" s="78"/>
      <c r="G60" s="229"/>
      <c r="H60" s="229"/>
      <c r="I60" s="40"/>
      <c r="J60" s="43" t="str">
        <f t="shared" si="0"/>
        <v/>
      </c>
      <c r="K60" s="79" t="str">
        <f t="shared" si="1"/>
        <v/>
      </c>
      <c r="L60" s="39"/>
      <c r="M60" s="35"/>
      <c r="N60" s="35"/>
      <c r="O60" s="35"/>
      <c r="P60" s="35"/>
      <c r="Q60" s="35"/>
      <c r="R60" s="35"/>
      <c r="S60" s="35"/>
      <c r="T60" s="35"/>
      <c r="U60" s="35"/>
      <c r="V60" s="35"/>
      <c r="W60" s="35"/>
      <c r="X60" s="35"/>
      <c r="Y60" s="35"/>
      <c r="Z60" s="35"/>
      <c r="AA60" s="35"/>
      <c r="AB60" s="35"/>
      <c r="AC60" s="35"/>
      <c r="AD60" s="35"/>
      <c r="AE60" s="35"/>
      <c r="AF60" s="35"/>
      <c r="AG60" s="35"/>
      <c r="AH60" s="35"/>
      <c r="AI60" s="35"/>
      <c r="AJ60" s="35"/>
      <c r="AK60" s="35"/>
      <c r="AL60" s="35"/>
      <c r="AM60" s="35"/>
      <c r="AN60" s="35"/>
      <c r="AO60" s="35"/>
      <c r="AP60" s="35"/>
      <c r="AQ60" s="35"/>
      <c r="AR60" s="35"/>
      <c r="AS60" s="35"/>
      <c r="AT60" s="35"/>
      <c r="AU60" s="35"/>
      <c r="AV60" s="35"/>
      <c r="AW60" s="35"/>
      <c r="AX60" s="35"/>
      <c r="AY60" s="35"/>
      <c r="AZ60" s="35"/>
      <c r="BA60" s="35"/>
      <c r="BB60" s="35"/>
      <c r="BC60" s="35"/>
      <c r="BD60" s="35"/>
      <c r="BE60" s="35"/>
      <c r="BF60" s="35"/>
      <c r="BG60" s="35"/>
      <c r="BH60" s="35"/>
      <c r="BI60" s="35"/>
      <c r="BJ60" s="35"/>
      <c r="BK60" s="35"/>
      <c r="BL60" s="35"/>
    </row>
    <row r="61" spans="1:64" ht="14">
      <c r="A61" s="35"/>
      <c r="B61" s="36"/>
      <c r="C61" s="39"/>
      <c r="D61" s="78"/>
      <c r="E61" s="78"/>
      <c r="F61" s="78"/>
      <c r="G61" s="229"/>
      <c r="H61" s="229"/>
      <c r="I61" s="40"/>
      <c r="J61" s="43" t="str">
        <f t="shared" si="0"/>
        <v/>
      </c>
      <c r="K61" s="79" t="str">
        <f t="shared" si="1"/>
        <v/>
      </c>
      <c r="L61" s="39"/>
      <c r="M61" s="35"/>
      <c r="N61" s="35"/>
      <c r="O61" s="35"/>
      <c r="P61" s="35"/>
      <c r="Q61" s="35"/>
      <c r="R61" s="35"/>
      <c r="S61" s="35"/>
      <c r="T61" s="35"/>
      <c r="U61" s="35"/>
      <c r="V61" s="35"/>
      <c r="W61" s="35"/>
      <c r="X61" s="35"/>
      <c r="Y61" s="35"/>
      <c r="Z61" s="35"/>
      <c r="AA61" s="35"/>
      <c r="AB61" s="35"/>
      <c r="AC61" s="35"/>
      <c r="AD61" s="35"/>
      <c r="AE61" s="35"/>
      <c r="AF61" s="35"/>
      <c r="AG61" s="35"/>
      <c r="AH61" s="35"/>
      <c r="AI61" s="35"/>
      <c r="AJ61" s="35"/>
      <c r="AK61" s="35"/>
      <c r="AL61" s="35"/>
      <c r="AM61" s="35"/>
      <c r="AN61" s="35"/>
      <c r="AO61" s="35"/>
      <c r="AP61" s="35"/>
      <c r="AQ61" s="35"/>
      <c r="AR61" s="35"/>
      <c r="AS61" s="35"/>
      <c r="AT61" s="35"/>
      <c r="AU61" s="35"/>
      <c r="AV61" s="35"/>
      <c r="AW61" s="35"/>
      <c r="AX61" s="35"/>
      <c r="AY61" s="35"/>
      <c r="AZ61" s="35"/>
      <c r="BA61" s="35"/>
      <c r="BB61" s="35"/>
      <c r="BC61" s="35"/>
      <c r="BD61" s="35"/>
      <c r="BE61" s="35"/>
      <c r="BF61" s="35"/>
      <c r="BG61" s="35"/>
      <c r="BH61" s="35"/>
      <c r="BI61" s="35"/>
      <c r="BJ61" s="35"/>
      <c r="BK61" s="35"/>
      <c r="BL61" s="35"/>
    </row>
    <row r="62" spans="1:64" ht="14">
      <c r="A62" s="35"/>
      <c r="B62" s="36"/>
      <c r="C62" s="39"/>
      <c r="D62" s="78"/>
      <c r="E62" s="78"/>
      <c r="F62" s="78"/>
      <c r="G62" s="229"/>
      <c r="H62" s="229"/>
      <c r="I62" s="40"/>
      <c r="J62" s="43" t="str">
        <f t="shared" si="0"/>
        <v/>
      </c>
      <c r="K62" s="79" t="str">
        <f t="shared" si="1"/>
        <v/>
      </c>
      <c r="L62" s="39"/>
      <c r="M62" s="35"/>
      <c r="N62" s="35"/>
      <c r="O62" s="35"/>
      <c r="P62" s="35"/>
      <c r="Q62" s="35"/>
      <c r="R62" s="35"/>
      <c r="S62" s="35"/>
      <c r="T62" s="35"/>
      <c r="U62" s="35"/>
      <c r="V62" s="35"/>
      <c r="W62" s="35"/>
      <c r="X62" s="35"/>
      <c r="Y62" s="35"/>
      <c r="Z62" s="35"/>
      <c r="AA62" s="35"/>
      <c r="AB62" s="35"/>
      <c r="AC62" s="35"/>
      <c r="AD62" s="35"/>
      <c r="AE62" s="35"/>
      <c r="AF62" s="35"/>
      <c r="AG62" s="35"/>
      <c r="AH62" s="35"/>
      <c r="AI62" s="35"/>
      <c r="AJ62" s="35"/>
      <c r="AK62" s="35"/>
      <c r="AL62" s="35"/>
      <c r="AM62" s="35"/>
      <c r="AN62" s="35"/>
      <c r="AO62" s="35"/>
      <c r="AP62" s="35"/>
      <c r="AQ62" s="35"/>
      <c r="AR62" s="35"/>
      <c r="AS62" s="35"/>
      <c r="AT62" s="35"/>
      <c r="AU62" s="35"/>
      <c r="AV62" s="35"/>
      <c r="AW62" s="35"/>
      <c r="AX62" s="35"/>
      <c r="AY62" s="35"/>
      <c r="AZ62" s="35"/>
      <c r="BA62" s="35"/>
      <c r="BB62" s="35"/>
      <c r="BC62" s="35"/>
      <c r="BD62" s="35"/>
      <c r="BE62" s="35"/>
      <c r="BF62" s="35"/>
      <c r="BG62" s="35"/>
      <c r="BH62" s="35"/>
      <c r="BI62" s="35"/>
      <c r="BJ62" s="35"/>
      <c r="BK62" s="35"/>
      <c r="BL62" s="35"/>
    </row>
    <row r="63" spans="1:64" ht="14">
      <c r="A63" s="35"/>
      <c r="B63" s="36"/>
      <c r="C63" s="39"/>
      <c r="D63" s="78"/>
      <c r="E63" s="78"/>
      <c r="F63" s="78"/>
      <c r="G63" s="229"/>
      <c r="H63" s="229"/>
      <c r="I63" s="40"/>
      <c r="J63" s="43" t="str">
        <f t="shared" si="0"/>
        <v/>
      </c>
      <c r="K63" s="79" t="str">
        <f t="shared" si="1"/>
        <v/>
      </c>
      <c r="L63" s="39"/>
      <c r="M63" s="35"/>
      <c r="N63" s="35"/>
      <c r="O63" s="35"/>
      <c r="P63" s="35"/>
      <c r="Q63" s="35"/>
      <c r="R63" s="35"/>
      <c r="S63" s="35"/>
      <c r="T63" s="35"/>
      <c r="U63" s="35"/>
      <c r="V63" s="35"/>
      <c r="W63" s="35"/>
      <c r="X63" s="35"/>
      <c r="Y63" s="35"/>
      <c r="Z63" s="35"/>
      <c r="AA63" s="35"/>
      <c r="AB63" s="35"/>
      <c r="AC63" s="35"/>
      <c r="AD63" s="35"/>
      <c r="AE63" s="35"/>
      <c r="AF63" s="35"/>
      <c r="AG63" s="35"/>
      <c r="AH63" s="35"/>
      <c r="AI63" s="35"/>
      <c r="AJ63" s="35"/>
      <c r="AK63" s="35"/>
      <c r="AL63" s="35"/>
      <c r="AM63" s="35"/>
      <c r="AN63" s="35"/>
      <c r="AO63" s="35"/>
      <c r="AP63" s="35"/>
      <c r="AQ63" s="35"/>
      <c r="AR63" s="35"/>
      <c r="AS63" s="35"/>
      <c r="AT63" s="35"/>
      <c r="AU63" s="35"/>
      <c r="AV63" s="35"/>
      <c r="AW63" s="35"/>
      <c r="AX63" s="35"/>
      <c r="AY63" s="35"/>
      <c r="AZ63" s="35"/>
      <c r="BA63" s="35"/>
      <c r="BB63" s="35"/>
      <c r="BC63" s="35"/>
      <c r="BD63" s="35"/>
      <c r="BE63" s="35"/>
      <c r="BF63" s="35"/>
      <c r="BG63" s="35"/>
      <c r="BH63" s="35"/>
      <c r="BI63" s="35"/>
      <c r="BJ63" s="35"/>
      <c r="BK63" s="35"/>
      <c r="BL63" s="35"/>
    </row>
    <row r="64" spans="1:64" ht="14">
      <c r="A64" s="35"/>
      <c r="B64" s="36"/>
      <c r="C64" s="39"/>
      <c r="D64" s="78"/>
      <c r="E64" s="78"/>
      <c r="F64" s="78"/>
      <c r="G64" s="229"/>
      <c r="H64" s="229"/>
      <c r="I64" s="40"/>
      <c r="J64" s="43" t="str">
        <f t="shared" si="0"/>
        <v/>
      </c>
      <c r="K64" s="79" t="str">
        <f t="shared" si="1"/>
        <v/>
      </c>
      <c r="L64" s="39"/>
      <c r="M64" s="35"/>
      <c r="N64" s="35"/>
      <c r="O64" s="35"/>
      <c r="P64" s="35"/>
      <c r="Q64" s="35"/>
      <c r="R64" s="35"/>
      <c r="S64" s="35"/>
      <c r="T64" s="35"/>
      <c r="U64" s="35"/>
      <c r="V64" s="35"/>
      <c r="W64" s="35"/>
      <c r="X64" s="35"/>
      <c r="Y64" s="35"/>
      <c r="Z64" s="35"/>
      <c r="AA64" s="35"/>
      <c r="AB64" s="35"/>
      <c r="AC64" s="35"/>
      <c r="AD64" s="35"/>
      <c r="AE64" s="35"/>
      <c r="AF64" s="35"/>
      <c r="AG64" s="35"/>
      <c r="AH64" s="35"/>
      <c r="AI64" s="35"/>
      <c r="AJ64" s="35"/>
      <c r="AK64" s="35"/>
      <c r="AL64" s="35"/>
      <c r="AM64" s="35"/>
      <c r="AN64" s="35"/>
      <c r="AO64" s="35"/>
      <c r="AP64" s="35"/>
      <c r="AQ64" s="35"/>
      <c r="AR64" s="35"/>
      <c r="AS64" s="35"/>
      <c r="AT64" s="35"/>
      <c r="AU64" s="35"/>
      <c r="AV64" s="35"/>
      <c r="AW64" s="35"/>
      <c r="AX64" s="35"/>
      <c r="AY64" s="35"/>
      <c r="AZ64" s="35"/>
      <c r="BA64" s="35"/>
      <c r="BB64" s="35"/>
      <c r="BC64" s="35"/>
      <c r="BD64" s="35"/>
      <c r="BE64" s="35"/>
      <c r="BF64" s="35"/>
      <c r="BG64" s="35"/>
      <c r="BH64" s="35"/>
      <c r="BI64" s="35"/>
      <c r="BJ64" s="35"/>
      <c r="BK64" s="35"/>
      <c r="BL64" s="35"/>
    </row>
    <row r="65" spans="1:64" ht="14">
      <c r="A65" s="35"/>
      <c r="B65" s="36"/>
      <c r="C65" s="39"/>
      <c r="D65" s="78"/>
      <c r="E65" s="78"/>
      <c r="F65" s="78"/>
      <c r="G65" s="229"/>
      <c r="H65" s="229"/>
      <c r="I65" s="40"/>
      <c r="J65" s="43" t="str">
        <f t="shared" si="0"/>
        <v/>
      </c>
      <c r="K65" s="79" t="str">
        <f t="shared" si="1"/>
        <v/>
      </c>
      <c r="L65" s="39"/>
      <c r="M65" s="35"/>
      <c r="N65" s="35"/>
      <c r="O65" s="35"/>
      <c r="P65" s="35"/>
      <c r="Q65" s="35"/>
      <c r="R65" s="35"/>
      <c r="S65" s="35"/>
      <c r="T65" s="35"/>
      <c r="U65" s="35"/>
      <c r="V65" s="35"/>
      <c r="W65" s="35"/>
      <c r="X65" s="35"/>
      <c r="Y65" s="35"/>
      <c r="Z65" s="35"/>
      <c r="AA65" s="35"/>
      <c r="AB65" s="35"/>
      <c r="AC65" s="35"/>
      <c r="AD65" s="35"/>
      <c r="AE65" s="35"/>
      <c r="AF65" s="35"/>
      <c r="AG65" s="35"/>
      <c r="AH65" s="35"/>
      <c r="AI65" s="35"/>
      <c r="AJ65" s="35"/>
      <c r="AK65" s="35"/>
      <c r="AL65" s="35"/>
      <c r="AM65" s="35"/>
      <c r="AN65" s="35"/>
      <c r="AO65" s="35"/>
      <c r="AP65" s="35"/>
      <c r="AQ65" s="35"/>
      <c r="AR65" s="35"/>
      <c r="AS65" s="35"/>
      <c r="AT65" s="35"/>
      <c r="AU65" s="35"/>
      <c r="AV65" s="35"/>
      <c r="AW65" s="35"/>
      <c r="AX65" s="35"/>
      <c r="AY65" s="35"/>
      <c r="AZ65" s="35"/>
      <c r="BA65" s="35"/>
      <c r="BB65" s="35"/>
      <c r="BC65" s="35"/>
      <c r="BD65" s="35"/>
      <c r="BE65" s="35"/>
      <c r="BF65" s="35"/>
      <c r="BG65" s="35"/>
      <c r="BH65" s="35"/>
      <c r="BI65" s="35"/>
      <c r="BJ65" s="35"/>
      <c r="BK65" s="35"/>
      <c r="BL65" s="35"/>
    </row>
    <row r="66" spans="1:64" ht="14">
      <c r="A66" s="35"/>
      <c r="B66" s="36"/>
      <c r="C66" s="39"/>
      <c r="D66" s="78"/>
      <c r="E66" s="78"/>
      <c r="F66" s="78"/>
      <c r="G66" s="229"/>
      <c r="H66" s="229"/>
      <c r="I66" s="40"/>
      <c r="J66" s="43" t="str">
        <f t="shared" si="0"/>
        <v/>
      </c>
      <c r="K66" s="79" t="str">
        <f t="shared" si="1"/>
        <v/>
      </c>
      <c r="L66" s="39"/>
      <c r="M66" s="35"/>
      <c r="N66" s="35"/>
      <c r="O66" s="35"/>
      <c r="P66" s="35"/>
      <c r="Q66" s="35"/>
      <c r="R66" s="35"/>
      <c r="S66" s="35"/>
      <c r="T66" s="35"/>
      <c r="U66" s="35"/>
      <c r="V66" s="35"/>
      <c r="W66" s="35"/>
      <c r="X66" s="35"/>
      <c r="Y66" s="35"/>
      <c r="Z66" s="35"/>
      <c r="AA66" s="35"/>
      <c r="AB66" s="35"/>
      <c r="AC66" s="35"/>
      <c r="AD66" s="35"/>
      <c r="AE66" s="35"/>
      <c r="AF66" s="35"/>
      <c r="AG66" s="35"/>
      <c r="AH66" s="35"/>
      <c r="AI66" s="35"/>
      <c r="AJ66" s="35"/>
      <c r="AK66" s="35"/>
      <c r="AL66" s="35"/>
      <c r="AM66" s="35"/>
      <c r="AN66" s="35"/>
      <c r="AO66" s="35"/>
      <c r="AP66" s="35"/>
      <c r="AQ66" s="35"/>
      <c r="AR66" s="35"/>
      <c r="AS66" s="35"/>
      <c r="AT66" s="35"/>
      <c r="AU66" s="35"/>
      <c r="AV66" s="35"/>
      <c r="AW66" s="35"/>
      <c r="AX66" s="35"/>
      <c r="AY66" s="35"/>
      <c r="AZ66" s="35"/>
      <c r="BA66" s="35"/>
      <c r="BB66" s="35"/>
      <c r="BC66" s="35"/>
      <c r="BD66" s="35"/>
      <c r="BE66" s="35"/>
      <c r="BF66" s="35"/>
      <c r="BG66" s="35"/>
      <c r="BH66" s="35"/>
      <c r="BI66" s="35"/>
      <c r="BJ66" s="35"/>
      <c r="BK66" s="35"/>
      <c r="BL66" s="35"/>
    </row>
    <row r="67" spans="1:64" ht="14">
      <c r="A67" s="35"/>
      <c r="B67" s="36"/>
      <c r="C67" s="39"/>
      <c r="D67" s="78"/>
      <c r="E67" s="78"/>
      <c r="F67" s="78"/>
      <c r="G67" s="229"/>
      <c r="H67" s="229"/>
      <c r="I67" s="40"/>
      <c r="J67" s="43" t="str">
        <f t="shared" si="0"/>
        <v/>
      </c>
      <c r="K67" s="79" t="str">
        <f t="shared" si="1"/>
        <v/>
      </c>
      <c r="L67" s="39"/>
      <c r="M67" s="35"/>
      <c r="N67" s="35"/>
      <c r="O67" s="35"/>
      <c r="P67" s="35"/>
      <c r="Q67" s="35"/>
      <c r="R67" s="35"/>
      <c r="S67" s="35"/>
      <c r="T67" s="35"/>
      <c r="U67" s="35"/>
      <c r="V67" s="35"/>
      <c r="W67" s="35"/>
      <c r="X67" s="35"/>
      <c r="Y67" s="35"/>
      <c r="Z67" s="35"/>
      <c r="AA67" s="35"/>
      <c r="AB67" s="35"/>
      <c r="AC67" s="35"/>
      <c r="AD67" s="35"/>
      <c r="AE67" s="35"/>
      <c r="AF67" s="35"/>
      <c r="AG67" s="35"/>
      <c r="AH67" s="35"/>
      <c r="AI67" s="35"/>
      <c r="AJ67" s="35"/>
      <c r="AK67" s="35"/>
      <c r="AL67" s="35"/>
      <c r="AM67" s="35"/>
      <c r="AN67" s="35"/>
      <c r="AO67" s="35"/>
      <c r="AP67" s="35"/>
      <c r="AQ67" s="35"/>
      <c r="AR67" s="35"/>
      <c r="AS67" s="35"/>
      <c r="AT67" s="35"/>
      <c r="AU67" s="35"/>
      <c r="AV67" s="35"/>
      <c r="AW67" s="35"/>
      <c r="AX67" s="35"/>
      <c r="AY67" s="35"/>
      <c r="AZ67" s="35"/>
      <c r="BA67" s="35"/>
      <c r="BB67" s="35"/>
      <c r="BC67" s="35"/>
      <c r="BD67" s="35"/>
      <c r="BE67" s="35"/>
      <c r="BF67" s="35"/>
      <c r="BG67" s="35"/>
      <c r="BH67" s="35"/>
      <c r="BI67" s="35"/>
      <c r="BJ67" s="35"/>
      <c r="BK67" s="35"/>
      <c r="BL67" s="35"/>
    </row>
    <row r="68" spans="1:64" ht="14">
      <c r="A68" s="35"/>
      <c r="B68" s="36"/>
      <c r="C68" s="39"/>
      <c r="D68" s="78"/>
      <c r="E68" s="78"/>
      <c r="F68" s="78"/>
      <c r="G68" s="229"/>
      <c r="H68" s="229"/>
      <c r="I68" s="40"/>
      <c r="J68" s="43" t="str">
        <f t="shared" si="0"/>
        <v/>
      </c>
      <c r="K68" s="79" t="str">
        <f t="shared" si="1"/>
        <v/>
      </c>
      <c r="L68" s="39"/>
      <c r="M68" s="35"/>
      <c r="N68" s="35"/>
      <c r="O68" s="35"/>
      <c r="P68" s="35"/>
      <c r="Q68" s="35"/>
      <c r="R68" s="35"/>
      <c r="S68" s="35"/>
      <c r="T68" s="35"/>
      <c r="U68" s="35"/>
      <c r="V68" s="35"/>
      <c r="W68" s="35"/>
      <c r="X68" s="35"/>
      <c r="Y68" s="35"/>
      <c r="Z68" s="35"/>
      <c r="AA68" s="35"/>
      <c r="AB68" s="35"/>
      <c r="AC68" s="35"/>
      <c r="AD68" s="35"/>
      <c r="AE68" s="35"/>
      <c r="AF68" s="35"/>
      <c r="AG68" s="35"/>
      <c r="AH68" s="35"/>
      <c r="AI68" s="35"/>
      <c r="AJ68" s="35"/>
      <c r="AK68" s="35"/>
      <c r="AL68" s="35"/>
      <c r="AM68" s="35"/>
      <c r="AN68" s="35"/>
      <c r="AO68" s="35"/>
      <c r="AP68" s="35"/>
      <c r="AQ68" s="35"/>
      <c r="AR68" s="35"/>
      <c r="AS68" s="35"/>
      <c r="AT68" s="35"/>
      <c r="AU68" s="35"/>
      <c r="AV68" s="35"/>
      <c r="AW68" s="35"/>
      <c r="AX68" s="35"/>
      <c r="AY68" s="35"/>
      <c r="AZ68" s="35"/>
      <c r="BA68" s="35"/>
      <c r="BB68" s="35"/>
      <c r="BC68" s="35"/>
      <c r="BD68" s="35"/>
      <c r="BE68" s="35"/>
      <c r="BF68" s="35"/>
      <c r="BG68" s="35"/>
      <c r="BH68" s="35"/>
      <c r="BI68" s="35"/>
      <c r="BJ68" s="35"/>
      <c r="BK68" s="35"/>
      <c r="BL68" s="35"/>
    </row>
    <row r="69" spans="1:64" ht="14">
      <c r="A69" s="35"/>
      <c r="B69" s="36"/>
      <c r="C69" s="39"/>
      <c r="D69" s="78"/>
      <c r="E69" s="78"/>
      <c r="F69" s="78"/>
      <c r="G69" s="229"/>
      <c r="H69" s="229"/>
      <c r="I69" s="40"/>
      <c r="J69" s="43" t="str">
        <f t="shared" si="0"/>
        <v/>
      </c>
      <c r="K69" s="79" t="str">
        <f t="shared" si="1"/>
        <v/>
      </c>
      <c r="L69" s="39"/>
      <c r="M69" s="35"/>
      <c r="N69" s="35"/>
      <c r="O69" s="35"/>
      <c r="P69" s="35"/>
      <c r="Q69" s="35"/>
      <c r="R69" s="35"/>
      <c r="S69" s="35"/>
      <c r="T69" s="35"/>
      <c r="U69" s="35"/>
      <c r="V69" s="35"/>
      <c r="W69" s="35"/>
      <c r="X69" s="35"/>
      <c r="Y69" s="35"/>
      <c r="Z69" s="35"/>
      <c r="AA69" s="35"/>
      <c r="AB69" s="35"/>
      <c r="AC69" s="35"/>
      <c r="AD69" s="35"/>
      <c r="AE69" s="35"/>
      <c r="AF69" s="35"/>
      <c r="AG69" s="35"/>
      <c r="AH69" s="35"/>
      <c r="AI69" s="35"/>
      <c r="AJ69" s="35"/>
      <c r="AK69" s="35"/>
      <c r="AL69" s="35"/>
      <c r="AM69" s="35"/>
      <c r="AN69" s="35"/>
      <c r="AO69" s="35"/>
      <c r="AP69" s="35"/>
      <c r="AQ69" s="35"/>
      <c r="AR69" s="35"/>
      <c r="AS69" s="35"/>
      <c r="AT69" s="35"/>
      <c r="AU69" s="35"/>
      <c r="AV69" s="35"/>
      <c r="AW69" s="35"/>
      <c r="AX69" s="35"/>
      <c r="AY69" s="35"/>
      <c r="AZ69" s="35"/>
      <c r="BA69" s="35"/>
      <c r="BB69" s="35"/>
      <c r="BC69" s="35"/>
      <c r="BD69" s="35"/>
      <c r="BE69" s="35"/>
      <c r="BF69" s="35"/>
      <c r="BG69" s="35"/>
      <c r="BH69" s="35"/>
      <c r="BI69" s="35"/>
      <c r="BJ69" s="35"/>
      <c r="BK69" s="35"/>
      <c r="BL69" s="35"/>
    </row>
    <row r="70" spans="1:64" ht="14">
      <c r="A70" s="35"/>
      <c r="B70" s="36"/>
      <c r="C70" s="39"/>
      <c r="D70" s="78"/>
      <c r="E70" s="78"/>
      <c r="F70" s="78"/>
      <c r="G70" s="229"/>
      <c r="H70" s="229"/>
      <c r="I70" s="40"/>
      <c r="J70" s="43" t="str">
        <f t="shared" si="0"/>
        <v/>
      </c>
      <c r="K70" s="79" t="str">
        <f t="shared" si="1"/>
        <v/>
      </c>
      <c r="L70" s="39"/>
      <c r="M70" s="35"/>
      <c r="N70" s="35"/>
      <c r="O70" s="35"/>
      <c r="P70" s="35"/>
      <c r="Q70" s="35"/>
      <c r="R70" s="35"/>
      <c r="S70" s="35"/>
      <c r="T70" s="35"/>
      <c r="U70" s="35"/>
      <c r="V70" s="35"/>
      <c r="W70" s="35"/>
      <c r="X70" s="35"/>
      <c r="Y70" s="35"/>
      <c r="Z70" s="35"/>
      <c r="AA70" s="35"/>
      <c r="AB70" s="35"/>
      <c r="AC70" s="35"/>
      <c r="AD70" s="35"/>
      <c r="AE70" s="35"/>
      <c r="AF70" s="35"/>
      <c r="AG70" s="35"/>
      <c r="AH70" s="35"/>
      <c r="AI70" s="35"/>
      <c r="AJ70" s="35"/>
      <c r="AK70" s="35"/>
      <c r="AL70" s="35"/>
      <c r="AM70" s="35"/>
      <c r="AN70" s="35"/>
      <c r="AO70" s="35"/>
      <c r="AP70" s="35"/>
      <c r="AQ70" s="35"/>
      <c r="AR70" s="35"/>
      <c r="AS70" s="35"/>
      <c r="AT70" s="35"/>
      <c r="AU70" s="35"/>
      <c r="AV70" s="35"/>
      <c r="AW70" s="35"/>
      <c r="AX70" s="35"/>
      <c r="AY70" s="35"/>
      <c r="AZ70" s="35"/>
      <c r="BA70" s="35"/>
      <c r="BB70" s="35"/>
      <c r="BC70" s="35"/>
      <c r="BD70" s="35"/>
      <c r="BE70" s="35"/>
      <c r="BF70" s="35"/>
      <c r="BG70" s="35"/>
      <c r="BH70" s="35"/>
      <c r="BI70" s="35"/>
      <c r="BJ70" s="35"/>
      <c r="BK70" s="35"/>
      <c r="BL70" s="35"/>
    </row>
    <row r="71" spans="1:64" ht="14">
      <c r="A71" s="35"/>
      <c r="B71" s="36"/>
      <c r="C71" s="39"/>
      <c r="D71" s="78"/>
      <c r="E71" s="78"/>
      <c r="F71" s="78"/>
      <c r="G71" s="229"/>
      <c r="H71" s="229"/>
      <c r="I71" s="40"/>
      <c r="J71" s="43" t="str">
        <f t="shared" si="0"/>
        <v/>
      </c>
      <c r="K71" s="79" t="str">
        <f t="shared" si="1"/>
        <v/>
      </c>
      <c r="L71" s="39"/>
      <c r="M71" s="35"/>
      <c r="N71" s="35"/>
      <c r="O71" s="35"/>
      <c r="P71" s="35"/>
      <c r="Q71" s="35"/>
      <c r="R71" s="35"/>
      <c r="S71" s="35"/>
      <c r="T71" s="35"/>
      <c r="U71" s="35"/>
      <c r="V71" s="35"/>
      <c r="W71" s="35"/>
      <c r="X71" s="35"/>
      <c r="Y71" s="35"/>
      <c r="Z71" s="35"/>
      <c r="AA71" s="35"/>
      <c r="AB71" s="35"/>
      <c r="AC71" s="35"/>
      <c r="AD71" s="35"/>
      <c r="AE71" s="35"/>
      <c r="AF71" s="35"/>
      <c r="AG71" s="35"/>
      <c r="AH71" s="35"/>
      <c r="AI71" s="35"/>
      <c r="AJ71" s="35"/>
      <c r="AK71" s="35"/>
      <c r="AL71" s="35"/>
      <c r="AM71" s="35"/>
      <c r="AN71" s="35"/>
      <c r="AO71" s="35"/>
      <c r="AP71" s="35"/>
      <c r="AQ71" s="35"/>
      <c r="AR71" s="35"/>
      <c r="AS71" s="35"/>
      <c r="AT71" s="35"/>
      <c r="AU71" s="35"/>
      <c r="AV71" s="35"/>
      <c r="AW71" s="35"/>
      <c r="AX71" s="35"/>
      <c r="AY71" s="35"/>
      <c r="AZ71" s="35"/>
      <c r="BA71" s="35"/>
      <c r="BB71" s="35"/>
      <c r="BC71" s="35"/>
      <c r="BD71" s="35"/>
      <c r="BE71" s="35"/>
      <c r="BF71" s="35"/>
      <c r="BG71" s="35"/>
      <c r="BH71" s="35"/>
      <c r="BI71" s="35"/>
      <c r="BJ71" s="35"/>
      <c r="BK71" s="35"/>
      <c r="BL71" s="35"/>
    </row>
    <row r="72" spans="1:64" ht="14">
      <c r="A72" s="35"/>
      <c r="B72" s="36"/>
      <c r="C72" s="39"/>
      <c r="D72" s="78"/>
      <c r="E72" s="78"/>
      <c r="F72" s="78"/>
      <c r="G72" s="229"/>
      <c r="H72" s="229"/>
      <c r="I72" s="40"/>
      <c r="J72" s="43" t="str">
        <f t="shared" si="0"/>
        <v/>
      </c>
      <c r="K72" s="79" t="str">
        <f t="shared" si="1"/>
        <v/>
      </c>
      <c r="L72" s="39"/>
      <c r="M72" s="35"/>
      <c r="N72" s="35"/>
      <c r="O72" s="35"/>
      <c r="P72" s="35"/>
      <c r="Q72" s="35"/>
      <c r="R72" s="35"/>
      <c r="S72" s="35"/>
      <c r="T72" s="35"/>
      <c r="U72" s="35"/>
      <c r="V72" s="35"/>
      <c r="W72" s="35"/>
      <c r="X72" s="35"/>
      <c r="Y72" s="35"/>
      <c r="Z72" s="35"/>
      <c r="AA72" s="35"/>
      <c r="AB72" s="35"/>
      <c r="AC72" s="35"/>
      <c r="AD72" s="35"/>
      <c r="AE72" s="35"/>
      <c r="AF72" s="35"/>
      <c r="AG72" s="35"/>
      <c r="AH72" s="35"/>
      <c r="AI72" s="35"/>
      <c r="AJ72" s="35"/>
      <c r="AK72" s="35"/>
      <c r="AL72" s="35"/>
      <c r="AM72" s="35"/>
      <c r="AN72" s="35"/>
      <c r="AO72" s="35"/>
      <c r="AP72" s="35"/>
      <c r="AQ72" s="35"/>
      <c r="AR72" s="35"/>
      <c r="AS72" s="35"/>
      <c r="AT72" s="35"/>
      <c r="AU72" s="35"/>
      <c r="AV72" s="35"/>
      <c r="AW72" s="35"/>
      <c r="AX72" s="35"/>
      <c r="AY72" s="35"/>
      <c r="AZ72" s="35"/>
      <c r="BA72" s="35"/>
      <c r="BB72" s="35"/>
      <c r="BC72" s="35"/>
      <c r="BD72" s="35"/>
      <c r="BE72" s="35"/>
      <c r="BF72" s="35"/>
      <c r="BG72" s="35"/>
      <c r="BH72" s="35"/>
      <c r="BI72" s="35"/>
      <c r="BJ72" s="35"/>
      <c r="BK72" s="35"/>
      <c r="BL72" s="35"/>
    </row>
    <row r="73" spans="1:64" ht="14">
      <c r="A73" s="35"/>
      <c r="B73" s="36"/>
      <c r="C73" s="39"/>
      <c r="D73" s="78"/>
      <c r="E73" s="78"/>
      <c r="F73" s="78"/>
      <c r="G73" s="229"/>
      <c r="H73" s="229"/>
      <c r="I73" s="40"/>
      <c r="J73" s="43" t="str">
        <f t="shared" si="0"/>
        <v/>
      </c>
      <c r="K73" s="79" t="str">
        <f t="shared" si="1"/>
        <v/>
      </c>
      <c r="L73" s="39"/>
      <c r="M73" s="35"/>
      <c r="N73" s="35"/>
      <c r="O73" s="35"/>
      <c r="P73" s="35"/>
      <c r="Q73" s="35"/>
      <c r="R73" s="35"/>
      <c r="S73" s="35"/>
      <c r="T73" s="35"/>
      <c r="U73" s="35"/>
      <c r="V73" s="35"/>
      <c r="W73" s="35"/>
      <c r="X73" s="35"/>
      <c r="Y73" s="35"/>
      <c r="Z73" s="35"/>
      <c r="AA73" s="35"/>
      <c r="AB73" s="35"/>
      <c r="AC73" s="35"/>
      <c r="AD73" s="35"/>
      <c r="AE73" s="35"/>
      <c r="AF73" s="35"/>
      <c r="AG73" s="35"/>
      <c r="AH73" s="35"/>
      <c r="AI73" s="35"/>
      <c r="AJ73" s="35"/>
      <c r="AK73" s="35"/>
      <c r="AL73" s="35"/>
      <c r="AM73" s="35"/>
      <c r="AN73" s="35"/>
      <c r="AO73" s="35"/>
      <c r="AP73" s="35"/>
      <c r="AQ73" s="35"/>
      <c r="AR73" s="35"/>
      <c r="AS73" s="35"/>
      <c r="AT73" s="35"/>
      <c r="AU73" s="35"/>
      <c r="AV73" s="35"/>
      <c r="AW73" s="35"/>
      <c r="AX73" s="35"/>
      <c r="AY73" s="35"/>
      <c r="AZ73" s="35"/>
      <c r="BA73" s="35"/>
      <c r="BB73" s="35"/>
      <c r="BC73" s="35"/>
      <c r="BD73" s="35"/>
      <c r="BE73" s="35"/>
      <c r="BF73" s="35"/>
      <c r="BG73" s="35"/>
      <c r="BH73" s="35"/>
      <c r="BI73" s="35"/>
      <c r="BJ73" s="35"/>
      <c r="BK73" s="35"/>
      <c r="BL73" s="35"/>
    </row>
    <row r="74" spans="1:64" ht="14">
      <c r="A74" s="35"/>
      <c r="B74" s="36"/>
      <c r="C74" s="39"/>
      <c r="D74" s="78"/>
      <c r="E74" s="78"/>
      <c r="F74" s="78"/>
      <c r="G74" s="229"/>
      <c r="H74" s="229"/>
      <c r="I74" s="40"/>
      <c r="J74" s="43" t="str">
        <f t="shared" si="0"/>
        <v/>
      </c>
      <c r="K74" s="79" t="str">
        <f t="shared" si="1"/>
        <v/>
      </c>
      <c r="L74" s="39"/>
      <c r="M74" s="35"/>
      <c r="N74" s="35"/>
      <c r="O74" s="35"/>
      <c r="P74" s="35"/>
      <c r="Q74" s="35"/>
      <c r="R74" s="35"/>
      <c r="S74" s="35"/>
      <c r="T74" s="35"/>
      <c r="U74" s="35"/>
      <c r="V74" s="35"/>
      <c r="W74" s="35"/>
      <c r="X74" s="35"/>
      <c r="Y74" s="35"/>
      <c r="Z74" s="35"/>
      <c r="AA74" s="35"/>
      <c r="AB74" s="35"/>
      <c r="AC74" s="35"/>
      <c r="AD74" s="35"/>
      <c r="AE74" s="35"/>
      <c r="AF74" s="35"/>
      <c r="AG74" s="35"/>
      <c r="AH74" s="35"/>
      <c r="AI74" s="35"/>
      <c r="AJ74" s="35"/>
      <c r="AK74" s="35"/>
      <c r="AL74" s="35"/>
      <c r="AM74" s="35"/>
      <c r="AN74" s="35"/>
      <c r="AO74" s="35"/>
      <c r="AP74" s="35"/>
      <c r="AQ74" s="35"/>
      <c r="AR74" s="35"/>
      <c r="AS74" s="35"/>
      <c r="AT74" s="35"/>
      <c r="AU74" s="35"/>
      <c r="AV74" s="35"/>
      <c r="AW74" s="35"/>
      <c r="AX74" s="35"/>
      <c r="AY74" s="35"/>
      <c r="AZ74" s="35"/>
      <c r="BA74" s="35"/>
      <c r="BB74" s="35"/>
      <c r="BC74" s="35"/>
      <c r="BD74" s="35"/>
      <c r="BE74" s="35"/>
      <c r="BF74" s="35"/>
      <c r="BG74" s="35"/>
      <c r="BH74" s="35"/>
      <c r="BI74" s="35"/>
      <c r="BJ74" s="35"/>
      <c r="BK74" s="35"/>
      <c r="BL74" s="35"/>
    </row>
    <row r="75" spans="1:64" ht="14">
      <c r="A75" s="35"/>
      <c r="B75" s="36"/>
      <c r="C75" s="39"/>
      <c r="D75" s="78"/>
      <c r="E75" s="78"/>
      <c r="F75" s="78"/>
      <c r="G75" s="229"/>
      <c r="H75" s="229"/>
      <c r="I75" s="40"/>
      <c r="J75" s="43" t="str">
        <f t="shared" ref="J75:J138" si="2">IF($C75&lt;&gt;"",$E75*1.5,"")</f>
        <v/>
      </c>
      <c r="K75" s="79" t="str">
        <f t="shared" ref="K75:K138" si="3">IFERROR($J75/10,"")</f>
        <v/>
      </c>
      <c r="L75" s="39"/>
      <c r="M75" s="35"/>
      <c r="N75" s="35"/>
      <c r="O75" s="35"/>
      <c r="P75" s="35"/>
      <c r="Q75" s="35"/>
      <c r="R75" s="35"/>
      <c r="S75" s="35"/>
      <c r="T75" s="35"/>
      <c r="U75" s="35"/>
      <c r="V75" s="35"/>
      <c r="W75" s="35"/>
      <c r="X75" s="35"/>
      <c r="Y75" s="35"/>
      <c r="Z75" s="35"/>
      <c r="AA75" s="35"/>
      <c r="AB75" s="35"/>
      <c r="AC75" s="35"/>
      <c r="AD75" s="35"/>
      <c r="AE75" s="35"/>
      <c r="AF75" s="35"/>
      <c r="AG75" s="35"/>
      <c r="AH75" s="35"/>
      <c r="AI75" s="35"/>
      <c r="AJ75" s="35"/>
      <c r="AK75" s="35"/>
      <c r="AL75" s="35"/>
      <c r="AM75" s="35"/>
      <c r="AN75" s="35"/>
      <c r="AO75" s="35"/>
      <c r="AP75" s="35"/>
      <c r="AQ75" s="35"/>
      <c r="AR75" s="35"/>
      <c r="AS75" s="35"/>
      <c r="AT75" s="35"/>
      <c r="AU75" s="35"/>
      <c r="AV75" s="35"/>
      <c r="AW75" s="35"/>
      <c r="AX75" s="35"/>
      <c r="AY75" s="35"/>
      <c r="AZ75" s="35"/>
      <c r="BA75" s="35"/>
      <c r="BB75" s="35"/>
      <c r="BC75" s="35"/>
      <c r="BD75" s="35"/>
      <c r="BE75" s="35"/>
      <c r="BF75" s="35"/>
      <c r="BG75" s="35"/>
      <c r="BH75" s="35"/>
      <c r="BI75" s="35"/>
      <c r="BJ75" s="35"/>
      <c r="BK75" s="35"/>
      <c r="BL75" s="35"/>
    </row>
    <row r="76" spans="1:64" ht="14">
      <c r="A76" s="35"/>
      <c r="B76" s="36"/>
      <c r="C76" s="39"/>
      <c r="D76" s="78"/>
      <c r="E76" s="78"/>
      <c r="F76" s="78"/>
      <c r="G76" s="229"/>
      <c r="H76" s="229"/>
      <c r="I76" s="40"/>
      <c r="J76" s="43" t="str">
        <f t="shared" si="2"/>
        <v/>
      </c>
      <c r="K76" s="79" t="str">
        <f t="shared" si="3"/>
        <v/>
      </c>
      <c r="L76" s="39"/>
      <c r="M76" s="35"/>
      <c r="N76" s="35"/>
      <c r="O76" s="35"/>
      <c r="P76" s="35"/>
      <c r="Q76" s="35"/>
      <c r="R76" s="35"/>
      <c r="S76" s="35"/>
      <c r="T76" s="35"/>
      <c r="U76" s="35"/>
      <c r="V76" s="35"/>
      <c r="W76" s="35"/>
      <c r="X76" s="35"/>
      <c r="Y76" s="35"/>
      <c r="Z76" s="35"/>
      <c r="AA76" s="35"/>
      <c r="AB76" s="35"/>
      <c r="AC76" s="35"/>
      <c r="AD76" s="35"/>
      <c r="AE76" s="35"/>
      <c r="AF76" s="35"/>
      <c r="AG76" s="35"/>
      <c r="AH76" s="35"/>
      <c r="AI76" s="35"/>
      <c r="AJ76" s="35"/>
      <c r="AK76" s="35"/>
      <c r="AL76" s="35"/>
      <c r="AM76" s="35"/>
      <c r="AN76" s="35"/>
      <c r="AO76" s="35"/>
      <c r="AP76" s="35"/>
      <c r="AQ76" s="35"/>
      <c r="AR76" s="35"/>
      <c r="AS76" s="35"/>
      <c r="AT76" s="35"/>
      <c r="AU76" s="35"/>
      <c r="AV76" s="35"/>
      <c r="AW76" s="35"/>
      <c r="AX76" s="35"/>
      <c r="AY76" s="35"/>
      <c r="AZ76" s="35"/>
      <c r="BA76" s="35"/>
      <c r="BB76" s="35"/>
      <c r="BC76" s="35"/>
      <c r="BD76" s="35"/>
      <c r="BE76" s="35"/>
      <c r="BF76" s="35"/>
      <c r="BG76" s="35"/>
      <c r="BH76" s="35"/>
      <c r="BI76" s="35"/>
      <c r="BJ76" s="35"/>
      <c r="BK76" s="35"/>
      <c r="BL76" s="35"/>
    </row>
    <row r="77" spans="1:64" ht="14">
      <c r="A77" s="35"/>
      <c r="B77" s="36"/>
      <c r="C77" s="39"/>
      <c r="D77" s="78"/>
      <c r="E77" s="78"/>
      <c r="F77" s="78"/>
      <c r="G77" s="229"/>
      <c r="H77" s="229"/>
      <c r="I77" s="40"/>
      <c r="J77" s="43" t="str">
        <f t="shared" si="2"/>
        <v/>
      </c>
      <c r="K77" s="79" t="str">
        <f t="shared" si="3"/>
        <v/>
      </c>
      <c r="L77" s="39"/>
      <c r="M77" s="35"/>
      <c r="N77" s="35"/>
      <c r="O77" s="35"/>
      <c r="P77" s="35"/>
      <c r="Q77" s="35"/>
      <c r="R77" s="35"/>
      <c r="S77" s="35"/>
      <c r="T77" s="35"/>
      <c r="U77" s="35"/>
      <c r="V77" s="35"/>
      <c r="W77" s="35"/>
      <c r="X77" s="35"/>
      <c r="Y77" s="35"/>
      <c r="Z77" s="35"/>
      <c r="AA77" s="35"/>
      <c r="AB77" s="35"/>
      <c r="AC77" s="35"/>
      <c r="AD77" s="35"/>
      <c r="AE77" s="35"/>
      <c r="AF77" s="35"/>
      <c r="AG77" s="35"/>
      <c r="AH77" s="35"/>
      <c r="AI77" s="35"/>
      <c r="AJ77" s="35"/>
      <c r="AK77" s="35"/>
      <c r="AL77" s="35"/>
      <c r="AM77" s="35"/>
      <c r="AN77" s="35"/>
      <c r="AO77" s="35"/>
      <c r="AP77" s="35"/>
      <c r="AQ77" s="35"/>
      <c r="AR77" s="35"/>
      <c r="AS77" s="35"/>
      <c r="AT77" s="35"/>
      <c r="AU77" s="35"/>
      <c r="AV77" s="35"/>
      <c r="AW77" s="35"/>
      <c r="AX77" s="35"/>
      <c r="AY77" s="35"/>
      <c r="AZ77" s="35"/>
      <c r="BA77" s="35"/>
      <c r="BB77" s="35"/>
      <c r="BC77" s="35"/>
      <c r="BD77" s="35"/>
      <c r="BE77" s="35"/>
      <c r="BF77" s="35"/>
      <c r="BG77" s="35"/>
      <c r="BH77" s="35"/>
      <c r="BI77" s="35"/>
      <c r="BJ77" s="35"/>
      <c r="BK77" s="35"/>
      <c r="BL77" s="35"/>
    </row>
    <row r="78" spans="1:64" ht="14">
      <c r="A78" s="35"/>
      <c r="B78" s="36"/>
      <c r="C78" s="39"/>
      <c r="D78" s="78"/>
      <c r="E78" s="78"/>
      <c r="F78" s="78"/>
      <c r="G78" s="229"/>
      <c r="H78" s="229"/>
      <c r="I78" s="40"/>
      <c r="J78" s="43" t="str">
        <f t="shared" si="2"/>
        <v/>
      </c>
      <c r="K78" s="79" t="str">
        <f t="shared" si="3"/>
        <v/>
      </c>
      <c r="L78" s="39"/>
      <c r="M78" s="35"/>
      <c r="N78" s="35"/>
      <c r="O78" s="35"/>
      <c r="P78" s="35"/>
      <c r="Q78" s="35"/>
      <c r="R78" s="35"/>
      <c r="S78" s="35"/>
      <c r="T78" s="35"/>
      <c r="U78" s="35"/>
      <c r="V78" s="35"/>
      <c r="W78" s="35"/>
      <c r="X78" s="35"/>
      <c r="Y78" s="35"/>
      <c r="Z78" s="35"/>
      <c r="AA78" s="35"/>
      <c r="AB78" s="35"/>
      <c r="AC78" s="35"/>
      <c r="AD78" s="35"/>
      <c r="AE78" s="35"/>
      <c r="AF78" s="35"/>
      <c r="AG78" s="35"/>
      <c r="AH78" s="35"/>
      <c r="AI78" s="35"/>
      <c r="AJ78" s="35"/>
      <c r="AK78" s="35"/>
      <c r="AL78" s="35"/>
      <c r="AM78" s="35"/>
      <c r="AN78" s="35"/>
      <c r="AO78" s="35"/>
      <c r="AP78" s="35"/>
      <c r="AQ78" s="35"/>
      <c r="AR78" s="35"/>
      <c r="AS78" s="35"/>
      <c r="AT78" s="35"/>
      <c r="AU78" s="35"/>
      <c r="AV78" s="35"/>
      <c r="AW78" s="35"/>
      <c r="AX78" s="35"/>
      <c r="AY78" s="35"/>
      <c r="AZ78" s="35"/>
      <c r="BA78" s="35"/>
      <c r="BB78" s="35"/>
      <c r="BC78" s="35"/>
      <c r="BD78" s="35"/>
      <c r="BE78" s="35"/>
      <c r="BF78" s="35"/>
      <c r="BG78" s="35"/>
      <c r="BH78" s="35"/>
      <c r="BI78" s="35"/>
      <c r="BJ78" s="35"/>
      <c r="BK78" s="35"/>
      <c r="BL78" s="35"/>
    </row>
    <row r="79" spans="1:64" ht="14">
      <c r="A79" s="35"/>
      <c r="B79" s="36"/>
      <c r="C79" s="39"/>
      <c r="D79" s="78"/>
      <c r="E79" s="78"/>
      <c r="F79" s="78"/>
      <c r="G79" s="229"/>
      <c r="H79" s="229"/>
      <c r="I79" s="40"/>
      <c r="J79" s="43" t="str">
        <f t="shared" si="2"/>
        <v/>
      </c>
      <c r="K79" s="79" t="str">
        <f t="shared" si="3"/>
        <v/>
      </c>
      <c r="L79" s="39"/>
      <c r="M79" s="35"/>
      <c r="N79" s="35"/>
      <c r="O79" s="35"/>
      <c r="P79" s="35"/>
      <c r="Q79" s="35"/>
      <c r="R79" s="35"/>
      <c r="S79" s="35"/>
      <c r="T79" s="35"/>
      <c r="U79" s="35"/>
      <c r="V79" s="35"/>
      <c r="W79" s="35"/>
      <c r="X79" s="35"/>
      <c r="Y79" s="35"/>
      <c r="Z79" s="35"/>
      <c r="AA79" s="35"/>
      <c r="AB79" s="35"/>
      <c r="AC79" s="35"/>
      <c r="AD79" s="35"/>
      <c r="AE79" s="35"/>
      <c r="AF79" s="35"/>
      <c r="AG79" s="35"/>
      <c r="AH79" s="35"/>
      <c r="AI79" s="35"/>
      <c r="AJ79" s="35"/>
      <c r="AK79" s="35"/>
      <c r="AL79" s="35"/>
      <c r="AM79" s="35"/>
      <c r="AN79" s="35"/>
      <c r="AO79" s="35"/>
      <c r="AP79" s="35"/>
      <c r="AQ79" s="35"/>
      <c r="AR79" s="35"/>
      <c r="AS79" s="35"/>
      <c r="AT79" s="35"/>
      <c r="AU79" s="35"/>
      <c r="AV79" s="35"/>
      <c r="AW79" s="35"/>
      <c r="AX79" s="35"/>
      <c r="AY79" s="35"/>
      <c r="AZ79" s="35"/>
      <c r="BA79" s="35"/>
      <c r="BB79" s="35"/>
      <c r="BC79" s="35"/>
      <c r="BD79" s="35"/>
      <c r="BE79" s="35"/>
      <c r="BF79" s="35"/>
      <c r="BG79" s="35"/>
      <c r="BH79" s="35"/>
      <c r="BI79" s="35"/>
      <c r="BJ79" s="35"/>
      <c r="BK79" s="35"/>
      <c r="BL79" s="35"/>
    </row>
    <row r="80" spans="1:64" ht="14">
      <c r="A80" s="35"/>
      <c r="B80" s="36"/>
      <c r="C80" s="39"/>
      <c r="D80" s="78"/>
      <c r="E80" s="78"/>
      <c r="F80" s="78"/>
      <c r="G80" s="229"/>
      <c r="H80" s="229"/>
      <c r="I80" s="40"/>
      <c r="J80" s="43" t="str">
        <f t="shared" si="2"/>
        <v/>
      </c>
      <c r="K80" s="79" t="str">
        <f t="shared" si="3"/>
        <v/>
      </c>
      <c r="L80" s="39"/>
      <c r="M80" s="35"/>
      <c r="N80" s="35"/>
      <c r="O80" s="35"/>
      <c r="P80" s="35"/>
      <c r="Q80" s="35"/>
      <c r="R80" s="35"/>
      <c r="S80" s="35"/>
      <c r="T80" s="35"/>
      <c r="U80" s="35"/>
      <c r="V80" s="35"/>
      <c r="W80" s="35"/>
      <c r="X80" s="35"/>
      <c r="Y80" s="35"/>
      <c r="Z80" s="35"/>
      <c r="AA80" s="35"/>
      <c r="AB80" s="35"/>
      <c r="AC80" s="35"/>
      <c r="AD80" s="35"/>
      <c r="AE80" s="35"/>
      <c r="AF80" s="35"/>
      <c r="AG80" s="35"/>
      <c r="AH80" s="35"/>
      <c r="AI80" s="35"/>
      <c r="AJ80" s="35"/>
      <c r="AK80" s="35"/>
      <c r="AL80" s="35"/>
      <c r="AM80" s="35"/>
      <c r="AN80" s="35"/>
      <c r="AO80" s="35"/>
      <c r="AP80" s="35"/>
      <c r="AQ80" s="35"/>
      <c r="AR80" s="35"/>
      <c r="AS80" s="35"/>
      <c r="AT80" s="35"/>
      <c r="AU80" s="35"/>
      <c r="AV80" s="35"/>
      <c r="AW80" s="35"/>
      <c r="AX80" s="35"/>
      <c r="AY80" s="35"/>
      <c r="AZ80" s="35"/>
      <c r="BA80" s="35"/>
      <c r="BB80" s="35"/>
      <c r="BC80" s="35"/>
      <c r="BD80" s="35"/>
      <c r="BE80" s="35"/>
      <c r="BF80" s="35"/>
      <c r="BG80" s="35"/>
      <c r="BH80" s="35"/>
      <c r="BI80" s="35"/>
      <c r="BJ80" s="35"/>
      <c r="BK80" s="35"/>
      <c r="BL80" s="35"/>
    </row>
    <row r="81" spans="1:64" ht="14">
      <c r="A81" s="35"/>
      <c r="B81" s="36"/>
      <c r="C81" s="39"/>
      <c r="D81" s="78"/>
      <c r="E81" s="78"/>
      <c r="F81" s="78"/>
      <c r="G81" s="229"/>
      <c r="H81" s="229"/>
      <c r="I81" s="40"/>
      <c r="J81" s="43" t="str">
        <f t="shared" si="2"/>
        <v/>
      </c>
      <c r="K81" s="79" t="str">
        <f t="shared" si="3"/>
        <v/>
      </c>
      <c r="L81" s="39"/>
      <c r="M81" s="35"/>
      <c r="N81" s="35"/>
      <c r="O81" s="35"/>
      <c r="P81" s="35"/>
      <c r="Q81" s="35"/>
      <c r="R81" s="35"/>
      <c r="S81" s="35"/>
      <c r="T81" s="35"/>
      <c r="U81" s="35"/>
      <c r="V81" s="35"/>
      <c r="W81" s="35"/>
      <c r="X81" s="35"/>
      <c r="Y81" s="35"/>
      <c r="Z81" s="35"/>
      <c r="AA81" s="35"/>
      <c r="AB81" s="35"/>
      <c r="AC81" s="35"/>
      <c r="AD81" s="35"/>
      <c r="AE81" s="35"/>
      <c r="AF81" s="35"/>
      <c r="AG81" s="35"/>
      <c r="AH81" s="35"/>
      <c r="AI81" s="35"/>
      <c r="AJ81" s="35"/>
      <c r="AK81" s="35"/>
      <c r="AL81" s="35"/>
      <c r="AM81" s="35"/>
      <c r="AN81" s="35"/>
      <c r="AO81" s="35"/>
      <c r="AP81" s="35"/>
      <c r="AQ81" s="35"/>
      <c r="AR81" s="35"/>
      <c r="AS81" s="35"/>
      <c r="AT81" s="35"/>
      <c r="AU81" s="35"/>
      <c r="AV81" s="35"/>
      <c r="AW81" s="35"/>
      <c r="AX81" s="35"/>
      <c r="AY81" s="35"/>
      <c r="AZ81" s="35"/>
      <c r="BA81" s="35"/>
      <c r="BB81" s="35"/>
      <c r="BC81" s="35"/>
      <c r="BD81" s="35"/>
      <c r="BE81" s="35"/>
      <c r="BF81" s="35"/>
      <c r="BG81" s="35"/>
      <c r="BH81" s="35"/>
      <c r="BI81" s="35"/>
      <c r="BJ81" s="35"/>
      <c r="BK81" s="35"/>
      <c r="BL81" s="35"/>
    </row>
    <row r="82" spans="1:64" ht="14">
      <c r="A82" s="35"/>
      <c r="B82" s="36"/>
      <c r="C82" s="39"/>
      <c r="D82" s="78"/>
      <c r="E82" s="78"/>
      <c r="F82" s="78"/>
      <c r="G82" s="229"/>
      <c r="H82" s="229"/>
      <c r="I82" s="40"/>
      <c r="J82" s="43" t="str">
        <f t="shared" si="2"/>
        <v/>
      </c>
      <c r="K82" s="79" t="str">
        <f t="shared" si="3"/>
        <v/>
      </c>
      <c r="L82" s="39"/>
      <c r="M82" s="35"/>
      <c r="N82" s="35"/>
      <c r="O82" s="35"/>
      <c r="P82" s="35"/>
      <c r="Q82" s="35"/>
      <c r="R82" s="35"/>
      <c r="S82" s="35"/>
      <c r="T82" s="35"/>
      <c r="U82" s="35"/>
      <c r="V82" s="35"/>
      <c r="W82" s="35"/>
      <c r="X82" s="35"/>
      <c r="Y82" s="35"/>
      <c r="Z82" s="35"/>
      <c r="AA82" s="35"/>
      <c r="AB82" s="35"/>
      <c r="AC82" s="35"/>
      <c r="AD82" s="35"/>
      <c r="AE82" s="35"/>
      <c r="AF82" s="35"/>
      <c r="AG82" s="35"/>
      <c r="AH82" s="35"/>
      <c r="AI82" s="35"/>
      <c r="AJ82" s="35"/>
      <c r="AK82" s="35"/>
      <c r="AL82" s="35"/>
      <c r="AM82" s="35"/>
      <c r="AN82" s="35"/>
      <c r="AO82" s="35"/>
      <c r="AP82" s="35"/>
      <c r="AQ82" s="35"/>
      <c r="AR82" s="35"/>
      <c r="AS82" s="35"/>
      <c r="AT82" s="35"/>
      <c r="AU82" s="35"/>
      <c r="AV82" s="35"/>
      <c r="AW82" s="35"/>
      <c r="AX82" s="35"/>
      <c r="AY82" s="35"/>
      <c r="AZ82" s="35"/>
      <c r="BA82" s="35"/>
      <c r="BB82" s="35"/>
      <c r="BC82" s="35"/>
      <c r="BD82" s="35"/>
      <c r="BE82" s="35"/>
      <c r="BF82" s="35"/>
      <c r="BG82" s="35"/>
      <c r="BH82" s="35"/>
      <c r="BI82" s="35"/>
      <c r="BJ82" s="35"/>
      <c r="BK82" s="35"/>
      <c r="BL82" s="35"/>
    </row>
    <row r="83" spans="1:64" ht="14">
      <c r="A83" s="35"/>
      <c r="B83" s="36"/>
      <c r="C83" s="39"/>
      <c r="D83" s="78"/>
      <c r="E83" s="78"/>
      <c r="F83" s="78"/>
      <c r="G83" s="229"/>
      <c r="H83" s="229"/>
      <c r="I83" s="40"/>
      <c r="J83" s="43" t="str">
        <f t="shared" si="2"/>
        <v/>
      </c>
      <c r="K83" s="79" t="str">
        <f t="shared" si="3"/>
        <v/>
      </c>
      <c r="L83" s="39"/>
      <c r="M83" s="35"/>
      <c r="N83" s="35"/>
      <c r="O83" s="35"/>
      <c r="P83" s="35"/>
      <c r="Q83" s="35"/>
      <c r="R83" s="35"/>
      <c r="S83" s="35"/>
      <c r="T83" s="35"/>
      <c r="U83" s="35"/>
      <c r="V83" s="35"/>
      <c r="W83" s="35"/>
      <c r="X83" s="35"/>
      <c r="Y83" s="35"/>
      <c r="Z83" s="35"/>
      <c r="AA83" s="35"/>
      <c r="AB83" s="35"/>
      <c r="AC83" s="35"/>
      <c r="AD83" s="35"/>
      <c r="AE83" s="35"/>
      <c r="AF83" s="35"/>
      <c r="AG83" s="35"/>
      <c r="AH83" s="35"/>
      <c r="AI83" s="35"/>
      <c r="AJ83" s="35"/>
      <c r="AK83" s="35"/>
      <c r="AL83" s="35"/>
      <c r="AM83" s="35"/>
      <c r="AN83" s="35"/>
      <c r="AO83" s="35"/>
      <c r="AP83" s="35"/>
      <c r="AQ83" s="35"/>
      <c r="AR83" s="35"/>
      <c r="AS83" s="35"/>
      <c r="AT83" s="35"/>
      <c r="AU83" s="35"/>
      <c r="AV83" s="35"/>
      <c r="AW83" s="35"/>
      <c r="AX83" s="35"/>
      <c r="AY83" s="35"/>
      <c r="AZ83" s="35"/>
      <c r="BA83" s="35"/>
      <c r="BB83" s="35"/>
      <c r="BC83" s="35"/>
      <c r="BD83" s="35"/>
      <c r="BE83" s="35"/>
      <c r="BF83" s="35"/>
      <c r="BG83" s="35"/>
      <c r="BH83" s="35"/>
      <c r="BI83" s="35"/>
      <c r="BJ83" s="35"/>
      <c r="BK83" s="35"/>
      <c r="BL83" s="35"/>
    </row>
    <row r="84" spans="1:64" ht="14">
      <c r="A84" s="35"/>
      <c r="B84" s="36"/>
      <c r="C84" s="39"/>
      <c r="D84" s="78"/>
      <c r="E84" s="78"/>
      <c r="F84" s="78"/>
      <c r="G84" s="229"/>
      <c r="H84" s="229"/>
      <c r="I84" s="40"/>
      <c r="J84" s="43" t="str">
        <f t="shared" si="2"/>
        <v/>
      </c>
      <c r="K84" s="79" t="str">
        <f t="shared" si="3"/>
        <v/>
      </c>
      <c r="L84" s="39"/>
      <c r="M84" s="35"/>
      <c r="N84" s="35"/>
      <c r="O84" s="35"/>
      <c r="P84" s="35"/>
      <c r="Q84" s="35"/>
      <c r="R84" s="35"/>
      <c r="S84" s="35"/>
      <c r="T84" s="35"/>
      <c r="U84" s="35"/>
      <c r="V84" s="35"/>
      <c r="W84" s="35"/>
      <c r="X84" s="35"/>
      <c r="Y84" s="35"/>
      <c r="Z84" s="35"/>
      <c r="AA84" s="35"/>
      <c r="AB84" s="35"/>
      <c r="AC84" s="35"/>
      <c r="AD84" s="35"/>
      <c r="AE84" s="35"/>
      <c r="AF84" s="35"/>
      <c r="AG84" s="35"/>
      <c r="AH84" s="35"/>
      <c r="AI84" s="35"/>
      <c r="AJ84" s="35"/>
      <c r="AK84" s="35"/>
      <c r="AL84" s="35"/>
      <c r="AM84" s="35"/>
      <c r="AN84" s="35"/>
      <c r="AO84" s="35"/>
      <c r="AP84" s="35"/>
      <c r="AQ84" s="35"/>
      <c r="AR84" s="35"/>
      <c r="AS84" s="35"/>
      <c r="AT84" s="35"/>
      <c r="AU84" s="35"/>
      <c r="AV84" s="35"/>
      <c r="AW84" s="35"/>
      <c r="AX84" s="35"/>
      <c r="AY84" s="35"/>
      <c r="AZ84" s="35"/>
      <c r="BA84" s="35"/>
      <c r="BB84" s="35"/>
      <c r="BC84" s="35"/>
      <c r="BD84" s="35"/>
      <c r="BE84" s="35"/>
      <c r="BF84" s="35"/>
      <c r="BG84" s="35"/>
      <c r="BH84" s="35"/>
      <c r="BI84" s="35"/>
      <c r="BJ84" s="35"/>
      <c r="BK84" s="35"/>
      <c r="BL84" s="35"/>
    </row>
    <row r="85" spans="1:64" ht="14">
      <c r="A85" s="35"/>
      <c r="B85" s="36"/>
      <c r="C85" s="39"/>
      <c r="D85" s="78"/>
      <c r="E85" s="78"/>
      <c r="F85" s="78"/>
      <c r="G85" s="229"/>
      <c r="H85" s="229"/>
      <c r="I85" s="40"/>
      <c r="J85" s="43" t="str">
        <f t="shared" si="2"/>
        <v/>
      </c>
      <c r="K85" s="79" t="str">
        <f t="shared" si="3"/>
        <v/>
      </c>
      <c r="L85" s="39"/>
      <c r="M85" s="35"/>
      <c r="N85" s="35"/>
      <c r="O85" s="35"/>
      <c r="P85" s="35"/>
      <c r="Q85" s="35"/>
      <c r="R85" s="35"/>
      <c r="S85" s="35"/>
      <c r="T85" s="35"/>
      <c r="U85" s="35"/>
      <c r="V85" s="35"/>
      <c r="W85" s="35"/>
      <c r="X85" s="35"/>
      <c r="Y85" s="35"/>
      <c r="Z85" s="35"/>
      <c r="AA85" s="35"/>
      <c r="AB85" s="35"/>
      <c r="AC85" s="35"/>
      <c r="AD85" s="35"/>
      <c r="AE85" s="35"/>
      <c r="AF85" s="35"/>
      <c r="AG85" s="35"/>
      <c r="AH85" s="35"/>
      <c r="AI85" s="35"/>
      <c r="AJ85" s="35"/>
      <c r="AK85" s="35"/>
      <c r="AL85" s="35"/>
      <c r="AM85" s="35"/>
      <c r="AN85" s="35"/>
      <c r="AO85" s="35"/>
      <c r="AP85" s="35"/>
      <c r="AQ85" s="35"/>
      <c r="AR85" s="35"/>
      <c r="AS85" s="35"/>
      <c r="AT85" s="35"/>
      <c r="AU85" s="35"/>
      <c r="AV85" s="35"/>
      <c r="AW85" s="35"/>
      <c r="AX85" s="35"/>
      <c r="AY85" s="35"/>
      <c r="AZ85" s="35"/>
      <c r="BA85" s="35"/>
      <c r="BB85" s="35"/>
      <c r="BC85" s="35"/>
      <c r="BD85" s="35"/>
      <c r="BE85" s="35"/>
      <c r="BF85" s="35"/>
      <c r="BG85" s="35"/>
      <c r="BH85" s="35"/>
      <c r="BI85" s="35"/>
      <c r="BJ85" s="35"/>
      <c r="BK85" s="35"/>
      <c r="BL85" s="35"/>
    </row>
    <row r="86" spans="1:64" ht="14">
      <c r="A86" s="35"/>
      <c r="B86" s="36"/>
      <c r="C86" s="39"/>
      <c r="D86" s="78"/>
      <c r="E86" s="78"/>
      <c r="F86" s="78"/>
      <c r="G86" s="229"/>
      <c r="H86" s="229"/>
      <c r="I86" s="40"/>
      <c r="J86" s="43" t="str">
        <f t="shared" si="2"/>
        <v/>
      </c>
      <c r="K86" s="79" t="str">
        <f t="shared" si="3"/>
        <v/>
      </c>
      <c r="L86" s="39"/>
      <c r="M86" s="35"/>
      <c r="N86" s="35"/>
      <c r="O86" s="35"/>
      <c r="P86" s="35"/>
      <c r="Q86" s="35"/>
      <c r="R86" s="35"/>
      <c r="S86" s="35"/>
      <c r="T86" s="35"/>
      <c r="U86" s="35"/>
      <c r="V86" s="35"/>
      <c r="W86" s="35"/>
      <c r="X86" s="35"/>
      <c r="Y86" s="35"/>
      <c r="Z86" s="35"/>
      <c r="AA86" s="35"/>
      <c r="AB86" s="35"/>
      <c r="AC86" s="35"/>
      <c r="AD86" s="35"/>
      <c r="AE86" s="35"/>
      <c r="AF86" s="35"/>
      <c r="AG86" s="35"/>
      <c r="AH86" s="35"/>
      <c r="AI86" s="35"/>
      <c r="AJ86" s="35"/>
      <c r="AK86" s="35"/>
      <c r="AL86" s="35"/>
      <c r="AM86" s="35"/>
      <c r="AN86" s="35"/>
      <c r="AO86" s="35"/>
      <c r="AP86" s="35"/>
      <c r="AQ86" s="35"/>
      <c r="AR86" s="35"/>
      <c r="AS86" s="35"/>
      <c r="AT86" s="35"/>
      <c r="AU86" s="35"/>
      <c r="AV86" s="35"/>
      <c r="AW86" s="35"/>
      <c r="AX86" s="35"/>
      <c r="AY86" s="35"/>
      <c r="AZ86" s="35"/>
      <c r="BA86" s="35"/>
      <c r="BB86" s="35"/>
      <c r="BC86" s="35"/>
      <c r="BD86" s="35"/>
      <c r="BE86" s="35"/>
      <c r="BF86" s="35"/>
      <c r="BG86" s="35"/>
      <c r="BH86" s="35"/>
      <c r="BI86" s="35"/>
      <c r="BJ86" s="35"/>
      <c r="BK86" s="35"/>
      <c r="BL86" s="35"/>
    </row>
    <row r="87" spans="1:64" ht="14">
      <c r="A87" s="35"/>
      <c r="B87" s="36"/>
      <c r="C87" s="39"/>
      <c r="D87" s="78"/>
      <c r="E87" s="78"/>
      <c r="F87" s="78"/>
      <c r="G87" s="229"/>
      <c r="H87" s="229"/>
      <c r="I87" s="40"/>
      <c r="J87" s="43" t="str">
        <f t="shared" si="2"/>
        <v/>
      </c>
      <c r="K87" s="79" t="str">
        <f t="shared" si="3"/>
        <v/>
      </c>
      <c r="L87" s="39"/>
      <c r="M87" s="35"/>
      <c r="N87" s="35"/>
      <c r="O87" s="35"/>
      <c r="P87" s="35"/>
      <c r="Q87" s="35"/>
      <c r="R87" s="35"/>
      <c r="S87" s="35"/>
      <c r="T87" s="35"/>
      <c r="U87" s="35"/>
      <c r="V87" s="35"/>
      <c r="W87" s="35"/>
      <c r="X87" s="35"/>
      <c r="Y87" s="35"/>
      <c r="Z87" s="35"/>
      <c r="AA87" s="35"/>
      <c r="AB87" s="35"/>
      <c r="AC87" s="35"/>
      <c r="AD87" s="35"/>
      <c r="AE87" s="35"/>
      <c r="AF87" s="35"/>
      <c r="AG87" s="35"/>
      <c r="AH87" s="35"/>
      <c r="AI87" s="35"/>
      <c r="AJ87" s="35"/>
      <c r="AK87" s="35"/>
      <c r="AL87" s="35"/>
      <c r="AM87" s="35"/>
      <c r="AN87" s="35"/>
      <c r="AO87" s="35"/>
      <c r="AP87" s="35"/>
      <c r="AQ87" s="35"/>
      <c r="AR87" s="35"/>
      <c r="AS87" s="35"/>
      <c r="AT87" s="35"/>
      <c r="AU87" s="35"/>
      <c r="AV87" s="35"/>
      <c r="AW87" s="35"/>
      <c r="AX87" s="35"/>
      <c r="AY87" s="35"/>
      <c r="AZ87" s="35"/>
      <c r="BA87" s="35"/>
      <c r="BB87" s="35"/>
      <c r="BC87" s="35"/>
      <c r="BD87" s="35"/>
      <c r="BE87" s="35"/>
      <c r="BF87" s="35"/>
      <c r="BG87" s="35"/>
      <c r="BH87" s="35"/>
      <c r="BI87" s="35"/>
      <c r="BJ87" s="35"/>
      <c r="BK87" s="35"/>
      <c r="BL87" s="35"/>
    </row>
    <row r="88" spans="1:64" ht="14">
      <c r="A88" s="35"/>
      <c r="B88" s="36"/>
      <c r="C88" s="39"/>
      <c r="D88" s="78"/>
      <c r="E88" s="78"/>
      <c r="F88" s="78"/>
      <c r="G88" s="229"/>
      <c r="H88" s="229"/>
      <c r="I88" s="40"/>
      <c r="J88" s="43" t="str">
        <f t="shared" si="2"/>
        <v/>
      </c>
      <c r="K88" s="79" t="str">
        <f t="shared" si="3"/>
        <v/>
      </c>
      <c r="L88" s="39"/>
      <c r="M88" s="35"/>
      <c r="N88" s="35"/>
      <c r="O88" s="35"/>
      <c r="P88" s="35"/>
      <c r="Q88" s="35"/>
      <c r="R88" s="35"/>
      <c r="S88" s="35"/>
      <c r="T88" s="35"/>
      <c r="U88" s="35"/>
      <c r="V88" s="35"/>
      <c r="W88" s="35"/>
      <c r="X88" s="35"/>
      <c r="Y88" s="35"/>
      <c r="Z88" s="35"/>
      <c r="AA88" s="35"/>
      <c r="AB88" s="35"/>
      <c r="AC88" s="35"/>
      <c r="AD88" s="35"/>
      <c r="AE88" s="35"/>
      <c r="AF88" s="35"/>
      <c r="AG88" s="35"/>
      <c r="AH88" s="35"/>
      <c r="AI88" s="35"/>
      <c r="AJ88" s="35"/>
      <c r="AK88" s="35"/>
      <c r="AL88" s="35"/>
      <c r="AM88" s="35"/>
      <c r="AN88" s="35"/>
      <c r="AO88" s="35"/>
      <c r="AP88" s="35"/>
      <c r="AQ88" s="35"/>
      <c r="AR88" s="35"/>
      <c r="AS88" s="35"/>
      <c r="AT88" s="35"/>
      <c r="AU88" s="35"/>
      <c r="AV88" s="35"/>
      <c r="AW88" s="35"/>
      <c r="AX88" s="35"/>
      <c r="AY88" s="35"/>
      <c r="AZ88" s="35"/>
      <c r="BA88" s="35"/>
      <c r="BB88" s="35"/>
      <c r="BC88" s="35"/>
      <c r="BD88" s="35"/>
      <c r="BE88" s="35"/>
      <c r="BF88" s="35"/>
      <c r="BG88" s="35"/>
      <c r="BH88" s="35"/>
      <c r="BI88" s="35"/>
      <c r="BJ88" s="35"/>
      <c r="BK88" s="35"/>
      <c r="BL88" s="35"/>
    </row>
    <row r="89" spans="1:64" ht="14">
      <c r="A89" s="35"/>
      <c r="B89" s="36"/>
      <c r="C89" s="39"/>
      <c r="D89" s="78"/>
      <c r="E89" s="78"/>
      <c r="F89" s="78"/>
      <c r="G89" s="229"/>
      <c r="H89" s="229"/>
      <c r="I89" s="40"/>
      <c r="J89" s="43" t="str">
        <f t="shared" si="2"/>
        <v/>
      </c>
      <c r="K89" s="79" t="str">
        <f t="shared" si="3"/>
        <v/>
      </c>
      <c r="L89" s="39"/>
      <c r="M89" s="35"/>
      <c r="N89" s="35"/>
      <c r="O89" s="35"/>
      <c r="P89" s="35"/>
      <c r="Q89" s="35"/>
      <c r="R89" s="35"/>
      <c r="S89" s="35"/>
      <c r="T89" s="35"/>
      <c r="U89" s="35"/>
      <c r="V89" s="35"/>
      <c r="W89" s="35"/>
      <c r="X89" s="35"/>
      <c r="Y89" s="35"/>
      <c r="Z89" s="35"/>
      <c r="AA89" s="35"/>
      <c r="AB89" s="35"/>
      <c r="AC89" s="35"/>
      <c r="AD89" s="35"/>
      <c r="AE89" s="35"/>
      <c r="AF89" s="35"/>
      <c r="AG89" s="35"/>
      <c r="AH89" s="35"/>
      <c r="AI89" s="35"/>
      <c r="AJ89" s="35"/>
      <c r="AK89" s="35"/>
      <c r="AL89" s="35"/>
      <c r="AM89" s="35"/>
      <c r="AN89" s="35"/>
      <c r="AO89" s="35"/>
      <c r="AP89" s="35"/>
      <c r="AQ89" s="35"/>
      <c r="AR89" s="35"/>
      <c r="AS89" s="35"/>
      <c r="AT89" s="35"/>
      <c r="AU89" s="35"/>
      <c r="AV89" s="35"/>
      <c r="AW89" s="35"/>
      <c r="AX89" s="35"/>
      <c r="AY89" s="35"/>
      <c r="AZ89" s="35"/>
      <c r="BA89" s="35"/>
      <c r="BB89" s="35"/>
      <c r="BC89" s="35"/>
      <c r="BD89" s="35"/>
      <c r="BE89" s="35"/>
      <c r="BF89" s="35"/>
      <c r="BG89" s="35"/>
      <c r="BH89" s="35"/>
      <c r="BI89" s="35"/>
      <c r="BJ89" s="35"/>
      <c r="BK89" s="35"/>
      <c r="BL89" s="35"/>
    </row>
    <row r="90" spans="1:64" ht="14">
      <c r="A90" s="35"/>
      <c r="B90" s="36"/>
      <c r="C90" s="39"/>
      <c r="D90" s="78"/>
      <c r="E90" s="78"/>
      <c r="F90" s="78"/>
      <c r="G90" s="229"/>
      <c r="H90" s="229"/>
      <c r="I90" s="40"/>
      <c r="J90" s="43" t="str">
        <f t="shared" si="2"/>
        <v/>
      </c>
      <c r="K90" s="79" t="str">
        <f t="shared" si="3"/>
        <v/>
      </c>
      <c r="L90" s="39"/>
      <c r="M90" s="35"/>
      <c r="N90" s="35"/>
      <c r="O90" s="35"/>
      <c r="P90" s="35"/>
      <c r="Q90" s="35"/>
      <c r="R90" s="35"/>
      <c r="S90" s="35"/>
      <c r="T90" s="35"/>
      <c r="U90" s="35"/>
      <c r="V90" s="35"/>
      <c r="W90" s="35"/>
      <c r="X90" s="35"/>
      <c r="Y90" s="35"/>
      <c r="Z90" s="35"/>
      <c r="AA90" s="35"/>
      <c r="AB90" s="35"/>
      <c r="AC90" s="35"/>
      <c r="AD90" s="35"/>
      <c r="AE90" s="35"/>
      <c r="AF90" s="35"/>
      <c r="AG90" s="35"/>
      <c r="AH90" s="35"/>
      <c r="AI90" s="35"/>
      <c r="AJ90" s="35"/>
      <c r="AK90" s="35"/>
      <c r="AL90" s="35"/>
      <c r="AM90" s="35"/>
      <c r="AN90" s="35"/>
      <c r="AO90" s="35"/>
      <c r="AP90" s="35"/>
      <c r="AQ90" s="35"/>
      <c r="AR90" s="35"/>
      <c r="AS90" s="35"/>
      <c r="AT90" s="35"/>
      <c r="AU90" s="35"/>
      <c r="AV90" s="35"/>
      <c r="AW90" s="35"/>
      <c r="AX90" s="35"/>
      <c r="AY90" s="35"/>
      <c r="AZ90" s="35"/>
      <c r="BA90" s="35"/>
      <c r="BB90" s="35"/>
      <c r="BC90" s="35"/>
      <c r="BD90" s="35"/>
      <c r="BE90" s="35"/>
      <c r="BF90" s="35"/>
      <c r="BG90" s="35"/>
      <c r="BH90" s="35"/>
      <c r="BI90" s="35"/>
      <c r="BJ90" s="35"/>
      <c r="BK90" s="35"/>
      <c r="BL90" s="35"/>
    </row>
    <row r="91" spans="1:64" ht="14">
      <c r="A91" s="35"/>
      <c r="B91" s="36"/>
      <c r="C91" s="39"/>
      <c r="D91" s="78"/>
      <c r="E91" s="78"/>
      <c r="F91" s="78"/>
      <c r="G91" s="229"/>
      <c r="H91" s="229"/>
      <c r="I91" s="40"/>
      <c r="J91" s="43" t="str">
        <f t="shared" si="2"/>
        <v/>
      </c>
      <c r="K91" s="79" t="str">
        <f t="shared" si="3"/>
        <v/>
      </c>
      <c r="L91" s="39"/>
      <c r="M91" s="35"/>
      <c r="N91" s="35"/>
      <c r="O91" s="35"/>
      <c r="P91" s="35"/>
      <c r="Q91" s="35"/>
      <c r="R91" s="35"/>
      <c r="S91" s="35"/>
      <c r="T91" s="35"/>
      <c r="U91" s="35"/>
      <c r="V91" s="35"/>
      <c r="W91" s="35"/>
      <c r="X91" s="35"/>
      <c r="Y91" s="35"/>
      <c r="Z91" s="35"/>
      <c r="AA91" s="35"/>
      <c r="AB91" s="35"/>
      <c r="AC91" s="35"/>
      <c r="AD91" s="35"/>
      <c r="AE91" s="35"/>
      <c r="AF91" s="35"/>
      <c r="AG91" s="35"/>
      <c r="AH91" s="35"/>
      <c r="AI91" s="35"/>
      <c r="AJ91" s="35"/>
      <c r="AK91" s="35"/>
      <c r="AL91" s="35"/>
      <c r="AM91" s="35"/>
      <c r="AN91" s="35"/>
      <c r="AO91" s="35"/>
      <c r="AP91" s="35"/>
      <c r="AQ91" s="35"/>
      <c r="AR91" s="35"/>
      <c r="AS91" s="35"/>
      <c r="AT91" s="35"/>
      <c r="AU91" s="35"/>
      <c r="AV91" s="35"/>
      <c r="AW91" s="35"/>
      <c r="AX91" s="35"/>
      <c r="AY91" s="35"/>
      <c r="AZ91" s="35"/>
      <c r="BA91" s="35"/>
      <c r="BB91" s="35"/>
      <c r="BC91" s="35"/>
      <c r="BD91" s="35"/>
      <c r="BE91" s="35"/>
      <c r="BF91" s="35"/>
      <c r="BG91" s="35"/>
      <c r="BH91" s="35"/>
      <c r="BI91" s="35"/>
      <c r="BJ91" s="35"/>
      <c r="BK91" s="35"/>
      <c r="BL91" s="35"/>
    </row>
    <row r="92" spans="1:64" ht="14">
      <c r="A92" s="35"/>
      <c r="B92" s="36"/>
      <c r="C92" s="39"/>
      <c r="D92" s="78"/>
      <c r="E92" s="78"/>
      <c r="F92" s="78"/>
      <c r="G92" s="229"/>
      <c r="H92" s="229"/>
      <c r="I92" s="40"/>
      <c r="J92" s="43" t="str">
        <f t="shared" si="2"/>
        <v/>
      </c>
      <c r="K92" s="79" t="str">
        <f t="shared" si="3"/>
        <v/>
      </c>
      <c r="L92" s="39"/>
      <c r="M92" s="35"/>
      <c r="N92" s="35"/>
      <c r="O92" s="35"/>
      <c r="P92" s="35"/>
      <c r="Q92" s="35"/>
      <c r="R92" s="35"/>
      <c r="S92" s="35"/>
      <c r="T92" s="35"/>
      <c r="U92" s="35"/>
      <c r="V92" s="35"/>
      <c r="W92" s="35"/>
      <c r="X92" s="35"/>
      <c r="Y92" s="35"/>
      <c r="Z92" s="35"/>
      <c r="AA92" s="35"/>
      <c r="AB92" s="35"/>
      <c r="AC92" s="35"/>
      <c r="AD92" s="35"/>
      <c r="AE92" s="35"/>
      <c r="AF92" s="35"/>
      <c r="AG92" s="35"/>
      <c r="AH92" s="35"/>
      <c r="AI92" s="35"/>
      <c r="AJ92" s="35"/>
      <c r="AK92" s="35"/>
      <c r="AL92" s="35"/>
      <c r="AM92" s="35"/>
      <c r="AN92" s="35"/>
      <c r="AO92" s="35"/>
      <c r="AP92" s="35"/>
      <c r="AQ92" s="35"/>
      <c r="AR92" s="35"/>
      <c r="AS92" s="35"/>
      <c r="AT92" s="35"/>
      <c r="AU92" s="35"/>
      <c r="AV92" s="35"/>
      <c r="AW92" s="35"/>
      <c r="AX92" s="35"/>
      <c r="AY92" s="35"/>
      <c r="AZ92" s="35"/>
      <c r="BA92" s="35"/>
      <c r="BB92" s="35"/>
      <c r="BC92" s="35"/>
      <c r="BD92" s="35"/>
      <c r="BE92" s="35"/>
      <c r="BF92" s="35"/>
      <c r="BG92" s="35"/>
      <c r="BH92" s="35"/>
      <c r="BI92" s="35"/>
      <c r="BJ92" s="35"/>
      <c r="BK92" s="35"/>
      <c r="BL92" s="35"/>
    </row>
    <row r="93" spans="1:64" ht="14">
      <c r="A93" s="35"/>
      <c r="B93" s="36"/>
      <c r="C93" s="39"/>
      <c r="D93" s="78"/>
      <c r="E93" s="78"/>
      <c r="F93" s="78"/>
      <c r="G93" s="229"/>
      <c r="H93" s="229"/>
      <c r="I93" s="40"/>
      <c r="J93" s="43" t="str">
        <f t="shared" si="2"/>
        <v/>
      </c>
      <c r="K93" s="79" t="str">
        <f t="shared" si="3"/>
        <v/>
      </c>
      <c r="L93" s="39"/>
      <c r="M93" s="35"/>
      <c r="N93" s="35"/>
      <c r="O93" s="35"/>
      <c r="P93" s="35"/>
      <c r="Q93" s="35"/>
      <c r="R93" s="35"/>
      <c r="S93" s="35"/>
      <c r="T93" s="35"/>
      <c r="U93" s="35"/>
      <c r="V93" s="35"/>
      <c r="W93" s="35"/>
      <c r="X93" s="35"/>
      <c r="Y93" s="35"/>
      <c r="Z93" s="35"/>
      <c r="AA93" s="35"/>
      <c r="AB93" s="35"/>
      <c r="AC93" s="35"/>
      <c r="AD93" s="35"/>
      <c r="AE93" s="35"/>
      <c r="AF93" s="35"/>
      <c r="AG93" s="35"/>
      <c r="AH93" s="35"/>
      <c r="AI93" s="35"/>
      <c r="AJ93" s="35"/>
      <c r="AK93" s="35"/>
      <c r="AL93" s="35"/>
      <c r="AM93" s="35"/>
      <c r="AN93" s="35"/>
      <c r="AO93" s="35"/>
      <c r="AP93" s="35"/>
      <c r="AQ93" s="35"/>
      <c r="AR93" s="35"/>
      <c r="AS93" s="35"/>
      <c r="AT93" s="35"/>
      <c r="AU93" s="35"/>
      <c r="AV93" s="35"/>
      <c r="AW93" s="35"/>
      <c r="AX93" s="35"/>
      <c r="AY93" s="35"/>
      <c r="AZ93" s="35"/>
      <c r="BA93" s="35"/>
      <c r="BB93" s="35"/>
      <c r="BC93" s="35"/>
      <c r="BD93" s="35"/>
      <c r="BE93" s="35"/>
      <c r="BF93" s="35"/>
      <c r="BG93" s="35"/>
      <c r="BH93" s="35"/>
      <c r="BI93" s="35"/>
      <c r="BJ93" s="35"/>
      <c r="BK93" s="35"/>
      <c r="BL93" s="35"/>
    </row>
    <row r="94" spans="1:64" ht="14">
      <c r="A94" s="35"/>
      <c r="B94" s="36"/>
      <c r="C94" s="39"/>
      <c r="D94" s="78"/>
      <c r="E94" s="78"/>
      <c r="F94" s="78"/>
      <c r="G94" s="229"/>
      <c r="H94" s="229"/>
      <c r="I94" s="40"/>
      <c r="J94" s="43" t="str">
        <f t="shared" si="2"/>
        <v/>
      </c>
      <c r="K94" s="79" t="str">
        <f t="shared" si="3"/>
        <v/>
      </c>
      <c r="L94" s="39"/>
      <c r="M94" s="35"/>
      <c r="N94" s="35"/>
      <c r="O94" s="35"/>
      <c r="P94" s="35"/>
      <c r="Q94" s="35"/>
      <c r="R94" s="35"/>
      <c r="S94" s="35"/>
      <c r="T94" s="35"/>
      <c r="U94" s="35"/>
      <c r="V94" s="35"/>
      <c r="W94" s="35"/>
      <c r="X94" s="35"/>
      <c r="Y94" s="35"/>
      <c r="Z94" s="35"/>
      <c r="AA94" s="35"/>
      <c r="AB94" s="35"/>
      <c r="AC94" s="35"/>
      <c r="AD94" s="35"/>
      <c r="AE94" s="35"/>
      <c r="AF94" s="35"/>
      <c r="AG94" s="35"/>
      <c r="AH94" s="35"/>
      <c r="AI94" s="35"/>
      <c r="AJ94" s="35"/>
      <c r="AK94" s="35"/>
      <c r="AL94" s="35"/>
      <c r="AM94" s="35"/>
      <c r="AN94" s="35"/>
      <c r="AO94" s="35"/>
      <c r="AP94" s="35"/>
      <c r="AQ94" s="35"/>
      <c r="AR94" s="35"/>
      <c r="AS94" s="35"/>
      <c r="AT94" s="35"/>
      <c r="AU94" s="35"/>
      <c r="AV94" s="35"/>
      <c r="AW94" s="35"/>
      <c r="AX94" s="35"/>
      <c r="AY94" s="35"/>
      <c r="AZ94" s="35"/>
      <c r="BA94" s="35"/>
      <c r="BB94" s="35"/>
      <c r="BC94" s="35"/>
      <c r="BD94" s="35"/>
      <c r="BE94" s="35"/>
      <c r="BF94" s="35"/>
      <c r="BG94" s="35"/>
      <c r="BH94" s="35"/>
      <c r="BI94" s="35"/>
      <c r="BJ94" s="35"/>
      <c r="BK94" s="35"/>
      <c r="BL94" s="35"/>
    </row>
    <row r="95" spans="1:64" ht="14">
      <c r="A95" s="35"/>
      <c r="B95" s="36"/>
      <c r="C95" s="39"/>
      <c r="D95" s="78"/>
      <c r="E95" s="78"/>
      <c r="F95" s="78"/>
      <c r="G95" s="229"/>
      <c r="H95" s="229"/>
      <c r="I95" s="40"/>
      <c r="J95" s="43" t="str">
        <f t="shared" si="2"/>
        <v/>
      </c>
      <c r="K95" s="79" t="str">
        <f t="shared" si="3"/>
        <v/>
      </c>
      <c r="L95" s="39"/>
      <c r="M95" s="35"/>
      <c r="N95" s="35"/>
      <c r="O95" s="35"/>
      <c r="P95" s="35"/>
      <c r="Q95" s="35"/>
      <c r="R95" s="35"/>
      <c r="S95" s="35"/>
      <c r="T95" s="35"/>
      <c r="U95" s="35"/>
      <c r="V95" s="35"/>
      <c r="W95" s="35"/>
      <c r="X95" s="35"/>
      <c r="Y95" s="35"/>
      <c r="Z95" s="35"/>
      <c r="AA95" s="35"/>
      <c r="AB95" s="35"/>
      <c r="AC95" s="35"/>
      <c r="AD95" s="35"/>
      <c r="AE95" s="35"/>
      <c r="AF95" s="35"/>
      <c r="AG95" s="35"/>
      <c r="AH95" s="35"/>
      <c r="AI95" s="35"/>
      <c r="AJ95" s="35"/>
      <c r="AK95" s="35"/>
      <c r="AL95" s="35"/>
      <c r="AM95" s="35"/>
      <c r="AN95" s="35"/>
      <c r="AO95" s="35"/>
      <c r="AP95" s="35"/>
      <c r="AQ95" s="35"/>
      <c r="AR95" s="35"/>
      <c r="AS95" s="35"/>
      <c r="AT95" s="35"/>
      <c r="AU95" s="35"/>
      <c r="AV95" s="35"/>
      <c r="AW95" s="35"/>
      <c r="AX95" s="35"/>
      <c r="AY95" s="35"/>
      <c r="AZ95" s="35"/>
      <c r="BA95" s="35"/>
      <c r="BB95" s="35"/>
      <c r="BC95" s="35"/>
      <c r="BD95" s="35"/>
      <c r="BE95" s="35"/>
      <c r="BF95" s="35"/>
      <c r="BG95" s="35"/>
      <c r="BH95" s="35"/>
      <c r="BI95" s="35"/>
      <c r="BJ95" s="35"/>
      <c r="BK95" s="35"/>
      <c r="BL95" s="35"/>
    </row>
    <row r="96" spans="1:64" ht="14">
      <c r="A96" s="35"/>
      <c r="B96" s="36"/>
      <c r="C96" s="39"/>
      <c r="D96" s="78"/>
      <c r="E96" s="78"/>
      <c r="F96" s="78"/>
      <c r="G96" s="229"/>
      <c r="H96" s="229"/>
      <c r="I96" s="40"/>
      <c r="J96" s="43" t="str">
        <f t="shared" si="2"/>
        <v/>
      </c>
      <c r="K96" s="79" t="str">
        <f t="shared" si="3"/>
        <v/>
      </c>
      <c r="L96" s="39"/>
      <c r="M96" s="35"/>
      <c r="N96" s="35"/>
      <c r="O96" s="35"/>
      <c r="P96" s="35"/>
      <c r="Q96" s="35"/>
      <c r="R96" s="35"/>
      <c r="S96" s="35"/>
      <c r="T96" s="35"/>
      <c r="U96" s="35"/>
      <c r="V96" s="35"/>
      <c r="W96" s="35"/>
      <c r="X96" s="35"/>
      <c r="Y96" s="35"/>
      <c r="Z96" s="35"/>
      <c r="AA96" s="35"/>
      <c r="AB96" s="35"/>
      <c r="AC96" s="35"/>
      <c r="AD96" s="35"/>
      <c r="AE96" s="35"/>
      <c r="AF96" s="35"/>
      <c r="AG96" s="35"/>
      <c r="AH96" s="35"/>
      <c r="AI96" s="35"/>
      <c r="AJ96" s="35"/>
      <c r="AK96" s="35"/>
      <c r="AL96" s="35"/>
      <c r="AM96" s="35"/>
      <c r="AN96" s="35"/>
      <c r="AO96" s="35"/>
      <c r="AP96" s="35"/>
      <c r="AQ96" s="35"/>
      <c r="AR96" s="35"/>
      <c r="AS96" s="35"/>
      <c r="AT96" s="35"/>
      <c r="AU96" s="35"/>
      <c r="AV96" s="35"/>
      <c r="AW96" s="35"/>
      <c r="AX96" s="35"/>
      <c r="AY96" s="35"/>
      <c r="AZ96" s="35"/>
      <c r="BA96" s="35"/>
      <c r="BB96" s="35"/>
      <c r="BC96" s="35"/>
      <c r="BD96" s="35"/>
      <c r="BE96" s="35"/>
      <c r="BF96" s="35"/>
      <c r="BG96" s="35"/>
      <c r="BH96" s="35"/>
      <c r="BI96" s="35"/>
      <c r="BJ96" s="35"/>
      <c r="BK96" s="35"/>
      <c r="BL96" s="35"/>
    </row>
    <row r="97" spans="1:64" ht="14">
      <c r="A97" s="35"/>
      <c r="B97" s="36"/>
      <c r="C97" s="39"/>
      <c r="D97" s="78"/>
      <c r="E97" s="78"/>
      <c r="F97" s="78"/>
      <c r="G97" s="229"/>
      <c r="H97" s="229"/>
      <c r="I97" s="40"/>
      <c r="J97" s="43" t="str">
        <f t="shared" si="2"/>
        <v/>
      </c>
      <c r="K97" s="79" t="str">
        <f t="shared" si="3"/>
        <v/>
      </c>
      <c r="L97" s="39"/>
      <c r="M97" s="35"/>
      <c r="N97" s="35"/>
      <c r="O97" s="35"/>
      <c r="P97" s="35"/>
      <c r="Q97" s="35"/>
      <c r="R97" s="35"/>
      <c r="S97" s="35"/>
      <c r="T97" s="35"/>
      <c r="U97" s="35"/>
      <c r="V97" s="35"/>
      <c r="W97" s="35"/>
      <c r="X97" s="35"/>
      <c r="Y97" s="35"/>
      <c r="Z97" s="35"/>
      <c r="AA97" s="35"/>
      <c r="AB97" s="35"/>
      <c r="AC97" s="35"/>
      <c r="AD97" s="35"/>
      <c r="AE97" s="35"/>
      <c r="AF97" s="35"/>
      <c r="AG97" s="35"/>
      <c r="AH97" s="35"/>
      <c r="AI97" s="35"/>
      <c r="AJ97" s="35"/>
      <c r="AK97" s="35"/>
      <c r="AL97" s="35"/>
      <c r="AM97" s="35"/>
      <c r="AN97" s="35"/>
      <c r="AO97" s="35"/>
      <c r="AP97" s="35"/>
      <c r="AQ97" s="35"/>
      <c r="AR97" s="35"/>
      <c r="AS97" s="35"/>
      <c r="AT97" s="35"/>
      <c r="AU97" s="35"/>
      <c r="AV97" s="35"/>
      <c r="AW97" s="35"/>
      <c r="AX97" s="35"/>
      <c r="AY97" s="35"/>
      <c r="AZ97" s="35"/>
      <c r="BA97" s="35"/>
      <c r="BB97" s="35"/>
      <c r="BC97" s="35"/>
      <c r="BD97" s="35"/>
      <c r="BE97" s="35"/>
      <c r="BF97" s="35"/>
      <c r="BG97" s="35"/>
      <c r="BH97" s="35"/>
      <c r="BI97" s="35"/>
      <c r="BJ97" s="35"/>
      <c r="BK97" s="35"/>
      <c r="BL97" s="35"/>
    </row>
    <row r="98" spans="1:64" ht="14">
      <c r="A98" s="35"/>
      <c r="B98" s="36"/>
      <c r="C98" s="39"/>
      <c r="D98" s="78"/>
      <c r="E98" s="78"/>
      <c r="F98" s="78"/>
      <c r="G98" s="229"/>
      <c r="H98" s="229"/>
      <c r="I98" s="40"/>
      <c r="J98" s="43" t="str">
        <f t="shared" si="2"/>
        <v/>
      </c>
      <c r="K98" s="79" t="str">
        <f t="shared" si="3"/>
        <v/>
      </c>
      <c r="L98" s="39"/>
      <c r="M98" s="35"/>
      <c r="N98" s="35"/>
      <c r="O98" s="35"/>
      <c r="P98" s="35"/>
      <c r="Q98" s="35"/>
      <c r="R98" s="35"/>
      <c r="S98" s="35"/>
      <c r="T98" s="35"/>
      <c r="U98" s="35"/>
      <c r="V98" s="35"/>
      <c r="W98" s="35"/>
      <c r="X98" s="35"/>
      <c r="Y98" s="35"/>
      <c r="Z98" s="35"/>
      <c r="AA98" s="35"/>
      <c r="AB98" s="35"/>
      <c r="AC98" s="35"/>
      <c r="AD98" s="35"/>
      <c r="AE98" s="35"/>
      <c r="AF98" s="35"/>
      <c r="AG98" s="35"/>
      <c r="AH98" s="35"/>
      <c r="AI98" s="35"/>
      <c r="AJ98" s="35"/>
      <c r="AK98" s="35"/>
      <c r="AL98" s="35"/>
      <c r="AM98" s="35"/>
      <c r="AN98" s="35"/>
      <c r="AO98" s="35"/>
      <c r="AP98" s="35"/>
      <c r="AQ98" s="35"/>
      <c r="AR98" s="35"/>
      <c r="AS98" s="35"/>
      <c r="AT98" s="35"/>
      <c r="AU98" s="35"/>
      <c r="AV98" s="35"/>
      <c r="AW98" s="35"/>
      <c r="AX98" s="35"/>
      <c r="AY98" s="35"/>
      <c r="AZ98" s="35"/>
      <c r="BA98" s="35"/>
      <c r="BB98" s="35"/>
      <c r="BC98" s="35"/>
      <c r="BD98" s="35"/>
      <c r="BE98" s="35"/>
      <c r="BF98" s="35"/>
      <c r="BG98" s="35"/>
      <c r="BH98" s="35"/>
      <c r="BI98" s="35"/>
      <c r="BJ98" s="35"/>
      <c r="BK98" s="35"/>
      <c r="BL98" s="35"/>
    </row>
    <row r="99" spans="1:64" ht="14">
      <c r="A99" s="35"/>
      <c r="B99" s="36"/>
      <c r="C99" s="39"/>
      <c r="D99" s="78"/>
      <c r="E99" s="78"/>
      <c r="F99" s="78"/>
      <c r="G99" s="229"/>
      <c r="H99" s="229"/>
      <c r="I99" s="40"/>
      <c r="J99" s="43" t="str">
        <f t="shared" si="2"/>
        <v/>
      </c>
      <c r="K99" s="79" t="str">
        <f t="shared" si="3"/>
        <v/>
      </c>
      <c r="L99" s="39"/>
      <c r="M99" s="35"/>
      <c r="N99" s="35"/>
      <c r="O99" s="35"/>
      <c r="P99" s="35"/>
      <c r="Q99" s="35"/>
      <c r="R99" s="35"/>
      <c r="S99" s="35"/>
      <c r="T99" s="35"/>
      <c r="U99" s="35"/>
      <c r="V99" s="35"/>
      <c r="W99" s="35"/>
      <c r="X99" s="35"/>
      <c r="Y99" s="35"/>
      <c r="Z99" s="35"/>
      <c r="AA99" s="35"/>
      <c r="AB99" s="35"/>
      <c r="AC99" s="35"/>
      <c r="AD99" s="35"/>
      <c r="AE99" s="35"/>
      <c r="AF99" s="35"/>
      <c r="AG99" s="35"/>
      <c r="AH99" s="35"/>
      <c r="AI99" s="35"/>
      <c r="AJ99" s="35"/>
      <c r="AK99" s="35"/>
      <c r="AL99" s="35"/>
      <c r="AM99" s="35"/>
      <c r="AN99" s="35"/>
      <c r="AO99" s="35"/>
      <c r="AP99" s="35"/>
      <c r="AQ99" s="35"/>
      <c r="AR99" s="35"/>
      <c r="AS99" s="35"/>
      <c r="AT99" s="35"/>
      <c r="AU99" s="35"/>
      <c r="AV99" s="35"/>
      <c r="AW99" s="35"/>
      <c r="AX99" s="35"/>
      <c r="AY99" s="35"/>
      <c r="AZ99" s="35"/>
      <c r="BA99" s="35"/>
      <c r="BB99" s="35"/>
      <c r="BC99" s="35"/>
      <c r="BD99" s="35"/>
      <c r="BE99" s="35"/>
      <c r="BF99" s="35"/>
      <c r="BG99" s="35"/>
      <c r="BH99" s="35"/>
      <c r="BI99" s="35"/>
      <c r="BJ99" s="35"/>
      <c r="BK99" s="35"/>
      <c r="BL99" s="35"/>
    </row>
    <row r="100" spans="1:64" ht="14">
      <c r="A100" s="35"/>
      <c r="B100" s="36"/>
      <c r="C100" s="39"/>
      <c r="D100" s="78"/>
      <c r="E100" s="78"/>
      <c r="F100" s="78"/>
      <c r="G100" s="229"/>
      <c r="H100" s="229"/>
      <c r="I100" s="40"/>
      <c r="J100" s="43" t="str">
        <f t="shared" si="2"/>
        <v/>
      </c>
      <c r="K100" s="79" t="str">
        <f t="shared" si="3"/>
        <v/>
      </c>
      <c r="L100" s="39"/>
      <c r="M100" s="35"/>
      <c r="N100" s="35"/>
      <c r="O100" s="35"/>
      <c r="P100" s="35"/>
      <c r="Q100" s="35"/>
      <c r="R100" s="35"/>
      <c r="S100" s="35"/>
      <c r="T100" s="35"/>
      <c r="U100" s="35"/>
      <c r="V100" s="35"/>
      <c r="W100" s="35"/>
      <c r="X100" s="35"/>
      <c r="Y100" s="35"/>
      <c r="Z100" s="35"/>
      <c r="AA100" s="35"/>
      <c r="AB100" s="35"/>
      <c r="AC100" s="35"/>
      <c r="AD100" s="35"/>
      <c r="AE100" s="35"/>
      <c r="AF100" s="35"/>
      <c r="AG100" s="35"/>
      <c r="AH100" s="35"/>
      <c r="AI100" s="35"/>
      <c r="AJ100" s="35"/>
      <c r="AK100" s="35"/>
      <c r="AL100" s="35"/>
      <c r="AM100" s="35"/>
      <c r="AN100" s="35"/>
      <c r="AO100" s="35"/>
      <c r="AP100" s="35"/>
      <c r="AQ100" s="35"/>
      <c r="AR100" s="35"/>
      <c r="AS100" s="35"/>
      <c r="AT100" s="35"/>
      <c r="AU100" s="35"/>
      <c r="AV100" s="35"/>
      <c r="AW100" s="35"/>
      <c r="AX100" s="35"/>
      <c r="AY100" s="35"/>
      <c r="AZ100" s="35"/>
      <c r="BA100" s="35"/>
      <c r="BB100" s="35"/>
      <c r="BC100" s="35"/>
      <c r="BD100" s="35"/>
      <c r="BE100" s="35"/>
      <c r="BF100" s="35"/>
      <c r="BG100" s="35"/>
      <c r="BH100" s="35"/>
      <c r="BI100" s="35"/>
      <c r="BJ100" s="35"/>
      <c r="BK100" s="35"/>
      <c r="BL100" s="35"/>
    </row>
    <row r="101" spans="1:64" ht="14">
      <c r="A101" s="35"/>
      <c r="B101" s="36"/>
      <c r="C101" s="39"/>
      <c r="D101" s="78"/>
      <c r="E101" s="78"/>
      <c r="F101" s="78"/>
      <c r="G101" s="229"/>
      <c r="H101" s="229"/>
      <c r="I101" s="40"/>
      <c r="J101" s="43" t="str">
        <f t="shared" si="2"/>
        <v/>
      </c>
      <c r="K101" s="79" t="str">
        <f t="shared" si="3"/>
        <v/>
      </c>
      <c r="L101" s="39"/>
      <c r="M101" s="35"/>
      <c r="N101" s="35"/>
      <c r="O101" s="35"/>
      <c r="P101" s="35"/>
      <c r="Q101" s="35"/>
      <c r="R101" s="35"/>
      <c r="S101" s="35"/>
      <c r="T101" s="35"/>
      <c r="U101" s="35"/>
      <c r="V101" s="35"/>
      <c r="W101" s="35"/>
      <c r="X101" s="35"/>
      <c r="Y101" s="35"/>
      <c r="Z101" s="35"/>
      <c r="AA101" s="35"/>
      <c r="AB101" s="35"/>
      <c r="AC101" s="35"/>
      <c r="AD101" s="35"/>
      <c r="AE101" s="35"/>
      <c r="AF101" s="35"/>
      <c r="AG101" s="35"/>
      <c r="AH101" s="35"/>
      <c r="AI101" s="35"/>
      <c r="AJ101" s="35"/>
      <c r="AK101" s="35"/>
      <c r="AL101" s="35"/>
      <c r="AM101" s="35"/>
      <c r="AN101" s="35"/>
      <c r="AO101" s="35"/>
      <c r="AP101" s="35"/>
      <c r="AQ101" s="35"/>
      <c r="AR101" s="35"/>
      <c r="AS101" s="35"/>
      <c r="AT101" s="35"/>
      <c r="AU101" s="35"/>
      <c r="AV101" s="35"/>
      <c r="AW101" s="35"/>
      <c r="AX101" s="35"/>
      <c r="AY101" s="35"/>
      <c r="AZ101" s="35"/>
      <c r="BA101" s="35"/>
      <c r="BB101" s="35"/>
      <c r="BC101" s="35"/>
      <c r="BD101" s="35"/>
      <c r="BE101" s="35"/>
      <c r="BF101" s="35"/>
      <c r="BG101" s="35"/>
      <c r="BH101" s="35"/>
      <c r="BI101" s="35"/>
      <c r="BJ101" s="35"/>
      <c r="BK101" s="35"/>
      <c r="BL101" s="35"/>
    </row>
    <row r="102" spans="1:64" ht="14">
      <c r="A102" s="35"/>
      <c r="B102" s="36"/>
      <c r="C102" s="39"/>
      <c r="D102" s="78"/>
      <c r="E102" s="78"/>
      <c r="F102" s="78"/>
      <c r="G102" s="229"/>
      <c r="H102" s="229"/>
      <c r="I102" s="40"/>
      <c r="J102" s="43" t="str">
        <f t="shared" si="2"/>
        <v/>
      </c>
      <c r="K102" s="79" t="str">
        <f t="shared" si="3"/>
        <v/>
      </c>
      <c r="L102" s="39"/>
      <c r="M102" s="35"/>
      <c r="N102" s="35"/>
      <c r="O102" s="35"/>
      <c r="P102" s="35"/>
      <c r="Q102" s="35"/>
      <c r="R102" s="35"/>
      <c r="S102" s="35"/>
      <c r="T102" s="35"/>
      <c r="U102" s="35"/>
      <c r="V102" s="35"/>
      <c r="W102" s="35"/>
      <c r="X102" s="35"/>
      <c r="Y102" s="35"/>
      <c r="Z102" s="35"/>
      <c r="AA102" s="35"/>
      <c r="AB102" s="35"/>
      <c r="AC102" s="35"/>
      <c r="AD102" s="35"/>
      <c r="AE102" s="35"/>
      <c r="AF102" s="35"/>
      <c r="AG102" s="35"/>
      <c r="AH102" s="35"/>
      <c r="AI102" s="35"/>
      <c r="AJ102" s="35"/>
      <c r="AK102" s="35"/>
      <c r="AL102" s="35"/>
      <c r="AM102" s="35"/>
      <c r="AN102" s="35"/>
      <c r="AO102" s="35"/>
      <c r="AP102" s="35"/>
      <c r="AQ102" s="35"/>
      <c r="AR102" s="35"/>
      <c r="AS102" s="35"/>
      <c r="AT102" s="35"/>
      <c r="AU102" s="35"/>
      <c r="AV102" s="35"/>
      <c r="AW102" s="35"/>
      <c r="AX102" s="35"/>
      <c r="AY102" s="35"/>
      <c r="AZ102" s="35"/>
      <c r="BA102" s="35"/>
      <c r="BB102" s="35"/>
      <c r="BC102" s="35"/>
      <c r="BD102" s="35"/>
      <c r="BE102" s="35"/>
      <c r="BF102" s="35"/>
      <c r="BG102" s="35"/>
      <c r="BH102" s="35"/>
      <c r="BI102" s="35"/>
      <c r="BJ102" s="35"/>
      <c r="BK102" s="35"/>
      <c r="BL102" s="35"/>
    </row>
    <row r="103" spans="1:64" ht="14">
      <c r="A103" s="35"/>
      <c r="B103" s="36"/>
      <c r="C103" s="39"/>
      <c r="D103" s="78"/>
      <c r="E103" s="78"/>
      <c r="F103" s="78"/>
      <c r="G103" s="229"/>
      <c r="H103" s="229"/>
      <c r="I103" s="40"/>
      <c r="J103" s="43" t="str">
        <f t="shared" si="2"/>
        <v/>
      </c>
      <c r="K103" s="79" t="str">
        <f t="shared" si="3"/>
        <v/>
      </c>
      <c r="L103" s="39"/>
      <c r="M103" s="35"/>
      <c r="N103" s="35"/>
      <c r="O103" s="35"/>
      <c r="P103" s="35"/>
      <c r="Q103" s="35"/>
      <c r="R103" s="35"/>
      <c r="S103" s="35"/>
      <c r="T103" s="35"/>
      <c r="U103" s="35"/>
      <c r="V103" s="35"/>
      <c r="W103" s="35"/>
      <c r="X103" s="35"/>
      <c r="Y103" s="35"/>
      <c r="Z103" s="35"/>
      <c r="AA103" s="35"/>
      <c r="AB103" s="35"/>
      <c r="AC103" s="35"/>
      <c r="AD103" s="35"/>
      <c r="AE103" s="35"/>
      <c r="AF103" s="35"/>
      <c r="AG103" s="35"/>
      <c r="AH103" s="35"/>
      <c r="AI103" s="35"/>
      <c r="AJ103" s="35"/>
      <c r="AK103" s="35"/>
      <c r="AL103" s="35"/>
      <c r="AM103" s="35"/>
      <c r="AN103" s="35"/>
      <c r="AO103" s="35"/>
      <c r="AP103" s="35"/>
      <c r="AQ103" s="35"/>
      <c r="AR103" s="35"/>
      <c r="AS103" s="35"/>
      <c r="AT103" s="35"/>
      <c r="AU103" s="35"/>
      <c r="AV103" s="35"/>
      <c r="AW103" s="35"/>
      <c r="AX103" s="35"/>
      <c r="AY103" s="35"/>
      <c r="AZ103" s="35"/>
      <c r="BA103" s="35"/>
      <c r="BB103" s="35"/>
      <c r="BC103" s="35"/>
      <c r="BD103" s="35"/>
      <c r="BE103" s="35"/>
      <c r="BF103" s="35"/>
      <c r="BG103" s="35"/>
      <c r="BH103" s="35"/>
      <c r="BI103" s="35"/>
      <c r="BJ103" s="35"/>
      <c r="BK103" s="35"/>
      <c r="BL103" s="35"/>
    </row>
    <row r="104" spans="1:64" ht="14">
      <c r="A104" s="35"/>
      <c r="B104" s="36"/>
      <c r="C104" s="39"/>
      <c r="D104" s="78"/>
      <c r="E104" s="78"/>
      <c r="F104" s="78"/>
      <c r="G104" s="229"/>
      <c r="H104" s="229"/>
      <c r="I104" s="40"/>
      <c r="J104" s="43" t="str">
        <f t="shared" si="2"/>
        <v/>
      </c>
      <c r="K104" s="79" t="str">
        <f t="shared" si="3"/>
        <v/>
      </c>
      <c r="L104" s="39"/>
      <c r="M104" s="35"/>
      <c r="N104" s="35"/>
      <c r="O104" s="35"/>
      <c r="P104" s="35"/>
      <c r="Q104" s="35"/>
      <c r="R104" s="35"/>
      <c r="S104" s="35"/>
      <c r="T104" s="35"/>
      <c r="U104" s="35"/>
      <c r="V104" s="35"/>
      <c r="W104" s="35"/>
      <c r="X104" s="35"/>
      <c r="Y104" s="35"/>
      <c r="Z104" s="35"/>
      <c r="AA104" s="35"/>
      <c r="AB104" s="35"/>
      <c r="AC104" s="35"/>
      <c r="AD104" s="35"/>
      <c r="AE104" s="35"/>
      <c r="AF104" s="35"/>
      <c r="AG104" s="35"/>
      <c r="AH104" s="35"/>
      <c r="AI104" s="35"/>
      <c r="AJ104" s="35"/>
      <c r="AK104" s="35"/>
      <c r="AL104" s="35"/>
      <c r="AM104" s="35"/>
      <c r="AN104" s="35"/>
      <c r="AO104" s="35"/>
      <c r="AP104" s="35"/>
      <c r="AQ104" s="35"/>
      <c r="AR104" s="35"/>
      <c r="AS104" s="35"/>
      <c r="AT104" s="35"/>
      <c r="AU104" s="35"/>
      <c r="AV104" s="35"/>
      <c r="AW104" s="35"/>
      <c r="AX104" s="35"/>
      <c r="AY104" s="35"/>
      <c r="AZ104" s="35"/>
      <c r="BA104" s="35"/>
      <c r="BB104" s="35"/>
      <c r="BC104" s="35"/>
      <c r="BD104" s="35"/>
      <c r="BE104" s="35"/>
      <c r="BF104" s="35"/>
      <c r="BG104" s="35"/>
      <c r="BH104" s="35"/>
      <c r="BI104" s="35"/>
      <c r="BJ104" s="35"/>
      <c r="BK104" s="35"/>
      <c r="BL104" s="35"/>
    </row>
    <row r="105" spans="1:64" ht="14">
      <c r="A105" s="35"/>
      <c r="B105" s="36"/>
      <c r="C105" s="39"/>
      <c r="D105" s="78"/>
      <c r="E105" s="78"/>
      <c r="F105" s="78"/>
      <c r="G105" s="229"/>
      <c r="H105" s="229"/>
      <c r="I105" s="40"/>
      <c r="J105" s="43" t="str">
        <f t="shared" si="2"/>
        <v/>
      </c>
      <c r="K105" s="79" t="str">
        <f t="shared" si="3"/>
        <v/>
      </c>
      <c r="L105" s="39"/>
      <c r="M105" s="35"/>
      <c r="N105" s="35"/>
      <c r="O105" s="35"/>
      <c r="P105" s="35"/>
      <c r="Q105" s="35"/>
      <c r="R105" s="35"/>
      <c r="S105" s="35"/>
      <c r="T105" s="35"/>
      <c r="U105" s="35"/>
      <c r="V105" s="35"/>
      <c r="W105" s="35"/>
      <c r="X105" s="35"/>
      <c r="Y105" s="35"/>
      <c r="Z105" s="35"/>
      <c r="AA105" s="35"/>
      <c r="AB105" s="35"/>
      <c r="AC105" s="35"/>
      <c r="AD105" s="35"/>
      <c r="AE105" s="35"/>
      <c r="AF105" s="35"/>
      <c r="AG105" s="35"/>
      <c r="AH105" s="35"/>
      <c r="AI105" s="35"/>
      <c r="AJ105" s="35"/>
      <c r="AK105" s="35"/>
      <c r="AL105" s="35"/>
      <c r="AM105" s="35"/>
      <c r="AN105" s="35"/>
      <c r="AO105" s="35"/>
      <c r="AP105" s="35"/>
      <c r="AQ105" s="35"/>
      <c r="AR105" s="35"/>
      <c r="AS105" s="35"/>
      <c r="AT105" s="35"/>
      <c r="AU105" s="35"/>
      <c r="AV105" s="35"/>
      <c r="AW105" s="35"/>
      <c r="AX105" s="35"/>
      <c r="AY105" s="35"/>
      <c r="AZ105" s="35"/>
      <c r="BA105" s="35"/>
      <c r="BB105" s="35"/>
      <c r="BC105" s="35"/>
      <c r="BD105" s="35"/>
      <c r="BE105" s="35"/>
      <c r="BF105" s="35"/>
      <c r="BG105" s="35"/>
      <c r="BH105" s="35"/>
      <c r="BI105" s="35"/>
      <c r="BJ105" s="35"/>
      <c r="BK105" s="35"/>
      <c r="BL105" s="35"/>
    </row>
    <row r="106" spans="1:64" ht="14">
      <c r="A106" s="35"/>
      <c r="B106" s="36"/>
      <c r="C106" s="39"/>
      <c r="D106" s="78"/>
      <c r="E106" s="78"/>
      <c r="F106" s="78"/>
      <c r="G106" s="229"/>
      <c r="H106" s="229"/>
      <c r="I106" s="40"/>
      <c r="J106" s="43" t="str">
        <f t="shared" si="2"/>
        <v/>
      </c>
      <c r="K106" s="79" t="str">
        <f t="shared" si="3"/>
        <v/>
      </c>
      <c r="L106" s="39"/>
      <c r="M106" s="35"/>
      <c r="N106" s="35"/>
      <c r="O106" s="35"/>
      <c r="P106" s="35"/>
      <c r="Q106" s="35"/>
      <c r="R106" s="35"/>
      <c r="S106" s="35"/>
      <c r="T106" s="35"/>
      <c r="U106" s="35"/>
      <c r="V106" s="35"/>
      <c r="W106" s="35"/>
      <c r="X106" s="35"/>
      <c r="Y106" s="35"/>
      <c r="Z106" s="35"/>
      <c r="AA106" s="35"/>
      <c r="AB106" s="35"/>
      <c r="AC106" s="35"/>
      <c r="AD106" s="35"/>
      <c r="AE106" s="35"/>
      <c r="AF106" s="35"/>
      <c r="AG106" s="35"/>
      <c r="AH106" s="35"/>
      <c r="AI106" s="35"/>
      <c r="AJ106" s="35"/>
      <c r="AK106" s="35"/>
      <c r="AL106" s="35"/>
      <c r="AM106" s="35"/>
      <c r="AN106" s="35"/>
      <c r="AO106" s="35"/>
      <c r="AP106" s="35"/>
      <c r="AQ106" s="35"/>
      <c r="AR106" s="35"/>
      <c r="AS106" s="35"/>
      <c r="AT106" s="35"/>
      <c r="AU106" s="35"/>
      <c r="AV106" s="35"/>
      <c r="AW106" s="35"/>
      <c r="AX106" s="35"/>
      <c r="AY106" s="35"/>
      <c r="AZ106" s="35"/>
      <c r="BA106" s="35"/>
      <c r="BB106" s="35"/>
      <c r="BC106" s="35"/>
      <c r="BD106" s="35"/>
      <c r="BE106" s="35"/>
      <c r="BF106" s="35"/>
      <c r="BG106" s="35"/>
      <c r="BH106" s="35"/>
      <c r="BI106" s="35"/>
      <c r="BJ106" s="35"/>
      <c r="BK106" s="35"/>
      <c r="BL106" s="35"/>
    </row>
    <row r="107" spans="1:64" ht="14">
      <c r="A107" s="35"/>
      <c r="B107" s="36"/>
      <c r="C107" s="39"/>
      <c r="D107" s="78"/>
      <c r="E107" s="78"/>
      <c r="F107" s="78"/>
      <c r="G107" s="229"/>
      <c r="H107" s="229"/>
      <c r="I107" s="40"/>
      <c r="J107" s="43" t="str">
        <f t="shared" si="2"/>
        <v/>
      </c>
      <c r="K107" s="79" t="str">
        <f t="shared" si="3"/>
        <v/>
      </c>
      <c r="L107" s="39"/>
      <c r="M107" s="35"/>
      <c r="N107" s="35"/>
      <c r="O107" s="35"/>
      <c r="P107" s="35"/>
      <c r="Q107" s="35"/>
      <c r="R107" s="35"/>
      <c r="S107" s="35"/>
      <c r="T107" s="35"/>
      <c r="U107" s="35"/>
      <c r="V107" s="35"/>
      <c r="W107" s="35"/>
      <c r="X107" s="35"/>
      <c r="Y107" s="35"/>
      <c r="Z107" s="35"/>
      <c r="AA107" s="35"/>
      <c r="AB107" s="35"/>
      <c r="AC107" s="35"/>
      <c r="AD107" s="35"/>
      <c r="AE107" s="35"/>
      <c r="AF107" s="35"/>
      <c r="AG107" s="35"/>
      <c r="AH107" s="35"/>
      <c r="AI107" s="35"/>
      <c r="AJ107" s="35"/>
      <c r="AK107" s="35"/>
      <c r="AL107" s="35"/>
      <c r="AM107" s="35"/>
      <c r="AN107" s="35"/>
      <c r="AO107" s="35"/>
      <c r="AP107" s="35"/>
      <c r="AQ107" s="35"/>
      <c r="AR107" s="35"/>
      <c r="AS107" s="35"/>
      <c r="AT107" s="35"/>
      <c r="AU107" s="35"/>
      <c r="AV107" s="35"/>
      <c r="AW107" s="35"/>
      <c r="AX107" s="35"/>
      <c r="AY107" s="35"/>
      <c r="AZ107" s="35"/>
      <c r="BA107" s="35"/>
      <c r="BB107" s="35"/>
      <c r="BC107" s="35"/>
      <c r="BD107" s="35"/>
      <c r="BE107" s="35"/>
      <c r="BF107" s="35"/>
      <c r="BG107" s="35"/>
      <c r="BH107" s="35"/>
      <c r="BI107" s="35"/>
      <c r="BJ107" s="35"/>
      <c r="BK107" s="35"/>
      <c r="BL107" s="35"/>
    </row>
    <row r="108" spans="1:64" ht="14">
      <c r="A108" s="35"/>
      <c r="B108" s="36"/>
      <c r="C108" s="39"/>
      <c r="D108" s="78"/>
      <c r="E108" s="78"/>
      <c r="F108" s="78"/>
      <c r="G108" s="229"/>
      <c r="H108" s="229"/>
      <c r="I108" s="40"/>
      <c r="J108" s="43" t="str">
        <f t="shared" si="2"/>
        <v/>
      </c>
      <c r="K108" s="79" t="str">
        <f t="shared" si="3"/>
        <v/>
      </c>
      <c r="L108" s="39"/>
      <c r="M108" s="35"/>
      <c r="N108" s="35"/>
      <c r="O108" s="35"/>
      <c r="P108" s="35"/>
      <c r="Q108" s="35"/>
      <c r="R108" s="35"/>
      <c r="S108" s="35"/>
      <c r="T108" s="35"/>
      <c r="U108" s="35"/>
      <c r="V108" s="35"/>
      <c r="W108" s="35"/>
      <c r="X108" s="35"/>
      <c r="Y108" s="35"/>
      <c r="Z108" s="35"/>
      <c r="AA108" s="35"/>
      <c r="AB108" s="35"/>
      <c r="AC108" s="35"/>
      <c r="AD108" s="35"/>
      <c r="AE108" s="35"/>
      <c r="AF108" s="35"/>
      <c r="AG108" s="35"/>
      <c r="AH108" s="35"/>
      <c r="AI108" s="35"/>
      <c r="AJ108" s="35"/>
      <c r="AK108" s="35"/>
      <c r="AL108" s="35"/>
      <c r="AM108" s="35"/>
      <c r="AN108" s="35"/>
      <c r="AO108" s="35"/>
      <c r="AP108" s="35"/>
      <c r="AQ108" s="35"/>
      <c r="AR108" s="35"/>
      <c r="AS108" s="35"/>
      <c r="AT108" s="35"/>
      <c r="AU108" s="35"/>
      <c r="AV108" s="35"/>
      <c r="AW108" s="35"/>
      <c r="AX108" s="35"/>
      <c r="AY108" s="35"/>
      <c r="AZ108" s="35"/>
      <c r="BA108" s="35"/>
      <c r="BB108" s="35"/>
      <c r="BC108" s="35"/>
      <c r="BD108" s="35"/>
      <c r="BE108" s="35"/>
      <c r="BF108" s="35"/>
      <c r="BG108" s="35"/>
      <c r="BH108" s="35"/>
      <c r="BI108" s="35"/>
      <c r="BJ108" s="35"/>
      <c r="BK108" s="35"/>
      <c r="BL108" s="35"/>
    </row>
    <row r="109" spans="1:64" ht="14">
      <c r="A109" s="35"/>
      <c r="B109" s="36"/>
      <c r="C109" s="39"/>
      <c r="D109" s="78"/>
      <c r="E109" s="78"/>
      <c r="F109" s="78"/>
      <c r="G109" s="229"/>
      <c r="H109" s="229"/>
      <c r="I109" s="40"/>
      <c r="J109" s="43" t="str">
        <f t="shared" si="2"/>
        <v/>
      </c>
      <c r="K109" s="79" t="str">
        <f t="shared" si="3"/>
        <v/>
      </c>
      <c r="L109" s="39"/>
      <c r="M109" s="35"/>
      <c r="N109" s="35"/>
      <c r="O109" s="35"/>
      <c r="P109" s="35"/>
      <c r="Q109" s="35"/>
      <c r="R109" s="35"/>
      <c r="S109" s="35"/>
      <c r="T109" s="35"/>
      <c r="U109" s="35"/>
      <c r="V109" s="35"/>
      <c r="W109" s="35"/>
      <c r="X109" s="35"/>
      <c r="Y109" s="35"/>
      <c r="Z109" s="35"/>
      <c r="AA109" s="35"/>
      <c r="AB109" s="35"/>
      <c r="AC109" s="35"/>
      <c r="AD109" s="35"/>
      <c r="AE109" s="35"/>
      <c r="AF109" s="35"/>
      <c r="AG109" s="35"/>
      <c r="AH109" s="35"/>
      <c r="AI109" s="35"/>
      <c r="AJ109" s="35"/>
      <c r="AK109" s="35"/>
      <c r="AL109" s="35"/>
      <c r="AM109" s="35"/>
      <c r="AN109" s="35"/>
      <c r="AO109" s="35"/>
      <c r="AP109" s="35"/>
      <c r="AQ109" s="35"/>
      <c r="AR109" s="35"/>
      <c r="AS109" s="35"/>
      <c r="AT109" s="35"/>
      <c r="AU109" s="35"/>
      <c r="AV109" s="35"/>
      <c r="AW109" s="35"/>
      <c r="AX109" s="35"/>
      <c r="AY109" s="35"/>
      <c r="AZ109" s="35"/>
      <c r="BA109" s="35"/>
      <c r="BB109" s="35"/>
      <c r="BC109" s="35"/>
      <c r="BD109" s="35"/>
      <c r="BE109" s="35"/>
      <c r="BF109" s="35"/>
      <c r="BG109" s="35"/>
      <c r="BH109" s="35"/>
      <c r="BI109" s="35"/>
      <c r="BJ109" s="35"/>
      <c r="BK109" s="35"/>
      <c r="BL109" s="35"/>
    </row>
    <row r="110" spans="1:64" ht="13.75" customHeight="1">
      <c r="A110" s="35"/>
      <c r="B110" s="36"/>
      <c r="C110" s="39"/>
      <c r="D110" s="78"/>
      <c r="E110" s="78"/>
      <c r="F110" s="78"/>
      <c r="G110" s="229" t="s">
        <v>86</v>
      </c>
      <c r="H110" s="229"/>
      <c r="I110" s="40"/>
      <c r="J110" s="43" t="str">
        <f t="shared" si="2"/>
        <v/>
      </c>
      <c r="K110" s="79" t="str">
        <f t="shared" si="3"/>
        <v/>
      </c>
      <c r="L110" s="39"/>
      <c r="M110" s="35"/>
      <c r="N110" s="35"/>
      <c r="O110" s="35"/>
      <c r="P110" s="35"/>
      <c r="Q110" s="35"/>
      <c r="R110" s="35"/>
      <c r="S110" s="35"/>
      <c r="T110" s="35"/>
      <c r="U110" s="35"/>
      <c r="V110" s="35"/>
      <c r="W110" s="35"/>
      <c r="X110" s="35"/>
      <c r="Y110" s="35"/>
      <c r="Z110" s="35"/>
      <c r="AA110" s="35"/>
      <c r="AB110" s="35"/>
      <c r="AC110" s="35"/>
      <c r="AD110" s="35"/>
      <c r="AE110" s="35"/>
      <c r="AF110" s="35"/>
      <c r="AG110" s="35"/>
      <c r="AH110" s="35"/>
      <c r="AI110" s="35"/>
      <c r="AJ110" s="35"/>
      <c r="AK110" s="35"/>
      <c r="AL110" s="35"/>
      <c r="AM110" s="35"/>
      <c r="AN110" s="35"/>
      <c r="AO110" s="35"/>
      <c r="AP110" s="35"/>
      <c r="AQ110" s="35"/>
      <c r="AR110" s="35"/>
      <c r="AS110" s="35"/>
      <c r="AT110" s="35"/>
      <c r="AU110" s="35"/>
      <c r="AV110" s="35"/>
      <c r="AW110" s="35"/>
      <c r="AX110" s="35"/>
      <c r="AY110" s="35"/>
      <c r="AZ110" s="35"/>
      <c r="BA110" s="35"/>
      <c r="BB110" s="35"/>
      <c r="BC110" s="35"/>
      <c r="BD110" s="35"/>
      <c r="BE110" s="35"/>
      <c r="BF110" s="35"/>
      <c r="BG110" s="35"/>
      <c r="BH110" s="35"/>
      <c r="BI110" s="35"/>
      <c r="BJ110" s="35"/>
      <c r="BK110" s="35"/>
      <c r="BL110" s="35"/>
    </row>
    <row r="111" spans="1:64" ht="14">
      <c r="A111" s="35"/>
      <c r="B111" s="36"/>
      <c r="C111" s="39"/>
      <c r="D111" s="78"/>
      <c r="E111" s="78"/>
      <c r="F111" s="78"/>
      <c r="G111" s="229"/>
      <c r="H111" s="229"/>
      <c r="I111" s="40"/>
      <c r="J111" s="43" t="str">
        <f t="shared" si="2"/>
        <v/>
      </c>
      <c r="K111" s="79" t="str">
        <f t="shared" si="3"/>
        <v/>
      </c>
      <c r="L111" s="39"/>
      <c r="M111" s="35"/>
      <c r="N111" s="35"/>
      <c r="O111" s="35"/>
      <c r="P111" s="35"/>
      <c r="Q111" s="35"/>
      <c r="R111" s="35"/>
      <c r="S111" s="35"/>
      <c r="T111" s="35"/>
      <c r="U111" s="35"/>
      <c r="V111" s="35"/>
      <c r="W111" s="35"/>
      <c r="X111" s="35"/>
      <c r="Y111" s="35"/>
      <c r="Z111" s="35"/>
      <c r="AA111" s="35"/>
      <c r="AB111" s="35"/>
      <c r="AC111" s="35"/>
      <c r="AD111" s="35"/>
      <c r="AE111" s="35"/>
      <c r="AF111" s="35"/>
      <c r="AG111" s="35"/>
      <c r="AH111" s="35"/>
      <c r="AI111" s="35"/>
      <c r="AJ111" s="35"/>
      <c r="AK111" s="35"/>
      <c r="AL111" s="35"/>
      <c r="AM111" s="35"/>
      <c r="AN111" s="35"/>
      <c r="AO111" s="35"/>
      <c r="AP111" s="35"/>
      <c r="AQ111" s="35"/>
      <c r="AR111" s="35"/>
      <c r="AS111" s="35"/>
      <c r="AT111" s="35"/>
      <c r="AU111" s="35"/>
      <c r="AV111" s="35"/>
      <c r="AW111" s="35"/>
      <c r="AX111" s="35"/>
      <c r="AY111" s="35"/>
      <c r="AZ111" s="35"/>
      <c r="BA111" s="35"/>
      <c r="BB111" s="35"/>
      <c r="BC111" s="35"/>
      <c r="BD111" s="35"/>
      <c r="BE111" s="35"/>
      <c r="BF111" s="35"/>
      <c r="BG111" s="35"/>
      <c r="BH111" s="35"/>
      <c r="BI111" s="35"/>
      <c r="BJ111" s="35"/>
      <c r="BK111" s="35"/>
      <c r="BL111" s="35"/>
    </row>
    <row r="112" spans="1:64" ht="14">
      <c r="A112" s="35"/>
      <c r="B112" s="36"/>
      <c r="C112" s="39"/>
      <c r="D112" s="78"/>
      <c r="E112" s="78"/>
      <c r="F112" s="78"/>
      <c r="G112" s="229"/>
      <c r="H112" s="229"/>
      <c r="I112" s="40"/>
      <c r="J112" s="43" t="str">
        <f t="shared" si="2"/>
        <v/>
      </c>
      <c r="K112" s="79" t="str">
        <f t="shared" si="3"/>
        <v/>
      </c>
      <c r="L112" s="39"/>
      <c r="M112" s="35"/>
      <c r="N112" s="35"/>
      <c r="O112" s="35"/>
      <c r="P112" s="35"/>
      <c r="Q112" s="35"/>
      <c r="R112" s="35"/>
      <c r="S112" s="35"/>
      <c r="T112" s="35"/>
      <c r="U112" s="35"/>
      <c r="V112" s="35"/>
      <c r="W112" s="35"/>
      <c r="X112" s="35"/>
      <c r="Y112" s="35"/>
      <c r="Z112" s="35"/>
      <c r="AA112" s="35"/>
      <c r="AB112" s="35"/>
      <c r="AC112" s="35"/>
      <c r="AD112" s="35"/>
      <c r="AE112" s="35"/>
      <c r="AF112" s="35"/>
      <c r="AG112" s="35"/>
      <c r="AH112" s="35"/>
      <c r="AI112" s="35"/>
      <c r="AJ112" s="35"/>
      <c r="AK112" s="35"/>
      <c r="AL112" s="35"/>
      <c r="AM112" s="35"/>
      <c r="AN112" s="35"/>
      <c r="AO112" s="35"/>
      <c r="AP112" s="35"/>
      <c r="AQ112" s="35"/>
      <c r="AR112" s="35"/>
      <c r="AS112" s="35"/>
      <c r="AT112" s="35"/>
      <c r="AU112" s="35"/>
      <c r="AV112" s="35"/>
      <c r="AW112" s="35"/>
      <c r="AX112" s="35"/>
      <c r="AY112" s="35"/>
      <c r="AZ112" s="35"/>
      <c r="BA112" s="35"/>
      <c r="BB112" s="35"/>
      <c r="BC112" s="35"/>
      <c r="BD112" s="35"/>
      <c r="BE112" s="35"/>
      <c r="BF112" s="35"/>
      <c r="BG112" s="35"/>
      <c r="BH112" s="35"/>
      <c r="BI112" s="35"/>
      <c r="BJ112" s="35"/>
      <c r="BK112" s="35"/>
      <c r="BL112" s="35"/>
    </row>
    <row r="113" spans="1:64" ht="14">
      <c r="A113" s="35"/>
      <c r="B113" s="36"/>
      <c r="C113" s="39"/>
      <c r="D113" s="78"/>
      <c r="E113" s="78"/>
      <c r="F113" s="78"/>
      <c r="G113" s="229"/>
      <c r="H113" s="229"/>
      <c r="I113" s="40"/>
      <c r="J113" s="43" t="str">
        <f t="shared" si="2"/>
        <v/>
      </c>
      <c r="K113" s="79" t="str">
        <f t="shared" si="3"/>
        <v/>
      </c>
      <c r="L113" s="39"/>
      <c r="M113" s="35"/>
      <c r="N113" s="35"/>
      <c r="O113" s="35"/>
      <c r="P113" s="35"/>
      <c r="Q113" s="35"/>
      <c r="R113" s="35"/>
      <c r="S113" s="35"/>
      <c r="T113" s="35"/>
      <c r="U113" s="35"/>
      <c r="V113" s="35"/>
      <c r="W113" s="35"/>
      <c r="X113" s="35"/>
      <c r="Y113" s="35"/>
      <c r="Z113" s="35"/>
      <c r="AA113" s="35"/>
      <c r="AB113" s="35"/>
      <c r="AC113" s="35"/>
      <c r="AD113" s="35"/>
      <c r="AE113" s="35"/>
      <c r="AF113" s="35"/>
      <c r="AG113" s="35"/>
      <c r="AH113" s="35"/>
      <c r="AI113" s="35"/>
      <c r="AJ113" s="35"/>
      <c r="AK113" s="35"/>
      <c r="AL113" s="35"/>
      <c r="AM113" s="35"/>
      <c r="AN113" s="35"/>
      <c r="AO113" s="35"/>
      <c r="AP113" s="35"/>
      <c r="AQ113" s="35"/>
      <c r="AR113" s="35"/>
      <c r="AS113" s="35"/>
      <c r="AT113" s="35"/>
      <c r="AU113" s="35"/>
      <c r="AV113" s="35"/>
      <c r="AW113" s="35"/>
      <c r="AX113" s="35"/>
      <c r="AY113" s="35"/>
      <c r="AZ113" s="35"/>
      <c r="BA113" s="35"/>
      <c r="BB113" s="35"/>
      <c r="BC113" s="35"/>
      <c r="BD113" s="35"/>
      <c r="BE113" s="35"/>
      <c r="BF113" s="35"/>
      <c r="BG113" s="35"/>
      <c r="BH113" s="35"/>
      <c r="BI113" s="35"/>
      <c r="BJ113" s="35"/>
      <c r="BK113" s="35"/>
      <c r="BL113" s="35"/>
    </row>
    <row r="114" spans="1:64" ht="14">
      <c r="A114" s="35"/>
      <c r="B114" s="36"/>
      <c r="C114" s="39"/>
      <c r="D114" s="78"/>
      <c r="E114" s="78"/>
      <c r="F114" s="78"/>
      <c r="G114" s="229"/>
      <c r="H114" s="229"/>
      <c r="I114" s="40"/>
      <c r="J114" s="43" t="str">
        <f t="shared" si="2"/>
        <v/>
      </c>
      <c r="K114" s="79" t="str">
        <f t="shared" si="3"/>
        <v/>
      </c>
      <c r="L114" s="39"/>
      <c r="M114" s="35"/>
      <c r="N114" s="35"/>
      <c r="O114" s="35"/>
      <c r="P114" s="35"/>
      <c r="Q114" s="35"/>
      <c r="R114" s="35"/>
      <c r="S114" s="35"/>
      <c r="T114" s="35"/>
      <c r="U114" s="35"/>
      <c r="V114" s="35"/>
      <c r="W114" s="35"/>
      <c r="X114" s="35"/>
      <c r="Y114" s="35"/>
      <c r="Z114" s="35"/>
      <c r="AA114" s="35"/>
      <c r="AB114" s="35"/>
      <c r="AC114" s="35"/>
      <c r="AD114" s="35"/>
      <c r="AE114" s="35"/>
      <c r="AF114" s="35"/>
      <c r="AG114" s="35"/>
      <c r="AH114" s="35"/>
      <c r="AI114" s="35"/>
      <c r="AJ114" s="35"/>
      <c r="AK114" s="35"/>
      <c r="AL114" s="35"/>
      <c r="AM114" s="35"/>
      <c r="AN114" s="35"/>
      <c r="AO114" s="35"/>
      <c r="AP114" s="35"/>
      <c r="AQ114" s="35"/>
      <c r="AR114" s="35"/>
      <c r="AS114" s="35"/>
      <c r="AT114" s="35"/>
      <c r="AU114" s="35"/>
      <c r="AV114" s="35"/>
      <c r="AW114" s="35"/>
      <c r="AX114" s="35"/>
      <c r="AY114" s="35"/>
      <c r="AZ114" s="35"/>
      <c r="BA114" s="35"/>
      <c r="BB114" s="35"/>
      <c r="BC114" s="35"/>
      <c r="BD114" s="35"/>
      <c r="BE114" s="35"/>
      <c r="BF114" s="35"/>
      <c r="BG114" s="35"/>
      <c r="BH114" s="35"/>
      <c r="BI114" s="35"/>
      <c r="BJ114" s="35"/>
      <c r="BK114" s="35"/>
      <c r="BL114" s="35"/>
    </row>
    <row r="115" spans="1:64" ht="14">
      <c r="A115" s="35"/>
      <c r="B115" s="36"/>
      <c r="C115" s="39"/>
      <c r="D115" s="78"/>
      <c r="E115" s="78"/>
      <c r="F115" s="78"/>
      <c r="G115" s="229"/>
      <c r="H115" s="229"/>
      <c r="I115" s="40"/>
      <c r="J115" s="43" t="str">
        <f t="shared" si="2"/>
        <v/>
      </c>
      <c r="K115" s="79" t="str">
        <f t="shared" si="3"/>
        <v/>
      </c>
      <c r="L115" s="39"/>
      <c r="M115" s="35"/>
      <c r="N115" s="35"/>
      <c r="O115" s="35"/>
      <c r="P115" s="35"/>
      <c r="Q115" s="35"/>
      <c r="R115" s="35"/>
      <c r="S115" s="35"/>
      <c r="T115" s="35"/>
      <c r="U115" s="35"/>
      <c r="V115" s="35"/>
      <c r="W115" s="35"/>
      <c r="X115" s="35"/>
      <c r="Y115" s="35"/>
      <c r="Z115" s="35"/>
      <c r="AA115" s="35"/>
      <c r="AB115" s="35"/>
      <c r="AC115" s="35"/>
      <c r="AD115" s="35"/>
      <c r="AE115" s="35"/>
      <c r="AF115" s="35"/>
      <c r="AG115" s="35"/>
      <c r="AH115" s="35"/>
      <c r="AI115" s="35"/>
      <c r="AJ115" s="35"/>
      <c r="AK115" s="35"/>
      <c r="AL115" s="35"/>
      <c r="AM115" s="35"/>
      <c r="AN115" s="35"/>
      <c r="AO115" s="35"/>
      <c r="AP115" s="35"/>
      <c r="AQ115" s="35"/>
      <c r="AR115" s="35"/>
      <c r="AS115" s="35"/>
      <c r="AT115" s="35"/>
      <c r="AU115" s="35"/>
      <c r="AV115" s="35"/>
      <c r="AW115" s="35"/>
      <c r="AX115" s="35"/>
      <c r="AY115" s="35"/>
      <c r="AZ115" s="35"/>
      <c r="BA115" s="35"/>
      <c r="BB115" s="35"/>
      <c r="BC115" s="35"/>
      <c r="BD115" s="35"/>
      <c r="BE115" s="35"/>
      <c r="BF115" s="35"/>
      <c r="BG115" s="35"/>
      <c r="BH115" s="35"/>
      <c r="BI115" s="35"/>
      <c r="BJ115" s="35"/>
      <c r="BK115" s="35"/>
      <c r="BL115" s="35"/>
    </row>
    <row r="116" spans="1:64" ht="14">
      <c r="A116" s="35"/>
      <c r="B116" s="36"/>
      <c r="C116" s="39"/>
      <c r="D116" s="78"/>
      <c r="E116" s="78"/>
      <c r="F116" s="78"/>
      <c r="G116" s="229"/>
      <c r="H116" s="229"/>
      <c r="I116" s="40"/>
      <c r="J116" s="43" t="str">
        <f t="shared" si="2"/>
        <v/>
      </c>
      <c r="K116" s="79" t="str">
        <f t="shared" si="3"/>
        <v/>
      </c>
      <c r="L116" s="39"/>
      <c r="M116" s="35"/>
      <c r="N116" s="35"/>
      <c r="O116" s="35"/>
      <c r="P116" s="35"/>
      <c r="Q116" s="35"/>
      <c r="R116" s="35"/>
      <c r="S116" s="35"/>
      <c r="T116" s="35"/>
      <c r="U116" s="35"/>
      <c r="V116" s="35"/>
      <c r="W116" s="35"/>
      <c r="X116" s="35"/>
      <c r="Y116" s="35"/>
      <c r="Z116" s="35"/>
      <c r="AA116" s="35"/>
      <c r="AB116" s="35"/>
      <c r="AC116" s="35"/>
      <c r="AD116" s="35"/>
      <c r="AE116" s="35"/>
      <c r="AF116" s="35"/>
      <c r="AG116" s="35"/>
      <c r="AH116" s="35"/>
      <c r="AI116" s="35"/>
      <c r="AJ116" s="35"/>
      <c r="AK116" s="35"/>
      <c r="AL116" s="35"/>
      <c r="AM116" s="35"/>
      <c r="AN116" s="35"/>
      <c r="AO116" s="35"/>
      <c r="AP116" s="35"/>
      <c r="AQ116" s="35"/>
      <c r="AR116" s="35"/>
      <c r="AS116" s="35"/>
      <c r="AT116" s="35"/>
      <c r="AU116" s="35"/>
      <c r="AV116" s="35"/>
      <c r="AW116" s="35"/>
      <c r="AX116" s="35"/>
      <c r="AY116" s="35"/>
      <c r="AZ116" s="35"/>
      <c r="BA116" s="35"/>
      <c r="BB116" s="35"/>
      <c r="BC116" s="35"/>
      <c r="BD116" s="35"/>
      <c r="BE116" s="35"/>
      <c r="BF116" s="35"/>
      <c r="BG116" s="35"/>
      <c r="BH116" s="35"/>
      <c r="BI116" s="35"/>
      <c r="BJ116" s="35"/>
      <c r="BK116" s="35"/>
      <c r="BL116" s="35"/>
    </row>
    <row r="117" spans="1:64" ht="14">
      <c r="A117" s="35"/>
      <c r="B117" s="36"/>
      <c r="C117" s="39"/>
      <c r="D117" s="78"/>
      <c r="E117" s="78"/>
      <c r="F117" s="78"/>
      <c r="G117" s="229"/>
      <c r="H117" s="229"/>
      <c r="I117" s="40"/>
      <c r="J117" s="43" t="str">
        <f t="shared" si="2"/>
        <v/>
      </c>
      <c r="K117" s="79" t="str">
        <f t="shared" si="3"/>
        <v/>
      </c>
      <c r="L117" s="39"/>
      <c r="M117" s="35"/>
      <c r="N117" s="35"/>
      <c r="O117" s="35"/>
      <c r="P117" s="35"/>
      <c r="Q117" s="35"/>
      <c r="R117" s="35"/>
      <c r="S117" s="35"/>
      <c r="T117" s="35"/>
      <c r="U117" s="35"/>
      <c r="V117" s="35"/>
      <c r="W117" s="35"/>
      <c r="X117" s="35"/>
      <c r="Y117" s="35"/>
      <c r="Z117" s="35"/>
      <c r="AA117" s="35"/>
      <c r="AB117" s="35"/>
      <c r="AC117" s="35"/>
      <c r="AD117" s="35"/>
      <c r="AE117" s="35"/>
      <c r="AF117" s="35"/>
      <c r="AG117" s="35"/>
      <c r="AH117" s="35"/>
      <c r="AI117" s="35"/>
      <c r="AJ117" s="35"/>
      <c r="AK117" s="35"/>
      <c r="AL117" s="35"/>
      <c r="AM117" s="35"/>
      <c r="AN117" s="35"/>
      <c r="AO117" s="35"/>
      <c r="AP117" s="35"/>
      <c r="AQ117" s="35"/>
      <c r="AR117" s="35"/>
      <c r="AS117" s="35"/>
      <c r="AT117" s="35"/>
      <c r="AU117" s="35"/>
      <c r="AV117" s="35"/>
      <c r="AW117" s="35"/>
      <c r="AX117" s="35"/>
      <c r="AY117" s="35"/>
      <c r="AZ117" s="35"/>
      <c r="BA117" s="35"/>
      <c r="BB117" s="35"/>
      <c r="BC117" s="35"/>
      <c r="BD117" s="35"/>
      <c r="BE117" s="35"/>
      <c r="BF117" s="35"/>
      <c r="BG117" s="35"/>
      <c r="BH117" s="35"/>
      <c r="BI117" s="35"/>
      <c r="BJ117" s="35"/>
      <c r="BK117" s="35"/>
      <c r="BL117" s="35"/>
    </row>
    <row r="118" spans="1:64" ht="14">
      <c r="A118" s="35"/>
      <c r="B118" s="36"/>
      <c r="C118" s="39"/>
      <c r="D118" s="78"/>
      <c r="E118" s="78"/>
      <c r="F118" s="78"/>
      <c r="G118" s="229"/>
      <c r="H118" s="229"/>
      <c r="I118" s="40"/>
      <c r="J118" s="43" t="str">
        <f t="shared" si="2"/>
        <v/>
      </c>
      <c r="K118" s="79" t="str">
        <f t="shared" si="3"/>
        <v/>
      </c>
      <c r="L118" s="39"/>
      <c r="M118" s="35"/>
      <c r="N118" s="35"/>
      <c r="O118" s="35"/>
      <c r="P118" s="35"/>
      <c r="Q118" s="35"/>
      <c r="R118" s="35"/>
      <c r="S118" s="35"/>
      <c r="T118" s="35"/>
      <c r="U118" s="35"/>
      <c r="V118" s="35"/>
      <c r="W118" s="35"/>
      <c r="X118" s="35"/>
      <c r="Y118" s="35"/>
      <c r="Z118" s="35"/>
      <c r="AA118" s="35"/>
      <c r="AB118" s="35"/>
      <c r="AC118" s="35"/>
      <c r="AD118" s="35"/>
      <c r="AE118" s="35"/>
      <c r="AF118" s="35"/>
      <c r="AG118" s="35"/>
      <c r="AH118" s="35"/>
      <c r="AI118" s="35"/>
      <c r="AJ118" s="35"/>
      <c r="AK118" s="35"/>
      <c r="AL118" s="35"/>
      <c r="AM118" s="35"/>
      <c r="AN118" s="35"/>
      <c r="AO118" s="35"/>
      <c r="AP118" s="35"/>
      <c r="AQ118" s="35"/>
      <c r="AR118" s="35"/>
      <c r="AS118" s="35"/>
      <c r="AT118" s="35"/>
      <c r="AU118" s="35"/>
      <c r="AV118" s="35"/>
      <c r="AW118" s="35"/>
      <c r="AX118" s="35"/>
      <c r="AY118" s="35"/>
      <c r="AZ118" s="35"/>
      <c r="BA118" s="35"/>
      <c r="BB118" s="35"/>
      <c r="BC118" s="35"/>
      <c r="BD118" s="35"/>
      <c r="BE118" s="35"/>
      <c r="BF118" s="35"/>
      <c r="BG118" s="35"/>
      <c r="BH118" s="35"/>
      <c r="BI118" s="35"/>
      <c r="BJ118" s="35"/>
      <c r="BK118" s="35"/>
      <c r="BL118" s="35"/>
    </row>
    <row r="119" spans="1:64" ht="14">
      <c r="A119" s="35"/>
      <c r="B119" s="36"/>
      <c r="C119" s="39"/>
      <c r="D119" s="78"/>
      <c r="E119" s="78"/>
      <c r="F119" s="78"/>
      <c r="G119" s="229"/>
      <c r="H119" s="229"/>
      <c r="I119" s="40"/>
      <c r="J119" s="43" t="str">
        <f t="shared" si="2"/>
        <v/>
      </c>
      <c r="K119" s="79" t="str">
        <f t="shared" si="3"/>
        <v/>
      </c>
      <c r="L119" s="39"/>
      <c r="M119" s="35"/>
      <c r="N119" s="35"/>
      <c r="O119" s="35"/>
      <c r="P119" s="35"/>
      <c r="Q119" s="35"/>
      <c r="R119" s="35"/>
      <c r="S119" s="35"/>
      <c r="T119" s="35"/>
      <c r="U119" s="35"/>
      <c r="V119" s="35"/>
      <c r="W119" s="35"/>
      <c r="X119" s="35"/>
      <c r="Y119" s="35"/>
      <c r="Z119" s="35"/>
      <c r="AA119" s="35"/>
      <c r="AB119" s="35"/>
      <c r="AC119" s="35"/>
      <c r="AD119" s="35"/>
      <c r="AE119" s="35"/>
      <c r="AF119" s="35"/>
      <c r="AG119" s="35"/>
      <c r="AH119" s="35"/>
      <c r="AI119" s="35"/>
      <c r="AJ119" s="35"/>
      <c r="AK119" s="35"/>
      <c r="AL119" s="35"/>
      <c r="AM119" s="35"/>
      <c r="AN119" s="35"/>
      <c r="AO119" s="35"/>
      <c r="AP119" s="35"/>
      <c r="AQ119" s="35"/>
      <c r="AR119" s="35"/>
      <c r="AS119" s="35"/>
      <c r="AT119" s="35"/>
      <c r="AU119" s="35"/>
      <c r="AV119" s="35"/>
      <c r="AW119" s="35"/>
      <c r="AX119" s="35"/>
      <c r="AY119" s="35"/>
      <c r="AZ119" s="35"/>
      <c r="BA119" s="35"/>
      <c r="BB119" s="35"/>
      <c r="BC119" s="35"/>
      <c r="BD119" s="35"/>
      <c r="BE119" s="35"/>
      <c r="BF119" s="35"/>
      <c r="BG119" s="35"/>
      <c r="BH119" s="35"/>
      <c r="BI119" s="35"/>
      <c r="BJ119" s="35"/>
      <c r="BK119" s="35"/>
      <c r="BL119" s="35"/>
    </row>
    <row r="120" spans="1:64" ht="14">
      <c r="A120" s="35"/>
      <c r="B120" s="36"/>
      <c r="C120" s="39"/>
      <c r="D120" s="78"/>
      <c r="E120" s="78"/>
      <c r="F120" s="78"/>
      <c r="G120" s="229"/>
      <c r="H120" s="229"/>
      <c r="I120" s="40"/>
      <c r="J120" s="43" t="str">
        <f t="shared" si="2"/>
        <v/>
      </c>
      <c r="K120" s="79" t="str">
        <f t="shared" si="3"/>
        <v/>
      </c>
      <c r="L120" s="39"/>
      <c r="M120" s="35"/>
      <c r="N120" s="35"/>
      <c r="O120" s="35"/>
      <c r="P120" s="35"/>
      <c r="Q120" s="35"/>
      <c r="R120" s="35"/>
      <c r="S120" s="35"/>
      <c r="T120" s="35"/>
      <c r="U120" s="35"/>
      <c r="V120" s="35"/>
      <c r="W120" s="35"/>
      <c r="X120" s="35"/>
      <c r="Y120" s="35"/>
      <c r="Z120" s="35"/>
      <c r="AA120" s="35"/>
      <c r="AB120" s="35"/>
      <c r="AC120" s="35"/>
      <c r="AD120" s="35"/>
      <c r="AE120" s="35"/>
      <c r="AF120" s="35"/>
      <c r="AG120" s="35"/>
      <c r="AH120" s="35"/>
      <c r="AI120" s="35"/>
      <c r="AJ120" s="35"/>
      <c r="AK120" s="35"/>
      <c r="AL120" s="35"/>
      <c r="AM120" s="35"/>
      <c r="AN120" s="35"/>
      <c r="AO120" s="35"/>
      <c r="AP120" s="35"/>
      <c r="AQ120" s="35"/>
      <c r="AR120" s="35"/>
      <c r="AS120" s="35"/>
      <c r="AT120" s="35"/>
      <c r="AU120" s="35"/>
      <c r="AV120" s="35"/>
      <c r="AW120" s="35"/>
      <c r="AX120" s="35"/>
      <c r="AY120" s="35"/>
      <c r="AZ120" s="35"/>
      <c r="BA120" s="35"/>
      <c r="BB120" s="35"/>
      <c r="BC120" s="35"/>
      <c r="BD120" s="35"/>
      <c r="BE120" s="35"/>
      <c r="BF120" s="35"/>
      <c r="BG120" s="35"/>
      <c r="BH120" s="35"/>
      <c r="BI120" s="35"/>
      <c r="BJ120" s="35"/>
      <c r="BK120" s="35"/>
      <c r="BL120" s="35"/>
    </row>
    <row r="121" spans="1:64" ht="14">
      <c r="A121" s="35"/>
      <c r="B121" s="36"/>
      <c r="C121" s="39"/>
      <c r="D121" s="78"/>
      <c r="E121" s="78"/>
      <c r="F121" s="78"/>
      <c r="G121" s="229"/>
      <c r="H121" s="229"/>
      <c r="I121" s="40"/>
      <c r="J121" s="43" t="str">
        <f t="shared" si="2"/>
        <v/>
      </c>
      <c r="K121" s="79" t="str">
        <f t="shared" si="3"/>
        <v/>
      </c>
      <c r="L121" s="39"/>
      <c r="M121" s="35"/>
      <c r="N121" s="35"/>
      <c r="O121" s="35"/>
      <c r="P121" s="35"/>
      <c r="Q121" s="35"/>
      <c r="R121" s="35"/>
      <c r="S121" s="35"/>
      <c r="T121" s="35"/>
      <c r="U121" s="35"/>
      <c r="V121" s="35"/>
      <c r="W121" s="35"/>
      <c r="X121" s="35"/>
      <c r="Y121" s="35"/>
      <c r="Z121" s="35"/>
      <c r="AA121" s="35"/>
      <c r="AB121" s="35"/>
      <c r="AC121" s="35"/>
      <c r="AD121" s="35"/>
      <c r="AE121" s="35"/>
      <c r="AF121" s="35"/>
      <c r="AG121" s="35"/>
      <c r="AH121" s="35"/>
      <c r="AI121" s="35"/>
      <c r="AJ121" s="35"/>
      <c r="AK121" s="35"/>
      <c r="AL121" s="35"/>
      <c r="AM121" s="35"/>
      <c r="AN121" s="35"/>
      <c r="AO121" s="35"/>
      <c r="AP121" s="35"/>
      <c r="AQ121" s="35"/>
      <c r="AR121" s="35"/>
      <c r="AS121" s="35"/>
      <c r="AT121" s="35"/>
      <c r="AU121" s="35"/>
      <c r="AV121" s="35"/>
      <c r="AW121" s="35"/>
      <c r="AX121" s="35"/>
      <c r="AY121" s="35"/>
      <c r="AZ121" s="35"/>
      <c r="BA121" s="35"/>
      <c r="BB121" s="35"/>
      <c r="BC121" s="35"/>
      <c r="BD121" s="35"/>
      <c r="BE121" s="35"/>
      <c r="BF121" s="35"/>
      <c r="BG121" s="35"/>
      <c r="BH121" s="35"/>
      <c r="BI121" s="35"/>
      <c r="BJ121" s="35"/>
      <c r="BK121" s="35"/>
      <c r="BL121" s="35"/>
    </row>
    <row r="122" spans="1:64" ht="14">
      <c r="A122" s="35"/>
      <c r="B122" s="36"/>
      <c r="C122" s="39"/>
      <c r="D122" s="78"/>
      <c r="E122" s="78"/>
      <c r="F122" s="78"/>
      <c r="G122" s="229"/>
      <c r="H122" s="229"/>
      <c r="I122" s="40"/>
      <c r="J122" s="43" t="str">
        <f t="shared" si="2"/>
        <v/>
      </c>
      <c r="K122" s="79" t="str">
        <f t="shared" si="3"/>
        <v/>
      </c>
      <c r="L122" s="39"/>
      <c r="M122" s="35"/>
      <c r="N122" s="35"/>
      <c r="O122" s="35"/>
      <c r="P122" s="35"/>
      <c r="Q122" s="35"/>
      <c r="R122" s="35"/>
      <c r="S122" s="35"/>
      <c r="T122" s="35"/>
      <c r="U122" s="35"/>
      <c r="V122" s="35"/>
      <c r="W122" s="35"/>
      <c r="X122" s="35"/>
      <c r="Y122" s="35"/>
      <c r="Z122" s="35"/>
      <c r="AA122" s="35"/>
      <c r="AB122" s="35"/>
      <c r="AC122" s="35"/>
      <c r="AD122" s="35"/>
      <c r="AE122" s="35"/>
      <c r="AF122" s="35"/>
      <c r="AG122" s="35"/>
      <c r="AH122" s="35"/>
      <c r="AI122" s="35"/>
      <c r="AJ122" s="35"/>
      <c r="AK122" s="35"/>
      <c r="AL122" s="35"/>
      <c r="AM122" s="35"/>
      <c r="AN122" s="35"/>
      <c r="AO122" s="35"/>
      <c r="AP122" s="35"/>
      <c r="AQ122" s="35"/>
      <c r="AR122" s="35"/>
      <c r="AS122" s="35"/>
      <c r="AT122" s="35"/>
      <c r="AU122" s="35"/>
      <c r="AV122" s="35"/>
      <c r="AW122" s="35"/>
      <c r="AX122" s="35"/>
      <c r="AY122" s="35"/>
      <c r="AZ122" s="35"/>
      <c r="BA122" s="35"/>
      <c r="BB122" s="35"/>
      <c r="BC122" s="35"/>
      <c r="BD122" s="35"/>
      <c r="BE122" s="35"/>
      <c r="BF122" s="35"/>
      <c r="BG122" s="35"/>
      <c r="BH122" s="35"/>
      <c r="BI122" s="35"/>
      <c r="BJ122" s="35"/>
      <c r="BK122" s="35"/>
      <c r="BL122" s="35"/>
    </row>
    <row r="123" spans="1:64" ht="14">
      <c r="A123" s="35"/>
      <c r="B123" s="36"/>
      <c r="C123" s="39"/>
      <c r="D123" s="78"/>
      <c r="E123" s="78"/>
      <c r="F123" s="78"/>
      <c r="G123" s="229"/>
      <c r="H123" s="229"/>
      <c r="I123" s="40"/>
      <c r="J123" s="43" t="str">
        <f t="shared" si="2"/>
        <v/>
      </c>
      <c r="K123" s="79" t="str">
        <f t="shared" si="3"/>
        <v/>
      </c>
      <c r="L123" s="39"/>
      <c r="M123" s="35"/>
      <c r="N123" s="35"/>
      <c r="O123" s="35"/>
      <c r="P123" s="35"/>
      <c r="Q123" s="35"/>
      <c r="R123" s="35"/>
      <c r="S123" s="35"/>
      <c r="T123" s="35"/>
      <c r="U123" s="35"/>
      <c r="V123" s="35"/>
      <c r="W123" s="35"/>
      <c r="X123" s="35"/>
      <c r="Y123" s="35"/>
      <c r="Z123" s="35"/>
      <c r="AA123" s="35"/>
      <c r="AB123" s="35"/>
      <c r="AC123" s="35"/>
      <c r="AD123" s="35"/>
      <c r="AE123" s="35"/>
      <c r="AF123" s="35"/>
      <c r="AG123" s="35"/>
      <c r="AH123" s="35"/>
      <c r="AI123" s="35"/>
      <c r="AJ123" s="35"/>
      <c r="AK123" s="35"/>
      <c r="AL123" s="35"/>
      <c r="AM123" s="35"/>
      <c r="AN123" s="35"/>
      <c r="AO123" s="35"/>
      <c r="AP123" s="35"/>
      <c r="AQ123" s="35"/>
      <c r="AR123" s="35"/>
      <c r="AS123" s="35"/>
      <c r="AT123" s="35"/>
      <c r="AU123" s="35"/>
      <c r="AV123" s="35"/>
      <c r="AW123" s="35"/>
      <c r="AX123" s="35"/>
      <c r="AY123" s="35"/>
      <c r="AZ123" s="35"/>
      <c r="BA123" s="35"/>
      <c r="BB123" s="35"/>
      <c r="BC123" s="35"/>
      <c r="BD123" s="35"/>
      <c r="BE123" s="35"/>
      <c r="BF123" s="35"/>
      <c r="BG123" s="35"/>
      <c r="BH123" s="35"/>
      <c r="BI123" s="35"/>
      <c r="BJ123" s="35"/>
      <c r="BK123" s="35"/>
      <c r="BL123" s="35"/>
    </row>
    <row r="124" spans="1:64" ht="14">
      <c r="A124" s="35"/>
      <c r="B124" s="36"/>
      <c r="C124" s="39"/>
      <c r="D124" s="78"/>
      <c r="E124" s="78"/>
      <c r="F124" s="78"/>
      <c r="G124" s="229"/>
      <c r="H124" s="229"/>
      <c r="I124" s="40"/>
      <c r="J124" s="43" t="str">
        <f t="shared" si="2"/>
        <v/>
      </c>
      <c r="K124" s="79" t="str">
        <f t="shared" si="3"/>
        <v/>
      </c>
      <c r="L124" s="39"/>
      <c r="M124" s="35"/>
      <c r="N124" s="35"/>
      <c r="O124" s="35"/>
      <c r="P124" s="35"/>
      <c r="Q124" s="35"/>
      <c r="R124" s="35"/>
      <c r="S124" s="35"/>
      <c r="T124" s="35"/>
      <c r="U124" s="35"/>
      <c r="V124" s="35"/>
      <c r="W124" s="35"/>
      <c r="X124" s="35"/>
      <c r="Y124" s="35"/>
      <c r="Z124" s="35"/>
      <c r="AA124" s="35"/>
      <c r="AB124" s="35"/>
      <c r="AC124" s="35"/>
      <c r="AD124" s="35"/>
      <c r="AE124" s="35"/>
      <c r="AF124" s="35"/>
      <c r="AG124" s="35"/>
      <c r="AH124" s="35"/>
      <c r="AI124" s="35"/>
      <c r="AJ124" s="35"/>
      <c r="AK124" s="35"/>
      <c r="AL124" s="35"/>
      <c r="AM124" s="35"/>
      <c r="AN124" s="35"/>
      <c r="AO124" s="35"/>
      <c r="AP124" s="35"/>
      <c r="AQ124" s="35"/>
      <c r="AR124" s="35"/>
      <c r="AS124" s="35"/>
      <c r="AT124" s="35"/>
      <c r="AU124" s="35"/>
      <c r="AV124" s="35"/>
      <c r="AW124" s="35"/>
      <c r="AX124" s="35"/>
      <c r="AY124" s="35"/>
      <c r="AZ124" s="35"/>
      <c r="BA124" s="35"/>
      <c r="BB124" s="35"/>
      <c r="BC124" s="35"/>
      <c r="BD124" s="35"/>
      <c r="BE124" s="35"/>
      <c r="BF124" s="35"/>
      <c r="BG124" s="35"/>
      <c r="BH124" s="35"/>
      <c r="BI124" s="35"/>
      <c r="BJ124" s="35"/>
      <c r="BK124" s="35"/>
      <c r="BL124" s="35"/>
    </row>
    <row r="125" spans="1:64" ht="14">
      <c r="A125" s="35"/>
      <c r="B125" s="36"/>
      <c r="C125" s="39"/>
      <c r="D125" s="78"/>
      <c r="E125" s="78"/>
      <c r="F125" s="78"/>
      <c r="G125" s="229"/>
      <c r="H125" s="229"/>
      <c r="I125" s="40"/>
      <c r="J125" s="43" t="str">
        <f t="shared" si="2"/>
        <v/>
      </c>
      <c r="K125" s="79" t="str">
        <f t="shared" si="3"/>
        <v/>
      </c>
      <c r="L125" s="39"/>
      <c r="M125" s="35"/>
      <c r="N125" s="35"/>
      <c r="O125" s="35"/>
      <c r="P125" s="35"/>
      <c r="Q125" s="35"/>
      <c r="R125" s="35"/>
      <c r="S125" s="35"/>
      <c r="T125" s="35"/>
      <c r="U125" s="35"/>
      <c r="V125" s="35"/>
      <c r="W125" s="35"/>
      <c r="X125" s="35"/>
      <c r="Y125" s="35"/>
      <c r="Z125" s="35"/>
      <c r="AA125" s="35"/>
      <c r="AB125" s="35"/>
      <c r="AC125" s="35"/>
      <c r="AD125" s="35"/>
      <c r="AE125" s="35"/>
      <c r="AF125" s="35"/>
      <c r="AG125" s="35"/>
      <c r="AH125" s="35"/>
      <c r="AI125" s="35"/>
      <c r="AJ125" s="35"/>
      <c r="AK125" s="35"/>
      <c r="AL125" s="35"/>
      <c r="AM125" s="35"/>
      <c r="AN125" s="35"/>
      <c r="AO125" s="35"/>
      <c r="AP125" s="35"/>
      <c r="AQ125" s="35"/>
      <c r="AR125" s="35"/>
      <c r="AS125" s="35"/>
      <c r="AT125" s="35"/>
      <c r="AU125" s="35"/>
      <c r="AV125" s="35"/>
      <c r="AW125" s="35"/>
      <c r="AX125" s="35"/>
      <c r="AY125" s="35"/>
      <c r="AZ125" s="35"/>
      <c r="BA125" s="35"/>
      <c r="BB125" s="35"/>
      <c r="BC125" s="35"/>
      <c r="BD125" s="35"/>
      <c r="BE125" s="35"/>
      <c r="BF125" s="35"/>
      <c r="BG125" s="35"/>
      <c r="BH125" s="35"/>
      <c r="BI125" s="35"/>
      <c r="BJ125" s="35"/>
      <c r="BK125" s="35"/>
      <c r="BL125" s="35"/>
    </row>
    <row r="126" spans="1:64" ht="14">
      <c r="A126" s="35"/>
      <c r="B126" s="36"/>
      <c r="C126" s="39"/>
      <c r="D126" s="78"/>
      <c r="E126" s="78"/>
      <c r="F126" s="78"/>
      <c r="G126" s="229"/>
      <c r="H126" s="229"/>
      <c r="I126" s="40"/>
      <c r="J126" s="43" t="str">
        <f t="shared" si="2"/>
        <v/>
      </c>
      <c r="K126" s="79" t="str">
        <f t="shared" si="3"/>
        <v/>
      </c>
      <c r="L126" s="39"/>
      <c r="M126" s="35"/>
      <c r="N126" s="35"/>
      <c r="O126" s="35"/>
      <c r="P126" s="35"/>
      <c r="Q126" s="35"/>
      <c r="R126" s="35"/>
      <c r="S126" s="35"/>
      <c r="T126" s="35"/>
      <c r="U126" s="35"/>
      <c r="V126" s="35"/>
      <c r="W126" s="35"/>
      <c r="X126" s="35"/>
      <c r="Y126" s="35"/>
      <c r="Z126" s="35"/>
      <c r="AA126" s="35"/>
      <c r="AB126" s="35"/>
      <c r="AC126" s="35"/>
      <c r="AD126" s="35"/>
      <c r="AE126" s="35"/>
      <c r="AF126" s="35"/>
      <c r="AG126" s="35"/>
      <c r="AH126" s="35"/>
      <c r="AI126" s="35"/>
      <c r="AJ126" s="35"/>
      <c r="AK126" s="35"/>
      <c r="AL126" s="35"/>
      <c r="AM126" s="35"/>
      <c r="AN126" s="35"/>
      <c r="AO126" s="35"/>
      <c r="AP126" s="35"/>
      <c r="AQ126" s="35"/>
      <c r="AR126" s="35"/>
      <c r="AS126" s="35"/>
      <c r="AT126" s="35"/>
      <c r="AU126" s="35"/>
      <c r="AV126" s="35"/>
      <c r="AW126" s="35"/>
      <c r="AX126" s="35"/>
      <c r="AY126" s="35"/>
      <c r="AZ126" s="35"/>
      <c r="BA126" s="35"/>
      <c r="BB126" s="35"/>
      <c r="BC126" s="35"/>
      <c r="BD126" s="35"/>
      <c r="BE126" s="35"/>
      <c r="BF126" s="35"/>
      <c r="BG126" s="35"/>
      <c r="BH126" s="35"/>
      <c r="BI126" s="35"/>
      <c r="BJ126" s="35"/>
      <c r="BK126" s="35"/>
      <c r="BL126" s="35"/>
    </row>
    <row r="127" spans="1:64" ht="14">
      <c r="A127" s="35"/>
      <c r="B127" s="36"/>
      <c r="C127" s="39"/>
      <c r="D127" s="78"/>
      <c r="E127" s="78"/>
      <c r="F127" s="78"/>
      <c r="G127" s="229"/>
      <c r="H127" s="229"/>
      <c r="I127" s="80"/>
      <c r="J127" s="43" t="str">
        <f t="shared" si="2"/>
        <v/>
      </c>
      <c r="K127" s="79" t="str">
        <f t="shared" si="3"/>
        <v/>
      </c>
      <c r="L127" s="39"/>
      <c r="M127" s="35"/>
      <c r="N127" s="35"/>
      <c r="O127" s="35"/>
      <c r="P127" s="35"/>
      <c r="Q127" s="35"/>
      <c r="R127" s="35"/>
      <c r="S127" s="35"/>
      <c r="T127" s="35"/>
      <c r="U127" s="35"/>
      <c r="V127" s="35"/>
      <c r="W127" s="35"/>
      <c r="X127" s="35"/>
      <c r="Y127" s="35"/>
      <c r="Z127" s="35"/>
      <c r="AA127" s="35"/>
      <c r="AB127" s="35"/>
      <c r="AC127" s="35"/>
      <c r="AD127" s="35"/>
      <c r="AE127" s="35"/>
      <c r="AF127" s="35"/>
      <c r="AG127" s="35"/>
      <c r="AH127" s="35"/>
      <c r="AI127" s="35"/>
      <c r="AJ127" s="35"/>
      <c r="AK127" s="35"/>
      <c r="AL127" s="35"/>
      <c r="AM127" s="35"/>
      <c r="AN127" s="35"/>
      <c r="AO127" s="35"/>
      <c r="AP127" s="35"/>
      <c r="AQ127" s="35"/>
      <c r="AR127" s="35"/>
      <c r="AS127" s="35"/>
      <c r="AT127" s="35"/>
      <c r="AU127" s="35"/>
      <c r="AV127" s="35"/>
      <c r="AW127" s="35"/>
      <c r="AX127" s="35"/>
      <c r="AY127" s="35"/>
      <c r="AZ127" s="35"/>
      <c r="BA127" s="35"/>
      <c r="BB127" s="35"/>
      <c r="BC127" s="35"/>
      <c r="BD127" s="35"/>
      <c r="BE127" s="35"/>
      <c r="BF127" s="35"/>
      <c r="BG127" s="35"/>
      <c r="BH127" s="35"/>
      <c r="BI127" s="35"/>
      <c r="BJ127" s="35"/>
      <c r="BK127" s="35"/>
      <c r="BL127" s="35"/>
    </row>
    <row r="128" spans="1:64" ht="14">
      <c r="A128" s="35"/>
      <c r="B128" s="36"/>
      <c r="C128" s="39"/>
      <c r="D128" s="78"/>
      <c r="E128" s="78"/>
      <c r="F128" s="78"/>
      <c r="G128" s="229"/>
      <c r="H128" s="229"/>
      <c r="I128" s="80"/>
      <c r="J128" s="43" t="str">
        <f t="shared" si="2"/>
        <v/>
      </c>
      <c r="K128" s="79" t="str">
        <f t="shared" si="3"/>
        <v/>
      </c>
      <c r="L128" s="39"/>
      <c r="M128" s="35"/>
      <c r="N128" s="35"/>
      <c r="O128" s="35"/>
      <c r="P128" s="35"/>
      <c r="Q128" s="35"/>
      <c r="R128" s="35"/>
      <c r="S128" s="35"/>
      <c r="T128" s="35"/>
      <c r="U128" s="35"/>
      <c r="V128" s="35"/>
      <c r="W128" s="35"/>
      <c r="X128" s="35"/>
      <c r="Y128" s="35"/>
      <c r="Z128" s="35"/>
      <c r="AA128" s="35"/>
      <c r="AB128" s="35"/>
      <c r="AC128" s="35"/>
      <c r="AD128" s="35"/>
      <c r="AE128" s="35"/>
      <c r="AF128" s="35"/>
      <c r="AG128" s="35"/>
      <c r="AH128" s="35"/>
      <c r="AI128" s="35"/>
      <c r="AJ128" s="35"/>
      <c r="AK128" s="35"/>
      <c r="AL128" s="35"/>
      <c r="AM128" s="35"/>
      <c r="AN128" s="35"/>
      <c r="AO128" s="35"/>
      <c r="AP128" s="35"/>
      <c r="AQ128" s="35"/>
      <c r="AR128" s="35"/>
      <c r="AS128" s="35"/>
      <c r="AT128" s="35"/>
      <c r="AU128" s="35"/>
      <c r="AV128" s="35"/>
      <c r="AW128" s="35"/>
      <c r="AX128" s="35"/>
      <c r="AY128" s="35"/>
      <c r="AZ128" s="35"/>
      <c r="BA128" s="35"/>
      <c r="BB128" s="35"/>
      <c r="BC128" s="35"/>
      <c r="BD128" s="35"/>
      <c r="BE128" s="35"/>
      <c r="BF128" s="35"/>
      <c r="BG128" s="35"/>
      <c r="BH128" s="35"/>
      <c r="BI128" s="35"/>
      <c r="BJ128" s="35"/>
      <c r="BK128" s="35"/>
      <c r="BL128" s="35"/>
    </row>
    <row r="129" spans="1:64" ht="14">
      <c r="A129" s="35"/>
      <c r="B129" s="36"/>
      <c r="C129" s="39"/>
      <c r="D129" s="78"/>
      <c r="E129" s="78"/>
      <c r="F129" s="78"/>
      <c r="G129" s="229"/>
      <c r="H129" s="229"/>
      <c r="I129" s="40"/>
      <c r="J129" s="43" t="str">
        <f t="shared" si="2"/>
        <v/>
      </c>
      <c r="K129" s="79" t="str">
        <f t="shared" si="3"/>
        <v/>
      </c>
      <c r="L129" s="39"/>
      <c r="M129" s="35"/>
      <c r="N129" s="35"/>
      <c r="O129" s="35"/>
      <c r="P129" s="35"/>
      <c r="Q129" s="35"/>
      <c r="R129" s="35"/>
      <c r="S129" s="35"/>
      <c r="T129" s="35"/>
      <c r="U129" s="35"/>
      <c r="V129" s="35"/>
      <c r="W129" s="35"/>
      <c r="X129" s="35"/>
      <c r="Y129" s="35"/>
      <c r="Z129" s="35"/>
      <c r="AA129" s="35"/>
      <c r="AB129" s="35"/>
      <c r="AC129" s="35"/>
      <c r="AD129" s="35"/>
      <c r="AE129" s="35"/>
      <c r="AF129" s="35"/>
      <c r="AG129" s="35"/>
      <c r="AH129" s="35"/>
      <c r="AI129" s="35"/>
      <c r="AJ129" s="35"/>
      <c r="AK129" s="35"/>
      <c r="AL129" s="35"/>
      <c r="AM129" s="35"/>
      <c r="AN129" s="35"/>
      <c r="AO129" s="35"/>
      <c r="AP129" s="35"/>
      <c r="AQ129" s="35"/>
      <c r="AR129" s="35"/>
      <c r="AS129" s="35"/>
      <c r="AT129" s="35"/>
      <c r="AU129" s="35"/>
      <c r="AV129" s="35"/>
      <c r="AW129" s="35"/>
      <c r="AX129" s="35"/>
      <c r="AY129" s="35"/>
      <c r="AZ129" s="35"/>
      <c r="BA129" s="35"/>
      <c r="BB129" s="35"/>
      <c r="BC129" s="35"/>
      <c r="BD129" s="35"/>
      <c r="BE129" s="35"/>
      <c r="BF129" s="35"/>
      <c r="BG129" s="35"/>
      <c r="BH129" s="35"/>
      <c r="BI129" s="35"/>
      <c r="BJ129" s="35"/>
      <c r="BK129" s="35"/>
      <c r="BL129" s="35"/>
    </row>
    <row r="130" spans="1:64" ht="14">
      <c r="A130" s="35"/>
      <c r="B130" s="36"/>
      <c r="C130" s="39"/>
      <c r="D130" s="78"/>
      <c r="E130" s="78"/>
      <c r="F130" s="78"/>
      <c r="G130" s="229"/>
      <c r="H130" s="229"/>
      <c r="I130" s="40"/>
      <c r="J130" s="43" t="str">
        <f t="shared" si="2"/>
        <v/>
      </c>
      <c r="K130" s="79" t="str">
        <f t="shared" si="3"/>
        <v/>
      </c>
      <c r="L130" s="39"/>
      <c r="M130" s="35"/>
      <c r="N130" s="35"/>
      <c r="O130" s="35"/>
      <c r="P130" s="35"/>
      <c r="Q130" s="35"/>
      <c r="R130" s="35"/>
      <c r="S130" s="35"/>
      <c r="T130" s="35"/>
      <c r="U130" s="35"/>
      <c r="V130" s="35"/>
      <c r="W130" s="35"/>
      <c r="X130" s="35"/>
      <c r="Y130" s="35"/>
      <c r="Z130" s="35"/>
      <c r="AA130" s="35"/>
      <c r="AB130" s="35"/>
      <c r="AC130" s="35"/>
      <c r="AD130" s="35"/>
      <c r="AE130" s="35"/>
      <c r="AF130" s="35"/>
      <c r="AG130" s="35"/>
      <c r="AH130" s="35"/>
      <c r="AI130" s="35"/>
      <c r="AJ130" s="35"/>
      <c r="AK130" s="35"/>
      <c r="AL130" s="35"/>
      <c r="AM130" s="35"/>
      <c r="AN130" s="35"/>
      <c r="AO130" s="35"/>
      <c r="AP130" s="35"/>
      <c r="AQ130" s="35"/>
      <c r="AR130" s="35"/>
      <c r="AS130" s="35"/>
      <c r="AT130" s="35"/>
      <c r="AU130" s="35"/>
      <c r="AV130" s="35"/>
      <c r="AW130" s="35"/>
      <c r="AX130" s="35"/>
      <c r="AY130" s="35"/>
      <c r="AZ130" s="35"/>
      <c r="BA130" s="35"/>
      <c r="BB130" s="35"/>
      <c r="BC130" s="35"/>
      <c r="BD130" s="35"/>
      <c r="BE130" s="35"/>
      <c r="BF130" s="35"/>
      <c r="BG130" s="35"/>
      <c r="BH130" s="35"/>
      <c r="BI130" s="35"/>
      <c r="BJ130" s="35"/>
      <c r="BK130" s="35"/>
      <c r="BL130" s="35"/>
    </row>
    <row r="131" spans="1:64" ht="14">
      <c r="A131" s="35"/>
      <c r="B131" s="36"/>
      <c r="C131" s="39"/>
      <c r="D131" s="78"/>
      <c r="E131" s="78"/>
      <c r="F131" s="78"/>
      <c r="G131" s="229"/>
      <c r="H131" s="229"/>
      <c r="I131" s="40"/>
      <c r="J131" s="43" t="str">
        <f t="shared" si="2"/>
        <v/>
      </c>
      <c r="K131" s="79" t="str">
        <f t="shared" si="3"/>
        <v/>
      </c>
      <c r="L131" s="39"/>
      <c r="M131" s="35"/>
      <c r="N131" s="35"/>
      <c r="O131" s="35"/>
      <c r="P131" s="35"/>
      <c r="Q131" s="35"/>
      <c r="R131" s="35"/>
      <c r="S131" s="35"/>
      <c r="T131" s="35"/>
      <c r="U131" s="35"/>
      <c r="V131" s="35"/>
      <c r="W131" s="35"/>
      <c r="X131" s="35"/>
      <c r="Y131" s="35"/>
      <c r="Z131" s="35"/>
      <c r="AA131" s="35"/>
      <c r="AB131" s="35"/>
      <c r="AC131" s="35"/>
      <c r="AD131" s="35"/>
      <c r="AE131" s="35"/>
      <c r="AF131" s="35"/>
      <c r="AG131" s="35"/>
      <c r="AH131" s="35"/>
      <c r="AI131" s="35"/>
      <c r="AJ131" s="35"/>
      <c r="AK131" s="35"/>
      <c r="AL131" s="35"/>
      <c r="AM131" s="35"/>
      <c r="AN131" s="35"/>
      <c r="AO131" s="35"/>
      <c r="AP131" s="35"/>
      <c r="AQ131" s="35"/>
      <c r="AR131" s="35"/>
      <c r="AS131" s="35"/>
      <c r="AT131" s="35"/>
      <c r="AU131" s="35"/>
      <c r="AV131" s="35"/>
      <c r="AW131" s="35"/>
      <c r="AX131" s="35"/>
      <c r="AY131" s="35"/>
      <c r="AZ131" s="35"/>
      <c r="BA131" s="35"/>
      <c r="BB131" s="35"/>
      <c r="BC131" s="35"/>
      <c r="BD131" s="35"/>
      <c r="BE131" s="35"/>
      <c r="BF131" s="35"/>
      <c r="BG131" s="35"/>
      <c r="BH131" s="35"/>
      <c r="BI131" s="35"/>
      <c r="BJ131" s="35"/>
      <c r="BK131" s="35"/>
      <c r="BL131" s="35"/>
    </row>
    <row r="132" spans="1:64" ht="14">
      <c r="A132" s="35"/>
      <c r="B132" s="36"/>
      <c r="C132" s="39"/>
      <c r="D132" s="78"/>
      <c r="E132" s="78"/>
      <c r="F132" s="78"/>
      <c r="G132" s="229"/>
      <c r="H132" s="229"/>
      <c r="I132" s="40"/>
      <c r="J132" s="43" t="str">
        <f t="shared" si="2"/>
        <v/>
      </c>
      <c r="K132" s="79" t="str">
        <f t="shared" si="3"/>
        <v/>
      </c>
      <c r="L132" s="39"/>
      <c r="M132" s="35"/>
      <c r="N132" s="35"/>
      <c r="O132" s="35"/>
      <c r="P132" s="35"/>
      <c r="Q132" s="35"/>
      <c r="R132" s="35"/>
      <c r="S132" s="35"/>
      <c r="T132" s="35"/>
      <c r="U132" s="35"/>
      <c r="V132" s="35"/>
      <c r="W132" s="35"/>
      <c r="X132" s="35"/>
      <c r="Y132" s="35"/>
      <c r="Z132" s="35"/>
      <c r="AA132" s="35"/>
      <c r="AB132" s="35"/>
      <c r="AC132" s="35"/>
      <c r="AD132" s="35"/>
      <c r="AE132" s="35"/>
      <c r="AF132" s="35"/>
      <c r="AG132" s="35"/>
      <c r="AH132" s="35"/>
      <c r="AI132" s="35"/>
      <c r="AJ132" s="35"/>
      <c r="AK132" s="35"/>
      <c r="AL132" s="35"/>
      <c r="AM132" s="35"/>
      <c r="AN132" s="35"/>
      <c r="AO132" s="35"/>
      <c r="AP132" s="35"/>
      <c r="AQ132" s="35"/>
      <c r="AR132" s="35"/>
      <c r="AS132" s="35"/>
      <c r="AT132" s="35"/>
      <c r="AU132" s="35"/>
      <c r="AV132" s="35"/>
      <c r="AW132" s="35"/>
      <c r="AX132" s="35"/>
      <c r="AY132" s="35"/>
      <c r="AZ132" s="35"/>
      <c r="BA132" s="35"/>
      <c r="BB132" s="35"/>
      <c r="BC132" s="35"/>
      <c r="BD132" s="35"/>
      <c r="BE132" s="35"/>
      <c r="BF132" s="35"/>
      <c r="BG132" s="35"/>
      <c r="BH132" s="35"/>
      <c r="BI132" s="35"/>
      <c r="BJ132" s="35"/>
      <c r="BK132" s="35"/>
      <c r="BL132" s="35"/>
    </row>
    <row r="133" spans="1:64" ht="14">
      <c r="A133" s="35"/>
      <c r="B133" s="36"/>
      <c r="C133" s="39"/>
      <c r="D133" s="78"/>
      <c r="E133" s="78"/>
      <c r="F133" s="78"/>
      <c r="G133" s="229"/>
      <c r="H133" s="229"/>
      <c r="I133" s="40"/>
      <c r="J133" s="43" t="str">
        <f t="shared" si="2"/>
        <v/>
      </c>
      <c r="K133" s="79" t="str">
        <f t="shared" si="3"/>
        <v/>
      </c>
      <c r="L133" s="39"/>
      <c r="M133" s="35"/>
      <c r="N133" s="35"/>
      <c r="O133" s="35"/>
      <c r="P133" s="35"/>
      <c r="Q133" s="35"/>
      <c r="R133" s="35"/>
      <c r="S133" s="35"/>
      <c r="T133" s="35"/>
      <c r="U133" s="35"/>
      <c r="V133" s="35"/>
      <c r="W133" s="35"/>
      <c r="X133" s="35"/>
      <c r="Y133" s="35"/>
      <c r="Z133" s="35"/>
      <c r="AA133" s="35"/>
      <c r="AB133" s="35"/>
      <c r="AC133" s="35"/>
      <c r="AD133" s="35"/>
      <c r="AE133" s="35"/>
      <c r="AF133" s="35"/>
      <c r="AG133" s="35"/>
      <c r="AH133" s="35"/>
      <c r="AI133" s="35"/>
      <c r="AJ133" s="35"/>
      <c r="AK133" s="35"/>
      <c r="AL133" s="35"/>
      <c r="AM133" s="35"/>
      <c r="AN133" s="35"/>
      <c r="AO133" s="35"/>
      <c r="AP133" s="35"/>
      <c r="AQ133" s="35"/>
      <c r="AR133" s="35"/>
      <c r="AS133" s="35"/>
      <c r="AT133" s="35"/>
      <c r="AU133" s="35"/>
      <c r="AV133" s="35"/>
      <c r="AW133" s="35"/>
      <c r="AX133" s="35"/>
      <c r="AY133" s="35"/>
      <c r="AZ133" s="35"/>
      <c r="BA133" s="35"/>
      <c r="BB133" s="35"/>
      <c r="BC133" s="35"/>
      <c r="BD133" s="35"/>
      <c r="BE133" s="35"/>
      <c r="BF133" s="35"/>
      <c r="BG133" s="35"/>
      <c r="BH133" s="35"/>
      <c r="BI133" s="35"/>
      <c r="BJ133" s="35"/>
      <c r="BK133" s="35"/>
      <c r="BL133" s="35"/>
    </row>
    <row r="134" spans="1:64" ht="14">
      <c r="A134" s="35"/>
      <c r="B134" s="36"/>
      <c r="C134" s="39"/>
      <c r="D134" s="78"/>
      <c r="E134" s="78"/>
      <c r="F134" s="78"/>
      <c r="G134" s="229"/>
      <c r="H134" s="229"/>
      <c r="I134" s="40"/>
      <c r="J134" s="43" t="str">
        <f t="shared" si="2"/>
        <v/>
      </c>
      <c r="K134" s="79" t="str">
        <f t="shared" si="3"/>
        <v/>
      </c>
      <c r="L134" s="39"/>
      <c r="M134" s="35"/>
      <c r="N134" s="35"/>
      <c r="O134" s="35"/>
      <c r="P134" s="35"/>
      <c r="Q134" s="35"/>
      <c r="R134" s="35"/>
      <c r="S134" s="35"/>
      <c r="T134" s="35"/>
      <c r="U134" s="35"/>
      <c r="V134" s="35"/>
      <c r="W134" s="35"/>
      <c r="X134" s="35"/>
      <c r="Y134" s="35"/>
      <c r="Z134" s="35"/>
      <c r="AA134" s="35"/>
      <c r="AB134" s="35"/>
      <c r="AC134" s="35"/>
      <c r="AD134" s="35"/>
      <c r="AE134" s="35"/>
      <c r="AF134" s="35"/>
      <c r="AG134" s="35"/>
      <c r="AH134" s="35"/>
      <c r="AI134" s="35"/>
      <c r="AJ134" s="35"/>
      <c r="AK134" s="35"/>
      <c r="AL134" s="35"/>
      <c r="AM134" s="35"/>
      <c r="AN134" s="35"/>
      <c r="AO134" s="35"/>
      <c r="AP134" s="35"/>
      <c r="AQ134" s="35"/>
      <c r="AR134" s="35"/>
      <c r="AS134" s="35"/>
      <c r="AT134" s="35"/>
      <c r="AU134" s="35"/>
      <c r="AV134" s="35"/>
      <c r="AW134" s="35"/>
      <c r="AX134" s="35"/>
      <c r="AY134" s="35"/>
      <c r="AZ134" s="35"/>
      <c r="BA134" s="35"/>
      <c r="BB134" s="35"/>
      <c r="BC134" s="35"/>
      <c r="BD134" s="35"/>
      <c r="BE134" s="35"/>
      <c r="BF134" s="35"/>
      <c r="BG134" s="35"/>
      <c r="BH134" s="35"/>
      <c r="BI134" s="35"/>
      <c r="BJ134" s="35"/>
      <c r="BK134" s="35"/>
      <c r="BL134" s="35"/>
    </row>
    <row r="135" spans="1:64" ht="14">
      <c r="A135" s="35"/>
      <c r="B135" s="36"/>
      <c r="C135" s="39"/>
      <c r="D135" s="78"/>
      <c r="E135" s="78"/>
      <c r="F135" s="78"/>
      <c r="G135" s="229"/>
      <c r="H135" s="229"/>
      <c r="I135" s="40"/>
      <c r="J135" s="43" t="str">
        <f t="shared" si="2"/>
        <v/>
      </c>
      <c r="K135" s="79" t="str">
        <f t="shared" si="3"/>
        <v/>
      </c>
      <c r="L135" s="39"/>
      <c r="M135" s="35"/>
      <c r="N135" s="35"/>
      <c r="O135" s="35"/>
      <c r="P135" s="35"/>
      <c r="Q135" s="35"/>
      <c r="R135" s="35"/>
      <c r="S135" s="35"/>
      <c r="T135" s="35"/>
      <c r="U135" s="35"/>
      <c r="V135" s="35"/>
      <c r="W135" s="35"/>
      <c r="X135" s="35"/>
      <c r="Y135" s="35"/>
      <c r="Z135" s="35"/>
      <c r="AA135" s="35"/>
      <c r="AB135" s="35"/>
      <c r="AC135" s="35"/>
      <c r="AD135" s="35"/>
      <c r="AE135" s="35"/>
      <c r="AF135" s="35"/>
      <c r="AG135" s="35"/>
      <c r="AH135" s="35"/>
      <c r="AI135" s="35"/>
      <c r="AJ135" s="35"/>
      <c r="AK135" s="35"/>
      <c r="AL135" s="35"/>
      <c r="AM135" s="35"/>
      <c r="AN135" s="35"/>
      <c r="AO135" s="35"/>
      <c r="AP135" s="35"/>
      <c r="AQ135" s="35"/>
      <c r="AR135" s="35"/>
      <c r="AS135" s="35"/>
      <c r="AT135" s="35"/>
      <c r="AU135" s="35"/>
      <c r="AV135" s="35"/>
      <c r="AW135" s="35"/>
      <c r="AX135" s="35"/>
      <c r="AY135" s="35"/>
      <c r="AZ135" s="35"/>
      <c r="BA135" s="35"/>
      <c r="BB135" s="35"/>
      <c r="BC135" s="35"/>
      <c r="BD135" s="35"/>
      <c r="BE135" s="35"/>
      <c r="BF135" s="35"/>
      <c r="BG135" s="35"/>
      <c r="BH135" s="35"/>
      <c r="BI135" s="35"/>
      <c r="BJ135" s="35"/>
      <c r="BK135" s="35"/>
      <c r="BL135" s="35"/>
    </row>
    <row r="136" spans="1:64" ht="14">
      <c r="A136" s="35"/>
      <c r="B136" s="36"/>
      <c r="C136" s="39"/>
      <c r="D136" s="78"/>
      <c r="E136" s="78"/>
      <c r="F136" s="78"/>
      <c r="G136" s="229"/>
      <c r="H136" s="229"/>
      <c r="I136" s="40"/>
      <c r="J136" s="43" t="str">
        <f t="shared" si="2"/>
        <v/>
      </c>
      <c r="K136" s="79" t="str">
        <f t="shared" si="3"/>
        <v/>
      </c>
      <c r="L136" s="39"/>
      <c r="M136" s="35"/>
      <c r="N136" s="35"/>
      <c r="O136" s="35"/>
      <c r="P136" s="35"/>
      <c r="Q136" s="35"/>
      <c r="R136" s="35"/>
      <c r="S136" s="35"/>
      <c r="T136" s="35"/>
      <c r="U136" s="35"/>
      <c r="V136" s="35"/>
      <c r="W136" s="35"/>
      <c r="X136" s="35"/>
      <c r="Y136" s="35"/>
      <c r="Z136" s="35"/>
      <c r="AA136" s="35"/>
      <c r="AB136" s="35"/>
      <c r="AC136" s="35"/>
      <c r="AD136" s="35"/>
      <c r="AE136" s="35"/>
      <c r="AF136" s="35"/>
      <c r="AG136" s="35"/>
      <c r="AH136" s="35"/>
      <c r="AI136" s="35"/>
      <c r="AJ136" s="35"/>
      <c r="AK136" s="35"/>
      <c r="AL136" s="35"/>
      <c r="AM136" s="35"/>
      <c r="AN136" s="35"/>
      <c r="AO136" s="35"/>
      <c r="AP136" s="35"/>
      <c r="AQ136" s="35"/>
      <c r="AR136" s="35"/>
      <c r="AS136" s="35"/>
      <c r="AT136" s="35"/>
      <c r="AU136" s="35"/>
      <c r="AV136" s="35"/>
      <c r="AW136" s="35"/>
      <c r="AX136" s="35"/>
      <c r="AY136" s="35"/>
      <c r="AZ136" s="35"/>
      <c r="BA136" s="35"/>
      <c r="BB136" s="35"/>
      <c r="BC136" s="35"/>
      <c r="BD136" s="35"/>
      <c r="BE136" s="35"/>
      <c r="BF136" s="35"/>
      <c r="BG136" s="35"/>
      <c r="BH136" s="35"/>
      <c r="BI136" s="35"/>
      <c r="BJ136" s="35"/>
      <c r="BK136" s="35"/>
      <c r="BL136" s="35"/>
    </row>
    <row r="137" spans="1:64" ht="14">
      <c r="A137" s="35"/>
      <c r="B137" s="36"/>
      <c r="C137" s="39"/>
      <c r="D137" s="78"/>
      <c r="E137" s="78"/>
      <c r="F137" s="78"/>
      <c r="G137" s="229"/>
      <c r="H137" s="229"/>
      <c r="I137" s="40"/>
      <c r="J137" s="43" t="str">
        <f t="shared" si="2"/>
        <v/>
      </c>
      <c r="K137" s="79" t="str">
        <f t="shared" si="3"/>
        <v/>
      </c>
      <c r="L137" s="39"/>
      <c r="M137" s="35"/>
      <c r="N137" s="35"/>
      <c r="O137" s="35"/>
      <c r="P137" s="35"/>
      <c r="Q137" s="35"/>
      <c r="R137" s="35"/>
      <c r="S137" s="35"/>
      <c r="T137" s="35"/>
      <c r="U137" s="35"/>
      <c r="V137" s="35"/>
      <c r="W137" s="35"/>
      <c r="X137" s="35"/>
      <c r="Y137" s="35"/>
      <c r="Z137" s="35"/>
      <c r="AA137" s="35"/>
      <c r="AB137" s="35"/>
      <c r="AC137" s="35"/>
      <c r="AD137" s="35"/>
      <c r="AE137" s="35"/>
      <c r="AF137" s="35"/>
      <c r="AG137" s="35"/>
      <c r="AH137" s="35"/>
      <c r="AI137" s="35"/>
      <c r="AJ137" s="35"/>
      <c r="AK137" s="35"/>
      <c r="AL137" s="35"/>
      <c r="AM137" s="35"/>
      <c r="AN137" s="35"/>
      <c r="AO137" s="35"/>
      <c r="AP137" s="35"/>
      <c r="AQ137" s="35"/>
      <c r="AR137" s="35"/>
      <c r="AS137" s="35"/>
      <c r="AT137" s="35"/>
      <c r="AU137" s="35"/>
      <c r="AV137" s="35"/>
      <c r="AW137" s="35"/>
      <c r="AX137" s="35"/>
      <c r="AY137" s="35"/>
      <c r="AZ137" s="35"/>
      <c r="BA137" s="35"/>
      <c r="BB137" s="35"/>
      <c r="BC137" s="35"/>
      <c r="BD137" s="35"/>
      <c r="BE137" s="35"/>
      <c r="BF137" s="35"/>
      <c r="BG137" s="35"/>
      <c r="BH137" s="35"/>
      <c r="BI137" s="35"/>
      <c r="BJ137" s="35"/>
      <c r="BK137" s="35"/>
      <c r="BL137" s="35"/>
    </row>
    <row r="138" spans="1:64" ht="14">
      <c r="A138" s="35"/>
      <c r="B138" s="36"/>
      <c r="C138" s="39"/>
      <c r="D138" s="78"/>
      <c r="E138" s="78"/>
      <c r="F138" s="78"/>
      <c r="G138" s="229"/>
      <c r="H138" s="229"/>
      <c r="I138" s="40"/>
      <c r="J138" s="43" t="str">
        <f t="shared" si="2"/>
        <v/>
      </c>
      <c r="K138" s="79" t="str">
        <f t="shared" si="3"/>
        <v/>
      </c>
      <c r="L138" s="39"/>
      <c r="M138" s="35"/>
      <c r="N138" s="35"/>
      <c r="O138" s="35"/>
      <c r="P138" s="35"/>
      <c r="Q138" s="35"/>
      <c r="R138" s="35"/>
      <c r="S138" s="35"/>
      <c r="T138" s="35"/>
      <c r="U138" s="35"/>
      <c r="V138" s="35"/>
      <c r="W138" s="35"/>
      <c r="X138" s="35"/>
      <c r="Y138" s="35"/>
      <c r="Z138" s="35"/>
      <c r="AA138" s="35"/>
      <c r="AB138" s="35"/>
      <c r="AC138" s="35"/>
      <c r="AD138" s="35"/>
      <c r="AE138" s="35"/>
      <c r="AF138" s="35"/>
      <c r="AG138" s="35"/>
      <c r="AH138" s="35"/>
      <c r="AI138" s="35"/>
      <c r="AJ138" s="35"/>
      <c r="AK138" s="35"/>
      <c r="AL138" s="35"/>
      <c r="AM138" s="35"/>
      <c r="AN138" s="35"/>
      <c r="AO138" s="35"/>
      <c r="AP138" s="35"/>
      <c r="AQ138" s="35"/>
      <c r="AR138" s="35"/>
      <c r="AS138" s="35"/>
      <c r="AT138" s="35"/>
      <c r="AU138" s="35"/>
      <c r="AV138" s="35"/>
      <c r="AW138" s="35"/>
      <c r="AX138" s="35"/>
      <c r="AY138" s="35"/>
      <c r="AZ138" s="35"/>
      <c r="BA138" s="35"/>
      <c r="BB138" s="35"/>
      <c r="BC138" s="35"/>
      <c r="BD138" s="35"/>
      <c r="BE138" s="35"/>
      <c r="BF138" s="35"/>
      <c r="BG138" s="35"/>
      <c r="BH138" s="35"/>
      <c r="BI138" s="35"/>
      <c r="BJ138" s="35"/>
      <c r="BK138" s="35"/>
      <c r="BL138" s="35"/>
    </row>
    <row r="139" spans="1:64" ht="14">
      <c r="A139" s="35"/>
      <c r="B139" s="36"/>
      <c r="C139" s="39"/>
      <c r="D139" s="78"/>
      <c r="E139" s="78"/>
      <c r="F139" s="78"/>
      <c r="G139" s="229"/>
      <c r="H139" s="229"/>
      <c r="I139" s="40"/>
      <c r="J139" s="43" t="str">
        <f t="shared" ref="J139:J202" si="4">IF($C139&lt;&gt;"",$E139*1.5,"")</f>
        <v/>
      </c>
      <c r="K139" s="79" t="str">
        <f t="shared" ref="K139:K202" si="5">IFERROR($J139/10,"")</f>
        <v/>
      </c>
      <c r="L139" s="39"/>
      <c r="M139" s="35"/>
      <c r="N139" s="35"/>
      <c r="O139" s="35"/>
      <c r="P139" s="35"/>
      <c r="Q139" s="35"/>
      <c r="R139" s="35"/>
      <c r="S139" s="35"/>
      <c r="T139" s="35"/>
      <c r="U139" s="35"/>
      <c r="V139" s="35"/>
      <c r="W139" s="35"/>
      <c r="X139" s="35"/>
      <c r="Y139" s="35"/>
      <c r="Z139" s="35"/>
      <c r="AA139" s="35"/>
      <c r="AB139" s="35"/>
      <c r="AC139" s="35"/>
      <c r="AD139" s="35"/>
      <c r="AE139" s="35"/>
      <c r="AF139" s="35"/>
      <c r="AG139" s="35"/>
      <c r="AH139" s="35"/>
      <c r="AI139" s="35"/>
      <c r="AJ139" s="35"/>
      <c r="AK139" s="35"/>
      <c r="AL139" s="35"/>
      <c r="AM139" s="35"/>
      <c r="AN139" s="35"/>
      <c r="AO139" s="35"/>
      <c r="AP139" s="35"/>
      <c r="AQ139" s="35"/>
      <c r="AR139" s="35"/>
      <c r="AS139" s="35"/>
      <c r="AT139" s="35"/>
      <c r="AU139" s="35"/>
      <c r="AV139" s="35"/>
      <c r="AW139" s="35"/>
      <c r="AX139" s="35"/>
      <c r="AY139" s="35"/>
      <c r="AZ139" s="35"/>
      <c r="BA139" s="35"/>
      <c r="BB139" s="35"/>
      <c r="BC139" s="35"/>
      <c r="BD139" s="35"/>
      <c r="BE139" s="35"/>
      <c r="BF139" s="35"/>
      <c r="BG139" s="35"/>
      <c r="BH139" s="35"/>
      <c r="BI139" s="35"/>
      <c r="BJ139" s="35"/>
      <c r="BK139" s="35"/>
      <c r="BL139" s="35"/>
    </row>
    <row r="140" spans="1:64" ht="14">
      <c r="A140" s="35"/>
      <c r="B140" s="36"/>
      <c r="C140" s="39"/>
      <c r="D140" s="78"/>
      <c r="E140" s="78"/>
      <c r="F140" s="78"/>
      <c r="G140" s="229"/>
      <c r="H140" s="229"/>
      <c r="I140" s="40"/>
      <c r="J140" s="43" t="str">
        <f t="shared" si="4"/>
        <v/>
      </c>
      <c r="K140" s="79" t="str">
        <f t="shared" si="5"/>
        <v/>
      </c>
      <c r="L140" s="39"/>
      <c r="M140" s="35"/>
      <c r="N140" s="35"/>
      <c r="O140" s="35"/>
      <c r="P140" s="35"/>
      <c r="Q140" s="35"/>
      <c r="R140" s="35"/>
      <c r="S140" s="35"/>
      <c r="T140" s="35"/>
      <c r="U140" s="35"/>
      <c r="V140" s="35"/>
      <c r="W140" s="35"/>
      <c r="X140" s="35"/>
      <c r="Y140" s="35"/>
      <c r="Z140" s="35"/>
      <c r="AA140" s="35"/>
      <c r="AB140" s="35"/>
      <c r="AC140" s="35"/>
      <c r="AD140" s="35"/>
      <c r="AE140" s="35"/>
      <c r="AF140" s="35"/>
      <c r="AG140" s="35"/>
      <c r="AH140" s="35"/>
      <c r="AI140" s="35"/>
      <c r="AJ140" s="35"/>
      <c r="AK140" s="35"/>
      <c r="AL140" s="35"/>
      <c r="AM140" s="35"/>
      <c r="AN140" s="35"/>
      <c r="AO140" s="35"/>
      <c r="AP140" s="35"/>
      <c r="AQ140" s="35"/>
      <c r="AR140" s="35"/>
      <c r="AS140" s="35"/>
      <c r="AT140" s="35"/>
      <c r="AU140" s="35"/>
      <c r="AV140" s="35"/>
      <c r="AW140" s="35"/>
      <c r="AX140" s="35"/>
      <c r="AY140" s="35"/>
      <c r="AZ140" s="35"/>
      <c r="BA140" s="35"/>
      <c r="BB140" s="35"/>
      <c r="BC140" s="35"/>
      <c r="BD140" s="35"/>
      <c r="BE140" s="35"/>
      <c r="BF140" s="35"/>
      <c r="BG140" s="35"/>
      <c r="BH140" s="35"/>
      <c r="BI140" s="35"/>
      <c r="BJ140" s="35"/>
      <c r="BK140" s="35"/>
      <c r="BL140" s="35"/>
    </row>
    <row r="141" spans="1:64" ht="14">
      <c r="A141" s="35"/>
      <c r="B141" s="36"/>
      <c r="C141" s="39"/>
      <c r="D141" s="78"/>
      <c r="E141" s="78"/>
      <c r="F141" s="78"/>
      <c r="G141" s="229"/>
      <c r="H141" s="229"/>
      <c r="I141" s="40"/>
      <c r="J141" s="43" t="str">
        <f t="shared" si="4"/>
        <v/>
      </c>
      <c r="K141" s="79" t="str">
        <f t="shared" si="5"/>
        <v/>
      </c>
      <c r="L141" s="39"/>
      <c r="M141" s="35"/>
      <c r="N141" s="35"/>
      <c r="O141" s="35"/>
      <c r="P141" s="35"/>
      <c r="Q141" s="35"/>
      <c r="R141" s="35"/>
      <c r="S141" s="35"/>
      <c r="T141" s="35"/>
      <c r="U141" s="35"/>
      <c r="V141" s="35"/>
      <c r="W141" s="35"/>
      <c r="X141" s="35"/>
      <c r="Y141" s="35"/>
      <c r="Z141" s="35"/>
      <c r="AA141" s="35"/>
      <c r="AB141" s="35"/>
      <c r="AC141" s="35"/>
      <c r="AD141" s="35"/>
      <c r="AE141" s="35"/>
      <c r="AF141" s="35"/>
      <c r="AG141" s="35"/>
      <c r="AH141" s="35"/>
      <c r="AI141" s="35"/>
      <c r="AJ141" s="35"/>
      <c r="AK141" s="35"/>
      <c r="AL141" s="35"/>
      <c r="AM141" s="35"/>
      <c r="AN141" s="35"/>
      <c r="AO141" s="35"/>
      <c r="AP141" s="35"/>
      <c r="AQ141" s="35"/>
      <c r="AR141" s="35"/>
      <c r="AS141" s="35"/>
      <c r="AT141" s="35"/>
      <c r="AU141" s="35"/>
      <c r="AV141" s="35"/>
      <c r="AW141" s="35"/>
      <c r="AX141" s="35"/>
      <c r="AY141" s="35"/>
      <c r="AZ141" s="35"/>
      <c r="BA141" s="35"/>
      <c r="BB141" s="35"/>
      <c r="BC141" s="35"/>
      <c r="BD141" s="35"/>
      <c r="BE141" s="35"/>
      <c r="BF141" s="35"/>
      <c r="BG141" s="35"/>
      <c r="BH141" s="35"/>
      <c r="BI141" s="35"/>
      <c r="BJ141" s="35"/>
      <c r="BK141" s="35"/>
      <c r="BL141" s="35"/>
    </row>
    <row r="142" spans="1:64" ht="14">
      <c r="A142" s="35"/>
      <c r="B142" s="36"/>
      <c r="C142" s="39"/>
      <c r="D142" s="78"/>
      <c r="E142" s="78"/>
      <c r="F142" s="78"/>
      <c r="G142" s="229"/>
      <c r="H142" s="229"/>
      <c r="I142" s="40"/>
      <c r="J142" s="43" t="str">
        <f t="shared" si="4"/>
        <v/>
      </c>
      <c r="K142" s="79" t="str">
        <f t="shared" si="5"/>
        <v/>
      </c>
      <c r="L142" s="39"/>
      <c r="M142" s="35"/>
      <c r="N142" s="35"/>
      <c r="O142" s="35"/>
      <c r="P142" s="35"/>
      <c r="Q142" s="35"/>
      <c r="R142" s="35"/>
      <c r="S142" s="35"/>
      <c r="T142" s="35"/>
      <c r="U142" s="35"/>
      <c r="V142" s="35"/>
      <c r="W142" s="35"/>
      <c r="X142" s="35"/>
      <c r="Y142" s="35"/>
      <c r="Z142" s="35"/>
      <c r="AA142" s="35"/>
      <c r="AB142" s="35"/>
      <c r="AC142" s="35"/>
      <c r="AD142" s="35"/>
      <c r="AE142" s="35"/>
      <c r="AF142" s="35"/>
      <c r="AG142" s="35"/>
      <c r="AH142" s="35"/>
      <c r="AI142" s="35"/>
      <c r="AJ142" s="35"/>
      <c r="AK142" s="35"/>
      <c r="AL142" s="35"/>
      <c r="AM142" s="35"/>
      <c r="AN142" s="35"/>
      <c r="AO142" s="35"/>
      <c r="AP142" s="35"/>
      <c r="AQ142" s="35"/>
      <c r="AR142" s="35"/>
      <c r="AS142" s="35"/>
      <c r="AT142" s="35"/>
      <c r="AU142" s="35"/>
      <c r="AV142" s="35"/>
      <c r="AW142" s="35"/>
      <c r="AX142" s="35"/>
      <c r="AY142" s="35"/>
      <c r="AZ142" s="35"/>
      <c r="BA142" s="35"/>
      <c r="BB142" s="35"/>
      <c r="BC142" s="35"/>
      <c r="BD142" s="35"/>
      <c r="BE142" s="35"/>
      <c r="BF142" s="35"/>
      <c r="BG142" s="35"/>
      <c r="BH142" s="35"/>
      <c r="BI142" s="35"/>
      <c r="BJ142" s="35"/>
      <c r="BK142" s="35"/>
      <c r="BL142" s="35"/>
    </row>
    <row r="143" spans="1:64" ht="14">
      <c r="A143" s="35"/>
      <c r="B143" s="36"/>
      <c r="C143" s="39"/>
      <c r="D143" s="78"/>
      <c r="E143" s="78"/>
      <c r="F143" s="78"/>
      <c r="G143" s="229"/>
      <c r="H143" s="229"/>
      <c r="I143" s="40"/>
      <c r="J143" s="43" t="str">
        <f t="shared" si="4"/>
        <v/>
      </c>
      <c r="K143" s="79" t="str">
        <f t="shared" si="5"/>
        <v/>
      </c>
      <c r="L143" s="39"/>
      <c r="M143" s="35"/>
      <c r="N143" s="35"/>
      <c r="O143" s="35"/>
      <c r="P143" s="35"/>
      <c r="Q143" s="35"/>
      <c r="R143" s="35"/>
      <c r="S143" s="35"/>
      <c r="T143" s="35"/>
      <c r="U143" s="35"/>
      <c r="V143" s="35"/>
      <c r="W143" s="35"/>
      <c r="X143" s="35"/>
      <c r="Y143" s="35"/>
      <c r="Z143" s="35"/>
      <c r="AA143" s="35"/>
      <c r="AB143" s="35"/>
      <c r="AC143" s="35"/>
      <c r="AD143" s="35"/>
      <c r="AE143" s="35"/>
      <c r="AF143" s="35"/>
      <c r="AG143" s="35"/>
      <c r="AH143" s="35"/>
      <c r="AI143" s="35"/>
      <c r="AJ143" s="35"/>
      <c r="AK143" s="35"/>
      <c r="AL143" s="35"/>
      <c r="AM143" s="35"/>
      <c r="AN143" s="35"/>
      <c r="AO143" s="35"/>
      <c r="AP143" s="35"/>
      <c r="AQ143" s="35"/>
      <c r="AR143" s="35"/>
      <c r="AS143" s="35"/>
      <c r="AT143" s="35"/>
      <c r="AU143" s="35"/>
      <c r="AV143" s="35"/>
      <c r="AW143" s="35"/>
      <c r="AX143" s="35"/>
      <c r="AY143" s="35"/>
      <c r="AZ143" s="35"/>
      <c r="BA143" s="35"/>
      <c r="BB143" s="35"/>
      <c r="BC143" s="35"/>
      <c r="BD143" s="35"/>
      <c r="BE143" s="35"/>
      <c r="BF143" s="35"/>
      <c r="BG143" s="35"/>
      <c r="BH143" s="35"/>
      <c r="BI143" s="35"/>
      <c r="BJ143" s="35"/>
      <c r="BK143" s="35"/>
      <c r="BL143" s="35"/>
    </row>
    <row r="144" spans="1:64" ht="14">
      <c r="A144" s="35"/>
      <c r="B144" s="36"/>
      <c r="C144" s="39"/>
      <c r="D144" s="78"/>
      <c r="E144" s="78"/>
      <c r="F144" s="78"/>
      <c r="G144" s="229"/>
      <c r="H144" s="229"/>
      <c r="I144" s="40"/>
      <c r="J144" s="43" t="str">
        <f t="shared" si="4"/>
        <v/>
      </c>
      <c r="K144" s="79" t="str">
        <f t="shared" si="5"/>
        <v/>
      </c>
      <c r="L144" s="39"/>
      <c r="M144" s="35"/>
      <c r="N144" s="35"/>
      <c r="O144" s="35"/>
      <c r="P144" s="35"/>
      <c r="Q144" s="35"/>
      <c r="R144" s="35"/>
      <c r="S144" s="35"/>
      <c r="T144" s="35"/>
      <c r="U144" s="35"/>
      <c r="V144" s="35"/>
      <c r="W144" s="35"/>
      <c r="X144" s="35"/>
      <c r="Y144" s="35"/>
      <c r="Z144" s="35"/>
      <c r="AA144" s="35"/>
      <c r="AB144" s="35"/>
      <c r="AC144" s="35"/>
      <c r="AD144" s="35"/>
      <c r="AE144" s="35"/>
      <c r="AF144" s="35"/>
      <c r="AG144" s="35"/>
      <c r="AH144" s="35"/>
      <c r="AI144" s="35"/>
      <c r="AJ144" s="35"/>
      <c r="AK144" s="35"/>
      <c r="AL144" s="35"/>
      <c r="AM144" s="35"/>
      <c r="AN144" s="35"/>
      <c r="AO144" s="35"/>
      <c r="AP144" s="35"/>
      <c r="AQ144" s="35"/>
      <c r="AR144" s="35"/>
      <c r="AS144" s="35"/>
      <c r="AT144" s="35"/>
      <c r="AU144" s="35"/>
      <c r="AV144" s="35"/>
      <c r="AW144" s="35"/>
      <c r="AX144" s="35"/>
      <c r="AY144" s="35"/>
      <c r="AZ144" s="35"/>
      <c r="BA144" s="35"/>
      <c r="BB144" s="35"/>
      <c r="BC144" s="35"/>
      <c r="BD144" s="35"/>
      <c r="BE144" s="35"/>
      <c r="BF144" s="35"/>
      <c r="BG144" s="35"/>
      <c r="BH144" s="35"/>
      <c r="BI144" s="35"/>
      <c r="BJ144" s="35"/>
      <c r="BK144" s="35"/>
      <c r="BL144" s="35"/>
    </row>
    <row r="145" spans="1:64" ht="14">
      <c r="A145" s="35"/>
      <c r="B145" s="36"/>
      <c r="C145" s="39"/>
      <c r="D145" s="78"/>
      <c r="E145" s="78"/>
      <c r="F145" s="78"/>
      <c r="G145" s="229"/>
      <c r="H145" s="229"/>
      <c r="I145" s="40"/>
      <c r="J145" s="43" t="str">
        <f t="shared" si="4"/>
        <v/>
      </c>
      <c r="K145" s="79" t="str">
        <f t="shared" si="5"/>
        <v/>
      </c>
      <c r="L145" s="39"/>
      <c r="M145" s="35"/>
      <c r="N145" s="35"/>
      <c r="O145" s="35"/>
      <c r="P145" s="35"/>
      <c r="Q145" s="35"/>
      <c r="R145" s="35"/>
      <c r="S145" s="35"/>
      <c r="T145" s="35"/>
      <c r="U145" s="35"/>
      <c r="V145" s="35"/>
      <c r="W145" s="35"/>
      <c r="X145" s="35"/>
      <c r="Y145" s="35"/>
      <c r="Z145" s="35"/>
      <c r="AA145" s="35"/>
      <c r="AB145" s="35"/>
      <c r="AC145" s="35"/>
      <c r="AD145" s="35"/>
      <c r="AE145" s="35"/>
      <c r="AF145" s="35"/>
      <c r="AG145" s="35"/>
      <c r="AH145" s="35"/>
      <c r="AI145" s="35"/>
      <c r="AJ145" s="35"/>
      <c r="AK145" s="35"/>
      <c r="AL145" s="35"/>
      <c r="AM145" s="35"/>
      <c r="AN145" s="35"/>
      <c r="AO145" s="35"/>
      <c r="AP145" s="35"/>
      <c r="AQ145" s="35"/>
      <c r="AR145" s="35"/>
      <c r="AS145" s="35"/>
      <c r="AT145" s="35"/>
      <c r="AU145" s="35"/>
      <c r="AV145" s="35"/>
      <c r="AW145" s="35"/>
      <c r="AX145" s="35"/>
      <c r="AY145" s="35"/>
      <c r="AZ145" s="35"/>
      <c r="BA145" s="35"/>
      <c r="BB145" s="35"/>
      <c r="BC145" s="35"/>
      <c r="BD145" s="35"/>
      <c r="BE145" s="35"/>
      <c r="BF145" s="35"/>
      <c r="BG145" s="35"/>
      <c r="BH145" s="35"/>
      <c r="BI145" s="35"/>
      <c r="BJ145" s="35"/>
      <c r="BK145" s="35"/>
      <c r="BL145" s="35"/>
    </row>
    <row r="146" spans="1:64" ht="14">
      <c r="A146" s="35"/>
      <c r="B146" s="36"/>
      <c r="C146" s="39"/>
      <c r="D146" s="78"/>
      <c r="E146" s="78"/>
      <c r="F146" s="78"/>
      <c r="G146" s="229"/>
      <c r="H146" s="229"/>
      <c r="I146" s="40"/>
      <c r="J146" s="43" t="str">
        <f t="shared" si="4"/>
        <v/>
      </c>
      <c r="K146" s="79" t="str">
        <f t="shared" si="5"/>
        <v/>
      </c>
      <c r="L146" s="39"/>
      <c r="M146" s="35"/>
      <c r="N146" s="35"/>
      <c r="O146" s="35"/>
      <c r="P146" s="35"/>
      <c r="Q146" s="35"/>
      <c r="R146" s="35"/>
      <c r="S146" s="35"/>
      <c r="T146" s="35"/>
      <c r="U146" s="35"/>
      <c r="V146" s="35"/>
      <c r="W146" s="35"/>
      <c r="X146" s="35"/>
      <c r="Y146" s="35"/>
      <c r="Z146" s="35"/>
      <c r="AA146" s="35"/>
      <c r="AB146" s="35"/>
      <c r="AC146" s="35"/>
      <c r="AD146" s="35"/>
      <c r="AE146" s="35"/>
      <c r="AF146" s="35"/>
      <c r="AG146" s="35"/>
      <c r="AH146" s="35"/>
      <c r="AI146" s="35"/>
      <c r="AJ146" s="35"/>
      <c r="AK146" s="35"/>
      <c r="AL146" s="35"/>
      <c r="AM146" s="35"/>
      <c r="AN146" s="35"/>
      <c r="AO146" s="35"/>
      <c r="AP146" s="35"/>
      <c r="AQ146" s="35"/>
      <c r="AR146" s="35"/>
      <c r="AS146" s="35"/>
      <c r="AT146" s="35"/>
      <c r="AU146" s="35"/>
      <c r="AV146" s="35"/>
      <c r="AW146" s="35"/>
      <c r="AX146" s="35"/>
      <c r="AY146" s="35"/>
      <c r="AZ146" s="35"/>
      <c r="BA146" s="35"/>
      <c r="BB146" s="35"/>
      <c r="BC146" s="35"/>
      <c r="BD146" s="35"/>
      <c r="BE146" s="35"/>
      <c r="BF146" s="35"/>
      <c r="BG146" s="35"/>
      <c r="BH146" s="35"/>
      <c r="BI146" s="35"/>
      <c r="BJ146" s="35"/>
      <c r="BK146" s="35"/>
      <c r="BL146" s="35"/>
    </row>
    <row r="147" spans="1:64" ht="14">
      <c r="A147" s="35"/>
      <c r="B147" s="36"/>
      <c r="C147" s="39"/>
      <c r="D147" s="78"/>
      <c r="E147" s="78"/>
      <c r="F147" s="78"/>
      <c r="G147" s="229"/>
      <c r="H147" s="229"/>
      <c r="I147" s="40"/>
      <c r="J147" s="43" t="str">
        <f t="shared" si="4"/>
        <v/>
      </c>
      <c r="K147" s="79" t="str">
        <f t="shared" si="5"/>
        <v/>
      </c>
      <c r="L147" s="39"/>
      <c r="M147" s="35"/>
      <c r="N147" s="35"/>
      <c r="O147" s="35"/>
      <c r="P147" s="35"/>
      <c r="Q147" s="35"/>
      <c r="R147" s="35"/>
      <c r="S147" s="35"/>
      <c r="T147" s="35"/>
      <c r="U147" s="35"/>
      <c r="V147" s="35"/>
      <c r="W147" s="35"/>
      <c r="X147" s="35"/>
      <c r="Y147" s="35"/>
      <c r="Z147" s="35"/>
      <c r="AA147" s="35"/>
      <c r="AB147" s="35"/>
      <c r="AC147" s="35"/>
      <c r="AD147" s="35"/>
      <c r="AE147" s="35"/>
      <c r="AF147" s="35"/>
      <c r="AG147" s="35"/>
      <c r="AH147" s="35"/>
      <c r="AI147" s="35"/>
      <c r="AJ147" s="35"/>
      <c r="AK147" s="35"/>
      <c r="AL147" s="35"/>
      <c r="AM147" s="35"/>
      <c r="AN147" s="35"/>
      <c r="AO147" s="35"/>
      <c r="AP147" s="35"/>
      <c r="AQ147" s="35"/>
      <c r="AR147" s="35"/>
      <c r="AS147" s="35"/>
      <c r="AT147" s="35"/>
      <c r="AU147" s="35"/>
      <c r="AV147" s="35"/>
      <c r="AW147" s="35"/>
      <c r="AX147" s="35"/>
      <c r="AY147" s="35"/>
      <c r="AZ147" s="35"/>
      <c r="BA147" s="35"/>
      <c r="BB147" s="35"/>
      <c r="BC147" s="35"/>
      <c r="BD147" s="35"/>
      <c r="BE147" s="35"/>
      <c r="BF147" s="35"/>
      <c r="BG147" s="35"/>
      <c r="BH147" s="35"/>
      <c r="BI147" s="35"/>
      <c r="BJ147" s="35"/>
      <c r="BK147" s="35"/>
      <c r="BL147" s="35"/>
    </row>
    <row r="148" spans="1:64" ht="14">
      <c r="A148" s="35"/>
      <c r="B148" s="36"/>
      <c r="C148" s="39"/>
      <c r="D148" s="78"/>
      <c r="E148" s="78"/>
      <c r="F148" s="78"/>
      <c r="G148" s="229"/>
      <c r="H148" s="229"/>
      <c r="I148" s="40"/>
      <c r="J148" s="43" t="str">
        <f t="shared" si="4"/>
        <v/>
      </c>
      <c r="K148" s="79" t="str">
        <f t="shared" si="5"/>
        <v/>
      </c>
      <c r="L148" s="39"/>
      <c r="M148" s="35"/>
      <c r="N148" s="35"/>
      <c r="O148" s="35"/>
      <c r="P148" s="35"/>
      <c r="Q148" s="35"/>
      <c r="R148" s="35"/>
      <c r="S148" s="35"/>
      <c r="T148" s="35"/>
      <c r="U148" s="35"/>
      <c r="V148" s="35"/>
      <c r="W148" s="35"/>
      <c r="X148" s="35"/>
      <c r="Y148" s="35"/>
      <c r="Z148" s="35"/>
      <c r="AA148" s="35"/>
      <c r="AB148" s="35"/>
      <c r="AC148" s="35"/>
      <c r="AD148" s="35"/>
      <c r="AE148" s="35"/>
      <c r="AF148" s="35"/>
      <c r="AG148" s="35"/>
      <c r="AH148" s="35"/>
      <c r="AI148" s="35"/>
      <c r="AJ148" s="35"/>
      <c r="AK148" s="35"/>
      <c r="AL148" s="35"/>
      <c r="AM148" s="35"/>
      <c r="AN148" s="35"/>
      <c r="AO148" s="35"/>
      <c r="AP148" s="35"/>
      <c r="AQ148" s="35"/>
      <c r="AR148" s="35"/>
      <c r="AS148" s="35"/>
      <c r="AT148" s="35"/>
      <c r="AU148" s="35"/>
      <c r="AV148" s="35"/>
      <c r="AW148" s="35"/>
      <c r="AX148" s="35"/>
      <c r="AY148" s="35"/>
      <c r="AZ148" s="35"/>
      <c r="BA148" s="35"/>
      <c r="BB148" s="35"/>
      <c r="BC148" s="35"/>
      <c r="BD148" s="35"/>
      <c r="BE148" s="35"/>
      <c r="BF148" s="35"/>
      <c r="BG148" s="35"/>
      <c r="BH148" s="35"/>
      <c r="BI148" s="35"/>
      <c r="BJ148" s="35"/>
      <c r="BK148" s="35"/>
      <c r="BL148" s="35"/>
    </row>
    <row r="149" spans="1:64" ht="14">
      <c r="A149" s="35"/>
      <c r="B149" s="36"/>
      <c r="C149" s="39"/>
      <c r="D149" s="78"/>
      <c r="E149" s="78"/>
      <c r="F149" s="78"/>
      <c r="G149" s="229"/>
      <c r="H149" s="229"/>
      <c r="I149" s="40"/>
      <c r="J149" s="43" t="str">
        <f t="shared" si="4"/>
        <v/>
      </c>
      <c r="K149" s="79" t="str">
        <f t="shared" si="5"/>
        <v/>
      </c>
      <c r="L149" s="39"/>
      <c r="M149" s="35"/>
      <c r="N149" s="35"/>
      <c r="O149" s="35"/>
      <c r="P149" s="35"/>
      <c r="Q149" s="35"/>
      <c r="R149" s="35"/>
      <c r="S149" s="35"/>
      <c r="T149" s="35"/>
      <c r="U149" s="35"/>
      <c r="V149" s="35"/>
      <c r="W149" s="35"/>
      <c r="X149" s="35"/>
      <c r="Y149" s="35"/>
      <c r="Z149" s="35"/>
      <c r="AA149" s="35"/>
      <c r="AB149" s="35"/>
      <c r="AC149" s="35"/>
      <c r="AD149" s="35"/>
      <c r="AE149" s="35"/>
      <c r="AF149" s="35"/>
      <c r="AG149" s="35"/>
      <c r="AH149" s="35"/>
      <c r="AI149" s="35"/>
      <c r="AJ149" s="35"/>
      <c r="AK149" s="35"/>
      <c r="AL149" s="35"/>
      <c r="AM149" s="35"/>
      <c r="AN149" s="35"/>
      <c r="AO149" s="35"/>
      <c r="AP149" s="35"/>
      <c r="AQ149" s="35"/>
      <c r="AR149" s="35"/>
      <c r="AS149" s="35"/>
      <c r="AT149" s="35"/>
      <c r="AU149" s="35"/>
      <c r="AV149" s="35"/>
      <c r="AW149" s="35"/>
      <c r="AX149" s="35"/>
      <c r="AY149" s="35"/>
      <c r="AZ149" s="35"/>
      <c r="BA149" s="35"/>
      <c r="BB149" s="35"/>
      <c r="BC149" s="35"/>
      <c r="BD149" s="35"/>
      <c r="BE149" s="35"/>
      <c r="BF149" s="35"/>
      <c r="BG149" s="35"/>
      <c r="BH149" s="35"/>
      <c r="BI149" s="35"/>
      <c r="BJ149" s="35"/>
      <c r="BK149" s="35"/>
      <c r="BL149" s="35"/>
    </row>
    <row r="150" spans="1:64" ht="14">
      <c r="A150" s="35"/>
      <c r="B150" s="36"/>
      <c r="C150" s="39"/>
      <c r="D150" s="78"/>
      <c r="E150" s="78"/>
      <c r="F150" s="78"/>
      <c r="G150" s="229"/>
      <c r="H150" s="229"/>
      <c r="I150" s="40"/>
      <c r="J150" s="43" t="str">
        <f t="shared" si="4"/>
        <v/>
      </c>
      <c r="K150" s="79" t="str">
        <f t="shared" si="5"/>
        <v/>
      </c>
      <c r="L150" s="39"/>
      <c r="M150" s="35"/>
      <c r="N150" s="35"/>
      <c r="O150" s="35"/>
      <c r="P150" s="35"/>
      <c r="Q150" s="35"/>
      <c r="R150" s="35"/>
      <c r="S150" s="35"/>
      <c r="T150" s="35"/>
      <c r="U150" s="35"/>
      <c r="V150" s="35"/>
      <c r="W150" s="35"/>
      <c r="X150" s="35"/>
      <c r="Y150" s="35"/>
      <c r="Z150" s="35"/>
      <c r="AA150" s="35"/>
      <c r="AB150" s="35"/>
      <c r="AC150" s="35"/>
      <c r="AD150" s="35"/>
      <c r="AE150" s="35"/>
      <c r="AF150" s="35"/>
      <c r="AG150" s="35"/>
      <c r="AH150" s="35"/>
      <c r="AI150" s="35"/>
      <c r="AJ150" s="35"/>
      <c r="AK150" s="35"/>
      <c r="AL150" s="35"/>
      <c r="AM150" s="35"/>
      <c r="AN150" s="35"/>
      <c r="AO150" s="35"/>
      <c r="AP150" s="35"/>
      <c r="AQ150" s="35"/>
      <c r="AR150" s="35"/>
      <c r="AS150" s="35"/>
      <c r="AT150" s="35"/>
      <c r="AU150" s="35"/>
      <c r="AV150" s="35"/>
      <c r="AW150" s="35"/>
      <c r="AX150" s="35"/>
      <c r="AY150" s="35"/>
      <c r="AZ150" s="35"/>
      <c r="BA150" s="35"/>
      <c r="BB150" s="35"/>
      <c r="BC150" s="35"/>
      <c r="BD150" s="35"/>
      <c r="BE150" s="35"/>
      <c r="BF150" s="35"/>
      <c r="BG150" s="35"/>
      <c r="BH150" s="35"/>
      <c r="BI150" s="35"/>
      <c r="BJ150" s="35"/>
      <c r="BK150" s="35"/>
      <c r="BL150" s="35"/>
    </row>
    <row r="151" spans="1:64" ht="14">
      <c r="A151" s="35"/>
      <c r="B151" s="36"/>
      <c r="C151" s="39"/>
      <c r="D151" s="78"/>
      <c r="E151" s="78"/>
      <c r="F151" s="78"/>
      <c r="G151" s="229"/>
      <c r="H151" s="229"/>
      <c r="I151" s="40"/>
      <c r="J151" s="43" t="str">
        <f t="shared" si="4"/>
        <v/>
      </c>
      <c r="K151" s="79" t="str">
        <f t="shared" si="5"/>
        <v/>
      </c>
      <c r="L151" s="39"/>
      <c r="M151" s="35"/>
      <c r="N151" s="35"/>
      <c r="O151" s="35"/>
      <c r="P151" s="35"/>
      <c r="Q151" s="35"/>
      <c r="R151" s="35"/>
      <c r="S151" s="35"/>
      <c r="T151" s="35"/>
      <c r="U151" s="35"/>
      <c r="V151" s="35"/>
      <c r="W151" s="35"/>
      <c r="X151" s="35"/>
      <c r="Y151" s="35"/>
      <c r="Z151" s="35"/>
      <c r="AA151" s="35"/>
      <c r="AB151" s="35"/>
      <c r="AC151" s="35"/>
      <c r="AD151" s="35"/>
      <c r="AE151" s="35"/>
      <c r="AF151" s="35"/>
      <c r="AG151" s="35"/>
      <c r="AH151" s="35"/>
      <c r="AI151" s="35"/>
      <c r="AJ151" s="35"/>
      <c r="AK151" s="35"/>
      <c r="AL151" s="35"/>
      <c r="AM151" s="35"/>
      <c r="AN151" s="35"/>
      <c r="AO151" s="35"/>
      <c r="AP151" s="35"/>
      <c r="AQ151" s="35"/>
      <c r="AR151" s="35"/>
      <c r="AS151" s="35"/>
      <c r="AT151" s="35"/>
      <c r="AU151" s="35"/>
      <c r="AV151" s="35"/>
      <c r="AW151" s="35"/>
      <c r="AX151" s="35"/>
      <c r="AY151" s="35"/>
      <c r="AZ151" s="35"/>
      <c r="BA151" s="35"/>
      <c r="BB151" s="35"/>
      <c r="BC151" s="35"/>
      <c r="BD151" s="35"/>
      <c r="BE151" s="35"/>
      <c r="BF151" s="35"/>
      <c r="BG151" s="35"/>
      <c r="BH151" s="35"/>
      <c r="BI151" s="35"/>
      <c r="BJ151" s="35"/>
      <c r="BK151" s="35"/>
      <c r="BL151" s="35"/>
    </row>
    <row r="152" spans="1:64" ht="14">
      <c r="A152" s="35"/>
      <c r="B152" s="36"/>
      <c r="C152" s="39"/>
      <c r="D152" s="78"/>
      <c r="E152" s="78"/>
      <c r="F152" s="78"/>
      <c r="G152" s="229"/>
      <c r="H152" s="229"/>
      <c r="I152" s="40"/>
      <c r="J152" s="43" t="str">
        <f t="shared" si="4"/>
        <v/>
      </c>
      <c r="K152" s="79" t="str">
        <f t="shared" si="5"/>
        <v/>
      </c>
      <c r="L152" s="39"/>
      <c r="M152" s="35"/>
      <c r="N152" s="35"/>
      <c r="O152" s="35"/>
      <c r="P152" s="35"/>
      <c r="Q152" s="35"/>
      <c r="R152" s="35"/>
      <c r="S152" s="35"/>
      <c r="T152" s="35"/>
      <c r="U152" s="35"/>
      <c r="V152" s="35"/>
      <c r="W152" s="35"/>
      <c r="X152" s="35"/>
      <c r="Y152" s="35"/>
      <c r="Z152" s="35"/>
      <c r="AA152" s="35"/>
      <c r="AB152" s="35"/>
      <c r="AC152" s="35"/>
      <c r="AD152" s="35"/>
      <c r="AE152" s="35"/>
      <c r="AF152" s="35"/>
      <c r="AG152" s="35"/>
      <c r="AH152" s="35"/>
      <c r="AI152" s="35"/>
      <c r="AJ152" s="35"/>
      <c r="AK152" s="35"/>
      <c r="AL152" s="35"/>
      <c r="AM152" s="35"/>
      <c r="AN152" s="35"/>
      <c r="AO152" s="35"/>
      <c r="AP152" s="35"/>
      <c r="AQ152" s="35"/>
      <c r="AR152" s="35"/>
      <c r="AS152" s="35"/>
      <c r="AT152" s="35"/>
      <c r="AU152" s="35"/>
      <c r="AV152" s="35"/>
      <c r="AW152" s="35"/>
      <c r="AX152" s="35"/>
      <c r="AY152" s="35"/>
      <c r="AZ152" s="35"/>
      <c r="BA152" s="35"/>
      <c r="BB152" s="35"/>
      <c r="BC152" s="35"/>
      <c r="BD152" s="35"/>
      <c r="BE152" s="35"/>
      <c r="BF152" s="35"/>
      <c r="BG152" s="35"/>
      <c r="BH152" s="35"/>
      <c r="BI152" s="35"/>
      <c r="BJ152" s="35"/>
      <c r="BK152" s="35"/>
      <c r="BL152" s="35"/>
    </row>
    <row r="153" spans="1:64" ht="14">
      <c r="A153" s="35"/>
      <c r="B153" s="36"/>
      <c r="C153" s="39"/>
      <c r="D153" s="78"/>
      <c r="E153" s="78"/>
      <c r="F153" s="78"/>
      <c r="G153" s="229"/>
      <c r="H153" s="229"/>
      <c r="I153" s="40"/>
      <c r="J153" s="43" t="str">
        <f t="shared" si="4"/>
        <v/>
      </c>
      <c r="K153" s="79" t="str">
        <f t="shared" si="5"/>
        <v/>
      </c>
      <c r="L153" s="39"/>
      <c r="M153" s="35"/>
      <c r="N153" s="35"/>
      <c r="O153" s="35"/>
      <c r="P153" s="35"/>
      <c r="Q153" s="35"/>
      <c r="R153" s="35"/>
      <c r="S153" s="35"/>
      <c r="T153" s="35"/>
      <c r="U153" s="35"/>
      <c r="V153" s="35"/>
      <c r="W153" s="35"/>
      <c r="X153" s="35"/>
      <c r="Y153" s="35"/>
      <c r="Z153" s="35"/>
      <c r="AA153" s="35"/>
      <c r="AB153" s="35"/>
      <c r="AC153" s="35"/>
      <c r="AD153" s="35"/>
      <c r="AE153" s="35"/>
      <c r="AF153" s="35"/>
      <c r="AG153" s="35"/>
      <c r="AH153" s="35"/>
      <c r="AI153" s="35"/>
      <c r="AJ153" s="35"/>
      <c r="AK153" s="35"/>
      <c r="AL153" s="35"/>
      <c r="AM153" s="35"/>
      <c r="AN153" s="35"/>
      <c r="AO153" s="35"/>
      <c r="AP153" s="35"/>
      <c r="AQ153" s="35"/>
      <c r="AR153" s="35"/>
      <c r="AS153" s="35"/>
      <c r="AT153" s="35"/>
      <c r="AU153" s="35"/>
      <c r="AV153" s="35"/>
      <c r="AW153" s="35"/>
      <c r="AX153" s="35"/>
      <c r="AY153" s="35"/>
      <c r="AZ153" s="35"/>
      <c r="BA153" s="35"/>
      <c r="BB153" s="35"/>
      <c r="BC153" s="35"/>
      <c r="BD153" s="35"/>
      <c r="BE153" s="35"/>
      <c r="BF153" s="35"/>
      <c r="BG153" s="35"/>
      <c r="BH153" s="35"/>
      <c r="BI153" s="35"/>
      <c r="BJ153" s="35"/>
      <c r="BK153" s="35"/>
      <c r="BL153" s="35"/>
    </row>
    <row r="154" spans="1:64" ht="14">
      <c r="A154" s="35"/>
      <c r="B154" s="36"/>
      <c r="C154" s="39"/>
      <c r="D154" s="78"/>
      <c r="E154" s="78"/>
      <c r="F154" s="78"/>
      <c r="G154" s="229"/>
      <c r="H154" s="229"/>
      <c r="I154" s="40"/>
      <c r="J154" s="43" t="str">
        <f t="shared" si="4"/>
        <v/>
      </c>
      <c r="K154" s="79" t="str">
        <f t="shared" si="5"/>
        <v/>
      </c>
      <c r="L154" s="39"/>
      <c r="M154" s="35"/>
      <c r="N154" s="35"/>
      <c r="O154" s="35"/>
      <c r="P154" s="35"/>
      <c r="Q154" s="35"/>
      <c r="R154" s="35"/>
      <c r="S154" s="35"/>
      <c r="T154" s="35"/>
      <c r="U154" s="35"/>
      <c r="V154" s="35"/>
      <c r="W154" s="35"/>
      <c r="X154" s="35"/>
      <c r="Y154" s="35"/>
      <c r="Z154" s="35"/>
      <c r="AA154" s="35"/>
      <c r="AB154" s="35"/>
      <c r="AC154" s="35"/>
      <c r="AD154" s="35"/>
      <c r="AE154" s="35"/>
      <c r="AF154" s="35"/>
      <c r="AG154" s="35"/>
      <c r="AH154" s="35"/>
      <c r="AI154" s="35"/>
      <c r="AJ154" s="35"/>
      <c r="AK154" s="35"/>
      <c r="AL154" s="35"/>
      <c r="AM154" s="35"/>
      <c r="AN154" s="35"/>
      <c r="AO154" s="35"/>
      <c r="AP154" s="35"/>
      <c r="AQ154" s="35"/>
      <c r="AR154" s="35"/>
      <c r="AS154" s="35"/>
      <c r="AT154" s="35"/>
      <c r="AU154" s="35"/>
      <c r="AV154" s="35"/>
      <c r="AW154" s="35"/>
      <c r="AX154" s="35"/>
      <c r="AY154" s="35"/>
      <c r="AZ154" s="35"/>
      <c r="BA154" s="35"/>
      <c r="BB154" s="35"/>
      <c r="BC154" s="35"/>
      <c r="BD154" s="35"/>
      <c r="BE154" s="35"/>
      <c r="BF154" s="35"/>
      <c r="BG154" s="35"/>
      <c r="BH154" s="35"/>
      <c r="BI154" s="35"/>
      <c r="BJ154" s="35"/>
      <c r="BK154" s="35"/>
      <c r="BL154" s="35"/>
    </row>
    <row r="155" spans="1:64" ht="14">
      <c r="A155" s="35"/>
      <c r="B155" s="36"/>
      <c r="C155" s="39"/>
      <c r="D155" s="78"/>
      <c r="E155" s="78"/>
      <c r="F155" s="78"/>
      <c r="G155" s="229"/>
      <c r="H155" s="229"/>
      <c r="I155" s="40"/>
      <c r="J155" s="43" t="str">
        <f t="shared" si="4"/>
        <v/>
      </c>
      <c r="K155" s="79" t="str">
        <f t="shared" si="5"/>
        <v/>
      </c>
      <c r="L155" s="39"/>
      <c r="M155" s="35"/>
      <c r="N155" s="35"/>
      <c r="O155" s="35"/>
      <c r="P155" s="35"/>
      <c r="Q155" s="35"/>
      <c r="R155" s="35"/>
      <c r="S155" s="35"/>
      <c r="T155" s="35"/>
      <c r="U155" s="35"/>
      <c r="V155" s="35"/>
      <c r="W155" s="35"/>
      <c r="X155" s="35"/>
      <c r="Y155" s="35"/>
      <c r="Z155" s="35"/>
      <c r="AA155" s="35"/>
      <c r="AB155" s="35"/>
      <c r="AC155" s="35"/>
      <c r="AD155" s="35"/>
      <c r="AE155" s="35"/>
      <c r="AF155" s="35"/>
      <c r="AG155" s="35"/>
      <c r="AH155" s="35"/>
      <c r="AI155" s="35"/>
      <c r="AJ155" s="35"/>
      <c r="AK155" s="35"/>
      <c r="AL155" s="35"/>
      <c r="AM155" s="35"/>
      <c r="AN155" s="35"/>
      <c r="AO155" s="35"/>
      <c r="AP155" s="35"/>
      <c r="AQ155" s="35"/>
      <c r="AR155" s="35"/>
      <c r="AS155" s="35"/>
      <c r="AT155" s="35"/>
      <c r="AU155" s="35"/>
      <c r="AV155" s="35"/>
      <c r="AW155" s="35"/>
      <c r="AX155" s="35"/>
      <c r="AY155" s="35"/>
      <c r="AZ155" s="35"/>
      <c r="BA155" s="35"/>
      <c r="BB155" s="35"/>
      <c r="BC155" s="35"/>
      <c r="BD155" s="35"/>
      <c r="BE155" s="35"/>
      <c r="BF155" s="35"/>
      <c r="BG155" s="35"/>
      <c r="BH155" s="35"/>
      <c r="BI155" s="35"/>
      <c r="BJ155" s="35"/>
      <c r="BK155" s="35"/>
      <c r="BL155" s="35"/>
    </row>
    <row r="156" spans="1:64" ht="14">
      <c r="A156" s="35"/>
      <c r="B156" s="36"/>
      <c r="C156" s="39"/>
      <c r="D156" s="78"/>
      <c r="E156" s="78"/>
      <c r="F156" s="78"/>
      <c r="G156" s="229"/>
      <c r="H156" s="229"/>
      <c r="I156" s="40"/>
      <c r="J156" s="43" t="str">
        <f t="shared" si="4"/>
        <v/>
      </c>
      <c r="K156" s="79" t="str">
        <f t="shared" si="5"/>
        <v/>
      </c>
      <c r="L156" s="39"/>
      <c r="M156" s="35"/>
      <c r="N156" s="35"/>
      <c r="O156" s="35"/>
      <c r="P156" s="35"/>
      <c r="Q156" s="35"/>
      <c r="R156" s="35"/>
      <c r="S156" s="35"/>
      <c r="T156" s="35"/>
      <c r="U156" s="35"/>
      <c r="V156" s="35"/>
      <c r="W156" s="35"/>
      <c r="X156" s="35"/>
      <c r="Y156" s="35"/>
      <c r="Z156" s="35"/>
      <c r="AA156" s="35"/>
      <c r="AB156" s="35"/>
      <c r="AC156" s="35"/>
      <c r="AD156" s="35"/>
      <c r="AE156" s="35"/>
      <c r="AF156" s="35"/>
      <c r="AG156" s="35"/>
      <c r="AH156" s="35"/>
      <c r="AI156" s="35"/>
      <c r="AJ156" s="35"/>
      <c r="AK156" s="35"/>
      <c r="AL156" s="35"/>
      <c r="AM156" s="35"/>
      <c r="AN156" s="35"/>
      <c r="AO156" s="35"/>
      <c r="AP156" s="35"/>
      <c r="AQ156" s="35"/>
      <c r="AR156" s="35"/>
      <c r="AS156" s="35"/>
      <c r="AT156" s="35"/>
      <c r="AU156" s="35"/>
      <c r="AV156" s="35"/>
      <c r="AW156" s="35"/>
      <c r="AX156" s="35"/>
      <c r="AY156" s="35"/>
      <c r="AZ156" s="35"/>
      <c r="BA156" s="35"/>
      <c r="BB156" s="35"/>
      <c r="BC156" s="35"/>
      <c r="BD156" s="35"/>
      <c r="BE156" s="35"/>
      <c r="BF156" s="35"/>
      <c r="BG156" s="35"/>
      <c r="BH156" s="35"/>
      <c r="BI156" s="35"/>
      <c r="BJ156" s="35"/>
      <c r="BK156" s="35"/>
      <c r="BL156" s="35"/>
    </row>
    <row r="157" spans="1:64" ht="14">
      <c r="A157" s="35"/>
      <c r="B157" s="36"/>
      <c r="C157" s="39"/>
      <c r="D157" s="78"/>
      <c r="E157" s="78"/>
      <c r="F157" s="78"/>
      <c r="G157" s="229"/>
      <c r="H157" s="229"/>
      <c r="I157" s="40"/>
      <c r="J157" s="43" t="str">
        <f t="shared" si="4"/>
        <v/>
      </c>
      <c r="K157" s="79" t="str">
        <f t="shared" si="5"/>
        <v/>
      </c>
      <c r="L157" s="39"/>
      <c r="M157" s="35"/>
      <c r="N157" s="35"/>
      <c r="O157" s="35"/>
      <c r="P157" s="35"/>
      <c r="Q157" s="35"/>
      <c r="R157" s="35"/>
      <c r="S157" s="35"/>
      <c r="T157" s="35"/>
      <c r="U157" s="35"/>
      <c r="V157" s="35"/>
      <c r="W157" s="35"/>
      <c r="X157" s="35"/>
      <c r="Y157" s="35"/>
      <c r="Z157" s="35"/>
      <c r="AA157" s="35"/>
      <c r="AB157" s="35"/>
      <c r="AC157" s="35"/>
      <c r="AD157" s="35"/>
      <c r="AE157" s="35"/>
      <c r="AF157" s="35"/>
      <c r="AG157" s="35"/>
      <c r="AH157" s="35"/>
      <c r="AI157" s="35"/>
      <c r="AJ157" s="35"/>
      <c r="AK157" s="35"/>
      <c r="AL157" s="35"/>
      <c r="AM157" s="35"/>
      <c r="AN157" s="35"/>
      <c r="AO157" s="35"/>
      <c r="AP157" s="35"/>
      <c r="AQ157" s="35"/>
      <c r="AR157" s="35"/>
      <c r="AS157" s="35"/>
      <c r="AT157" s="35"/>
      <c r="AU157" s="35"/>
      <c r="AV157" s="35"/>
      <c r="AW157" s="35"/>
      <c r="AX157" s="35"/>
      <c r="AY157" s="35"/>
      <c r="AZ157" s="35"/>
      <c r="BA157" s="35"/>
      <c r="BB157" s="35"/>
      <c r="BC157" s="35"/>
      <c r="BD157" s="35"/>
      <c r="BE157" s="35"/>
      <c r="BF157" s="35"/>
      <c r="BG157" s="35"/>
      <c r="BH157" s="35"/>
      <c r="BI157" s="35"/>
      <c r="BJ157" s="35"/>
      <c r="BK157" s="35"/>
      <c r="BL157" s="35"/>
    </row>
    <row r="158" spans="1:64" ht="14">
      <c r="A158" s="35"/>
      <c r="B158" s="36"/>
      <c r="C158" s="39"/>
      <c r="D158" s="78"/>
      <c r="E158" s="78"/>
      <c r="F158" s="78"/>
      <c r="G158" s="229"/>
      <c r="H158" s="229"/>
      <c r="I158" s="40"/>
      <c r="J158" s="43" t="str">
        <f t="shared" si="4"/>
        <v/>
      </c>
      <c r="K158" s="79" t="str">
        <f t="shared" si="5"/>
        <v/>
      </c>
      <c r="L158" s="39"/>
      <c r="M158" s="35"/>
      <c r="N158" s="35"/>
      <c r="O158" s="35"/>
      <c r="P158" s="35"/>
      <c r="Q158" s="35"/>
      <c r="R158" s="35"/>
      <c r="S158" s="35"/>
      <c r="T158" s="35"/>
      <c r="U158" s="35"/>
      <c r="V158" s="35"/>
      <c r="W158" s="35"/>
      <c r="X158" s="35"/>
      <c r="Y158" s="35"/>
      <c r="Z158" s="35"/>
      <c r="AA158" s="35"/>
      <c r="AB158" s="35"/>
      <c r="AC158" s="35"/>
      <c r="AD158" s="35"/>
      <c r="AE158" s="35"/>
      <c r="AF158" s="35"/>
      <c r="AG158" s="35"/>
      <c r="AH158" s="35"/>
      <c r="AI158" s="35"/>
      <c r="AJ158" s="35"/>
      <c r="AK158" s="35"/>
      <c r="AL158" s="35"/>
      <c r="AM158" s="35"/>
      <c r="AN158" s="35"/>
      <c r="AO158" s="35"/>
      <c r="AP158" s="35"/>
      <c r="AQ158" s="35"/>
      <c r="AR158" s="35"/>
      <c r="AS158" s="35"/>
      <c r="AT158" s="35"/>
      <c r="AU158" s="35"/>
      <c r="AV158" s="35"/>
      <c r="AW158" s="35"/>
      <c r="AX158" s="35"/>
      <c r="AY158" s="35"/>
      <c r="AZ158" s="35"/>
      <c r="BA158" s="35"/>
      <c r="BB158" s="35"/>
      <c r="BC158" s="35"/>
      <c r="BD158" s="35"/>
      <c r="BE158" s="35"/>
      <c r="BF158" s="35"/>
      <c r="BG158" s="35"/>
      <c r="BH158" s="35"/>
      <c r="BI158" s="35"/>
      <c r="BJ158" s="35"/>
      <c r="BK158" s="35"/>
      <c r="BL158" s="35"/>
    </row>
    <row r="159" spans="1:64" ht="14">
      <c r="A159" s="35"/>
      <c r="B159" s="36"/>
      <c r="C159" s="39"/>
      <c r="D159" s="78"/>
      <c r="E159" s="78"/>
      <c r="F159" s="78"/>
      <c r="G159" s="229"/>
      <c r="H159" s="229"/>
      <c r="I159" s="40"/>
      <c r="J159" s="43" t="str">
        <f t="shared" si="4"/>
        <v/>
      </c>
      <c r="K159" s="79" t="str">
        <f t="shared" si="5"/>
        <v/>
      </c>
      <c r="L159" s="39"/>
      <c r="M159" s="35"/>
      <c r="N159" s="35"/>
      <c r="O159" s="35"/>
      <c r="P159" s="35"/>
      <c r="Q159" s="35"/>
      <c r="R159" s="35"/>
      <c r="S159" s="35"/>
      <c r="T159" s="35"/>
      <c r="U159" s="35"/>
      <c r="V159" s="35"/>
      <c r="W159" s="35"/>
      <c r="X159" s="35"/>
      <c r="Y159" s="35"/>
      <c r="Z159" s="35"/>
      <c r="AA159" s="35"/>
      <c r="AB159" s="35"/>
      <c r="AC159" s="35"/>
      <c r="AD159" s="35"/>
      <c r="AE159" s="35"/>
      <c r="AF159" s="35"/>
      <c r="AG159" s="35"/>
      <c r="AH159" s="35"/>
      <c r="AI159" s="35"/>
      <c r="AJ159" s="35"/>
      <c r="AK159" s="35"/>
      <c r="AL159" s="35"/>
      <c r="AM159" s="35"/>
      <c r="AN159" s="35"/>
      <c r="AO159" s="35"/>
      <c r="AP159" s="35"/>
      <c r="AQ159" s="35"/>
      <c r="AR159" s="35"/>
      <c r="AS159" s="35"/>
      <c r="AT159" s="35"/>
      <c r="AU159" s="35"/>
      <c r="AV159" s="35"/>
      <c r="AW159" s="35"/>
      <c r="AX159" s="35"/>
      <c r="AY159" s="35"/>
      <c r="AZ159" s="35"/>
      <c r="BA159" s="35"/>
      <c r="BB159" s="35"/>
      <c r="BC159" s="35"/>
      <c r="BD159" s="35"/>
      <c r="BE159" s="35"/>
      <c r="BF159" s="35"/>
      <c r="BG159" s="35"/>
      <c r="BH159" s="35"/>
      <c r="BI159" s="35"/>
      <c r="BJ159" s="35"/>
      <c r="BK159" s="35"/>
      <c r="BL159" s="35"/>
    </row>
    <row r="160" spans="1:64" ht="14">
      <c r="A160" s="35"/>
      <c r="B160" s="36"/>
      <c r="C160" s="39"/>
      <c r="D160" s="78"/>
      <c r="E160" s="78"/>
      <c r="F160" s="78"/>
      <c r="G160" s="229"/>
      <c r="H160" s="229"/>
      <c r="I160" s="40"/>
      <c r="J160" s="43" t="str">
        <f t="shared" si="4"/>
        <v/>
      </c>
      <c r="K160" s="79" t="str">
        <f t="shared" si="5"/>
        <v/>
      </c>
      <c r="L160" s="39"/>
      <c r="M160" s="35"/>
      <c r="N160" s="35"/>
      <c r="O160" s="35"/>
      <c r="P160" s="35"/>
      <c r="Q160" s="35"/>
      <c r="R160" s="35"/>
      <c r="S160" s="35"/>
      <c r="T160" s="35"/>
      <c r="U160" s="35"/>
      <c r="V160" s="35"/>
      <c r="W160" s="35"/>
      <c r="X160" s="35"/>
      <c r="Y160" s="35"/>
      <c r="Z160" s="35"/>
      <c r="AA160" s="35"/>
      <c r="AB160" s="35"/>
      <c r="AC160" s="35"/>
      <c r="AD160" s="35"/>
      <c r="AE160" s="35"/>
      <c r="AF160" s="35"/>
      <c r="AG160" s="35"/>
      <c r="AH160" s="35"/>
      <c r="AI160" s="35"/>
      <c r="AJ160" s="35"/>
      <c r="AK160" s="35"/>
      <c r="AL160" s="35"/>
      <c r="AM160" s="35"/>
      <c r="AN160" s="35"/>
      <c r="AO160" s="35"/>
      <c r="AP160" s="35"/>
      <c r="AQ160" s="35"/>
      <c r="AR160" s="35"/>
      <c r="AS160" s="35"/>
      <c r="AT160" s="35"/>
      <c r="AU160" s="35"/>
      <c r="AV160" s="35"/>
      <c r="AW160" s="35"/>
      <c r="AX160" s="35"/>
      <c r="AY160" s="35"/>
      <c r="AZ160" s="35"/>
      <c r="BA160" s="35"/>
      <c r="BB160" s="35"/>
      <c r="BC160" s="35"/>
      <c r="BD160" s="35"/>
      <c r="BE160" s="35"/>
      <c r="BF160" s="35"/>
      <c r="BG160" s="35"/>
      <c r="BH160" s="35"/>
      <c r="BI160" s="35"/>
      <c r="BJ160" s="35"/>
      <c r="BK160" s="35"/>
      <c r="BL160" s="35"/>
    </row>
    <row r="161" spans="1:64" ht="14">
      <c r="A161" s="35"/>
      <c r="B161" s="36"/>
      <c r="C161" s="39"/>
      <c r="D161" s="78"/>
      <c r="E161" s="78"/>
      <c r="F161" s="78"/>
      <c r="G161" s="229"/>
      <c r="H161" s="229"/>
      <c r="I161" s="40"/>
      <c r="J161" s="43" t="str">
        <f t="shared" si="4"/>
        <v/>
      </c>
      <c r="K161" s="79" t="str">
        <f t="shared" si="5"/>
        <v/>
      </c>
      <c r="L161" s="39"/>
      <c r="M161" s="35"/>
      <c r="N161" s="35"/>
      <c r="O161" s="35"/>
      <c r="P161" s="35"/>
      <c r="Q161" s="35"/>
      <c r="R161" s="35"/>
      <c r="S161" s="35"/>
      <c r="T161" s="35"/>
      <c r="U161" s="35"/>
      <c r="V161" s="35"/>
      <c r="W161" s="35"/>
      <c r="X161" s="35"/>
      <c r="Y161" s="35"/>
      <c r="Z161" s="35"/>
      <c r="AA161" s="35"/>
      <c r="AB161" s="35"/>
      <c r="AC161" s="35"/>
      <c r="AD161" s="35"/>
      <c r="AE161" s="35"/>
      <c r="AF161" s="35"/>
      <c r="AG161" s="35"/>
      <c r="AH161" s="35"/>
      <c r="AI161" s="35"/>
      <c r="AJ161" s="35"/>
      <c r="AK161" s="35"/>
      <c r="AL161" s="35"/>
      <c r="AM161" s="35"/>
      <c r="AN161" s="35"/>
      <c r="AO161" s="35"/>
      <c r="AP161" s="35"/>
      <c r="AQ161" s="35"/>
      <c r="AR161" s="35"/>
      <c r="AS161" s="35"/>
      <c r="AT161" s="35"/>
      <c r="AU161" s="35"/>
      <c r="AV161" s="35"/>
      <c r="AW161" s="35"/>
      <c r="AX161" s="35"/>
      <c r="AY161" s="35"/>
      <c r="AZ161" s="35"/>
      <c r="BA161" s="35"/>
      <c r="BB161" s="35"/>
      <c r="BC161" s="35"/>
      <c r="BD161" s="35"/>
      <c r="BE161" s="35"/>
      <c r="BF161" s="35"/>
      <c r="BG161" s="35"/>
      <c r="BH161" s="35"/>
      <c r="BI161" s="35"/>
      <c r="BJ161" s="35"/>
      <c r="BK161" s="35"/>
      <c r="BL161" s="35"/>
    </row>
    <row r="162" spans="1:64" ht="14">
      <c r="A162" s="35"/>
      <c r="B162" s="36"/>
      <c r="C162" s="39"/>
      <c r="D162" s="78"/>
      <c r="E162" s="78"/>
      <c r="F162" s="78"/>
      <c r="G162" s="229"/>
      <c r="H162" s="229"/>
      <c r="I162" s="40"/>
      <c r="J162" s="43" t="str">
        <f t="shared" si="4"/>
        <v/>
      </c>
      <c r="K162" s="79" t="str">
        <f t="shared" si="5"/>
        <v/>
      </c>
      <c r="L162" s="39"/>
      <c r="M162" s="35"/>
      <c r="N162" s="35"/>
      <c r="O162" s="35"/>
      <c r="P162" s="35"/>
      <c r="Q162" s="35"/>
      <c r="R162" s="35"/>
      <c r="S162" s="35"/>
      <c r="T162" s="35"/>
      <c r="U162" s="35"/>
      <c r="V162" s="35"/>
      <c r="W162" s="35"/>
      <c r="X162" s="35"/>
      <c r="Y162" s="35"/>
      <c r="Z162" s="35"/>
      <c r="AA162" s="35"/>
      <c r="AB162" s="35"/>
      <c r="AC162" s="35"/>
      <c r="AD162" s="35"/>
      <c r="AE162" s="35"/>
      <c r="AF162" s="35"/>
      <c r="AG162" s="35"/>
      <c r="AH162" s="35"/>
      <c r="AI162" s="35"/>
      <c r="AJ162" s="35"/>
      <c r="AK162" s="35"/>
      <c r="AL162" s="35"/>
      <c r="AM162" s="35"/>
      <c r="AN162" s="35"/>
      <c r="AO162" s="35"/>
      <c r="AP162" s="35"/>
      <c r="AQ162" s="35"/>
      <c r="AR162" s="35"/>
      <c r="AS162" s="35"/>
      <c r="AT162" s="35"/>
      <c r="AU162" s="35"/>
      <c r="AV162" s="35"/>
      <c r="AW162" s="35"/>
      <c r="AX162" s="35"/>
      <c r="AY162" s="35"/>
      <c r="AZ162" s="35"/>
      <c r="BA162" s="35"/>
      <c r="BB162" s="35"/>
      <c r="BC162" s="35"/>
      <c r="BD162" s="35"/>
      <c r="BE162" s="35"/>
      <c r="BF162" s="35"/>
      <c r="BG162" s="35"/>
      <c r="BH162" s="35"/>
      <c r="BI162" s="35"/>
      <c r="BJ162" s="35"/>
      <c r="BK162" s="35"/>
      <c r="BL162" s="35"/>
    </row>
    <row r="163" spans="1:64" ht="14">
      <c r="A163" s="35"/>
      <c r="B163" s="36"/>
      <c r="C163" s="39"/>
      <c r="D163" s="78"/>
      <c r="E163" s="78"/>
      <c r="F163" s="78"/>
      <c r="G163" s="229"/>
      <c r="H163" s="229"/>
      <c r="I163" s="40"/>
      <c r="J163" s="43" t="str">
        <f t="shared" si="4"/>
        <v/>
      </c>
      <c r="K163" s="79" t="str">
        <f t="shared" si="5"/>
        <v/>
      </c>
      <c r="L163" s="39"/>
      <c r="M163" s="35"/>
      <c r="N163" s="35"/>
      <c r="O163" s="35"/>
      <c r="P163" s="35"/>
      <c r="Q163" s="35"/>
      <c r="R163" s="35"/>
      <c r="S163" s="35"/>
      <c r="T163" s="35"/>
      <c r="U163" s="35"/>
      <c r="V163" s="35"/>
      <c r="W163" s="35"/>
      <c r="X163" s="35"/>
      <c r="Y163" s="35"/>
      <c r="Z163" s="35"/>
      <c r="AA163" s="35"/>
      <c r="AB163" s="35"/>
      <c r="AC163" s="35"/>
      <c r="AD163" s="35"/>
      <c r="AE163" s="35"/>
      <c r="AF163" s="35"/>
      <c r="AG163" s="35"/>
      <c r="AH163" s="35"/>
      <c r="AI163" s="35"/>
      <c r="AJ163" s="35"/>
      <c r="AK163" s="35"/>
      <c r="AL163" s="35"/>
      <c r="AM163" s="35"/>
      <c r="AN163" s="35"/>
      <c r="AO163" s="35"/>
      <c r="AP163" s="35"/>
      <c r="AQ163" s="35"/>
      <c r="AR163" s="35"/>
      <c r="AS163" s="35"/>
      <c r="AT163" s="35"/>
      <c r="AU163" s="35"/>
      <c r="AV163" s="35"/>
      <c r="AW163" s="35"/>
      <c r="AX163" s="35"/>
      <c r="AY163" s="35"/>
      <c r="AZ163" s="35"/>
      <c r="BA163" s="35"/>
      <c r="BB163" s="35"/>
      <c r="BC163" s="35"/>
      <c r="BD163" s="35"/>
      <c r="BE163" s="35"/>
      <c r="BF163" s="35"/>
      <c r="BG163" s="35"/>
      <c r="BH163" s="35"/>
      <c r="BI163" s="35"/>
      <c r="BJ163" s="35"/>
      <c r="BK163" s="35"/>
      <c r="BL163" s="35"/>
    </row>
    <row r="164" spans="1:64" ht="14">
      <c r="A164" s="35"/>
      <c r="B164" s="36"/>
      <c r="C164" s="39"/>
      <c r="D164" s="78"/>
      <c r="E164" s="78"/>
      <c r="F164" s="78"/>
      <c r="G164" s="229"/>
      <c r="H164" s="229"/>
      <c r="I164" s="40"/>
      <c r="J164" s="43" t="str">
        <f t="shared" si="4"/>
        <v/>
      </c>
      <c r="K164" s="79" t="str">
        <f t="shared" si="5"/>
        <v/>
      </c>
      <c r="L164" s="39"/>
      <c r="M164" s="35"/>
      <c r="N164" s="35"/>
      <c r="O164" s="35"/>
      <c r="P164" s="35"/>
      <c r="Q164" s="35"/>
      <c r="R164" s="35"/>
      <c r="S164" s="35"/>
      <c r="T164" s="35"/>
      <c r="U164" s="35"/>
      <c r="V164" s="35"/>
      <c r="W164" s="35"/>
      <c r="X164" s="35"/>
      <c r="Y164" s="35"/>
      <c r="Z164" s="35"/>
      <c r="AA164" s="35"/>
      <c r="AB164" s="35"/>
      <c r="AC164" s="35"/>
      <c r="AD164" s="35"/>
      <c r="AE164" s="35"/>
      <c r="AF164" s="35"/>
      <c r="AG164" s="35"/>
      <c r="AH164" s="35"/>
      <c r="AI164" s="35"/>
      <c r="AJ164" s="35"/>
      <c r="AK164" s="35"/>
      <c r="AL164" s="35"/>
      <c r="AM164" s="35"/>
      <c r="AN164" s="35"/>
      <c r="AO164" s="35"/>
      <c r="AP164" s="35"/>
      <c r="AQ164" s="35"/>
      <c r="AR164" s="35"/>
      <c r="AS164" s="35"/>
      <c r="AT164" s="35"/>
      <c r="AU164" s="35"/>
      <c r="AV164" s="35"/>
      <c r="AW164" s="35"/>
      <c r="AX164" s="35"/>
      <c r="AY164" s="35"/>
      <c r="AZ164" s="35"/>
      <c r="BA164" s="35"/>
      <c r="BB164" s="35"/>
      <c r="BC164" s="35"/>
      <c r="BD164" s="35"/>
      <c r="BE164" s="35"/>
      <c r="BF164" s="35"/>
      <c r="BG164" s="35"/>
      <c r="BH164" s="35"/>
      <c r="BI164" s="35"/>
      <c r="BJ164" s="35"/>
      <c r="BK164" s="35"/>
      <c r="BL164" s="35"/>
    </row>
    <row r="165" spans="1:64" ht="14">
      <c r="A165" s="35"/>
      <c r="B165" s="36"/>
      <c r="C165" s="39"/>
      <c r="D165" s="78"/>
      <c r="E165" s="78"/>
      <c r="F165" s="78"/>
      <c r="G165" s="229"/>
      <c r="H165" s="229"/>
      <c r="I165" s="40"/>
      <c r="J165" s="43" t="str">
        <f t="shared" si="4"/>
        <v/>
      </c>
      <c r="K165" s="79" t="str">
        <f t="shared" si="5"/>
        <v/>
      </c>
      <c r="L165" s="39"/>
      <c r="M165" s="35"/>
      <c r="N165" s="35"/>
      <c r="O165" s="35"/>
      <c r="P165" s="35"/>
      <c r="Q165" s="35"/>
      <c r="R165" s="35"/>
      <c r="S165" s="35"/>
      <c r="T165" s="35"/>
      <c r="U165" s="35"/>
      <c r="V165" s="35"/>
      <c r="W165" s="35"/>
      <c r="X165" s="35"/>
      <c r="Y165" s="35"/>
      <c r="Z165" s="35"/>
      <c r="AA165" s="35"/>
      <c r="AB165" s="35"/>
      <c r="AC165" s="35"/>
      <c r="AD165" s="35"/>
      <c r="AE165" s="35"/>
      <c r="AF165" s="35"/>
      <c r="AG165" s="35"/>
      <c r="AH165" s="35"/>
      <c r="AI165" s="35"/>
      <c r="AJ165" s="35"/>
      <c r="AK165" s="35"/>
      <c r="AL165" s="35"/>
      <c r="AM165" s="35"/>
      <c r="AN165" s="35"/>
      <c r="AO165" s="35"/>
      <c r="AP165" s="35"/>
      <c r="AQ165" s="35"/>
      <c r="AR165" s="35"/>
      <c r="AS165" s="35"/>
      <c r="AT165" s="35"/>
      <c r="AU165" s="35"/>
      <c r="AV165" s="35"/>
      <c r="AW165" s="35"/>
      <c r="AX165" s="35"/>
      <c r="AY165" s="35"/>
      <c r="AZ165" s="35"/>
      <c r="BA165" s="35"/>
      <c r="BB165" s="35"/>
      <c r="BC165" s="35"/>
      <c r="BD165" s="35"/>
      <c r="BE165" s="35"/>
      <c r="BF165" s="35"/>
      <c r="BG165" s="35"/>
      <c r="BH165" s="35"/>
      <c r="BI165" s="35"/>
      <c r="BJ165" s="35"/>
      <c r="BK165" s="35"/>
      <c r="BL165" s="35"/>
    </row>
    <row r="166" spans="1:64" ht="14">
      <c r="A166" s="35"/>
      <c r="B166" s="36"/>
      <c r="C166" s="39"/>
      <c r="D166" s="78"/>
      <c r="E166" s="78"/>
      <c r="F166" s="78"/>
      <c r="G166" s="229"/>
      <c r="H166" s="229"/>
      <c r="I166" s="40"/>
      <c r="J166" s="43" t="str">
        <f t="shared" si="4"/>
        <v/>
      </c>
      <c r="K166" s="79" t="str">
        <f t="shared" si="5"/>
        <v/>
      </c>
      <c r="L166" s="39"/>
      <c r="M166" s="35"/>
      <c r="N166" s="35"/>
      <c r="O166" s="35"/>
      <c r="P166" s="35"/>
      <c r="Q166" s="35"/>
      <c r="R166" s="35"/>
      <c r="S166" s="35"/>
      <c r="T166" s="35"/>
      <c r="U166" s="35"/>
      <c r="V166" s="35"/>
      <c r="W166" s="35"/>
      <c r="X166" s="35"/>
      <c r="Y166" s="35"/>
      <c r="Z166" s="35"/>
      <c r="AA166" s="35"/>
      <c r="AB166" s="35"/>
      <c r="AC166" s="35"/>
      <c r="AD166" s="35"/>
      <c r="AE166" s="35"/>
      <c r="AF166" s="35"/>
      <c r="AG166" s="35"/>
      <c r="AH166" s="35"/>
      <c r="AI166" s="35"/>
      <c r="AJ166" s="35"/>
      <c r="AK166" s="35"/>
      <c r="AL166" s="35"/>
      <c r="AM166" s="35"/>
      <c r="AN166" s="35"/>
      <c r="AO166" s="35"/>
      <c r="AP166" s="35"/>
      <c r="AQ166" s="35"/>
      <c r="AR166" s="35"/>
      <c r="AS166" s="35"/>
      <c r="AT166" s="35"/>
      <c r="AU166" s="35"/>
      <c r="AV166" s="35"/>
      <c r="AW166" s="35"/>
      <c r="AX166" s="35"/>
      <c r="AY166" s="35"/>
      <c r="AZ166" s="35"/>
      <c r="BA166" s="35"/>
      <c r="BB166" s="35"/>
      <c r="BC166" s="35"/>
      <c r="BD166" s="35"/>
      <c r="BE166" s="35"/>
      <c r="BF166" s="35"/>
      <c r="BG166" s="35"/>
      <c r="BH166" s="35"/>
      <c r="BI166" s="35"/>
      <c r="BJ166" s="35"/>
      <c r="BK166" s="35"/>
      <c r="BL166" s="35"/>
    </row>
    <row r="167" spans="1:64" ht="14">
      <c r="A167" s="35"/>
      <c r="B167" s="36"/>
      <c r="C167" s="39"/>
      <c r="D167" s="78"/>
      <c r="E167" s="78"/>
      <c r="F167" s="78"/>
      <c r="G167" s="229"/>
      <c r="H167" s="229"/>
      <c r="I167" s="40"/>
      <c r="J167" s="43" t="str">
        <f t="shared" si="4"/>
        <v/>
      </c>
      <c r="K167" s="79" t="str">
        <f t="shared" si="5"/>
        <v/>
      </c>
      <c r="L167" s="39"/>
      <c r="M167" s="35"/>
      <c r="N167" s="35"/>
      <c r="O167" s="35"/>
      <c r="P167" s="35"/>
      <c r="Q167" s="35"/>
      <c r="R167" s="35"/>
      <c r="S167" s="35"/>
      <c r="T167" s="35"/>
      <c r="U167" s="35"/>
      <c r="V167" s="35"/>
      <c r="W167" s="35"/>
      <c r="X167" s="35"/>
      <c r="Y167" s="35"/>
      <c r="Z167" s="35"/>
      <c r="AA167" s="35"/>
      <c r="AB167" s="35"/>
      <c r="AC167" s="35"/>
      <c r="AD167" s="35"/>
      <c r="AE167" s="35"/>
      <c r="AF167" s="35"/>
      <c r="AG167" s="35"/>
      <c r="AH167" s="35"/>
      <c r="AI167" s="35"/>
      <c r="AJ167" s="35"/>
      <c r="AK167" s="35"/>
      <c r="AL167" s="35"/>
      <c r="AM167" s="35"/>
      <c r="AN167" s="35"/>
      <c r="AO167" s="35"/>
      <c r="AP167" s="35"/>
      <c r="AQ167" s="35"/>
      <c r="AR167" s="35"/>
      <c r="AS167" s="35"/>
      <c r="AT167" s="35"/>
      <c r="AU167" s="35"/>
      <c r="AV167" s="35"/>
      <c r="AW167" s="35"/>
      <c r="AX167" s="35"/>
      <c r="AY167" s="35"/>
      <c r="AZ167" s="35"/>
      <c r="BA167" s="35"/>
      <c r="BB167" s="35"/>
      <c r="BC167" s="35"/>
      <c r="BD167" s="35"/>
      <c r="BE167" s="35"/>
      <c r="BF167" s="35"/>
      <c r="BG167" s="35"/>
      <c r="BH167" s="35"/>
      <c r="BI167" s="35"/>
      <c r="BJ167" s="35"/>
      <c r="BK167" s="35"/>
      <c r="BL167" s="35"/>
    </row>
    <row r="168" spans="1:64" ht="14">
      <c r="A168" s="35"/>
      <c r="B168" s="36"/>
      <c r="C168" s="39"/>
      <c r="D168" s="78"/>
      <c r="E168" s="78"/>
      <c r="F168" s="78"/>
      <c r="G168" s="229"/>
      <c r="H168" s="229"/>
      <c r="I168" s="40"/>
      <c r="J168" s="43" t="str">
        <f t="shared" si="4"/>
        <v/>
      </c>
      <c r="K168" s="79" t="str">
        <f t="shared" si="5"/>
        <v/>
      </c>
      <c r="L168" s="39"/>
      <c r="M168" s="35"/>
      <c r="N168" s="35"/>
      <c r="O168" s="35"/>
      <c r="P168" s="35"/>
      <c r="Q168" s="35"/>
      <c r="R168" s="35"/>
      <c r="S168" s="35"/>
      <c r="T168" s="35"/>
      <c r="U168" s="35"/>
      <c r="V168" s="35"/>
      <c r="W168" s="35"/>
      <c r="X168" s="35"/>
      <c r="Y168" s="35"/>
      <c r="Z168" s="35"/>
      <c r="AA168" s="35"/>
      <c r="AB168" s="35"/>
      <c r="AC168" s="35"/>
      <c r="AD168" s="35"/>
      <c r="AE168" s="35"/>
      <c r="AF168" s="35"/>
      <c r="AG168" s="35"/>
      <c r="AH168" s="35"/>
      <c r="AI168" s="35"/>
      <c r="AJ168" s="35"/>
      <c r="AK168" s="35"/>
      <c r="AL168" s="35"/>
      <c r="AM168" s="35"/>
      <c r="AN168" s="35"/>
      <c r="AO168" s="35"/>
      <c r="AP168" s="35"/>
      <c r="AQ168" s="35"/>
      <c r="AR168" s="35"/>
      <c r="AS168" s="35"/>
      <c r="AT168" s="35"/>
      <c r="AU168" s="35"/>
      <c r="AV168" s="35"/>
      <c r="AW168" s="35"/>
      <c r="AX168" s="35"/>
      <c r="AY168" s="35"/>
      <c r="AZ168" s="35"/>
      <c r="BA168" s="35"/>
      <c r="BB168" s="35"/>
      <c r="BC168" s="35"/>
      <c r="BD168" s="35"/>
      <c r="BE168" s="35"/>
      <c r="BF168" s="35"/>
      <c r="BG168" s="35"/>
      <c r="BH168" s="35"/>
      <c r="BI168" s="35"/>
      <c r="BJ168" s="35"/>
      <c r="BK168" s="35"/>
      <c r="BL168" s="35"/>
    </row>
    <row r="169" spans="1:64" ht="14">
      <c r="A169" s="35"/>
      <c r="B169" s="36"/>
      <c r="C169" s="39"/>
      <c r="D169" s="78"/>
      <c r="E169" s="78"/>
      <c r="F169" s="78"/>
      <c r="G169" s="229"/>
      <c r="H169" s="229"/>
      <c r="I169" s="40"/>
      <c r="J169" s="43" t="str">
        <f t="shared" si="4"/>
        <v/>
      </c>
      <c r="K169" s="79" t="str">
        <f t="shared" si="5"/>
        <v/>
      </c>
      <c r="L169" s="39"/>
      <c r="M169" s="35"/>
      <c r="N169" s="35"/>
      <c r="O169" s="35"/>
      <c r="P169" s="35"/>
      <c r="Q169" s="35"/>
      <c r="R169" s="35"/>
      <c r="S169" s="35"/>
      <c r="T169" s="35"/>
      <c r="U169" s="35"/>
      <c r="V169" s="35"/>
      <c r="W169" s="35"/>
      <c r="X169" s="35"/>
      <c r="Y169" s="35"/>
      <c r="Z169" s="35"/>
      <c r="AA169" s="35"/>
      <c r="AB169" s="35"/>
      <c r="AC169" s="35"/>
      <c r="AD169" s="35"/>
      <c r="AE169" s="35"/>
      <c r="AF169" s="35"/>
      <c r="AG169" s="35"/>
      <c r="AH169" s="35"/>
      <c r="AI169" s="35"/>
      <c r="AJ169" s="35"/>
      <c r="AK169" s="35"/>
      <c r="AL169" s="35"/>
      <c r="AM169" s="35"/>
      <c r="AN169" s="35"/>
      <c r="AO169" s="35"/>
      <c r="AP169" s="35"/>
      <c r="AQ169" s="35"/>
      <c r="AR169" s="35"/>
      <c r="AS169" s="35"/>
      <c r="AT169" s="35"/>
      <c r="AU169" s="35"/>
      <c r="AV169" s="35"/>
      <c r="AW169" s="35"/>
      <c r="AX169" s="35"/>
      <c r="AY169" s="35"/>
      <c r="AZ169" s="35"/>
      <c r="BA169" s="35"/>
      <c r="BB169" s="35"/>
      <c r="BC169" s="35"/>
      <c r="BD169" s="35"/>
      <c r="BE169" s="35"/>
      <c r="BF169" s="35"/>
      <c r="BG169" s="35"/>
      <c r="BH169" s="35"/>
      <c r="BI169" s="35"/>
      <c r="BJ169" s="35"/>
      <c r="BK169" s="35"/>
      <c r="BL169" s="35"/>
    </row>
    <row r="170" spans="1:64" ht="14">
      <c r="A170" s="35"/>
      <c r="B170" s="36"/>
      <c r="C170" s="39"/>
      <c r="D170" s="78"/>
      <c r="E170" s="78"/>
      <c r="F170" s="78"/>
      <c r="G170" s="229"/>
      <c r="H170" s="229"/>
      <c r="I170" s="40"/>
      <c r="J170" s="43" t="str">
        <f t="shared" si="4"/>
        <v/>
      </c>
      <c r="K170" s="79" t="str">
        <f t="shared" si="5"/>
        <v/>
      </c>
      <c r="L170" s="39"/>
      <c r="M170" s="35"/>
      <c r="N170" s="35"/>
      <c r="O170" s="35"/>
      <c r="P170" s="35"/>
      <c r="Q170" s="35"/>
      <c r="R170" s="35"/>
      <c r="S170" s="35"/>
      <c r="T170" s="35"/>
      <c r="U170" s="35"/>
      <c r="V170" s="35"/>
      <c r="W170" s="35"/>
      <c r="X170" s="35"/>
      <c r="Y170" s="35"/>
      <c r="Z170" s="35"/>
      <c r="AA170" s="35"/>
      <c r="AB170" s="35"/>
      <c r="AC170" s="35"/>
      <c r="AD170" s="35"/>
      <c r="AE170" s="35"/>
      <c r="AF170" s="35"/>
      <c r="AG170" s="35"/>
      <c r="AH170" s="35"/>
      <c r="AI170" s="35"/>
      <c r="AJ170" s="35"/>
      <c r="AK170" s="35"/>
      <c r="AL170" s="35"/>
      <c r="AM170" s="35"/>
      <c r="AN170" s="35"/>
      <c r="AO170" s="35"/>
      <c r="AP170" s="35"/>
      <c r="AQ170" s="35"/>
      <c r="AR170" s="35"/>
      <c r="AS170" s="35"/>
      <c r="AT170" s="35"/>
      <c r="AU170" s="35"/>
      <c r="AV170" s="35"/>
      <c r="AW170" s="35"/>
      <c r="AX170" s="35"/>
      <c r="AY170" s="35"/>
      <c r="AZ170" s="35"/>
      <c r="BA170" s="35"/>
      <c r="BB170" s="35"/>
      <c r="BC170" s="35"/>
      <c r="BD170" s="35"/>
      <c r="BE170" s="35"/>
      <c r="BF170" s="35"/>
      <c r="BG170" s="35"/>
      <c r="BH170" s="35"/>
      <c r="BI170" s="35"/>
      <c r="BJ170" s="35"/>
      <c r="BK170" s="35"/>
      <c r="BL170" s="35"/>
    </row>
    <row r="171" spans="1:64" ht="14">
      <c r="A171" s="35"/>
      <c r="B171" s="36"/>
      <c r="C171" s="39"/>
      <c r="D171" s="78"/>
      <c r="E171" s="78"/>
      <c r="F171" s="78"/>
      <c r="G171" s="229"/>
      <c r="H171" s="229"/>
      <c r="I171" s="40"/>
      <c r="J171" s="43" t="str">
        <f t="shared" si="4"/>
        <v/>
      </c>
      <c r="K171" s="79" t="str">
        <f t="shared" si="5"/>
        <v/>
      </c>
      <c r="L171" s="39"/>
      <c r="M171" s="35"/>
      <c r="N171" s="35"/>
      <c r="O171" s="35"/>
      <c r="P171" s="35"/>
      <c r="Q171" s="35"/>
      <c r="R171" s="35"/>
      <c r="S171" s="35"/>
      <c r="T171" s="35"/>
      <c r="U171" s="35"/>
      <c r="V171" s="35"/>
      <c r="W171" s="35"/>
      <c r="X171" s="35"/>
      <c r="Y171" s="35"/>
      <c r="Z171" s="35"/>
      <c r="AA171" s="35"/>
      <c r="AB171" s="35"/>
      <c r="AC171" s="35"/>
      <c r="AD171" s="35"/>
      <c r="AE171" s="35"/>
      <c r="AF171" s="35"/>
      <c r="AG171" s="35"/>
      <c r="AH171" s="35"/>
      <c r="AI171" s="35"/>
      <c r="AJ171" s="35"/>
      <c r="AK171" s="35"/>
      <c r="AL171" s="35"/>
      <c r="AM171" s="35"/>
      <c r="AN171" s="35"/>
      <c r="AO171" s="35"/>
      <c r="AP171" s="35"/>
      <c r="AQ171" s="35"/>
      <c r="AR171" s="35"/>
      <c r="AS171" s="35"/>
      <c r="AT171" s="35"/>
      <c r="AU171" s="35"/>
      <c r="AV171" s="35"/>
      <c r="AW171" s="35"/>
      <c r="AX171" s="35"/>
      <c r="AY171" s="35"/>
      <c r="AZ171" s="35"/>
      <c r="BA171" s="35"/>
      <c r="BB171" s="35"/>
      <c r="BC171" s="35"/>
      <c r="BD171" s="35"/>
      <c r="BE171" s="35"/>
      <c r="BF171" s="35"/>
      <c r="BG171" s="35"/>
      <c r="BH171" s="35"/>
      <c r="BI171" s="35"/>
      <c r="BJ171" s="35"/>
      <c r="BK171" s="35"/>
      <c r="BL171" s="35"/>
    </row>
    <row r="172" spans="1:64" ht="14">
      <c r="A172" s="35"/>
      <c r="B172" s="36"/>
      <c r="C172" s="39"/>
      <c r="D172" s="78"/>
      <c r="E172" s="78"/>
      <c r="F172" s="78"/>
      <c r="G172" s="229"/>
      <c r="H172" s="229"/>
      <c r="I172" s="40"/>
      <c r="J172" s="43" t="str">
        <f t="shared" si="4"/>
        <v/>
      </c>
      <c r="K172" s="79" t="str">
        <f t="shared" si="5"/>
        <v/>
      </c>
      <c r="L172" s="39"/>
      <c r="M172" s="35"/>
      <c r="N172" s="35"/>
      <c r="O172" s="35"/>
      <c r="P172" s="35"/>
      <c r="Q172" s="35"/>
      <c r="R172" s="35"/>
      <c r="S172" s="35"/>
      <c r="T172" s="35"/>
      <c r="U172" s="35"/>
      <c r="V172" s="35"/>
      <c r="W172" s="35"/>
      <c r="X172" s="35"/>
      <c r="Y172" s="35"/>
      <c r="Z172" s="35"/>
      <c r="AA172" s="35"/>
      <c r="AB172" s="35"/>
      <c r="AC172" s="35"/>
      <c r="AD172" s="35"/>
      <c r="AE172" s="35"/>
      <c r="AF172" s="35"/>
      <c r="AG172" s="35"/>
      <c r="AH172" s="35"/>
      <c r="AI172" s="35"/>
      <c r="AJ172" s="35"/>
      <c r="AK172" s="35"/>
      <c r="AL172" s="35"/>
      <c r="AM172" s="35"/>
      <c r="AN172" s="35"/>
      <c r="AO172" s="35"/>
      <c r="AP172" s="35"/>
      <c r="AQ172" s="35"/>
      <c r="AR172" s="35"/>
      <c r="AS172" s="35"/>
      <c r="AT172" s="35"/>
      <c r="AU172" s="35"/>
      <c r="AV172" s="35"/>
      <c r="AW172" s="35"/>
      <c r="AX172" s="35"/>
      <c r="AY172" s="35"/>
      <c r="AZ172" s="35"/>
      <c r="BA172" s="35"/>
      <c r="BB172" s="35"/>
      <c r="BC172" s="35"/>
      <c r="BD172" s="35"/>
      <c r="BE172" s="35"/>
      <c r="BF172" s="35"/>
      <c r="BG172" s="35"/>
      <c r="BH172" s="35"/>
      <c r="BI172" s="35"/>
      <c r="BJ172" s="35"/>
      <c r="BK172" s="35"/>
      <c r="BL172" s="35"/>
    </row>
    <row r="173" spans="1:64" ht="14">
      <c r="A173" s="35"/>
      <c r="B173" s="36"/>
      <c r="C173" s="39"/>
      <c r="D173" s="78"/>
      <c r="E173" s="78"/>
      <c r="F173" s="78"/>
      <c r="G173" s="229"/>
      <c r="H173" s="229"/>
      <c r="I173" s="40"/>
      <c r="J173" s="43" t="str">
        <f t="shared" si="4"/>
        <v/>
      </c>
      <c r="K173" s="79" t="str">
        <f t="shared" si="5"/>
        <v/>
      </c>
      <c r="L173" s="39"/>
      <c r="M173" s="35"/>
      <c r="N173" s="35"/>
      <c r="O173" s="35"/>
      <c r="P173" s="35"/>
      <c r="Q173" s="35"/>
      <c r="R173" s="35"/>
      <c r="S173" s="35"/>
      <c r="T173" s="35"/>
      <c r="U173" s="35"/>
      <c r="V173" s="35"/>
      <c r="W173" s="35"/>
      <c r="X173" s="35"/>
      <c r="Y173" s="35"/>
      <c r="Z173" s="35"/>
      <c r="AA173" s="35"/>
      <c r="AB173" s="35"/>
      <c r="AC173" s="35"/>
      <c r="AD173" s="35"/>
      <c r="AE173" s="35"/>
      <c r="AF173" s="35"/>
      <c r="AG173" s="35"/>
      <c r="AH173" s="35"/>
      <c r="AI173" s="35"/>
      <c r="AJ173" s="35"/>
      <c r="AK173" s="35"/>
      <c r="AL173" s="35"/>
      <c r="AM173" s="35"/>
      <c r="AN173" s="35"/>
      <c r="AO173" s="35"/>
      <c r="AP173" s="35"/>
      <c r="AQ173" s="35"/>
      <c r="AR173" s="35"/>
      <c r="AS173" s="35"/>
      <c r="AT173" s="35"/>
      <c r="AU173" s="35"/>
      <c r="AV173" s="35"/>
      <c r="AW173" s="35"/>
      <c r="AX173" s="35"/>
      <c r="AY173" s="35"/>
      <c r="AZ173" s="35"/>
      <c r="BA173" s="35"/>
      <c r="BB173" s="35"/>
      <c r="BC173" s="35"/>
      <c r="BD173" s="35"/>
      <c r="BE173" s="35"/>
      <c r="BF173" s="35"/>
      <c r="BG173" s="35"/>
      <c r="BH173" s="35"/>
      <c r="BI173" s="35"/>
      <c r="BJ173" s="35"/>
      <c r="BK173" s="35"/>
      <c r="BL173" s="35"/>
    </row>
    <row r="174" spans="1:64" ht="14">
      <c r="A174" s="35"/>
      <c r="B174" s="36"/>
      <c r="C174" s="39"/>
      <c r="D174" s="78"/>
      <c r="E174" s="78"/>
      <c r="F174" s="78"/>
      <c r="G174" s="229"/>
      <c r="H174" s="229"/>
      <c r="I174" s="40"/>
      <c r="J174" s="43" t="str">
        <f t="shared" si="4"/>
        <v/>
      </c>
      <c r="K174" s="79" t="str">
        <f t="shared" si="5"/>
        <v/>
      </c>
      <c r="L174" s="39"/>
      <c r="M174" s="35"/>
      <c r="N174" s="35"/>
      <c r="O174" s="35"/>
      <c r="P174" s="35"/>
      <c r="Q174" s="35"/>
      <c r="R174" s="35"/>
      <c r="S174" s="35"/>
      <c r="T174" s="35"/>
      <c r="U174" s="35"/>
      <c r="V174" s="35"/>
      <c r="W174" s="35"/>
      <c r="X174" s="35"/>
      <c r="Y174" s="35"/>
      <c r="Z174" s="35"/>
      <c r="AA174" s="35"/>
      <c r="AB174" s="35"/>
      <c r="AC174" s="35"/>
      <c r="AD174" s="35"/>
      <c r="AE174" s="35"/>
      <c r="AF174" s="35"/>
      <c r="AG174" s="35"/>
      <c r="AH174" s="35"/>
      <c r="AI174" s="35"/>
      <c r="AJ174" s="35"/>
      <c r="AK174" s="35"/>
      <c r="AL174" s="35"/>
      <c r="AM174" s="35"/>
      <c r="AN174" s="35"/>
      <c r="AO174" s="35"/>
      <c r="AP174" s="35"/>
      <c r="AQ174" s="35"/>
      <c r="AR174" s="35"/>
      <c r="AS174" s="35"/>
      <c r="AT174" s="35"/>
      <c r="AU174" s="35"/>
      <c r="AV174" s="35"/>
      <c r="AW174" s="35"/>
      <c r="AX174" s="35"/>
      <c r="AY174" s="35"/>
      <c r="AZ174" s="35"/>
      <c r="BA174" s="35"/>
      <c r="BB174" s="35"/>
      <c r="BC174" s="35"/>
      <c r="BD174" s="35"/>
      <c r="BE174" s="35"/>
      <c r="BF174" s="35"/>
      <c r="BG174" s="35"/>
      <c r="BH174" s="35"/>
      <c r="BI174" s="35"/>
      <c r="BJ174" s="35"/>
      <c r="BK174" s="35"/>
      <c r="BL174" s="35"/>
    </row>
    <row r="175" spans="1:64" ht="14">
      <c r="A175" s="35"/>
      <c r="B175" s="36"/>
      <c r="C175" s="39"/>
      <c r="D175" s="78"/>
      <c r="E175" s="78"/>
      <c r="F175" s="78"/>
      <c r="G175" s="229"/>
      <c r="H175" s="229"/>
      <c r="I175" s="40"/>
      <c r="J175" s="43" t="str">
        <f t="shared" si="4"/>
        <v/>
      </c>
      <c r="K175" s="79" t="str">
        <f t="shared" si="5"/>
        <v/>
      </c>
      <c r="L175" s="39"/>
      <c r="M175" s="35"/>
      <c r="N175" s="35"/>
      <c r="O175" s="35"/>
      <c r="P175" s="35"/>
      <c r="Q175" s="35"/>
      <c r="R175" s="35"/>
      <c r="S175" s="35"/>
      <c r="T175" s="35"/>
      <c r="U175" s="35"/>
      <c r="V175" s="35"/>
      <c r="W175" s="35"/>
      <c r="X175" s="35"/>
      <c r="Y175" s="35"/>
      <c r="Z175" s="35"/>
      <c r="AA175" s="35"/>
      <c r="AB175" s="35"/>
      <c r="AC175" s="35"/>
      <c r="AD175" s="35"/>
      <c r="AE175" s="35"/>
      <c r="AF175" s="35"/>
      <c r="AG175" s="35"/>
      <c r="AH175" s="35"/>
      <c r="AI175" s="35"/>
      <c r="AJ175" s="35"/>
      <c r="AK175" s="35"/>
      <c r="AL175" s="35"/>
      <c r="AM175" s="35"/>
      <c r="AN175" s="35"/>
      <c r="AO175" s="35"/>
      <c r="AP175" s="35"/>
      <c r="AQ175" s="35"/>
      <c r="AR175" s="35"/>
      <c r="AS175" s="35"/>
      <c r="AT175" s="35"/>
      <c r="AU175" s="35"/>
      <c r="AV175" s="35"/>
      <c r="AW175" s="35"/>
      <c r="AX175" s="35"/>
      <c r="AY175" s="35"/>
      <c r="AZ175" s="35"/>
      <c r="BA175" s="35"/>
      <c r="BB175" s="35"/>
      <c r="BC175" s="35"/>
      <c r="BD175" s="35"/>
      <c r="BE175" s="35"/>
      <c r="BF175" s="35"/>
      <c r="BG175" s="35"/>
      <c r="BH175" s="35"/>
      <c r="BI175" s="35"/>
      <c r="BJ175" s="35"/>
      <c r="BK175" s="35"/>
      <c r="BL175" s="35"/>
    </row>
    <row r="176" spans="1:64" ht="14">
      <c r="A176" s="35"/>
      <c r="B176" s="36"/>
      <c r="C176" s="39"/>
      <c r="D176" s="78"/>
      <c r="E176" s="78"/>
      <c r="F176" s="78"/>
      <c r="G176" s="229"/>
      <c r="H176" s="229"/>
      <c r="I176" s="40"/>
      <c r="J176" s="43" t="str">
        <f t="shared" si="4"/>
        <v/>
      </c>
      <c r="K176" s="79" t="str">
        <f t="shared" si="5"/>
        <v/>
      </c>
      <c r="L176" s="39"/>
      <c r="M176" s="35"/>
      <c r="N176" s="35"/>
      <c r="O176" s="35"/>
      <c r="P176" s="35"/>
      <c r="Q176" s="35"/>
      <c r="R176" s="35"/>
      <c r="S176" s="35"/>
      <c r="T176" s="35"/>
      <c r="U176" s="35"/>
      <c r="V176" s="35"/>
      <c r="W176" s="35"/>
      <c r="X176" s="35"/>
      <c r="Y176" s="35"/>
      <c r="Z176" s="35"/>
      <c r="AA176" s="35"/>
      <c r="AB176" s="35"/>
      <c r="AC176" s="35"/>
      <c r="AD176" s="35"/>
      <c r="AE176" s="35"/>
      <c r="AF176" s="35"/>
      <c r="AG176" s="35"/>
      <c r="AH176" s="35"/>
      <c r="AI176" s="35"/>
      <c r="AJ176" s="35"/>
      <c r="AK176" s="35"/>
      <c r="AL176" s="35"/>
      <c r="AM176" s="35"/>
      <c r="AN176" s="35"/>
      <c r="AO176" s="35"/>
      <c r="AP176" s="35"/>
      <c r="AQ176" s="35"/>
      <c r="AR176" s="35"/>
      <c r="AS176" s="35"/>
      <c r="AT176" s="35"/>
      <c r="AU176" s="35"/>
      <c r="AV176" s="35"/>
      <c r="AW176" s="35"/>
      <c r="AX176" s="35"/>
      <c r="AY176" s="35"/>
      <c r="AZ176" s="35"/>
      <c r="BA176" s="35"/>
      <c r="BB176" s="35"/>
      <c r="BC176" s="35"/>
      <c r="BD176" s="35"/>
      <c r="BE176" s="35"/>
      <c r="BF176" s="35"/>
      <c r="BG176" s="35"/>
      <c r="BH176" s="35"/>
      <c r="BI176" s="35"/>
      <c r="BJ176" s="35"/>
      <c r="BK176" s="35"/>
      <c r="BL176" s="35"/>
    </row>
    <row r="177" spans="1:64" ht="14">
      <c r="A177" s="35"/>
      <c r="B177" s="36"/>
      <c r="C177" s="39"/>
      <c r="D177" s="78"/>
      <c r="E177" s="78"/>
      <c r="F177" s="78"/>
      <c r="G177" s="229"/>
      <c r="H177" s="229"/>
      <c r="I177" s="40"/>
      <c r="J177" s="43" t="str">
        <f t="shared" si="4"/>
        <v/>
      </c>
      <c r="K177" s="79" t="str">
        <f t="shared" si="5"/>
        <v/>
      </c>
      <c r="L177" s="39"/>
      <c r="M177" s="35"/>
      <c r="N177" s="35"/>
      <c r="O177" s="35"/>
      <c r="P177" s="35"/>
      <c r="Q177" s="35"/>
      <c r="R177" s="35"/>
      <c r="S177" s="35"/>
      <c r="T177" s="35"/>
      <c r="U177" s="35"/>
      <c r="V177" s="35"/>
      <c r="W177" s="35"/>
      <c r="X177" s="35"/>
      <c r="Y177" s="35"/>
      <c r="Z177" s="35"/>
      <c r="AA177" s="35"/>
      <c r="AB177" s="35"/>
      <c r="AC177" s="35"/>
      <c r="AD177" s="35"/>
      <c r="AE177" s="35"/>
      <c r="AF177" s="35"/>
      <c r="AG177" s="35"/>
      <c r="AH177" s="35"/>
      <c r="AI177" s="35"/>
      <c r="AJ177" s="35"/>
      <c r="AK177" s="35"/>
      <c r="AL177" s="35"/>
      <c r="AM177" s="35"/>
      <c r="AN177" s="35"/>
      <c r="AO177" s="35"/>
      <c r="AP177" s="35"/>
      <c r="AQ177" s="35"/>
      <c r="AR177" s="35"/>
      <c r="AS177" s="35"/>
      <c r="AT177" s="35"/>
      <c r="AU177" s="35"/>
      <c r="AV177" s="35"/>
      <c r="AW177" s="35"/>
      <c r="AX177" s="35"/>
      <c r="AY177" s="35"/>
      <c r="AZ177" s="35"/>
      <c r="BA177" s="35"/>
      <c r="BB177" s="35"/>
      <c r="BC177" s="35"/>
      <c r="BD177" s="35"/>
      <c r="BE177" s="35"/>
      <c r="BF177" s="35"/>
      <c r="BG177" s="35"/>
      <c r="BH177" s="35"/>
      <c r="BI177" s="35"/>
      <c r="BJ177" s="35"/>
      <c r="BK177" s="35"/>
      <c r="BL177" s="35"/>
    </row>
    <row r="178" spans="1:64" ht="14">
      <c r="A178" s="35"/>
      <c r="B178" s="36"/>
      <c r="C178" s="39"/>
      <c r="D178" s="78"/>
      <c r="E178" s="78"/>
      <c r="F178" s="78"/>
      <c r="G178" s="229"/>
      <c r="H178" s="229"/>
      <c r="I178" s="40"/>
      <c r="J178" s="43" t="str">
        <f t="shared" si="4"/>
        <v/>
      </c>
      <c r="K178" s="79" t="str">
        <f t="shared" si="5"/>
        <v/>
      </c>
      <c r="L178" s="39"/>
      <c r="M178" s="35"/>
      <c r="N178" s="35"/>
      <c r="O178" s="35"/>
      <c r="P178" s="35"/>
      <c r="Q178" s="35"/>
      <c r="R178" s="35"/>
      <c r="S178" s="35"/>
      <c r="T178" s="35"/>
      <c r="U178" s="35"/>
      <c r="V178" s="35"/>
      <c r="W178" s="35"/>
      <c r="X178" s="35"/>
      <c r="Y178" s="35"/>
      <c r="Z178" s="35"/>
      <c r="AA178" s="35"/>
      <c r="AB178" s="35"/>
      <c r="AC178" s="35"/>
      <c r="AD178" s="35"/>
      <c r="AE178" s="35"/>
      <c r="AF178" s="35"/>
      <c r="AG178" s="35"/>
      <c r="AH178" s="35"/>
      <c r="AI178" s="35"/>
      <c r="AJ178" s="35"/>
      <c r="AK178" s="35"/>
      <c r="AL178" s="35"/>
      <c r="AM178" s="35"/>
      <c r="AN178" s="35"/>
      <c r="AO178" s="35"/>
      <c r="AP178" s="35"/>
      <c r="AQ178" s="35"/>
      <c r="AR178" s="35"/>
      <c r="AS178" s="35"/>
      <c r="AT178" s="35"/>
      <c r="AU178" s="35"/>
      <c r="AV178" s="35"/>
      <c r="AW178" s="35"/>
      <c r="AX178" s="35"/>
      <c r="AY178" s="35"/>
      <c r="AZ178" s="35"/>
      <c r="BA178" s="35"/>
      <c r="BB178" s="35"/>
      <c r="BC178" s="35"/>
      <c r="BD178" s="35"/>
      <c r="BE178" s="35"/>
      <c r="BF178" s="35"/>
      <c r="BG178" s="35"/>
      <c r="BH178" s="35"/>
      <c r="BI178" s="35"/>
      <c r="BJ178" s="35"/>
      <c r="BK178" s="35"/>
      <c r="BL178" s="35"/>
    </row>
    <row r="179" spans="1:64" ht="14">
      <c r="A179" s="35"/>
      <c r="B179" s="36"/>
      <c r="C179" s="39"/>
      <c r="D179" s="78"/>
      <c r="E179" s="78"/>
      <c r="F179" s="78"/>
      <c r="G179" s="229"/>
      <c r="H179" s="229"/>
      <c r="I179" s="40"/>
      <c r="J179" s="43" t="str">
        <f t="shared" si="4"/>
        <v/>
      </c>
      <c r="K179" s="79" t="str">
        <f t="shared" si="5"/>
        <v/>
      </c>
      <c r="L179" s="39"/>
      <c r="M179" s="35"/>
      <c r="N179" s="35"/>
      <c r="O179" s="35"/>
      <c r="P179" s="35"/>
      <c r="Q179" s="35"/>
      <c r="R179" s="35"/>
      <c r="S179" s="35"/>
      <c r="T179" s="35"/>
      <c r="U179" s="35"/>
      <c r="V179" s="35"/>
      <c r="W179" s="35"/>
      <c r="X179" s="35"/>
      <c r="Y179" s="35"/>
      <c r="Z179" s="35"/>
      <c r="AA179" s="35"/>
      <c r="AB179" s="35"/>
      <c r="AC179" s="35"/>
      <c r="AD179" s="35"/>
      <c r="AE179" s="35"/>
      <c r="AF179" s="35"/>
      <c r="AG179" s="35"/>
      <c r="AH179" s="35"/>
      <c r="AI179" s="35"/>
      <c r="AJ179" s="35"/>
      <c r="AK179" s="35"/>
      <c r="AL179" s="35"/>
      <c r="AM179" s="35"/>
      <c r="AN179" s="35"/>
      <c r="AO179" s="35"/>
      <c r="AP179" s="35"/>
      <c r="AQ179" s="35"/>
      <c r="AR179" s="35"/>
      <c r="AS179" s="35"/>
      <c r="AT179" s="35"/>
      <c r="AU179" s="35"/>
      <c r="AV179" s="35"/>
      <c r="AW179" s="35"/>
      <c r="AX179" s="35"/>
      <c r="AY179" s="35"/>
      <c r="AZ179" s="35"/>
      <c r="BA179" s="35"/>
      <c r="BB179" s="35"/>
      <c r="BC179" s="35"/>
      <c r="BD179" s="35"/>
      <c r="BE179" s="35"/>
      <c r="BF179" s="35"/>
      <c r="BG179" s="35"/>
      <c r="BH179" s="35"/>
      <c r="BI179" s="35"/>
      <c r="BJ179" s="35"/>
      <c r="BK179" s="35"/>
      <c r="BL179" s="35"/>
    </row>
    <row r="180" spans="1:64" ht="14">
      <c r="A180" s="35"/>
      <c r="B180" s="36"/>
      <c r="C180" s="39"/>
      <c r="D180" s="78"/>
      <c r="E180" s="78"/>
      <c r="F180" s="78"/>
      <c r="G180" s="229"/>
      <c r="H180" s="229"/>
      <c r="I180" s="40"/>
      <c r="J180" s="43" t="str">
        <f t="shared" si="4"/>
        <v/>
      </c>
      <c r="K180" s="79" t="str">
        <f t="shared" si="5"/>
        <v/>
      </c>
      <c r="L180" s="39"/>
      <c r="M180" s="35"/>
      <c r="N180" s="35"/>
      <c r="O180" s="35"/>
      <c r="P180" s="35"/>
      <c r="Q180" s="35"/>
      <c r="R180" s="35"/>
      <c r="S180" s="35"/>
      <c r="T180" s="35"/>
      <c r="U180" s="35"/>
      <c r="V180" s="35"/>
      <c r="W180" s="35"/>
      <c r="X180" s="35"/>
      <c r="Y180" s="35"/>
      <c r="Z180" s="35"/>
      <c r="AA180" s="35"/>
      <c r="AB180" s="35"/>
      <c r="AC180" s="35"/>
      <c r="AD180" s="35"/>
      <c r="AE180" s="35"/>
      <c r="AF180" s="35"/>
      <c r="AG180" s="35"/>
      <c r="AH180" s="35"/>
      <c r="AI180" s="35"/>
      <c r="AJ180" s="35"/>
      <c r="AK180" s="35"/>
      <c r="AL180" s="35"/>
      <c r="AM180" s="35"/>
      <c r="AN180" s="35"/>
      <c r="AO180" s="35"/>
      <c r="AP180" s="35"/>
      <c r="AQ180" s="35"/>
      <c r="AR180" s="35"/>
      <c r="AS180" s="35"/>
      <c r="AT180" s="35"/>
      <c r="AU180" s="35"/>
      <c r="AV180" s="35"/>
      <c r="AW180" s="35"/>
      <c r="AX180" s="35"/>
      <c r="AY180" s="35"/>
      <c r="AZ180" s="35"/>
      <c r="BA180" s="35"/>
      <c r="BB180" s="35"/>
      <c r="BC180" s="35"/>
      <c r="BD180" s="35"/>
      <c r="BE180" s="35"/>
      <c r="BF180" s="35"/>
      <c r="BG180" s="35"/>
      <c r="BH180" s="35"/>
      <c r="BI180" s="35"/>
      <c r="BJ180" s="35"/>
      <c r="BK180" s="35"/>
      <c r="BL180" s="35"/>
    </row>
    <row r="181" spans="1:64" ht="14">
      <c r="A181" s="35"/>
      <c r="B181" s="36"/>
      <c r="C181" s="39"/>
      <c r="D181" s="78"/>
      <c r="E181" s="78"/>
      <c r="F181" s="78"/>
      <c r="G181" s="229"/>
      <c r="H181" s="229"/>
      <c r="I181" s="40"/>
      <c r="J181" s="43" t="str">
        <f t="shared" si="4"/>
        <v/>
      </c>
      <c r="K181" s="79" t="str">
        <f t="shared" si="5"/>
        <v/>
      </c>
      <c r="L181" s="39"/>
      <c r="M181" s="35"/>
      <c r="N181" s="35"/>
      <c r="O181" s="35"/>
      <c r="P181" s="35"/>
      <c r="Q181" s="35"/>
      <c r="R181" s="35"/>
      <c r="S181" s="35"/>
      <c r="T181" s="35"/>
      <c r="U181" s="35"/>
      <c r="V181" s="35"/>
      <c r="W181" s="35"/>
      <c r="X181" s="35"/>
      <c r="Y181" s="35"/>
      <c r="Z181" s="35"/>
      <c r="AA181" s="35"/>
      <c r="AB181" s="35"/>
      <c r="AC181" s="35"/>
      <c r="AD181" s="35"/>
      <c r="AE181" s="35"/>
      <c r="AF181" s="35"/>
      <c r="AG181" s="35"/>
      <c r="AH181" s="35"/>
      <c r="AI181" s="35"/>
      <c r="AJ181" s="35"/>
      <c r="AK181" s="35"/>
      <c r="AL181" s="35"/>
      <c r="AM181" s="35"/>
      <c r="AN181" s="35"/>
      <c r="AO181" s="35"/>
      <c r="AP181" s="35"/>
      <c r="AQ181" s="35"/>
      <c r="AR181" s="35"/>
      <c r="AS181" s="35"/>
      <c r="AT181" s="35"/>
      <c r="AU181" s="35"/>
      <c r="AV181" s="35"/>
      <c r="AW181" s="35"/>
      <c r="AX181" s="35"/>
      <c r="AY181" s="35"/>
      <c r="AZ181" s="35"/>
      <c r="BA181" s="35"/>
      <c r="BB181" s="35"/>
      <c r="BC181" s="35"/>
      <c r="BD181" s="35"/>
      <c r="BE181" s="35"/>
      <c r="BF181" s="35"/>
      <c r="BG181" s="35"/>
      <c r="BH181" s="35"/>
      <c r="BI181" s="35"/>
      <c r="BJ181" s="35"/>
      <c r="BK181" s="35"/>
      <c r="BL181" s="35"/>
    </row>
    <row r="182" spans="1:64" ht="14">
      <c r="A182" s="35"/>
      <c r="B182" s="36"/>
      <c r="C182" s="39"/>
      <c r="D182" s="78"/>
      <c r="E182" s="78"/>
      <c r="F182" s="78"/>
      <c r="G182" s="229"/>
      <c r="H182" s="229"/>
      <c r="I182" s="40"/>
      <c r="J182" s="43" t="str">
        <f t="shared" si="4"/>
        <v/>
      </c>
      <c r="K182" s="79" t="str">
        <f t="shared" si="5"/>
        <v/>
      </c>
      <c r="L182" s="39"/>
      <c r="M182" s="35"/>
      <c r="N182" s="35"/>
      <c r="O182" s="35"/>
      <c r="P182" s="35"/>
      <c r="Q182" s="35"/>
      <c r="R182" s="35"/>
      <c r="S182" s="35"/>
      <c r="T182" s="35"/>
      <c r="U182" s="35"/>
      <c r="V182" s="35"/>
      <c r="W182" s="35"/>
      <c r="X182" s="35"/>
      <c r="Y182" s="35"/>
      <c r="Z182" s="35"/>
      <c r="AA182" s="35"/>
      <c r="AB182" s="35"/>
      <c r="AC182" s="35"/>
      <c r="AD182" s="35"/>
      <c r="AE182" s="35"/>
      <c r="AF182" s="35"/>
      <c r="AG182" s="35"/>
      <c r="AH182" s="35"/>
      <c r="AI182" s="35"/>
      <c r="AJ182" s="35"/>
      <c r="AK182" s="35"/>
      <c r="AL182" s="35"/>
      <c r="AM182" s="35"/>
      <c r="AN182" s="35"/>
      <c r="AO182" s="35"/>
      <c r="AP182" s="35"/>
      <c r="AQ182" s="35"/>
      <c r="AR182" s="35"/>
      <c r="AS182" s="35"/>
      <c r="AT182" s="35"/>
      <c r="AU182" s="35"/>
      <c r="AV182" s="35"/>
      <c r="AW182" s="35"/>
      <c r="AX182" s="35"/>
      <c r="AY182" s="35"/>
      <c r="AZ182" s="35"/>
      <c r="BA182" s="35"/>
      <c r="BB182" s="35"/>
      <c r="BC182" s="35"/>
      <c r="BD182" s="35"/>
      <c r="BE182" s="35"/>
      <c r="BF182" s="35"/>
      <c r="BG182" s="35"/>
      <c r="BH182" s="35"/>
      <c r="BI182" s="35"/>
      <c r="BJ182" s="35"/>
      <c r="BK182" s="35"/>
      <c r="BL182" s="35"/>
    </row>
    <row r="183" spans="1:64" ht="14">
      <c r="A183" s="35"/>
      <c r="B183" s="36"/>
      <c r="C183" s="39"/>
      <c r="D183" s="78"/>
      <c r="E183" s="78"/>
      <c r="F183" s="78"/>
      <c r="G183" s="229"/>
      <c r="H183" s="229"/>
      <c r="I183" s="40"/>
      <c r="J183" s="43" t="str">
        <f t="shared" si="4"/>
        <v/>
      </c>
      <c r="K183" s="79" t="str">
        <f t="shared" si="5"/>
        <v/>
      </c>
      <c r="L183" s="39"/>
      <c r="M183" s="35"/>
      <c r="N183" s="35"/>
      <c r="O183" s="35"/>
      <c r="P183" s="35"/>
      <c r="Q183" s="35"/>
      <c r="R183" s="35"/>
      <c r="S183" s="35"/>
      <c r="T183" s="35"/>
      <c r="U183" s="35"/>
      <c r="V183" s="35"/>
      <c r="W183" s="35"/>
      <c r="X183" s="35"/>
      <c r="Y183" s="35"/>
      <c r="Z183" s="35"/>
      <c r="AA183" s="35"/>
      <c r="AB183" s="35"/>
      <c r="AC183" s="35"/>
      <c r="AD183" s="35"/>
      <c r="AE183" s="35"/>
      <c r="AF183" s="35"/>
      <c r="AG183" s="35"/>
      <c r="AH183" s="35"/>
      <c r="AI183" s="35"/>
      <c r="AJ183" s="35"/>
      <c r="AK183" s="35"/>
      <c r="AL183" s="35"/>
      <c r="AM183" s="35"/>
      <c r="AN183" s="35"/>
      <c r="AO183" s="35"/>
      <c r="AP183" s="35"/>
      <c r="AQ183" s="35"/>
      <c r="AR183" s="35"/>
      <c r="AS183" s="35"/>
      <c r="AT183" s="35"/>
      <c r="AU183" s="35"/>
      <c r="AV183" s="35"/>
      <c r="AW183" s="35"/>
      <c r="AX183" s="35"/>
      <c r="AY183" s="35"/>
      <c r="AZ183" s="35"/>
      <c r="BA183" s="35"/>
      <c r="BB183" s="35"/>
      <c r="BC183" s="35"/>
      <c r="BD183" s="35"/>
      <c r="BE183" s="35"/>
      <c r="BF183" s="35"/>
      <c r="BG183" s="35"/>
      <c r="BH183" s="35"/>
      <c r="BI183" s="35"/>
      <c r="BJ183" s="35"/>
      <c r="BK183" s="35"/>
      <c r="BL183" s="35"/>
    </row>
    <row r="184" spans="1:64" ht="14">
      <c r="A184" s="35"/>
      <c r="B184" s="36"/>
      <c r="C184" s="39"/>
      <c r="D184" s="78"/>
      <c r="E184" s="78"/>
      <c r="F184" s="78"/>
      <c r="G184" s="229"/>
      <c r="H184" s="229"/>
      <c r="I184" s="40"/>
      <c r="J184" s="43" t="str">
        <f t="shared" si="4"/>
        <v/>
      </c>
      <c r="K184" s="79" t="str">
        <f t="shared" si="5"/>
        <v/>
      </c>
      <c r="L184" s="39"/>
      <c r="M184" s="35"/>
      <c r="N184" s="35"/>
      <c r="O184" s="35"/>
      <c r="P184" s="35"/>
      <c r="Q184" s="35"/>
      <c r="R184" s="35"/>
      <c r="S184" s="35"/>
      <c r="T184" s="35"/>
      <c r="U184" s="35"/>
      <c r="V184" s="35"/>
      <c r="W184" s="35"/>
      <c r="X184" s="35"/>
      <c r="Y184" s="35"/>
      <c r="Z184" s="35"/>
      <c r="AA184" s="35"/>
      <c r="AB184" s="35"/>
      <c r="AC184" s="35"/>
      <c r="AD184" s="35"/>
      <c r="AE184" s="35"/>
      <c r="AF184" s="35"/>
      <c r="AG184" s="35"/>
      <c r="AH184" s="35"/>
      <c r="AI184" s="35"/>
      <c r="AJ184" s="35"/>
      <c r="AK184" s="35"/>
      <c r="AL184" s="35"/>
      <c r="AM184" s="35"/>
      <c r="AN184" s="35"/>
      <c r="AO184" s="35"/>
      <c r="AP184" s="35"/>
      <c r="AQ184" s="35"/>
      <c r="AR184" s="35"/>
      <c r="AS184" s="35"/>
      <c r="AT184" s="35"/>
      <c r="AU184" s="35"/>
      <c r="AV184" s="35"/>
      <c r="AW184" s="35"/>
      <c r="AX184" s="35"/>
      <c r="AY184" s="35"/>
      <c r="AZ184" s="35"/>
      <c r="BA184" s="35"/>
      <c r="BB184" s="35"/>
      <c r="BC184" s="35"/>
      <c r="BD184" s="35"/>
      <c r="BE184" s="35"/>
      <c r="BF184" s="35"/>
      <c r="BG184" s="35"/>
      <c r="BH184" s="35"/>
      <c r="BI184" s="35"/>
      <c r="BJ184" s="35"/>
      <c r="BK184" s="35"/>
      <c r="BL184" s="35"/>
    </row>
    <row r="185" spans="1:64" ht="14">
      <c r="A185" s="35"/>
      <c r="B185" s="36"/>
      <c r="C185" s="39"/>
      <c r="D185" s="78"/>
      <c r="E185" s="78"/>
      <c r="F185" s="78"/>
      <c r="G185" s="229"/>
      <c r="H185" s="229"/>
      <c r="I185" s="40"/>
      <c r="J185" s="43" t="str">
        <f t="shared" si="4"/>
        <v/>
      </c>
      <c r="K185" s="79" t="str">
        <f t="shared" si="5"/>
        <v/>
      </c>
      <c r="L185" s="39"/>
      <c r="M185" s="35"/>
      <c r="N185" s="35"/>
      <c r="O185" s="35"/>
      <c r="P185" s="35"/>
      <c r="Q185" s="35"/>
      <c r="R185" s="35"/>
      <c r="S185" s="35"/>
      <c r="T185" s="35"/>
      <c r="U185" s="35"/>
      <c r="V185" s="35"/>
      <c r="W185" s="35"/>
      <c r="X185" s="35"/>
      <c r="Y185" s="35"/>
      <c r="Z185" s="35"/>
      <c r="AA185" s="35"/>
      <c r="AB185" s="35"/>
      <c r="AC185" s="35"/>
      <c r="AD185" s="35"/>
      <c r="AE185" s="35"/>
      <c r="AF185" s="35"/>
      <c r="AG185" s="35"/>
      <c r="AH185" s="35"/>
      <c r="AI185" s="35"/>
      <c r="AJ185" s="35"/>
      <c r="AK185" s="35"/>
      <c r="AL185" s="35"/>
      <c r="AM185" s="35"/>
      <c r="AN185" s="35"/>
      <c r="AO185" s="35"/>
      <c r="AP185" s="35"/>
      <c r="AQ185" s="35"/>
      <c r="AR185" s="35"/>
      <c r="AS185" s="35"/>
      <c r="AT185" s="35"/>
      <c r="AU185" s="35"/>
      <c r="AV185" s="35"/>
      <c r="AW185" s="35"/>
      <c r="AX185" s="35"/>
      <c r="AY185" s="35"/>
      <c r="AZ185" s="35"/>
      <c r="BA185" s="35"/>
      <c r="BB185" s="35"/>
      <c r="BC185" s="35"/>
      <c r="BD185" s="35"/>
      <c r="BE185" s="35"/>
      <c r="BF185" s="35"/>
      <c r="BG185" s="35"/>
      <c r="BH185" s="35"/>
      <c r="BI185" s="35"/>
      <c r="BJ185" s="35"/>
      <c r="BK185" s="35"/>
      <c r="BL185" s="35"/>
    </row>
    <row r="186" spans="1:64" ht="14">
      <c r="A186" s="35"/>
      <c r="B186" s="36"/>
      <c r="C186" s="39"/>
      <c r="D186" s="78"/>
      <c r="E186" s="78"/>
      <c r="F186" s="78"/>
      <c r="G186" s="229"/>
      <c r="H186" s="229"/>
      <c r="I186" s="40"/>
      <c r="J186" s="43" t="str">
        <f t="shared" si="4"/>
        <v/>
      </c>
      <c r="K186" s="79" t="str">
        <f t="shared" si="5"/>
        <v/>
      </c>
      <c r="L186" s="39"/>
      <c r="M186" s="35"/>
      <c r="N186" s="35"/>
      <c r="O186" s="35"/>
      <c r="P186" s="35"/>
      <c r="Q186" s="35"/>
      <c r="R186" s="35"/>
      <c r="S186" s="35"/>
      <c r="T186" s="35"/>
      <c r="U186" s="35"/>
      <c r="V186" s="35"/>
      <c r="W186" s="35"/>
      <c r="X186" s="35"/>
      <c r="Y186" s="35"/>
      <c r="Z186" s="35"/>
      <c r="AA186" s="35"/>
      <c r="AB186" s="35"/>
      <c r="AC186" s="35"/>
      <c r="AD186" s="35"/>
      <c r="AE186" s="35"/>
      <c r="AF186" s="35"/>
      <c r="AG186" s="35"/>
      <c r="AH186" s="35"/>
      <c r="AI186" s="35"/>
      <c r="AJ186" s="35"/>
      <c r="AK186" s="35"/>
      <c r="AL186" s="35"/>
      <c r="AM186" s="35"/>
      <c r="AN186" s="35"/>
      <c r="AO186" s="35"/>
      <c r="AP186" s="35"/>
      <c r="AQ186" s="35"/>
      <c r="AR186" s="35"/>
      <c r="AS186" s="35"/>
      <c r="AT186" s="35"/>
      <c r="AU186" s="35"/>
      <c r="AV186" s="35"/>
      <c r="AW186" s="35"/>
      <c r="AX186" s="35"/>
      <c r="AY186" s="35"/>
      <c r="AZ186" s="35"/>
      <c r="BA186" s="35"/>
      <c r="BB186" s="35"/>
      <c r="BC186" s="35"/>
      <c r="BD186" s="35"/>
      <c r="BE186" s="35"/>
      <c r="BF186" s="35"/>
      <c r="BG186" s="35"/>
      <c r="BH186" s="35"/>
      <c r="BI186" s="35"/>
      <c r="BJ186" s="35"/>
      <c r="BK186" s="35"/>
      <c r="BL186" s="35"/>
    </row>
    <row r="187" spans="1:64" ht="14">
      <c r="A187" s="35"/>
      <c r="B187" s="36"/>
      <c r="C187" s="39"/>
      <c r="D187" s="78"/>
      <c r="E187" s="78"/>
      <c r="F187" s="78"/>
      <c r="G187" s="229"/>
      <c r="H187" s="229"/>
      <c r="I187" s="40"/>
      <c r="J187" s="43" t="str">
        <f t="shared" si="4"/>
        <v/>
      </c>
      <c r="K187" s="79" t="str">
        <f t="shared" si="5"/>
        <v/>
      </c>
      <c r="L187" s="39"/>
      <c r="M187" s="35"/>
      <c r="N187" s="35"/>
      <c r="O187" s="35"/>
      <c r="P187" s="35"/>
      <c r="Q187" s="35"/>
      <c r="R187" s="35"/>
      <c r="S187" s="35"/>
      <c r="T187" s="35"/>
      <c r="U187" s="35"/>
      <c r="V187" s="35"/>
      <c r="W187" s="35"/>
      <c r="X187" s="35"/>
      <c r="Y187" s="35"/>
      <c r="Z187" s="35"/>
      <c r="AA187" s="35"/>
      <c r="AB187" s="35"/>
      <c r="AC187" s="35"/>
      <c r="AD187" s="35"/>
      <c r="AE187" s="35"/>
      <c r="AF187" s="35"/>
      <c r="AG187" s="35"/>
      <c r="AH187" s="35"/>
      <c r="AI187" s="35"/>
      <c r="AJ187" s="35"/>
      <c r="AK187" s="35"/>
      <c r="AL187" s="35"/>
      <c r="AM187" s="35"/>
      <c r="AN187" s="35"/>
      <c r="AO187" s="35"/>
      <c r="AP187" s="35"/>
      <c r="AQ187" s="35"/>
      <c r="AR187" s="35"/>
      <c r="AS187" s="35"/>
      <c r="AT187" s="35"/>
      <c r="AU187" s="35"/>
      <c r="AV187" s="35"/>
      <c r="AW187" s="35"/>
      <c r="AX187" s="35"/>
      <c r="AY187" s="35"/>
      <c r="AZ187" s="35"/>
      <c r="BA187" s="35"/>
      <c r="BB187" s="35"/>
      <c r="BC187" s="35"/>
      <c r="BD187" s="35"/>
      <c r="BE187" s="35"/>
      <c r="BF187" s="35"/>
      <c r="BG187" s="35"/>
      <c r="BH187" s="35"/>
      <c r="BI187" s="35"/>
      <c r="BJ187" s="35"/>
      <c r="BK187" s="35"/>
      <c r="BL187" s="35"/>
    </row>
    <row r="188" spans="1:64" ht="14">
      <c r="A188" s="35"/>
      <c r="B188" s="36"/>
      <c r="C188" s="39"/>
      <c r="D188" s="78"/>
      <c r="E188" s="78"/>
      <c r="F188" s="78"/>
      <c r="G188" s="229"/>
      <c r="H188" s="229"/>
      <c r="I188" s="40"/>
      <c r="J188" s="43" t="str">
        <f t="shared" si="4"/>
        <v/>
      </c>
      <c r="K188" s="79" t="str">
        <f t="shared" si="5"/>
        <v/>
      </c>
      <c r="L188" s="39"/>
      <c r="M188" s="35"/>
      <c r="N188" s="35"/>
      <c r="O188" s="35"/>
      <c r="P188" s="35"/>
      <c r="Q188" s="35"/>
      <c r="R188" s="35"/>
      <c r="S188" s="35"/>
      <c r="T188" s="35"/>
      <c r="U188" s="35"/>
      <c r="V188" s="35"/>
      <c r="W188" s="35"/>
      <c r="X188" s="35"/>
      <c r="Y188" s="35"/>
      <c r="Z188" s="35"/>
      <c r="AA188" s="35"/>
      <c r="AB188" s="35"/>
      <c r="AC188" s="35"/>
      <c r="AD188" s="35"/>
      <c r="AE188" s="35"/>
      <c r="AF188" s="35"/>
      <c r="AG188" s="35"/>
      <c r="AH188" s="35"/>
      <c r="AI188" s="35"/>
      <c r="AJ188" s="35"/>
      <c r="AK188" s="35"/>
      <c r="AL188" s="35"/>
      <c r="AM188" s="35"/>
      <c r="AN188" s="35"/>
      <c r="AO188" s="35"/>
      <c r="AP188" s="35"/>
      <c r="AQ188" s="35"/>
      <c r="AR188" s="35"/>
      <c r="AS188" s="35"/>
      <c r="AT188" s="35"/>
      <c r="AU188" s="35"/>
      <c r="AV188" s="35"/>
      <c r="AW188" s="35"/>
      <c r="AX188" s="35"/>
      <c r="AY188" s="35"/>
      <c r="AZ188" s="35"/>
      <c r="BA188" s="35"/>
      <c r="BB188" s="35"/>
      <c r="BC188" s="35"/>
      <c r="BD188" s="35"/>
      <c r="BE188" s="35"/>
      <c r="BF188" s="35"/>
      <c r="BG188" s="35"/>
      <c r="BH188" s="35"/>
      <c r="BI188" s="35"/>
      <c r="BJ188" s="35"/>
      <c r="BK188" s="35"/>
      <c r="BL188" s="35"/>
    </row>
    <row r="189" spans="1:64" ht="14">
      <c r="A189" s="35"/>
      <c r="B189" s="36"/>
      <c r="C189" s="39"/>
      <c r="D189" s="78"/>
      <c r="E189" s="78"/>
      <c r="F189" s="78"/>
      <c r="G189" s="229"/>
      <c r="H189" s="229"/>
      <c r="I189" s="40"/>
      <c r="J189" s="43" t="str">
        <f t="shared" si="4"/>
        <v/>
      </c>
      <c r="K189" s="79" t="str">
        <f t="shared" si="5"/>
        <v/>
      </c>
      <c r="L189" s="39"/>
      <c r="M189" s="35"/>
      <c r="N189" s="35"/>
      <c r="O189" s="35"/>
      <c r="P189" s="35"/>
      <c r="Q189" s="35"/>
      <c r="R189" s="35"/>
      <c r="S189" s="35"/>
      <c r="T189" s="35"/>
      <c r="U189" s="35"/>
      <c r="V189" s="35"/>
      <c r="W189" s="35"/>
      <c r="X189" s="35"/>
      <c r="Y189" s="35"/>
      <c r="Z189" s="35"/>
      <c r="AA189" s="35"/>
      <c r="AB189" s="35"/>
      <c r="AC189" s="35"/>
      <c r="AD189" s="35"/>
      <c r="AE189" s="35"/>
      <c r="AF189" s="35"/>
      <c r="AG189" s="35"/>
      <c r="AH189" s="35"/>
      <c r="AI189" s="35"/>
      <c r="AJ189" s="35"/>
      <c r="AK189" s="35"/>
      <c r="AL189" s="35"/>
      <c r="AM189" s="35"/>
      <c r="AN189" s="35"/>
      <c r="AO189" s="35"/>
      <c r="AP189" s="35"/>
      <c r="AQ189" s="35"/>
      <c r="AR189" s="35"/>
      <c r="AS189" s="35"/>
      <c r="AT189" s="35"/>
      <c r="AU189" s="35"/>
      <c r="AV189" s="35"/>
      <c r="AW189" s="35"/>
      <c r="AX189" s="35"/>
      <c r="AY189" s="35"/>
      <c r="AZ189" s="35"/>
      <c r="BA189" s="35"/>
      <c r="BB189" s="35"/>
      <c r="BC189" s="35"/>
      <c r="BD189" s="35"/>
      <c r="BE189" s="35"/>
      <c r="BF189" s="35"/>
      <c r="BG189" s="35"/>
      <c r="BH189" s="35"/>
      <c r="BI189" s="35"/>
      <c r="BJ189" s="35"/>
      <c r="BK189" s="35"/>
      <c r="BL189" s="35"/>
    </row>
    <row r="190" spans="1:64" ht="14">
      <c r="A190" s="35"/>
      <c r="B190" s="36"/>
      <c r="C190" s="39"/>
      <c r="D190" s="78"/>
      <c r="E190" s="78"/>
      <c r="F190" s="78"/>
      <c r="G190" s="229"/>
      <c r="H190" s="229"/>
      <c r="I190" s="40"/>
      <c r="J190" s="43" t="str">
        <f t="shared" si="4"/>
        <v/>
      </c>
      <c r="K190" s="79" t="str">
        <f t="shared" si="5"/>
        <v/>
      </c>
      <c r="L190" s="39"/>
      <c r="M190" s="35"/>
      <c r="N190" s="35"/>
      <c r="O190" s="35"/>
      <c r="P190" s="35"/>
      <c r="Q190" s="35"/>
      <c r="R190" s="35"/>
      <c r="S190" s="35"/>
      <c r="T190" s="35"/>
      <c r="U190" s="35"/>
      <c r="V190" s="35"/>
      <c r="W190" s="35"/>
      <c r="X190" s="35"/>
      <c r="Y190" s="35"/>
      <c r="Z190" s="35"/>
      <c r="AA190" s="35"/>
      <c r="AB190" s="35"/>
      <c r="AC190" s="35"/>
      <c r="AD190" s="35"/>
      <c r="AE190" s="35"/>
      <c r="AF190" s="35"/>
      <c r="AG190" s="35"/>
      <c r="AH190" s="35"/>
      <c r="AI190" s="35"/>
      <c r="AJ190" s="35"/>
      <c r="AK190" s="35"/>
      <c r="AL190" s="35"/>
      <c r="AM190" s="35"/>
      <c r="AN190" s="35"/>
      <c r="AO190" s="35"/>
      <c r="AP190" s="35"/>
      <c r="AQ190" s="35"/>
      <c r="AR190" s="35"/>
      <c r="AS190" s="35"/>
      <c r="AT190" s="35"/>
      <c r="AU190" s="35"/>
      <c r="AV190" s="35"/>
      <c r="AW190" s="35"/>
      <c r="AX190" s="35"/>
      <c r="AY190" s="35"/>
      <c r="AZ190" s="35"/>
      <c r="BA190" s="35"/>
      <c r="BB190" s="35"/>
      <c r="BC190" s="35"/>
      <c r="BD190" s="35"/>
      <c r="BE190" s="35"/>
      <c r="BF190" s="35"/>
      <c r="BG190" s="35"/>
      <c r="BH190" s="35"/>
      <c r="BI190" s="35"/>
      <c r="BJ190" s="35"/>
      <c r="BK190" s="35"/>
      <c r="BL190" s="35"/>
    </row>
    <row r="191" spans="1:64" ht="14">
      <c r="A191" s="35"/>
      <c r="B191" s="36"/>
      <c r="C191" s="39"/>
      <c r="D191" s="78"/>
      <c r="E191" s="78"/>
      <c r="F191" s="78"/>
      <c r="G191" s="229"/>
      <c r="H191" s="229"/>
      <c r="I191" s="40"/>
      <c r="J191" s="43" t="str">
        <f t="shared" si="4"/>
        <v/>
      </c>
      <c r="K191" s="79" t="str">
        <f t="shared" si="5"/>
        <v/>
      </c>
      <c r="L191" s="39"/>
      <c r="M191" s="35"/>
      <c r="N191" s="35"/>
      <c r="O191" s="35"/>
      <c r="P191" s="35"/>
      <c r="Q191" s="35"/>
      <c r="R191" s="35"/>
      <c r="S191" s="35"/>
      <c r="T191" s="35"/>
      <c r="U191" s="35"/>
      <c r="V191" s="35"/>
      <c r="W191" s="35"/>
      <c r="X191" s="35"/>
      <c r="Y191" s="35"/>
      <c r="Z191" s="35"/>
      <c r="AA191" s="35"/>
      <c r="AB191" s="35"/>
      <c r="AC191" s="35"/>
      <c r="AD191" s="35"/>
      <c r="AE191" s="35"/>
      <c r="AF191" s="35"/>
      <c r="AG191" s="35"/>
      <c r="AH191" s="35"/>
      <c r="AI191" s="35"/>
      <c r="AJ191" s="35"/>
      <c r="AK191" s="35"/>
      <c r="AL191" s="35"/>
      <c r="AM191" s="35"/>
      <c r="AN191" s="35"/>
      <c r="AO191" s="35"/>
      <c r="AP191" s="35"/>
      <c r="AQ191" s="35"/>
      <c r="AR191" s="35"/>
      <c r="AS191" s="35"/>
      <c r="AT191" s="35"/>
      <c r="AU191" s="35"/>
      <c r="AV191" s="35"/>
      <c r="AW191" s="35"/>
      <c r="AX191" s="35"/>
      <c r="AY191" s="35"/>
      <c r="AZ191" s="35"/>
      <c r="BA191" s="35"/>
      <c r="BB191" s="35"/>
      <c r="BC191" s="35"/>
      <c r="BD191" s="35"/>
      <c r="BE191" s="35"/>
      <c r="BF191" s="35"/>
      <c r="BG191" s="35"/>
      <c r="BH191" s="35"/>
      <c r="BI191" s="35"/>
      <c r="BJ191" s="35"/>
      <c r="BK191" s="35"/>
      <c r="BL191" s="35"/>
    </row>
    <row r="192" spans="1:64" ht="14">
      <c r="A192" s="35"/>
      <c r="B192" s="36"/>
      <c r="C192" s="39"/>
      <c r="D192" s="78"/>
      <c r="E192" s="78"/>
      <c r="F192" s="78"/>
      <c r="G192" s="229"/>
      <c r="H192" s="229"/>
      <c r="I192" s="40"/>
      <c r="J192" s="43" t="str">
        <f t="shared" si="4"/>
        <v/>
      </c>
      <c r="K192" s="79" t="str">
        <f t="shared" si="5"/>
        <v/>
      </c>
      <c r="L192" s="39"/>
      <c r="M192" s="35"/>
      <c r="N192" s="35"/>
      <c r="O192" s="35"/>
      <c r="P192" s="35"/>
      <c r="Q192" s="35"/>
      <c r="R192" s="35"/>
      <c r="S192" s="35"/>
      <c r="T192" s="35"/>
      <c r="U192" s="35"/>
      <c r="V192" s="35"/>
      <c r="W192" s="35"/>
      <c r="X192" s="35"/>
      <c r="Y192" s="35"/>
      <c r="Z192" s="35"/>
      <c r="AA192" s="35"/>
      <c r="AB192" s="35"/>
      <c r="AC192" s="35"/>
      <c r="AD192" s="35"/>
      <c r="AE192" s="35"/>
      <c r="AF192" s="35"/>
      <c r="AG192" s="35"/>
      <c r="AH192" s="35"/>
      <c r="AI192" s="35"/>
      <c r="AJ192" s="35"/>
      <c r="AK192" s="35"/>
      <c r="AL192" s="35"/>
      <c r="AM192" s="35"/>
      <c r="AN192" s="35"/>
      <c r="AO192" s="35"/>
      <c r="AP192" s="35"/>
      <c r="AQ192" s="35"/>
      <c r="AR192" s="35"/>
      <c r="AS192" s="35"/>
      <c r="AT192" s="35"/>
      <c r="AU192" s="35"/>
      <c r="AV192" s="35"/>
      <c r="AW192" s="35"/>
      <c r="AX192" s="35"/>
      <c r="AY192" s="35"/>
      <c r="AZ192" s="35"/>
      <c r="BA192" s="35"/>
      <c r="BB192" s="35"/>
      <c r="BC192" s="35"/>
      <c r="BD192" s="35"/>
      <c r="BE192" s="35"/>
      <c r="BF192" s="35"/>
      <c r="BG192" s="35"/>
      <c r="BH192" s="35"/>
      <c r="BI192" s="35"/>
      <c r="BJ192" s="35"/>
      <c r="BK192" s="35"/>
      <c r="BL192" s="35"/>
    </row>
    <row r="193" spans="1:64" ht="14">
      <c r="A193" s="35"/>
      <c r="B193" s="36"/>
      <c r="C193" s="39"/>
      <c r="D193" s="78"/>
      <c r="E193" s="78"/>
      <c r="F193" s="78"/>
      <c r="G193" s="229"/>
      <c r="H193" s="229"/>
      <c r="I193" s="40"/>
      <c r="J193" s="43" t="str">
        <f t="shared" si="4"/>
        <v/>
      </c>
      <c r="K193" s="79" t="str">
        <f t="shared" si="5"/>
        <v/>
      </c>
      <c r="L193" s="39"/>
      <c r="M193" s="35"/>
      <c r="N193" s="35"/>
      <c r="O193" s="35"/>
      <c r="P193" s="35"/>
      <c r="Q193" s="35"/>
      <c r="R193" s="35"/>
      <c r="S193" s="35"/>
      <c r="T193" s="35"/>
      <c r="U193" s="35"/>
      <c r="V193" s="35"/>
      <c r="W193" s="35"/>
      <c r="X193" s="35"/>
      <c r="Y193" s="35"/>
      <c r="Z193" s="35"/>
      <c r="AA193" s="35"/>
      <c r="AB193" s="35"/>
      <c r="AC193" s="35"/>
      <c r="AD193" s="35"/>
      <c r="AE193" s="35"/>
      <c r="AF193" s="35"/>
      <c r="AG193" s="35"/>
      <c r="AH193" s="35"/>
      <c r="AI193" s="35"/>
      <c r="AJ193" s="35"/>
      <c r="AK193" s="35"/>
      <c r="AL193" s="35"/>
      <c r="AM193" s="35"/>
      <c r="AN193" s="35"/>
      <c r="AO193" s="35"/>
      <c r="AP193" s="35"/>
      <c r="AQ193" s="35"/>
      <c r="AR193" s="35"/>
      <c r="AS193" s="35"/>
      <c r="AT193" s="35"/>
      <c r="AU193" s="35"/>
      <c r="AV193" s="35"/>
      <c r="AW193" s="35"/>
      <c r="AX193" s="35"/>
      <c r="AY193" s="35"/>
      <c r="AZ193" s="35"/>
      <c r="BA193" s="35"/>
      <c r="BB193" s="35"/>
      <c r="BC193" s="35"/>
      <c r="BD193" s="35"/>
      <c r="BE193" s="35"/>
      <c r="BF193" s="35"/>
      <c r="BG193" s="35"/>
      <c r="BH193" s="35"/>
      <c r="BI193" s="35"/>
      <c r="BJ193" s="35"/>
      <c r="BK193" s="35"/>
      <c r="BL193" s="35"/>
    </row>
    <row r="194" spans="1:64" ht="14">
      <c r="A194" s="35"/>
      <c r="B194" s="36"/>
      <c r="C194" s="39"/>
      <c r="D194" s="78"/>
      <c r="E194" s="78"/>
      <c r="F194" s="78"/>
      <c r="G194" s="229"/>
      <c r="H194" s="229"/>
      <c r="I194" s="40"/>
      <c r="J194" s="43" t="str">
        <f t="shared" si="4"/>
        <v/>
      </c>
      <c r="K194" s="79" t="str">
        <f t="shared" si="5"/>
        <v/>
      </c>
      <c r="L194" s="39"/>
      <c r="M194" s="35"/>
      <c r="N194" s="35"/>
      <c r="O194" s="35"/>
      <c r="P194" s="35"/>
      <c r="Q194" s="35"/>
      <c r="R194" s="35"/>
      <c r="S194" s="35"/>
      <c r="T194" s="35"/>
      <c r="U194" s="35"/>
      <c r="V194" s="35"/>
      <c r="W194" s="35"/>
      <c r="X194" s="35"/>
      <c r="Y194" s="35"/>
      <c r="Z194" s="35"/>
      <c r="AA194" s="35"/>
      <c r="AB194" s="35"/>
      <c r="AC194" s="35"/>
      <c r="AD194" s="35"/>
      <c r="AE194" s="35"/>
      <c r="AF194" s="35"/>
      <c r="AG194" s="35"/>
      <c r="AH194" s="35"/>
      <c r="AI194" s="35"/>
      <c r="AJ194" s="35"/>
      <c r="AK194" s="35"/>
      <c r="AL194" s="35"/>
      <c r="AM194" s="35"/>
      <c r="AN194" s="35"/>
      <c r="AO194" s="35"/>
      <c r="AP194" s="35"/>
      <c r="AQ194" s="35"/>
      <c r="AR194" s="35"/>
      <c r="AS194" s="35"/>
      <c r="AT194" s="35"/>
      <c r="AU194" s="35"/>
      <c r="AV194" s="35"/>
      <c r="AW194" s="35"/>
      <c r="AX194" s="35"/>
      <c r="AY194" s="35"/>
      <c r="AZ194" s="35"/>
      <c r="BA194" s="35"/>
      <c r="BB194" s="35"/>
      <c r="BC194" s="35"/>
      <c r="BD194" s="35"/>
      <c r="BE194" s="35"/>
      <c r="BF194" s="35"/>
      <c r="BG194" s="35"/>
      <c r="BH194" s="35"/>
      <c r="BI194" s="35"/>
      <c r="BJ194" s="35"/>
      <c r="BK194" s="35"/>
      <c r="BL194" s="35"/>
    </row>
    <row r="195" spans="1:64" ht="14">
      <c r="A195" s="35"/>
      <c r="B195" s="36"/>
      <c r="C195" s="39"/>
      <c r="D195" s="78"/>
      <c r="E195" s="78"/>
      <c r="F195" s="78"/>
      <c r="G195" s="229"/>
      <c r="H195" s="229"/>
      <c r="I195" s="40"/>
      <c r="J195" s="43" t="str">
        <f t="shared" si="4"/>
        <v/>
      </c>
      <c r="K195" s="79" t="str">
        <f t="shared" si="5"/>
        <v/>
      </c>
      <c r="L195" s="39"/>
      <c r="M195" s="35"/>
      <c r="N195" s="35"/>
      <c r="O195" s="35"/>
      <c r="P195" s="35"/>
      <c r="Q195" s="35"/>
      <c r="R195" s="35"/>
      <c r="S195" s="35"/>
      <c r="T195" s="35"/>
      <c r="U195" s="35"/>
      <c r="V195" s="35"/>
      <c r="W195" s="35"/>
      <c r="X195" s="35"/>
      <c r="Y195" s="35"/>
      <c r="Z195" s="35"/>
      <c r="AA195" s="35"/>
      <c r="AB195" s="35"/>
      <c r="AC195" s="35"/>
      <c r="AD195" s="35"/>
      <c r="AE195" s="35"/>
      <c r="AF195" s="35"/>
      <c r="AG195" s="35"/>
      <c r="AH195" s="35"/>
      <c r="AI195" s="35"/>
      <c r="AJ195" s="35"/>
      <c r="AK195" s="35"/>
      <c r="AL195" s="35"/>
      <c r="AM195" s="35"/>
      <c r="AN195" s="35"/>
      <c r="AO195" s="35"/>
      <c r="AP195" s="35"/>
      <c r="AQ195" s="35"/>
      <c r="AR195" s="35"/>
      <c r="AS195" s="35"/>
      <c r="AT195" s="35"/>
      <c r="AU195" s="35"/>
      <c r="AV195" s="35"/>
      <c r="AW195" s="35"/>
      <c r="AX195" s="35"/>
      <c r="AY195" s="35"/>
      <c r="AZ195" s="35"/>
      <c r="BA195" s="35"/>
      <c r="BB195" s="35"/>
      <c r="BC195" s="35"/>
      <c r="BD195" s="35"/>
      <c r="BE195" s="35"/>
      <c r="BF195" s="35"/>
      <c r="BG195" s="35"/>
      <c r="BH195" s="35"/>
      <c r="BI195" s="35"/>
      <c r="BJ195" s="35"/>
      <c r="BK195" s="35"/>
      <c r="BL195" s="35"/>
    </row>
    <row r="196" spans="1:64" ht="14">
      <c r="A196" s="35"/>
      <c r="B196" s="36"/>
      <c r="C196" s="39"/>
      <c r="D196" s="78"/>
      <c r="E196" s="78"/>
      <c r="F196" s="78"/>
      <c r="G196" s="229"/>
      <c r="H196" s="229"/>
      <c r="I196" s="40"/>
      <c r="J196" s="43" t="str">
        <f t="shared" si="4"/>
        <v/>
      </c>
      <c r="K196" s="79" t="str">
        <f t="shared" si="5"/>
        <v/>
      </c>
      <c r="L196" s="39"/>
      <c r="M196" s="35"/>
      <c r="N196" s="35"/>
      <c r="O196" s="35"/>
      <c r="P196" s="35"/>
      <c r="Q196" s="35"/>
      <c r="R196" s="35"/>
      <c r="S196" s="35"/>
      <c r="T196" s="35"/>
      <c r="U196" s="35"/>
      <c r="V196" s="35"/>
      <c r="W196" s="35"/>
      <c r="X196" s="35"/>
      <c r="Y196" s="35"/>
      <c r="Z196" s="35"/>
      <c r="AA196" s="35"/>
      <c r="AB196" s="35"/>
      <c r="AC196" s="35"/>
      <c r="AD196" s="35"/>
      <c r="AE196" s="35"/>
      <c r="AF196" s="35"/>
      <c r="AG196" s="35"/>
      <c r="AH196" s="35"/>
      <c r="AI196" s="35"/>
      <c r="AJ196" s="35"/>
      <c r="AK196" s="35"/>
      <c r="AL196" s="35"/>
      <c r="AM196" s="35"/>
      <c r="AN196" s="35"/>
      <c r="AO196" s="35"/>
      <c r="AP196" s="35"/>
      <c r="AQ196" s="35"/>
      <c r="AR196" s="35"/>
      <c r="AS196" s="35"/>
      <c r="AT196" s="35"/>
      <c r="AU196" s="35"/>
      <c r="AV196" s="35"/>
      <c r="AW196" s="35"/>
      <c r="AX196" s="35"/>
      <c r="AY196" s="35"/>
      <c r="AZ196" s="35"/>
      <c r="BA196" s="35"/>
      <c r="BB196" s="35"/>
      <c r="BC196" s="35"/>
      <c r="BD196" s="35"/>
      <c r="BE196" s="35"/>
      <c r="BF196" s="35"/>
      <c r="BG196" s="35"/>
      <c r="BH196" s="35"/>
      <c r="BI196" s="35"/>
      <c r="BJ196" s="35"/>
      <c r="BK196" s="35"/>
      <c r="BL196" s="35"/>
    </row>
    <row r="197" spans="1:64" ht="14">
      <c r="A197" s="35"/>
      <c r="B197" s="36"/>
      <c r="C197" s="39"/>
      <c r="D197" s="78"/>
      <c r="E197" s="78"/>
      <c r="F197" s="78"/>
      <c r="G197" s="229"/>
      <c r="H197" s="229"/>
      <c r="I197" s="40"/>
      <c r="J197" s="43" t="str">
        <f t="shared" si="4"/>
        <v/>
      </c>
      <c r="K197" s="79" t="str">
        <f t="shared" si="5"/>
        <v/>
      </c>
      <c r="L197" s="39"/>
      <c r="M197" s="35"/>
      <c r="N197" s="35"/>
      <c r="O197" s="35"/>
      <c r="P197" s="35"/>
      <c r="Q197" s="35"/>
      <c r="R197" s="35"/>
      <c r="S197" s="35"/>
      <c r="T197" s="35"/>
      <c r="U197" s="35"/>
      <c r="V197" s="35"/>
      <c r="W197" s="35"/>
      <c r="X197" s="35"/>
      <c r="Y197" s="35"/>
      <c r="Z197" s="35"/>
      <c r="AA197" s="35"/>
      <c r="AB197" s="35"/>
      <c r="AC197" s="35"/>
      <c r="AD197" s="35"/>
      <c r="AE197" s="35"/>
      <c r="AF197" s="35"/>
      <c r="AG197" s="35"/>
      <c r="AH197" s="35"/>
      <c r="AI197" s="35"/>
      <c r="AJ197" s="35"/>
      <c r="AK197" s="35"/>
      <c r="AL197" s="35"/>
      <c r="AM197" s="35"/>
      <c r="AN197" s="35"/>
      <c r="AO197" s="35"/>
      <c r="AP197" s="35"/>
      <c r="AQ197" s="35"/>
      <c r="AR197" s="35"/>
      <c r="AS197" s="35"/>
      <c r="AT197" s="35"/>
      <c r="AU197" s="35"/>
      <c r="AV197" s="35"/>
      <c r="AW197" s="35"/>
      <c r="AX197" s="35"/>
      <c r="AY197" s="35"/>
      <c r="AZ197" s="35"/>
      <c r="BA197" s="35"/>
      <c r="BB197" s="35"/>
      <c r="BC197" s="35"/>
      <c r="BD197" s="35"/>
      <c r="BE197" s="35"/>
      <c r="BF197" s="35"/>
      <c r="BG197" s="35"/>
      <c r="BH197" s="35"/>
      <c r="BI197" s="35"/>
      <c r="BJ197" s="35"/>
      <c r="BK197" s="35"/>
      <c r="BL197" s="35"/>
    </row>
    <row r="198" spans="1:64" ht="14">
      <c r="A198" s="35"/>
      <c r="B198" s="36"/>
      <c r="C198" s="39"/>
      <c r="D198" s="78"/>
      <c r="E198" s="78"/>
      <c r="F198" s="78"/>
      <c r="G198" s="229"/>
      <c r="H198" s="229"/>
      <c r="I198" s="40"/>
      <c r="J198" s="43" t="str">
        <f t="shared" si="4"/>
        <v/>
      </c>
      <c r="K198" s="79" t="str">
        <f t="shared" si="5"/>
        <v/>
      </c>
      <c r="L198" s="39"/>
      <c r="M198" s="35"/>
      <c r="N198" s="35"/>
      <c r="O198" s="35"/>
      <c r="P198" s="35"/>
      <c r="Q198" s="35"/>
      <c r="R198" s="35"/>
      <c r="S198" s="35"/>
      <c r="T198" s="35"/>
      <c r="U198" s="35"/>
      <c r="V198" s="35"/>
      <c r="W198" s="35"/>
      <c r="X198" s="35"/>
      <c r="Y198" s="35"/>
      <c r="Z198" s="35"/>
      <c r="AA198" s="35"/>
      <c r="AB198" s="35"/>
      <c r="AC198" s="35"/>
      <c r="AD198" s="35"/>
      <c r="AE198" s="35"/>
      <c r="AF198" s="35"/>
      <c r="AG198" s="35"/>
      <c r="AH198" s="35"/>
      <c r="AI198" s="35"/>
      <c r="AJ198" s="35"/>
      <c r="AK198" s="35"/>
      <c r="AL198" s="35"/>
      <c r="AM198" s="35"/>
      <c r="AN198" s="35"/>
      <c r="AO198" s="35"/>
      <c r="AP198" s="35"/>
      <c r="AQ198" s="35"/>
      <c r="AR198" s="35"/>
      <c r="AS198" s="35"/>
      <c r="AT198" s="35"/>
      <c r="AU198" s="35"/>
      <c r="AV198" s="35"/>
      <c r="AW198" s="35"/>
      <c r="AX198" s="35"/>
      <c r="AY198" s="35"/>
      <c r="AZ198" s="35"/>
      <c r="BA198" s="35"/>
      <c r="BB198" s="35"/>
      <c r="BC198" s="35"/>
      <c r="BD198" s="35"/>
      <c r="BE198" s="35"/>
      <c r="BF198" s="35"/>
      <c r="BG198" s="35"/>
      <c r="BH198" s="35"/>
      <c r="BI198" s="35"/>
      <c r="BJ198" s="35"/>
      <c r="BK198" s="35"/>
      <c r="BL198" s="35"/>
    </row>
    <row r="199" spans="1:64" ht="14">
      <c r="A199" s="35"/>
      <c r="B199" s="36"/>
      <c r="C199" s="39"/>
      <c r="D199" s="78"/>
      <c r="E199" s="78"/>
      <c r="F199" s="78"/>
      <c r="G199" s="229"/>
      <c r="H199" s="229"/>
      <c r="I199" s="40"/>
      <c r="J199" s="43" t="str">
        <f t="shared" si="4"/>
        <v/>
      </c>
      <c r="K199" s="79" t="str">
        <f t="shared" si="5"/>
        <v/>
      </c>
      <c r="L199" s="39"/>
      <c r="M199" s="35"/>
      <c r="N199" s="35"/>
      <c r="O199" s="35"/>
      <c r="P199" s="35"/>
      <c r="Q199" s="35"/>
      <c r="R199" s="35"/>
      <c r="S199" s="35"/>
      <c r="T199" s="35"/>
      <c r="U199" s="35"/>
      <c r="V199" s="35"/>
      <c r="W199" s="35"/>
      <c r="X199" s="35"/>
      <c r="Y199" s="35"/>
      <c r="Z199" s="35"/>
      <c r="AA199" s="35"/>
      <c r="AB199" s="35"/>
      <c r="AC199" s="35"/>
      <c r="AD199" s="35"/>
      <c r="AE199" s="35"/>
      <c r="AF199" s="35"/>
      <c r="AG199" s="35"/>
      <c r="AH199" s="35"/>
      <c r="AI199" s="35"/>
      <c r="AJ199" s="35"/>
      <c r="AK199" s="35"/>
      <c r="AL199" s="35"/>
      <c r="AM199" s="35"/>
      <c r="AN199" s="35"/>
      <c r="AO199" s="35"/>
      <c r="AP199" s="35"/>
      <c r="AQ199" s="35"/>
      <c r="AR199" s="35"/>
      <c r="AS199" s="35"/>
      <c r="AT199" s="35"/>
      <c r="AU199" s="35"/>
      <c r="AV199" s="35"/>
      <c r="AW199" s="35"/>
      <c r="AX199" s="35"/>
      <c r="AY199" s="35"/>
      <c r="AZ199" s="35"/>
      <c r="BA199" s="35"/>
      <c r="BB199" s="35"/>
      <c r="BC199" s="35"/>
      <c r="BD199" s="35"/>
      <c r="BE199" s="35"/>
      <c r="BF199" s="35"/>
      <c r="BG199" s="35"/>
      <c r="BH199" s="35"/>
      <c r="BI199" s="35"/>
      <c r="BJ199" s="35"/>
      <c r="BK199" s="35"/>
      <c r="BL199" s="35"/>
    </row>
    <row r="200" spans="1:64" ht="14">
      <c r="A200" s="35"/>
      <c r="B200" s="36"/>
      <c r="C200" s="39"/>
      <c r="D200" s="78"/>
      <c r="E200" s="78"/>
      <c r="F200" s="78"/>
      <c r="G200" s="229"/>
      <c r="H200" s="229"/>
      <c r="I200" s="40"/>
      <c r="J200" s="43" t="str">
        <f t="shared" si="4"/>
        <v/>
      </c>
      <c r="K200" s="79" t="str">
        <f t="shared" si="5"/>
        <v/>
      </c>
      <c r="L200" s="39"/>
      <c r="M200" s="35"/>
      <c r="N200" s="35"/>
      <c r="O200" s="35"/>
      <c r="P200" s="35"/>
      <c r="Q200" s="35"/>
      <c r="R200" s="35"/>
      <c r="S200" s="35"/>
      <c r="T200" s="35"/>
      <c r="U200" s="35"/>
      <c r="V200" s="35"/>
      <c r="W200" s="35"/>
      <c r="X200" s="35"/>
      <c r="Y200" s="35"/>
      <c r="Z200" s="35"/>
      <c r="AA200" s="35"/>
      <c r="AB200" s="35"/>
      <c r="AC200" s="35"/>
      <c r="AD200" s="35"/>
      <c r="AE200" s="35"/>
      <c r="AF200" s="35"/>
      <c r="AG200" s="35"/>
      <c r="AH200" s="35"/>
      <c r="AI200" s="35"/>
      <c r="AJ200" s="35"/>
      <c r="AK200" s="35"/>
      <c r="AL200" s="35"/>
      <c r="AM200" s="35"/>
      <c r="AN200" s="35"/>
      <c r="AO200" s="35"/>
      <c r="AP200" s="35"/>
      <c r="AQ200" s="35"/>
      <c r="AR200" s="35"/>
      <c r="AS200" s="35"/>
      <c r="AT200" s="35"/>
      <c r="AU200" s="35"/>
      <c r="AV200" s="35"/>
      <c r="AW200" s="35"/>
      <c r="AX200" s="35"/>
      <c r="AY200" s="35"/>
      <c r="AZ200" s="35"/>
      <c r="BA200" s="35"/>
      <c r="BB200" s="35"/>
      <c r="BC200" s="35"/>
      <c r="BD200" s="35"/>
      <c r="BE200" s="35"/>
      <c r="BF200" s="35"/>
      <c r="BG200" s="35"/>
      <c r="BH200" s="35"/>
      <c r="BI200" s="35"/>
      <c r="BJ200" s="35"/>
      <c r="BK200" s="35"/>
      <c r="BL200" s="35"/>
    </row>
    <row r="201" spans="1:64" ht="14">
      <c r="A201" s="35"/>
      <c r="B201" s="36"/>
      <c r="C201" s="39"/>
      <c r="D201" s="78"/>
      <c r="E201" s="78"/>
      <c r="F201" s="78"/>
      <c r="G201" s="229"/>
      <c r="H201" s="229"/>
      <c r="I201" s="40"/>
      <c r="J201" s="43" t="str">
        <f t="shared" si="4"/>
        <v/>
      </c>
      <c r="K201" s="79" t="str">
        <f t="shared" si="5"/>
        <v/>
      </c>
      <c r="L201" s="39"/>
      <c r="M201" s="35"/>
      <c r="N201" s="35"/>
      <c r="O201" s="35"/>
      <c r="P201" s="35"/>
      <c r="Q201" s="35"/>
      <c r="R201" s="35"/>
      <c r="S201" s="35"/>
      <c r="T201" s="35"/>
      <c r="U201" s="35"/>
      <c r="V201" s="35"/>
      <c r="W201" s="35"/>
      <c r="X201" s="35"/>
      <c r="Y201" s="35"/>
      <c r="Z201" s="35"/>
      <c r="AA201" s="35"/>
      <c r="AB201" s="35"/>
      <c r="AC201" s="35"/>
      <c r="AD201" s="35"/>
      <c r="AE201" s="35"/>
      <c r="AF201" s="35"/>
      <c r="AG201" s="35"/>
      <c r="AH201" s="35"/>
      <c r="AI201" s="35"/>
      <c r="AJ201" s="35"/>
      <c r="AK201" s="35"/>
      <c r="AL201" s="35"/>
      <c r="AM201" s="35"/>
      <c r="AN201" s="35"/>
      <c r="AO201" s="35"/>
      <c r="AP201" s="35"/>
      <c r="AQ201" s="35"/>
      <c r="AR201" s="35"/>
      <c r="AS201" s="35"/>
      <c r="AT201" s="35"/>
      <c r="AU201" s="35"/>
      <c r="AV201" s="35"/>
      <c r="AW201" s="35"/>
      <c r="AX201" s="35"/>
      <c r="AY201" s="35"/>
      <c r="AZ201" s="35"/>
      <c r="BA201" s="35"/>
      <c r="BB201" s="35"/>
      <c r="BC201" s="35"/>
      <c r="BD201" s="35"/>
      <c r="BE201" s="35"/>
      <c r="BF201" s="35"/>
      <c r="BG201" s="35"/>
      <c r="BH201" s="35"/>
      <c r="BI201" s="35"/>
      <c r="BJ201" s="35"/>
      <c r="BK201" s="35"/>
      <c r="BL201" s="35"/>
    </row>
    <row r="202" spans="1:64" ht="14">
      <c r="A202" s="35"/>
      <c r="B202" s="36"/>
      <c r="C202" s="39"/>
      <c r="D202" s="78"/>
      <c r="E202" s="78"/>
      <c r="F202" s="78"/>
      <c r="G202" s="229"/>
      <c r="H202" s="229"/>
      <c r="I202" s="40"/>
      <c r="J202" s="43" t="str">
        <f t="shared" si="4"/>
        <v/>
      </c>
      <c r="K202" s="79" t="str">
        <f t="shared" si="5"/>
        <v/>
      </c>
      <c r="L202" s="39"/>
      <c r="M202" s="35"/>
      <c r="N202" s="35"/>
      <c r="O202" s="35"/>
      <c r="P202" s="35"/>
      <c r="Q202" s="35"/>
      <c r="R202" s="35"/>
      <c r="S202" s="35"/>
      <c r="T202" s="35"/>
      <c r="U202" s="35"/>
      <c r="V202" s="35"/>
      <c r="W202" s="35"/>
      <c r="X202" s="35"/>
      <c r="Y202" s="35"/>
      <c r="Z202" s="35"/>
      <c r="AA202" s="35"/>
      <c r="AB202" s="35"/>
      <c r="AC202" s="35"/>
      <c r="AD202" s="35"/>
      <c r="AE202" s="35"/>
      <c r="AF202" s="35"/>
      <c r="AG202" s="35"/>
      <c r="AH202" s="35"/>
      <c r="AI202" s="35"/>
      <c r="AJ202" s="35"/>
      <c r="AK202" s="35"/>
      <c r="AL202" s="35"/>
      <c r="AM202" s="35"/>
      <c r="AN202" s="35"/>
      <c r="AO202" s="35"/>
      <c r="AP202" s="35"/>
      <c r="AQ202" s="35"/>
      <c r="AR202" s="35"/>
      <c r="AS202" s="35"/>
      <c r="AT202" s="35"/>
      <c r="AU202" s="35"/>
      <c r="AV202" s="35"/>
      <c r="AW202" s="35"/>
      <c r="AX202" s="35"/>
      <c r="AY202" s="35"/>
      <c r="AZ202" s="35"/>
      <c r="BA202" s="35"/>
      <c r="BB202" s="35"/>
      <c r="BC202" s="35"/>
      <c r="BD202" s="35"/>
      <c r="BE202" s="35"/>
      <c r="BF202" s="35"/>
      <c r="BG202" s="35"/>
      <c r="BH202" s="35"/>
      <c r="BI202" s="35"/>
      <c r="BJ202" s="35"/>
      <c r="BK202" s="35"/>
      <c r="BL202" s="35"/>
    </row>
    <row r="203" spans="1:64" ht="14">
      <c r="A203" s="35"/>
      <c r="B203" s="36"/>
      <c r="C203" s="39"/>
      <c r="D203" s="78"/>
      <c r="E203" s="78"/>
      <c r="F203" s="78"/>
      <c r="G203" s="229"/>
      <c r="H203" s="229"/>
      <c r="I203" s="40"/>
      <c r="J203" s="43" t="str">
        <f t="shared" ref="J203:J266" si="6">IF($C203&lt;&gt;"",$E203*1.5,"")</f>
        <v/>
      </c>
      <c r="K203" s="79" t="str">
        <f t="shared" ref="K203:K266" si="7">IFERROR($J203/10,"")</f>
        <v/>
      </c>
      <c r="L203" s="39"/>
      <c r="M203" s="35"/>
      <c r="N203" s="35"/>
      <c r="O203" s="35"/>
      <c r="P203" s="35"/>
      <c r="Q203" s="35"/>
      <c r="R203" s="35"/>
      <c r="S203" s="35"/>
      <c r="T203" s="35"/>
      <c r="U203" s="35"/>
      <c r="V203" s="35"/>
      <c r="W203" s="35"/>
      <c r="X203" s="35"/>
      <c r="Y203" s="35"/>
      <c r="Z203" s="35"/>
      <c r="AA203" s="35"/>
      <c r="AB203" s="35"/>
      <c r="AC203" s="35"/>
      <c r="AD203" s="35"/>
      <c r="AE203" s="35"/>
      <c r="AF203" s="35"/>
      <c r="AG203" s="35"/>
      <c r="AH203" s="35"/>
      <c r="AI203" s="35"/>
      <c r="AJ203" s="35"/>
      <c r="AK203" s="35"/>
      <c r="AL203" s="35"/>
      <c r="AM203" s="35"/>
      <c r="AN203" s="35"/>
      <c r="AO203" s="35"/>
      <c r="AP203" s="35"/>
      <c r="AQ203" s="35"/>
      <c r="AR203" s="35"/>
      <c r="AS203" s="35"/>
      <c r="AT203" s="35"/>
      <c r="AU203" s="35"/>
      <c r="AV203" s="35"/>
      <c r="AW203" s="35"/>
      <c r="AX203" s="35"/>
      <c r="AY203" s="35"/>
      <c r="AZ203" s="35"/>
      <c r="BA203" s="35"/>
      <c r="BB203" s="35"/>
      <c r="BC203" s="35"/>
      <c r="BD203" s="35"/>
      <c r="BE203" s="35"/>
      <c r="BF203" s="35"/>
      <c r="BG203" s="35"/>
      <c r="BH203" s="35"/>
      <c r="BI203" s="35"/>
      <c r="BJ203" s="35"/>
      <c r="BK203" s="35"/>
      <c r="BL203" s="35"/>
    </row>
    <row r="204" spans="1:64" ht="14">
      <c r="A204" s="35"/>
      <c r="B204" s="36"/>
      <c r="C204" s="39"/>
      <c r="D204" s="78"/>
      <c r="E204" s="78"/>
      <c r="F204" s="78"/>
      <c r="G204" s="229"/>
      <c r="H204" s="229"/>
      <c r="I204" s="40"/>
      <c r="J204" s="43" t="str">
        <f t="shared" si="6"/>
        <v/>
      </c>
      <c r="K204" s="79" t="str">
        <f t="shared" si="7"/>
        <v/>
      </c>
      <c r="L204" s="39"/>
      <c r="M204" s="35"/>
      <c r="N204" s="35"/>
      <c r="O204" s="35"/>
      <c r="P204" s="35"/>
      <c r="Q204" s="35"/>
      <c r="R204" s="35"/>
      <c r="S204" s="35"/>
      <c r="T204" s="35"/>
      <c r="U204" s="35"/>
      <c r="V204" s="35"/>
      <c r="W204" s="35"/>
      <c r="X204" s="35"/>
      <c r="Y204" s="35"/>
      <c r="Z204" s="35"/>
      <c r="AA204" s="35"/>
      <c r="AB204" s="35"/>
      <c r="AC204" s="35"/>
      <c r="AD204" s="35"/>
      <c r="AE204" s="35"/>
      <c r="AF204" s="35"/>
      <c r="AG204" s="35"/>
      <c r="AH204" s="35"/>
      <c r="AI204" s="35"/>
      <c r="AJ204" s="35"/>
      <c r="AK204" s="35"/>
      <c r="AL204" s="35"/>
      <c r="AM204" s="35"/>
      <c r="AN204" s="35"/>
      <c r="AO204" s="35"/>
      <c r="AP204" s="35"/>
      <c r="AQ204" s="35"/>
      <c r="AR204" s="35"/>
      <c r="AS204" s="35"/>
      <c r="AT204" s="35"/>
      <c r="AU204" s="35"/>
      <c r="AV204" s="35"/>
      <c r="AW204" s="35"/>
      <c r="AX204" s="35"/>
      <c r="AY204" s="35"/>
      <c r="AZ204" s="35"/>
      <c r="BA204" s="35"/>
      <c r="BB204" s="35"/>
      <c r="BC204" s="35"/>
      <c r="BD204" s="35"/>
      <c r="BE204" s="35"/>
      <c r="BF204" s="35"/>
      <c r="BG204" s="35"/>
      <c r="BH204" s="35"/>
      <c r="BI204" s="35"/>
      <c r="BJ204" s="35"/>
      <c r="BK204" s="35"/>
      <c r="BL204" s="35"/>
    </row>
    <row r="205" spans="1:64" ht="14">
      <c r="A205" s="35"/>
      <c r="B205" s="36"/>
      <c r="C205" s="39"/>
      <c r="D205" s="78"/>
      <c r="E205" s="78"/>
      <c r="F205" s="78"/>
      <c r="G205" s="229"/>
      <c r="H205" s="229"/>
      <c r="I205" s="40"/>
      <c r="J205" s="43" t="str">
        <f t="shared" si="6"/>
        <v/>
      </c>
      <c r="K205" s="79" t="str">
        <f t="shared" si="7"/>
        <v/>
      </c>
      <c r="L205" s="39"/>
      <c r="M205" s="35"/>
      <c r="N205" s="35"/>
      <c r="O205" s="35"/>
      <c r="P205" s="35"/>
      <c r="Q205" s="35"/>
      <c r="R205" s="35"/>
      <c r="S205" s="35"/>
      <c r="T205" s="35"/>
      <c r="U205" s="35"/>
      <c r="V205" s="35"/>
      <c r="W205" s="35"/>
      <c r="X205" s="35"/>
      <c r="Y205" s="35"/>
      <c r="Z205" s="35"/>
      <c r="AA205" s="35"/>
      <c r="AB205" s="35"/>
      <c r="AC205" s="35"/>
      <c r="AD205" s="35"/>
      <c r="AE205" s="35"/>
      <c r="AF205" s="35"/>
      <c r="AG205" s="35"/>
      <c r="AH205" s="35"/>
      <c r="AI205" s="35"/>
      <c r="AJ205" s="35"/>
      <c r="AK205" s="35"/>
      <c r="AL205" s="35"/>
      <c r="AM205" s="35"/>
      <c r="AN205" s="35"/>
      <c r="AO205" s="35"/>
      <c r="AP205" s="35"/>
      <c r="AQ205" s="35"/>
      <c r="AR205" s="35"/>
      <c r="AS205" s="35"/>
      <c r="AT205" s="35"/>
      <c r="AU205" s="35"/>
      <c r="AV205" s="35"/>
      <c r="AW205" s="35"/>
      <c r="AX205" s="35"/>
      <c r="AY205" s="35"/>
      <c r="AZ205" s="35"/>
      <c r="BA205" s="35"/>
      <c r="BB205" s="35"/>
      <c r="BC205" s="35"/>
      <c r="BD205" s="35"/>
      <c r="BE205" s="35"/>
      <c r="BF205" s="35"/>
      <c r="BG205" s="35"/>
      <c r="BH205" s="35"/>
      <c r="BI205" s="35"/>
      <c r="BJ205" s="35"/>
      <c r="BK205" s="35"/>
      <c r="BL205" s="35"/>
    </row>
    <row r="206" spans="1:64" ht="14">
      <c r="A206" s="35"/>
      <c r="B206" s="36"/>
      <c r="C206" s="39"/>
      <c r="D206" s="78"/>
      <c r="E206" s="78"/>
      <c r="F206" s="78"/>
      <c r="G206" s="229"/>
      <c r="H206" s="229"/>
      <c r="I206" s="40"/>
      <c r="J206" s="43" t="str">
        <f t="shared" si="6"/>
        <v/>
      </c>
      <c r="K206" s="79" t="str">
        <f t="shared" si="7"/>
        <v/>
      </c>
      <c r="L206" s="39"/>
      <c r="M206" s="35"/>
      <c r="N206" s="35"/>
      <c r="O206" s="35"/>
      <c r="P206" s="35"/>
      <c r="Q206" s="35"/>
      <c r="R206" s="35"/>
      <c r="S206" s="35"/>
      <c r="T206" s="35"/>
      <c r="U206" s="35"/>
      <c r="V206" s="35"/>
      <c r="W206" s="35"/>
      <c r="X206" s="35"/>
      <c r="Y206" s="35"/>
      <c r="Z206" s="35"/>
      <c r="AA206" s="35"/>
      <c r="AB206" s="35"/>
      <c r="AC206" s="35"/>
      <c r="AD206" s="35"/>
      <c r="AE206" s="35"/>
      <c r="AF206" s="35"/>
      <c r="AG206" s="35"/>
      <c r="AH206" s="35"/>
      <c r="AI206" s="35"/>
      <c r="AJ206" s="35"/>
      <c r="AK206" s="35"/>
      <c r="AL206" s="35"/>
      <c r="AM206" s="35"/>
      <c r="AN206" s="35"/>
      <c r="AO206" s="35"/>
      <c r="AP206" s="35"/>
      <c r="AQ206" s="35"/>
      <c r="AR206" s="35"/>
      <c r="AS206" s="35"/>
      <c r="AT206" s="35"/>
      <c r="AU206" s="35"/>
      <c r="AV206" s="35"/>
      <c r="AW206" s="35"/>
      <c r="AX206" s="35"/>
      <c r="AY206" s="35"/>
      <c r="AZ206" s="35"/>
      <c r="BA206" s="35"/>
      <c r="BB206" s="35"/>
      <c r="BC206" s="35"/>
      <c r="BD206" s="35"/>
      <c r="BE206" s="35"/>
      <c r="BF206" s="35"/>
      <c r="BG206" s="35"/>
      <c r="BH206" s="35"/>
      <c r="BI206" s="35"/>
      <c r="BJ206" s="35"/>
      <c r="BK206" s="35"/>
      <c r="BL206" s="35"/>
    </row>
    <row r="207" spans="1:64" ht="24" customHeight="1">
      <c r="A207" s="35"/>
      <c r="B207" s="36"/>
      <c r="C207" s="39"/>
      <c r="D207" s="78"/>
      <c r="E207" s="78"/>
      <c r="F207" s="78"/>
      <c r="G207" s="229"/>
      <c r="H207" s="229"/>
      <c r="I207" s="40"/>
      <c r="J207" s="43" t="str">
        <f t="shared" si="6"/>
        <v/>
      </c>
      <c r="K207" s="79" t="str">
        <f t="shared" si="7"/>
        <v/>
      </c>
      <c r="L207" s="39"/>
      <c r="M207" s="35"/>
      <c r="N207" s="35"/>
      <c r="O207" s="35"/>
      <c r="P207" s="35"/>
      <c r="Q207" s="35"/>
      <c r="R207" s="35"/>
      <c r="S207" s="35"/>
      <c r="T207" s="35"/>
      <c r="U207" s="35"/>
      <c r="V207" s="35"/>
      <c r="W207" s="35"/>
      <c r="X207" s="35"/>
      <c r="Y207" s="35"/>
      <c r="Z207" s="35"/>
      <c r="AA207" s="35"/>
      <c r="AB207" s="35"/>
      <c r="AC207" s="35"/>
      <c r="AD207" s="35"/>
      <c r="AE207" s="35"/>
      <c r="AF207" s="35"/>
      <c r="AG207" s="35"/>
      <c r="AH207" s="35"/>
      <c r="AI207" s="35"/>
      <c r="AJ207" s="35"/>
      <c r="AK207" s="35"/>
      <c r="AL207" s="35"/>
      <c r="AM207" s="35"/>
      <c r="AN207" s="35"/>
      <c r="AO207" s="35"/>
      <c r="AP207" s="35"/>
      <c r="AQ207" s="35"/>
      <c r="AR207" s="35"/>
      <c r="AS207" s="35"/>
      <c r="AT207" s="35"/>
      <c r="AU207" s="35"/>
      <c r="AV207" s="35"/>
      <c r="AW207" s="35"/>
      <c r="AX207" s="35"/>
      <c r="AY207" s="35"/>
      <c r="AZ207" s="35"/>
      <c r="BA207" s="35"/>
      <c r="BB207" s="35"/>
      <c r="BC207" s="35"/>
      <c r="BD207" s="35"/>
      <c r="BE207" s="35"/>
      <c r="BF207" s="35"/>
      <c r="BG207" s="35"/>
      <c r="BH207" s="35"/>
      <c r="BI207" s="35"/>
      <c r="BJ207" s="35"/>
      <c r="BK207" s="35"/>
      <c r="BL207" s="35"/>
    </row>
    <row r="208" spans="1:64" ht="13.75" customHeight="1">
      <c r="A208" s="35"/>
      <c r="B208" s="36"/>
      <c r="C208" s="39"/>
      <c r="D208" s="78"/>
      <c r="E208" s="78"/>
      <c r="F208" s="78"/>
      <c r="G208" s="229" t="s">
        <v>86</v>
      </c>
      <c r="H208" s="229"/>
      <c r="I208" s="40"/>
      <c r="J208" s="43" t="str">
        <f t="shared" si="6"/>
        <v/>
      </c>
      <c r="K208" s="79" t="str">
        <f t="shared" si="7"/>
        <v/>
      </c>
      <c r="L208" s="39"/>
      <c r="M208" s="35"/>
      <c r="N208" s="35"/>
      <c r="O208" s="35"/>
      <c r="P208" s="35"/>
      <c r="Q208" s="35"/>
      <c r="R208" s="35"/>
      <c r="S208" s="35"/>
      <c r="T208" s="35"/>
      <c r="U208" s="35"/>
      <c r="V208" s="35"/>
      <c r="W208" s="35"/>
      <c r="X208" s="35"/>
      <c r="Y208" s="35"/>
      <c r="Z208" s="35"/>
      <c r="AA208" s="35"/>
      <c r="AB208" s="35"/>
      <c r="AC208" s="35"/>
      <c r="AD208" s="35"/>
      <c r="AE208" s="35"/>
      <c r="AF208" s="35"/>
      <c r="AG208" s="35"/>
      <c r="AH208" s="35"/>
      <c r="AI208" s="35"/>
      <c r="AJ208" s="35"/>
      <c r="AK208" s="35"/>
      <c r="AL208" s="35"/>
      <c r="AM208" s="35"/>
      <c r="AN208" s="35"/>
      <c r="AO208" s="35"/>
      <c r="AP208" s="35"/>
      <c r="AQ208" s="35"/>
      <c r="AR208" s="35"/>
      <c r="AS208" s="35"/>
      <c r="AT208" s="35"/>
      <c r="AU208" s="35"/>
      <c r="AV208" s="35"/>
      <c r="AW208" s="35"/>
      <c r="AX208" s="35"/>
      <c r="AY208" s="35"/>
      <c r="AZ208" s="35"/>
      <c r="BA208" s="35"/>
      <c r="BB208" s="35"/>
      <c r="BC208" s="35"/>
      <c r="BD208" s="35"/>
      <c r="BE208" s="35"/>
      <c r="BF208" s="35"/>
      <c r="BG208" s="35"/>
      <c r="BH208" s="35"/>
      <c r="BI208" s="35"/>
      <c r="BJ208" s="35"/>
      <c r="BK208" s="35"/>
      <c r="BL208" s="35"/>
    </row>
    <row r="209" spans="1:64" ht="14">
      <c r="A209" s="35"/>
      <c r="B209" s="36"/>
      <c r="C209" s="39"/>
      <c r="D209" s="78"/>
      <c r="E209" s="78"/>
      <c r="F209" s="78"/>
      <c r="G209" s="229"/>
      <c r="H209" s="229"/>
      <c r="I209" s="40"/>
      <c r="J209" s="43" t="str">
        <f t="shared" si="6"/>
        <v/>
      </c>
      <c r="K209" s="79" t="str">
        <f t="shared" si="7"/>
        <v/>
      </c>
      <c r="L209" s="39"/>
      <c r="M209" s="35"/>
      <c r="N209" s="35"/>
      <c r="O209" s="35"/>
      <c r="P209" s="35"/>
      <c r="Q209" s="35"/>
      <c r="R209" s="35"/>
      <c r="S209" s="35"/>
      <c r="T209" s="35"/>
      <c r="U209" s="35"/>
      <c r="V209" s="35"/>
      <c r="W209" s="35"/>
      <c r="X209" s="35"/>
      <c r="Y209" s="35"/>
      <c r="Z209" s="35"/>
      <c r="AA209" s="35"/>
      <c r="AB209" s="35"/>
      <c r="AC209" s="35"/>
      <c r="AD209" s="35"/>
      <c r="AE209" s="35"/>
      <c r="AF209" s="35"/>
      <c r="AG209" s="35"/>
      <c r="AH209" s="35"/>
      <c r="AI209" s="35"/>
      <c r="AJ209" s="35"/>
      <c r="AK209" s="35"/>
      <c r="AL209" s="35"/>
      <c r="AM209" s="35"/>
      <c r="AN209" s="35"/>
      <c r="AO209" s="35"/>
      <c r="AP209" s="35"/>
      <c r="AQ209" s="35"/>
      <c r="AR209" s="35"/>
      <c r="AS209" s="35"/>
      <c r="AT209" s="35"/>
      <c r="AU209" s="35"/>
      <c r="AV209" s="35"/>
      <c r="AW209" s="35"/>
      <c r="AX209" s="35"/>
      <c r="AY209" s="35"/>
      <c r="AZ209" s="35"/>
      <c r="BA209" s="35"/>
      <c r="BB209" s="35"/>
      <c r="BC209" s="35"/>
      <c r="BD209" s="35"/>
      <c r="BE209" s="35"/>
      <c r="BF209" s="35"/>
      <c r="BG209" s="35"/>
      <c r="BH209" s="35"/>
      <c r="BI209" s="35"/>
      <c r="BJ209" s="35"/>
      <c r="BK209" s="35"/>
      <c r="BL209" s="35"/>
    </row>
    <row r="210" spans="1:64" ht="14">
      <c r="A210" s="35"/>
      <c r="B210" s="36"/>
      <c r="C210" s="39"/>
      <c r="D210" s="78"/>
      <c r="E210" s="78"/>
      <c r="F210" s="78"/>
      <c r="G210" s="229"/>
      <c r="H210" s="229"/>
      <c r="I210" s="40"/>
      <c r="J210" s="43" t="str">
        <f t="shared" si="6"/>
        <v/>
      </c>
      <c r="K210" s="79" t="str">
        <f t="shared" si="7"/>
        <v/>
      </c>
      <c r="L210" s="39"/>
      <c r="M210" s="35"/>
      <c r="N210" s="35"/>
      <c r="O210" s="35"/>
      <c r="P210" s="35"/>
      <c r="Q210" s="35"/>
      <c r="R210" s="35"/>
      <c r="S210" s="35"/>
      <c r="T210" s="35"/>
      <c r="U210" s="35"/>
      <c r="V210" s="35"/>
      <c r="W210" s="35"/>
      <c r="X210" s="35"/>
      <c r="Y210" s="35"/>
      <c r="Z210" s="35"/>
      <c r="AA210" s="35"/>
      <c r="AB210" s="35"/>
      <c r="AC210" s="35"/>
      <c r="AD210" s="35"/>
      <c r="AE210" s="35"/>
      <c r="AF210" s="35"/>
      <c r="AG210" s="35"/>
      <c r="AH210" s="35"/>
      <c r="AI210" s="35"/>
      <c r="AJ210" s="35"/>
      <c r="AK210" s="35"/>
      <c r="AL210" s="35"/>
      <c r="AM210" s="35"/>
      <c r="AN210" s="35"/>
      <c r="AO210" s="35"/>
      <c r="AP210" s="35"/>
      <c r="AQ210" s="35"/>
      <c r="AR210" s="35"/>
      <c r="AS210" s="35"/>
      <c r="AT210" s="35"/>
      <c r="AU210" s="35"/>
      <c r="AV210" s="35"/>
      <c r="AW210" s="35"/>
      <c r="AX210" s="35"/>
      <c r="AY210" s="35"/>
      <c r="AZ210" s="35"/>
      <c r="BA210" s="35"/>
      <c r="BB210" s="35"/>
      <c r="BC210" s="35"/>
      <c r="BD210" s="35"/>
      <c r="BE210" s="35"/>
      <c r="BF210" s="35"/>
      <c r="BG210" s="35"/>
      <c r="BH210" s="35"/>
      <c r="BI210" s="35"/>
      <c r="BJ210" s="35"/>
      <c r="BK210" s="35"/>
      <c r="BL210" s="35"/>
    </row>
    <row r="211" spans="1:64" ht="14">
      <c r="A211" s="35"/>
      <c r="B211" s="36"/>
      <c r="C211" s="39"/>
      <c r="D211" s="78"/>
      <c r="E211" s="78"/>
      <c r="F211" s="78"/>
      <c r="G211" s="229"/>
      <c r="H211" s="229"/>
      <c r="I211" s="40"/>
      <c r="J211" s="43" t="str">
        <f t="shared" si="6"/>
        <v/>
      </c>
      <c r="K211" s="79" t="str">
        <f t="shared" si="7"/>
        <v/>
      </c>
      <c r="L211" s="39"/>
      <c r="M211" s="35"/>
      <c r="N211" s="35"/>
      <c r="O211" s="35"/>
      <c r="P211" s="35"/>
      <c r="Q211" s="35"/>
      <c r="R211" s="35"/>
      <c r="S211" s="35"/>
      <c r="T211" s="35"/>
      <c r="U211" s="35"/>
      <c r="V211" s="35"/>
      <c r="W211" s="35"/>
      <c r="X211" s="35"/>
      <c r="Y211" s="35"/>
      <c r="Z211" s="35"/>
      <c r="AA211" s="35"/>
      <c r="AB211" s="35"/>
      <c r="AC211" s="35"/>
      <c r="AD211" s="35"/>
      <c r="AE211" s="35"/>
      <c r="AF211" s="35"/>
      <c r="AG211" s="35"/>
      <c r="AH211" s="35"/>
      <c r="AI211" s="35"/>
      <c r="AJ211" s="35"/>
      <c r="AK211" s="35"/>
      <c r="AL211" s="35"/>
      <c r="AM211" s="35"/>
      <c r="AN211" s="35"/>
      <c r="AO211" s="35"/>
      <c r="AP211" s="35"/>
      <c r="AQ211" s="35"/>
      <c r="AR211" s="35"/>
      <c r="AS211" s="35"/>
      <c r="AT211" s="35"/>
      <c r="AU211" s="35"/>
      <c r="AV211" s="35"/>
      <c r="AW211" s="35"/>
      <c r="AX211" s="35"/>
      <c r="AY211" s="35"/>
      <c r="AZ211" s="35"/>
      <c r="BA211" s="35"/>
      <c r="BB211" s="35"/>
      <c r="BC211" s="35"/>
      <c r="BD211" s="35"/>
      <c r="BE211" s="35"/>
      <c r="BF211" s="35"/>
      <c r="BG211" s="35"/>
      <c r="BH211" s="35"/>
      <c r="BI211" s="35"/>
      <c r="BJ211" s="35"/>
      <c r="BK211" s="35"/>
      <c r="BL211" s="35"/>
    </row>
    <row r="212" spans="1:64" ht="14">
      <c r="A212" s="35"/>
      <c r="B212" s="36"/>
      <c r="C212" s="39"/>
      <c r="D212" s="78"/>
      <c r="E212" s="78"/>
      <c r="F212" s="78"/>
      <c r="G212" s="229"/>
      <c r="H212" s="229"/>
      <c r="I212" s="40"/>
      <c r="J212" s="43" t="str">
        <f t="shared" si="6"/>
        <v/>
      </c>
      <c r="K212" s="79" t="str">
        <f t="shared" si="7"/>
        <v/>
      </c>
      <c r="L212" s="39"/>
      <c r="M212" s="35"/>
      <c r="N212" s="35"/>
      <c r="O212" s="35"/>
      <c r="P212" s="35"/>
      <c r="Q212" s="35"/>
      <c r="R212" s="35"/>
      <c r="S212" s="35"/>
      <c r="T212" s="35"/>
      <c r="U212" s="35"/>
      <c r="V212" s="35"/>
      <c r="W212" s="35"/>
      <c r="X212" s="35"/>
      <c r="Y212" s="35"/>
      <c r="Z212" s="35"/>
      <c r="AA212" s="35"/>
      <c r="AB212" s="35"/>
      <c r="AC212" s="35"/>
      <c r="AD212" s="35"/>
      <c r="AE212" s="35"/>
      <c r="AF212" s="35"/>
      <c r="AG212" s="35"/>
      <c r="AH212" s="35"/>
      <c r="AI212" s="35"/>
      <c r="AJ212" s="35"/>
      <c r="AK212" s="35"/>
      <c r="AL212" s="35"/>
      <c r="AM212" s="35"/>
      <c r="AN212" s="35"/>
      <c r="AO212" s="35"/>
      <c r="AP212" s="35"/>
      <c r="AQ212" s="35"/>
      <c r="AR212" s="35"/>
      <c r="AS212" s="35"/>
      <c r="AT212" s="35"/>
      <c r="AU212" s="35"/>
      <c r="AV212" s="35"/>
      <c r="AW212" s="35"/>
      <c r="AX212" s="35"/>
      <c r="AY212" s="35"/>
      <c r="AZ212" s="35"/>
      <c r="BA212" s="35"/>
      <c r="BB212" s="35"/>
      <c r="BC212" s="35"/>
      <c r="BD212" s="35"/>
      <c r="BE212" s="35"/>
      <c r="BF212" s="35"/>
      <c r="BG212" s="35"/>
      <c r="BH212" s="35"/>
      <c r="BI212" s="35"/>
      <c r="BJ212" s="35"/>
      <c r="BK212" s="35"/>
      <c r="BL212" s="35"/>
    </row>
    <row r="213" spans="1:64" ht="14">
      <c r="A213" s="35"/>
      <c r="B213" s="36"/>
      <c r="C213" s="39"/>
      <c r="D213" s="78"/>
      <c r="E213" s="78"/>
      <c r="F213" s="78"/>
      <c r="G213" s="229"/>
      <c r="H213" s="229"/>
      <c r="I213" s="40"/>
      <c r="J213" s="43" t="str">
        <f t="shared" si="6"/>
        <v/>
      </c>
      <c r="K213" s="79" t="str">
        <f t="shared" si="7"/>
        <v/>
      </c>
      <c r="L213" s="39"/>
      <c r="M213" s="35"/>
      <c r="N213" s="35"/>
      <c r="O213" s="35"/>
      <c r="P213" s="35"/>
      <c r="Q213" s="35"/>
      <c r="R213" s="35"/>
      <c r="S213" s="35"/>
      <c r="T213" s="35"/>
      <c r="U213" s="35"/>
      <c r="V213" s="35"/>
      <c r="W213" s="35"/>
      <c r="X213" s="35"/>
      <c r="Y213" s="35"/>
      <c r="Z213" s="35"/>
      <c r="AA213" s="35"/>
      <c r="AB213" s="35"/>
      <c r="AC213" s="35"/>
      <c r="AD213" s="35"/>
      <c r="AE213" s="35"/>
      <c r="AF213" s="35"/>
      <c r="AG213" s="35"/>
      <c r="AH213" s="35"/>
      <c r="AI213" s="35"/>
      <c r="AJ213" s="35"/>
      <c r="AK213" s="35"/>
      <c r="AL213" s="35"/>
      <c r="AM213" s="35"/>
      <c r="AN213" s="35"/>
      <c r="AO213" s="35"/>
      <c r="AP213" s="35"/>
      <c r="AQ213" s="35"/>
      <c r="AR213" s="35"/>
      <c r="AS213" s="35"/>
      <c r="AT213" s="35"/>
      <c r="AU213" s="35"/>
      <c r="AV213" s="35"/>
      <c r="AW213" s="35"/>
      <c r="AX213" s="35"/>
      <c r="AY213" s="35"/>
      <c r="AZ213" s="35"/>
      <c r="BA213" s="35"/>
      <c r="BB213" s="35"/>
      <c r="BC213" s="35"/>
      <c r="BD213" s="35"/>
      <c r="BE213" s="35"/>
      <c r="BF213" s="35"/>
      <c r="BG213" s="35"/>
      <c r="BH213" s="35"/>
      <c r="BI213" s="35"/>
      <c r="BJ213" s="35"/>
      <c r="BK213" s="35"/>
      <c r="BL213" s="35"/>
    </row>
    <row r="214" spans="1:64" ht="14">
      <c r="A214" s="35"/>
      <c r="B214" s="36"/>
      <c r="C214" s="39"/>
      <c r="D214" s="78"/>
      <c r="E214" s="78"/>
      <c r="F214" s="78"/>
      <c r="G214" s="229"/>
      <c r="H214" s="229"/>
      <c r="I214" s="40"/>
      <c r="J214" s="43" t="str">
        <f t="shared" si="6"/>
        <v/>
      </c>
      <c r="K214" s="79" t="str">
        <f t="shared" si="7"/>
        <v/>
      </c>
      <c r="L214" s="39"/>
      <c r="M214" s="35"/>
      <c r="N214" s="35"/>
      <c r="O214" s="35"/>
      <c r="P214" s="35"/>
      <c r="Q214" s="35"/>
      <c r="R214" s="35"/>
      <c r="S214" s="35"/>
      <c r="T214" s="35"/>
      <c r="U214" s="35"/>
      <c r="V214" s="35"/>
      <c r="W214" s="35"/>
      <c r="X214" s="35"/>
      <c r="Y214" s="35"/>
      <c r="Z214" s="35"/>
      <c r="AA214" s="35"/>
      <c r="AB214" s="35"/>
      <c r="AC214" s="35"/>
      <c r="AD214" s="35"/>
      <c r="AE214" s="35"/>
      <c r="AF214" s="35"/>
      <c r="AG214" s="35"/>
      <c r="AH214" s="35"/>
      <c r="AI214" s="35"/>
      <c r="AJ214" s="35"/>
      <c r="AK214" s="35"/>
      <c r="AL214" s="35"/>
      <c r="AM214" s="35"/>
      <c r="AN214" s="35"/>
      <c r="AO214" s="35"/>
      <c r="AP214" s="35"/>
      <c r="AQ214" s="35"/>
      <c r="AR214" s="35"/>
      <c r="AS214" s="35"/>
      <c r="AT214" s="35"/>
      <c r="AU214" s="35"/>
      <c r="AV214" s="35"/>
      <c r="AW214" s="35"/>
      <c r="AX214" s="35"/>
      <c r="AY214" s="35"/>
      <c r="AZ214" s="35"/>
      <c r="BA214" s="35"/>
      <c r="BB214" s="35"/>
      <c r="BC214" s="35"/>
      <c r="BD214" s="35"/>
      <c r="BE214" s="35"/>
      <c r="BF214" s="35"/>
      <c r="BG214" s="35"/>
      <c r="BH214" s="35"/>
      <c r="BI214" s="35"/>
      <c r="BJ214" s="35"/>
      <c r="BK214" s="35"/>
      <c r="BL214" s="35"/>
    </row>
    <row r="215" spans="1:64" ht="14">
      <c r="A215" s="35"/>
      <c r="B215" s="36"/>
      <c r="C215" s="39"/>
      <c r="D215" s="78"/>
      <c r="E215" s="78"/>
      <c r="F215" s="78"/>
      <c r="G215" s="229"/>
      <c r="H215" s="229"/>
      <c r="I215" s="40"/>
      <c r="J215" s="43" t="str">
        <f t="shared" si="6"/>
        <v/>
      </c>
      <c r="K215" s="79" t="str">
        <f t="shared" si="7"/>
        <v/>
      </c>
      <c r="L215" s="39"/>
      <c r="M215" s="35"/>
      <c r="N215" s="35"/>
      <c r="O215" s="35"/>
      <c r="P215" s="35"/>
      <c r="Q215" s="35"/>
      <c r="R215" s="35"/>
      <c r="S215" s="35"/>
      <c r="T215" s="35"/>
      <c r="U215" s="35"/>
      <c r="V215" s="35"/>
      <c r="W215" s="35"/>
      <c r="X215" s="35"/>
      <c r="Y215" s="35"/>
      <c r="Z215" s="35"/>
      <c r="AA215" s="35"/>
      <c r="AB215" s="35"/>
      <c r="AC215" s="35"/>
      <c r="AD215" s="35"/>
      <c r="AE215" s="35"/>
      <c r="AF215" s="35"/>
      <c r="AG215" s="35"/>
      <c r="AH215" s="35"/>
      <c r="AI215" s="35"/>
      <c r="AJ215" s="35"/>
      <c r="AK215" s="35"/>
      <c r="AL215" s="35"/>
      <c r="AM215" s="35"/>
      <c r="AN215" s="35"/>
      <c r="AO215" s="35"/>
      <c r="AP215" s="35"/>
      <c r="AQ215" s="35"/>
      <c r="AR215" s="35"/>
      <c r="AS215" s="35"/>
      <c r="AT215" s="35"/>
      <c r="AU215" s="35"/>
      <c r="AV215" s="35"/>
      <c r="AW215" s="35"/>
      <c r="AX215" s="35"/>
      <c r="AY215" s="35"/>
      <c r="AZ215" s="35"/>
      <c r="BA215" s="35"/>
      <c r="BB215" s="35"/>
      <c r="BC215" s="35"/>
      <c r="BD215" s="35"/>
      <c r="BE215" s="35"/>
      <c r="BF215" s="35"/>
      <c r="BG215" s="35"/>
      <c r="BH215" s="35"/>
      <c r="BI215" s="35"/>
      <c r="BJ215" s="35"/>
      <c r="BK215" s="35"/>
      <c r="BL215" s="35"/>
    </row>
    <row r="216" spans="1:64" ht="14">
      <c r="A216" s="35"/>
      <c r="B216" s="36"/>
      <c r="C216" s="39"/>
      <c r="D216" s="78"/>
      <c r="E216" s="78"/>
      <c r="F216" s="78"/>
      <c r="G216" s="229"/>
      <c r="H216" s="229"/>
      <c r="I216" s="40"/>
      <c r="J216" s="43" t="str">
        <f t="shared" si="6"/>
        <v/>
      </c>
      <c r="K216" s="79" t="str">
        <f t="shared" si="7"/>
        <v/>
      </c>
      <c r="L216" s="39"/>
      <c r="M216" s="35"/>
      <c r="N216" s="35"/>
      <c r="O216" s="35"/>
      <c r="P216" s="35"/>
      <c r="Q216" s="35"/>
      <c r="R216" s="35"/>
      <c r="S216" s="35"/>
      <c r="T216" s="35"/>
      <c r="U216" s="35"/>
      <c r="V216" s="35"/>
      <c r="W216" s="35"/>
      <c r="X216" s="35"/>
      <c r="Y216" s="35"/>
      <c r="Z216" s="35"/>
      <c r="AA216" s="35"/>
      <c r="AB216" s="35"/>
      <c r="AC216" s="35"/>
      <c r="AD216" s="35"/>
      <c r="AE216" s="35"/>
      <c r="AF216" s="35"/>
      <c r="AG216" s="35"/>
      <c r="AH216" s="35"/>
      <c r="AI216" s="35"/>
      <c r="AJ216" s="35"/>
      <c r="AK216" s="35"/>
      <c r="AL216" s="35"/>
      <c r="AM216" s="35"/>
      <c r="AN216" s="35"/>
      <c r="AO216" s="35"/>
      <c r="AP216" s="35"/>
      <c r="AQ216" s="35"/>
      <c r="AR216" s="35"/>
      <c r="AS216" s="35"/>
      <c r="AT216" s="35"/>
      <c r="AU216" s="35"/>
      <c r="AV216" s="35"/>
      <c r="AW216" s="35"/>
      <c r="AX216" s="35"/>
      <c r="AY216" s="35"/>
      <c r="AZ216" s="35"/>
      <c r="BA216" s="35"/>
      <c r="BB216" s="35"/>
      <c r="BC216" s="35"/>
      <c r="BD216" s="35"/>
      <c r="BE216" s="35"/>
      <c r="BF216" s="35"/>
      <c r="BG216" s="35"/>
      <c r="BH216" s="35"/>
      <c r="BI216" s="35"/>
      <c r="BJ216" s="35"/>
      <c r="BK216" s="35"/>
      <c r="BL216" s="35"/>
    </row>
    <row r="217" spans="1:64" ht="14">
      <c r="A217" s="35"/>
      <c r="B217" s="36"/>
      <c r="C217" s="39"/>
      <c r="D217" s="78"/>
      <c r="E217" s="78"/>
      <c r="F217" s="78"/>
      <c r="G217" s="229"/>
      <c r="H217" s="229"/>
      <c r="I217" s="40"/>
      <c r="J217" s="43" t="str">
        <f t="shared" si="6"/>
        <v/>
      </c>
      <c r="K217" s="79" t="str">
        <f t="shared" si="7"/>
        <v/>
      </c>
      <c r="L217" s="39"/>
      <c r="M217" s="35"/>
      <c r="N217" s="35"/>
      <c r="O217" s="35"/>
      <c r="P217" s="35"/>
      <c r="Q217" s="35"/>
      <c r="R217" s="35"/>
      <c r="S217" s="35"/>
      <c r="T217" s="35"/>
      <c r="U217" s="35"/>
      <c r="V217" s="35"/>
      <c r="W217" s="35"/>
      <c r="X217" s="35"/>
      <c r="Y217" s="35"/>
      <c r="Z217" s="35"/>
      <c r="AA217" s="35"/>
      <c r="AB217" s="35"/>
      <c r="AC217" s="35"/>
      <c r="AD217" s="35"/>
      <c r="AE217" s="35"/>
      <c r="AF217" s="35"/>
      <c r="AG217" s="35"/>
      <c r="AH217" s="35"/>
      <c r="AI217" s="35"/>
      <c r="AJ217" s="35"/>
      <c r="AK217" s="35"/>
      <c r="AL217" s="35"/>
      <c r="AM217" s="35"/>
      <c r="AN217" s="35"/>
      <c r="AO217" s="35"/>
      <c r="AP217" s="35"/>
      <c r="AQ217" s="35"/>
      <c r="AR217" s="35"/>
      <c r="AS217" s="35"/>
      <c r="AT217" s="35"/>
      <c r="AU217" s="35"/>
      <c r="AV217" s="35"/>
      <c r="AW217" s="35"/>
      <c r="AX217" s="35"/>
      <c r="AY217" s="35"/>
      <c r="AZ217" s="35"/>
      <c r="BA217" s="35"/>
      <c r="BB217" s="35"/>
      <c r="BC217" s="35"/>
      <c r="BD217" s="35"/>
      <c r="BE217" s="35"/>
      <c r="BF217" s="35"/>
      <c r="BG217" s="35"/>
      <c r="BH217" s="35"/>
      <c r="BI217" s="35"/>
      <c r="BJ217" s="35"/>
      <c r="BK217" s="35"/>
      <c r="BL217" s="35"/>
    </row>
    <row r="218" spans="1:64" ht="14">
      <c r="A218" s="35"/>
      <c r="B218" s="36"/>
      <c r="C218" s="39"/>
      <c r="D218" s="78"/>
      <c r="E218" s="78"/>
      <c r="F218" s="78"/>
      <c r="G218" s="229"/>
      <c r="H218" s="229"/>
      <c r="I218" s="40"/>
      <c r="J218" s="43" t="str">
        <f t="shared" si="6"/>
        <v/>
      </c>
      <c r="K218" s="79" t="str">
        <f t="shared" si="7"/>
        <v/>
      </c>
      <c r="L218" s="39"/>
      <c r="M218" s="35"/>
      <c r="N218" s="35"/>
      <c r="O218" s="35"/>
      <c r="P218" s="35"/>
      <c r="Q218" s="35"/>
      <c r="R218" s="35"/>
      <c r="S218" s="35"/>
      <c r="T218" s="35"/>
      <c r="U218" s="35"/>
      <c r="V218" s="35"/>
      <c r="W218" s="35"/>
      <c r="X218" s="35"/>
      <c r="Y218" s="35"/>
      <c r="Z218" s="35"/>
      <c r="AA218" s="35"/>
      <c r="AB218" s="35"/>
      <c r="AC218" s="35"/>
      <c r="AD218" s="35"/>
      <c r="AE218" s="35"/>
      <c r="AF218" s="35"/>
      <c r="AG218" s="35"/>
      <c r="AH218" s="35"/>
      <c r="AI218" s="35"/>
      <c r="AJ218" s="35"/>
      <c r="AK218" s="35"/>
      <c r="AL218" s="35"/>
      <c r="AM218" s="35"/>
      <c r="AN218" s="35"/>
      <c r="AO218" s="35"/>
      <c r="AP218" s="35"/>
      <c r="AQ218" s="35"/>
      <c r="AR218" s="35"/>
      <c r="AS218" s="35"/>
      <c r="AT218" s="35"/>
      <c r="AU218" s="35"/>
      <c r="AV218" s="35"/>
      <c r="AW218" s="35"/>
      <c r="AX218" s="35"/>
      <c r="AY218" s="35"/>
      <c r="AZ218" s="35"/>
      <c r="BA218" s="35"/>
      <c r="BB218" s="35"/>
      <c r="BC218" s="35"/>
      <c r="BD218" s="35"/>
      <c r="BE218" s="35"/>
      <c r="BF218" s="35"/>
      <c r="BG218" s="35"/>
      <c r="BH218" s="35"/>
      <c r="BI218" s="35"/>
      <c r="BJ218" s="35"/>
      <c r="BK218" s="35"/>
      <c r="BL218" s="35"/>
    </row>
    <row r="219" spans="1:64" ht="14">
      <c r="A219" s="35"/>
      <c r="B219" s="36"/>
      <c r="C219" s="39"/>
      <c r="D219" s="78"/>
      <c r="E219" s="78"/>
      <c r="F219" s="78"/>
      <c r="G219" s="229"/>
      <c r="H219" s="229"/>
      <c r="I219" s="40"/>
      <c r="J219" s="43" t="str">
        <f t="shared" si="6"/>
        <v/>
      </c>
      <c r="K219" s="79" t="str">
        <f t="shared" si="7"/>
        <v/>
      </c>
      <c r="L219" s="39"/>
      <c r="M219" s="35"/>
      <c r="N219" s="35"/>
      <c r="O219" s="35"/>
      <c r="P219" s="35"/>
      <c r="Q219" s="35"/>
      <c r="R219" s="35"/>
      <c r="S219" s="35"/>
      <c r="T219" s="35"/>
      <c r="U219" s="35"/>
      <c r="V219" s="35"/>
      <c r="W219" s="35"/>
      <c r="X219" s="35"/>
      <c r="Y219" s="35"/>
      <c r="Z219" s="35"/>
      <c r="AA219" s="35"/>
      <c r="AB219" s="35"/>
      <c r="AC219" s="35"/>
      <c r="AD219" s="35"/>
      <c r="AE219" s="35"/>
      <c r="AF219" s="35"/>
      <c r="AG219" s="35"/>
      <c r="AH219" s="35"/>
      <c r="AI219" s="35"/>
      <c r="AJ219" s="35"/>
      <c r="AK219" s="35"/>
      <c r="AL219" s="35"/>
      <c r="AM219" s="35"/>
      <c r="AN219" s="35"/>
      <c r="AO219" s="35"/>
      <c r="AP219" s="35"/>
      <c r="AQ219" s="35"/>
      <c r="AR219" s="35"/>
      <c r="AS219" s="35"/>
      <c r="AT219" s="35"/>
      <c r="AU219" s="35"/>
      <c r="AV219" s="35"/>
      <c r="AW219" s="35"/>
      <c r="AX219" s="35"/>
      <c r="AY219" s="35"/>
      <c r="AZ219" s="35"/>
      <c r="BA219" s="35"/>
      <c r="BB219" s="35"/>
      <c r="BC219" s="35"/>
      <c r="BD219" s="35"/>
      <c r="BE219" s="35"/>
      <c r="BF219" s="35"/>
      <c r="BG219" s="35"/>
      <c r="BH219" s="35"/>
      <c r="BI219" s="35"/>
      <c r="BJ219" s="35"/>
      <c r="BK219" s="35"/>
      <c r="BL219" s="35"/>
    </row>
    <row r="220" spans="1:64" ht="14">
      <c r="A220" s="35"/>
      <c r="B220" s="36"/>
      <c r="C220" s="39"/>
      <c r="D220" s="78"/>
      <c r="E220" s="78"/>
      <c r="F220" s="78"/>
      <c r="G220" s="229"/>
      <c r="H220" s="229"/>
      <c r="I220" s="40"/>
      <c r="J220" s="43" t="str">
        <f t="shared" si="6"/>
        <v/>
      </c>
      <c r="K220" s="79" t="str">
        <f t="shared" si="7"/>
        <v/>
      </c>
      <c r="L220" s="39"/>
      <c r="M220" s="35"/>
      <c r="N220" s="35"/>
      <c r="O220" s="35"/>
      <c r="P220" s="35"/>
      <c r="Q220" s="35"/>
      <c r="R220" s="35"/>
      <c r="S220" s="35"/>
      <c r="T220" s="35"/>
      <c r="U220" s="35"/>
      <c r="V220" s="35"/>
      <c r="W220" s="35"/>
      <c r="X220" s="35"/>
      <c r="Y220" s="35"/>
      <c r="Z220" s="35"/>
      <c r="AA220" s="35"/>
      <c r="AB220" s="35"/>
      <c r="AC220" s="35"/>
      <c r="AD220" s="35"/>
      <c r="AE220" s="35"/>
      <c r="AF220" s="35"/>
      <c r="AG220" s="35"/>
      <c r="AH220" s="35"/>
      <c r="AI220" s="35"/>
      <c r="AJ220" s="35"/>
      <c r="AK220" s="35"/>
      <c r="AL220" s="35"/>
      <c r="AM220" s="35"/>
      <c r="AN220" s="35"/>
      <c r="AO220" s="35"/>
      <c r="AP220" s="35"/>
      <c r="AQ220" s="35"/>
      <c r="AR220" s="35"/>
      <c r="AS220" s="35"/>
      <c r="AT220" s="35"/>
      <c r="AU220" s="35"/>
      <c r="AV220" s="35"/>
      <c r="AW220" s="35"/>
      <c r="AX220" s="35"/>
      <c r="AY220" s="35"/>
      <c r="AZ220" s="35"/>
      <c r="BA220" s="35"/>
      <c r="BB220" s="35"/>
      <c r="BC220" s="35"/>
      <c r="BD220" s="35"/>
      <c r="BE220" s="35"/>
      <c r="BF220" s="35"/>
      <c r="BG220" s="35"/>
      <c r="BH220" s="35"/>
      <c r="BI220" s="35"/>
      <c r="BJ220" s="35"/>
      <c r="BK220" s="35"/>
      <c r="BL220" s="35"/>
    </row>
    <row r="221" spans="1:64" ht="14">
      <c r="A221" s="35"/>
      <c r="B221" s="36"/>
      <c r="C221" s="39"/>
      <c r="D221" s="78"/>
      <c r="E221" s="78"/>
      <c r="F221" s="78"/>
      <c r="G221" s="229"/>
      <c r="H221" s="229"/>
      <c r="I221" s="40"/>
      <c r="J221" s="43" t="str">
        <f t="shared" si="6"/>
        <v/>
      </c>
      <c r="K221" s="79" t="str">
        <f t="shared" si="7"/>
        <v/>
      </c>
      <c r="L221" s="39"/>
      <c r="M221" s="35"/>
      <c r="N221" s="35"/>
      <c r="O221" s="35"/>
      <c r="P221" s="35"/>
      <c r="Q221" s="35"/>
      <c r="R221" s="35"/>
      <c r="S221" s="35"/>
      <c r="T221" s="35"/>
      <c r="U221" s="35"/>
      <c r="V221" s="35"/>
      <c r="W221" s="35"/>
      <c r="X221" s="35"/>
      <c r="Y221" s="35"/>
      <c r="Z221" s="35"/>
      <c r="AA221" s="35"/>
      <c r="AB221" s="35"/>
      <c r="AC221" s="35"/>
      <c r="AD221" s="35"/>
      <c r="AE221" s="35"/>
      <c r="AF221" s="35"/>
      <c r="AG221" s="35"/>
      <c r="AH221" s="35"/>
      <c r="AI221" s="35"/>
      <c r="AJ221" s="35"/>
      <c r="AK221" s="35"/>
      <c r="AL221" s="35"/>
      <c r="AM221" s="35"/>
      <c r="AN221" s="35"/>
      <c r="AO221" s="35"/>
      <c r="AP221" s="35"/>
      <c r="AQ221" s="35"/>
      <c r="AR221" s="35"/>
      <c r="AS221" s="35"/>
      <c r="AT221" s="35"/>
      <c r="AU221" s="35"/>
      <c r="AV221" s="35"/>
      <c r="AW221" s="35"/>
      <c r="AX221" s="35"/>
      <c r="AY221" s="35"/>
      <c r="AZ221" s="35"/>
      <c r="BA221" s="35"/>
      <c r="BB221" s="35"/>
      <c r="BC221" s="35"/>
      <c r="BD221" s="35"/>
      <c r="BE221" s="35"/>
      <c r="BF221" s="35"/>
      <c r="BG221" s="35"/>
      <c r="BH221" s="35"/>
      <c r="BI221" s="35"/>
      <c r="BJ221" s="35"/>
      <c r="BK221" s="35"/>
      <c r="BL221" s="35"/>
    </row>
    <row r="222" spans="1:64" ht="14">
      <c r="A222" s="35"/>
      <c r="B222" s="36"/>
      <c r="C222" s="39"/>
      <c r="D222" s="78"/>
      <c r="E222" s="78"/>
      <c r="F222" s="78"/>
      <c r="G222" s="229"/>
      <c r="H222" s="229"/>
      <c r="I222" s="40"/>
      <c r="J222" s="43" t="str">
        <f t="shared" si="6"/>
        <v/>
      </c>
      <c r="K222" s="79" t="str">
        <f t="shared" si="7"/>
        <v/>
      </c>
      <c r="L222" s="39"/>
      <c r="M222" s="35"/>
      <c r="N222" s="35"/>
      <c r="O222" s="35"/>
      <c r="P222" s="35"/>
      <c r="Q222" s="35"/>
      <c r="R222" s="35"/>
      <c r="S222" s="35"/>
      <c r="T222" s="35"/>
      <c r="U222" s="35"/>
      <c r="V222" s="35"/>
      <c r="W222" s="35"/>
      <c r="X222" s="35"/>
      <c r="Y222" s="35"/>
      <c r="Z222" s="35"/>
      <c r="AA222" s="35"/>
      <c r="AB222" s="35"/>
      <c r="AC222" s="35"/>
      <c r="AD222" s="35"/>
      <c r="AE222" s="35"/>
      <c r="AF222" s="35"/>
      <c r="AG222" s="35"/>
      <c r="AH222" s="35"/>
      <c r="AI222" s="35"/>
      <c r="AJ222" s="35"/>
      <c r="AK222" s="35"/>
      <c r="AL222" s="35"/>
      <c r="AM222" s="35"/>
      <c r="AN222" s="35"/>
      <c r="AO222" s="35"/>
      <c r="AP222" s="35"/>
      <c r="AQ222" s="35"/>
      <c r="AR222" s="35"/>
      <c r="AS222" s="35"/>
      <c r="AT222" s="35"/>
      <c r="AU222" s="35"/>
      <c r="AV222" s="35"/>
      <c r="AW222" s="35"/>
      <c r="AX222" s="35"/>
      <c r="AY222" s="35"/>
      <c r="AZ222" s="35"/>
      <c r="BA222" s="35"/>
      <c r="BB222" s="35"/>
      <c r="BC222" s="35"/>
      <c r="BD222" s="35"/>
      <c r="BE222" s="35"/>
      <c r="BF222" s="35"/>
      <c r="BG222" s="35"/>
      <c r="BH222" s="35"/>
      <c r="BI222" s="35"/>
      <c r="BJ222" s="35"/>
      <c r="BK222" s="35"/>
      <c r="BL222" s="35"/>
    </row>
    <row r="223" spans="1:64" ht="14">
      <c r="A223" s="35"/>
      <c r="B223" s="36"/>
      <c r="C223" s="39"/>
      <c r="D223" s="78"/>
      <c r="E223" s="78"/>
      <c r="F223" s="78"/>
      <c r="G223" s="229"/>
      <c r="H223" s="229"/>
      <c r="I223" s="40"/>
      <c r="J223" s="43" t="str">
        <f t="shared" si="6"/>
        <v/>
      </c>
      <c r="K223" s="79" t="str">
        <f t="shared" si="7"/>
        <v/>
      </c>
      <c r="L223" s="39"/>
      <c r="M223" s="35"/>
      <c r="N223" s="35"/>
      <c r="O223" s="35"/>
      <c r="P223" s="35"/>
      <c r="Q223" s="35"/>
      <c r="R223" s="35"/>
      <c r="S223" s="35"/>
      <c r="T223" s="35"/>
      <c r="U223" s="35"/>
      <c r="V223" s="35"/>
      <c r="W223" s="35"/>
      <c r="X223" s="35"/>
      <c r="Y223" s="35"/>
      <c r="Z223" s="35"/>
      <c r="AA223" s="35"/>
      <c r="AB223" s="35"/>
      <c r="AC223" s="35"/>
      <c r="AD223" s="35"/>
      <c r="AE223" s="35"/>
      <c r="AF223" s="35"/>
      <c r="AG223" s="35"/>
      <c r="AH223" s="35"/>
      <c r="AI223" s="35"/>
      <c r="AJ223" s="35"/>
      <c r="AK223" s="35"/>
      <c r="AL223" s="35"/>
      <c r="AM223" s="35"/>
      <c r="AN223" s="35"/>
      <c r="AO223" s="35"/>
      <c r="AP223" s="35"/>
      <c r="AQ223" s="35"/>
      <c r="AR223" s="35"/>
      <c r="AS223" s="35"/>
      <c r="AT223" s="35"/>
      <c r="AU223" s="35"/>
      <c r="AV223" s="35"/>
      <c r="AW223" s="35"/>
      <c r="AX223" s="35"/>
      <c r="AY223" s="35"/>
      <c r="AZ223" s="35"/>
      <c r="BA223" s="35"/>
      <c r="BB223" s="35"/>
      <c r="BC223" s="35"/>
      <c r="BD223" s="35"/>
      <c r="BE223" s="35"/>
      <c r="BF223" s="35"/>
      <c r="BG223" s="35"/>
      <c r="BH223" s="35"/>
      <c r="BI223" s="35"/>
      <c r="BJ223" s="35"/>
      <c r="BK223" s="35"/>
      <c r="BL223" s="35"/>
    </row>
    <row r="224" spans="1:64" ht="14">
      <c r="A224" s="35"/>
      <c r="B224" s="36"/>
      <c r="C224" s="39"/>
      <c r="D224" s="78"/>
      <c r="E224" s="78"/>
      <c r="F224" s="78"/>
      <c r="G224" s="229"/>
      <c r="H224" s="229"/>
      <c r="I224" s="40"/>
      <c r="J224" s="43" t="str">
        <f t="shared" si="6"/>
        <v/>
      </c>
      <c r="K224" s="79" t="str">
        <f t="shared" si="7"/>
        <v/>
      </c>
      <c r="L224" s="39"/>
      <c r="M224" s="35"/>
      <c r="N224" s="35"/>
      <c r="O224" s="35"/>
      <c r="P224" s="35"/>
      <c r="Q224" s="35"/>
      <c r="R224" s="35"/>
      <c r="S224" s="35"/>
      <c r="T224" s="35"/>
      <c r="U224" s="35"/>
      <c r="V224" s="35"/>
      <c r="W224" s="35"/>
      <c r="X224" s="35"/>
      <c r="Y224" s="35"/>
      <c r="Z224" s="35"/>
      <c r="AA224" s="35"/>
      <c r="AB224" s="35"/>
      <c r="AC224" s="35"/>
      <c r="AD224" s="35"/>
      <c r="AE224" s="35"/>
      <c r="AF224" s="35"/>
      <c r="AG224" s="35"/>
      <c r="AH224" s="35"/>
      <c r="AI224" s="35"/>
      <c r="AJ224" s="35"/>
      <c r="AK224" s="35"/>
      <c r="AL224" s="35"/>
      <c r="AM224" s="35"/>
      <c r="AN224" s="35"/>
      <c r="AO224" s="35"/>
      <c r="AP224" s="35"/>
      <c r="AQ224" s="35"/>
      <c r="AR224" s="35"/>
      <c r="AS224" s="35"/>
      <c r="AT224" s="35"/>
      <c r="AU224" s="35"/>
      <c r="AV224" s="35"/>
      <c r="AW224" s="35"/>
      <c r="AX224" s="35"/>
      <c r="AY224" s="35"/>
      <c r="AZ224" s="35"/>
      <c r="BA224" s="35"/>
      <c r="BB224" s="35"/>
      <c r="BC224" s="35"/>
      <c r="BD224" s="35"/>
      <c r="BE224" s="35"/>
      <c r="BF224" s="35"/>
      <c r="BG224" s="35"/>
      <c r="BH224" s="35"/>
      <c r="BI224" s="35"/>
      <c r="BJ224" s="35"/>
      <c r="BK224" s="35"/>
      <c r="BL224" s="35"/>
    </row>
    <row r="225" spans="1:64" ht="14">
      <c r="A225" s="35"/>
      <c r="B225" s="36"/>
      <c r="C225" s="39"/>
      <c r="D225" s="78"/>
      <c r="E225" s="78"/>
      <c r="F225" s="78"/>
      <c r="G225" s="229"/>
      <c r="H225" s="229"/>
      <c r="I225" s="80"/>
      <c r="J225" s="43" t="str">
        <f t="shared" si="6"/>
        <v/>
      </c>
      <c r="K225" s="79" t="str">
        <f t="shared" si="7"/>
        <v/>
      </c>
      <c r="L225" s="39"/>
      <c r="M225" s="35"/>
      <c r="N225" s="35"/>
      <c r="O225" s="35"/>
      <c r="P225" s="35"/>
      <c r="Q225" s="35"/>
      <c r="R225" s="35"/>
      <c r="S225" s="35"/>
      <c r="T225" s="35"/>
      <c r="U225" s="35"/>
      <c r="V225" s="35"/>
      <c r="W225" s="35"/>
      <c r="X225" s="35"/>
      <c r="Y225" s="35"/>
      <c r="Z225" s="35"/>
      <c r="AA225" s="35"/>
      <c r="AB225" s="35"/>
      <c r="AC225" s="35"/>
      <c r="AD225" s="35"/>
      <c r="AE225" s="35"/>
      <c r="AF225" s="35"/>
      <c r="AG225" s="35"/>
      <c r="AH225" s="35"/>
      <c r="AI225" s="35"/>
      <c r="AJ225" s="35"/>
      <c r="AK225" s="35"/>
      <c r="AL225" s="35"/>
      <c r="AM225" s="35"/>
      <c r="AN225" s="35"/>
      <c r="AO225" s="35"/>
      <c r="AP225" s="35"/>
      <c r="AQ225" s="35"/>
      <c r="AR225" s="35"/>
      <c r="AS225" s="35"/>
      <c r="AT225" s="35"/>
      <c r="AU225" s="35"/>
      <c r="AV225" s="35"/>
      <c r="AW225" s="35"/>
      <c r="AX225" s="35"/>
      <c r="AY225" s="35"/>
      <c r="AZ225" s="35"/>
      <c r="BA225" s="35"/>
      <c r="BB225" s="35"/>
      <c r="BC225" s="35"/>
      <c r="BD225" s="35"/>
      <c r="BE225" s="35"/>
      <c r="BF225" s="35"/>
      <c r="BG225" s="35"/>
      <c r="BH225" s="35"/>
      <c r="BI225" s="35"/>
      <c r="BJ225" s="35"/>
      <c r="BK225" s="35"/>
      <c r="BL225" s="35"/>
    </row>
    <row r="226" spans="1:64" ht="14">
      <c r="A226" s="35"/>
      <c r="B226" s="36"/>
      <c r="C226" s="39"/>
      <c r="D226" s="78"/>
      <c r="E226" s="78"/>
      <c r="F226" s="78"/>
      <c r="G226" s="229"/>
      <c r="H226" s="229"/>
      <c r="I226" s="80"/>
      <c r="J226" s="43" t="str">
        <f t="shared" si="6"/>
        <v/>
      </c>
      <c r="K226" s="79" t="str">
        <f t="shared" si="7"/>
        <v/>
      </c>
      <c r="L226" s="39"/>
      <c r="M226" s="35"/>
      <c r="N226" s="35"/>
      <c r="O226" s="35"/>
      <c r="P226" s="35"/>
      <c r="Q226" s="35"/>
      <c r="R226" s="35"/>
      <c r="S226" s="35"/>
      <c r="T226" s="35"/>
      <c r="U226" s="35"/>
      <c r="V226" s="35"/>
      <c r="W226" s="35"/>
      <c r="X226" s="35"/>
      <c r="Y226" s="35"/>
      <c r="Z226" s="35"/>
      <c r="AA226" s="35"/>
      <c r="AB226" s="35"/>
      <c r="AC226" s="35"/>
      <c r="AD226" s="35"/>
      <c r="AE226" s="35"/>
      <c r="AF226" s="35"/>
      <c r="AG226" s="35"/>
      <c r="AH226" s="35"/>
      <c r="AI226" s="35"/>
      <c r="AJ226" s="35"/>
      <c r="AK226" s="35"/>
      <c r="AL226" s="35"/>
      <c r="AM226" s="35"/>
      <c r="AN226" s="35"/>
      <c r="AO226" s="35"/>
      <c r="AP226" s="35"/>
      <c r="AQ226" s="35"/>
      <c r="AR226" s="35"/>
      <c r="AS226" s="35"/>
      <c r="AT226" s="35"/>
      <c r="AU226" s="35"/>
      <c r="AV226" s="35"/>
      <c r="AW226" s="35"/>
      <c r="AX226" s="35"/>
      <c r="AY226" s="35"/>
      <c r="AZ226" s="35"/>
      <c r="BA226" s="35"/>
      <c r="BB226" s="35"/>
      <c r="BC226" s="35"/>
      <c r="BD226" s="35"/>
      <c r="BE226" s="35"/>
      <c r="BF226" s="35"/>
      <c r="BG226" s="35"/>
      <c r="BH226" s="35"/>
      <c r="BI226" s="35"/>
      <c r="BJ226" s="35"/>
      <c r="BK226" s="35"/>
      <c r="BL226" s="35"/>
    </row>
    <row r="227" spans="1:64" ht="14">
      <c r="A227" s="35"/>
      <c r="B227" s="36"/>
      <c r="C227" s="39"/>
      <c r="D227" s="78"/>
      <c r="E227" s="78"/>
      <c r="F227" s="78"/>
      <c r="G227" s="229"/>
      <c r="H227" s="229"/>
      <c r="I227" s="40"/>
      <c r="J227" s="43" t="str">
        <f t="shared" si="6"/>
        <v/>
      </c>
      <c r="K227" s="79" t="str">
        <f t="shared" si="7"/>
        <v/>
      </c>
      <c r="L227" s="39"/>
      <c r="M227" s="35"/>
      <c r="N227" s="35"/>
      <c r="O227" s="35"/>
      <c r="P227" s="35"/>
      <c r="Q227" s="35"/>
      <c r="R227" s="35"/>
      <c r="S227" s="35"/>
      <c r="T227" s="35"/>
      <c r="U227" s="35"/>
      <c r="V227" s="35"/>
      <c r="W227" s="35"/>
      <c r="X227" s="35"/>
      <c r="Y227" s="35"/>
      <c r="Z227" s="35"/>
      <c r="AA227" s="35"/>
      <c r="AB227" s="35"/>
      <c r="AC227" s="35"/>
      <c r="AD227" s="35"/>
      <c r="AE227" s="35"/>
      <c r="AF227" s="35"/>
      <c r="AG227" s="35"/>
      <c r="AH227" s="35"/>
      <c r="AI227" s="35"/>
      <c r="AJ227" s="35"/>
      <c r="AK227" s="35"/>
      <c r="AL227" s="35"/>
      <c r="AM227" s="35"/>
      <c r="AN227" s="35"/>
      <c r="AO227" s="35"/>
      <c r="AP227" s="35"/>
      <c r="AQ227" s="35"/>
      <c r="AR227" s="35"/>
      <c r="AS227" s="35"/>
      <c r="AT227" s="35"/>
      <c r="AU227" s="35"/>
      <c r="AV227" s="35"/>
      <c r="AW227" s="35"/>
      <c r="AX227" s="35"/>
      <c r="AY227" s="35"/>
      <c r="AZ227" s="35"/>
      <c r="BA227" s="35"/>
      <c r="BB227" s="35"/>
      <c r="BC227" s="35"/>
      <c r="BD227" s="35"/>
      <c r="BE227" s="35"/>
      <c r="BF227" s="35"/>
      <c r="BG227" s="35"/>
      <c r="BH227" s="35"/>
      <c r="BI227" s="35"/>
      <c r="BJ227" s="35"/>
      <c r="BK227" s="35"/>
      <c r="BL227" s="35"/>
    </row>
    <row r="228" spans="1:64" ht="14">
      <c r="A228" s="35"/>
      <c r="B228" s="36"/>
      <c r="C228" s="39"/>
      <c r="D228" s="78"/>
      <c r="E228" s="78"/>
      <c r="F228" s="78"/>
      <c r="G228" s="229"/>
      <c r="H228" s="229"/>
      <c r="I228" s="40"/>
      <c r="J228" s="43" t="str">
        <f t="shared" si="6"/>
        <v/>
      </c>
      <c r="K228" s="79" t="str">
        <f t="shared" si="7"/>
        <v/>
      </c>
      <c r="L228" s="39"/>
      <c r="M228" s="35"/>
      <c r="N228" s="35"/>
      <c r="O228" s="35"/>
      <c r="P228" s="35"/>
      <c r="Q228" s="35"/>
      <c r="R228" s="35"/>
      <c r="S228" s="35"/>
      <c r="T228" s="35"/>
      <c r="U228" s="35"/>
      <c r="V228" s="35"/>
      <c r="W228" s="35"/>
      <c r="X228" s="35"/>
      <c r="Y228" s="35"/>
      <c r="Z228" s="35"/>
      <c r="AA228" s="35"/>
      <c r="AB228" s="35"/>
      <c r="AC228" s="35"/>
      <c r="AD228" s="35"/>
      <c r="AE228" s="35"/>
      <c r="AF228" s="35"/>
      <c r="AG228" s="35"/>
      <c r="AH228" s="35"/>
      <c r="AI228" s="35"/>
      <c r="AJ228" s="35"/>
      <c r="AK228" s="35"/>
      <c r="AL228" s="35"/>
      <c r="AM228" s="35"/>
      <c r="AN228" s="35"/>
      <c r="AO228" s="35"/>
      <c r="AP228" s="35"/>
      <c r="AQ228" s="35"/>
      <c r="AR228" s="35"/>
      <c r="AS228" s="35"/>
      <c r="AT228" s="35"/>
      <c r="AU228" s="35"/>
      <c r="AV228" s="35"/>
      <c r="AW228" s="35"/>
      <c r="AX228" s="35"/>
      <c r="AY228" s="35"/>
      <c r="AZ228" s="35"/>
      <c r="BA228" s="35"/>
      <c r="BB228" s="35"/>
      <c r="BC228" s="35"/>
      <c r="BD228" s="35"/>
      <c r="BE228" s="35"/>
      <c r="BF228" s="35"/>
      <c r="BG228" s="35"/>
      <c r="BH228" s="35"/>
      <c r="BI228" s="35"/>
      <c r="BJ228" s="35"/>
      <c r="BK228" s="35"/>
      <c r="BL228" s="35"/>
    </row>
    <row r="229" spans="1:64" ht="14">
      <c r="A229" s="35"/>
      <c r="B229" s="36"/>
      <c r="C229" s="39"/>
      <c r="D229" s="78"/>
      <c r="E229" s="78"/>
      <c r="F229" s="78"/>
      <c r="G229" s="229"/>
      <c r="H229" s="229"/>
      <c r="I229" s="40"/>
      <c r="J229" s="43" t="str">
        <f t="shared" si="6"/>
        <v/>
      </c>
      <c r="K229" s="79" t="str">
        <f t="shared" si="7"/>
        <v/>
      </c>
      <c r="L229" s="39"/>
      <c r="M229" s="35"/>
      <c r="N229" s="35"/>
      <c r="O229" s="35"/>
      <c r="P229" s="35"/>
      <c r="Q229" s="35"/>
      <c r="R229" s="35"/>
      <c r="S229" s="35"/>
      <c r="T229" s="35"/>
      <c r="U229" s="35"/>
      <c r="V229" s="35"/>
      <c r="W229" s="35"/>
      <c r="X229" s="35"/>
      <c r="Y229" s="35"/>
      <c r="Z229" s="35"/>
      <c r="AA229" s="35"/>
      <c r="AB229" s="35"/>
      <c r="AC229" s="35"/>
      <c r="AD229" s="35"/>
      <c r="AE229" s="35"/>
      <c r="AF229" s="35"/>
      <c r="AG229" s="35"/>
      <c r="AH229" s="35"/>
      <c r="AI229" s="35"/>
      <c r="AJ229" s="35"/>
      <c r="AK229" s="35"/>
      <c r="AL229" s="35"/>
      <c r="AM229" s="35"/>
      <c r="AN229" s="35"/>
      <c r="AO229" s="35"/>
      <c r="AP229" s="35"/>
      <c r="AQ229" s="35"/>
      <c r="AR229" s="35"/>
      <c r="AS229" s="35"/>
      <c r="AT229" s="35"/>
      <c r="AU229" s="35"/>
      <c r="AV229" s="35"/>
      <c r="AW229" s="35"/>
      <c r="AX229" s="35"/>
      <c r="AY229" s="35"/>
      <c r="AZ229" s="35"/>
      <c r="BA229" s="35"/>
      <c r="BB229" s="35"/>
      <c r="BC229" s="35"/>
      <c r="BD229" s="35"/>
      <c r="BE229" s="35"/>
      <c r="BF229" s="35"/>
      <c r="BG229" s="35"/>
      <c r="BH229" s="35"/>
      <c r="BI229" s="35"/>
      <c r="BJ229" s="35"/>
      <c r="BK229" s="35"/>
      <c r="BL229" s="35"/>
    </row>
    <row r="230" spans="1:64" ht="14">
      <c r="A230" s="35"/>
      <c r="B230" s="36"/>
      <c r="C230" s="39"/>
      <c r="D230" s="78"/>
      <c r="E230" s="78"/>
      <c r="F230" s="78"/>
      <c r="G230" s="229"/>
      <c r="H230" s="229"/>
      <c r="I230" s="40"/>
      <c r="J230" s="43" t="str">
        <f t="shared" si="6"/>
        <v/>
      </c>
      <c r="K230" s="79" t="str">
        <f t="shared" si="7"/>
        <v/>
      </c>
      <c r="L230" s="39"/>
      <c r="M230" s="35"/>
      <c r="N230" s="35"/>
      <c r="O230" s="35"/>
      <c r="P230" s="35"/>
      <c r="Q230" s="35"/>
      <c r="R230" s="35"/>
      <c r="S230" s="35"/>
      <c r="T230" s="35"/>
      <c r="U230" s="35"/>
      <c r="V230" s="35"/>
      <c r="W230" s="35"/>
      <c r="X230" s="35"/>
      <c r="Y230" s="35"/>
      <c r="Z230" s="35"/>
      <c r="AA230" s="35"/>
      <c r="AB230" s="35"/>
      <c r="AC230" s="35"/>
      <c r="AD230" s="35"/>
      <c r="AE230" s="35"/>
      <c r="AF230" s="35"/>
      <c r="AG230" s="35"/>
      <c r="AH230" s="35"/>
      <c r="AI230" s="35"/>
      <c r="AJ230" s="35"/>
      <c r="AK230" s="35"/>
      <c r="AL230" s="35"/>
      <c r="AM230" s="35"/>
      <c r="AN230" s="35"/>
      <c r="AO230" s="35"/>
      <c r="AP230" s="35"/>
      <c r="AQ230" s="35"/>
      <c r="AR230" s="35"/>
      <c r="AS230" s="35"/>
      <c r="AT230" s="35"/>
      <c r="AU230" s="35"/>
      <c r="AV230" s="35"/>
      <c r="AW230" s="35"/>
      <c r="AX230" s="35"/>
      <c r="AY230" s="35"/>
      <c r="AZ230" s="35"/>
      <c r="BA230" s="35"/>
      <c r="BB230" s="35"/>
      <c r="BC230" s="35"/>
      <c r="BD230" s="35"/>
      <c r="BE230" s="35"/>
      <c r="BF230" s="35"/>
      <c r="BG230" s="35"/>
      <c r="BH230" s="35"/>
      <c r="BI230" s="35"/>
      <c r="BJ230" s="35"/>
      <c r="BK230" s="35"/>
      <c r="BL230" s="35"/>
    </row>
    <row r="231" spans="1:64" ht="14">
      <c r="A231" s="35"/>
      <c r="B231" s="36"/>
      <c r="C231" s="39"/>
      <c r="D231" s="78"/>
      <c r="E231" s="78"/>
      <c r="F231" s="78"/>
      <c r="G231" s="229"/>
      <c r="H231" s="229"/>
      <c r="I231" s="40"/>
      <c r="J231" s="43" t="str">
        <f t="shared" si="6"/>
        <v/>
      </c>
      <c r="K231" s="79" t="str">
        <f t="shared" si="7"/>
        <v/>
      </c>
      <c r="L231" s="39"/>
      <c r="M231" s="35"/>
      <c r="N231" s="35"/>
      <c r="O231" s="35"/>
      <c r="P231" s="35"/>
      <c r="Q231" s="35"/>
      <c r="R231" s="35"/>
      <c r="S231" s="35"/>
      <c r="T231" s="35"/>
      <c r="U231" s="35"/>
      <c r="V231" s="35"/>
      <c r="W231" s="35"/>
      <c r="X231" s="35"/>
      <c r="Y231" s="35"/>
      <c r="Z231" s="35"/>
      <c r="AA231" s="35"/>
      <c r="AB231" s="35"/>
      <c r="AC231" s="35"/>
      <c r="AD231" s="35"/>
      <c r="AE231" s="35"/>
      <c r="AF231" s="35"/>
      <c r="AG231" s="35"/>
      <c r="AH231" s="35"/>
      <c r="AI231" s="35"/>
      <c r="AJ231" s="35"/>
      <c r="AK231" s="35"/>
      <c r="AL231" s="35"/>
      <c r="AM231" s="35"/>
      <c r="AN231" s="35"/>
      <c r="AO231" s="35"/>
      <c r="AP231" s="35"/>
      <c r="AQ231" s="35"/>
      <c r="AR231" s="35"/>
      <c r="AS231" s="35"/>
      <c r="AT231" s="35"/>
      <c r="AU231" s="35"/>
      <c r="AV231" s="35"/>
      <c r="AW231" s="35"/>
      <c r="AX231" s="35"/>
      <c r="AY231" s="35"/>
      <c r="AZ231" s="35"/>
      <c r="BA231" s="35"/>
      <c r="BB231" s="35"/>
      <c r="BC231" s="35"/>
      <c r="BD231" s="35"/>
      <c r="BE231" s="35"/>
      <c r="BF231" s="35"/>
      <c r="BG231" s="35"/>
      <c r="BH231" s="35"/>
      <c r="BI231" s="35"/>
      <c r="BJ231" s="35"/>
      <c r="BK231" s="35"/>
      <c r="BL231" s="35"/>
    </row>
    <row r="232" spans="1:64" ht="14">
      <c r="A232" s="35"/>
      <c r="B232" s="36"/>
      <c r="C232" s="39"/>
      <c r="D232" s="78"/>
      <c r="E232" s="78"/>
      <c r="F232" s="78"/>
      <c r="G232" s="229"/>
      <c r="H232" s="229"/>
      <c r="I232" s="40"/>
      <c r="J232" s="43" t="str">
        <f t="shared" si="6"/>
        <v/>
      </c>
      <c r="K232" s="79" t="str">
        <f t="shared" si="7"/>
        <v/>
      </c>
      <c r="L232" s="39"/>
      <c r="M232" s="35"/>
      <c r="N232" s="35"/>
      <c r="O232" s="35"/>
      <c r="P232" s="35"/>
      <c r="Q232" s="35"/>
      <c r="R232" s="35"/>
      <c r="S232" s="35"/>
      <c r="T232" s="35"/>
      <c r="U232" s="35"/>
      <c r="V232" s="35"/>
      <c r="W232" s="35"/>
      <c r="X232" s="35"/>
      <c r="Y232" s="35"/>
      <c r="Z232" s="35"/>
      <c r="AA232" s="35"/>
      <c r="AB232" s="35"/>
      <c r="AC232" s="35"/>
      <c r="AD232" s="35"/>
      <c r="AE232" s="35"/>
      <c r="AF232" s="35"/>
      <c r="AG232" s="35"/>
      <c r="AH232" s="35"/>
      <c r="AI232" s="35"/>
      <c r="AJ232" s="35"/>
      <c r="AK232" s="35"/>
      <c r="AL232" s="35"/>
      <c r="AM232" s="35"/>
      <c r="AN232" s="35"/>
      <c r="AO232" s="35"/>
      <c r="AP232" s="35"/>
      <c r="AQ232" s="35"/>
      <c r="AR232" s="35"/>
      <c r="AS232" s="35"/>
      <c r="AT232" s="35"/>
      <c r="AU232" s="35"/>
      <c r="AV232" s="35"/>
      <c r="AW232" s="35"/>
      <c r="AX232" s="35"/>
      <c r="AY232" s="35"/>
      <c r="AZ232" s="35"/>
      <c r="BA232" s="35"/>
      <c r="BB232" s="35"/>
      <c r="BC232" s="35"/>
      <c r="BD232" s="35"/>
      <c r="BE232" s="35"/>
      <c r="BF232" s="35"/>
      <c r="BG232" s="35"/>
      <c r="BH232" s="35"/>
      <c r="BI232" s="35"/>
      <c r="BJ232" s="35"/>
      <c r="BK232" s="35"/>
      <c r="BL232" s="35"/>
    </row>
    <row r="233" spans="1:64" ht="14">
      <c r="A233" s="35"/>
      <c r="B233" s="36"/>
      <c r="C233" s="39"/>
      <c r="D233" s="78"/>
      <c r="E233" s="78"/>
      <c r="F233" s="78"/>
      <c r="G233" s="229"/>
      <c r="H233" s="229"/>
      <c r="I233" s="40"/>
      <c r="J233" s="43" t="str">
        <f t="shared" si="6"/>
        <v/>
      </c>
      <c r="K233" s="79" t="str">
        <f t="shared" si="7"/>
        <v/>
      </c>
      <c r="L233" s="39"/>
      <c r="M233" s="35"/>
      <c r="N233" s="35"/>
      <c r="O233" s="35"/>
      <c r="P233" s="35"/>
      <c r="Q233" s="35"/>
      <c r="R233" s="35"/>
      <c r="S233" s="35"/>
      <c r="T233" s="35"/>
      <c r="U233" s="35"/>
      <c r="V233" s="35"/>
      <c r="W233" s="35"/>
      <c r="X233" s="35"/>
      <c r="Y233" s="35"/>
      <c r="Z233" s="35"/>
      <c r="AA233" s="35"/>
      <c r="AB233" s="35"/>
      <c r="AC233" s="35"/>
      <c r="AD233" s="35"/>
      <c r="AE233" s="35"/>
      <c r="AF233" s="35"/>
      <c r="AG233" s="35"/>
      <c r="AH233" s="35"/>
      <c r="AI233" s="35"/>
      <c r="AJ233" s="35"/>
      <c r="AK233" s="35"/>
      <c r="AL233" s="35"/>
      <c r="AM233" s="35"/>
      <c r="AN233" s="35"/>
      <c r="AO233" s="35"/>
      <c r="AP233" s="35"/>
      <c r="AQ233" s="35"/>
      <c r="AR233" s="35"/>
      <c r="AS233" s="35"/>
      <c r="AT233" s="35"/>
      <c r="AU233" s="35"/>
      <c r="AV233" s="35"/>
      <c r="AW233" s="35"/>
      <c r="AX233" s="35"/>
      <c r="AY233" s="35"/>
      <c r="AZ233" s="35"/>
      <c r="BA233" s="35"/>
      <c r="BB233" s="35"/>
      <c r="BC233" s="35"/>
      <c r="BD233" s="35"/>
      <c r="BE233" s="35"/>
      <c r="BF233" s="35"/>
      <c r="BG233" s="35"/>
      <c r="BH233" s="35"/>
      <c r="BI233" s="35"/>
      <c r="BJ233" s="35"/>
      <c r="BK233" s="35"/>
      <c r="BL233" s="35"/>
    </row>
    <row r="234" spans="1:64" ht="14">
      <c r="A234" s="35"/>
      <c r="B234" s="36"/>
      <c r="C234" s="39"/>
      <c r="D234" s="78"/>
      <c r="E234" s="78"/>
      <c r="F234" s="78"/>
      <c r="G234" s="229"/>
      <c r="H234" s="229"/>
      <c r="I234" s="40"/>
      <c r="J234" s="43" t="str">
        <f t="shared" si="6"/>
        <v/>
      </c>
      <c r="K234" s="79" t="str">
        <f t="shared" si="7"/>
        <v/>
      </c>
      <c r="L234" s="39"/>
      <c r="M234" s="35"/>
      <c r="N234" s="35"/>
      <c r="O234" s="35"/>
      <c r="P234" s="35"/>
      <c r="Q234" s="35"/>
      <c r="R234" s="35"/>
      <c r="S234" s="35"/>
      <c r="T234" s="35"/>
      <c r="U234" s="35"/>
      <c r="V234" s="35"/>
      <c r="W234" s="35"/>
      <c r="X234" s="35"/>
      <c r="Y234" s="35"/>
      <c r="Z234" s="35"/>
      <c r="AA234" s="35"/>
      <c r="AB234" s="35"/>
      <c r="AC234" s="35"/>
      <c r="AD234" s="35"/>
      <c r="AE234" s="35"/>
      <c r="AF234" s="35"/>
      <c r="AG234" s="35"/>
      <c r="AH234" s="35"/>
      <c r="AI234" s="35"/>
      <c r="AJ234" s="35"/>
      <c r="AK234" s="35"/>
      <c r="AL234" s="35"/>
      <c r="AM234" s="35"/>
      <c r="AN234" s="35"/>
      <c r="AO234" s="35"/>
      <c r="AP234" s="35"/>
      <c r="AQ234" s="35"/>
      <c r="AR234" s="35"/>
      <c r="AS234" s="35"/>
      <c r="AT234" s="35"/>
      <c r="AU234" s="35"/>
      <c r="AV234" s="35"/>
      <c r="AW234" s="35"/>
      <c r="AX234" s="35"/>
      <c r="AY234" s="35"/>
      <c r="AZ234" s="35"/>
      <c r="BA234" s="35"/>
      <c r="BB234" s="35"/>
      <c r="BC234" s="35"/>
      <c r="BD234" s="35"/>
      <c r="BE234" s="35"/>
      <c r="BF234" s="35"/>
      <c r="BG234" s="35"/>
      <c r="BH234" s="35"/>
      <c r="BI234" s="35"/>
      <c r="BJ234" s="35"/>
      <c r="BK234" s="35"/>
      <c r="BL234" s="35"/>
    </row>
    <row r="235" spans="1:64" ht="14">
      <c r="A235" s="35"/>
      <c r="B235" s="36"/>
      <c r="C235" s="39"/>
      <c r="D235" s="78"/>
      <c r="E235" s="78"/>
      <c r="F235" s="78"/>
      <c r="G235" s="229"/>
      <c r="H235" s="229"/>
      <c r="I235" s="40"/>
      <c r="J235" s="43" t="str">
        <f t="shared" si="6"/>
        <v/>
      </c>
      <c r="K235" s="79" t="str">
        <f t="shared" si="7"/>
        <v/>
      </c>
      <c r="L235" s="39"/>
      <c r="M235" s="35"/>
      <c r="N235" s="35"/>
      <c r="O235" s="35"/>
      <c r="P235" s="35"/>
      <c r="Q235" s="35"/>
      <c r="R235" s="35"/>
      <c r="S235" s="35"/>
      <c r="T235" s="35"/>
      <c r="U235" s="35"/>
      <c r="V235" s="35"/>
      <c r="W235" s="35"/>
      <c r="X235" s="35"/>
      <c r="Y235" s="35"/>
      <c r="Z235" s="35"/>
      <c r="AA235" s="35"/>
      <c r="AB235" s="35"/>
      <c r="AC235" s="35"/>
      <c r="AD235" s="35"/>
      <c r="AE235" s="35"/>
      <c r="AF235" s="35"/>
      <c r="AG235" s="35"/>
      <c r="AH235" s="35"/>
      <c r="AI235" s="35"/>
      <c r="AJ235" s="35"/>
      <c r="AK235" s="35"/>
      <c r="AL235" s="35"/>
      <c r="AM235" s="35"/>
      <c r="AN235" s="35"/>
      <c r="AO235" s="35"/>
      <c r="AP235" s="35"/>
      <c r="AQ235" s="35"/>
      <c r="AR235" s="35"/>
      <c r="AS235" s="35"/>
      <c r="AT235" s="35"/>
      <c r="AU235" s="35"/>
      <c r="AV235" s="35"/>
      <c r="AW235" s="35"/>
      <c r="AX235" s="35"/>
      <c r="AY235" s="35"/>
      <c r="AZ235" s="35"/>
      <c r="BA235" s="35"/>
      <c r="BB235" s="35"/>
      <c r="BC235" s="35"/>
      <c r="BD235" s="35"/>
      <c r="BE235" s="35"/>
      <c r="BF235" s="35"/>
      <c r="BG235" s="35"/>
      <c r="BH235" s="35"/>
      <c r="BI235" s="35"/>
      <c r="BJ235" s="35"/>
      <c r="BK235" s="35"/>
      <c r="BL235" s="35"/>
    </row>
    <row r="236" spans="1:64" ht="14">
      <c r="A236" s="35"/>
      <c r="B236" s="36"/>
      <c r="C236" s="39"/>
      <c r="D236" s="78"/>
      <c r="E236" s="78"/>
      <c r="F236" s="78"/>
      <c r="G236" s="229"/>
      <c r="H236" s="229"/>
      <c r="I236" s="40"/>
      <c r="J236" s="43" t="str">
        <f t="shared" si="6"/>
        <v/>
      </c>
      <c r="K236" s="79" t="str">
        <f t="shared" si="7"/>
        <v/>
      </c>
      <c r="L236" s="39"/>
      <c r="M236" s="35"/>
      <c r="N236" s="35"/>
      <c r="O236" s="35"/>
      <c r="P236" s="35"/>
      <c r="Q236" s="35"/>
      <c r="R236" s="35"/>
      <c r="S236" s="35"/>
      <c r="T236" s="35"/>
      <c r="U236" s="35"/>
      <c r="V236" s="35"/>
      <c r="W236" s="35"/>
      <c r="X236" s="35"/>
      <c r="Y236" s="35"/>
      <c r="Z236" s="35"/>
      <c r="AA236" s="35"/>
      <c r="AB236" s="35"/>
      <c r="AC236" s="35"/>
      <c r="AD236" s="35"/>
      <c r="AE236" s="35"/>
      <c r="AF236" s="35"/>
      <c r="AG236" s="35"/>
      <c r="AH236" s="35"/>
      <c r="AI236" s="35"/>
      <c r="AJ236" s="35"/>
      <c r="AK236" s="35"/>
      <c r="AL236" s="35"/>
      <c r="AM236" s="35"/>
      <c r="AN236" s="35"/>
      <c r="AO236" s="35"/>
      <c r="AP236" s="35"/>
      <c r="AQ236" s="35"/>
      <c r="AR236" s="35"/>
      <c r="AS236" s="35"/>
      <c r="AT236" s="35"/>
      <c r="AU236" s="35"/>
      <c r="AV236" s="35"/>
      <c r="AW236" s="35"/>
      <c r="AX236" s="35"/>
      <c r="AY236" s="35"/>
      <c r="AZ236" s="35"/>
      <c r="BA236" s="35"/>
      <c r="BB236" s="35"/>
      <c r="BC236" s="35"/>
      <c r="BD236" s="35"/>
      <c r="BE236" s="35"/>
      <c r="BF236" s="35"/>
      <c r="BG236" s="35"/>
      <c r="BH236" s="35"/>
      <c r="BI236" s="35"/>
      <c r="BJ236" s="35"/>
      <c r="BK236" s="35"/>
      <c r="BL236" s="35"/>
    </row>
    <row r="237" spans="1:64" ht="14">
      <c r="A237" s="35"/>
      <c r="B237" s="36"/>
      <c r="C237" s="39"/>
      <c r="D237" s="78"/>
      <c r="E237" s="78"/>
      <c r="F237" s="78"/>
      <c r="G237" s="229"/>
      <c r="H237" s="229"/>
      <c r="I237" s="40"/>
      <c r="J237" s="43" t="str">
        <f t="shared" si="6"/>
        <v/>
      </c>
      <c r="K237" s="79" t="str">
        <f t="shared" si="7"/>
        <v/>
      </c>
      <c r="L237" s="39"/>
      <c r="M237" s="35"/>
      <c r="N237" s="35"/>
      <c r="O237" s="35"/>
      <c r="P237" s="35"/>
      <c r="Q237" s="35"/>
      <c r="R237" s="35"/>
      <c r="S237" s="35"/>
      <c r="T237" s="35"/>
      <c r="U237" s="35"/>
      <c r="V237" s="35"/>
      <c r="W237" s="35"/>
      <c r="X237" s="35"/>
      <c r="Y237" s="35"/>
      <c r="Z237" s="35"/>
      <c r="AA237" s="35"/>
      <c r="AB237" s="35"/>
      <c r="AC237" s="35"/>
      <c r="AD237" s="35"/>
      <c r="AE237" s="35"/>
      <c r="AF237" s="35"/>
      <c r="AG237" s="35"/>
      <c r="AH237" s="35"/>
      <c r="AI237" s="35"/>
      <c r="AJ237" s="35"/>
      <c r="AK237" s="35"/>
      <c r="AL237" s="35"/>
      <c r="AM237" s="35"/>
      <c r="AN237" s="35"/>
      <c r="AO237" s="35"/>
      <c r="AP237" s="35"/>
      <c r="AQ237" s="35"/>
      <c r="AR237" s="35"/>
      <c r="AS237" s="35"/>
      <c r="AT237" s="35"/>
      <c r="AU237" s="35"/>
      <c r="AV237" s="35"/>
      <c r="AW237" s="35"/>
      <c r="AX237" s="35"/>
      <c r="AY237" s="35"/>
      <c r="AZ237" s="35"/>
      <c r="BA237" s="35"/>
      <c r="BB237" s="35"/>
      <c r="BC237" s="35"/>
      <c r="BD237" s="35"/>
      <c r="BE237" s="35"/>
      <c r="BF237" s="35"/>
      <c r="BG237" s="35"/>
      <c r="BH237" s="35"/>
      <c r="BI237" s="35"/>
      <c r="BJ237" s="35"/>
      <c r="BK237" s="35"/>
      <c r="BL237" s="35"/>
    </row>
    <row r="238" spans="1:64" ht="14">
      <c r="A238" s="35"/>
      <c r="B238" s="36"/>
      <c r="C238" s="39"/>
      <c r="D238" s="78"/>
      <c r="E238" s="78"/>
      <c r="F238" s="78"/>
      <c r="G238" s="229"/>
      <c r="H238" s="229"/>
      <c r="I238" s="40"/>
      <c r="J238" s="43" t="str">
        <f t="shared" si="6"/>
        <v/>
      </c>
      <c r="K238" s="79" t="str">
        <f t="shared" si="7"/>
        <v/>
      </c>
      <c r="L238" s="39"/>
      <c r="M238" s="35"/>
      <c r="N238" s="35"/>
      <c r="O238" s="35"/>
      <c r="P238" s="35"/>
      <c r="Q238" s="35"/>
      <c r="R238" s="35"/>
      <c r="S238" s="35"/>
      <c r="T238" s="35"/>
      <c r="U238" s="35"/>
      <c r="V238" s="35"/>
      <c r="W238" s="35"/>
      <c r="X238" s="35"/>
      <c r="Y238" s="35"/>
      <c r="Z238" s="35"/>
      <c r="AA238" s="35"/>
      <c r="AB238" s="35"/>
      <c r="AC238" s="35"/>
      <c r="AD238" s="35"/>
      <c r="AE238" s="35"/>
      <c r="AF238" s="35"/>
      <c r="AG238" s="35"/>
      <c r="AH238" s="35"/>
      <c r="AI238" s="35"/>
      <c r="AJ238" s="35"/>
      <c r="AK238" s="35"/>
      <c r="AL238" s="35"/>
      <c r="AM238" s="35"/>
      <c r="AN238" s="35"/>
      <c r="AO238" s="35"/>
      <c r="AP238" s="35"/>
      <c r="AQ238" s="35"/>
      <c r="AR238" s="35"/>
      <c r="AS238" s="35"/>
      <c r="AT238" s="35"/>
      <c r="AU238" s="35"/>
      <c r="AV238" s="35"/>
      <c r="AW238" s="35"/>
      <c r="AX238" s="35"/>
      <c r="AY238" s="35"/>
      <c r="AZ238" s="35"/>
      <c r="BA238" s="35"/>
      <c r="BB238" s="35"/>
      <c r="BC238" s="35"/>
      <c r="BD238" s="35"/>
      <c r="BE238" s="35"/>
      <c r="BF238" s="35"/>
      <c r="BG238" s="35"/>
      <c r="BH238" s="35"/>
      <c r="BI238" s="35"/>
      <c r="BJ238" s="35"/>
      <c r="BK238" s="35"/>
      <c r="BL238" s="35"/>
    </row>
    <row r="239" spans="1:64" ht="14">
      <c r="A239" s="35"/>
      <c r="B239" s="36"/>
      <c r="C239" s="39"/>
      <c r="D239" s="78"/>
      <c r="E239" s="78"/>
      <c r="F239" s="78"/>
      <c r="G239" s="229"/>
      <c r="H239" s="229"/>
      <c r="I239" s="40"/>
      <c r="J239" s="43" t="str">
        <f t="shared" si="6"/>
        <v/>
      </c>
      <c r="K239" s="79" t="str">
        <f t="shared" si="7"/>
        <v/>
      </c>
      <c r="L239" s="39"/>
      <c r="M239" s="35"/>
      <c r="N239" s="35"/>
      <c r="O239" s="35"/>
      <c r="P239" s="35"/>
      <c r="Q239" s="35"/>
      <c r="R239" s="35"/>
      <c r="S239" s="35"/>
      <c r="T239" s="35"/>
      <c r="U239" s="35"/>
      <c r="V239" s="35"/>
      <c r="W239" s="35"/>
      <c r="X239" s="35"/>
      <c r="Y239" s="35"/>
      <c r="Z239" s="35"/>
      <c r="AA239" s="35"/>
      <c r="AB239" s="35"/>
      <c r="AC239" s="35"/>
      <c r="AD239" s="35"/>
      <c r="AE239" s="35"/>
      <c r="AF239" s="35"/>
      <c r="AG239" s="35"/>
      <c r="AH239" s="35"/>
      <c r="AI239" s="35"/>
      <c r="AJ239" s="35"/>
      <c r="AK239" s="35"/>
      <c r="AL239" s="35"/>
      <c r="AM239" s="35"/>
      <c r="AN239" s="35"/>
      <c r="AO239" s="35"/>
      <c r="AP239" s="35"/>
      <c r="AQ239" s="35"/>
      <c r="AR239" s="35"/>
      <c r="AS239" s="35"/>
      <c r="AT239" s="35"/>
      <c r="AU239" s="35"/>
      <c r="AV239" s="35"/>
      <c r="AW239" s="35"/>
      <c r="AX239" s="35"/>
      <c r="AY239" s="35"/>
      <c r="AZ239" s="35"/>
      <c r="BA239" s="35"/>
      <c r="BB239" s="35"/>
      <c r="BC239" s="35"/>
      <c r="BD239" s="35"/>
      <c r="BE239" s="35"/>
      <c r="BF239" s="35"/>
      <c r="BG239" s="35"/>
      <c r="BH239" s="35"/>
      <c r="BI239" s="35"/>
      <c r="BJ239" s="35"/>
      <c r="BK239" s="35"/>
      <c r="BL239" s="35"/>
    </row>
    <row r="240" spans="1:64" ht="14">
      <c r="A240" s="35"/>
      <c r="B240" s="36"/>
      <c r="C240" s="39"/>
      <c r="D240" s="78"/>
      <c r="E240" s="78"/>
      <c r="F240" s="78"/>
      <c r="G240" s="229"/>
      <c r="H240" s="229"/>
      <c r="I240" s="40"/>
      <c r="J240" s="43" t="str">
        <f t="shared" si="6"/>
        <v/>
      </c>
      <c r="K240" s="79" t="str">
        <f t="shared" si="7"/>
        <v/>
      </c>
      <c r="L240" s="39"/>
      <c r="M240" s="35"/>
      <c r="N240" s="35"/>
      <c r="O240" s="35"/>
      <c r="P240" s="35"/>
      <c r="Q240" s="35"/>
      <c r="R240" s="35"/>
      <c r="S240" s="35"/>
      <c r="T240" s="35"/>
      <c r="U240" s="35"/>
      <c r="V240" s="35"/>
      <c r="W240" s="35"/>
      <c r="X240" s="35"/>
      <c r="Y240" s="35"/>
      <c r="Z240" s="35"/>
      <c r="AA240" s="35"/>
      <c r="AB240" s="35"/>
      <c r="AC240" s="35"/>
      <c r="AD240" s="35"/>
      <c r="AE240" s="35"/>
      <c r="AF240" s="35"/>
      <c r="AG240" s="35"/>
      <c r="AH240" s="35"/>
      <c r="AI240" s="35"/>
      <c r="AJ240" s="35"/>
      <c r="AK240" s="35"/>
      <c r="AL240" s="35"/>
      <c r="AM240" s="35"/>
      <c r="AN240" s="35"/>
      <c r="AO240" s="35"/>
      <c r="AP240" s="35"/>
      <c r="AQ240" s="35"/>
      <c r="AR240" s="35"/>
      <c r="AS240" s="35"/>
      <c r="AT240" s="35"/>
      <c r="AU240" s="35"/>
      <c r="AV240" s="35"/>
      <c r="AW240" s="35"/>
      <c r="AX240" s="35"/>
      <c r="AY240" s="35"/>
      <c r="AZ240" s="35"/>
      <c r="BA240" s="35"/>
      <c r="BB240" s="35"/>
      <c r="BC240" s="35"/>
      <c r="BD240" s="35"/>
      <c r="BE240" s="35"/>
      <c r="BF240" s="35"/>
      <c r="BG240" s="35"/>
      <c r="BH240" s="35"/>
      <c r="BI240" s="35"/>
      <c r="BJ240" s="35"/>
      <c r="BK240" s="35"/>
      <c r="BL240" s="35"/>
    </row>
    <row r="241" spans="1:64" ht="14">
      <c r="A241" s="35"/>
      <c r="B241" s="36"/>
      <c r="C241" s="39"/>
      <c r="D241" s="78"/>
      <c r="E241" s="78"/>
      <c r="F241" s="78"/>
      <c r="G241" s="229"/>
      <c r="H241" s="229"/>
      <c r="I241" s="40"/>
      <c r="J241" s="43" t="str">
        <f t="shared" si="6"/>
        <v/>
      </c>
      <c r="K241" s="79" t="str">
        <f t="shared" si="7"/>
        <v/>
      </c>
      <c r="L241" s="39"/>
      <c r="M241" s="35"/>
      <c r="N241" s="35"/>
      <c r="O241" s="35"/>
      <c r="P241" s="35"/>
      <c r="Q241" s="35"/>
      <c r="R241" s="35"/>
      <c r="S241" s="35"/>
      <c r="T241" s="35"/>
      <c r="U241" s="35"/>
      <c r="V241" s="35"/>
      <c r="W241" s="35"/>
      <c r="X241" s="35"/>
      <c r="Y241" s="35"/>
      <c r="Z241" s="35"/>
      <c r="AA241" s="35"/>
      <c r="AB241" s="35"/>
      <c r="AC241" s="35"/>
      <c r="AD241" s="35"/>
      <c r="AE241" s="35"/>
      <c r="AF241" s="35"/>
      <c r="AG241" s="35"/>
      <c r="AH241" s="35"/>
      <c r="AI241" s="35"/>
      <c r="AJ241" s="35"/>
      <c r="AK241" s="35"/>
      <c r="AL241" s="35"/>
      <c r="AM241" s="35"/>
      <c r="AN241" s="35"/>
      <c r="AO241" s="35"/>
      <c r="AP241" s="35"/>
      <c r="AQ241" s="35"/>
      <c r="AR241" s="35"/>
      <c r="AS241" s="35"/>
      <c r="AT241" s="35"/>
      <c r="AU241" s="35"/>
      <c r="AV241" s="35"/>
      <c r="AW241" s="35"/>
      <c r="AX241" s="35"/>
      <c r="AY241" s="35"/>
      <c r="AZ241" s="35"/>
      <c r="BA241" s="35"/>
      <c r="BB241" s="35"/>
      <c r="BC241" s="35"/>
      <c r="BD241" s="35"/>
      <c r="BE241" s="35"/>
      <c r="BF241" s="35"/>
      <c r="BG241" s="35"/>
      <c r="BH241" s="35"/>
      <c r="BI241" s="35"/>
      <c r="BJ241" s="35"/>
      <c r="BK241" s="35"/>
      <c r="BL241" s="35"/>
    </row>
    <row r="242" spans="1:64" ht="14">
      <c r="A242" s="35"/>
      <c r="B242" s="36"/>
      <c r="C242" s="39"/>
      <c r="D242" s="78"/>
      <c r="E242" s="78"/>
      <c r="F242" s="78"/>
      <c r="G242" s="229"/>
      <c r="H242" s="229"/>
      <c r="I242" s="40"/>
      <c r="J242" s="43" t="str">
        <f t="shared" si="6"/>
        <v/>
      </c>
      <c r="K242" s="79" t="str">
        <f t="shared" si="7"/>
        <v/>
      </c>
      <c r="L242" s="39"/>
      <c r="M242" s="35"/>
      <c r="N242" s="35"/>
      <c r="O242" s="35"/>
      <c r="P242" s="35"/>
      <c r="Q242" s="35"/>
      <c r="R242" s="35"/>
      <c r="S242" s="35"/>
      <c r="T242" s="35"/>
      <c r="U242" s="35"/>
      <c r="V242" s="35"/>
      <c r="W242" s="35"/>
      <c r="X242" s="35"/>
      <c r="Y242" s="35"/>
      <c r="Z242" s="35"/>
      <c r="AA242" s="35"/>
      <c r="AB242" s="35"/>
      <c r="AC242" s="35"/>
      <c r="AD242" s="35"/>
      <c r="AE242" s="35"/>
      <c r="AF242" s="35"/>
      <c r="AG242" s="35"/>
      <c r="AH242" s="35"/>
      <c r="AI242" s="35"/>
      <c r="AJ242" s="35"/>
      <c r="AK242" s="35"/>
      <c r="AL242" s="35"/>
      <c r="AM242" s="35"/>
      <c r="AN242" s="35"/>
      <c r="AO242" s="35"/>
      <c r="AP242" s="35"/>
      <c r="AQ242" s="35"/>
      <c r="AR242" s="35"/>
      <c r="AS242" s="35"/>
      <c r="AT242" s="35"/>
      <c r="AU242" s="35"/>
      <c r="AV242" s="35"/>
      <c r="AW242" s="35"/>
      <c r="AX242" s="35"/>
      <c r="AY242" s="35"/>
      <c r="AZ242" s="35"/>
      <c r="BA242" s="35"/>
      <c r="BB242" s="35"/>
      <c r="BC242" s="35"/>
      <c r="BD242" s="35"/>
      <c r="BE242" s="35"/>
      <c r="BF242" s="35"/>
      <c r="BG242" s="35"/>
      <c r="BH242" s="35"/>
      <c r="BI242" s="35"/>
      <c r="BJ242" s="35"/>
      <c r="BK242" s="35"/>
      <c r="BL242" s="35"/>
    </row>
    <row r="243" spans="1:64" ht="14">
      <c r="A243" s="35"/>
      <c r="B243" s="36"/>
      <c r="C243" s="39"/>
      <c r="D243" s="78"/>
      <c r="E243" s="78"/>
      <c r="F243" s="78"/>
      <c r="G243" s="229"/>
      <c r="H243" s="229"/>
      <c r="I243" s="40"/>
      <c r="J243" s="43" t="str">
        <f t="shared" si="6"/>
        <v/>
      </c>
      <c r="K243" s="79" t="str">
        <f t="shared" si="7"/>
        <v/>
      </c>
      <c r="L243" s="39"/>
      <c r="M243" s="35"/>
      <c r="N243" s="35"/>
      <c r="O243" s="35"/>
      <c r="P243" s="35"/>
      <c r="Q243" s="35"/>
      <c r="R243" s="35"/>
      <c r="S243" s="35"/>
      <c r="T243" s="35"/>
      <c r="U243" s="35"/>
      <c r="V243" s="35"/>
      <c r="W243" s="35"/>
      <c r="X243" s="35"/>
      <c r="Y243" s="35"/>
      <c r="Z243" s="35"/>
      <c r="AA243" s="35"/>
      <c r="AB243" s="35"/>
      <c r="AC243" s="35"/>
      <c r="AD243" s="35"/>
      <c r="AE243" s="35"/>
      <c r="AF243" s="35"/>
      <c r="AG243" s="35"/>
      <c r="AH243" s="35"/>
      <c r="AI243" s="35"/>
      <c r="AJ243" s="35"/>
      <c r="AK243" s="35"/>
      <c r="AL243" s="35"/>
      <c r="AM243" s="35"/>
      <c r="AN243" s="35"/>
      <c r="AO243" s="35"/>
      <c r="AP243" s="35"/>
      <c r="AQ243" s="35"/>
      <c r="AR243" s="35"/>
      <c r="AS243" s="35"/>
      <c r="AT243" s="35"/>
      <c r="AU243" s="35"/>
      <c r="AV243" s="35"/>
      <c r="AW243" s="35"/>
      <c r="AX243" s="35"/>
      <c r="AY243" s="35"/>
      <c r="AZ243" s="35"/>
      <c r="BA243" s="35"/>
      <c r="BB243" s="35"/>
      <c r="BC243" s="35"/>
      <c r="BD243" s="35"/>
      <c r="BE243" s="35"/>
      <c r="BF243" s="35"/>
      <c r="BG243" s="35"/>
      <c r="BH243" s="35"/>
      <c r="BI243" s="35"/>
      <c r="BJ243" s="35"/>
      <c r="BK243" s="35"/>
      <c r="BL243" s="35"/>
    </row>
    <row r="244" spans="1:64" ht="14">
      <c r="A244" s="35"/>
      <c r="B244" s="36"/>
      <c r="C244" s="39"/>
      <c r="D244" s="78"/>
      <c r="E244" s="78"/>
      <c r="F244" s="78"/>
      <c r="G244" s="229"/>
      <c r="H244" s="229"/>
      <c r="I244" s="40"/>
      <c r="J244" s="43" t="str">
        <f t="shared" si="6"/>
        <v/>
      </c>
      <c r="K244" s="79" t="str">
        <f t="shared" si="7"/>
        <v/>
      </c>
      <c r="L244" s="39"/>
      <c r="M244" s="35"/>
      <c r="N244" s="35"/>
      <c r="O244" s="35"/>
      <c r="P244" s="35"/>
      <c r="Q244" s="35"/>
      <c r="R244" s="35"/>
      <c r="S244" s="35"/>
      <c r="T244" s="35"/>
      <c r="U244" s="35"/>
      <c r="V244" s="35"/>
      <c r="W244" s="35"/>
      <c r="X244" s="35"/>
      <c r="Y244" s="35"/>
      <c r="Z244" s="35"/>
      <c r="AA244" s="35"/>
      <c r="AB244" s="35"/>
      <c r="AC244" s="35"/>
      <c r="AD244" s="35"/>
      <c r="AE244" s="35"/>
      <c r="AF244" s="35"/>
      <c r="AG244" s="35"/>
      <c r="AH244" s="35"/>
      <c r="AI244" s="35"/>
      <c r="AJ244" s="35"/>
      <c r="AK244" s="35"/>
      <c r="AL244" s="35"/>
      <c r="AM244" s="35"/>
      <c r="AN244" s="35"/>
      <c r="AO244" s="35"/>
      <c r="AP244" s="35"/>
      <c r="AQ244" s="35"/>
      <c r="AR244" s="35"/>
      <c r="AS244" s="35"/>
      <c r="AT244" s="35"/>
      <c r="AU244" s="35"/>
      <c r="AV244" s="35"/>
      <c r="AW244" s="35"/>
      <c r="AX244" s="35"/>
      <c r="AY244" s="35"/>
      <c r="AZ244" s="35"/>
      <c r="BA244" s="35"/>
      <c r="BB244" s="35"/>
      <c r="BC244" s="35"/>
      <c r="BD244" s="35"/>
      <c r="BE244" s="35"/>
      <c r="BF244" s="35"/>
      <c r="BG244" s="35"/>
      <c r="BH244" s="35"/>
      <c r="BI244" s="35"/>
      <c r="BJ244" s="35"/>
      <c r="BK244" s="35"/>
      <c r="BL244" s="35"/>
    </row>
    <row r="245" spans="1:64" ht="14">
      <c r="A245" s="35"/>
      <c r="B245" s="36"/>
      <c r="C245" s="39"/>
      <c r="D245" s="78"/>
      <c r="E245" s="78"/>
      <c r="F245" s="78"/>
      <c r="G245" s="229"/>
      <c r="H245" s="229"/>
      <c r="I245" s="40"/>
      <c r="J245" s="43" t="str">
        <f t="shared" si="6"/>
        <v/>
      </c>
      <c r="K245" s="79" t="str">
        <f t="shared" si="7"/>
        <v/>
      </c>
      <c r="L245" s="39"/>
      <c r="M245" s="35"/>
      <c r="N245" s="35"/>
      <c r="O245" s="35"/>
      <c r="P245" s="35"/>
      <c r="Q245" s="35"/>
      <c r="R245" s="35"/>
      <c r="S245" s="35"/>
      <c r="T245" s="35"/>
      <c r="U245" s="35"/>
      <c r="V245" s="35"/>
      <c r="W245" s="35"/>
      <c r="X245" s="35"/>
      <c r="Y245" s="35"/>
      <c r="Z245" s="35"/>
      <c r="AA245" s="35"/>
      <c r="AB245" s="35"/>
      <c r="AC245" s="35"/>
      <c r="AD245" s="35"/>
      <c r="AE245" s="35"/>
      <c r="AF245" s="35"/>
      <c r="AG245" s="35"/>
      <c r="AH245" s="35"/>
      <c r="AI245" s="35"/>
      <c r="AJ245" s="35"/>
      <c r="AK245" s="35"/>
      <c r="AL245" s="35"/>
      <c r="AM245" s="35"/>
      <c r="AN245" s="35"/>
      <c r="AO245" s="35"/>
      <c r="AP245" s="35"/>
      <c r="AQ245" s="35"/>
      <c r="AR245" s="35"/>
      <c r="AS245" s="35"/>
      <c r="AT245" s="35"/>
      <c r="AU245" s="35"/>
      <c r="AV245" s="35"/>
      <c r="AW245" s="35"/>
      <c r="AX245" s="35"/>
      <c r="AY245" s="35"/>
      <c r="AZ245" s="35"/>
      <c r="BA245" s="35"/>
      <c r="BB245" s="35"/>
      <c r="BC245" s="35"/>
      <c r="BD245" s="35"/>
      <c r="BE245" s="35"/>
      <c r="BF245" s="35"/>
      <c r="BG245" s="35"/>
      <c r="BH245" s="35"/>
      <c r="BI245" s="35"/>
      <c r="BJ245" s="35"/>
      <c r="BK245" s="35"/>
      <c r="BL245" s="35"/>
    </row>
    <row r="246" spans="1:64" ht="14">
      <c r="A246" s="35"/>
      <c r="B246" s="36"/>
      <c r="C246" s="39"/>
      <c r="D246" s="78"/>
      <c r="E246" s="78"/>
      <c r="F246" s="78"/>
      <c r="G246" s="229"/>
      <c r="H246" s="229"/>
      <c r="I246" s="40"/>
      <c r="J246" s="43" t="str">
        <f t="shared" si="6"/>
        <v/>
      </c>
      <c r="K246" s="79" t="str">
        <f t="shared" si="7"/>
        <v/>
      </c>
      <c r="L246" s="39"/>
      <c r="M246" s="35"/>
      <c r="N246" s="35"/>
      <c r="O246" s="35"/>
      <c r="P246" s="35"/>
      <c r="Q246" s="35"/>
      <c r="R246" s="35"/>
      <c r="S246" s="35"/>
      <c r="T246" s="35"/>
      <c r="U246" s="35"/>
      <c r="V246" s="35"/>
      <c r="W246" s="35"/>
      <c r="X246" s="35"/>
      <c r="Y246" s="35"/>
      <c r="Z246" s="35"/>
      <c r="AA246" s="35"/>
      <c r="AB246" s="35"/>
      <c r="AC246" s="35"/>
      <c r="AD246" s="35"/>
      <c r="AE246" s="35"/>
      <c r="AF246" s="35"/>
      <c r="AG246" s="35"/>
      <c r="AH246" s="35"/>
      <c r="AI246" s="35"/>
      <c r="AJ246" s="35"/>
      <c r="AK246" s="35"/>
      <c r="AL246" s="35"/>
      <c r="AM246" s="35"/>
      <c r="AN246" s="35"/>
      <c r="AO246" s="35"/>
      <c r="AP246" s="35"/>
      <c r="AQ246" s="35"/>
      <c r="AR246" s="35"/>
      <c r="AS246" s="35"/>
      <c r="AT246" s="35"/>
      <c r="AU246" s="35"/>
      <c r="AV246" s="35"/>
      <c r="AW246" s="35"/>
      <c r="AX246" s="35"/>
      <c r="AY246" s="35"/>
      <c r="AZ246" s="35"/>
      <c r="BA246" s="35"/>
      <c r="BB246" s="35"/>
      <c r="BC246" s="35"/>
      <c r="BD246" s="35"/>
      <c r="BE246" s="35"/>
      <c r="BF246" s="35"/>
      <c r="BG246" s="35"/>
      <c r="BH246" s="35"/>
      <c r="BI246" s="35"/>
      <c r="BJ246" s="35"/>
      <c r="BK246" s="35"/>
      <c r="BL246" s="35"/>
    </row>
    <row r="247" spans="1:64" ht="14">
      <c r="A247" s="35"/>
      <c r="B247" s="36"/>
      <c r="C247" s="39"/>
      <c r="D247" s="78"/>
      <c r="E247" s="78"/>
      <c r="F247" s="78"/>
      <c r="G247" s="229"/>
      <c r="H247" s="229"/>
      <c r="I247" s="40"/>
      <c r="J247" s="43" t="str">
        <f t="shared" si="6"/>
        <v/>
      </c>
      <c r="K247" s="79" t="str">
        <f t="shared" si="7"/>
        <v/>
      </c>
      <c r="L247" s="39"/>
      <c r="M247" s="35"/>
      <c r="N247" s="35"/>
      <c r="O247" s="35"/>
      <c r="P247" s="35"/>
      <c r="Q247" s="35"/>
      <c r="R247" s="35"/>
      <c r="S247" s="35"/>
      <c r="T247" s="35"/>
      <c r="U247" s="35"/>
      <c r="V247" s="35"/>
      <c r="W247" s="35"/>
      <c r="X247" s="35"/>
      <c r="Y247" s="35"/>
      <c r="Z247" s="35"/>
      <c r="AA247" s="35"/>
      <c r="AB247" s="35"/>
      <c r="AC247" s="35"/>
      <c r="AD247" s="35"/>
      <c r="AE247" s="35"/>
      <c r="AF247" s="35"/>
      <c r="AG247" s="35"/>
      <c r="AH247" s="35"/>
      <c r="AI247" s="35"/>
      <c r="AJ247" s="35"/>
      <c r="AK247" s="35"/>
      <c r="AL247" s="35"/>
      <c r="AM247" s="35"/>
      <c r="AN247" s="35"/>
      <c r="AO247" s="35"/>
      <c r="AP247" s="35"/>
      <c r="AQ247" s="35"/>
      <c r="AR247" s="35"/>
      <c r="AS247" s="35"/>
      <c r="AT247" s="35"/>
      <c r="AU247" s="35"/>
      <c r="AV247" s="35"/>
      <c r="AW247" s="35"/>
      <c r="AX247" s="35"/>
      <c r="AY247" s="35"/>
      <c r="AZ247" s="35"/>
      <c r="BA247" s="35"/>
      <c r="BB247" s="35"/>
      <c r="BC247" s="35"/>
      <c r="BD247" s="35"/>
      <c r="BE247" s="35"/>
      <c r="BF247" s="35"/>
      <c r="BG247" s="35"/>
      <c r="BH247" s="35"/>
      <c r="BI247" s="35"/>
      <c r="BJ247" s="35"/>
      <c r="BK247" s="35"/>
      <c r="BL247" s="35"/>
    </row>
    <row r="248" spans="1:64" ht="14">
      <c r="A248" s="35"/>
      <c r="B248" s="36"/>
      <c r="C248" s="39"/>
      <c r="D248" s="78"/>
      <c r="E248" s="78"/>
      <c r="F248" s="78"/>
      <c r="G248" s="229"/>
      <c r="H248" s="229"/>
      <c r="I248" s="40"/>
      <c r="J248" s="43" t="str">
        <f t="shared" si="6"/>
        <v/>
      </c>
      <c r="K248" s="79" t="str">
        <f t="shared" si="7"/>
        <v/>
      </c>
      <c r="L248" s="39"/>
      <c r="M248" s="35"/>
      <c r="N248" s="35"/>
      <c r="O248" s="35"/>
      <c r="P248" s="35"/>
      <c r="Q248" s="35"/>
      <c r="R248" s="35"/>
      <c r="S248" s="35"/>
      <c r="T248" s="35"/>
      <c r="U248" s="35"/>
      <c r="V248" s="35"/>
      <c r="W248" s="35"/>
      <c r="X248" s="35"/>
      <c r="Y248" s="35"/>
      <c r="Z248" s="35"/>
      <c r="AA248" s="35"/>
      <c r="AB248" s="35"/>
      <c r="AC248" s="35"/>
      <c r="AD248" s="35"/>
      <c r="AE248" s="35"/>
      <c r="AF248" s="35"/>
      <c r="AG248" s="35"/>
      <c r="AH248" s="35"/>
      <c r="AI248" s="35"/>
      <c r="AJ248" s="35"/>
      <c r="AK248" s="35"/>
      <c r="AL248" s="35"/>
      <c r="AM248" s="35"/>
      <c r="AN248" s="35"/>
      <c r="AO248" s="35"/>
      <c r="AP248" s="35"/>
      <c r="AQ248" s="35"/>
      <c r="AR248" s="35"/>
      <c r="AS248" s="35"/>
      <c r="AT248" s="35"/>
      <c r="AU248" s="35"/>
      <c r="AV248" s="35"/>
      <c r="AW248" s="35"/>
      <c r="AX248" s="35"/>
      <c r="AY248" s="35"/>
      <c r="AZ248" s="35"/>
      <c r="BA248" s="35"/>
      <c r="BB248" s="35"/>
      <c r="BC248" s="35"/>
      <c r="BD248" s="35"/>
      <c r="BE248" s="35"/>
      <c r="BF248" s="35"/>
      <c r="BG248" s="35"/>
      <c r="BH248" s="35"/>
      <c r="BI248" s="35"/>
      <c r="BJ248" s="35"/>
      <c r="BK248" s="35"/>
      <c r="BL248" s="35"/>
    </row>
    <row r="249" spans="1:64" ht="14">
      <c r="A249" s="35"/>
      <c r="B249" s="36"/>
      <c r="C249" s="39"/>
      <c r="D249" s="78"/>
      <c r="E249" s="78"/>
      <c r="F249" s="78"/>
      <c r="G249" s="229"/>
      <c r="H249" s="229"/>
      <c r="I249" s="40"/>
      <c r="J249" s="43" t="str">
        <f t="shared" si="6"/>
        <v/>
      </c>
      <c r="K249" s="79" t="str">
        <f t="shared" si="7"/>
        <v/>
      </c>
      <c r="L249" s="39"/>
      <c r="M249" s="35"/>
      <c r="N249" s="35"/>
      <c r="O249" s="35"/>
      <c r="P249" s="35"/>
      <c r="Q249" s="35"/>
      <c r="R249" s="35"/>
      <c r="S249" s="35"/>
      <c r="T249" s="35"/>
      <c r="U249" s="35"/>
      <c r="V249" s="35"/>
      <c r="W249" s="35"/>
      <c r="X249" s="35"/>
      <c r="Y249" s="35"/>
      <c r="Z249" s="35"/>
      <c r="AA249" s="35"/>
      <c r="AB249" s="35"/>
      <c r="AC249" s="35"/>
      <c r="AD249" s="35"/>
      <c r="AE249" s="35"/>
      <c r="AF249" s="35"/>
      <c r="AG249" s="35"/>
      <c r="AH249" s="35"/>
      <c r="AI249" s="35"/>
      <c r="AJ249" s="35"/>
      <c r="AK249" s="35"/>
      <c r="AL249" s="35"/>
      <c r="AM249" s="35"/>
      <c r="AN249" s="35"/>
      <c r="AO249" s="35"/>
      <c r="AP249" s="35"/>
      <c r="AQ249" s="35"/>
      <c r="AR249" s="35"/>
      <c r="AS249" s="35"/>
      <c r="AT249" s="35"/>
      <c r="AU249" s="35"/>
      <c r="AV249" s="35"/>
      <c r="AW249" s="35"/>
      <c r="AX249" s="35"/>
      <c r="AY249" s="35"/>
      <c r="AZ249" s="35"/>
      <c r="BA249" s="35"/>
      <c r="BB249" s="35"/>
      <c r="BC249" s="35"/>
      <c r="BD249" s="35"/>
      <c r="BE249" s="35"/>
      <c r="BF249" s="35"/>
      <c r="BG249" s="35"/>
      <c r="BH249" s="35"/>
      <c r="BI249" s="35"/>
      <c r="BJ249" s="35"/>
      <c r="BK249" s="35"/>
      <c r="BL249" s="35"/>
    </row>
    <row r="250" spans="1:64" ht="14">
      <c r="A250" s="35"/>
      <c r="B250" s="36"/>
      <c r="C250" s="39"/>
      <c r="D250" s="78"/>
      <c r="E250" s="78"/>
      <c r="F250" s="78"/>
      <c r="G250" s="229"/>
      <c r="H250" s="229"/>
      <c r="I250" s="40"/>
      <c r="J250" s="43" t="str">
        <f t="shared" si="6"/>
        <v/>
      </c>
      <c r="K250" s="79" t="str">
        <f t="shared" si="7"/>
        <v/>
      </c>
      <c r="L250" s="39"/>
      <c r="M250" s="35"/>
      <c r="N250" s="35"/>
      <c r="O250" s="35"/>
      <c r="P250" s="35"/>
      <c r="Q250" s="35"/>
      <c r="R250" s="35"/>
      <c r="S250" s="35"/>
      <c r="T250" s="35"/>
      <c r="U250" s="35"/>
      <c r="V250" s="35"/>
      <c r="W250" s="35"/>
      <c r="X250" s="35"/>
      <c r="Y250" s="35"/>
      <c r="Z250" s="35"/>
      <c r="AA250" s="35"/>
      <c r="AB250" s="35"/>
      <c r="AC250" s="35"/>
      <c r="AD250" s="35"/>
      <c r="AE250" s="35"/>
      <c r="AF250" s="35"/>
      <c r="AG250" s="35"/>
      <c r="AH250" s="35"/>
      <c r="AI250" s="35"/>
      <c r="AJ250" s="35"/>
      <c r="AK250" s="35"/>
      <c r="AL250" s="35"/>
      <c r="AM250" s="35"/>
      <c r="AN250" s="35"/>
      <c r="AO250" s="35"/>
      <c r="AP250" s="35"/>
      <c r="AQ250" s="35"/>
      <c r="AR250" s="35"/>
      <c r="AS250" s="35"/>
      <c r="AT250" s="35"/>
      <c r="AU250" s="35"/>
      <c r="AV250" s="35"/>
      <c r="AW250" s="35"/>
      <c r="AX250" s="35"/>
      <c r="AY250" s="35"/>
      <c r="AZ250" s="35"/>
      <c r="BA250" s="35"/>
      <c r="BB250" s="35"/>
      <c r="BC250" s="35"/>
      <c r="BD250" s="35"/>
      <c r="BE250" s="35"/>
      <c r="BF250" s="35"/>
      <c r="BG250" s="35"/>
      <c r="BH250" s="35"/>
      <c r="BI250" s="35"/>
      <c r="BJ250" s="35"/>
      <c r="BK250" s="35"/>
      <c r="BL250" s="35"/>
    </row>
    <row r="251" spans="1:64" ht="14">
      <c r="A251" s="35"/>
      <c r="B251" s="36"/>
      <c r="C251" s="39"/>
      <c r="D251" s="78"/>
      <c r="E251" s="78"/>
      <c r="F251" s="78"/>
      <c r="G251" s="229"/>
      <c r="H251" s="229"/>
      <c r="I251" s="40"/>
      <c r="J251" s="43" t="str">
        <f t="shared" si="6"/>
        <v/>
      </c>
      <c r="K251" s="79" t="str">
        <f t="shared" si="7"/>
        <v/>
      </c>
      <c r="L251" s="39"/>
      <c r="M251" s="35"/>
      <c r="N251" s="35"/>
      <c r="O251" s="35"/>
      <c r="P251" s="35"/>
      <c r="Q251" s="35"/>
      <c r="R251" s="35"/>
      <c r="S251" s="35"/>
      <c r="T251" s="35"/>
      <c r="U251" s="35"/>
      <c r="V251" s="35"/>
      <c r="W251" s="35"/>
      <c r="X251" s="35"/>
      <c r="Y251" s="35"/>
      <c r="Z251" s="35"/>
      <c r="AA251" s="35"/>
      <c r="AB251" s="35"/>
      <c r="AC251" s="35"/>
      <c r="AD251" s="35"/>
      <c r="AE251" s="35"/>
      <c r="AF251" s="35"/>
      <c r="AG251" s="35"/>
      <c r="AH251" s="35"/>
      <c r="AI251" s="35"/>
      <c r="AJ251" s="35"/>
      <c r="AK251" s="35"/>
      <c r="AL251" s="35"/>
      <c r="AM251" s="35"/>
      <c r="AN251" s="35"/>
      <c r="AO251" s="35"/>
      <c r="AP251" s="35"/>
      <c r="AQ251" s="35"/>
      <c r="AR251" s="35"/>
      <c r="AS251" s="35"/>
      <c r="AT251" s="35"/>
      <c r="AU251" s="35"/>
      <c r="AV251" s="35"/>
      <c r="AW251" s="35"/>
      <c r="AX251" s="35"/>
      <c r="AY251" s="35"/>
      <c r="AZ251" s="35"/>
      <c r="BA251" s="35"/>
      <c r="BB251" s="35"/>
      <c r="BC251" s="35"/>
      <c r="BD251" s="35"/>
      <c r="BE251" s="35"/>
      <c r="BF251" s="35"/>
      <c r="BG251" s="35"/>
      <c r="BH251" s="35"/>
      <c r="BI251" s="35"/>
      <c r="BJ251" s="35"/>
      <c r="BK251" s="35"/>
      <c r="BL251" s="35"/>
    </row>
    <row r="252" spans="1:64" ht="14">
      <c r="A252" s="35"/>
      <c r="B252" s="36"/>
      <c r="C252" s="39"/>
      <c r="D252" s="78"/>
      <c r="E252" s="78"/>
      <c r="F252" s="78"/>
      <c r="G252" s="229"/>
      <c r="H252" s="229"/>
      <c r="I252" s="40"/>
      <c r="J252" s="43" t="str">
        <f t="shared" si="6"/>
        <v/>
      </c>
      <c r="K252" s="79" t="str">
        <f t="shared" si="7"/>
        <v/>
      </c>
      <c r="L252" s="39"/>
      <c r="M252" s="35"/>
      <c r="N252" s="35"/>
      <c r="O252" s="35"/>
      <c r="P252" s="35"/>
      <c r="Q252" s="35"/>
      <c r="R252" s="35"/>
      <c r="S252" s="35"/>
      <c r="T252" s="35"/>
      <c r="U252" s="35"/>
      <c r="V252" s="35"/>
      <c r="W252" s="35"/>
      <c r="X252" s="35"/>
      <c r="Y252" s="35"/>
      <c r="Z252" s="35"/>
      <c r="AA252" s="35"/>
      <c r="AB252" s="35"/>
      <c r="AC252" s="35"/>
      <c r="AD252" s="35"/>
      <c r="AE252" s="35"/>
      <c r="AF252" s="35"/>
      <c r="AG252" s="35"/>
      <c r="AH252" s="35"/>
      <c r="AI252" s="35"/>
      <c r="AJ252" s="35"/>
      <c r="AK252" s="35"/>
      <c r="AL252" s="35"/>
      <c r="AM252" s="35"/>
      <c r="AN252" s="35"/>
      <c r="AO252" s="35"/>
      <c r="AP252" s="35"/>
      <c r="AQ252" s="35"/>
      <c r="AR252" s="35"/>
      <c r="AS252" s="35"/>
      <c r="AT252" s="35"/>
      <c r="AU252" s="35"/>
      <c r="AV252" s="35"/>
      <c r="AW252" s="35"/>
      <c r="AX252" s="35"/>
      <c r="AY252" s="35"/>
      <c r="AZ252" s="35"/>
      <c r="BA252" s="35"/>
      <c r="BB252" s="35"/>
      <c r="BC252" s="35"/>
      <c r="BD252" s="35"/>
      <c r="BE252" s="35"/>
      <c r="BF252" s="35"/>
      <c r="BG252" s="35"/>
      <c r="BH252" s="35"/>
      <c r="BI252" s="35"/>
      <c r="BJ252" s="35"/>
      <c r="BK252" s="35"/>
      <c r="BL252" s="35"/>
    </row>
    <row r="253" spans="1:64" ht="14">
      <c r="A253" s="35"/>
      <c r="B253" s="36"/>
      <c r="C253" s="39"/>
      <c r="D253" s="78"/>
      <c r="E253" s="78"/>
      <c r="F253" s="78"/>
      <c r="G253" s="229"/>
      <c r="H253" s="229"/>
      <c r="I253" s="40"/>
      <c r="J253" s="43" t="str">
        <f t="shared" si="6"/>
        <v/>
      </c>
      <c r="K253" s="79" t="str">
        <f t="shared" si="7"/>
        <v/>
      </c>
      <c r="L253" s="39"/>
      <c r="M253" s="35"/>
      <c r="N253" s="35"/>
      <c r="O253" s="35"/>
      <c r="P253" s="35"/>
      <c r="Q253" s="35"/>
      <c r="R253" s="35"/>
      <c r="S253" s="35"/>
      <c r="T253" s="35"/>
      <c r="U253" s="35"/>
      <c r="V253" s="35"/>
      <c r="W253" s="35"/>
      <c r="X253" s="35"/>
      <c r="Y253" s="35"/>
      <c r="Z253" s="35"/>
      <c r="AA253" s="35"/>
      <c r="AB253" s="35"/>
      <c r="AC253" s="35"/>
      <c r="AD253" s="35"/>
      <c r="AE253" s="35"/>
      <c r="AF253" s="35"/>
      <c r="AG253" s="35"/>
      <c r="AH253" s="35"/>
      <c r="AI253" s="35"/>
      <c r="AJ253" s="35"/>
      <c r="AK253" s="35"/>
      <c r="AL253" s="35"/>
      <c r="AM253" s="35"/>
      <c r="AN253" s="35"/>
      <c r="AO253" s="35"/>
      <c r="AP253" s="35"/>
      <c r="AQ253" s="35"/>
      <c r="AR253" s="35"/>
      <c r="AS253" s="35"/>
      <c r="AT253" s="35"/>
      <c r="AU253" s="35"/>
      <c r="AV253" s="35"/>
      <c r="AW253" s="35"/>
      <c r="AX253" s="35"/>
      <c r="AY253" s="35"/>
      <c r="AZ253" s="35"/>
      <c r="BA253" s="35"/>
      <c r="BB253" s="35"/>
      <c r="BC253" s="35"/>
      <c r="BD253" s="35"/>
      <c r="BE253" s="35"/>
      <c r="BF253" s="35"/>
      <c r="BG253" s="35"/>
      <c r="BH253" s="35"/>
      <c r="BI253" s="35"/>
      <c r="BJ253" s="35"/>
      <c r="BK253" s="35"/>
      <c r="BL253" s="35"/>
    </row>
    <row r="254" spans="1:64" ht="14">
      <c r="A254" s="35"/>
      <c r="B254" s="36"/>
      <c r="C254" s="39"/>
      <c r="D254" s="78"/>
      <c r="E254" s="78"/>
      <c r="F254" s="78"/>
      <c r="G254" s="229"/>
      <c r="H254" s="229"/>
      <c r="I254" s="40"/>
      <c r="J254" s="43" t="str">
        <f t="shared" si="6"/>
        <v/>
      </c>
      <c r="K254" s="79" t="str">
        <f t="shared" si="7"/>
        <v/>
      </c>
      <c r="L254" s="39"/>
      <c r="M254" s="35"/>
      <c r="N254" s="35"/>
      <c r="O254" s="35"/>
      <c r="P254" s="35"/>
      <c r="Q254" s="35"/>
      <c r="R254" s="35"/>
      <c r="S254" s="35"/>
      <c r="T254" s="35"/>
      <c r="U254" s="35"/>
      <c r="V254" s="35"/>
      <c r="W254" s="35"/>
      <c r="X254" s="35"/>
      <c r="Y254" s="35"/>
      <c r="Z254" s="35"/>
      <c r="AA254" s="35"/>
      <c r="AB254" s="35"/>
      <c r="AC254" s="35"/>
      <c r="AD254" s="35"/>
      <c r="AE254" s="35"/>
      <c r="AF254" s="35"/>
      <c r="AG254" s="35"/>
      <c r="AH254" s="35"/>
      <c r="AI254" s="35"/>
      <c r="AJ254" s="35"/>
      <c r="AK254" s="35"/>
      <c r="AL254" s="35"/>
      <c r="AM254" s="35"/>
      <c r="AN254" s="35"/>
      <c r="AO254" s="35"/>
      <c r="AP254" s="35"/>
      <c r="AQ254" s="35"/>
      <c r="AR254" s="35"/>
      <c r="AS254" s="35"/>
      <c r="AT254" s="35"/>
      <c r="AU254" s="35"/>
      <c r="AV254" s="35"/>
      <c r="AW254" s="35"/>
      <c r="AX254" s="35"/>
      <c r="AY254" s="35"/>
      <c r="AZ254" s="35"/>
      <c r="BA254" s="35"/>
      <c r="BB254" s="35"/>
      <c r="BC254" s="35"/>
      <c r="BD254" s="35"/>
      <c r="BE254" s="35"/>
      <c r="BF254" s="35"/>
      <c r="BG254" s="35"/>
      <c r="BH254" s="35"/>
      <c r="BI254" s="35"/>
      <c r="BJ254" s="35"/>
      <c r="BK254" s="35"/>
      <c r="BL254" s="35"/>
    </row>
    <row r="255" spans="1:64" ht="14">
      <c r="A255" s="35"/>
      <c r="B255" s="36"/>
      <c r="C255" s="39"/>
      <c r="D255" s="78"/>
      <c r="E255" s="78"/>
      <c r="F255" s="78"/>
      <c r="G255" s="229"/>
      <c r="H255" s="229"/>
      <c r="I255" s="40"/>
      <c r="J255" s="43" t="str">
        <f t="shared" si="6"/>
        <v/>
      </c>
      <c r="K255" s="79" t="str">
        <f t="shared" si="7"/>
        <v/>
      </c>
      <c r="L255" s="39"/>
      <c r="M255" s="35"/>
      <c r="N255" s="35"/>
      <c r="O255" s="35"/>
      <c r="P255" s="35"/>
      <c r="Q255" s="35"/>
      <c r="R255" s="35"/>
      <c r="S255" s="35"/>
      <c r="T255" s="35"/>
      <c r="U255" s="35"/>
      <c r="V255" s="35"/>
      <c r="W255" s="35"/>
      <c r="X255" s="35"/>
      <c r="Y255" s="35"/>
      <c r="Z255" s="35"/>
      <c r="AA255" s="35"/>
      <c r="AB255" s="35"/>
      <c r="AC255" s="35"/>
      <c r="AD255" s="35"/>
      <c r="AE255" s="35"/>
      <c r="AF255" s="35"/>
      <c r="AG255" s="35"/>
      <c r="AH255" s="35"/>
      <c r="AI255" s="35"/>
      <c r="AJ255" s="35"/>
      <c r="AK255" s="35"/>
      <c r="AL255" s="35"/>
      <c r="AM255" s="35"/>
      <c r="AN255" s="35"/>
      <c r="AO255" s="35"/>
      <c r="AP255" s="35"/>
      <c r="AQ255" s="35"/>
      <c r="AR255" s="35"/>
      <c r="AS255" s="35"/>
      <c r="AT255" s="35"/>
      <c r="AU255" s="35"/>
      <c r="AV255" s="35"/>
      <c r="AW255" s="35"/>
      <c r="AX255" s="35"/>
      <c r="AY255" s="35"/>
      <c r="AZ255" s="35"/>
      <c r="BA255" s="35"/>
      <c r="BB255" s="35"/>
      <c r="BC255" s="35"/>
      <c r="BD255" s="35"/>
      <c r="BE255" s="35"/>
      <c r="BF255" s="35"/>
      <c r="BG255" s="35"/>
      <c r="BH255" s="35"/>
      <c r="BI255" s="35"/>
      <c r="BJ255" s="35"/>
      <c r="BK255" s="35"/>
      <c r="BL255" s="35"/>
    </row>
    <row r="256" spans="1:64" ht="14">
      <c r="A256" s="35"/>
      <c r="B256" s="36"/>
      <c r="C256" s="39"/>
      <c r="D256" s="78"/>
      <c r="E256" s="78"/>
      <c r="F256" s="78"/>
      <c r="G256" s="229"/>
      <c r="H256" s="229"/>
      <c r="I256" s="40"/>
      <c r="J256" s="43" t="str">
        <f t="shared" si="6"/>
        <v/>
      </c>
      <c r="K256" s="79" t="str">
        <f t="shared" si="7"/>
        <v/>
      </c>
      <c r="L256" s="39"/>
      <c r="M256" s="35"/>
      <c r="N256" s="35"/>
      <c r="O256" s="35"/>
      <c r="P256" s="35"/>
      <c r="Q256" s="35"/>
      <c r="R256" s="35"/>
      <c r="S256" s="35"/>
      <c r="T256" s="35"/>
      <c r="U256" s="35"/>
      <c r="V256" s="35"/>
      <c r="W256" s="35"/>
      <c r="X256" s="35"/>
      <c r="Y256" s="35"/>
      <c r="Z256" s="35"/>
      <c r="AA256" s="35"/>
      <c r="AB256" s="35"/>
      <c r="AC256" s="35"/>
      <c r="AD256" s="35"/>
      <c r="AE256" s="35"/>
      <c r="AF256" s="35"/>
      <c r="AG256" s="35"/>
      <c r="AH256" s="35"/>
      <c r="AI256" s="35"/>
      <c r="AJ256" s="35"/>
      <c r="AK256" s="35"/>
      <c r="AL256" s="35"/>
      <c r="AM256" s="35"/>
      <c r="AN256" s="35"/>
      <c r="AO256" s="35"/>
      <c r="AP256" s="35"/>
      <c r="AQ256" s="35"/>
      <c r="AR256" s="35"/>
      <c r="AS256" s="35"/>
      <c r="AT256" s="35"/>
      <c r="AU256" s="35"/>
      <c r="AV256" s="35"/>
      <c r="AW256" s="35"/>
      <c r="AX256" s="35"/>
      <c r="AY256" s="35"/>
      <c r="AZ256" s="35"/>
      <c r="BA256" s="35"/>
      <c r="BB256" s="35"/>
      <c r="BC256" s="35"/>
      <c r="BD256" s="35"/>
      <c r="BE256" s="35"/>
      <c r="BF256" s="35"/>
      <c r="BG256" s="35"/>
      <c r="BH256" s="35"/>
      <c r="BI256" s="35"/>
      <c r="BJ256" s="35"/>
      <c r="BK256" s="35"/>
      <c r="BL256" s="35"/>
    </row>
    <row r="257" spans="1:64" ht="14">
      <c r="A257" s="35"/>
      <c r="B257" s="36"/>
      <c r="C257" s="39"/>
      <c r="D257" s="78"/>
      <c r="E257" s="78"/>
      <c r="F257" s="78"/>
      <c r="G257" s="229"/>
      <c r="H257" s="229"/>
      <c r="I257" s="40"/>
      <c r="J257" s="43" t="str">
        <f t="shared" si="6"/>
        <v/>
      </c>
      <c r="K257" s="79" t="str">
        <f t="shared" si="7"/>
        <v/>
      </c>
      <c r="L257" s="39"/>
      <c r="M257" s="35"/>
      <c r="N257" s="35"/>
      <c r="O257" s="35"/>
      <c r="P257" s="35"/>
      <c r="Q257" s="35"/>
      <c r="R257" s="35"/>
      <c r="S257" s="35"/>
      <c r="T257" s="35"/>
      <c r="U257" s="35"/>
      <c r="V257" s="35"/>
      <c r="W257" s="35"/>
      <c r="X257" s="35"/>
      <c r="Y257" s="35"/>
      <c r="Z257" s="35"/>
      <c r="AA257" s="35"/>
      <c r="AB257" s="35"/>
      <c r="AC257" s="35"/>
      <c r="AD257" s="35"/>
      <c r="AE257" s="35"/>
      <c r="AF257" s="35"/>
      <c r="AG257" s="35"/>
      <c r="AH257" s="35"/>
      <c r="AI257" s="35"/>
      <c r="AJ257" s="35"/>
      <c r="AK257" s="35"/>
      <c r="AL257" s="35"/>
      <c r="AM257" s="35"/>
      <c r="AN257" s="35"/>
      <c r="AO257" s="35"/>
      <c r="AP257" s="35"/>
      <c r="AQ257" s="35"/>
      <c r="AR257" s="35"/>
      <c r="AS257" s="35"/>
      <c r="AT257" s="35"/>
      <c r="AU257" s="35"/>
      <c r="AV257" s="35"/>
      <c r="AW257" s="35"/>
      <c r="AX257" s="35"/>
      <c r="AY257" s="35"/>
      <c r="AZ257" s="35"/>
      <c r="BA257" s="35"/>
      <c r="BB257" s="35"/>
      <c r="BC257" s="35"/>
      <c r="BD257" s="35"/>
      <c r="BE257" s="35"/>
      <c r="BF257" s="35"/>
      <c r="BG257" s="35"/>
      <c r="BH257" s="35"/>
      <c r="BI257" s="35"/>
      <c r="BJ257" s="35"/>
      <c r="BK257" s="35"/>
      <c r="BL257" s="35"/>
    </row>
    <row r="258" spans="1:64" ht="14">
      <c r="A258" s="35"/>
      <c r="B258" s="36"/>
      <c r="C258" s="39"/>
      <c r="D258" s="78"/>
      <c r="E258" s="78"/>
      <c r="F258" s="78"/>
      <c r="G258" s="229"/>
      <c r="H258" s="229"/>
      <c r="I258" s="40"/>
      <c r="J258" s="43" t="str">
        <f t="shared" si="6"/>
        <v/>
      </c>
      <c r="K258" s="79" t="str">
        <f t="shared" si="7"/>
        <v/>
      </c>
      <c r="L258" s="39"/>
      <c r="M258" s="35"/>
      <c r="N258" s="35"/>
      <c r="O258" s="35"/>
      <c r="P258" s="35"/>
      <c r="Q258" s="35"/>
      <c r="R258" s="35"/>
      <c r="S258" s="35"/>
      <c r="T258" s="35"/>
      <c r="U258" s="35"/>
      <c r="V258" s="35"/>
      <c r="W258" s="35"/>
      <c r="X258" s="35"/>
      <c r="Y258" s="35"/>
      <c r="Z258" s="35"/>
      <c r="AA258" s="35"/>
      <c r="AB258" s="35"/>
      <c r="AC258" s="35"/>
      <c r="AD258" s="35"/>
      <c r="AE258" s="35"/>
      <c r="AF258" s="35"/>
      <c r="AG258" s="35"/>
      <c r="AH258" s="35"/>
      <c r="AI258" s="35"/>
      <c r="AJ258" s="35"/>
      <c r="AK258" s="35"/>
      <c r="AL258" s="35"/>
      <c r="AM258" s="35"/>
      <c r="AN258" s="35"/>
      <c r="AO258" s="35"/>
      <c r="AP258" s="35"/>
      <c r="AQ258" s="35"/>
      <c r="AR258" s="35"/>
      <c r="AS258" s="35"/>
      <c r="AT258" s="35"/>
      <c r="AU258" s="35"/>
      <c r="AV258" s="35"/>
      <c r="AW258" s="35"/>
      <c r="AX258" s="35"/>
      <c r="AY258" s="35"/>
      <c r="AZ258" s="35"/>
      <c r="BA258" s="35"/>
      <c r="BB258" s="35"/>
      <c r="BC258" s="35"/>
      <c r="BD258" s="35"/>
      <c r="BE258" s="35"/>
      <c r="BF258" s="35"/>
      <c r="BG258" s="35"/>
      <c r="BH258" s="35"/>
      <c r="BI258" s="35"/>
      <c r="BJ258" s="35"/>
      <c r="BK258" s="35"/>
      <c r="BL258" s="35"/>
    </row>
    <row r="259" spans="1:64" ht="14">
      <c r="A259" s="35"/>
      <c r="B259" s="36"/>
      <c r="C259" s="39"/>
      <c r="D259" s="78"/>
      <c r="E259" s="78"/>
      <c r="F259" s="78"/>
      <c r="G259" s="229"/>
      <c r="H259" s="229"/>
      <c r="I259" s="40"/>
      <c r="J259" s="43" t="str">
        <f t="shared" si="6"/>
        <v/>
      </c>
      <c r="K259" s="79" t="str">
        <f t="shared" si="7"/>
        <v/>
      </c>
      <c r="L259" s="39"/>
      <c r="M259" s="35"/>
      <c r="N259" s="35"/>
      <c r="O259" s="35"/>
      <c r="P259" s="35"/>
      <c r="Q259" s="35"/>
      <c r="R259" s="35"/>
      <c r="S259" s="35"/>
      <c r="T259" s="35"/>
      <c r="U259" s="35"/>
      <c r="V259" s="35"/>
      <c r="W259" s="35"/>
      <c r="X259" s="35"/>
      <c r="Y259" s="35"/>
      <c r="Z259" s="35"/>
      <c r="AA259" s="35"/>
      <c r="AB259" s="35"/>
      <c r="AC259" s="35"/>
      <c r="AD259" s="35"/>
      <c r="AE259" s="35"/>
      <c r="AF259" s="35"/>
      <c r="AG259" s="35"/>
      <c r="AH259" s="35"/>
      <c r="AI259" s="35"/>
      <c r="AJ259" s="35"/>
      <c r="AK259" s="35"/>
      <c r="AL259" s="35"/>
      <c r="AM259" s="35"/>
      <c r="AN259" s="35"/>
      <c r="AO259" s="35"/>
      <c r="AP259" s="35"/>
      <c r="AQ259" s="35"/>
      <c r="AR259" s="35"/>
      <c r="AS259" s="35"/>
      <c r="AT259" s="35"/>
      <c r="AU259" s="35"/>
      <c r="AV259" s="35"/>
      <c r="AW259" s="35"/>
      <c r="AX259" s="35"/>
      <c r="AY259" s="35"/>
      <c r="AZ259" s="35"/>
      <c r="BA259" s="35"/>
      <c r="BB259" s="35"/>
      <c r="BC259" s="35"/>
      <c r="BD259" s="35"/>
      <c r="BE259" s="35"/>
      <c r="BF259" s="35"/>
      <c r="BG259" s="35"/>
      <c r="BH259" s="35"/>
      <c r="BI259" s="35"/>
      <c r="BJ259" s="35"/>
      <c r="BK259" s="35"/>
      <c r="BL259" s="35"/>
    </row>
    <row r="260" spans="1:64" ht="14">
      <c r="A260" s="35"/>
      <c r="B260" s="36"/>
      <c r="C260" s="39"/>
      <c r="D260" s="78"/>
      <c r="E260" s="78"/>
      <c r="F260" s="78"/>
      <c r="G260" s="229"/>
      <c r="H260" s="229"/>
      <c r="I260" s="40"/>
      <c r="J260" s="43" t="str">
        <f t="shared" si="6"/>
        <v/>
      </c>
      <c r="K260" s="79" t="str">
        <f t="shared" si="7"/>
        <v/>
      </c>
      <c r="L260" s="39"/>
      <c r="M260" s="35"/>
      <c r="N260" s="35"/>
      <c r="O260" s="35"/>
      <c r="P260" s="35"/>
      <c r="Q260" s="35"/>
      <c r="R260" s="35"/>
      <c r="S260" s="35"/>
      <c r="T260" s="35"/>
      <c r="U260" s="35"/>
      <c r="V260" s="35"/>
      <c r="W260" s="35"/>
      <c r="X260" s="35"/>
      <c r="Y260" s="35"/>
      <c r="Z260" s="35"/>
      <c r="AA260" s="35"/>
      <c r="AB260" s="35"/>
      <c r="AC260" s="35"/>
      <c r="AD260" s="35"/>
      <c r="AE260" s="35"/>
      <c r="AF260" s="35"/>
      <c r="AG260" s="35"/>
      <c r="AH260" s="35"/>
      <c r="AI260" s="35"/>
      <c r="AJ260" s="35"/>
      <c r="AK260" s="35"/>
      <c r="AL260" s="35"/>
      <c r="AM260" s="35"/>
      <c r="AN260" s="35"/>
      <c r="AO260" s="35"/>
      <c r="AP260" s="35"/>
      <c r="AQ260" s="35"/>
      <c r="AR260" s="35"/>
      <c r="AS260" s="35"/>
      <c r="AT260" s="35"/>
      <c r="AU260" s="35"/>
      <c r="AV260" s="35"/>
      <c r="AW260" s="35"/>
      <c r="AX260" s="35"/>
      <c r="AY260" s="35"/>
      <c r="AZ260" s="35"/>
      <c r="BA260" s="35"/>
      <c r="BB260" s="35"/>
      <c r="BC260" s="35"/>
      <c r="BD260" s="35"/>
      <c r="BE260" s="35"/>
      <c r="BF260" s="35"/>
      <c r="BG260" s="35"/>
      <c r="BH260" s="35"/>
      <c r="BI260" s="35"/>
      <c r="BJ260" s="35"/>
      <c r="BK260" s="35"/>
      <c r="BL260" s="35"/>
    </row>
    <row r="261" spans="1:64" ht="14">
      <c r="A261" s="35"/>
      <c r="B261" s="36"/>
      <c r="C261" s="39"/>
      <c r="D261" s="78"/>
      <c r="E261" s="78"/>
      <c r="F261" s="78"/>
      <c r="G261" s="229"/>
      <c r="H261" s="229"/>
      <c r="I261" s="40"/>
      <c r="J261" s="43" t="str">
        <f t="shared" si="6"/>
        <v/>
      </c>
      <c r="K261" s="79" t="str">
        <f t="shared" si="7"/>
        <v/>
      </c>
      <c r="L261" s="39"/>
      <c r="M261" s="35"/>
      <c r="N261" s="35"/>
      <c r="O261" s="35"/>
      <c r="P261" s="35"/>
      <c r="Q261" s="35"/>
      <c r="R261" s="35"/>
      <c r="S261" s="35"/>
      <c r="T261" s="35"/>
      <c r="U261" s="35"/>
      <c r="V261" s="35"/>
      <c r="W261" s="35"/>
      <c r="X261" s="35"/>
      <c r="Y261" s="35"/>
      <c r="Z261" s="35"/>
      <c r="AA261" s="35"/>
      <c r="AB261" s="35"/>
      <c r="AC261" s="35"/>
      <c r="AD261" s="35"/>
      <c r="AE261" s="35"/>
      <c r="AF261" s="35"/>
      <c r="AG261" s="35"/>
      <c r="AH261" s="35"/>
      <c r="AI261" s="35"/>
      <c r="AJ261" s="35"/>
      <c r="AK261" s="35"/>
      <c r="AL261" s="35"/>
      <c r="AM261" s="35"/>
      <c r="AN261" s="35"/>
      <c r="AO261" s="35"/>
      <c r="AP261" s="35"/>
      <c r="AQ261" s="35"/>
      <c r="AR261" s="35"/>
      <c r="AS261" s="35"/>
      <c r="AT261" s="35"/>
      <c r="AU261" s="35"/>
      <c r="AV261" s="35"/>
      <c r="AW261" s="35"/>
      <c r="AX261" s="35"/>
      <c r="AY261" s="35"/>
      <c r="AZ261" s="35"/>
      <c r="BA261" s="35"/>
      <c r="BB261" s="35"/>
      <c r="BC261" s="35"/>
      <c r="BD261" s="35"/>
      <c r="BE261" s="35"/>
      <c r="BF261" s="35"/>
      <c r="BG261" s="35"/>
      <c r="BH261" s="35"/>
      <c r="BI261" s="35"/>
      <c r="BJ261" s="35"/>
      <c r="BK261" s="35"/>
      <c r="BL261" s="35"/>
    </row>
    <row r="262" spans="1:64" ht="14">
      <c r="A262" s="35"/>
      <c r="B262" s="36"/>
      <c r="C262" s="39"/>
      <c r="D262" s="78"/>
      <c r="E262" s="78"/>
      <c r="F262" s="78"/>
      <c r="G262" s="229"/>
      <c r="H262" s="229"/>
      <c r="I262" s="40"/>
      <c r="J262" s="43" t="str">
        <f t="shared" si="6"/>
        <v/>
      </c>
      <c r="K262" s="79" t="str">
        <f t="shared" si="7"/>
        <v/>
      </c>
      <c r="L262" s="39"/>
      <c r="M262" s="35"/>
      <c r="N262" s="35"/>
      <c r="O262" s="35"/>
      <c r="P262" s="35"/>
      <c r="Q262" s="35"/>
      <c r="R262" s="35"/>
      <c r="S262" s="35"/>
      <c r="T262" s="35"/>
      <c r="U262" s="35"/>
      <c r="V262" s="35"/>
      <c r="W262" s="35"/>
      <c r="X262" s="35"/>
      <c r="Y262" s="35"/>
      <c r="Z262" s="35"/>
      <c r="AA262" s="35"/>
      <c r="AB262" s="35"/>
      <c r="AC262" s="35"/>
      <c r="AD262" s="35"/>
      <c r="AE262" s="35"/>
      <c r="AF262" s="35"/>
      <c r="AG262" s="35"/>
      <c r="AH262" s="35"/>
      <c r="AI262" s="35"/>
      <c r="AJ262" s="35"/>
      <c r="AK262" s="35"/>
      <c r="AL262" s="35"/>
      <c r="AM262" s="35"/>
      <c r="AN262" s="35"/>
      <c r="AO262" s="35"/>
      <c r="AP262" s="35"/>
      <c r="AQ262" s="35"/>
      <c r="AR262" s="35"/>
      <c r="AS262" s="35"/>
      <c r="AT262" s="35"/>
      <c r="AU262" s="35"/>
      <c r="AV262" s="35"/>
      <c r="AW262" s="35"/>
      <c r="AX262" s="35"/>
      <c r="AY262" s="35"/>
      <c r="AZ262" s="35"/>
      <c r="BA262" s="35"/>
      <c r="BB262" s="35"/>
      <c r="BC262" s="35"/>
      <c r="BD262" s="35"/>
      <c r="BE262" s="35"/>
      <c r="BF262" s="35"/>
      <c r="BG262" s="35"/>
      <c r="BH262" s="35"/>
      <c r="BI262" s="35"/>
      <c r="BJ262" s="35"/>
      <c r="BK262" s="35"/>
      <c r="BL262" s="35"/>
    </row>
    <row r="263" spans="1:64" ht="14">
      <c r="A263" s="35"/>
      <c r="B263" s="36"/>
      <c r="C263" s="39"/>
      <c r="D263" s="78"/>
      <c r="E263" s="78"/>
      <c r="F263" s="78"/>
      <c r="G263" s="229"/>
      <c r="H263" s="229"/>
      <c r="I263" s="40"/>
      <c r="J263" s="43" t="str">
        <f t="shared" si="6"/>
        <v/>
      </c>
      <c r="K263" s="79" t="str">
        <f t="shared" si="7"/>
        <v/>
      </c>
      <c r="L263" s="39"/>
      <c r="M263" s="35"/>
      <c r="N263" s="35"/>
      <c r="O263" s="35"/>
      <c r="P263" s="35"/>
      <c r="Q263" s="35"/>
      <c r="R263" s="35"/>
      <c r="S263" s="35"/>
      <c r="T263" s="35"/>
      <c r="U263" s="35"/>
      <c r="V263" s="35"/>
      <c r="W263" s="35"/>
      <c r="X263" s="35"/>
      <c r="Y263" s="35"/>
      <c r="Z263" s="35"/>
      <c r="AA263" s="35"/>
      <c r="AB263" s="35"/>
      <c r="AC263" s="35"/>
      <c r="AD263" s="35"/>
      <c r="AE263" s="35"/>
      <c r="AF263" s="35"/>
      <c r="AG263" s="35"/>
      <c r="AH263" s="35"/>
      <c r="AI263" s="35"/>
      <c r="AJ263" s="35"/>
      <c r="AK263" s="35"/>
      <c r="AL263" s="35"/>
      <c r="AM263" s="35"/>
      <c r="AN263" s="35"/>
      <c r="AO263" s="35"/>
      <c r="AP263" s="35"/>
      <c r="AQ263" s="35"/>
      <c r="AR263" s="35"/>
      <c r="AS263" s="35"/>
      <c r="AT263" s="35"/>
      <c r="AU263" s="35"/>
      <c r="AV263" s="35"/>
      <c r="AW263" s="35"/>
      <c r="AX263" s="35"/>
      <c r="AY263" s="35"/>
      <c r="AZ263" s="35"/>
      <c r="BA263" s="35"/>
      <c r="BB263" s="35"/>
      <c r="BC263" s="35"/>
      <c r="BD263" s="35"/>
      <c r="BE263" s="35"/>
      <c r="BF263" s="35"/>
      <c r="BG263" s="35"/>
      <c r="BH263" s="35"/>
      <c r="BI263" s="35"/>
      <c r="BJ263" s="35"/>
      <c r="BK263" s="35"/>
      <c r="BL263" s="35"/>
    </row>
    <row r="264" spans="1:64" ht="14">
      <c r="A264" s="35"/>
      <c r="B264" s="36"/>
      <c r="C264" s="39"/>
      <c r="D264" s="78"/>
      <c r="E264" s="78"/>
      <c r="F264" s="78"/>
      <c r="G264" s="229"/>
      <c r="H264" s="229"/>
      <c r="I264" s="40"/>
      <c r="J264" s="43" t="str">
        <f t="shared" si="6"/>
        <v/>
      </c>
      <c r="K264" s="79" t="str">
        <f t="shared" si="7"/>
        <v/>
      </c>
      <c r="L264" s="39"/>
      <c r="M264" s="35"/>
      <c r="N264" s="35"/>
      <c r="O264" s="35"/>
      <c r="P264" s="35"/>
      <c r="Q264" s="35"/>
      <c r="R264" s="35"/>
      <c r="S264" s="35"/>
      <c r="T264" s="35"/>
      <c r="U264" s="35"/>
      <c r="V264" s="35"/>
      <c r="W264" s="35"/>
      <c r="X264" s="35"/>
      <c r="Y264" s="35"/>
      <c r="Z264" s="35"/>
      <c r="AA264" s="35"/>
      <c r="AB264" s="35"/>
      <c r="AC264" s="35"/>
      <c r="AD264" s="35"/>
      <c r="AE264" s="35"/>
      <c r="AF264" s="35"/>
      <c r="AG264" s="35"/>
      <c r="AH264" s="35"/>
      <c r="AI264" s="35"/>
      <c r="AJ264" s="35"/>
      <c r="AK264" s="35"/>
      <c r="AL264" s="35"/>
      <c r="AM264" s="35"/>
      <c r="AN264" s="35"/>
      <c r="AO264" s="35"/>
      <c r="AP264" s="35"/>
      <c r="AQ264" s="35"/>
      <c r="AR264" s="35"/>
      <c r="AS264" s="35"/>
      <c r="AT264" s="35"/>
      <c r="AU264" s="35"/>
      <c r="AV264" s="35"/>
      <c r="AW264" s="35"/>
      <c r="AX264" s="35"/>
      <c r="AY264" s="35"/>
      <c r="AZ264" s="35"/>
      <c r="BA264" s="35"/>
      <c r="BB264" s="35"/>
      <c r="BC264" s="35"/>
      <c r="BD264" s="35"/>
      <c r="BE264" s="35"/>
      <c r="BF264" s="35"/>
      <c r="BG264" s="35"/>
      <c r="BH264" s="35"/>
      <c r="BI264" s="35"/>
      <c r="BJ264" s="35"/>
      <c r="BK264" s="35"/>
      <c r="BL264" s="35"/>
    </row>
    <row r="265" spans="1:64" ht="14">
      <c r="A265" s="35"/>
      <c r="B265" s="36"/>
      <c r="C265" s="39"/>
      <c r="D265" s="78"/>
      <c r="E265" s="78"/>
      <c r="F265" s="78"/>
      <c r="G265" s="229"/>
      <c r="H265" s="229"/>
      <c r="I265" s="40"/>
      <c r="J265" s="43" t="str">
        <f t="shared" si="6"/>
        <v/>
      </c>
      <c r="K265" s="79" t="str">
        <f t="shared" si="7"/>
        <v/>
      </c>
      <c r="L265" s="39"/>
      <c r="M265" s="35"/>
      <c r="N265" s="35"/>
      <c r="O265" s="35"/>
      <c r="P265" s="35"/>
      <c r="Q265" s="35"/>
      <c r="R265" s="35"/>
      <c r="S265" s="35"/>
      <c r="T265" s="35"/>
      <c r="U265" s="35"/>
      <c r="V265" s="35"/>
      <c r="W265" s="35"/>
      <c r="X265" s="35"/>
      <c r="Y265" s="35"/>
      <c r="Z265" s="35"/>
      <c r="AA265" s="35"/>
      <c r="AB265" s="35"/>
      <c r="AC265" s="35"/>
      <c r="AD265" s="35"/>
      <c r="AE265" s="35"/>
      <c r="AF265" s="35"/>
      <c r="AG265" s="35"/>
      <c r="AH265" s="35"/>
      <c r="AI265" s="35"/>
      <c r="AJ265" s="35"/>
      <c r="AK265" s="35"/>
      <c r="AL265" s="35"/>
      <c r="AM265" s="35"/>
      <c r="AN265" s="35"/>
      <c r="AO265" s="35"/>
      <c r="AP265" s="35"/>
      <c r="AQ265" s="35"/>
      <c r="AR265" s="35"/>
      <c r="AS265" s="35"/>
      <c r="AT265" s="35"/>
      <c r="AU265" s="35"/>
      <c r="AV265" s="35"/>
      <c r="AW265" s="35"/>
      <c r="AX265" s="35"/>
      <c r="AY265" s="35"/>
      <c r="AZ265" s="35"/>
      <c r="BA265" s="35"/>
      <c r="BB265" s="35"/>
      <c r="BC265" s="35"/>
      <c r="BD265" s="35"/>
      <c r="BE265" s="35"/>
      <c r="BF265" s="35"/>
      <c r="BG265" s="35"/>
      <c r="BH265" s="35"/>
      <c r="BI265" s="35"/>
      <c r="BJ265" s="35"/>
      <c r="BK265" s="35"/>
      <c r="BL265" s="35"/>
    </row>
    <row r="266" spans="1:64" ht="14">
      <c r="A266" s="35"/>
      <c r="B266" s="36"/>
      <c r="C266" s="39"/>
      <c r="D266" s="78"/>
      <c r="E266" s="78"/>
      <c r="F266" s="78"/>
      <c r="G266" s="229"/>
      <c r="H266" s="229"/>
      <c r="I266" s="40"/>
      <c r="J266" s="43" t="str">
        <f t="shared" si="6"/>
        <v/>
      </c>
      <c r="K266" s="79" t="str">
        <f t="shared" si="7"/>
        <v/>
      </c>
      <c r="L266" s="39"/>
      <c r="M266" s="35"/>
      <c r="N266" s="35"/>
      <c r="O266" s="35"/>
      <c r="P266" s="35"/>
      <c r="Q266" s="35"/>
      <c r="R266" s="35"/>
      <c r="S266" s="35"/>
      <c r="T266" s="35"/>
      <c r="U266" s="35"/>
      <c r="V266" s="35"/>
      <c r="W266" s="35"/>
      <c r="X266" s="35"/>
      <c r="Y266" s="35"/>
      <c r="Z266" s="35"/>
      <c r="AA266" s="35"/>
      <c r="AB266" s="35"/>
      <c r="AC266" s="35"/>
      <c r="AD266" s="35"/>
      <c r="AE266" s="35"/>
      <c r="AF266" s="35"/>
      <c r="AG266" s="35"/>
      <c r="AH266" s="35"/>
      <c r="AI266" s="35"/>
      <c r="AJ266" s="35"/>
      <c r="AK266" s="35"/>
      <c r="AL266" s="35"/>
      <c r="AM266" s="35"/>
      <c r="AN266" s="35"/>
      <c r="AO266" s="35"/>
      <c r="AP266" s="35"/>
      <c r="AQ266" s="35"/>
      <c r="AR266" s="35"/>
      <c r="AS266" s="35"/>
      <c r="AT266" s="35"/>
      <c r="AU266" s="35"/>
      <c r="AV266" s="35"/>
      <c r="AW266" s="35"/>
      <c r="AX266" s="35"/>
      <c r="AY266" s="35"/>
      <c r="AZ266" s="35"/>
      <c r="BA266" s="35"/>
      <c r="BB266" s="35"/>
      <c r="BC266" s="35"/>
      <c r="BD266" s="35"/>
      <c r="BE266" s="35"/>
      <c r="BF266" s="35"/>
      <c r="BG266" s="35"/>
      <c r="BH266" s="35"/>
      <c r="BI266" s="35"/>
      <c r="BJ266" s="35"/>
      <c r="BK266" s="35"/>
      <c r="BL266" s="35"/>
    </row>
    <row r="267" spans="1:64" ht="14">
      <c r="A267" s="35"/>
      <c r="B267" s="36"/>
      <c r="C267" s="39"/>
      <c r="D267" s="78"/>
      <c r="E267" s="78"/>
      <c r="F267" s="78"/>
      <c r="G267" s="229"/>
      <c r="H267" s="229"/>
      <c r="I267" s="40"/>
      <c r="J267" s="43" t="str">
        <f t="shared" ref="J267:J330" si="8">IF($C267&lt;&gt;"",$E267*1.5,"")</f>
        <v/>
      </c>
      <c r="K267" s="79" t="str">
        <f t="shared" ref="K267:K330" si="9">IFERROR($J267/10,"")</f>
        <v/>
      </c>
      <c r="L267" s="39"/>
      <c r="M267" s="35"/>
      <c r="N267" s="35"/>
      <c r="O267" s="35"/>
      <c r="P267" s="35"/>
      <c r="Q267" s="35"/>
      <c r="R267" s="35"/>
      <c r="S267" s="35"/>
      <c r="T267" s="35"/>
      <c r="U267" s="35"/>
      <c r="V267" s="35"/>
      <c r="W267" s="35"/>
      <c r="X267" s="35"/>
      <c r="Y267" s="35"/>
      <c r="Z267" s="35"/>
      <c r="AA267" s="35"/>
      <c r="AB267" s="35"/>
      <c r="AC267" s="35"/>
      <c r="AD267" s="35"/>
      <c r="AE267" s="35"/>
      <c r="AF267" s="35"/>
      <c r="AG267" s="35"/>
      <c r="AH267" s="35"/>
      <c r="AI267" s="35"/>
      <c r="AJ267" s="35"/>
      <c r="AK267" s="35"/>
      <c r="AL267" s="35"/>
      <c r="AM267" s="35"/>
      <c r="AN267" s="35"/>
      <c r="AO267" s="35"/>
      <c r="AP267" s="35"/>
      <c r="AQ267" s="35"/>
      <c r="AR267" s="35"/>
      <c r="AS267" s="35"/>
      <c r="AT267" s="35"/>
      <c r="AU267" s="35"/>
      <c r="AV267" s="35"/>
      <c r="AW267" s="35"/>
      <c r="AX267" s="35"/>
      <c r="AY267" s="35"/>
      <c r="AZ267" s="35"/>
      <c r="BA267" s="35"/>
      <c r="BB267" s="35"/>
      <c r="BC267" s="35"/>
      <c r="BD267" s="35"/>
      <c r="BE267" s="35"/>
      <c r="BF267" s="35"/>
      <c r="BG267" s="35"/>
      <c r="BH267" s="35"/>
      <c r="BI267" s="35"/>
      <c r="BJ267" s="35"/>
      <c r="BK267" s="35"/>
      <c r="BL267" s="35"/>
    </row>
    <row r="268" spans="1:64" ht="14">
      <c r="A268" s="35"/>
      <c r="B268" s="36"/>
      <c r="C268" s="39"/>
      <c r="D268" s="78"/>
      <c r="E268" s="78"/>
      <c r="F268" s="78"/>
      <c r="G268" s="229"/>
      <c r="H268" s="229"/>
      <c r="I268" s="40"/>
      <c r="J268" s="43" t="str">
        <f t="shared" si="8"/>
        <v/>
      </c>
      <c r="K268" s="79" t="str">
        <f t="shared" si="9"/>
        <v/>
      </c>
      <c r="L268" s="39"/>
      <c r="M268" s="35"/>
      <c r="N268" s="35"/>
      <c r="O268" s="35"/>
      <c r="P268" s="35"/>
      <c r="Q268" s="35"/>
      <c r="R268" s="35"/>
      <c r="S268" s="35"/>
      <c r="T268" s="35"/>
      <c r="U268" s="35"/>
      <c r="V268" s="35"/>
      <c r="W268" s="35"/>
      <c r="X268" s="35"/>
      <c r="Y268" s="35"/>
      <c r="Z268" s="35"/>
      <c r="AA268" s="35"/>
      <c r="AB268" s="35"/>
      <c r="AC268" s="35"/>
      <c r="AD268" s="35"/>
      <c r="AE268" s="35"/>
      <c r="AF268" s="35"/>
      <c r="AG268" s="35"/>
      <c r="AH268" s="35"/>
      <c r="AI268" s="35"/>
      <c r="AJ268" s="35"/>
      <c r="AK268" s="35"/>
      <c r="AL268" s="35"/>
      <c r="AM268" s="35"/>
      <c r="AN268" s="35"/>
      <c r="AO268" s="35"/>
      <c r="AP268" s="35"/>
      <c r="AQ268" s="35"/>
      <c r="AR268" s="35"/>
      <c r="AS268" s="35"/>
      <c r="AT268" s="35"/>
      <c r="AU268" s="35"/>
      <c r="AV268" s="35"/>
      <c r="AW268" s="35"/>
      <c r="AX268" s="35"/>
      <c r="AY268" s="35"/>
      <c r="AZ268" s="35"/>
      <c r="BA268" s="35"/>
      <c r="BB268" s="35"/>
      <c r="BC268" s="35"/>
      <c r="BD268" s="35"/>
      <c r="BE268" s="35"/>
      <c r="BF268" s="35"/>
      <c r="BG268" s="35"/>
      <c r="BH268" s="35"/>
      <c r="BI268" s="35"/>
      <c r="BJ268" s="35"/>
      <c r="BK268" s="35"/>
      <c r="BL268" s="35"/>
    </row>
    <row r="269" spans="1:64" ht="14">
      <c r="A269" s="35"/>
      <c r="B269" s="36"/>
      <c r="C269" s="39"/>
      <c r="D269" s="78"/>
      <c r="E269" s="78"/>
      <c r="F269" s="78"/>
      <c r="G269" s="229"/>
      <c r="H269" s="229"/>
      <c r="I269" s="40"/>
      <c r="J269" s="43" t="str">
        <f t="shared" si="8"/>
        <v/>
      </c>
      <c r="K269" s="79" t="str">
        <f t="shared" si="9"/>
        <v/>
      </c>
      <c r="L269" s="39"/>
      <c r="M269" s="35"/>
      <c r="N269" s="35"/>
      <c r="O269" s="35"/>
      <c r="P269" s="35"/>
      <c r="Q269" s="35"/>
      <c r="R269" s="35"/>
      <c r="S269" s="35"/>
      <c r="T269" s="35"/>
      <c r="U269" s="35"/>
      <c r="V269" s="35"/>
      <c r="W269" s="35"/>
      <c r="X269" s="35"/>
      <c r="Y269" s="35"/>
      <c r="Z269" s="35"/>
      <c r="AA269" s="35"/>
      <c r="AB269" s="35"/>
      <c r="AC269" s="35"/>
      <c r="AD269" s="35"/>
      <c r="AE269" s="35"/>
      <c r="AF269" s="35"/>
      <c r="AG269" s="35"/>
      <c r="AH269" s="35"/>
      <c r="AI269" s="35"/>
      <c r="AJ269" s="35"/>
      <c r="AK269" s="35"/>
      <c r="AL269" s="35"/>
      <c r="AM269" s="35"/>
      <c r="AN269" s="35"/>
      <c r="AO269" s="35"/>
      <c r="AP269" s="35"/>
      <c r="AQ269" s="35"/>
      <c r="AR269" s="35"/>
      <c r="AS269" s="35"/>
      <c r="AT269" s="35"/>
      <c r="AU269" s="35"/>
      <c r="AV269" s="35"/>
      <c r="AW269" s="35"/>
      <c r="AX269" s="35"/>
      <c r="AY269" s="35"/>
      <c r="AZ269" s="35"/>
      <c r="BA269" s="35"/>
      <c r="BB269" s="35"/>
      <c r="BC269" s="35"/>
      <c r="BD269" s="35"/>
      <c r="BE269" s="35"/>
      <c r="BF269" s="35"/>
      <c r="BG269" s="35"/>
      <c r="BH269" s="35"/>
      <c r="BI269" s="35"/>
      <c r="BJ269" s="35"/>
      <c r="BK269" s="35"/>
      <c r="BL269" s="35"/>
    </row>
    <row r="270" spans="1:64" ht="14">
      <c r="A270" s="35"/>
      <c r="B270" s="36"/>
      <c r="C270" s="39"/>
      <c r="D270" s="78"/>
      <c r="E270" s="78"/>
      <c r="F270" s="78"/>
      <c r="G270" s="229"/>
      <c r="H270" s="229"/>
      <c r="I270" s="40"/>
      <c r="J270" s="43" t="str">
        <f t="shared" si="8"/>
        <v/>
      </c>
      <c r="K270" s="79" t="str">
        <f t="shared" si="9"/>
        <v/>
      </c>
      <c r="L270" s="39"/>
      <c r="M270" s="35"/>
      <c r="N270" s="35"/>
      <c r="O270" s="35"/>
      <c r="P270" s="35"/>
      <c r="Q270" s="35"/>
      <c r="R270" s="35"/>
      <c r="S270" s="35"/>
      <c r="T270" s="35"/>
      <c r="U270" s="35"/>
      <c r="V270" s="35"/>
      <c r="W270" s="35"/>
      <c r="X270" s="35"/>
      <c r="Y270" s="35"/>
      <c r="Z270" s="35"/>
      <c r="AA270" s="35"/>
      <c r="AB270" s="35"/>
      <c r="AC270" s="35"/>
      <c r="AD270" s="35"/>
      <c r="AE270" s="35"/>
      <c r="AF270" s="35"/>
      <c r="AG270" s="35"/>
      <c r="AH270" s="35"/>
      <c r="AI270" s="35"/>
      <c r="AJ270" s="35"/>
      <c r="AK270" s="35"/>
      <c r="AL270" s="35"/>
      <c r="AM270" s="35"/>
      <c r="AN270" s="35"/>
      <c r="AO270" s="35"/>
      <c r="AP270" s="35"/>
      <c r="AQ270" s="35"/>
      <c r="AR270" s="35"/>
      <c r="AS270" s="35"/>
      <c r="AT270" s="35"/>
      <c r="AU270" s="35"/>
      <c r="AV270" s="35"/>
      <c r="AW270" s="35"/>
      <c r="AX270" s="35"/>
      <c r="AY270" s="35"/>
      <c r="AZ270" s="35"/>
      <c r="BA270" s="35"/>
      <c r="BB270" s="35"/>
      <c r="BC270" s="35"/>
      <c r="BD270" s="35"/>
      <c r="BE270" s="35"/>
      <c r="BF270" s="35"/>
      <c r="BG270" s="35"/>
      <c r="BH270" s="35"/>
      <c r="BI270" s="35"/>
      <c r="BJ270" s="35"/>
      <c r="BK270" s="35"/>
      <c r="BL270" s="35"/>
    </row>
    <row r="271" spans="1:64" ht="14">
      <c r="A271" s="35"/>
      <c r="B271" s="36"/>
      <c r="C271" s="39"/>
      <c r="D271" s="78"/>
      <c r="E271" s="78"/>
      <c r="F271" s="78"/>
      <c r="G271" s="229"/>
      <c r="H271" s="229"/>
      <c r="I271" s="40"/>
      <c r="J271" s="43" t="str">
        <f t="shared" si="8"/>
        <v/>
      </c>
      <c r="K271" s="79" t="str">
        <f t="shared" si="9"/>
        <v/>
      </c>
      <c r="L271" s="39"/>
      <c r="M271" s="35"/>
      <c r="N271" s="35"/>
      <c r="O271" s="35"/>
      <c r="P271" s="35"/>
      <c r="Q271" s="35"/>
      <c r="R271" s="35"/>
      <c r="S271" s="35"/>
      <c r="T271" s="35"/>
      <c r="U271" s="35"/>
      <c r="V271" s="35"/>
      <c r="W271" s="35"/>
      <c r="X271" s="35"/>
      <c r="Y271" s="35"/>
      <c r="Z271" s="35"/>
      <c r="AA271" s="35"/>
      <c r="AB271" s="35"/>
      <c r="AC271" s="35"/>
      <c r="AD271" s="35"/>
      <c r="AE271" s="35"/>
      <c r="AF271" s="35"/>
      <c r="AG271" s="35"/>
      <c r="AH271" s="35"/>
      <c r="AI271" s="35"/>
      <c r="AJ271" s="35"/>
      <c r="AK271" s="35"/>
      <c r="AL271" s="35"/>
      <c r="AM271" s="35"/>
      <c r="AN271" s="35"/>
      <c r="AO271" s="35"/>
      <c r="AP271" s="35"/>
      <c r="AQ271" s="35"/>
      <c r="AR271" s="35"/>
      <c r="AS271" s="35"/>
      <c r="AT271" s="35"/>
      <c r="AU271" s="35"/>
      <c r="AV271" s="35"/>
      <c r="AW271" s="35"/>
      <c r="AX271" s="35"/>
      <c r="AY271" s="35"/>
      <c r="AZ271" s="35"/>
      <c r="BA271" s="35"/>
      <c r="BB271" s="35"/>
      <c r="BC271" s="35"/>
      <c r="BD271" s="35"/>
      <c r="BE271" s="35"/>
      <c r="BF271" s="35"/>
      <c r="BG271" s="35"/>
      <c r="BH271" s="35"/>
      <c r="BI271" s="35"/>
      <c r="BJ271" s="35"/>
      <c r="BK271" s="35"/>
      <c r="BL271" s="35"/>
    </row>
    <row r="272" spans="1:64" ht="14">
      <c r="A272" s="35"/>
      <c r="B272" s="36"/>
      <c r="C272" s="39"/>
      <c r="D272" s="78"/>
      <c r="E272" s="78"/>
      <c r="F272" s="78"/>
      <c r="G272" s="229"/>
      <c r="H272" s="229"/>
      <c r="I272" s="40"/>
      <c r="J272" s="43" t="str">
        <f t="shared" si="8"/>
        <v/>
      </c>
      <c r="K272" s="79" t="str">
        <f t="shared" si="9"/>
        <v/>
      </c>
      <c r="L272" s="39"/>
      <c r="M272" s="35"/>
      <c r="N272" s="35"/>
      <c r="O272" s="35"/>
      <c r="P272" s="35"/>
      <c r="Q272" s="35"/>
      <c r="R272" s="35"/>
      <c r="S272" s="35"/>
      <c r="T272" s="35"/>
      <c r="U272" s="35"/>
      <c r="V272" s="35"/>
      <c r="W272" s="35"/>
      <c r="X272" s="35"/>
      <c r="Y272" s="35"/>
      <c r="Z272" s="35"/>
      <c r="AA272" s="35"/>
      <c r="AB272" s="35"/>
      <c r="AC272" s="35"/>
      <c r="AD272" s="35"/>
      <c r="AE272" s="35"/>
      <c r="AF272" s="35"/>
      <c r="AG272" s="35"/>
      <c r="AH272" s="35"/>
      <c r="AI272" s="35"/>
      <c r="AJ272" s="35"/>
      <c r="AK272" s="35"/>
      <c r="AL272" s="35"/>
      <c r="AM272" s="35"/>
      <c r="AN272" s="35"/>
      <c r="AO272" s="35"/>
      <c r="AP272" s="35"/>
      <c r="AQ272" s="35"/>
      <c r="AR272" s="35"/>
      <c r="AS272" s="35"/>
      <c r="AT272" s="35"/>
      <c r="AU272" s="35"/>
      <c r="AV272" s="35"/>
      <c r="AW272" s="35"/>
      <c r="AX272" s="35"/>
      <c r="AY272" s="35"/>
      <c r="AZ272" s="35"/>
      <c r="BA272" s="35"/>
      <c r="BB272" s="35"/>
      <c r="BC272" s="35"/>
      <c r="BD272" s="35"/>
      <c r="BE272" s="35"/>
      <c r="BF272" s="35"/>
      <c r="BG272" s="35"/>
      <c r="BH272" s="35"/>
      <c r="BI272" s="35"/>
      <c r="BJ272" s="35"/>
      <c r="BK272" s="35"/>
      <c r="BL272" s="35"/>
    </row>
    <row r="273" spans="1:64" ht="14">
      <c r="A273" s="35"/>
      <c r="B273" s="36"/>
      <c r="C273" s="39"/>
      <c r="D273" s="78"/>
      <c r="E273" s="78"/>
      <c r="F273" s="78"/>
      <c r="G273" s="229"/>
      <c r="H273" s="229"/>
      <c r="I273" s="40"/>
      <c r="J273" s="43" t="str">
        <f t="shared" si="8"/>
        <v/>
      </c>
      <c r="K273" s="79" t="str">
        <f t="shared" si="9"/>
        <v/>
      </c>
      <c r="L273" s="39"/>
      <c r="M273" s="35"/>
      <c r="N273" s="35"/>
      <c r="O273" s="35"/>
      <c r="P273" s="35"/>
      <c r="Q273" s="35"/>
      <c r="R273" s="35"/>
      <c r="S273" s="35"/>
      <c r="T273" s="35"/>
      <c r="U273" s="35"/>
      <c r="V273" s="35"/>
      <c r="W273" s="35"/>
      <c r="X273" s="35"/>
      <c r="Y273" s="35"/>
      <c r="Z273" s="35"/>
      <c r="AA273" s="35"/>
      <c r="AB273" s="35"/>
      <c r="AC273" s="35"/>
      <c r="AD273" s="35"/>
      <c r="AE273" s="35"/>
      <c r="AF273" s="35"/>
      <c r="AG273" s="35"/>
      <c r="AH273" s="35"/>
      <c r="AI273" s="35"/>
      <c r="AJ273" s="35"/>
      <c r="AK273" s="35"/>
      <c r="AL273" s="35"/>
      <c r="AM273" s="35"/>
      <c r="AN273" s="35"/>
      <c r="AO273" s="35"/>
      <c r="AP273" s="35"/>
      <c r="AQ273" s="35"/>
      <c r="AR273" s="35"/>
      <c r="AS273" s="35"/>
      <c r="AT273" s="35"/>
      <c r="AU273" s="35"/>
      <c r="AV273" s="35"/>
      <c r="AW273" s="35"/>
      <c r="AX273" s="35"/>
      <c r="AY273" s="35"/>
      <c r="AZ273" s="35"/>
      <c r="BA273" s="35"/>
      <c r="BB273" s="35"/>
      <c r="BC273" s="35"/>
      <c r="BD273" s="35"/>
      <c r="BE273" s="35"/>
      <c r="BF273" s="35"/>
      <c r="BG273" s="35"/>
      <c r="BH273" s="35"/>
      <c r="BI273" s="35"/>
      <c r="BJ273" s="35"/>
      <c r="BK273" s="35"/>
      <c r="BL273" s="35"/>
    </row>
    <row r="274" spans="1:64" ht="14">
      <c r="A274" s="35"/>
      <c r="B274" s="36"/>
      <c r="C274" s="39"/>
      <c r="D274" s="78"/>
      <c r="E274" s="78"/>
      <c r="F274" s="78"/>
      <c r="G274" s="229"/>
      <c r="H274" s="229"/>
      <c r="I274" s="40"/>
      <c r="J274" s="43" t="str">
        <f t="shared" si="8"/>
        <v/>
      </c>
      <c r="K274" s="79" t="str">
        <f t="shared" si="9"/>
        <v/>
      </c>
      <c r="L274" s="39"/>
      <c r="M274" s="35"/>
      <c r="N274" s="35"/>
      <c r="O274" s="35"/>
      <c r="P274" s="35"/>
      <c r="Q274" s="35"/>
      <c r="R274" s="35"/>
      <c r="S274" s="35"/>
      <c r="T274" s="35"/>
      <c r="U274" s="35"/>
      <c r="V274" s="35"/>
      <c r="W274" s="35"/>
      <c r="X274" s="35"/>
      <c r="Y274" s="35"/>
      <c r="Z274" s="35"/>
      <c r="AA274" s="35"/>
      <c r="AB274" s="35"/>
      <c r="AC274" s="35"/>
      <c r="AD274" s="35"/>
      <c r="AE274" s="35"/>
      <c r="AF274" s="35"/>
      <c r="AG274" s="35"/>
      <c r="AH274" s="35"/>
      <c r="AI274" s="35"/>
      <c r="AJ274" s="35"/>
      <c r="AK274" s="35"/>
      <c r="AL274" s="35"/>
      <c r="AM274" s="35"/>
      <c r="AN274" s="35"/>
      <c r="AO274" s="35"/>
      <c r="AP274" s="35"/>
      <c r="AQ274" s="35"/>
      <c r="AR274" s="35"/>
      <c r="AS274" s="35"/>
      <c r="AT274" s="35"/>
      <c r="AU274" s="35"/>
      <c r="AV274" s="35"/>
      <c r="AW274" s="35"/>
      <c r="AX274" s="35"/>
      <c r="AY274" s="35"/>
      <c r="AZ274" s="35"/>
      <c r="BA274" s="35"/>
      <c r="BB274" s="35"/>
      <c r="BC274" s="35"/>
      <c r="BD274" s="35"/>
      <c r="BE274" s="35"/>
      <c r="BF274" s="35"/>
      <c r="BG274" s="35"/>
      <c r="BH274" s="35"/>
      <c r="BI274" s="35"/>
      <c r="BJ274" s="35"/>
      <c r="BK274" s="35"/>
      <c r="BL274" s="35"/>
    </row>
    <row r="275" spans="1:64" ht="14">
      <c r="A275" s="35"/>
      <c r="B275" s="36"/>
      <c r="C275" s="39"/>
      <c r="D275" s="78"/>
      <c r="E275" s="78"/>
      <c r="F275" s="78"/>
      <c r="G275" s="229"/>
      <c r="H275" s="229"/>
      <c r="I275" s="40"/>
      <c r="J275" s="43" t="str">
        <f t="shared" si="8"/>
        <v/>
      </c>
      <c r="K275" s="79" t="str">
        <f t="shared" si="9"/>
        <v/>
      </c>
      <c r="L275" s="39"/>
      <c r="M275" s="35"/>
      <c r="N275" s="35"/>
      <c r="O275" s="35"/>
      <c r="P275" s="35"/>
      <c r="Q275" s="35"/>
      <c r="R275" s="35"/>
      <c r="S275" s="35"/>
      <c r="T275" s="35"/>
      <c r="U275" s="35"/>
      <c r="V275" s="35"/>
      <c r="W275" s="35"/>
      <c r="X275" s="35"/>
      <c r="Y275" s="35"/>
      <c r="Z275" s="35"/>
      <c r="AA275" s="35"/>
      <c r="AB275" s="35"/>
      <c r="AC275" s="35"/>
      <c r="AD275" s="35"/>
      <c r="AE275" s="35"/>
      <c r="AF275" s="35"/>
      <c r="AG275" s="35"/>
      <c r="AH275" s="35"/>
      <c r="AI275" s="35"/>
      <c r="AJ275" s="35"/>
      <c r="AK275" s="35"/>
      <c r="AL275" s="35"/>
      <c r="AM275" s="35"/>
      <c r="AN275" s="35"/>
      <c r="AO275" s="35"/>
      <c r="AP275" s="35"/>
      <c r="AQ275" s="35"/>
      <c r="AR275" s="35"/>
      <c r="AS275" s="35"/>
      <c r="AT275" s="35"/>
      <c r="AU275" s="35"/>
      <c r="AV275" s="35"/>
      <c r="AW275" s="35"/>
      <c r="AX275" s="35"/>
      <c r="AY275" s="35"/>
      <c r="AZ275" s="35"/>
      <c r="BA275" s="35"/>
      <c r="BB275" s="35"/>
      <c r="BC275" s="35"/>
      <c r="BD275" s="35"/>
      <c r="BE275" s="35"/>
      <c r="BF275" s="35"/>
      <c r="BG275" s="35"/>
      <c r="BH275" s="35"/>
      <c r="BI275" s="35"/>
      <c r="BJ275" s="35"/>
      <c r="BK275" s="35"/>
      <c r="BL275" s="35"/>
    </row>
    <row r="276" spans="1:64" ht="14">
      <c r="A276" s="35"/>
      <c r="B276" s="36"/>
      <c r="C276" s="39"/>
      <c r="D276" s="78"/>
      <c r="E276" s="78"/>
      <c r="F276" s="78"/>
      <c r="G276" s="229"/>
      <c r="H276" s="229"/>
      <c r="I276" s="40"/>
      <c r="J276" s="43" t="str">
        <f t="shared" si="8"/>
        <v/>
      </c>
      <c r="K276" s="79" t="str">
        <f t="shared" si="9"/>
        <v/>
      </c>
      <c r="L276" s="39"/>
      <c r="M276" s="35"/>
      <c r="N276" s="35"/>
      <c r="O276" s="35"/>
      <c r="P276" s="35"/>
      <c r="Q276" s="35"/>
      <c r="R276" s="35"/>
      <c r="S276" s="35"/>
      <c r="T276" s="35"/>
      <c r="U276" s="35"/>
      <c r="V276" s="35"/>
      <c r="W276" s="35"/>
      <c r="X276" s="35"/>
      <c r="Y276" s="35"/>
      <c r="Z276" s="35"/>
      <c r="AA276" s="35"/>
      <c r="AB276" s="35"/>
      <c r="AC276" s="35"/>
      <c r="AD276" s="35"/>
      <c r="AE276" s="35"/>
      <c r="AF276" s="35"/>
      <c r="AG276" s="35"/>
      <c r="AH276" s="35"/>
      <c r="AI276" s="35"/>
      <c r="AJ276" s="35"/>
      <c r="AK276" s="35"/>
      <c r="AL276" s="35"/>
      <c r="AM276" s="35"/>
      <c r="AN276" s="35"/>
      <c r="AO276" s="35"/>
      <c r="AP276" s="35"/>
      <c r="AQ276" s="35"/>
      <c r="AR276" s="35"/>
      <c r="AS276" s="35"/>
      <c r="AT276" s="35"/>
      <c r="AU276" s="35"/>
      <c r="AV276" s="35"/>
      <c r="AW276" s="35"/>
      <c r="AX276" s="35"/>
      <c r="AY276" s="35"/>
      <c r="AZ276" s="35"/>
      <c r="BA276" s="35"/>
      <c r="BB276" s="35"/>
      <c r="BC276" s="35"/>
      <c r="BD276" s="35"/>
      <c r="BE276" s="35"/>
      <c r="BF276" s="35"/>
      <c r="BG276" s="35"/>
      <c r="BH276" s="35"/>
      <c r="BI276" s="35"/>
      <c r="BJ276" s="35"/>
      <c r="BK276" s="35"/>
      <c r="BL276" s="35"/>
    </row>
    <row r="277" spans="1:64" ht="14">
      <c r="A277" s="35"/>
      <c r="B277" s="36"/>
      <c r="C277" s="39"/>
      <c r="D277" s="78"/>
      <c r="E277" s="78"/>
      <c r="F277" s="78"/>
      <c r="G277" s="229"/>
      <c r="H277" s="229"/>
      <c r="I277" s="40"/>
      <c r="J277" s="43" t="str">
        <f t="shared" si="8"/>
        <v/>
      </c>
      <c r="K277" s="79" t="str">
        <f t="shared" si="9"/>
        <v/>
      </c>
      <c r="L277" s="39"/>
      <c r="M277" s="35"/>
      <c r="N277" s="35"/>
      <c r="O277" s="35"/>
      <c r="P277" s="35"/>
      <c r="Q277" s="35"/>
      <c r="R277" s="35"/>
      <c r="S277" s="35"/>
      <c r="T277" s="35"/>
      <c r="U277" s="35"/>
      <c r="V277" s="35"/>
      <c r="W277" s="35"/>
      <c r="X277" s="35"/>
      <c r="Y277" s="35"/>
      <c r="Z277" s="35"/>
      <c r="AA277" s="35"/>
      <c r="AB277" s="35"/>
      <c r="AC277" s="35"/>
      <c r="AD277" s="35"/>
      <c r="AE277" s="35"/>
      <c r="AF277" s="35"/>
      <c r="AG277" s="35"/>
      <c r="AH277" s="35"/>
      <c r="AI277" s="35"/>
      <c r="AJ277" s="35"/>
      <c r="AK277" s="35"/>
      <c r="AL277" s="35"/>
      <c r="AM277" s="35"/>
      <c r="AN277" s="35"/>
      <c r="AO277" s="35"/>
      <c r="AP277" s="35"/>
      <c r="AQ277" s="35"/>
      <c r="AR277" s="35"/>
      <c r="AS277" s="35"/>
      <c r="AT277" s="35"/>
      <c r="AU277" s="35"/>
      <c r="AV277" s="35"/>
      <c r="AW277" s="35"/>
      <c r="AX277" s="35"/>
      <c r="AY277" s="35"/>
      <c r="AZ277" s="35"/>
      <c r="BA277" s="35"/>
      <c r="BB277" s="35"/>
      <c r="BC277" s="35"/>
      <c r="BD277" s="35"/>
      <c r="BE277" s="35"/>
      <c r="BF277" s="35"/>
      <c r="BG277" s="35"/>
      <c r="BH277" s="35"/>
      <c r="BI277" s="35"/>
      <c r="BJ277" s="35"/>
      <c r="BK277" s="35"/>
      <c r="BL277" s="35"/>
    </row>
    <row r="278" spans="1:64" ht="14">
      <c r="A278" s="35"/>
      <c r="B278" s="36"/>
      <c r="C278" s="39"/>
      <c r="D278" s="78"/>
      <c r="E278" s="78"/>
      <c r="F278" s="78"/>
      <c r="G278" s="229"/>
      <c r="H278" s="229"/>
      <c r="I278" s="40"/>
      <c r="J278" s="43" t="str">
        <f t="shared" si="8"/>
        <v/>
      </c>
      <c r="K278" s="79" t="str">
        <f t="shared" si="9"/>
        <v/>
      </c>
      <c r="L278" s="39"/>
      <c r="M278" s="35"/>
      <c r="N278" s="35"/>
      <c r="O278" s="35"/>
      <c r="P278" s="35"/>
      <c r="Q278" s="35"/>
      <c r="R278" s="35"/>
      <c r="S278" s="35"/>
      <c r="T278" s="35"/>
      <c r="U278" s="35"/>
      <c r="V278" s="35"/>
      <c r="W278" s="35"/>
      <c r="X278" s="35"/>
      <c r="Y278" s="35"/>
      <c r="Z278" s="35"/>
      <c r="AA278" s="35"/>
      <c r="AB278" s="35"/>
      <c r="AC278" s="35"/>
      <c r="AD278" s="35"/>
      <c r="AE278" s="35"/>
      <c r="AF278" s="35"/>
      <c r="AG278" s="35"/>
      <c r="AH278" s="35"/>
      <c r="AI278" s="35"/>
      <c r="AJ278" s="35"/>
      <c r="AK278" s="35"/>
      <c r="AL278" s="35"/>
      <c r="AM278" s="35"/>
      <c r="AN278" s="35"/>
      <c r="AO278" s="35"/>
      <c r="AP278" s="35"/>
      <c r="AQ278" s="35"/>
      <c r="AR278" s="35"/>
      <c r="AS278" s="35"/>
      <c r="AT278" s="35"/>
      <c r="AU278" s="35"/>
      <c r="AV278" s="35"/>
      <c r="AW278" s="35"/>
      <c r="AX278" s="35"/>
      <c r="AY278" s="35"/>
      <c r="AZ278" s="35"/>
      <c r="BA278" s="35"/>
      <c r="BB278" s="35"/>
      <c r="BC278" s="35"/>
      <c r="BD278" s="35"/>
      <c r="BE278" s="35"/>
      <c r="BF278" s="35"/>
      <c r="BG278" s="35"/>
      <c r="BH278" s="35"/>
      <c r="BI278" s="35"/>
      <c r="BJ278" s="35"/>
      <c r="BK278" s="35"/>
      <c r="BL278" s="35"/>
    </row>
    <row r="279" spans="1:64" ht="14">
      <c r="A279" s="35"/>
      <c r="B279" s="36"/>
      <c r="C279" s="39"/>
      <c r="D279" s="78"/>
      <c r="E279" s="78"/>
      <c r="F279" s="78"/>
      <c r="G279" s="229"/>
      <c r="H279" s="229"/>
      <c r="I279" s="40"/>
      <c r="J279" s="43" t="str">
        <f t="shared" si="8"/>
        <v/>
      </c>
      <c r="K279" s="79" t="str">
        <f t="shared" si="9"/>
        <v/>
      </c>
      <c r="L279" s="39"/>
      <c r="M279" s="35"/>
      <c r="N279" s="35"/>
      <c r="O279" s="35"/>
      <c r="P279" s="35"/>
      <c r="Q279" s="35"/>
      <c r="R279" s="35"/>
      <c r="S279" s="35"/>
      <c r="T279" s="35"/>
      <c r="U279" s="35"/>
      <c r="V279" s="35"/>
      <c r="W279" s="35"/>
      <c r="X279" s="35"/>
      <c r="Y279" s="35"/>
      <c r="Z279" s="35"/>
      <c r="AA279" s="35"/>
      <c r="AB279" s="35"/>
      <c r="AC279" s="35"/>
      <c r="AD279" s="35"/>
      <c r="AE279" s="35"/>
      <c r="AF279" s="35"/>
      <c r="AG279" s="35"/>
      <c r="AH279" s="35"/>
      <c r="AI279" s="35"/>
      <c r="AJ279" s="35"/>
      <c r="AK279" s="35"/>
      <c r="AL279" s="35"/>
      <c r="AM279" s="35"/>
      <c r="AN279" s="35"/>
      <c r="AO279" s="35"/>
      <c r="AP279" s="35"/>
      <c r="AQ279" s="35"/>
      <c r="AR279" s="35"/>
      <c r="AS279" s="35"/>
      <c r="AT279" s="35"/>
      <c r="AU279" s="35"/>
      <c r="AV279" s="35"/>
      <c r="AW279" s="35"/>
      <c r="AX279" s="35"/>
      <c r="AY279" s="35"/>
      <c r="AZ279" s="35"/>
      <c r="BA279" s="35"/>
      <c r="BB279" s="35"/>
      <c r="BC279" s="35"/>
      <c r="BD279" s="35"/>
      <c r="BE279" s="35"/>
      <c r="BF279" s="35"/>
      <c r="BG279" s="35"/>
      <c r="BH279" s="35"/>
      <c r="BI279" s="35"/>
      <c r="BJ279" s="35"/>
      <c r="BK279" s="35"/>
      <c r="BL279" s="35"/>
    </row>
    <row r="280" spans="1:64" ht="14">
      <c r="A280" s="35"/>
      <c r="B280" s="36"/>
      <c r="C280" s="39"/>
      <c r="D280" s="78"/>
      <c r="E280" s="78"/>
      <c r="F280" s="78"/>
      <c r="G280" s="229"/>
      <c r="H280" s="229"/>
      <c r="I280" s="40"/>
      <c r="J280" s="43" t="str">
        <f t="shared" si="8"/>
        <v/>
      </c>
      <c r="K280" s="79" t="str">
        <f t="shared" si="9"/>
        <v/>
      </c>
      <c r="L280" s="39"/>
      <c r="M280" s="35"/>
      <c r="N280" s="35"/>
      <c r="O280" s="35"/>
      <c r="P280" s="35"/>
      <c r="Q280" s="35"/>
      <c r="R280" s="35"/>
      <c r="S280" s="35"/>
      <c r="T280" s="35"/>
      <c r="U280" s="35"/>
      <c r="V280" s="35"/>
      <c r="W280" s="35"/>
      <c r="X280" s="35"/>
      <c r="Y280" s="35"/>
      <c r="Z280" s="35"/>
      <c r="AA280" s="35"/>
      <c r="AB280" s="35"/>
      <c r="AC280" s="35"/>
      <c r="AD280" s="35"/>
      <c r="AE280" s="35"/>
      <c r="AF280" s="35"/>
      <c r="AG280" s="35"/>
      <c r="AH280" s="35"/>
      <c r="AI280" s="35"/>
      <c r="AJ280" s="35"/>
      <c r="AK280" s="35"/>
      <c r="AL280" s="35"/>
      <c r="AM280" s="35"/>
      <c r="AN280" s="35"/>
      <c r="AO280" s="35"/>
      <c r="AP280" s="35"/>
      <c r="AQ280" s="35"/>
      <c r="AR280" s="35"/>
      <c r="AS280" s="35"/>
      <c r="AT280" s="35"/>
      <c r="AU280" s="35"/>
      <c r="AV280" s="35"/>
      <c r="AW280" s="35"/>
      <c r="AX280" s="35"/>
      <c r="AY280" s="35"/>
      <c r="AZ280" s="35"/>
      <c r="BA280" s="35"/>
      <c r="BB280" s="35"/>
      <c r="BC280" s="35"/>
      <c r="BD280" s="35"/>
      <c r="BE280" s="35"/>
      <c r="BF280" s="35"/>
      <c r="BG280" s="35"/>
      <c r="BH280" s="35"/>
      <c r="BI280" s="35"/>
      <c r="BJ280" s="35"/>
      <c r="BK280" s="35"/>
      <c r="BL280" s="35"/>
    </row>
    <row r="281" spans="1:64" ht="14">
      <c r="A281" s="35"/>
      <c r="B281" s="36"/>
      <c r="C281" s="39"/>
      <c r="D281" s="78"/>
      <c r="E281" s="78"/>
      <c r="F281" s="78"/>
      <c r="G281" s="229"/>
      <c r="H281" s="229"/>
      <c r="I281" s="40"/>
      <c r="J281" s="43" t="str">
        <f t="shared" si="8"/>
        <v/>
      </c>
      <c r="K281" s="79" t="str">
        <f t="shared" si="9"/>
        <v/>
      </c>
      <c r="L281" s="39"/>
      <c r="M281" s="35"/>
      <c r="N281" s="35"/>
      <c r="O281" s="35"/>
      <c r="P281" s="35"/>
      <c r="Q281" s="35"/>
      <c r="R281" s="35"/>
      <c r="S281" s="35"/>
      <c r="T281" s="35"/>
      <c r="U281" s="35"/>
      <c r="V281" s="35"/>
      <c r="W281" s="35"/>
      <c r="X281" s="35"/>
      <c r="Y281" s="35"/>
      <c r="Z281" s="35"/>
      <c r="AA281" s="35"/>
      <c r="AB281" s="35"/>
      <c r="AC281" s="35"/>
      <c r="AD281" s="35"/>
      <c r="AE281" s="35"/>
      <c r="AF281" s="35"/>
      <c r="AG281" s="35"/>
      <c r="AH281" s="35"/>
      <c r="AI281" s="35"/>
      <c r="AJ281" s="35"/>
      <c r="AK281" s="35"/>
      <c r="AL281" s="35"/>
      <c r="AM281" s="35"/>
      <c r="AN281" s="35"/>
      <c r="AO281" s="35"/>
      <c r="AP281" s="35"/>
      <c r="AQ281" s="35"/>
      <c r="AR281" s="35"/>
      <c r="AS281" s="35"/>
      <c r="AT281" s="35"/>
      <c r="AU281" s="35"/>
      <c r="AV281" s="35"/>
      <c r="AW281" s="35"/>
      <c r="AX281" s="35"/>
      <c r="AY281" s="35"/>
      <c r="AZ281" s="35"/>
      <c r="BA281" s="35"/>
      <c r="BB281" s="35"/>
      <c r="BC281" s="35"/>
      <c r="BD281" s="35"/>
      <c r="BE281" s="35"/>
      <c r="BF281" s="35"/>
      <c r="BG281" s="35"/>
      <c r="BH281" s="35"/>
      <c r="BI281" s="35"/>
      <c r="BJ281" s="35"/>
      <c r="BK281" s="35"/>
      <c r="BL281" s="35"/>
    </row>
    <row r="282" spans="1:64" ht="14">
      <c r="A282" s="35"/>
      <c r="B282" s="36"/>
      <c r="C282" s="39"/>
      <c r="D282" s="78"/>
      <c r="E282" s="78"/>
      <c r="F282" s="78"/>
      <c r="G282" s="229"/>
      <c r="H282" s="229"/>
      <c r="I282" s="40"/>
      <c r="J282" s="43" t="str">
        <f t="shared" si="8"/>
        <v/>
      </c>
      <c r="K282" s="79" t="str">
        <f t="shared" si="9"/>
        <v/>
      </c>
      <c r="L282" s="39"/>
      <c r="M282" s="35"/>
      <c r="N282" s="35"/>
      <c r="O282" s="35"/>
      <c r="P282" s="35"/>
      <c r="Q282" s="35"/>
      <c r="R282" s="35"/>
      <c r="S282" s="35"/>
      <c r="T282" s="35"/>
      <c r="U282" s="35"/>
      <c r="V282" s="35"/>
      <c r="W282" s="35"/>
      <c r="X282" s="35"/>
      <c r="Y282" s="35"/>
      <c r="Z282" s="35"/>
      <c r="AA282" s="35"/>
      <c r="AB282" s="35"/>
      <c r="AC282" s="35"/>
      <c r="AD282" s="35"/>
      <c r="AE282" s="35"/>
      <c r="AF282" s="35"/>
      <c r="AG282" s="35"/>
      <c r="AH282" s="35"/>
      <c r="AI282" s="35"/>
      <c r="AJ282" s="35"/>
      <c r="AK282" s="35"/>
      <c r="AL282" s="35"/>
      <c r="AM282" s="35"/>
      <c r="AN282" s="35"/>
      <c r="AO282" s="35"/>
      <c r="AP282" s="35"/>
      <c r="AQ282" s="35"/>
      <c r="AR282" s="35"/>
      <c r="AS282" s="35"/>
      <c r="AT282" s="35"/>
      <c r="AU282" s="35"/>
      <c r="AV282" s="35"/>
      <c r="AW282" s="35"/>
      <c r="AX282" s="35"/>
      <c r="AY282" s="35"/>
      <c r="AZ282" s="35"/>
      <c r="BA282" s="35"/>
      <c r="BB282" s="35"/>
      <c r="BC282" s="35"/>
      <c r="BD282" s="35"/>
      <c r="BE282" s="35"/>
      <c r="BF282" s="35"/>
      <c r="BG282" s="35"/>
      <c r="BH282" s="35"/>
      <c r="BI282" s="35"/>
      <c r="BJ282" s="35"/>
      <c r="BK282" s="35"/>
      <c r="BL282" s="35"/>
    </row>
    <row r="283" spans="1:64" ht="14">
      <c r="A283" s="35"/>
      <c r="B283" s="36"/>
      <c r="C283" s="39"/>
      <c r="D283" s="78"/>
      <c r="E283" s="78"/>
      <c r="F283" s="78"/>
      <c r="G283" s="229"/>
      <c r="H283" s="229"/>
      <c r="I283" s="40"/>
      <c r="J283" s="43" t="str">
        <f t="shared" si="8"/>
        <v/>
      </c>
      <c r="K283" s="79" t="str">
        <f t="shared" si="9"/>
        <v/>
      </c>
      <c r="L283" s="39"/>
      <c r="M283" s="35"/>
      <c r="N283" s="35"/>
      <c r="O283" s="35"/>
      <c r="P283" s="35"/>
      <c r="Q283" s="35"/>
      <c r="R283" s="35"/>
      <c r="S283" s="35"/>
      <c r="T283" s="35"/>
      <c r="U283" s="35"/>
      <c r="V283" s="35"/>
      <c r="W283" s="35"/>
      <c r="X283" s="35"/>
      <c r="Y283" s="35"/>
      <c r="Z283" s="35"/>
      <c r="AA283" s="35"/>
      <c r="AB283" s="35"/>
      <c r="AC283" s="35"/>
      <c r="AD283" s="35"/>
      <c r="AE283" s="35"/>
      <c r="AF283" s="35"/>
      <c r="AG283" s="35"/>
      <c r="AH283" s="35"/>
      <c r="AI283" s="35"/>
      <c r="AJ283" s="35"/>
      <c r="AK283" s="35"/>
      <c r="AL283" s="35"/>
      <c r="AM283" s="35"/>
      <c r="AN283" s="35"/>
      <c r="AO283" s="35"/>
      <c r="AP283" s="35"/>
      <c r="AQ283" s="35"/>
      <c r="AR283" s="35"/>
      <c r="AS283" s="35"/>
      <c r="AT283" s="35"/>
      <c r="AU283" s="35"/>
      <c r="AV283" s="35"/>
      <c r="AW283" s="35"/>
      <c r="AX283" s="35"/>
      <c r="AY283" s="35"/>
      <c r="AZ283" s="35"/>
      <c r="BA283" s="35"/>
      <c r="BB283" s="35"/>
      <c r="BC283" s="35"/>
      <c r="BD283" s="35"/>
      <c r="BE283" s="35"/>
      <c r="BF283" s="35"/>
      <c r="BG283" s="35"/>
      <c r="BH283" s="35"/>
      <c r="BI283" s="35"/>
      <c r="BJ283" s="35"/>
      <c r="BK283" s="35"/>
      <c r="BL283" s="35"/>
    </row>
    <row r="284" spans="1:64" ht="14">
      <c r="A284" s="35"/>
      <c r="B284" s="36"/>
      <c r="C284" s="39"/>
      <c r="D284" s="78"/>
      <c r="E284" s="78"/>
      <c r="F284" s="78"/>
      <c r="G284" s="229"/>
      <c r="H284" s="229"/>
      <c r="I284" s="40"/>
      <c r="J284" s="43" t="str">
        <f t="shared" si="8"/>
        <v/>
      </c>
      <c r="K284" s="79" t="str">
        <f t="shared" si="9"/>
        <v/>
      </c>
      <c r="L284" s="39"/>
      <c r="M284" s="35"/>
      <c r="N284" s="35"/>
      <c r="O284" s="35"/>
      <c r="P284" s="35"/>
      <c r="Q284" s="35"/>
      <c r="R284" s="35"/>
      <c r="S284" s="35"/>
      <c r="T284" s="35"/>
      <c r="U284" s="35"/>
      <c r="V284" s="35"/>
      <c r="W284" s="35"/>
      <c r="X284" s="35"/>
      <c r="Y284" s="35"/>
      <c r="Z284" s="35"/>
      <c r="AA284" s="35"/>
      <c r="AB284" s="35"/>
      <c r="AC284" s="35"/>
      <c r="AD284" s="35"/>
      <c r="AE284" s="35"/>
      <c r="AF284" s="35"/>
      <c r="AG284" s="35"/>
      <c r="AH284" s="35"/>
      <c r="AI284" s="35"/>
      <c r="AJ284" s="35"/>
      <c r="AK284" s="35"/>
      <c r="AL284" s="35"/>
      <c r="AM284" s="35"/>
      <c r="AN284" s="35"/>
      <c r="AO284" s="35"/>
      <c r="AP284" s="35"/>
      <c r="AQ284" s="35"/>
      <c r="AR284" s="35"/>
      <c r="AS284" s="35"/>
      <c r="AT284" s="35"/>
      <c r="AU284" s="35"/>
      <c r="AV284" s="35"/>
      <c r="AW284" s="35"/>
      <c r="AX284" s="35"/>
      <c r="AY284" s="35"/>
      <c r="AZ284" s="35"/>
      <c r="BA284" s="35"/>
      <c r="BB284" s="35"/>
      <c r="BC284" s="35"/>
      <c r="BD284" s="35"/>
      <c r="BE284" s="35"/>
      <c r="BF284" s="35"/>
      <c r="BG284" s="35"/>
      <c r="BH284" s="35"/>
      <c r="BI284" s="35"/>
      <c r="BJ284" s="35"/>
      <c r="BK284" s="35"/>
      <c r="BL284" s="35"/>
    </row>
    <row r="285" spans="1:64" ht="14">
      <c r="A285" s="35"/>
      <c r="B285" s="36"/>
      <c r="C285" s="39"/>
      <c r="D285" s="78"/>
      <c r="E285" s="78"/>
      <c r="F285" s="78"/>
      <c r="G285" s="229"/>
      <c r="H285" s="229"/>
      <c r="I285" s="40"/>
      <c r="J285" s="43" t="str">
        <f t="shared" si="8"/>
        <v/>
      </c>
      <c r="K285" s="79" t="str">
        <f t="shared" si="9"/>
        <v/>
      </c>
      <c r="L285" s="39"/>
      <c r="M285" s="35"/>
      <c r="N285" s="35"/>
      <c r="O285" s="35"/>
      <c r="P285" s="35"/>
      <c r="Q285" s="35"/>
      <c r="R285" s="35"/>
      <c r="S285" s="35"/>
      <c r="T285" s="35"/>
      <c r="U285" s="35"/>
      <c r="V285" s="35"/>
      <c r="W285" s="35"/>
      <c r="X285" s="35"/>
      <c r="Y285" s="35"/>
      <c r="Z285" s="35"/>
      <c r="AA285" s="35"/>
      <c r="AB285" s="35"/>
      <c r="AC285" s="35"/>
      <c r="AD285" s="35"/>
      <c r="AE285" s="35"/>
      <c r="AF285" s="35"/>
      <c r="AG285" s="35"/>
      <c r="AH285" s="35"/>
      <c r="AI285" s="35"/>
      <c r="AJ285" s="35"/>
      <c r="AK285" s="35"/>
      <c r="AL285" s="35"/>
      <c r="AM285" s="35"/>
      <c r="AN285" s="35"/>
      <c r="AO285" s="35"/>
      <c r="AP285" s="35"/>
      <c r="AQ285" s="35"/>
      <c r="AR285" s="35"/>
      <c r="AS285" s="35"/>
      <c r="AT285" s="35"/>
      <c r="AU285" s="35"/>
      <c r="AV285" s="35"/>
      <c r="AW285" s="35"/>
      <c r="AX285" s="35"/>
      <c r="AY285" s="35"/>
      <c r="AZ285" s="35"/>
      <c r="BA285" s="35"/>
      <c r="BB285" s="35"/>
      <c r="BC285" s="35"/>
      <c r="BD285" s="35"/>
      <c r="BE285" s="35"/>
      <c r="BF285" s="35"/>
      <c r="BG285" s="35"/>
      <c r="BH285" s="35"/>
      <c r="BI285" s="35"/>
      <c r="BJ285" s="35"/>
      <c r="BK285" s="35"/>
      <c r="BL285" s="35"/>
    </row>
    <row r="286" spans="1:64" ht="14">
      <c r="A286" s="35"/>
      <c r="B286" s="36"/>
      <c r="C286" s="39"/>
      <c r="D286" s="78"/>
      <c r="E286" s="78"/>
      <c r="F286" s="78"/>
      <c r="G286" s="229"/>
      <c r="H286" s="229"/>
      <c r="I286" s="40"/>
      <c r="J286" s="43" t="str">
        <f t="shared" si="8"/>
        <v/>
      </c>
      <c r="K286" s="79" t="str">
        <f t="shared" si="9"/>
        <v/>
      </c>
      <c r="L286" s="39"/>
      <c r="M286" s="35"/>
      <c r="N286" s="35"/>
      <c r="O286" s="35"/>
      <c r="P286" s="35"/>
      <c r="Q286" s="35"/>
      <c r="R286" s="35"/>
      <c r="S286" s="35"/>
      <c r="T286" s="35"/>
      <c r="U286" s="35"/>
      <c r="V286" s="35"/>
      <c r="W286" s="35"/>
      <c r="X286" s="35"/>
      <c r="Y286" s="35"/>
      <c r="Z286" s="35"/>
      <c r="AA286" s="35"/>
      <c r="AB286" s="35"/>
      <c r="AC286" s="35"/>
      <c r="AD286" s="35"/>
      <c r="AE286" s="35"/>
      <c r="AF286" s="35"/>
      <c r="AG286" s="35"/>
      <c r="AH286" s="35"/>
      <c r="AI286" s="35"/>
      <c r="AJ286" s="35"/>
      <c r="AK286" s="35"/>
      <c r="AL286" s="35"/>
      <c r="AM286" s="35"/>
      <c r="AN286" s="35"/>
      <c r="AO286" s="35"/>
      <c r="AP286" s="35"/>
      <c r="AQ286" s="35"/>
      <c r="AR286" s="35"/>
      <c r="AS286" s="35"/>
      <c r="AT286" s="35"/>
      <c r="AU286" s="35"/>
      <c r="AV286" s="35"/>
      <c r="AW286" s="35"/>
      <c r="AX286" s="35"/>
      <c r="AY286" s="35"/>
      <c r="AZ286" s="35"/>
      <c r="BA286" s="35"/>
      <c r="BB286" s="35"/>
      <c r="BC286" s="35"/>
      <c r="BD286" s="35"/>
      <c r="BE286" s="35"/>
      <c r="BF286" s="35"/>
      <c r="BG286" s="35"/>
      <c r="BH286" s="35"/>
      <c r="BI286" s="35"/>
      <c r="BJ286" s="35"/>
      <c r="BK286" s="35"/>
      <c r="BL286" s="35"/>
    </row>
    <row r="287" spans="1:64" ht="14">
      <c r="A287" s="35"/>
      <c r="B287" s="36"/>
      <c r="C287" s="39"/>
      <c r="D287" s="78"/>
      <c r="E287" s="78"/>
      <c r="F287" s="78"/>
      <c r="G287" s="229"/>
      <c r="H287" s="229"/>
      <c r="I287" s="40"/>
      <c r="J287" s="43" t="str">
        <f t="shared" si="8"/>
        <v/>
      </c>
      <c r="K287" s="79" t="str">
        <f t="shared" si="9"/>
        <v/>
      </c>
      <c r="L287" s="39"/>
      <c r="M287" s="35"/>
      <c r="N287" s="35"/>
      <c r="O287" s="35"/>
      <c r="P287" s="35"/>
      <c r="Q287" s="35"/>
      <c r="R287" s="35"/>
      <c r="S287" s="35"/>
      <c r="T287" s="35"/>
      <c r="U287" s="35"/>
      <c r="V287" s="35"/>
      <c r="W287" s="35"/>
      <c r="X287" s="35"/>
      <c r="Y287" s="35"/>
      <c r="Z287" s="35"/>
      <c r="AA287" s="35"/>
      <c r="AB287" s="35"/>
      <c r="AC287" s="35"/>
      <c r="AD287" s="35"/>
      <c r="AE287" s="35"/>
      <c r="AF287" s="35"/>
      <c r="AG287" s="35"/>
      <c r="AH287" s="35"/>
      <c r="AI287" s="35"/>
      <c r="AJ287" s="35"/>
      <c r="AK287" s="35"/>
      <c r="AL287" s="35"/>
      <c r="AM287" s="35"/>
      <c r="AN287" s="35"/>
      <c r="AO287" s="35"/>
      <c r="AP287" s="35"/>
      <c r="AQ287" s="35"/>
      <c r="AR287" s="35"/>
      <c r="AS287" s="35"/>
      <c r="AT287" s="35"/>
      <c r="AU287" s="35"/>
      <c r="AV287" s="35"/>
      <c r="AW287" s="35"/>
      <c r="AX287" s="35"/>
      <c r="AY287" s="35"/>
      <c r="AZ287" s="35"/>
      <c r="BA287" s="35"/>
      <c r="BB287" s="35"/>
      <c r="BC287" s="35"/>
      <c r="BD287" s="35"/>
      <c r="BE287" s="35"/>
      <c r="BF287" s="35"/>
      <c r="BG287" s="35"/>
      <c r="BH287" s="35"/>
      <c r="BI287" s="35"/>
      <c r="BJ287" s="35"/>
      <c r="BK287" s="35"/>
      <c r="BL287" s="35"/>
    </row>
    <row r="288" spans="1:64" ht="14">
      <c r="A288" s="35"/>
      <c r="B288" s="36"/>
      <c r="C288" s="39"/>
      <c r="D288" s="78"/>
      <c r="E288" s="78"/>
      <c r="F288" s="78"/>
      <c r="G288" s="229"/>
      <c r="H288" s="229"/>
      <c r="I288" s="40"/>
      <c r="J288" s="43" t="str">
        <f t="shared" si="8"/>
        <v/>
      </c>
      <c r="K288" s="79" t="str">
        <f t="shared" si="9"/>
        <v/>
      </c>
      <c r="L288" s="39"/>
      <c r="M288" s="35"/>
      <c r="N288" s="35"/>
      <c r="O288" s="35"/>
      <c r="P288" s="35"/>
      <c r="Q288" s="35"/>
      <c r="R288" s="35"/>
      <c r="S288" s="35"/>
      <c r="T288" s="35"/>
      <c r="U288" s="35"/>
      <c r="V288" s="35"/>
      <c r="W288" s="35"/>
      <c r="X288" s="35"/>
      <c r="Y288" s="35"/>
      <c r="Z288" s="35"/>
      <c r="AA288" s="35"/>
      <c r="AB288" s="35"/>
      <c r="AC288" s="35"/>
      <c r="AD288" s="35"/>
      <c r="AE288" s="35"/>
      <c r="AF288" s="35"/>
      <c r="AG288" s="35"/>
      <c r="AH288" s="35"/>
      <c r="AI288" s="35"/>
      <c r="AJ288" s="35"/>
      <c r="AK288" s="35"/>
      <c r="AL288" s="35"/>
      <c r="AM288" s="35"/>
      <c r="AN288" s="35"/>
      <c r="AO288" s="35"/>
      <c r="AP288" s="35"/>
      <c r="AQ288" s="35"/>
      <c r="AR288" s="35"/>
      <c r="AS288" s="35"/>
      <c r="AT288" s="35"/>
      <c r="AU288" s="35"/>
      <c r="AV288" s="35"/>
      <c r="AW288" s="35"/>
      <c r="AX288" s="35"/>
      <c r="AY288" s="35"/>
      <c r="AZ288" s="35"/>
      <c r="BA288" s="35"/>
      <c r="BB288" s="35"/>
      <c r="BC288" s="35"/>
      <c r="BD288" s="35"/>
      <c r="BE288" s="35"/>
      <c r="BF288" s="35"/>
      <c r="BG288" s="35"/>
      <c r="BH288" s="35"/>
      <c r="BI288" s="35"/>
      <c r="BJ288" s="35"/>
      <c r="BK288" s="35"/>
      <c r="BL288" s="35"/>
    </row>
    <row r="289" spans="1:64" ht="14">
      <c r="A289" s="35"/>
      <c r="B289" s="36"/>
      <c r="C289" s="39"/>
      <c r="D289" s="78"/>
      <c r="E289" s="78"/>
      <c r="F289" s="78"/>
      <c r="G289" s="229"/>
      <c r="H289" s="229"/>
      <c r="I289" s="40"/>
      <c r="J289" s="43" t="str">
        <f t="shared" si="8"/>
        <v/>
      </c>
      <c r="K289" s="79" t="str">
        <f t="shared" si="9"/>
        <v/>
      </c>
      <c r="L289" s="39"/>
      <c r="M289" s="35"/>
      <c r="N289" s="35"/>
      <c r="O289" s="35"/>
      <c r="P289" s="35"/>
      <c r="Q289" s="35"/>
      <c r="R289" s="35"/>
      <c r="S289" s="35"/>
      <c r="T289" s="35"/>
      <c r="U289" s="35"/>
      <c r="V289" s="35"/>
      <c r="W289" s="35"/>
      <c r="X289" s="35"/>
      <c r="Y289" s="35"/>
      <c r="Z289" s="35"/>
      <c r="AA289" s="35"/>
      <c r="AB289" s="35"/>
      <c r="AC289" s="35"/>
      <c r="AD289" s="35"/>
      <c r="AE289" s="35"/>
      <c r="AF289" s="35"/>
      <c r="AG289" s="35"/>
      <c r="AH289" s="35"/>
      <c r="AI289" s="35"/>
      <c r="AJ289" s="35"/>
      <c r="AK289" s="35"/>
      <c r="AL289" s="35"/>
      <c r="AM289" s="35"/>
      <c r="AN289" s="35"/>
      <c r="AO289" s="35"/>
      <c r="AP289" s="35"/>
      <c r="AQ289" s="35"/>
      <c r="AR289" s="35"/>
      <c r="AS289" s="35"/>
      <c r="AT289" s="35"/>
      <c r="AU289" s="35"/>
      <c r="AV289" s="35"/>
      <c r="AW289" s="35"/>
      <c r="AX289" s="35"/>
      <c r="AY289" s="35"/>
      <c r="AZ289" s="35"/>
      <c r="BA289" s="35"/>
      <c r="BB289" s="35"/>
      <c r="BC289" s="35"/>
      <c r="BD289" s="35"/>
      <c r="BE289" s="35"/>
      <c r="BF289" s="35"/>
      <c r="BG289" s="35"/>
      <c r="BH289" s="35"/>
      <c r="BI289" s="35"/>
      <c r="BJ289" s="35"/>
      <c r="BK289" s="35"/>
      <c r="BL289" s="35"/>
    </row>
    <row r="290" spans="1:64" ht="14">
      <c r="A290" s="35"/>
      <c r="B290" s="36"/>
      <c r="C290" s="39"/>
      <c r="D290" s="78"/>
      <c r="E290" s="78"/>
      <c r="F290" s="78"/>
      <c r="G290" s="229"/>
      <c r="H290" s="229"/>
      <c r="I290" s="40"/>
      <c r="J290" s="43" t="str">
        <f t="shared" si="8"/>
        <v/>
      </c>
      <c r="K290" s="79" t="str">
        <f t="shared" si="9"/>
        <v/>
      </c>
      <c r="L290" s="39"/>
      <c r="M290" s="35"/>
      <c r="N290" s="35"/>
      <c r="O290" s="35"/>
      <c r="P290" s="35"/>
      <c r="Q290" s="35"/>
      <c r="R290" s="35"/>
      <c r="S290" s="35"/>
      <c r="T290" s="35"/>
      <c r="U290" s="35"/>
      <c r="V290" s="35"/>
      <c r="W290" s="35"/>
      <c r="X290" s="35"/>
      <c r="Y290" s="35"/>
      <c r="Z290" s="35"/>
      <c r="AA290" s="35"/>
      <c r="AB290" s="35"/>
      <c r="AC290" s="35"/>
      <c r="AD290" s="35"/>
      <c r="AE290" s="35"/>
      <c r="AF290" s="35"/>
      <c r="AG290" s="35"/>
      <c r="AH290" s="35"/>
      <c r="AI290" s="35"/>
      <c r="AJ290" s="35"/>
      <c r="AK290" s="35"/>
      <c r="AL290" s="35"/>
      <c r="AM290" s="35"/>
      <c r="AN290" s="35"/>
      <c r="AO290" s="35"/>
      <c r="AP290" s="35"/>
      <c r="AQ290" s="35"/>
      <c r="AR290" s="35"/>
      <c r="AS290" s="35"/>
      <c r="AT290" s="35"/>
      <c r="AU290" s="35"/>
      <c r="AV290" s="35"/>
      <c r="AW290" s="35"/>
      <c r="AX290" s="35"/>
      <c r="AY290" s="35"/>
      <c r="AZ290" s="35"/>
      <c r="BA290" s="35"/>
      <c r="BB290" s="35"/>
      <c r="BC290" s="35"/>
      <c r="BD290" s="35"/>
      <c r="BE290" s="35"/>
      <c r="BF290" s="35"/>
      <c r="BG290" s="35"/>
      <c r="BH290" s="35"/>
      <c r="BI290" s="35"/>
      <c r="BJ290" s="35"/>
      <c r="BK290" s="35"/>
      <c r="BL290" s="35"/>
    </row>
    <row r="291" spans="1:64" ht="14">
      <c r="A291" s="35"/>
      <c r="B291" s="36"/>
      <c r="C291" s="39"/>
      <c r="D291" s="78"/>
      <c r="E291" s="78"/>
      <c r="F291" s="78"/>
      <c r="G291" s="229"/>
      <c r="H291" s="229"/>
      <c r="I291" s="40"/>
      <c r="J291" s="43" t="str">
        <f t="shared" si="8"/>
        <v/>
      </c>
      <c r="K291" s="79" t="str">
        <f t="shared" si="9"/>
        <v/>
      </c>
      <c r="L291" s="39"/>
      <c r="M291" s="35"/>
      <c r="N291" s="35"/>
      <c r="O291" s="35"/>
      <c r="P291" s="35"/>
      <c r="Q291" s="35"/>
      <c r="R291" s="35"/>
      <c r="S291" s="35"/>
      <c r="T291" s="35"/>
      <c r="U291" s="35"/>
      <c r="V291" s="35"/>
      <c r="W291" s="35"/>
      <c r="X291" s="35"/>
      <c r="Y291" s="35"/>
      <c r="Z291" s="35"/>
      <c r="AA291" s="35"/>
      <c r="AB291" s="35"/>
      <c r="AC291" s="35"/>
      <c r="AD291" s="35"/>
      <c r="AE291" s="35"/>
      <c r="AF291" s="35"/>
      <c r="AG291" s="35"/>
      <c r="AH291" s="35"/>
      <c r="AI291" s="35"/>
      <c r="AJ291" s="35"/>
      <c r="AK291" s="35"/>
      <c r="AL291" s="35"/>
      <c r="AM291" s="35"/>
      <c r="AN291" s="35"/>
      <c r="AO291" s="35"/>
      <c r="AP291" s="35"/>
      <c r="AQ291" s="35"/>
      <c r="AR291" s="35"/>
      <c r="AS291" s="35"/>
      <c r="AT291" s="35"/>
      <c r="AU291" s="35"/>
      <c r="AV291" s="35"/>
      <c r="AW291" s="35"/>
      <c r="AX291" s="35"/>
      <c r="AY291" s="35"/>
      <c r="AZ291" s="35"/>
      <c r="BA291" s="35"/>
      <c r="BB291" s="35"/>
      <c r="BC291" s="35"/>
      <c r="BD291" s="35"/>
      <c r="BE291" s="35"/>
      <c r="BF291" s="35"/>
      <c r="BG291" s="35"/>
      <c r="BH291" s="35"/>
      <c r="BI291" s="35"/>
      <c r="BJ291" s="35"/>
      <c r="BK291" s="35"/>
      <c r="BL291" s="35"/>
    </row>
    <row r="292" spans="1:64" ht="14">
      <c r="A292" s="35"/>
      <c r="B292" s="36"/>
      <c r="C292" s="39"/>
      <c r="D292" s="78"/>
      <c r="E292" s="78"/>
      <c r="F292" s="78"/>
      <c r="G292" s="229"/>
      <c r="H292" s="229"/>
      <c r="I292" s="40"/>
      <c r="J292" s="43" t="str">
        <f t="shared" si="8"/>
        <v/>
      </c>
      <c r="K292" s="79" t="str">
        <f t="shared" si="9"/>
        <v/>
      </c>
      <c r="L292" s="39"/>
      <c r="M292" s="35"/>
      <c r="N292" s="35"/>
      <c r="O292" s="35"/>
      <c r="P292" s="35"/>
      <c r="Q292" s="35"/>
      <c r="R292" s="35"/>
      <c r="S292" s="35"/>
      <c r="T292" s="35"/>
      <c r="U292" s="35"/>
      <c r="V292" s="35"/>
      <c r="W292" s="35"/>
      <c r="X292" s="35"/>
      <c r="Y292" s="35"/>
      <c r="Z292" s="35"/>
      <c r="AA292" s="35"/>
      <c r="AB292" s="35"/>
      <c r="AC292" s="35"/>
      <c r="AD292" s="35"/>
      <c r="AE292" s="35"/>
      <c r="AF292" s="35"/>
      <c r="AG292" s="35"/>
      <c r="AH292" s="35"/>
      <c r="AI292" s="35"/>
      <c r="AJ292" s="35"/>
      <c r="AK292" s="35"/>
      <c r="AL292" s="35"/>
      <c r="AM292" s="35"/>
      <c r="AN292" s="35"/>
      <c r="AO292" s="35"/>
      <c r="AP292" s="35"/>
      <c r="AQ292" s="35"/>
      <c r="AR292" s="35"/>
      <c r="AS292" s="35"/>
      <c r="AT292" s="35"/>
      <c r="AU292" s="35"/>
      <c r="AV292" s="35"/>
      <c r="AW292" s="35"/>
      <c r="AX292" s="35"/>
      <c r="AY292" s="35"/>
      <c r="AZ292" s="35"/>
      <c r="BA292" s="35"/>
      <c r="BB292" s="35"/>
      <c r="BC292" s="35"/>
      <c r="BD292" s="35"/>
      <c r="BE292" s="35"/>
      <c r="BF292" s="35"/>
      <c r="BG292" s="35"/>
      <c r="BH292" s="35"/>
      <c r="BI292" s="35"/>
      <c r="BJ292" s="35"/>
      <c r="BK292" s="35"/>
      <c r="BL292" s="35"/>
    </row>
    <row r="293" spans="1:64" ht="14">
      <c r="A293" s="35"/>
      <c r="B293" s="36"/>
      <c r="C293" s="39"/>
      <c r="D293" s="78"/>
      <c r="E293" s="78"/>
      <c r="F293" s="78"/>
      <c r="G293" s="229"/>
      <c r="H293" s="229"/>
      <c r="I293" s="40"/>
      <c r="J293" s="43" t="str">
        <f t="shared" si="8"/>
        <v/>
      </c>
      <c r="K293" s="79" t="str">
        <f t="shared" si="9"/>
        <v/>
      </c>
      <c r="L293" s="39"/>
      <c r="M293" s="35"/>
      <c r="N293" s="35"/>
      <c r="O293" s="35"/>
      <c r="P293" s="35"/>
      <c r="Q293" s="35"/>
      <c r="R293" s="35"/>
      <c r="S293" s="35"/>
      <c r="T293" s="35"/>
      <c r="U293" s="35"/>
      <c r="V293" s="35"/>
      <c r="W293" s="35"/>
      <c r="X293" s="35"/>
      <c r="Y293" s="35"/>
      <c r="Z293" s="35"/>
      <c r="AA293" s="35"/>
      <c r="AB293" s="35"/>
      <c r="AC293" s="35"/>
      <c r="AD293" s="35"/>
      <c r="AE293" s="35"/>
      <c r="AF293" s="35"/>
      <c r="AG293" s="35"/>
      <c r="AH293" s="35"/>
      <c r="AI293" s="35"/>
      <c r="AJ293" s="35"/>
      <c r="AK293" s="35"/>
      <c r="AL293" s="35"/>
      <c r="AM293" s="35"/>
      <c r="AN293" s="35"/>
      <c r="AO293" s="35"/>
      <c r="AP293" s="35"/>
      <c r="AQ293" s="35"/>
      <c r="AR293" s="35"/>
      <c r="AS293" s="35"/>
      <c r="AT293" s="35"/>
      <c r="AU293" s="35"/>
      <c r="AV293" s="35"/>
      <c r="AW293" s="35"/>
      <c r="AX293" s="35"/>
      <c r="AY293" s="35"/>
      <c r="AZ293" s="35"/>
      <c r="BA293" s="35"/>
      <c r="BB293" s="35"/>
      <c r="BC293" s="35"/>
      <c r="BD293" s="35"/>
      <c r="BE293" s="35"/>
      <c r="BF293" s="35"/>
      <c r="BG293" s="35"/>
      <c r="BH293" s="35"/>
      <c r="BI293" s="35"/>
      <c r="BJ293" s="35"/>
      <c r="BK293" s="35"/>
      <c r="BL293" s="35"/>
    </row>
    <row r="294" spans="1:64" ht="14">
      <c r="A294" s="35"/>
      <c r="B294" s="36"/>
      <c r="C294" s="39"/>
      <c r="D294" s="78"/>
      <c r="E294" s="78"/>
      <c r="F294" s="78"/>
      <c r="G294" s="229"/>
      <c r="H294" s="229"/>
      <c r="I294" s="40"/>
      <c r="J294" s="43" t="str">
        <f t="shared" si="8"/>
        <v/>
      </c>
      <c r="K294" s="79" t="str">
        <f t="shared" si="9"/>
        <v/>
      </c>
      <c r="L294" s="39"/>
      <c r="M294" s="35"/>
      <c r="N294" s="35"/>
      <c r="O294" s="35"/>
      <c r="P294" s="35"/>
      <c r="Q294" s="35"/>
      <c r="R294" s="35"/>
      <c r="S294" s="35"/>
      <c r="T294" s="35"/>
      <c r="U294" s="35"/>
      <c r="V294" s="35"/>
      <c r="W294" s="35"/>
      <c r="X294" s="35"/>
      <c r="Y294" s="35"/>
      <c r="Z294" s="35"/>
      <c r="AA294" s="35"/>
      <c r="AB294" s="35"/>
      <c r="AC294" s="35"/>
      <c r="AD294" s="35"/>
      <c r="AE294" s="35"/>
      <c r="AF294" s="35"/>
      <c r="AG294" s="35"/>
      <c r="AH294" s="35"/>
      <c r="AI294" s="35"/>
      <c r="AJ294" s="35"/>
      <c r="AK294" s="35"/>
      <c r="AL294" s="35"/>
      <c r="AM294" s="35"/>
      <c r="AN294" s="35"/>
      <c r="AO294" s="35"/>
      <c r="AP294" s="35"/>
      <c r="AQ294" s="35"/>
      <c r="AR294" s="35"/>
      <c r="AS294" s="35"/>
      <c r="AT294" s="35"/>
      <c r="AU294" s="35"/>
      <c r="AV294" s="35"/>
      <c r="AW294" s="35"/>
      <c r="AX294" s="35"/>
      <c r="AY294" s="35"/>
      <c r="AZ294" s="35"/>
      <c r="BA294" s="35"/>
      <c r="BB294" s="35"/>
      <c r="BC294" s="35"/>
      <c r="BD294" s="35"/>
      <c r="BE294" s="35"/>
      <c r="BF294" s="35"/>
      <c r="BG294" s="35"/>
      <c r="BH294" s="35"/>
      <c r="BI294" s="35"/>
      <c r="BJ294" s="35"/>
      <c r="BK294" s="35"/>
      <c r="BL294" s="35"/>
    </row>
    <row r="295" spans="1:64" ht="14">
      <c r="A295" s="35"/>
      <c r="B295" s="36"/>
      <c r="C295" s="39"/>
      <c r="D295" s="78"/>
      <c r="E295" s="78"/>
      <c r="F295" s="78"/>
      <c r="G295" s="229"/>
      <c r="H295" s="229"/>
      <c r="I295" s="40"/>
      <c r="J295" s="43" t="str">
        <f t="shared" si="8"/>
        <v/>
      </c>
      <c r="K295" s="79" t="str">
        <f t="shared" si="9"/>
        <v/>
      </c>
      <c r="L295" s="39"/>
      <c r="M295" s="35"/>
      <c r="N295" s="35"/>
      <c r="O295" s="35"/>
      <c r="P295" s="35"/>
      <c r="Q295" s="35"/>
      <c r="R295" s="35"/>
      <c r="S295" s="35"/>
      <c r="T295" s="35"/>
      <c r="U295" s="35"/>
      <c r="V295" s="35"/>
      <c r="W295" s="35"/>
      <c r="X295" s="35"/>
      <c r="Y295" s="35"/>
      <c r="Z295" s="35"/>
      <c r="AA295" s="35"/>
      <c r="AB295" s="35"/>
      <c r="AC295" s="35"/>
      <c r="AD295" s="35"/>
      <c r="AE295" s="35"/>
      <c r="AF295" s="35"/>
      <c r="AG295" s="35"/>
      <c r="AH295" s="35"/>
      <c r="AI295" s="35"/>
      <c r="AJ295" s="35"/>
      <c r="AK295" s="35"/>
      <c r="AL295" s="35"/>
      <c r="AM295" s="35"/>
      <c r="AN295" s="35"/>
      <c r="AO295" s="35"/>
      <c r="AP295" s="35"/>
      <c r="AQ295" s="35"/>
      <c r="AR295" s="35"/>
      <c r="AS295" s="35"/>
      <c r="AT295" s="35"/>
      <c r="AU295" s="35"/>
      <c r="AV295" s="35"/>
      <c r="AW295" s="35"/>
      <c r="AX295" s="35"/>
      <c r="AY295" s="35"/>
      <c r="AZ295" s="35"/>
      <c r="BA295" s="35"/>
      <c r="BB295" s="35"/>
      <c r="BC295" s="35"/>
      <c r="BD295" s="35"/>
      <c r="BE295" s="35"/>
      <c r="BF295" s="35"/>
      <c r="BG295" s="35"/>
      <c r="BH295" s="35"/>
      <c r="BI295" s="35"/>
      <c r="BJ295" s="35"/>
      <c r="BK295" s="35"/>
      <c r="BL295" s="35"/>
    </row>
    <row r="296" spans="1:64" ht="14">
      <c r="A296" s="35"/>
      <c r="B296" s="36"/>
      <c r="C296" s="39"/>
      <c r="D296" s="78"/>
      <c r="E296" s="78"/>
      <c r="F296" s="78"/>
      <c r="G296" s="229"/>
      <c r="H296" s="229"/>
      <c r="I296" s="40"/>
      <c r="J296" s="43" t="str">
        <f t="shared" si="8"/>
        <v/>
      </c>
      <c r="K296" s="79" t="str">
        <f t="shared" si="9"/>
        <v/>
      </c>
      <c r="L296" s="39"/>
      <c r="M296" s="35"/>
      <c r="N296" s="35"/>
      <c r="O296" s="35"/>
      <c r="P296" s="35"/>
      <c r="Q296" s="35"/>
      <c r="R296" s="35"/>
      <c r="S296" s="35"/>
      <c r="T296" s="35"/>
      <c r="U296" s="35"/>
      <c r="V296" s="35"/>
      <c r="W296" s="35"/>
      <c r="X296" s="35"/>
      <c r="Y296" s="35"/>
      <c r="Z296" s="35"/>
      <c r="AA296" s="35"/>
      <c r="AB296" s="35"/>
      <c r="AC296" s="35"/>
      <c r="AD296" s="35"/>
      <c r="AE296" s="35"/>
      <c r="AF296" s="35"/>
      <c r="AG296" s="35"/>
      <c r="AH296" s="35"/>
      <c r="AI296" s="35"/>
      <c r="AJ296" s="35"/>
      <c r="AK296" s="35"/>
      <c r="AL296" s="35"/>
      <c r="AM296" s="35"/>
      <c r="AN296" s="35"/>
      <c r="AO296" s="35"/>
      <c r="AP296" s="35"/>
      <c r="AQ296" s="35"/>
      <c r="AR296" s="35"/>
      <c r="AS296" s="35"/>
      <c r="AT296" s="35"/>
      <c r="AU296" s="35"/>
      <c r="AV296" s="35"/>
      <c r="AW296" s="35"/>
      <c r="AX296" s="35"/>
      <c r="AY296" s="35"/>
      <c r="AZ296" s="35"/>
      <c r="BA296" s="35"/>
      <c r="BB296" s="35"/>
      <c r="BC296" s="35"/>
      <c r="BD296" s="35"/>
      <c r="BE296" s="35"/>
      <c r="BF296" s="35"/>
      <c r="BG296" s="35"/>
      <c r="BH296" s="35"/>
      <c r="BI296" s="35"/>
      <c r="BJ296" s="35"/>
      <c r="BK296" s="35"/>
      <c r="BL296" s="35"/>
    </row>
    <row r="297" spans="1:64" ht="14">
      <c r="A297" s="35"/>
      <c r="B297" s="36"/>
      <c r="C297" s="39"/>
      <c r="D297" s="78"/>
      <c r="E297" s="78"/>
      <c r="F297" s="78"/>
      <c r="G297" s="229"/>
      <c r="H297" s="229"/>
      <c r="I297" s="40"/>
      <c r="J297" s="43" t="str">
        <f t="shared" si="8"/>
        <v/>
      </c>
      <c r="K297" s="79" t="str">
        <f t="shared" si="9"/>
        <v/>
      </c>
      <c r="L297" s="39"/>
      <c r="M297" s="35"/>
      <c r="N297" s="35"/>
      <c r="O297" s="35"/>
      <c r="P297" s="35"/>
      <c r="Q297" s="35"/>
      <c r="R297" s="35"/>
      <c r="S297" s="35"/>
      <c r="T297" s="35"/>
      <c r="U297" s="35"/>
      <c r="V297" s="35"/>
      <c r="W297" s="35"/>
      <c r="X297" s="35"/>
      <c r="Y297" s="35"/>
      <c r="Z297" s="35"/>
      <c r="AA297" s="35"/>
      <c r="AB297" s="35"/>
      <c r="AC297" s="35"/>
      <c r="AD297" s="35"/>
      <c r="AE297" s="35"/>
      <c r="AF297" s="35"/>
      <c r="AG297" s="35"/>
      <c r="AH297" s="35"/>
      <c r="AI297" s="35"/>
      <c r="AJ297" s="35"/>
      <c r="AK297" s="35"/>
      <c r="AL297" s="35"/>
      <c r="AM297" s="35"/>
      <c r="AN297" s="35"/>
      <c r="AO297" s="35"/>
      <c r="AP297" s="35"/>
      <c r="AQ297" s="35"/>
      <c r="AR297" s="35"/>
      <c r="AS297" s="35"/>
      <c r="AT297" s="35"/>
      <c r="AU297" s="35"/>
      <c r="AV297" s="35"/>
      <c r="AW297" s="35"/>
      <c r="AX297" s="35"/>
      <c r="AY297" s="35"/>
      <c r="AZ297" s="35"/>
      <c r="BA297" s="35"/>
      <c r="BB297" s="35"/>
      <c r="BC297" s="35"/>
      <c r="BD297" s="35"/>
      <c r="BE297" s="35"/>
      <c r="BF297" s="35"/>
      <c r="BG297" s="35"/>
      <c r="BH297" s="35"/>
      <c r="BI297" s="35"/>
      <c r="BJ297" s="35"/>
      <c r="BK297" s="35"/>
      <c r="BL297" s="35"/>
    </row>
    <row r="298" spans="1:64" ht="14">
      <c r="A298" s="35"/>
      <c r="B298" s="36"/>
      <c r="C298" s="39"/>
      <c r="D298" s="78"/>
      <c r="E298" s="78"/>
      <c r="F298" s="78"/>
      <c r="G298" s="229"/>
      <c r="H298" s="229"/>
      <c r="I298" s="40"/>
      <c r="J298" s="43" t="str">
        <f t="shared" si="8"/>
        <v/>
      </c>
      <c r="K298" s="79" t="str">
        <f t="shared" si="9"/>
        <v/>
      </c>
      <c r="L298" s="39"/>
      <c r="M298" s="35"/>
      <c r="N298" s="35"/>
      <c r="O298" s="35"/>
      <c r="P298" s="35"/>
      <c r="Q298" s="35"/>
      <c r="R298" s="35"/>
      <c r="S298" s="35"/>
      <c r="T298" s="35"/>
      <c r="U298" s="35"/>
      <c r="V298" s="35"/>
      <c r="W298" s="35"/>
      <c r="X298" s="35"/>
      <c r="Y298" s="35"/>
      <c r="Z298" s="35"/>
      <c r="AA298" s="35"/>
      <c r="AB298" s="35"/>
      <c r="AC298" s="35"/>
      <c r="AD298" s="35"/>
      <c r="AE298" s="35"/>
      <c r="AF298" s="35"/>
      <c r="AG298" s="35"/>
      <c r="AH298" s="35"/>
      <c r="AI298" s="35"/>
      <c r="AJ298" s="35"/>
      <c r="AK298" s="35"/>
      <c r="AL298" s="35"/>
      <c r="AM298" s="35"/>
      <c r="AN298" s="35"/>
      <c r="AO298" s="35"/>
      <c r="AP298" s="35"/>
      <c r="AQ298" s="35"/>
      <c r="AR298" s="35"/>
      <c r="AS298" s="35"/>
      <c r="AT298" s="35"/>
      <c r="AU298" s="35"/>
      <c r="AV298" s="35"/>
      <c r="AW298" s="35"/>
      <c r="AX298" s="35"/>
      <c r="AY298" s="35"/>
      <c r="AZ298" s="35"/>
      <c r="BA298" s="35"/>
      <c r="BB298" s="35"/>
      <c r="BC298" s="35"/>
      <c r="BD298" s="35"/>
      <c r="BE298" s="35"/>
      <c r="BF298" s="35"/>
      <c r="BG298" s="35"/>
      <c r="BH298" s="35"/>
      <c r="BI298" s="35"/>
      <c r="BJ298" s="35"/>
      <c r="BK298" s="35"/>
      <c r="BL298" s="35"/>
    </row>
    <row r="299" spans="1:64" ht="14">
      <c r="A299" s="35"/>
      <c r="B299" s="36"/>
      <c r="C299" s="39"/>
      <c r="D299" s="78"/>
      <c r="E299" s="78"/>
      <c r="F299" s="78"/>
      <c r="G299" s="229"/>
      <c r="H299" s="229"/>
      <c r="I299" s="40"/>
      <c r="J299" s="43" t="str">
        <f t="shared" si="8"/>
        <v/>
      </c>
      <c r="K299" s="79" t="str">
        <f t="shared" si="9"/>
        <v/>
      </c>
      <c r="L299" s="39"/>
      <c r="M299" s="35"/>
      <c r="N299" s="35"/>
      <c r="O299" s="35"/>
      <c r="P299" s="35"/>
      <c r="Q299" s="35"/>
      <c r="R299" s="35"/>
      <c r="S299" s="35"/>
      <c r="T299" s="35"/>
      <c r="U299" s="35"/>
      <c r="V299" s="35"/>
      <c r="W299" s="35"/>
      <c r="X299" s="35"/>
      <c r="Y299" s="35"/>
      <c r="Z299" s="35"/>
      <c r="AA299" s="35"/>
      <c r="AB299" s="35"/>
      <c r="AC299" s="35"/>
      <c r="AD299" s="35"/>
      <c r="AE299" s="35"/>
      <c r="AF299" s="35"/>
      <c r="AG299" s="35"/>
      <c r="AH299" s="35"/>
      <c r="AI299" s="35"/>
      <c r="AJ299" s="35"/>
      <c r="AK299" s="35"/>
      <c r="AL299" s="35"/>
      <c r="AM299" s="35"/>
      <c r="AN299" s="35"/>
      <c r="AO299" s="35"/>
      <c r="AP299" s="35"/>
      <c r="AQ299" s="35"/>
      <c r="AR299" s="35"/>
      <c r="AS299" s="35"/>
      <c r="AT299" s="35"/>
      <c r="AU299" s="35"/>
      <c r="AV299" s="35"/>
      <c r="AW299" s="35"/>
      <c r="AX299" s="35"/>
      <c r="AY299" s="35"/>
      <c r="AZ299" s="35"/>
      <c r="BA299" s="35"/>
      <c r="BB299" s="35"/>
      <c r="BC299" s="35"/>
      <c r="BD299" s="35"/>
      <c r="BE299" s="35"/>
      <c r="BF299" s="35"/>
      <c r="BG299" s="35"/>
      <c r="BH299" s="35"/>
      <c r="BI299" s="35"/>
      <c r="BJ299" s="35"/>
      <c r="BK299" s="35"/>
      <c r="BL299" s="35"/>
    </row>
    <row r="300" spans="1:64" ht="14">
      <c r="A300" s="35"/>
      <c r="B300" s="36"/>
      <c r="C300" s="39"/>
      <c r="D300" s="78"/>
      <c r="E300" s="78"/>
      <c r="F300" s="78"/>
      <c r="G300" s="229"/>
      <c r="H300" s="229"/>
      <c r="I300" s="40"/>
      <c r="J300" s="43" t="str">
        <f t="shared" si="8"/>
        <v/>
      </c>
      <c r="K300" s="79" t="str">
        <f t="shared" si="9"/>
        <v/>
      </c>
      <c r="L300" s="39"/>
      <c r="M300" s="35"/>
      <c r="N300" s="35"/>
      <c r="O300" s="35"/>
      <c r="P300" s="35"/>
      <c r="Q300" s="35"/>
      <c r="R300" s="35"/>
      <c r="S300" s="35"/>
      <c r="T300" s="35"/>
      <c r="U300" s="35"/>
      <c r="V300" s="35"/>
      <c r="W300" s="35"/>
      <c r="X300" s="35"/>
      <c r="Y300" s="35"/>
      <c r="Z300" s="35"/>
      <c r="AA300" s="35"/>
      <c r="AB300" s="35"/>
      <c r="AC300" s="35"/>
      <c r="AD300" s="35"/>
      <c r="AE300" s="35"/>
      <c r="AF300" s="35"/>
      <c r="AG300" s="35"/>
      <c r="AH300" s="35"/>
      <c r="AI300" s="35"/>
      <c r="AJ300" s="35"/>
      <c r="AK300" s="35"/>
      <c r="AL300" s="35"/>
      <c r="AM300" s="35"/>
      <c r="AN300" s="35"/>
      <c r="AO300" s="35"/>
      <c r="AP300" s="35"/>
      <c r="AQ300" s="35"/>
      <c r="AR300" s="35"/>
      <c r="AS300" s="35"/>
      <c r="AT300" s="35"/>
      <c r="AU300" s="35"/>
      <c r="AV300" s="35"/>
      <c r="AW300" s="35"/>
      <c r="AX300" s="35"/>
      <c r="AY300" s="35"/>
      <c r="AZ300" s="35"/>
      <c r="BA300" s="35"/>
      <c r="BB300" s="35"/>
      <c r="BC300" s="35"/>
      <c r="BD300" s="35"/>
      <c r="BE300" s="35"/>
      <c r="BF300" s="35"/>
      <c r="BG300" s="35"/>
      <c r="BH300" s="35"/>
      <c r="BI300" s="35"/>
      <c r="BJ300" s="35"/>
      <c r="BK300" s="35"/>
      <c r="BL300" s="35"/>
    </row>
    <row r="301" spans="1:64" ht="14">
      <c r="A301" s="35"/>
      <c r="B301" s="36"/>
      <c r="C301" s="39"/>
      <c r="D301" s="78"/>
      <c r="E301" s="78"/>
      <c r="F301" s="78"/>
      <c r="G301" s="229"/>
      <c r="H301" s="229"/>
      <c r="I301" s="40"/>
      <c r="J301" s="43" t="str">
        <f t="shared" si="8"/>
        <v/>
      </c>
      <c r="K301" s="79" t="str">
        <f t="shared" si="9"/>
        <v/>
      </c>
      <c r="L301" s="39"/>
      <c r="M301" s="35"/>
      <c r="N301" s="35"/>
      <c r="O301" s="35"/>
      <c r="P301" s="35"/>
      <c r="Q301" s="35"/>
      <c r="R301" s="35"/>
      <c r="S301" s="35"/>
      <c r="T301" s="35"/>
      <c r="U301" s="35"/>
      <c r="V301" s="35"/>
      <c r="W301" s="35"/>
      <c r="X301" s="35"/>
      <c r="Y301" s="35"/>
      <c r="Z301" s="35"/>
      <c r="AA301" s="35"/>
      <c r="AB301" s="35"/>
      <c r="AC301" s="35"/>
      <c r="AD301" s="35"/>
      <c r="AE301" s="35"/>
      <c r="AF301" s="35"/>
      <c r="AG301" s="35"/>
      <c r="AH301" s="35"/>
      <c r="AI301" s="35"/>
      <c r="AJ301" s="35"/>
      <c r="AK301" s="35"/>
      <c r="AL301" s="35"/>
      <c r="AM301" s="35"/>
      <c r="AN301" s="35"/>
      <c r="AO301" s="35"/>
      <c r="AP301" s="35"/>
      <c r="AQ301" s="35"/>
      <c r="AR301" s="35"/>
      <c r="AS301" s="35"/>
      <c r="AT301" s="35"/>
      <c r="AU301" s="35"/>
      <c r="AV301" s="35"/>
      <c r="AW301" s="35"/>
      <c r="AX301" s="35"/>
      <c r="AY301" s="35"/>
      <c r="AZ301" s="35"/>
      <c r="BA301" s="35"/>
      <c r="BB301" s="35"/>
      <c r="BC301" s="35"/>
      <c r="BD301" s="35"/>
      <c r="BE301" s="35"/>
      <c r="BF301" s="35"/>
      <c r="BG301" s="35"/>
      <c r="BH301" s="35"/>
      <c r="BI301" s="35"/>
      <c r="BJ301" s="35"/>
      <c r="BK301" s="35"/>
      <c r="BL301" s="35"/>
    </row>
    <row r="302" spans="1:64" ht="14">
      <c r="A302" s="35"/>
      <c r="B302" s="36"/>
      <c r="C302" s="39"/>
      <c r="D302" s="78"/>
      <c r="E302" s="78"/>
      <c r="F302" s="78"/>
      <c r="G302" s="229"/>
      <c r="H302" s="229"/>
      <c r="I302" s="40"/>
      <c r="J302" s="43" t="str">
        <f t="shared" si="8"/>
        <v/>
      </c>
      <c r="K302" s="79" t="str">
        <f t="shared" si="9"/>
        <v/>
      </c>
      <c r="L302" s="39"/>
      <c r="M302" s="35"/>
      <c r="N302" s="35"/>
      <c r="O302" s="35"/>
      <c r="P302" s="35"/>
      <c r="Q302" s="35"/>
      <c r="R302" s="35"/>
      <c r="S302" s="35"/>
      <c r="T302" s="35"/>
      <c r="U302" s="35"/>
      <c r="V302" s="35"/>
      <c r="W302" s="35"/>
      <c r="X302" s="35"/>
      <c r="Y302" s="35"/>
      <c r="Z302" s="35"/>
      <c r="AA302" s="35"/>
      <c r="AB302" s="35"/>
      <c r="AC302" s="35"/>
      <c r="AD302" s="35"/>
      <c r="AE302" s="35"/>
      <c r="AF302" s="35"/>
      <c r="AG302" s="35"/>
      <c r="AH302" s="35"/>
      <c r="AI302" s="35"/>
      <c r="AJ302" s="35"/>
      <c r="AK302" s="35"/>
      <c r="AL302" s="35"/>
      <c r="AM302" s="35"/>
      <c r="AN302" s="35"/>
      <c r="AO302" s="35"/>
      <c r="AP302" s="35"/>
      <c r="AQ302" s="35"/>
      <c r="AR302" s="35"/>
      <c r="AS302" s="35"/>
      <c r="AT302" s="35"/>
      <c r="AU302" s="35"/>
      <c r="AV302" s="35"/>
      <c r="AW302" s="35"/>
      <c r="AX302" s="35"/>
      <c r="AY302" s="35"/>
      <c r="AZ302" s="35"/>
      <c r="BA302" s="35"/>
      <c r="BB302" s="35"/>
      <c r="BC302" s="35"/>
      <c r="BD302" s="35"/>
      <c r="BE302" s="35"/>
      <c r="BF302" s="35"/>
      <c r="BG302" s="35"/>
      <c r="BH302" s="35"/>
      <c r="BI302" s="35"/>
      <c r="BJ302" s="35"/>
      <c r="BK302" s="35"/>
      <c r="BL302" s="35"/>
    </row>
    <row r="303" spans="1:64" ht="14">
      <c r="A303" s="35"/>
      <c r="B303" s="36"/>
      <c r="C303" s="39"/>
      <c r="D303" s="78"/>
      <c r="E303" s="78"/>
      <c r="F303" s="78"/>
      <c r="G303" s="229"/>
      <c r="H303" s="229"/>
      <c r="I303" s="40"/>
      <c r="J303" s="43" t="str">
        <f t="shared" si="8"/>
        <v/>
      </c>
      <c r="K303" s="79" t="str">
        <f t="shared" si="9"/>
        <v/>
      </c>
      <c r="L303" s="39"/>
      <c r="M303" s="35"/>
      <c r="N303" s="35"/>
      <c r="O303" s="35"/>
      <c r="P303" s="35"/>
      <c r="Q303" s="35"/>
      <c r="R303" s="35"/>
      <c r="S303" s="35"/>
      <c r="T303" s="35"/>
      <c r="U303" s="35"/>
      <c r="V303" s="35"/>
      <c r="W303" s="35"/>
      <c r="X303" s="35"/>
      <c r="Y303" s="35"/>
      <c r="Z303" s="35"/>
      <c r="AA303" s="35"/>
      <c r="AB303" s="35"/>
      <c r="AC303" s="35"/>
      <c r="AD303" s="35"/>
      <c r="AE303" s="35"/>
      <c r="AF303" s="35"/>
      <c r="AG303" s="35"/>
      <c r="AH303" s="35"/>
      <c r="AI303" s="35"/>
      <c r="AJ303" s="35"/>
      <c r="AK303" s="35"/>
      <c r="AL303" s="35"/>
      <c r="AM303" s="35"/>
      <c r="AN303" s="35"/>
      <c r="AO303" s="35"/>
      <c r="AP303" s="35"/>
      <c r="AQ303" s="35"/>
      <c r="AR303" s="35"/>
      <c r="AS303" s="35"/>
      <c r="AT303" s="35"/>
      <c r="AU303" s="35"/>
      <c r="AV303" s="35"/>
      <c r="AW303" s="35"/>
      <c r="AX303" s="35"/>
      <c r="AY303" s="35"/>
      <c r="AZ303" s="35"/>
      <c r="BA303" s="35"/>
      <c r="BB303" s="35"/>
      <c r="BC303" s="35"/>
      <c r="BD303" s="35"/>
      <c r="BE303" s="35"/>
      <c r="BF303" s="35"/>
      <c r="BG303" s="35"/>
      <c r="BH303" s="35"/>
      <c r="BI303" s="35"/>
      <c r="BJ303" s="35"/>
      <c r="BK303" s="35"/>
      <c r="BL303" s="35"/>
    </row>
    <row r="304" spans="1:64" ht="14">
      <c r="A304" s="35"/>
      <c r="B304" s="36"/>
      <c r="C304" s="39"/>
      <c r="D304" s="78"/>
      <c r="E304" s="78"/>
      <c r="F304" s="78"/>
      <c r="G304" s="229"/>
      <c r="H304" s="229"/>
      <c r="I304" s="40"/>
      <c r="J304" s="43" t="str">
        <f t="shared" si="8"/>
        <v/>
      </c>
      <c r="K304" s="79" t="str">
        <f t="shared" si="9"/>
        <v/>
      </c>
      <c r="L304" s="39"/>
      <c r="M304" s="35"/>
      <c r="N304" s="35"/>
      <c r="O304" s="35"/>
      <c r="P304" s="35"/>
      <c r="Q304" s="35"/>
      <c r="R304" s="35"/>
      <c r="S304" s="35"/>
      <c r="T304" s="35"/>
      <c r="U304" s="35"/>
      <c r="V304" s="35"/>
      <c r="W304" s="35"/>
      <c r="X304" s="35"/>
      <c r="Y304" s="35"/>
      <c r="Z304" s="35"/>
      <c r="AA304" s="35"/>
      <c r="AB304" s="35"/>
      <c r="AC304" s="35"/>
      <c r="AD304" s="35"/>
      <c r="AE304" s="35"/>
      <c r="AF304" s="35"/>
      <c r="AG304" s="35"/>
      <c r="AH304" s="35"/>
      <c r="AI304" s="35"/>
      <c r="AJ304" s="35"/>
      <c r="AK304" s="35"/>
      <c r="AL304" s="35"/>
      <c r="AM304" s="35"/>
      <c r="AN304" s="35"/>
      <c r="AO304" s="35"/>
      <c r="AP304" s="35"/>
      <c r="AQ304" s="35"/>
      <c r="AR304" s="35"/>
      <c r="AS304" s="35"/>
      <c r="AT304" s="35"/>
      <c r="AU304" s="35"/>
      <c r="AV304" s="35"/>
      <c r="AW304" s="35"/>
      <c r="AX304" s="35"/>
      <c r="AY304" s="35"/>
      <c r="AZ304" s="35"/>
      <c r="BA304" s="35"/>
      <c r="BB304" s="35"/>
      <c r="BC304" s="35"/>
      <c r="BD304" s="35"/>
      <c r="BE304" s="35"/>
      <c r="BF304" s="35"/>
      <c r="BG304" s="35"/>
      <c r="BH304" s="35"/>
      <c r="BI304" s="35"/>
      <c r="BJ304" s="35"/>
      <c r="BK304" s="35"/>
      <c r="BL304" s="35"/>
    </row>
    <row r="305" spans="1:64" ht="14">
      <c r="A305" s="35"/>
      <c r="B305" s="36"/>
      <c r="C305" s="39"/>
      <c r="D305" s="78"/>
      <c r="E305" s="78"/>
      <c r="F305" s="78"/>
      <c r="G305" s="229"/>
      <c r="H305" s="229"/>
      <c r="I305" s="40"/>
      <c r="J305" s="43" t="str">
        <f t="shared" si="8"/>
        <v/>
      </c>
      <c r="K305" s="79" t="str">
        <f t="shared" si="9"/>
        <v/>
      </c>
      <c r="L305" s="39"/>
      <c r="M305" s="35"/>
      <c r="N305" s="35"/>
      <c r="O305" s="35"/>
      <c r="P305" s="35"/>
      <c r="Q305" s="35"/>
      <c r="R305" s="35"/>
      <c r="S305" s="35"/>
      <c r="T305" s="35"/>
      <c r="U305" s="35"/>
      <c r="V305" s="35"/>
      <c r="W305" s="35"/>
      <c r="X305" s="35"/>
      <c r="Y305" s="35"/>
      <c r="Z305" s="35"/>
      <c r="AA305" s="35"/>
      <c r="AB305" s="35"/>
      <c r="AC305" s="35"/>
      <c r="AD305" s="35"/>
      <c r="AE305" s="35"/>
      <c r="AF305" s="35"/>
      <c r="AG305" s="35"/>
      <c r="AH305" s="35"/>
      <c r="AI305" s="35"/>
      <c r="AJ305" s="35"/>
      <c r="AK305" s="35"/>
      <c r="AL305" s="35"/>
      <c r="AM305" s="35"/>
      <c r="AN305" s="35"/>
      <c r="AO305" s="35"/>
      <c r="AP305" s="35"/>
      <c r="AQ305" s="35"/>
      <c r="AR305" s="35"/>
      <c r="AS305" s="35"/>
      <c r="AT305" s="35"/>
      <c r="AU305" s="35"/>
      <c r="AV305" s="35"/>
      <c r="AW305" s="35"/>
      <c r="AX305" s="35"/>
      <c r="AY305" s="35"/>
      <c r="AZ305" s="35"/>
      <c r="BA305" s="35"/>
      <c r="BB305" s="35"/>
      <c r="BC305" s="35"/>
      <c r="BD305" s="35"/>
      <c r="BE305" s="35"/>
      <c r="BF305" s="35"/>
      <c r="BG305" s="35"/>
      <c r="BH305" s="35"/>
      <c r="BI305" s="35"/>
      <c r="BJ305" s="35"/>
      <c r="BK305" s="35"/>
      <c r="BL305" s="35"/>
    </row>
    <row r="306" spans="1:64" ht="13.75" customHeight="1">
      <c r="A306" s="35"/>
      <c r="B306" s="36"/>
      <c r="C306" s="39"/>
      <c r="D306" s="78"/>
      <c r="E306" s="78"/>
      <c r="F306" s="78"/>
      <c r="G306" s="229" t="s">
        <v>86</v>
      </c>
      <c r="H306" s="229"/>
      <c r="I306" s="40"/>
      <c r="J306" s="43" t="str">
        <f t="shared" si="8"/>
        <v/>
      </c>
      <c r="K306" s="79" t="str">
        <f t="shared" si="9"/>
        <v/>
      </c>
      <c r="L306" s="39"/>
      <c r="M306" s="35"/>
      <c r="N306" s="35"/>
      <c r="O306" s="35"/>
      <c r="P306" s="35"/>
      <c r="Q306" s="35"/>
      <c r="R306" s="35"/>
      <c r="S306" s="35"/>
      <c r="T306" s="35"/>
      <c r="U306" s="35"/>
      <c r="V306" s="35"/>
      <c r="W306" s="35"/>
      <c r="X306" s="35"/>
      <c r="Y306" s="35"/>
      <c r="Z306" s="35"/>
      <c r="AA306" s="35"/>
      <c r="AB306" s="35"/>
      <c r="AC306" s="35"/>
      <c r="AD306" s="35"/>
      <c r="AE306" s="35"/>
      <c r="AF306" s="35"/>
      <c r="AG306" s="35"/>
      <c r="AH306" s="35"/>
      <c r="AI306" s="35"/>
      <c r="AJ306" s="35"/>
      <c r="AK306" s="35"/>
      <c r="AL306" s="35"/>
      <c r="AM306" s="35"/>
      <c r="AN306" s="35"/>
      <c r="AO306" s="35"/>
      <c r="AP306" s="35"/>
      <c r="AQ306" s="35"/>
      <c r="AR306" s="35"/>
      <c r="AS306" s="35"/>
      <c r="AT306" s="35"/>
      <c r="AU306" s="35"/>
      <c r="AV306" s="35"/>
      <c r="AW306" s="35"/>
      <c r="AX306" s="35"/>
      <c r="AY306" s="35"/>
      <c r="AZ306" s="35"/>
      <c r="BA306" s="35"/>
      <c r="BB306" s="35"/>
      <c r="BC306" s="35"/>
      <c r="BD306" s="35"/>
      <c r="BE306" s="35"/>
      <c r="BF306" s="35"/>
      <c r="BG306" s="35"/>
      <c r="BH306" s="35"/>
      <c r="BI306" s="35"/>
      <c r="BJ306" s="35"/>
      <c r="BK306" s="35"/>
      <c r="BL306" s="35"/>
    </row>
    <row r="307" spans="1:64" ht="14">
      <c r="A307" s="35"/>
      <c r="B307" s="36"/>
      <c r="C307" s="39"/>
      <c r="D307" s="78"/>
      <c r="E307" s="78"/>
      <c r="F307" s="78"/>
      <c r="G307" s="229"/>
      <c r="H307" s="229"/>
      <c r="I307" s="40"/>
      <c r="J307" s="43" t="str">
        <f t="shared" si="8"/>
        <v/>
      </c>
      <c r="K307" s="79" t="str">
        <f t="shared" si="9"/>
        <v/>
      </c>
      <c r="L307" s="39"/>
      <c r="M307" s="35"/>
      <c r="N307" s="35"/>
      <c r="O307" s="35"/>
      <c r="P307" s="35"/>
      <c r="Q307" s="35"/>
      <c r="R307" s="35"/>
      <c r="S307" s="35"/>
      <c r="T307" s="35"/>
      <c r="U307" s="35"/>
      <c r="V307" s="35"/>
      <c r="W307" s="35"/>
      <c r="X307" s="35"/>
      <c r="Y307" s="35"/>
      <c r="Z307" s="35"/>
      <c r="AA307" s="35"/>
      <c r="AB307" s="35"/>
      <c r="AC307" s="35"/>
      <c r="AD307" s="35"/>
      <c r="AE307" s="35"/>
      <c r="AF307" s="35"/>
      <c r="AG307" s="35"/>
      <c r="AH307" s="35"/>
      <c r="AI307" s="35"/>
      <c r="AJ307" s="35"/>
      <c r="AK307" s="35"/>
      <c r="AL307" s="35"/>
      <c r="AM307" s="35"/>
      <c r="AN307" s="35"/>
      <c r="AO307" s="35"/>
      <c r="AP307" s="35"/>
      <c r="AQ307" s="35"/>
      <c r="AR307" s="35"/>
      <c r="AS307" s="35"/>
      <c r="AT307" s="35"/>
      <c r="AU307" s="35"/>
      <c r="AV307" s="35"/>
      <c r="AW307" s="35"/>
      <c r="AX307" s="35"/>
      <c r="AY307" s="35"/>
      <c r="AZ307" s="35"/>
      <c r="BA307" s="35"/>
      <c r="BB307" s="35"/>
      <c r="BC307" s="35"/>
      <c r="BD307" s="35"/>
      <c r="BE307" s="35"/>
      <c r="BF307" s="35"/>
      <c r="BG307" s="35"/>
      <c r="BH307" s="35"/>
      <c r="BI307" s="35"/>
      <c r="BJ307" s="35"/>
      <c r="BK307" s="35"/>
      <c r="BL307" s="35"/>
    </row>
    <row r="308" spans="1:64" ht="14">
      <c r="A308" s="35"/>
      <c r="B308" s="36"/>
      <c r="C308" s="39"/>
      <c r="D308" s="78"/>
      <c r="E308" s="78"/>
      <c r="F308" s="78"/>
      <c r="G308" s="229"/>
      <c r="H308" s="229"/>
      <c r="I308" s="40"/>
      <c r="J308" s="43" t="str">
        <f t="shared" si="8"/>
        <v/>
      </c>
      <c r="K308" s="79" t="str">
        <f t="shared" si="9"/>
        <v/>
      </c>
      <c r="L308" s="39"/>
      <c r="M308" s="35"/>
      <c r="N308" s="35"/>
      <c r="O308" s="35"/>
      <c r="P308" s="35"/>
      <c r="Q308" s="35"/>
      <c r="R308" s="35"/>
      <c r="S308" s="35"/>
      <c r="T308" s="35"/>
      <c r="U308" s="35"/>
      <c r="V308" s="35"/>
      <c r="W308" s="35"/>
      <c r="X308" s="35"/>
      <c r="Y308" s="35"/>
      <c r="Z308" s="35"/>
      <c r="AA308" s="35"/>
      <c r="AB308" s="35"/>
      <c r="AC308" s="35"/>
      <c r="AD308" s="35"/>
      <c r="AE308" s="35"/>
      <c r="AF308" s="35"/>
      <c r="AG308" s="35"/>
      <c r="AH308" s="35"/>
      <c r="AI308" s="35"/>
      <c r="AJ308" s="35"/>
      <c r="AK308" s="35"/>
      <c r="AL308" s="35"/>
      <c r="AM308" s="35"/>
      <c r="AN308" s="35"/>
      <c r="AO308" s="35"/>
      <c r="AP308" s="35"/>
      <c r="AQ308" s="35"/>
      <c r="AR308" s="35"/>
      <c r="AS308" s="35"/>
      <c r="AT308" s="35"/>
      <c r="AU308" s="35"/>
      <c r="AV308" s="35"/>
      <c r="AW308" s="35"/>
      <c r="AX308" s="35"/>
      <c r="AY308" s="35"/>
      <c r="AZ308" s="35"/>
      <c r="BA308" s="35"/>
      <c r="BB308" s="35"/>
      <c r="BC308" s="35"/>
      <c r="BD308" s="35"/>
      <c r="BE308" s="35"/>
      <c r="BF308" s="35"/>
      <c r="BG308" s="35"/>
      <c r="BH308" s="35"/>
      <c r="BI308" s="35"/>
      <c r="BJ308" s="35"/>
      <c r="BK308" s="35"/>
      <c r="BL308" s="35"/>
    </row>
    <row r="309" spans="1:64" ht="14">
      <c r="A309" s="35"/>
      <c r="B309" s="36"/>
      <c r="C309" s="39"/>
      <c r="D309" s="78"/>
      <c r="E309" s="78"/>
      <c r="F309" s="78"/>
      <c r="G309" s="229"/>
      <c r="H309" s="229"/>
      <c r="I309" s="40"/>
      <c r="J309" s="43" t="str">
        <f t="shared" si="8"/>
        <v/>
      </c>
      <c r="K309" s="79" t="str">
        <f t="shared" si="9"/>
        <v/>
      </c>
      <c r="L309" s="39"/>
      <c r="M309" s="35"/>
      <c r="N309" s="35"/>
      <c r="O309" s="35"/>
      <c r="P309" s="35"/>
      <c r="Q309" s="35"/>
      <c r="R309" s="35"/>
      <c r="S309" s="35"/>
      <c r="T309" s="35"/>
      <c r="U309" s="35"/>
      <c r="V309" s="35"/>
      <c r="W309" s="35"/>
      <c r="X309" s="35"/>
      <c r="Y309" s="35"/>
      <c r="Z309" s="35"/>
      <c r="AA309" s="35"/>
      <c r="AB309" s="35"/>
      <c r="AC309" s="35"/>
      <c r="AD309" s="35"/>
      <c r="AE309" s="35"/>
      <c r="AF309" s="35"/>
      <c r="AG309" s="35"/>
      <c r="AH309" s="35"/>
      <c r="AI309" s="35"/>
      <c r="AJ309" s="35"/>
      <c r="AK309" s="35"/>
      <c r="AL309" s="35"/>
      <c r="AM309" s="35"/>
      <c r="AN309" s="35"/>
      <c r="AO309" s="35"/>
      <c r="AP309" s="35"/>
      <c r="AQ309" s="35"/>
      <c r="AR309" s="35"/>
      <c r="AS309" s="35"/>
      <c r="AT309" s="35"/>
      <c r="AU309" s="35"/>
      <c r="AV309" s="35"/>
      <c r="AW309" s="35"/>
      <c r="AX309" s="35"/>
      <c r="AY309" s="35"/>
      <c r="AZ309" s="35"/>
      <c r="BA309" s="35"/>
      <c r="BB309" s="35"/>
      <c r="BC309" s="35"/>
      <c r="BD309" s="35"/>
      <c r="BE309" s="35"/>
      <c r="BF309" s="35"/>
      <c r="BG309" s="35"/>
      <c r="BH309" s="35"/>
      <c r="BI309" s="35"/>
      <c r="BJ309" s="35"/>
      <c r="BK309" s="35"/>
      <c r="BL309" s="35"/>
    </row>
    <row r="310" spans="1:64" ht="14">
      <c r="A310" s="35"/>
      <c r="B310" s="36"/>
      <c r="C310" s="39"/>
      <c r="D310" s="78"/>
      <c r="E310" s="78"/>
      <c r="F310" s="78"/>
      <c r="G310" s="229"/>
      <c r="H310" s="229"/>
      <c r="I310" s="40"/>
      <c r="J310" s="43" t="str">
        <f t="shared" si="8"/>
        <v/>
      </c>
      <c r="K310" s="79" t="str">
        <f t="shared" si="9"/>
        <v/>
      </c>
      <c r="L310" s="39"/>
      <c r="M310" s="35"/>
      <c r="N310" s="35"/>
      <c r="O310" s="35"/>
      <c r="P310" s="35"/>
      <c r="Q310" s="35"/>
      <c r="R310" s="35"/>
      <c r="S310" s="35"/>
      <c r="T310" s="35"/>
      <c r="U310" s="35"/>
      <c r="V310" s="35"/>
      <c r="W310" s="35"/>
      <c r="X310" s="35"/>
      <c r="Y310" s="35"/>
      <c r="Z310" s="35"/>
      <c r="AA310" s="35"/>
      <c r="AB310" s="35"/>
      <c r="AC310" s="35"/>
      <c r="AD310" s="35"/>
      <c r="AE310" s="35"/>
      <c r="AF310" s="35"/>
      <c r="AG310" s="35"/>
      <c r="AH310" s="35"/>
      <c r="AI310" s="35"/>
      <c r="AJ310" s="35"/>
      <c r="AK310" s="35"/>
      <c r="AL310" s="35"/>
      <c r="AM310" s="35"/>
      <c r="AN310" s="35"/>
      <c r="AO310" s="35"/>
      <c r="AP310" s="35"/>
      <c r="AQ310" s="35"/>
      <c r="AR310" s="35"/>
      <c r="AS310" s="35"/>
      <c r="AT310" s="35"/>
      <c r="AU310" s="35"/>
      <c r="AV310" s="35"/>
      <c r="AW310" s="35"/>
      <c r="AX310" s="35"/>
      <c r="AY310" s="35"/>
      <c r="AZ310" s="35"/>
      <c r="BA310" s="35"/>
      <c r="BB310" s="35"/>
      <c r="BC310" s="35"/>
      <c r="BD310" s="35"/>
      <c r="BE310" s="35"/>
      <c r="BF310" s="35"/>
      <c r="BG310" s="35"/>
      <c r="BH310" s="35"/>
      <c r="BI310" s="35"/>
      <c r="BJ310" s="35"/>
      <c r="BK310" s="35"/>
      <c r="BL310" s="35"/>
    </row>
    <row r="311" spans="1:64" ht="14">
      <c r="A311" s="35"/>
      <c r="B311" s="36"/>
      <c r="C311" s="39"/>
      <c r="D311" s="78"/>
      <c r="E311" s="78"/>
      <c r="F311" s="78"/>
      <c r="G311" s="229"/>
      <c r="H311" s="229"/>
      <c r="I311" s="40"/>
      <c r="J311" s="43" t="str">
        <f t="shared" si="8"/>
        <v/>
      </c>
      <c r="K311" s="79" t="str">
        <f t="shared" si="9"/>
        <v/>
      </c>
      <c r="L311" s="39"/>
      <c r="M311" s="35"/>
      <c r="N311" s="35"/>
      <c r="O311" s="35"/>
      <c r="P311" s="35"/>
      <c r="Q311" s="35"/>
      <c r="R311" s="35"/>
      <c r="S311" s="35"/>
      <c r="T311" s="35"/>
      <c r="U311" s="35"/>
      <c r="V311" s="35"/>
      <c r="W311" s="35"/>
      <c r="X311" s="35"/>
      <c r="Y311" s="35"/>
      <c r="Z311" s="35"/>
      <c r="AA311" s="35"/>
      <c r="AB311" s="35"/>
      <c r="AC311" s="35"/>
      <c r="AD311" s="35"/>
      <c r="AE311" s="35"/>
      <c r="AF311" s="35"/>
      <c r="AG311" s="35"/>
      <c r="AH311" s="35"/>
      <c r="AI311" s="35"/>
      <c r="AJ311" s="35"/>
      <c r="AK311" s="35"/>
      <c r="AL311" s="35"/>
      <c r="AM311" s="35"/>
      <c r="AN311" s="35"/>
      <c r="AO311" s="35"/>
      <c r="AP311" s="35"/>
      <c r="AQ311" s="35"/>
      <c r="AR311" s="35"/>
      <c r="AS311" s="35"/>
      <c r="AT311" s="35"/>
      <c r="AU311" s="35"/>
      <c r="AV311" s="35"/>
      <c r="AW311" s="35"/>
      <c r="AX311" s="35"/>
      <c r="AY311" s="35"/>
      <c r="AZ311" s="35"/>
      <c r="BA311" s="35"/>
      <c r="BB311" s="35"/>
      <c r="BC311" s="35"/>
      <c r="BD311" s="35"/>
      <c r="BE311" s="35"/>
      <c r="BF311" s="35"/>
      <c r="BG311" s="35"/>
      <c r="BH311" s="35"/>
      <c r="BI311" s="35"/>
      <c r="BJ311" s="35"/>
      <c r="BK311" s="35"/>
      <c r="BL311" s="35"/>
    </row>
    <row r="312" spans="1:64" ht="14">
      <c r="A312" s="35"/>
      <c r="B312" s="36"/>
      <c r="C312" s="39"/>
      <c r="D312" s="78"/>
      <c r="E312" s="78"/>
      <c r="F312" s="78"/>
      <c r="G312" s="229"/>
      <c r="H312" s="229"/>
      <c r="I312" s="40"/>
      <c r="J312" s="43" t="str">
        <f t="shared" si="8"/>
        <v/>
      </c>
      <c r="K312" s="79" t="str">
        <f t="shared" si="9"/>
        <v/>
      </c>
      <c r="L312" s="39"/>
      <c r="M312" s="35"/>
      <c r="N312" s="35"/>
      <c r="O312" s="35"/>
      <c r="P312" s="35"/>
      <c r="Q312" s="35"/>
      <c r="R312" s="35"/>
      <c r="S312" s="35"/>
      <c r="T312" s="35"/>
      <c r="U312" s="35"/>
      <c r="V312" s="35"/>
      <c r="W312" s="35"/>
      <c r="X312" s="35"/>
      <c r="Y312" s="35"/>
      <c r="Z312" s="35"/>
      <c r="AA312" s="35"/>
      <c r="AB312" s="35"/>
      <c r="AC312" s="35"/>
      <c r="AD312" s="35"/>
      <c r="AE312" s="35"/>
      <c r="AF312" s="35"/>
      <c r="AG312" s="35"/>
      <c r="AH312" s="35"/>
      <c r="AI312" s="35"/>
      <c r="AJ312" s="35"/>
      <c r="AK312" s="35"/>
      <c r="AL312" s="35"/>
      <c r="AM312" s="35"/>
      <c r="AN312" s="35"/>
      <c r="AO312" s="35"/>
      <c r="AP312" s="35"/>
      <c r="AQ312" s="35"/>
      <c r="AR312" s="35"/>
      <c r="AS312" s="35"/>
      <c r="AT312" s="35"/>
      <c r="AU312" s="35"/>
      <c r="AV312" s="35"/>
      <c r="AW312" s="35"/>
      <c r="AX312" s="35"/>
      <c r="AY312" s="35"/>
      <c r="AZ312" s="35"/>
      <c r="BA312" s="35"/>
      <c r="BB312" s="35"/>
      <c r="BC312" s="35"/>
      <c r="BD312" s="35"/>
      <c r="BE312" s="35"/>
      <c r="BF312" s="35"/>
      <c r="BG312" s="35"/>
      <c r="BH312" s="35"/>
      <c r="BI312" s="35"/>
      <c r="BJ312" s="35"/>
      <c r="BK312" s="35"/>
      <c r="BL312" s="35"/>
    </row>
    <row r="313" spans="1:64" ht="14">
      <c r="A313" s="35"/>
      <c r="B313" s="36"/>
      <c r="C313" s="39"/>
      <c r="D313" s="78"/>
      <c r="E313" s="78"/>
      <c r="F313" s="78"/>
      <c r="G313" s="229"/>
      <c r="H313" s="229"/>
      <c r="I313" s="40"/>
      <c r="J313" s="43" t="str">
        <f t="shared" si="8"/>
        <v/>
      </c>
      <c r="K313" s="79" t="str">
        <f t="shared" si="9"/>
        <v/>
      </c>
      <c r="L313" s="39"/>
      <c r="M313" s="35"/>
      <c r="N313" s="35"/>
      <c r="O313" s="35"/>
      <c r="P313" s="35"/>
      <c r="Q313" s="35"/>
      <c r="R313" s="35"/>
      <c r="S313" s="35"/>
      <c r="T313" s="35"/>
      <c r="U313" s="35"/>
      <c r="V313" s="35"/>
      <c r="W313" s="35"/>
      <c r="X313" s="35"/>
      <c r="Y313" s="35"/>
      <c r="Z313" s="35"/>
      <c r="AA313" s="35"/>
      <c r="AB313" s="35"/>
      <c r="AC313" s="35"/>
      <c r="AD313" s="35"/>
      <c r="AE313" s="35"/>
      <c r="AF313" s="35"/>
      <c r="AG313" s="35"/>
      <c r="AH313" s="35"/>
      <c r="AI313" s="35"/>
      <c r="AJ313" s="35"/>
      <c r="AK313" s="35"/>
      <c r="AL313" s="35"/>
      <c r="AM313" s="35"/>
      <c r="AN313" s="35"/>
      <c r="AO313" s="35"/>
      <c r="AP313" s="35"/>
      <c r="AQ313" s="35"/>
      <c r="AR313" s="35"/>
      <c r="AS313" s="35"/>
      <c r="AT313" s="35"/>
      <c r="AU313" s="35"/>
      <c r="AV313" s="35"/>
      <c r="AW313" s="35"/>
      <c r="AX313" s="35"/>
      <c r="AY313" s="35"/>
      <c r="AZ313" s="35"/>
      <c r="BA313" s="35"/>
      <c r="BB313" s="35"/>
      <c r="BC313" s="35"/>
      <c r="BD313" s="35"/>
      <c r="BE313" s="35"/>
      <c r="BF313" s="35"/>
      <c r="BG313" s="35"/>
      <c r="BH313" s="35"/>
      <c r="BI313" s="35"/>
      <c r="BJ313" s="35"/>
      <c r="BK313" s="35"/>
      <c r="BL313" s="35"/>
    </row>
    <row r="314" spans="1:64" ht="14">
      <c r="A314" s="35"/>
      <c r="B314" s="36"/>
      <c r="C314" s="39"/>
      <c r="D314" s="78"/>
      <c r="E314" s="78"/>
      <c r="F314" s="78"/>
      <c r="G314" s="229"/>
      <c r="H314" s="229"/>
      <c r="I314" s="40"/>
      <c r="J314" s="43" t="str">
        <f t="shared" si="8"/>
        <v/>
      </c>
      <c r="K314" s="79" t="str">
        <f t="shared" si="9"/>
        <v/>
      </c>
      <c r="L314" s="39"/>
      <c r="M314" s="35"/>
      <c r="N314" s="35"/>
      <c r="O314" s="35"/>
      <c r="P314" s="35"/>
      <c r="Q314" s="35"/>
      <c r="R314" s="35"/>
      <c r="S314" s="35"/>
      <c r="T314" s="35"/>
      <c r="U314" s="35"/>
      <c r="V314" s="35"/>
      <c r="W314" s="35"/>
      <c r="X314" s="35"/>
      <c r="Y314" s="35"/>
      <c r="Z314" s="35"/>
      <c r="AA314" s="35"/>
      <c r="AB314" s="35"/>
      <c r="AC314" s="35"/>
      <c r="AD314" s="35"/>
      <c r="AE314" s="35"/>
      <c r="AF314" s="35"/>
      <c r="AG314" s="35"/>
      <c r="AH314" s="35"/>
      <c r="AI314" s="35"/>
      <c r="AJ314" s="35"/>
      <c r="AK314" s="35"/>
      <c r="AL314" s="35"/>
      <c r="AM314" s="35"/>
      <c r="AN314" s="35"/>
      <c r="AO314" s="35"/>
      <c r="AP314" s="35"/>
      <c r="AQ314" s="35"/>
      <c r="AR314" s="35"/>
      <c r="AS314" s="35"/>
      <c r="AT314" s="35"/>
      <c r="AU314" s="35"/>
      <c r="AV314" s="35"/>
      <c r="AW314" s="35"/>
      <c r="AX314" s="35"/>
      <c r="AY314" s="35"/>
      <c r="AZ314" s="35"/>
      <c r="BA314" s="35"/>
      <c r="BB314" s="35"/>
      <c r="BC314" s="35"/>
      <c r="BD314" s="35"/>
      <c r="BE314" s="35"/>
      <c r="BF314" s="35"/>
      <c r="BG314" s="35"/>
      <c r="BH314" s="35"/>
      <c r="BI314" s="35"/>
      <c r="BJ314" s="35"/>
      <c r="BK314" s="35"/>
      <c r="BL314" s="35"/>
    </row>
    <row r="315" spans="1:64" ht="14">
      <c r="A315" s="35"/>
      <c r="B315" s="36"/>
      <c r="C315" s="39"/>
      <c r="D315" s="78"/>
      <c r="E315" s="78"/>
      <c r="F315" s="78"/>
      <c r="G315" s="229"/>
      <c r="H315" s="229"/>
      <c r="I315" s="40"/>
      <c r="J315" s="43" t="str">
        <f t="shared" si="8"/>
        <v/>
      </c>
      <c r="K315" s="79" t="str">
        <f t="shared" si="9"/>
        <v/>
      </c>
      <c r="L315" s="39"/>
      <c r="M315" s="35"/>
      <c r="N315" s="35"/>
      <c r="O315" s="35"/>
      <c r="P315" s="35"/>
      <c r="Q315" s="35"/>
      <c r="R315" s="35"/>
      <c r="S315" s="35"/>
      <c r="T315" s="35"/>
      <c r="U315" s="35"/>
      <c r="V315" s="35"/>
      <c r="W315" s="35"/>
      <c r="X315" s="35"/>
      <c r="Y315" s="35"/>
      <c r="Z315" s="35"/>
      <c r="AA315" s="35"/>
      <c r="AB315" s="35"/>
      <c r="AC315" s="35"/>
      <c r="AD315" s="35"/>
      <c r="AE315" s="35"/>
      <c r="AF315" s="35"/>
      <c r="AG315" s="35"/>
      <c r="AH315" s="35"/>
      <c r="AI315" s="35"/>
      <c r="AJ315" s="35"/>
      <c r="AK315" s="35"/>
      <c r="AL315" s="35"/>
      <c r="AM315" s="35"/>
      <c r="AN315" s="35"/>
      <c r="AO315" s="35"/>
      <c r="AP315" s="35"/>
      <c r="AQ315" s="35"/>
      <c r="AR315" s="35"/>
      <c r="AS315" s="35"/>
      <c r="AT315" s="35"/>
      <c r="AU315" s="35"/>
      <c r="AV315" s="35"/>
      <c r="AW315" s="35"/>
      <c r="AX315" s="35"/>
      <c r="AY315" s="35"/>
      <c r="AZ315" s="35"/>
      <c r="BA315" s="35"/>
      <c r="BB315" s="35"/>
      <c r="BC315" s="35"/>
      <c r="BD315" s="35"/>
      <c r="BE315" s="35"/>
      <c r="BF315" s="35"/>
      <c r="BG315" s="35"/>
      <c r="BH315" s="35"/>
      <c r="BI315" s="35"/>
      <c r="BJ315" s="35"/>
      <c r="BK315" s="35"/>
      <c r="BL315" s="35"/>
    </row>
    <row r="316" spans="1:64" ht="14">
      <c r="A316" s="35"/>
      <c r="B316" s="36"/>
      <c r="C316" s="39"/>
      <c r="D316" s="78"/>
      <c r="E316" s="78"/>
      <c r="F316" s="78"/>
      <c r="G316" s="229"/>
      <c r="H316" s="229"/>
      <c r="I316" s="40"/>
      <c r="J316" s="43" t="str">
        <f t="shared" si="8"/>
        <v/>
      </c>
      <c r="K316" s="79" t="str">
        <f t="shared" si="9"/>
        <v/>
      </c>
      <c r="L316" s="39"/>
      <c r="M316" s="35"/>
      <c r="N316" s="35"/>
      <c r="O316" s="35"/>
      <c r="P316" s="35"/>
      <c r="Q316" s="35"/>
      <c r="R316" s="35"/>
      <c r="S316" s="35"/>
      <c r="T316" s="35"/>
      <c r="U316" s="35"/>
      <c r="V316" s="35"/>
      <c r="W316" s="35"/>
      <c r="X316" s="35"/>
      <c r="Y316" s="35"/>
      <c r="Z316" s="35"/>
      <c r="AA316" s="35"/>
      <c r="AB316" s="35"/>
      <c r="AC316" s="35"/>
      <c r="AD316" s="35"/>
      <c r="AE316" s="35"/>
      <c r="AF316" s="35"/>
      <c r="AG316" s="35"/>
      <c r="AH316" s="35"/>
      <c r="AI316" s="35"/>
      <c r="AJ316" s="35"/>
      <c r="AK316" s="35"/>
      <c r="AL316" s="35"/>
      <c r="AM316" s="35"/>
      <c r="AN316" s="35"/>
      <c r="AO316" s="35"/>
      <c r="AP316" s="35"/>
      <c r="AQ316" s="35"/>
      <c r="AR316" s="35"/>
      <c r="AS316" s="35"/>
      <c r="AT316" s="35"/>
      <c r="AU316" s="35"/>
      <c r="AV316" s="35"/>
      <c r="AW316" s="35"/>
      <c r="AX316" s="35"/>
      <c r="AY316" s="35"/>
      <c r="AZ316" s="35"/>
      <c r="BA316" s="35"/>
      <c r="BB316" s="35"/>
      <c r="BC316" s="35"/>
      <c r="BD316" s="35"/>
      <c r="BE316" s="35"/>
      <c r="BF316" s="35"/>
      <c r="BG316" s="35"/>
      <c r="BH316" s="35"/>
      <c r="BI316" s="35"/>
      <c r="BJ316" s="35"/>
      <c r="BK316" s="35"/>
      <c r="BL316" s="35"/>
    </row>
    <row r="317" spans="1:64" ht="14">
      <c r="A317" s="35"/>
      <c r="B317" s="36"/>
      <c r="C317" s="39"/>
      <c r="D317" s="78"/>
      <c r="E317" s="78"/>
      <c r="F317" s="78"/>
      <c r="G317" s="229"/>
      <c r="H317" s="229"/>
      <c r="I317" s="40"/>
      <c r="J317" s="43" t="str">
        <f t="shared" si="8"/>
        <v/>
      </c>
      <c r="K317" s="79" t="str">
        <f t="shared" si="9"/>
        <v/>
      </c>
      <c r="L317" s="39"/>
      <c r="M317" s="35"/>
      <c r="N317" s="35"/>
      <c r="O317" s="35"/>
      <c r="P317" s="35"/>
      <c r="Q317" s="35"/>
      <c r="R317" s="35"/>
      <c r="S317" s="35"/>
      <c r="T317" s="35"/>
      <c r="U317" s="35"/>
      <c r="V317" s="35"/>
      <c r="W317" s="35"/>
      <c r="X317" s="35"/>
      <c r="Y317" s="35"/>
      <c r="Z317" s="35"/>
      <c r="AA317" s="35"/>
      <c r="AB317" s="35"/>
      <c r="AC317" s="35"/>
      <c r="AD317" s="35"/>
      <c r="AE317" s="35"/>
      <c r="AF317" s="35"/>
      <c r="AG317" s="35"/>
      <c r="AH317" s="35"/>
      <c r="AI317" s="35"/>
      <c r="AJ317" s="35"/>
      <c r="AK317" s="35"/>
      <c r="AL317" s="35"/>
      <c r="AM317" s="35"/>
      <c r="AN317" s="35"/>
      <c r="AO317" s="35"/>
      <c r="AP317" s="35"/>
      <c r="AQ317" s="35"/>
      <c r="AR317" s="35"/>
      <c r="AS317" s="35"/>
      <c r="AT317" s="35"/>
      <c r="AU317" s="35"/>
      <c r="AV317" s="35"/>
      <c r="AW317" s="35"/>
      <c r="AX317" s="35"/>
      <c r="AY317" s="35"/>
      <c r="AZ317" s="35"/>
      <c r="BA317" s="35"/>
      <c r="BB317" s="35"/>
      <c r="BC317" s="35"/>
      <c r="BD317" s="35"/>
      <c r="BE317" s="35"/>
      <c r="BF317" s="35"/>
      <c r="BG317" s="35"/>
      <c r="BH317" s="35"/>
      <c r="BI317" s="35"/>
      <c r="BJ317" s="35"/>
      <c r="BK317" s="35"/>
      <c r="BL317" s="35"/>
    </row>
    <row r="318" spans="1:64" ht="14">
      <c r="A318" s="35"/>
      <c r="B318" s="36"/>
      <c r="C318" s="39"/>
      <c r="D318" s="78"/>
      <c r="E318" s="78"/>
      <c r="F318" s="78"/>
      <c r="G318" s="229"/>
      <c r="H318" s="229"/>
      <c r="I318" s="40"/>
      <c r="J318" s="43" t="str">
        <f t="shared" si="8"/>
        <v/>
      </c>
      <c r="K318" s="79" t="str">
        <f t="shared" si="9"/>
        <v/>
      </c>
      <c r="L318" s="39"/>
      <c r="M318" s="35"/>
      <c r="N318" s="35"/>
      <c r="O318" s="35"/>
      <c r="P318" s="35"/>
      <c r="Q318" s="35"/>
      <c r="R318" s="35"/>
      <c r="S318" s="35"/>
      <c r="T318" s="35"/>
      <c r="U318" s="35"/>
      <c r="V318" s="35"/>
      <c r="W318" s="35"/>
      <c r="X318" s="35"/>
      <c r="Y318" s="35"/>
      <c r="Z318" s="35"/>
      <c r="AA318" s="35"/>
      <c r="AB318" s="35"/>
      <c r="AC318" s="35"/>
      <c r="AD318" s="35"/>
      <c r="AE318" s="35"/>
      <c r="AF318" s="35"/>
      <c r="AG318" s="35"/>
      <c r="AH318" s="35"/>
      <c r="AI318" s="35"/>
      <c r="AJ318" s="35"/>
      <c r="AK318" s="35"/>
      <c r="AL318" s="35"/>
      <c r="AM318" s="35"/>
      <c r="AN318" s="35"/>
      <c r="AO318" s="35"/>
      <c r="AP318" s="35"/>
      <c r="AQ318" s="35"/>
      <c r="AR318" s="35"/>
      <c r="AS318" s="35"/>
      <c r="AT318" s="35"/>
      <c r="AU318" s="35"/>
      <c r="AV318" s="35"/>
      <c r="AW318" s="35"/>
      <c r="AX318" s="35"/>
      <c r="AY318" s="35"/>
      <c r="AZ318" s="35"/>
      <c r="BA318" s="35"/>
      <c r="BB318" s="35"/>
      <c r="BC318" s="35"/>
      <c r="BD318" s="35"/>
      <c r="BE318" s="35"/>
      <c r="BF318" s="35"/>
      <c r="BG318" s="35"/>
      <c r="BH318" s="35"/>
      <c r="BI318" s="35"/>
      <c r="BJ318" s="35"/>
      <c r="BK318" s="35"/>
      <c r="BL318" s="35"/>
    </row>
    <row r="319" spans="1:64" ht="14">
      <c r="A319" s="35"/>
      <c r="B319" s="36"/>
      <c r="C319" s="39"/>
      <c r="D319" s="78"/>
      <c r="E319" s="78"/>
      <c r="F319" s="78"/>
      <c r="G319" s="229"/>
      <c r="H319" s="229"/>
      <c r="I319" s="40"/>
      <c r="J319" s="43" t="str">
        <f t="shared" si="8"/>
        <v/>
      </c>
      <c r="K319" s="79" t="str">
        <f t="shared" si="9"/>
        <v/>
      </c>
      <c r="L319" s="39"/>
      <c r="M319" s="35"/>
      <c r="N319" s="35"/>
      <c r="O319" s="35"/>
      <c r="P319" s="35"/>
      <c r="Q319" s="35"/>
      <c r="R319" s="35"/>
      <c r="S319" s="35"/>
      <c r="T319" s="35"/>
      <c r="U319" s="35"/>
      <c r="V319" s="35"/>
      <c r="W319" s="35"/>
      <c r="X319" s="35"/>
      <c r="Y319" s="35"/>
      <c r="Z319" s="35"/>
      <c r="AA319" s="35"/>
      <c r="AB319" s="35"/>
      <c r="AC319" s="35"/>
      <c r="AD319" s="35"/>
      <c r="AE319" s="35"/>
      <c r="AF319" s="35"/>
      <c r="AG319" s="35"/>
      <c r="AH319" s="35"/>
      <c r="AI319" s="35"/>
      <c r="AJ319" s="35"/>
      <c r="AK319" s="35"/>
      <c r="AL319" s="35"/>
      <c r="AM319" s="35"/>
      <c r="AN319" s="35"/>
      <c r="AO319" s="35"/>
      <c r="AP319" s="35"/>
      <c r="AQ319" s="35"/>
      <c r="AR319" s="35"/>
      <c r="AS319" s="35"/>
      <c r="AT319" s="35"/>
      <c r="AU319" s="35"/>
      <c r="AV319" s="35"/>
      <c r="AW319" s="35"/>
      <c r="AX319" s="35"/>
      <c r="AY319" s="35"/>
      <c r="AZ319" s="35"/>
      <c r="BA319" s="35"/>
      <c r="BB319" s="35"/>
      <c r="BC319" s="35"/>
      <c r="BD319" s="35"/>
      <c r="BE319" s="35"/>
      <c r="BF319" s="35"/>
      <c r="BG319" s="35"/>
      <c r="BH319" s="35"/>
      <c r="BI319" s="35"/>
      <c r="BJ319" s="35"/>
      <c r="BK319" s="35"/>
      <c r="BL319" s="35"/>
    </row>
    <row r="320" spans="1:64" ht="14">
      <c r="A320" s="35"/>
      <c r="B320" s="36"/>
      <c r="C320" s="39"/>
      <c r="D320" s="78"/>
      <c r="E320" s="78"/>
      <c r="F320" s="78"/>
      <c r="G320" s="229"/>
      <c r="H320" s="229"/>
      <c r="I320" s="40"/>
      <c r="J320" s="43" t="str">
        <f t="shared" si="8"/>
        <v/>
      </c>
      <c r="K320" s="79" t="str">
        <f t="shared" si="9"/>
        <v/>
      </c>
      <c r="L320" s="39"/>
      <c r="M320" s="35"/>
      <c r="N320" s="35"/>
      <c r="O320" s="35"/>
      <c r="P320" s="35"/>
      <c r="Q320" s="35"/>
      <c r="R320" s="35"/>
      <c r="S320" s="35"/>
      <c r="T320" s="35"/>
      <c r="U320" s="35"/>
      <c r="V320" s="35"/>
      <c r="W320" s="35"/>
      <c r="X320" s="35"/>
      <c r="Y320" s="35"/>
      <c r="Z320" s="35"/>
      <c r="AA320" s="35"/>
      <c r="AB320" s="35"/>
      <c r="AC320" s="35"/>
      <c r="AD320" s="35"/>
      <c r="AE320" s="35"/>
      <c r="AF320" s="35"/>
      <c r="AG320" s="35"/>
      <c r="AH320" s="35"/>
      <c r="AI320" s="35"/>
      <c r="AJ320" s="35"/>
      <c r="AK320" s="35"/>
      <c r="AL320" s="35"/>
      <c r="AM320" s="35"/>
      <c r="AN320" s="35"/>
      <c r="AO320" s="35"/>
      <c r="AP320" s="35"/>
      <c r="AQ320" s="35"/>
      <c r="AR320" s="35"/>
      <c r="AS320" s="35"/>
      <c r="AT320" s="35"/>
      <c r="AU320" s="35"/>
      <c r="AV320" s="35"/>
      <c r="AW320" s="35"/>
      <c r="AX320" s="35"/>
      <c r="AY320" s="35"/>
      <c r="AZ320" s="35"/>
      <c r="BA320" s="35"/>
      <c r="BB320" s="35"/>
      <c r="BC320" s="35"/>
      <c r="BD320" s="35"/>
      <c r="BE320" s="35"/>
      <c r="BF320" s="35"/>
      <c r="BG320" s="35"/>
      <c r="BH320" s="35"/>
      <c r="BI320" s="35"/>
      <c r="BJ320" s="35"/>
      <c r="BK320" s="35"/>
      <c r="BL320" s="35"/>
    </row>
    <row r="321" spans="1:64" ht="14">
      <c r="A321" s="35"/>
      <c r="B321" s="36"/>
      <c r="C321" s="39"/>
      <c r="D321" s="78"/>
      <c r="E321" s="78"/>
      <c r="F321" s="78"/>
      <c r="G321" s="229"/>
      <c r="H321" s="229"/>
      <c r="I321" s="40"/>
      <c r="J321" s="43" t="str">
        <f t="shared" si="8"/>
        <v/>
      </c>
      <c r="K321" s="79" t="str">
        <f t="shared" si="9"/>
        <v/>
      </c>
      <c r="L321" s="39"/>
      <c r="M321" s="35"/>
      <c r="N321" s="35"/>
      <c r="O321" s="35"/>
      <c r="P321" s="35"/>
      <c r="Q321" s="35"/>
      <c r="R321" s="35"/>
      <c r="S321" s="35"/>
      <c r="T321" s="35"/>
      <c r="U321" s="35"/>
      <c r="V321" s="35"/>
      <c r="W321" s="35"/>
      <c r="X321" s="35"/>
      <c r="Y321" s="35"/>
      <c r="Z321" s="35"/>
      <c r="AA321" s="35"/>
      <c r="AB321" s="35"/>
      <c r="AC321" s="35"/>
      <c r="AD321" s="35"/>
      <c r="AE321" s="35"/>
      <c r="AF321" s="35"/>
      <c r="AG321" s="35"/>
      <c r="AH321" s="35"/>
      <c r="AI321" s="35"/>
      <c r="AJ321" s="35"/>
      <c r="AK321" s="35"/>
      <c r="AL321" s="35"/>
      <c r="AM321" s="35"/>
      <c r="AN321" s="35"/>
      <c r="AO321" s="35"/>
      <c r="AP321" s="35"/>
      <c r="AQ321" s="35"/>
      <c r="AR321" s="35"/>
      <c r="AS321" s="35"/>
      <c r="AT321" s="35"/>
      <c r="AU321" s="35"/>
      <c r="AV321" s="35"/>
      <c r="AW321" s="35"/>
      <c r="AX321" s="35"/>
      <c r="AY321" s="35"/>
      <c r="AZ321" s="35"/>
      <c r="BA321" s="35"/>
      <c r="BB321" s="35"/>
      <c r="BC321" s="35"/>
      <c r="BD321" s="35"/>
      <c r="BE321" s="35"/>
      <c r="BF321" s="35"/>
      <c r="BG321" s="35"/>
      <c r="BH321" s="35"/>
      <c r="BI321" s="35"/>
      <c r="BJ321" s="35"/>
      <c r="BK321" s="35"/>
      <c r="BL321" s="35"/>
    </row>
    <row r="322" spans="1:64" ht="14">
      <c r="A322" s="35"/>
      <c r="B322" s="36"/>
      <c r="C322" s="39"/>
      <c r="D322" s="78"/>
      <c r="E322" s="78"/>
      <c r="F322" s="78"/>
      <c r="G322" s="229"/>
      <c r="H322" s="229"/>
      <c r="I322" s="40"/>
      <c r="J322" s="43" t="str">
        <f t="shared" si="8"/>
        <v/>
      </c>
      <c r="K322" s="79" t="str">
        <f t="shared" si="9"/>
        <v/>
      </c>
      <c r="L322" s="39"/>
      <c r="M322" s="35"/>
      <c r="N322" s="35"/>
      <c r="O322" s="35"/>
      <c r="P322" s="35"/>
      <c r="Q322" s="35"/>
      <c r="R322" s="35"/>
      <c r="S322" s="35"/>
      <c r="T322" s="35"/>
      <c r="U322" s="35"/>
      <c r="V322" s="35"/>
      <c r="W322" s="35"/>
      <c r="X322" s="35"/>
      <c r="Y322" s="35"/>
      <c r="Z322" s="35"/>
      <c r="AA322" s="35"/>
      <c r="AB322" s="35"/>
      <c r="AC322" s="35"/>
      <c r="AD322" s="35"/>
      <c r="AE322" s="35"/>
      <c r="AF322" s="35"/>
      <c r="AG322" s="35"/>
      <c r="AH322" s="35"/>
      <c r="AI322" s="35"/>
      <c r="AJ322" s="35"/>
      <c r="AK322" s="35"/>
      <c r="AL322" s="35"/>
      <c r="AM322" s="35"/>
      <c r="AN322" s="35"/>
      <c r="AO322" s="35"/>
      <c r="AP322" s="35"/>
      <c r="AQ322" s="35"/>
      <c r="AR322" s="35"/>
      <c r="AS322" s="35"/>
      <c r="AT322" s="35"/>
      <c r="AU322" s="35"/>
      <c r="AV322" s="35"/>
      <c r="AW322" s="35"/>
      <c r="AX322" s="35"/>
      <c r="AY322" s="35"/>
      <c r="AZ322" s="35"/>
      <c r="BA322" s="35"/>
      <c r="BB322" s="35"/>
      <c r="BC322" s="35"/>
      <c r="BD322" s="35"/>
      <c r="BE322" s="35"/>
      <c r="BF322" s="35"/>
      <c r="BG322" s="35"/>
      <c r="BH322" s="35"/>
      <c r="BI322" s="35"/>
      <c r="BJ322" s="35"/>
      <c r="BK322" s="35"/>
      <c r="BL322" s="35"/>
    </row>
    <row r="323" spans="1:64" ht="14">
      <c r="A323" s="35"/>
      <c r="B323" s="36"/>
      <c r="C323" s="39"/>
      <c r="D323" s="78"/>
      <c r="E323" s="78"/>
      <c r="F323" s="78"/>
      <c r="G323" s="229"/>
      <c r="H323" s="229"/>
      <c r="I323" s="80"/>
      <c r="J323" s="43" t="str">
        <f t="shared" si="8"/>
        <v/>
      </c>
      <c r="K323" s="79" t="str">
        <f t="shared" si="9"/>
        <v/>
      </c>
      <c r="L323" s="39"/>
      <c r="M323" s="35"/>
      <c r="N323" s="35"/>
      <c r="O323" s="35"/>
      <c r="P323" s="35"/>
      <c r="Q323" s="35"/>
      <c r="R323" s="35"/>
      <c r="S323" s="35"/>
      <c r="T323" s="35"/>
      <c r="U323" s="35"/>
      <c r="V323" s="35"/>
      <c r="W323" s="35"/>
      <c r="X323" s="35"/>
      <c r="Y323" s="35"/>
      <c r="Z323" s="35"/>
      <c r="AA323" s="35"/>
      <c r="AB323" s="35"/>
      <c r="AC323" s="35"/>
      <c r="AD323" s="35"/>
      <c r="AE323" s="35"/>
      <c r="AF323" s="35"/>
      <c r="AG323" s="35"/>
      <c r="AH323" s="35"/>
      <c r="AI323" s="35"/>
      <c r="AJ323" s="35"/>
      <c r="AK323" s="35"/>
      <c r="AL323" s="35"/>
      <c r="AM323" s="35"/>
      <c r="AN323" s="35"/>
      <c r="AO323" s="35"/>
      <c r="AP323" s="35"/>
      <c r="AQ323" s="35"/>
      <c r="AR323" s="35"/>
      <c r="AS323" s="35"/>
      <c r="AT323" s="35"/>
      <c r="AU323" s="35"/>
      <c r="AV323" s="35"/>
      <c r="AW323" s="35"/>
      <c r="AX323" s="35"/>
      <c r="AY323" s="35"/>
      <c r="AZ323" s="35"/>
      <c r="BA323" s="35"/>
      <c r="BB323" s="35"/>
      <c r="BC323" s="35"/>
      <c r="BD323" s="35"/>
      <c r="BE323" s="35"/>
      <c r="BF323" s="35"/>
      <c r="BG323" s="35"/>
      <c r="BH323" s="35"/>
      <c r="BI323" s="35"/>
      <c r="BJ323" s="35"/>
      <c r="BK323" s="35"/>
      <c r="BL323" s="35"/>
    </row>
    <row r="324" spans="1:64" ht="14">
      <c r="A324" s="35"/>
      <c r="B324" s="36"/>
      <c r="C324" s="39"/>
      <c r="D324" s="78"/>
      <c r="E324" s="78"/>
      <c r="F324" s="78"/>
      <c r="G324" s="229"/>
      <c r="H324" s="229"/>
      <c r="I324" s="80"/>
      <c r="J324" s="43" t="str">
        <f t="shared" si="8"/>
        <v/>
      </c>
      <c r="K324" s="79" t="str">
        <f t="shared" si="9"/>
        <v/>
      </c>
      <c r="L324" s="39"/>
      <c r="M324" s="35"/>
      <c r="N324" s="35"/>
      <c r="O324" s="35"/>
      <c r="P324" s="35"/>
      <c r="Q324" s="35"/>
      <c r="R324" s="35"/>
      <c r="S324" s="35"/>
      <c r="T324" s="35"/>
      <c r="U324" s="35"/>
      <c r="V324" s="35"/>
      <c r="W324" s="35"/>
      <c r="X324" s="35"/>
      <c r="Y324" s="35"/>
      <c r="Z324" s="35"/>
      <c r="AA324" s="35"/>
      <c r="AB324" s="35"/>
      <c r="AC324" s="35"/>
      <c r="AD324" s="35"/>
      <c r="AE324" s="35"/>
      <c r="AF324" s="35"/>
      <c r="AG324" s="35"/>
      <c r="AH324" s="35"/>
      <c r="AI324" s="35"/>
      <c r="AJ324" s="35"/>
      <c r="AK324" s="35"/>
      <c r="AL324" s="35"/>
      <c r="AM324" s="35"/>
      <c r="AN324" s="35"/>
      <c r="AO324" s="35"/>
      <c r="AP324" s="35"/>
      <c r="AQ324" s="35"/>
      <c r="AR324" s="35"/>
      <c r="AS324" s="35"/>
      <c r="AT324" s="35"/>
      <c r="AU324" s="35"/>
      <c r="AV324" s="35"/>
      <c r="AW324" s="35"/>
      <c r="AX324" s="35"/>
      <c r="AY324" s="35"/>
      <c r="AZ324" s="35"/>
      <c r="BA324" s="35"/>
      <c r="BB324" s="35"/>
      <c r="BC324" s="35"/>
      <c r="BD324" s="35"/>
      <c r="BE324" s="35"/>
      <c r="BF324" s="35"/>
      <c r="BG324" s="35"/>
      <c r="BH324" s="35"/>
      <c r="BI324" s="35"/>
      <c r="BJ324" s="35"/>
      <c r="BK324" s="35"/>
      <c r="BL324" s="35"/>
    </row>
    <row r="325" spans="1:64" ht="14">
      <c r="A325" s="35"/>
      <c r="B325" s="36"/>
      <c r="C325" s="39"/>
      <c r="D325" s="78"/>
      <c r="E325" s="78"/>
      <c r="F325" s="78"/>
      <c r="G325" s="229"/>
      <c r="H325" s="229"/>
      <c r="I325" s="40"/>
      <c r="J325" s="43" t="str">
        <f t="shared" si="8"/>
        <v/>
      </c>
      <c r="K325" s="79" t="str">
        <f t="shared" si="9"/>
        <v/>
      </c>
      <c r="L325" s="39"/>
      <c r="M325" s="35"/>
      <c r="N325" s="35"/>
      <c r="O325" s="35"/>
      <c r="P325" s="35"/>
      <c r="Q325" s="35"/>
      <c r="R325" s="35"/>
      <c r="S325" s="35"/>
      <c r="T325" s="35"/>
      <c r="U325" s="35"/>
      <c r="V325" s="35"/>
      <c r="W325" s="35"/>
      <c r="X325" s="35"/>
      <c r="Y325" s="35"/>
      <c r="Z325" s="35"/>
      <c r="AA325" s="35"/>
      <c r="AB325" s="35"/>
      <c r="AC325" s="35"/>
      <c r="AD325" s="35"/>
      <c r="AE325" s="35"/>
      <c r="AF325" s="35"/>
      <c r="AG325" s="35"/>
      <c r="AH325" s="35"/>
      <c r="AI325" s="35"/>
      <c r="AJ325" s="35"/>
      <c r="AK325" s="35"/>
      <c r="AL325" s="35"/>
      <c r="AM325" s="35"/>
      <c r="AN325" s="35"/>
      <c r="AO325" s="35"/>
      <c r="AP325" s="35"/>
      <c r="AQ325" s="35"/>
      <c r="AR325" s="35"/>
      <c r="AS325" s="35"/>
      <c r="AT325" s="35"/>
      <c r="AU325" s="35"/>
      <c r="AV325" s="35"/>
      <c r="AW325" s="35"/>
      <c r="AX325" s="35"/>
      <c r="AY325" s="35"/>
      <c r="AZ325" s="35"/>
      <c r="BA325" s="35"/>
      <c r="BB325" s="35"/>
      <c r="BC325" s="35"/>
      <c r="BD325" s="35"/>
      <c r="BE325" s="35"/>
      <c r="BF325" s="35"/>
      <c r="BG325" s="35"/>
      <c r="BH325" s="35"/>
      <c r="BI325" s="35"/>
      <c r="BJ325" s="35"/>
      <c r="BK325" s="35"/>
      <c r="BL325" s="35"/>
    </row>
    <row r="326" spans="1:64" ht="14">
      <c r="A326" s="35"/>
      <c r="B326" s="36"/>
      <c r="C326" s="39"/>
      <c r="D326" s="78"/>
      <c r="E326" s="78"/>
      <c r="F326" s="78"/>
      <c r="G326" s="229"/>
      <c r="H326" s="229"/>
      <c r="I326" s="40"/>
      <c r="J326" s="43" t="str">
        <f t="shared" si="8"/>
        <v/>
      </c>
      <c r="K326" s="79" t="str">
        <f t="shared" si="9"/>
        <v/>
      </c>
      <c r="L326" s="39"/>
      <c r="M326" s="35"/>
      <c r="N326" s="35"/>
      <c r="O326" s="35"/>
      <c r="P326" s="35"/>
      <c r="Q326" s="35"/>
      <c r="R326" s="35"/>
      <c r="S326" s="35"/>
      <c r="T326" s="35"/>
      <c r="U326" s="35"/>
      <c r="V326" s="35"/>
      <c r="W326" s="35"/>
      <c r="X326" s="35"/>
      <c r="Y326" s="35"/>
      <c r="Z326" s="35"/>
      <c r="AA326" s="35"/>
      <c r="AB326" s="35"/>
      <c r="AC326" s="35"/>
      <c r="AD326" s="35"/>
      <c r="AE326" s="35"/>
      <c r="AF326" s="35"/>
      <c r="AG326" s="35"/>
      <c r="AH326" s="35"/>
      <c r="AI326" s="35"/>
      <c r="AJ326" s="35"/>
      <c r="AK326" s="35"/>
      <c r="AL326" s="35"/>
      <c r="AM326" s="35"/>
      <c r="AN326" s="35"/>
      <c r="AO326" s="35"/>
      <c r="AP326" s="35"/>
      <c r="AQ326" s="35"/>
      <c r="AR326" s="35"/>
      <c r="AS326" s="35"/>
      <c r="AT326" s="35"/>
      <c r="AU326" s="35"/>
      <c r="AV326" s="35"/>
      <c r="AW326" s="35"/>
      <c r="AX326" s="35"/>
      <c r="AY326" s="35"/>
      <c r="AZ326" s="35"/>
      <c r="BA326" s="35"/>
      <c r="BB326" s="35"/>
      <c r="BC326" s="35"/>
      <c r="BD326" s="35"/>
      <c r="BE326" s="35"/>
      <c r="BF326" s="35"/>
      <c r="BG326" s="35"/>
      <c r="BH326" s="35"/>
      <c r="BI326" s="35"/>
      <c r="BJ326" s="35"/>
      <c r="BK326" s="35"/>
      <c r="BL326" s="35"/>
    </row>
    <row r="327" spans="1:64" ht="14">
      <c r="A327" s="35"/>
      <c r="B327" s="36"/>
      <c r="C327" s="39"/>
      <c r="D327" s="78"/>
      <c r="E327" s="78"/>
      <c r="F327" s="78"/>
      <c r="G327" s="229"/>
      <c r="H327" s="229"/>
      <c r="I327" s="40"/>
      <c r="J327" s="43" t="str">
        <f t="shared" si="8"/>
        <v/>
      </c>
      <c r="K327" s="79" t="str">
        <f t="shared" si="9"/>
        <v/>
      </c>
      <c r="L327" s="39"/>
      <c r="M327" s="35"/>
      <c r="N327" s="35"/>
      <c r="O327" s="35"/>
      <c r="P327" s="35"/>
      <c r="Q327" s="35"/>
      <c r="R327" s="35"/>
      <c r="S327" s="35"/>
      <c r="T327" s="35"/>
      <c r="U327" s="35"/>
      <c r="V327" s="35"/>
      <c r="W327" s="35"/>
      <c r="X327" s="35"/>
      <c r="Y327" s="35"/>
      <c r="Z327" s="35"/>
      <c r="AA327" s="35"/>
      <c r="AB327" s="35"/>
      <c r="AC327" s="35"/>
      <c r="AD327" s="35"/>
      <c r="AE327" s="35"/>
      <c r="AF327" s="35"/>
      <c r="AG327" s="35"/>
      <c r="AH327" s="35"/>
      <c r="AI327" s="35"/>
      <c r="AJ327" s="35"/>
      <c r="AK327" s="35"/>
      <c r="AL327" s="35"/>
      <c r="AM327" s="35"/>
      <c r="AN327" s="35"/>
      <c r="AO327" s="35"/>
      <c r="AP327" s="35"/>
      <c r="AQ327" s="35"/>
      <c r="AR327" s="35"/>
      <c r="AS327" s="35"/>
      <c r="AT327" s="35"/>
      <c r="AU327" s="35"/>
      <c r="AV327" s="35"/>
      <c r="AW327" s="35"/>
      <c r="AX327" s="35"/>
      <c r="AY327" s="35"/>
      <c r="AZ327" s="35"/>
      <c r="BA327" s="35"/>
      <c r="BB327" s="35"/>
      <c r="BC327" s="35"/>
      <c r="BD327" s="35"/>
      <c r="BE327" s="35"/>
      <c r="BF327" s="35"/>
      <c r="BG327" s="35"/>
      <c r="BH327" s="35"/>
      <c r="BI327" s="35"/>
      <c r="BJ327" s="35"/>
      <c r="BK327" s="35"/>
      <c r="BL327" s="35"/>
    </row>
    <row r="328" spans="1:64" ht="14">
      <c r="A328" s="35"/>
      <c r="B328" s="36"/>
      <c r="C328" s="39"/>
      <c r="D328" s="78"/>
      <c r="E328" s="78"/>
      <c r="F328" s="78"/>
      <c r="G328" s="229"/>
      <c r="H328" s="229"/>
      <c r="I328" s="40"/>
      <c r="J328" s="43" t="str">
        <f t="shared" si="8"/>
        <v/>
      </c>
      <c r="K328" s="79" t="str">
        <f t="shared" si="9"/>
        <v/>
      </c>
      <c r="L328" s="39"/>
      <c r="M328" s="35"/>
      <c r="N328" s="35"/>
      <c r="O328" s="35"/>
      <c r="P328" s="35"/>
      <c r="Q328" s="35"/>
      <c r="R328" s="35"/>
      <c r="S328" s="35"/>
      <c r="T328" s="35"/>
      <c r="U328" s="35"/>
      <c r="V328" s="35"/>
      <c r="W328" s="35"/>
      <c r="X328" s="35"/>
      <c r="Y328" s="35"/>
      <c r="Z328" s="35"/>
      <c r="AA328" s="35"/>
      <c r="AB328" s="35"/>
      <c r="AC328" s="35"/>
      <c r="AD328" s="35"/>
      <c r="AE328" s="35"/>
      <c r="AF328" s="35"/>
      <c r="AG328" s="35"/>
      <c r="AH328" s="35"/>
      <c r="AI328" s="35"/>
      <c r="AJ328" s="35"/>
      <c r="AK328" s="35"/>
      <c r="AL328" s="35"/>
      <c r="AM328" s="35"/>
      <c r="AN328" s="35"/>
      <c r="AO328" s="35"/>
      <c r="AP328" s="35"/>
      <c r="AQ328" s="35"/>
      <c r="AR328" s="35"/>
      <c r="AS328" s="35"/>
      <c r="AT328" s="35"/>
      <c r="AU328" s="35"/>
      <c r="AV328" s="35"/>
      <c r="AW328" s="35"/>
      <c r="AX328" s="35"/>
      <c r="AY328" s="35"/>
      <c r="AZ328" s="35"/>
      <c r="BA328" s="35"/>
      <c r="BB328" s="35"/>
      <c r="BC328" s="35"/>
      <c r="BD328" s="35"/>
      <c r="BE328" s="35"/>
      <c r="BF328" s="35"/>
      <c r="BG328" s="35"/>
      <c r="BH328" s="35"/>
      <c r="BI328" s="35"/>
      <c r="BJ328" s="35"/>
      <c r="BK328" s="35"/>
      <c r="BL328" s="35"/>
    </row>
    <row r="329" spans="1:64" ht="14">
      <c r="A329" s="35"/>
      <c r="B329" s="36"/>
      <c r="C329" s="39"/>
      <c r="D329" s="78"/>
      <c r="E329" s="78"/>
      <c r="F329" s="78"/>
      <c r="G329" s="229"/>
      <c r="H329" s="229"/>
      <c r="I329" s="40"/>
      <c r="J329" s="43" t="str">
        <f t="shared" si="8"/>
        <v/>
      </c>
      <c r="K329" s="79" t="str">
        <f t="shared" si="9"/>
        <v/>
      </c>
      <c r="L329" s="39"/>
      <c r="M329" s="35"/>
      <c r="N329" s="35"/>
      <c r="O329" s="35"/>
      <c r="P329" s="35"/>
      <c r="Q329" s="35"/>
      <c r="R329" s="35"/>
      <c r="S329" s="35"/>
      <c r="T329" s="35"/>
      <c r="U329" s="35"/>
      <c r="V329" s="35"/>
      <c r="W329" s="35"/>
      <c r="X329" s="35"/>
      <c r="Y329" s="35"/>
      <c r="Z329" s="35"/>
      <c r="AA329" s="35"/>
      <c r="AB329" s="35"/>
      <c r="AC329" s="35"/>
      <c r="AD329" s="35"/>
      <c r="AE329" s="35"/>
      <c r="AF329" s="35"/>
      <c r="AG329" s="35"/>
      <c r="AH329" s="35"/>
      <c r="AI329" s="35"/>
      <c r="AJ329" s="35"/>
      <c r="AK329" s="35"/>
      <c r="AL329" s="35"/>
      <c r="AM329" s="35"/>
      <c r="AN329" s="35"/>
      <c r="AO329" s="35"/>
      <c r="AP329" s="35"/>
      <c r="AQ329" s="35"/>
      <c r="AR329" s="35"/>
      <c r="AS329" s="35"/>
      <c r="AT329" s="35"/>
      <c r="AU329" s="35"/>
      <c r="AV329" s="35"/>
      <c r="AW329" s="35"/>
      <c r="AX329" s="35"/>
      <c r="AY329" s="35"/>
      <c r="AZ329" s="35"/>
      <c r="BA329" s="35"/>
      <c r="BB329" s="35"/>
      <c r="BC329" s="35"/>
      <c r="BD329" s="35"/>
      <c r="BE329" s="35"/>
      <c r="BF329" s="35"/>
      <c r="BG329" s="35"/>
      <c r="BH329" s="35"/>
      <c r="BI329" s="35"/>
      <c r="BJ329" s="35"/>
      <c r="BK329" s="35"/>
      <c r="BL329" s="35"/>
    </row>
    <row r="330" spans="1:64" ht="14">
      <c r="A330" s="35"/>
      <c r="B330" s="36"/>
      <c r="C330" s="39"/>
      <c r="D330" s="78"/>
      <c r="E330" s="78"/>
      <c r="F330" s="78"/>
      <c r="G330" s="229"/>
      <c r="H330" s="229"/>
      <c r="I330" s="40"/>
      <c r="J330" s="43" t="str">
        <f t="shared" si="8"/>
        <v/>
      </c>
      <c r="K330" s="79" t="str">
        <f t="shared" si="9"/>
        <v/>
      </c>
      <c r="L330" s="39"/>
      <c r="M330" s="35"/>
      <c r="N330" s="35"/>
      <c r="O330" s="35"/>
      <c r="P330" s="35"/>
      <c r="Q330" s="35"/>
      <c r="R330" s="35"/>
      <c r="S330" s="35"/>
      <c r="T330" s="35"/>
      <c r="U330" s="35"/>
      <c r="V330" s="35"/>
      <c r="W330" s="35"/>
      <c r="X330" s="35"/>
      <c r="Y330" s="35"/>
      <c r="Z330" s="35"/>
      <c r="AA330" s="35"/>
      <c r="AB330" s="35"/>
      <c r="AC330" s="35"/>
      <c r="AD330" s="35"/>
      <c r="AE330" s="35"/>
      <c r="AF330" s="35"/>
      <c r="AG330" s="35"/>
      <c r="AH330" s="35"/>
      <c r="AI330" s="35"/>
      <c r="AJ330" s="35"/>
      <c r="AK330" s="35"/>
      <c r="AL330" s="35"/>
      <c r="AM330" s="35"/>
      <c r="AN330" s="35"/>
      <c r="AO330" s="35"/>
      <c r="AP330" s="35"/>
      <c r="AQ330" s="35"/>
      <c r="AR330" s="35"/>
      <c r="AS330" s="35"/>
      <c r="AT330" s="35"/>
      <c r="AU330" s="35"/>
      <c r="AV330" s="35"/>
      <c r="AW330" s="35"/>
      <c r="AX330" s="35"/>
      <c r="AY330" s="35"/>
      <c r="AZ330" s="35"/>
      <c r="BA330" s="35"/>
      <c r="BB330" s="35"/>
      <c r="BC330" s="35"/>
      <c r="BD330" s="35"/>
      <c r="BE330" s="35"/>
      <c r="BF330" s="35"/>
      <c r="BG330" s="35"/>
      <c r="BH330" s="35"/>
      <c r="BI330" s="35"/>
      <c r="BJ330" s="35"/>
      <c r="BK330" s="35"/>
      <c r="BL330" s="35"/>
    </row>
    <row r="331" spans="1:64" ht="14">
      <c r="A331" s="35"/>
      <c r="B331" s="36"/>
      <c r="C331" s="39"/>
      <c r="D331" s="78"/>
      <c r="E331" s="78"/>
      <c r="F331" s="78"/>
      <c r="G331" s="229"/>
      <c r="H331" s="229"/>
      <c r="I331" s="40"/>
      <c r="J331" s="43" t="str">
        <f t="shared" ref="J331:J394" si="10">IF($C331&lt;&gt;"",$E331*1.5,"")</f>
        <v/>
      </c>
      <c r="K331" s="79" t="str">
        <f t="shared" ref="K331:K394" si="11">IFERROR($J331/10,"")</f>
        <v/>
      </c>
      <c r="L331" s="39"/>
      <c r="M331" s="35"/>
      <c r="N331" s="35"/>
      <c r="O331" s="35"/>
      <c r="P331" s="35"/>
      <c r="Q331" s="35"/>
      <c r="R331" s="35"/>
      <c r="S331" s="35"/>
      <c r="T331" s="35"/>
      <c r="U331" s="35"/>
      <c r="V331" s="35"/>
      <c r="W331" s="35"/>
      <c r="X331" s="35"/>
      <c r="Y331" s="35"/>
      <c r="Z331" s="35"/>
      <c r="AA331" s="35"/>
      <c r="AB331" s="35"/>
      <c r="AC331" s="35"/>
      <c r="AD331" s="35"/>
      <c r="AE331" s="35"/>
      <c r="AF331" s="35"/>
      <c r="AG331" s="35"/>
      <c r="AH331" s="35"/>
      <c r="AI331" s="35"/>
      <c r="AJ331" s="35"/>
      <c r="AK331" s="35"/>
      <c r="AL331" s="35"/>
      <c r="AM331" s="35"/>
      <c r="AN331" s="35"/>
      <c r="AO331" s="35"/>
      <c r="AP331" s="35"/>
      <c r="AQ331" s="35"/>
      <c r="AR331" s="35"/>
      <c r="AS331" s="35"/>
      <c r="AT331" s="35"/>
      <c r="AU331" s="35"/>
      <c r="AV331" s="35"/>
      <c r="AW331" s="35"/>
      <c r="AX331" s="35"/>
      <c r="AY331" s="35"/>
      <c r="AZ331" s="35"/>
      <c r="BA331" s="35"/>
      <c r="BB331" s="35"/>
      <c r="BC331" s="35"/>
      <c r="BD331" s="35"/>
      <c r="BE331" s="35"/>
      <c r="BF331" s="35"/>
      <c r="BG331" s="35"/>
      <c r="BH331" s="35"/>
      <c r="BI331" s="35"/>
      <c r="BJ331" s="35"/>
      <c r="BK331" s="35"/>
      <c r="BL331" s="35"/>
    </row>
    <row r="332" spans="1:64" ht="14">
      <c r="A332" s="35"/>
      <c r="B332" s="36"/>
      <c r="C332" s="39"/>
      <c r="D332" s="78"/>
      <c r="E332" s="78"/>
      <c r="F332" s="78"/>
      <c r="G332" s="229"/>
      <c r="H332" s="229"/>
      <c r="I332" s="40"/>
      <c r="J332" s="43" t="str">
        <f t="shared" si="10"/>
        <v/>
      </c>
      <c r="K332" s="79" t="str">
        <f t="shared" si="11"/>
        <v/>
      </c>
      <c r="L332" s="39"/>
      <c r="M332" s="35"/>
      <c r="N332" s="35"/>
      <c r="O332" s="35"/>
      <c r="P332" s="35"/>
      <c r="Q332" s="35"/>
      <c r="R332" s="35"/>
      <c r="S332" s="35"/>
      <c r="T332" s="35"/>
      <c r="U332" s="35"/>
      <c r="V332" s="35"/>
      <c r="W332" s="35"/>
      <c r="X332" s="35"/>
      <c r="Y332" s="35"/>
      <c r="Z332" s="35"/>
      <c r="AA332" s="35"/>
      <c r="AB332" s="35"/>
      <c r="AC332" s="35"/>
      <c r="AD332" s="35"/>
      <c r="AE332" s="35"/>
      <c r="AF332" s="35"/>
      <c r="AG332" s="35"/>
      <c r="AH332" s="35"/>
      <c r="AI332" s="35"/>
      <c r="AJ332" s="35"/>
      <c r="AK332" s="35"/>
      <c r="AL332" s="35"/>
      <c r="AM332" s="35"/>
      <c r="AN332" s="35"/>
      <c r="AO332" s="35"/>
      <c r="AP332" s="35"/>
      <c r="AQ332" s="35"/>
      <c r="AR332" s="35"/>
      <c r="AS332" s="35"/>
      <c r="AT332" s="35"/>
      <c r="AU332" s="35"/>
      <c r="AV332" s="35"/>
      <c r="AW332" s="35"/>
      <c r="AX332" s="35"/>
      <c r="AY332" s="35"/>
      <c r="AZ332" s="35"/>
      <c r="BA332" s="35"/>
      <c r="BB332" s="35"/>
      <c r="BC332" s="35"/>
      <c r="BD332" s="35"/>
      <c r="BE332" s="35"/>
      <c r="BF332" s="35"/>
      <c r="BG332" s="35"/>
      <c r="BH332" s="35"/>
      <c r="BI332" s="35"/>
      <c r="BJ332" s="35"/>
      <c r="BK332" s="35"/>
      <c r="BL332" s="35"/>
    </row>
    <row r="333" spans="1:64" ht="14">
      <c r="A333" s="35"/>
      <c r="B333" s="36"/>
      <c r="C333" s="39"/>
      <c r="D333" s="78"/>
      <c r="E333" s="78"/>
      <c r="F333" s="78"/>
      <c r="G333" s="229"/>
      <c r="H333" s="229"/>
      <c r="I333" s="40"/>
      <c r="J333" s="43" t="str">
        <f t="shared" si="10"/>
        <v/>
      </c>
      <c r="K333" s="79" t="str">
        <f t="shared" si="11"/>
        <v/>
      </c>
      <c r="L333" s="39"/>
      <c r="M333" s="35"/>
      <c r="N333" s="35"/>
      <c r="O333" s="35"/>
      <c r="P333" s="35"/>
      <c r="Q333" s="35"/>
      <c r="R333" s="35"/>
      <c r="S333" s="35"/>
      <c r="T333" s="35"/>
      <c r="U333" s="35"/>
      <c r="V333" s="35"/>
      <c r="W333" s="35"/>
      <c r="X333" s="35"/>
      <c r="Y333" s="35"/>
      <c r="Z333" s="35"/>
      <c r="AA333" s="35"/>
      <c r="AB333" s="35"/>
      <c r="AC333" s="35"/>
      <c r="AD333" s="35"/>
      <c r="AE333" s="35"/>
      <c r="AF333" s="35"/>
      <c r="AG333" s="35"/>
      <c r="AH333" s="35"/>
      <c r="AI333" s="35"/>
      <c r="AJ333" s="35"/>
      <c r="AK333" s="35"/>
      <c r="AL333" s="35"/>
      <c r="AM333" s="35"/>
      <c r="AN333" s="35"/>
      <c r="AO333" s="35"/>
      <c r="AP333" s="35"/>
      <c r="AQ333" s="35"/>
      <c r="AR333" s="35"/>
      <c r="AS333" s="35"/>
      <c r="AT333" s="35"/>
      <c r="AU333" s="35"/>
      <c r="AV333" s="35"/>
      <c r="AW333" s="35"/>
      <c r="AX333" s="35"/>
      <c r="AY333" s="35"/>
      <c r="AZ333" s="35"/>
      <c r="BA333" s="35"/>
      <c r="BB333" s="35"/>
      <c r="BC333" s="35"/>
      <c r="BD333" s="35"/>
      <c r="BE333" s="35"/>
      <c r="BF333" s="35"/>
      <c r="BG333" s="35"/>
      <c r="BH333" s="35"/>
      <c r="BI333" s="35"/>
      <c r="BJ333" s="35"/>
      <c r="BK333" s="35"/>
      <c r="BL333" s="35"/>
    </row>
    <row r="334" spans="1:64" ht="14">
      <c r="A334" s="35"/>
      <c r="B334" s="36"/>
      <c r="C334" s="39"/>
      <c r="D334" s="78"/>
      <c r="E334" s="78"/>
      <c r="F334" s="78"/>
      <c r="G334" s="229"/>
      <c r="H334" s="229"/>
      <c r="I334" s="40"/>
      <c r="J334" s="43" t="str">
        <f t="shared" si="10"/>
        <v/>
      </c>
      <c r="K334" s="79" t="str">
        <f t="shared" si="11"/>
        <v/>
      </c>
      <c r="L334" s="39"/>
      <c r="M334" s="35"/>
      <c r="N334" s="35"/>
      <c r="O334" s="35"/>
      <c r="P334" s="35"/>
      <c r="Q334" s="35"/>
      <c r="R334" s="35"/>
      <c r="S334" s="35"/>
      <c r="T334" s="35"/>
      <c r="U334" s="35"/>
      <c r="V334" s="35"/>
      <c r="W334" s="35"/>
      <c r="X334" s="35"/>
      <c r="Y334" s="35"/>
      <c r="Z334" s="35"/>
      <c r="AA334" s="35"/>
      <c r="AB334" s="35"/>
      <c r="AC334" s="35"/>
      <c r="AD334" s="35"/>
      <c r="AE334" s="35"/>
      <c r="AF334" s="35"/>
      <c r="AG334" s="35"/>
      <c r="AH334" s="35"/>
      <c r="AI334" s="35"/>
      <c r="AJ334" s="35"/>
      <c r="AK334" s="35"/>
      <c r="AL334" s="35"/>
      <c r="AM334" s="35"/>
      <c r="AN334" s="35"/>
      <c r="AO334" s="35"/>
      <c r="AP334" s="35"/>
      <c r="AQ334" s="35"/>
      <c r="AR334" s="35"/>
      <c r="AS334" s="35"/>
      <c r="AT334" s="35"/>
      <c r="AU334" s="35"/>
      <c r="AV334" s="35"/>
      <c r="AW334" s="35"/>
      <c r="AX334" s="35"/>
      <c r="AY334" s="35"/>
      <c r="AZ334" s="35"/>
      <c r="BA334" s="35"/>
      <c r="BB334" s="35"/>
      <c r="BC334" s="35"/>
      <c r="BD334" s="35"/>
      <c r="BE334" s="35"/>
      <c r="BF334" s="35"/>
      <c r="BG334" s="35"/>
      <c r="BH334" s="35"/>
      <c r="BI334" s="35"/>
      <c r="BJ334" s="35"/>
      <c r="BK334" s="35"/>
      <c r="BL334" s="35"/>
    </row>
    <row r="335" spans="1:64" ht="14">
      <c r="A335" s="35"/>
      <c r="B335" s="36"/>
      <c r="C335" s="39"/>
      <c r="D335" s="78"/>
      <c r="E335" s="78"/>
      <c r="F335" s="78"/>
      <c r="G335" s="229"/>
      <c r="H335" s="229"/>
      <c r="I335" s="40"/>
      <c r="J335" s="43" t="str">
        <f t="shared" si="10"/>
        <v/>
      </c>
      <c r="K335" s="79" t="str">
        <f t="shared" si="11"/>
        <v/>
      </c>
      <c r="L335" s="39"/>
      <c r="M335" s="35"/>
      <c r="N335" s="35"/>
      <c r="O335" s="35"/>
      <c r="P335" s="35"/>
      <c r="Q335" s="35"/>
      <c r="R335" s="35"/>
      <c r="S335" s="35"/>
      <c r="T335" s="35"/>
      <c r="U335" s="35"/>
      <c r="V335" s="35"/>
      <c r="W335" s="35"/>
      <c r="X335" s="35"/>
      <c r="Y335" s="35"/>
      <c r="Z335" s="35"/>
      <c r="AA335" s="35"/>
      <c r="AB335" s="35"/>
      <c r="AC335" s="35"/>
      <c r="AD335" s="35"/>
      <c r="AE335" s="35"/>
      <c r="AF335" s="35"/>
      <c r="AG335" s="35"/>
      <c r="AH335" s="35"/>
      <c r="AI335" s="35"/>
      <c r="AJ335" s="35"/>
      <c r="AK335" s="35"/>
      <c r="AL335" s="35"/>
      <c r="AM335" s="35"/>
      <c r="AN335" s="35"/>
      <c r="AO335" s="35"/>
      <c r="AP335" s="35"/>
      <c r="AQ335" s="35"/>
      <c r="AR335" s="35"/>
      <c r="AS335" s="35"/>
      <c r="AT335" s="35"/>
      <c r="AU335" s="35"/>
      <c r="AV335" s="35"/>
      <c r="AW335" s="35"/>
      <c r="AX335" s="35"/>
      <c r="AY335" s="35"/>
      <c r="AZ335" s="35"/>
      <c r="BA335" s="35"/>
      <c r="BB335" s="35"/>
      <c r="BC335" s="35"/>
      <c r="BD335" s="35"/>
      <c r="BE335" s="35"/>
      <c r="BF335" s="35"/>
      <c r="BG335" s="35"/>
      <c r="BH335" s="35"/>
      <c r="BI335" s="35"/>
      <c r="BJ335" s="35"/>
      <c r="BK335" s="35"/>
      <c r="BL335" s="35"/>
    </row>
    <row r="336" spans="1:64" ht="14">
      <c r="A336" s="35"/>
      <c r="B336" s="36"/>
      <c r="C336" s="39"/>
      <c r="D336" s="78"/>
      <c r="E336" s="78"/>
      <c r="F336" s="78"/>
      <c r="G336" s="229"/>
      <c r="H336" s="229"/>
      <c r="I336" s="40"/>
      <c r="J336" s="43" t="str">
        <f t="shared" si="10"/>
        <v/>
      </c>
      <c r="K336" s="79" t="str">
        <f t="shared" si="11"/>
        <v/>
      </c>
      <c r="L336" s="39"/>
      <c r="M336" s="35"/>
      <c r="N336" s="35"/>
      <c r="O336" s="35"/>
      <c r="P336" s="35"/>
      <c r="Q336" s="35"/>
      <c r="R336" s="35"/>
      <c r="S336" s="35"/>
      <c r="T336" s="35"/>
      <c r="U336" s="35"/>
      <c r="V336" s="35"/>
      <c r="W336" s="35"/>
      <c r="X336" s="35"/>
      <c r="Y336" s="35"/>
      <c r="Z336" s="35"/>
      <c r="AA336" s="35"/>
      <c r="AB336" s="35"/>
      <c r="AC336" s="35"/>
      <c r="AD336" s="35"/>
      <c r="AE336" s="35"/>
      <c r="AF336" s="35"/>
      <c r="AG336" s="35"/>
      <c r="AH336" s="35"/>
      <c r="AI336" s="35"/>
      <c r="AJ336" s="35"/>
      <c r="AK336" s="35"/>
      <c r="AL336" s="35"/>
      <c r="AM336" s="35"/>
      <c r="AN336" s="35"/>
      <c r="AO336" s="35"/>
      <c r="AP336" s="35"/>
      <c r="AQ336" s="35"/>
      <c r="AR336" s="35"/>
      <c r="AS336" s="35"/>
      <c r="AT336" s="35"/>
      <c r="AU336" s="35"/>
      <c r="AV336" s="35"/>
      <c r="AW336" s="35"/>
      <c r="AX336" s="35"/>
      <c r="AY336" s="35"/>
      <c r="AZ336" s="35"/>
      <c r="BA336" s="35"/>
      <c r="BB336" s="35"/>
      <c r="BC336" s="35"/>
      <c r="BD336" s="35"/>
      <c r="BE336" s="35"/>
      <c r="BF336" s="35"/>
      <c r="BG336" s="35"/>
      <c r="BH336" s="35"/>
      <c r="BI336" s="35"/>
      <c r="BJ336" s="35"/>
      <c r="BK336" s="35"/>
      <c r="BL336" s="35"/>
    </row>
    <row r="337" spans="1:64" ht="14">
      <c r="A337" s="35"/>
      <c r="B337" s="36"/>
      <c r="C337" s="39"/>
      <c r="D337" s="78"/>
      <c r="E337" s="78"/>
      <c r="F337" s="78"/>
      <c r="G337" s="229"/>
      <c r="H337" s="229"/>
      <c r="I337" s="40"/>
      <c r="J337" s="43" t="str">
        <f t="shared" si="10"/>
        <v/>
      </c>
      <c r="K337" s="79" t="str">
        <f t="shared" si="11"/>
        <v/>
      </c>
      <c r="L337" s="39"/>
      <c r="M337" s="35"/>
      <c r="N337" s="35"/>
      <c r="O337" s="35"/>
      <c r="P337" s="35"/>
      <c r="Q337" s="35"/>
      <c r="R337" s="35"/>
      <c r="S337" s="35"/>
      <c r="T337" s="35"/>
      <c r="U337" s="35"/>
      <c r="V337" s="35"/>
      <c r="W337" s="35"/>
      <c r="X337" s="35"/>
      <c r="Y337" s="35"/>
      <c r="Z337" s="35"/>
      <c r="AA337" s="35"/>
      <c r="AB337" s="35"/>
      <c r="AC337" s="35"/>
      <c r="AD337" s="35"/>
      <c r="AE337" s="35"/>
      <c r="AF337" s="35"/>
      <c r="AG337" s="35"/>
      <c r="AH337" s="35"/>
      <c r="AI337" s="35"/>
      <c r="AJ337" s="35"/>
      <c r="AK337" s="35"/>
      <c r="AL337" s="35"/>
      <c r="AM337" s="35"/>
      <c r="AN337" s="35"/>
      <c r="AO337" s="35"/>
      <c r="AP337" s="35"/>
      <c r="AQ337" s="35"/>
      <c r="AR337" s="35"/>
      <c r="AS337" s="35"/>
      <c r="AT337" s="35"/>
      <c r="AU337" s="35"/>
      <c r="AV337" s="35"/>
      <c r="AW337" s="35"/>
      <c r="AX337" s="35"/>
      <c r="AY337" s="35"/>
      <c r="AZ337" s="35"/>
      <c r="BA337" s="35"/>
      <c r="BB337" s="35"/>
      <c r="BC337" s="35"/>
      <c r="BD337" s="35"/>
      <c r="BE337" s="35"/>
      <c r="BF337" s="35"/>
      <c r="BG337" s="35"/>
      <c r="BH337" s="35"/>
      <c r="BI337" s="35"/>
      <c r="BJ337" s="35"/>
      <c r="BK337" s="35"/>
      <c r="BL337" s="35"/>
    </row>
    <row r="338" spans="1:64" ht="14">
      <c r="A338" s="35"/>
      <c r="B338" s="36"/>
      <c r="C338" s="39"/>
      <c r="D338" s="78"/>
      <c r="E338" s="78"/>
      <c r="F338" s="78"/>
      <c r="G338" s="229"/>
      <c r="H338" s="229"/>
      <c r="I338" s="40"/>
      <c r="J338" s="43" t="str">
        <f t="shared" si="10"/>
        <v/>
      </c>
      <c r="K338" s="79" t="str">
        <f t="shared" si="11"/>
        <v/>
      </c>
      <c r="L338" s="39"/>
      <c r="M338" s="35"/>
      <c r="N338" s="35"/>
      <c r="O338" s="35"/>
      <c r="P338" s="35"/>
      <c r="Q338" s="35"/>
      <c r="R338" s="35"/>
      <c r="S338" s="35"/>
      <c r="T338" s="35"/>
      <c r="U338" s="35"/>
      <c r="V338" s="35"/>
      <c r="W338" s="35"/>
      <c r="X338" s="35"/>
      <c r="Y338" s="35"/>
      <c r="Z338" s="35"/>
      <c r="AA338" s="35"/>
      <c r="AB338" s="35"/>
      <c r="AC338" s="35"/>
      <c r="AD338" s="35"/>
      <c r="AE338" s="35"/>
      <c r="AF338" s="35"/>
      <c r="AG338" s="35"/>
      <c r="AH338" s="35"/>
      <c r="AI338" s="35"/>
      <c r="AJ338" s="35"/>
      <c r="AK338" s="35"/>
      <c r="AL338" s="35"/>
      <c r="AM338" s="35"/>
      <c r="AN338" s="35"/>
      <c r="AO338" s="35"/>
      <c r="AP338" s="35"/>
      <c r="AQ338" s="35"/>
      <c r="AR338" s="35"/>
      <c r="AS338" s="35"/>
      <c r="AT338" s="35"/>
      <c r="AU338" s="35"/>
      <c r="AV338" s="35"/>
      <c r="AW338" s="35"/>
      <c r="AX338" s="35"/>
      <c r="AY338" s="35"/>
      <c r="AZ338" s="35"/>
      <c r="BA338" s="35"/>
      <c r="BB338" s="35"/>
      <c r="BC338" s="35"/>
      <c r="BD338" s="35"/>
      <c r="BE338" s="35"/>
      <c r="BF338" s="35"/>
      <c r="BG338" s="35"/>
      <c r="BH338" s="35"/>
      <c r="BI338" s="35"/>
      <c r="BJ338" s="35"/>
      <c r="BK338" s="35"/>
      <c r="BL338" s="35"/>
    </row>
    <row r="339" spans="1:64" ht="14">
      <c r="A339" s="35"/>
      <c r="B339" s="36"/>
      <c r="C339" s="39"/>
      <c r="D339" s="78"/>
      <c r="E339" s="78"/>
      <c r="F339" s="78"/>
      <c r="G339" s="229"/>
      <c r="H339" s="229"/>
      <c r="I339" s="40"/>
      <c r="J339" s="43" t="str">
        <f t="shared" si="10"/>
        <v/>
      </c>
      <c r="K339" s="79" t="str">
        <f t="shared" si="11"/>
        <v/>
      </c>
      <c r="L339" s="39"/>
      <c r="M339" s="35"/>
      <c r="N339" s="35"/>
      <c r="O339" s="35"/>
      <c r="P339" s="35"/>
      <c r="Q339" s="35"/>
      <c r="R339" s="35"/>
      <c r="S339" s="35"/>
      <c r="T339" s="35"/>
      <c r="U339" s="35"/>
      <c r="V339" s="35"/>
      <c r="W339" s="35"/>
      <c r="X339" s="35"/>
      <c r="Y339" s="35"/>
      <c r="Z339" s="35"/>
      <c r="AA339" s="35"/>
      <c r="AB339" s="35"/>
      <c r="AC339" s="35"/>
      <c r="AD339" s="35"/>
      <c r="AE339" s="35"/>
      <c r="AF339" s="35"/>
      <c r="AG339" s="35"/>
      <c r="AH339" s="35"/>
      <c r="AI339" s="35"/>
      <c r="AJ339" s="35"/>
      <c r="AK339" s="35"/>
      <c r="AL339" s="35"/>
      <c r="AM339" s="35"/>
      <c r="AN339" s="35"/>
      <c r="AO339" s="35"/>
      <c r="AP339" s="35"/>
      <c r="AQ339" s="35"/>
      <c r="AR339" s="35"/>
      <c r="AS339" s="35"/>
      <c r="AT339" s="35"/>
      <c r="AU339" s="35"/>
      <c r="AV339" s="35"/>
      <c r="AW339" s="35"/>
      <c r="AX339" s="35"/>
      <c r="AY339" s="35"/>
      <c r="AZ339" s="35"/>
      <c r="BA339" s="35"/>
      <c r="BB339" s="35"/>
      <c r="BC339" s="35"/>
      <c r="BD339" s="35"/>
      <c r="BE339" s="35"/>
      <c r="BF339" s="35"/>
      <c r="BG339" s="35"/>
      <c r="BH339" s="35"/>
      <c r="BI339" s="35"/>
      <c r="BJ339" s="35"/>
      <c r="BK339" s="35"/>
      <c r="BL339" s="35"/>
    </row>
    <row r="340" spans="1:64" ht="14">
      <c r="A340" s="35"/>
      <c r="B340" s="36"/>
      <c r="C340" s="39"/>
      <c r="D340" s="78"/>
      <c r="E340" s="78"/>
      <c r="F340" s="78"/>
      <c r="G340" s="229"/>
      <c r="H340" s="229"/>
      <c r="I340" s="40"/>
      <c r="J340" s="43" t="str">
        <f t="shared" si="10"/>
        <v/>
      </c>
      <c r="K340" s="79" t="str">
        <f t="shared" si="11"/>
        <v/>
      </c>
      <c r="L340" s="39"/>
      <c r="M340" s="35"/>
      <c r="N340" s="35"/>
      <c r="O340" s="35"/>
      <c r="P340" s="35"/>
      <c r="Q340" s="35"/>
      <c r="R340" s="35"/>
      <c r="S340" s="35"/>
      <c r="T340" s="35"/>
      <c r="U340" s="35"/>
      <c r="V340" s="35"/>
      <c r="W340" s="35"/>
      <c r="X340" s="35"/>
      <c r="Y340" s="35"/>
      <c r="Z340" s="35"/>
      <c r="AA340" s="35"/>
      <c r="AB340" s="35"/>
      <c r="AC340" s="35"/>
      <c r="AD340" s="35"/>
      <c r="AE340" s="35"/>
      <c r="AF340" s="35"/>
      <c r="AG340" s="35"/>
      <c r="AH340" s="35"/>
      <c r="AI340" s="35"/>
      <c r="AJ340" s="35"/>
      <c r="AK340" s="35"/>
      <c r="AL340" s="35"/>
      <c r="AM340" s="35"/>
      <c r="AN340" s="35"/>
      <c r="AO340" s="35"/>
      <c r="AP340" s="35"/>
      <c r="AQ340" s="35"/>
      <c r="AR340" s="35"/>
      <c r="AS340" s="35"/>
      <c r="AT340" s="35"/>
      <c r="AU340" s="35"/>
      <c r="AV340" s="35"/>
      <c r="AW340" s="35"/>
      <c r="AX340" s="35"/>
      <c r="AY340" s="35"/>
      <c r="AZ340" s="35"/>
      <c r="BA340" s="35"/>
      <c r="BB340" s="35"/>
      <c r="BC340" s="35"/>
      <c r="BD340" s="35"/>
      <c r="BE340" s="35"/>
      <c r="BF340" s="35"/>
      <c r="BG340" s="35"/>
      <c r="BH340" s="35"/>
      <c r="BI340" s="35"/>
      <c r="BJ340" s="35"/>
      <c r="BK340" s="35"/>
      <c r="BL340" s="35"/>
    </row>
    <row r="341" spans="1:64" ht="14">
      <c r="A341" s="35"/>
      <c r="B341" s="36"/>
      <c r="C341" s="39"/>
      <c r="D341" s="78"/>
      <c r="E341" s="78"/>
      <c r="F341" s="78"/>
      <c r="G341" s="229"/>
      <c r="H341" s="229"/>
      <c r="I341" s="40"/>
      <c r="J341" s="43" t="str">
        <f t="shared" si="10"/>
        <v/>
      </c>
      <c r="K341" s="79" t="str">
        <f t="shared" si="11"/>
        <v/>
      </c>
      <c r="L341" s="39"/>
      <c r="M341" s="35"/>
      <c r="N341" s="35"/>
      <c r="O341" s="35"/>
      <c r="P341" s="35"/>
      <c r="Q341" s="35"/>
      <c r="R341" s="35"/>
      <c r="S341" s="35"/>
      <c r="T341" s="35"/>
      <c r="U341" s="35"/>
      <c r="V341" s="35"/>
      <c r="W341" s="35"/>
      <c r="X341" s="35"/>
      <c r="Y341" s="35"/>
      <c r="Z341" s="35"/>
      <c r="AA341" s="35"/>
      <c r="AB341" s="35"/>
      <c r="AC341" s="35"/>
      <c r="AD341" s="35"/>
      <c r="AE341" s="35"/>
      <c r="AF341" s="35"/>
      <c r="AG341" s="35"/>
      <c r="AH341" s="35"/>
      <c r="AI341" s="35"/>
      <c r="AJ341" s="35"/>
      <c r="AK341" s="35"/>
      <c r="AL341" s="35"/>
      <c r="AM341" s="35"/>
      <c r="AN341" s="35"/>
      <c r="AO341" s="35"/>
      <c r="AP341" s="35"/>
      <c r="AQ341" s="35"/>
      <c r="AR341" s="35"/>
      <c r="AS341" s="35"/>
      <c r="AT341" s="35"/>
      <c r="AU341" s="35"/>
      <c r="AV341" s="35"/>
      <c r="AW341" s="35"/>
      <c r="AX341" s="35"/>
      <c r="AY341" s="35"/>
      <c r="AZ341" s="35"/>
      <c r="BA341" s="35"/>
      <c r="BB341" s="35"/>
      <c r="BC341" s="35"/>
      <c r="BD341" s="35"/>
      <c r="BE341" s="35"/>
      <c r="BF341" s="35"/>
      <c r="BG341" s="35"/>
      <c r="BH341" s="35"/>
      <c r="BI341" s="35"/>
      <c r="BJ341" s="35"/>
      <c r="BK341" s="35"/>
      <c r="BL341" s="35"/>
    </row>
    <row r="342" spans="1:64" ht="14">
      <c r="A342" s="35"/>
      <c r="B342" s="36"/>
      <c r="C342" s="39"/>
      <c r="D342" s="78"/>
      <c r="E342" s="78"/>
      <c r="F342" s="78"/>
      <c r="G342" s="229"/>
      <c r="H342" s="229"/>
      <c r="I342" s="40"/>
      <c r="J342" s="43" t="str">
        <f t="shared" si="10"/>
        <v/>
      </c>
      <c r="K342" s="79" t="str">
        <f t="shared" si="11"/>
        <v/>
      </c>
      <c r="L342" s="39"/>
      <c r="M342" s="35"/>
      <c r="N342" s="35"/>
      <c r="O342" s="35"/>
      <c r="P342" s="35"/>
      <c r="Q342" s="35"/>
      <c r="R342" s="35"/>
      <c r="S342" s="35"/>
      <c r="T342" s="35"/>
      <c r="U342" s="35"/>
      <c r="V342" s="35"/>
      <c r="W342" s="35"/>
      <c r="X342" s="35"/>
      <c r="Y342" s="35"/>
      <c r="Z342" s="35"/>
      <c r="AA342" s="35"/>
      <c r="AB342" s="35"/>
      <c r="AC342" s="35"/>
      <c r="AD342" s="35"/>
      <c r="AE342" s="35"/>
      <c r="AF342" s="35"/>
      <c r="AG342" s="35"/>
      <c r="AH342" s="35"/>
      <c r="AI342" s="35"/>
      <c r="AJ342" s="35"/>
      <c r="AK342" s="35"/>
      <c r="AL342" s="35"/>
      <c r="AM342" s="35"/>
      <c r="AN342" s="35"/>
      <c r="AO342" s="35"/>
      <c r="AP342" s="35"/>
      <c r="AQ342" s="35"/>
      <c r="AR342" s="35"/>
      <c r="AS342" s="35"/>
      <c r="AT342" s="35"/>
      <c r="AU342" s="35"/>
      <c r="AV342" s="35"/>
      <c r="AW342" s="35"/>
      <c r="AX342" s="35"/>
      <c r="AY342" s="35"/>
      <c r="AZ342" s="35"/>
      <c r="BA342" s="35"/>
      <c r="BB342" s="35"/>
      <c r="BC342" s="35"/>
      <c r="BD342" s="35"/>
      <c r="BE342" s="35"/>
      <c r="BF342" s="35"/>
      <c r="BG342" s="35"/>
      <c r="BH342" s="35"/>
      <c r="BI342" s="35"/>
      <c r="BJ342" s="35"/>
      <c r="BK342" s="35"/>
      <c r="BL342" s="35"/>
    </row>
    <row r="343" spans="1:64" ht="14">
      <c r="A343" s="35"/>
      <c r="B343" s="36"/>
      <c r="C343" s="39"/>
      <c r="D343" s="78"/>
      <c r="E343" s="78"/>
      <c r="F343" s="78"/>
      <c r="G343" s="229"/>
      <c r="H343" s="229"/>
      <c r="I343" s="40"/>
      <c r="J343" s="43" t="str">
        <f t="shared" si="10"/>
        <v/>
      </c>
      <c r="K343" s="79" t="str">
        <f t="shared" si="11"/>
        <v/>
      </c>
      <c r="L343" s="39"/>
      <c r="M343" s="35"/>
      <c r="N343" s="35"/>
      <c r="O343" s="35"/>
      <c r="P343" s="35"/>
      <c r="Q343" s="35"/>
      <c r="R343" s="35"/>
      <c r="S343" s="35"/>
      <c r="T343" s="35"/>
      <c r="U343" s="35"/>
      <c r="V343" s="35"/>
      <c r="W343" s="35"/>
      <c r="X343" s="35"/>
      <c r="Y343" s="35"/>
      <c r="Z343" s="35"/>
      <c r="AA343" s="35"/>
      <c r="AB343" s="35"/>
      <c r="AC343" s="35"/>
      <c r="AD343" s="35"/>
      <c r="AE343" s="35"/>
      <c r="AF343" s="35"/>
      <c r="AG343" s="35"/>
      <c r="AH343" s="35"/>
      <c r="AI343" s="35"/>
      <c r="AJ343" s="35"/>
      <c r="AK343" s="35"/>
      <c r="AL343" s="35"/>
      <c r="AM343" s="35"/>
      <c r="AN343" s="35"/>
      <c r="AO343" s="35"/>
      <c r="AP343" s="35"/>
      <c r="AQ343" s="35"/>
      <c r="AR343" s="35"/>
      <c r="AS343" s="35"/>
      <c r="AT343" s="35"/>
      <c r="AU343" s="35"/>
      <c r="AV343" s="35"/>
      <c r="AW343" s="35"/>
      <c r="AX343" s="35"/>
      <c r="AY343" s="35"/>
      <c r="AZ343" s="35"/>
      <c r="BA343" s="35"/>
      <c r="BB343" s="35"/>
      <c r="BC343" s="35"/>
      <c r="BD343" s="35"/>
      <c r="BE343" s="35"/>
      <c r="BF343" s="35"/>
      <c r="BG343" s="35"/>
      <c r="BH343" s="35"/>
      <c r="BI343" s="35"/>
      <c r="BJ343" s="35"/>
      <c r="BK343" s="35"/>
      <c r="BL343" s="35"/>
    </row>
    <row r="344" spans="1:64" ht="14">
      <c r="A344" s="35"/>
      <c r="B344" s="36"/>
      <c r="C344" s="39"/>
      <c r="D344" s="78"/>
      <c r="E344" s="78"/>
      <c r="F344" s="78"/>
      <c r="G344" s="229"/>
      <c r="H344" s="229"/>
      <c r="I344" s="40"/>
      <c r="J344" s="43" t="str">
        <f t="shared" si="10"/>
        <v/>
      </c>
      <c r="K344" s="79" t="str">
        <f t="shared" si="11"/>
        <v/>
      </c>
      <c r="L344" s="39"/>
      <c r="M344" s="35"/>
      <c r="N344" s="35"/>
      <c r="O344" s="35"/>
      <c r="P344" s="35"/>
      <c r="Q344" s="35"/>
      <c r="R344" s="35"/>
      <c r="S344" s="35"/>
      <c r="T344" s="35"/>
      <c r="U344" s="35"/>
      <c r="V344" s="35"/>
      <c r="W344" s="35"/>
      <c r="X344" s="35"/>
      <c r="Y344" s="35"/>
      <c r="Z344" s="35"/>
      <c r="AA344" s="35"/>
      <c r="AB344" s="35"/>
      <c r="AC344" s="35"/>
      <c r="AD344" s="35"/>
      <c r="AE344" s="35"/>
      <c r="AF344" s="35"/>
      <c r="AG344" s="35"/>
      <c r="AH344" s="35"/>
      <c r="AI344" s="35"/>
      <c r="AJ344" s="35"/>
      <c r="AK344" s="35"/>
      <c r="AL344" s="35"/>
      <c r="AM344" s="35"/>
      <c r="AN344" s="35"/>
      <c r="AO344" s="35"/>
      <c r="AP344" s="35"/>
      <c r="AQ344" s="35"/>
      <c r="AR344" s="35"/>
      <c r="AS344" s="35"/>
      <c r="AT344" s="35"/>
      <c r="AU344" s="35"/>
      <c r="AV344" s="35"/>
      <c r="AW344" s="35"/>
      <c r="AX344" s="35"/>
      <c r="AY344" s="35"/>
      <c r="AZ344" s="35"/>
      <c r="BA344" s="35"/>
      <c r="BB344" s="35"/>
      <c r="BC344" s="35"/>
      <c r="BD344" s="35"/>
      <c r="BE344" s="35"/>
      <c r="BF344" s="35"/>
      <c r="BG344" s="35"/>
      <c r="BH344" s="35"/>
      <c r="BI344" s="35"/>
      <c r="BJ344" s="35"/>
      <c r="BK344" s="35"/>
      <c r="BL344" s="35"/>
    </row>
    <row r="345" spans="1:64" ht="14">
      <c r="A345" s="35"/>
      <c r="B345" s="36"/>
      <c r="C345" s="39"/>
      <c r="D345" s="78"/>
      <c r="E345" s="78"/>
      <c r="F345" s="78"/>
      <c r="G345" s="229"/>
      <c r="H345" s="229"/>
      <c r="I345" s="40"/>
      <c r="J345" s="43" t="str">
        <f t="shared" si="10"/>
        <v/>
      </c>
      <c r="K345" s="79" t="str">
        <f t="shared" si="11"/>
        <v/>
      </c>
      <c r="L345" s="39"/>
      <c r="M345" s="35"/>
      <c r="N345" s="35"/>
      <c r="O345" s="35"/>
      <c r="P345" s="35"/>
      <c r="Q345" s="35"/>
      <c r="R345" s="35"/>
      <c r="S345" s="35"/>
      <c r="T345" s="35"/>
      <c r="U345" s="35"/>
      <c r="V345" s="35"/>
      <c r="W345" s="35"/>
      <c r="X345" s="35"/>
      <c r="Y345" s="35"/>
      <c r="Z345" s="35"/>
      <c r="AA345" s="35"/>
      <c r="AB345" s="35"/>
      <c r="AC345" s="35"/>
      <c r="AD345" s="35"/>
      <c r="AE345" s="35"/>
      <c r="AF345" s="35"/>
      <c r="AG345" s="35"/>
      <c r="AH345" s="35"/>
      <c r="AI345" s="35"/>
      <c r="AJ345" s="35"/>
      <c r="AK345" s="35"/>
      <c r="AL345" s="35"/>
      <c r="AM345" s="35"/>
      <c r="AN345" s="35"/>
      <c r="AO345" s="35"/>
      <c r="AP345" s="35"/>
      <c r="AQ345" s="35"/>
      <c r="AR345" s="35"/>
      <c r="AS345" s="35"/>
      <c r="AT345" s="35"/>
      <c r="AU345" s="35"/>
      <c r="AV345" s="35"/>
      <c r="AW345" s="35"/>
      <c r="AX345" s="35"/>
      <c r="AY345" s="35"/>
      <c r="AZ345" s="35"/>
      <c r="BA345" s="35"/>
      <c r="BB345" s="35"/>
      <c r="BC345" s="35"/>
      <c r="BD345" s="35"/>
      <c r="BE345" s="35"/>
      <c r="BF345" s="35"/>
      <c r="BG345" s="35"/>
      <c r="BH345" s="35"/>
      <c r="BI345" s="35"/>
      <c r="BJ345" s="35"/>
      <c r="BK345" s="35"/>
      <c r="BL345" s="35"/>
    </row>
    <row r="346" spans="1:64" ht="14">
      <c r="A346" s="35"/>
      <c r="B346" s="36"/>
      <c r="C346" s="39"/>
      <c r="D346" s="78"/>
      <c r="E346" s="78"/>
      <c r="F346" s="78"/>
      <c r="G346" s="229"/>
      <c r="H346" s="229"/>
      <c r="I346" s="40"/>
      <c r="J346" s="43" t="str">
        <f t="shared" si="10"/>
        <v/>
      </c>
      <c r="K346" s="79" t="str">
        <f t="shared" si="11"/>
        <v/>
      </c>
      <c r="L346" s="39"/>
      <c r="M346" s="35"/>
      <c r="N346" s="35"/>
      <c r="O346" s="35"/>
      <c r="P346" s="35"/>
      <c r="Q346" s="35"/>
      <c r="R346" s="35"/>
      <c r="S346" s="35"/>
      <c r="T346" s="35"/>
      <c r="U346" s="35"/>
      <c r="V346" s="35"/>
      <c r="W346" s="35"/>
      <c r="X346" s="35"/>
      <c r="Y346" s="35"/>
      <c r="Z346" s="35"/>
      <c r="AA346" s="35"/>
      <c r="AB346" s="35"/>
      <c r="AC346" s="35"/>
      <c r="AD346" s="35"/>
      <c r="AE346" s="35"/>
      <c r="AF346" s="35"/>
      <c r="AG346" s="35"/>
      <c r="AH346" s="35"/>
      <c r="AI346" s="35"/>
      <c r="AJ346" s="35"/>
      <c r="AK346" s="35"/>
      <c r="AL346" s="35"/>
      <c r="AM346" s="35"/>
      <c r="AN346" s="35"/>
      <c r="AO346" s="35"/>
      <c r="AP346" s="35"/>
      <c r="AQ346" s="35"/>
      <c r="AR346" s="35"/>
      <c r="AS346" s="35"/>
      <c r="AT346" s="35"/>
      <c r="AU346" s="35"/>
      <c r="AV346" s="35"/>
      <c r="AW346" s="35"/>
      <c r="AX346" s="35"/>
      <c r="AY346" s="35"/>
      <c r="AZ346" s="35"/>
      <c r="BA346" s="35"/>
      <c r="BB346" s="35"/>
      <c r="BC346" s="35"/>
      <c r="BD346" s="35"/>
      <c r="BE346" s="35"/>
      <c r="BF346" s="35"/>
      <c r="BG346" s="35"/>
      <c r="BH346" s="35"/>
      <c r="BI346" s="35"/>
      <c r="BJ346" s="35"/>
      <c r="BK346" s="35"/>
      <c r="BL346" s="35"/>
    </row>
    <row r="347" spans="1:64" ht="14">
      <c r="A347" s="35"/>
      <c r="B347" s="36"/>
      <c r="C347" s="39"/>
      <c r="D347" s="78"/>
      <c r="E347" s="78"/>
      <c r="F347" s="78"/>
      <c r="G347" s="229"/>
      <c r="H347" s="229"/>
      <c r="I347" s="40"/>
      <c r="J347" s="43" t="str">
        <f t="shared" si="10"/>
        <v/>
      </c>
      <c r="K347" s="79" t="str">
        <f t="shared" si="11"/>
        <v/>
      </c>
      <c r="L347" s="39"/>
      <c r="M347" s="35"/>
      <c r="N347" s="35"/>
      <c r="O347" s="35"/>
      <c r="P347" s="35"/>
      <c r="Q347" s="35"/>
      <c r="R347" s="35"/>
      <c r="S347" s="35"/>
      <c r="T347" s="35"/>
      <c r="U347" s="35"/>
      <c r="V347" s="35"/>
      <c r="W347" s="35"/>
      <c r="X347" s="35"/>
      <c r="Y347" s="35"/>
      <c r="Z347" s="35"/>
      <c r="AA347" s="35"/>
      <c r="AB347" s="35"/>
      <c r="AC347" s="35"/>
      <c r="AD347" s="35"/>
      <c r="AE347" s="35"/>
      <c r="AF347" s="35"/>
      <c r="AG347" s="35"/>
      <c r="AH347" s="35"/>
      <c r="AI347" s="35"/>
      <c r="AJ347" s="35"/>
      <c r="AK347" s="35"/>
      <c r="AL347" s="35"/>
      <c r="AM347" s="35"/>
      <c r="AN347" s="35"/>
      <c r="AO347" s="35"/>
      <c r="AP347" s="35"/>
      <c r="AQ347" s="35"/>
      <c r="AR347" s="35"/>
      <c r="AS347" s="35"/>
      <c r="AT347" s="35"/>
      <c r="AU347" s="35"/>
      <c r="AV347" s="35"/>
      <c r="AW347" s="35"/>
      <c r="AX347" s="35"/>
      <c r="AY347" s="35"/>
      <c r="AZ347" s="35"/>
      <c r="BA347" s="35"/>
      <c r="BB347" s="35"/>
      <c r="BC347" s="35"/>
      <c r="BD347" s="35"/>
      <c r="BE347" s="35"/>
      <c r="BF347" s="35"/>
      <c r="BG347" s="35"/>
      <c r="BH347" s="35"/>
      <c r="BI347" s="35"/>
      <c r="BJ347" s="35"/>
      <c r="BK347" s="35"/>
      <c r="BL347" s="35"/>
    </row>
    <row r="348" spans="1:64" ht="14">
      <c r="A348" s="35"/>
      <c r="B348" s="36"/>
      <c r="C348" s="39"/>
      <c r="D348" s="78"/>
      <c r="E348" s="78"/>
      <c r="F348" s="78"/>
      <c r="G348" s="229"/>
      <c r="H348" s="229"/>
      <c r="I348" s="40"/>
      <c r="J348" s="43" t="str">
        <f t="shared" si="10"/>
        <v/>
      </c>
      <c r="K348" s="79" t="str">
        <f t="shared" si="11"/>
        <v/>
      </c>
      <c r="L348" s="39"/>
      <c r="M348" s="35"/>
      <c r="N348" s="35"/>
      <c r="O348" s="35"/>
      <c r="P348" s="35"/>
      <c r="Q348" s="35"/>
      <c r="R348" s="35"/>
      <c r="S348" s="35"/>
      <c r="T348" s="35"/>
      <c r="U348" s="35"/>
      <c r="V348" s="35"/>
      <c r="W348" s="35"/>
      <c r="X348" s="35"/>
      <c r="Y348" s="35"/>
      <c r="Z348" s="35"/>
      <c r="AA348" s="35"/>
      <c r="AB348" s="35"/>
      <c r="AC348" s="35"/>
      <c r="AD348" s="35"/>
      <c r="AE348" s="35"/>
      <c r="AF348" s="35"/>
      <c r="AG348" s="35"/>
      <c r="AH348" s="35"/>
      <c r="AI348" s="35"/>
      <c r="AJ348" s="35"/>
      <c r="AK348" s="35"/>
      <c r="AL348" s="35"/>
      <c r="AM348" s="35"/>
      <c r="AN348" s="35"/>
      <c r="AO348" s="35"/>
      <c r="AP348" s="35"/>
      <c r="AQ348" s="35"/>
      <c r="AR348" s="35"/>
      <c r="AS348" s="35"/>
      <c r="AT348" s="35"/>
      <c r="AU348" s="35"/>
      <c r="AV348" s="35"/>
      <c r="AW348" s="35"/>
      <c r="AX348" s="35"/>
      <c r="AY348" s="35"/>
      <c r="AZ348" s="35"/>
      <c r="BA348" s="35"/>
      <c r="BB348" s="35"/>
      <c r="BC348" s="35"/>
      <c r="BD348" s="35"/>
      <c r="BE348" s="35"/>
      <c r="BF348" s="35"/>
      <c r="BG348" s="35"/>
      <c r="BH348" s="35"/>
      <c r="BI348" s="35"/>
      <c r="BJ348" s="35"/>
      <c r="BK348" s="35"/>
      <c r="BL348" s="35"/>
    </row>
    <row r="349" spans="1:64" ht="14">
      <c r="A349" s="35"/>
      <c r="B349" s="36"/>
      <c r="C349" s="39"/>
      <c r="D349" s="78"/>
      <c r="E349" s="78"/>
      <c r="F349" s="78"/>
      <c r="G349" s="229"/>
      <c r="H349" s="229"/>
      <c r="I349" s="40"/>
      <c r="J349" s="43" t="str">
        <f t="shared" si="10"/>
        <v/>
      </c>
      <c r="K349" s="79" t="str">
        <f t="shared" si="11"/>
        <v/>
      </c>
      <c r="L349" s="39"/>
      <c r="M349" s="35"/>
      <c r="N349" s="35"/>
      <c r="O349" s="35"/>
      <c r="P349" s="35"/>
      <c r="Q349" s="35"/>
      <c r="R349" s="35"/>
      <c r="S349" s="35"/>
      <c r="T349" s="35"/>
      <c r="U349" s="35"/>
      <c r="V349" s="35"/>
      <c r="W349" s="35"/>
      <c r="X349" s="35"/>
      <c r="Y349" s="35"/>
      <c r="Z349" s="35"/>
      <c r="AA349" s="35"/>
      <c r="AB349" s="35"/>
      <c r="AC349" s="35"/>
      <c r="AD349" s="35"/>
      <c r="AE349" s="35"/>
      <c r="AF349" s="35"/>
      <c r="AG349" s="35"/>
      <c r="AH349" s="35"/>
      <c r="AI349" s="35"/>
      <c r="AJ349" s="35"/>
      <c r="AK349" s="35"/>
      <c r="AL349" s="35"/>
      <c r="AM349" s="35"/>
      <c r="AN349" s="35"/>
      <c r="AO349" s="35"/>
      <c r="AP349" s="35"/>
      <c r="AQ349" s="35"/>
      <c r="AR349" s="35"/>
      <c r="AS349" s="35"/>
      <c r="AT349" s="35"/>
      <c r="AU349" s="35"/>
      <c r="AV349" s="35"/>
      <c r="AW349" s="35"/>
      <c r="AX349" s="35"/>
      <c r="AY349" s="35"/>
      <c r="AZ349" s="35"/>
      <c r="BA349" s="35"/>
      <c r="BB349" s="35"/>
      <c r="BC349" s="35"/>
      <c r="BD349" s="35"/>
      <c r="BE349" s="35"/>
      <c r="BF349" s="35"/>
      <c r="BG349" s="35"/>
      <c r="BH349" s="35"/>
      <c r="BI349" s="35"/>
      <c r="BJ349" s="35"/>
      <c r="BK349" s="35"/>
      <c r="BL349" s="35"/>
    </row>
    <row r="350" spans="1:64" ht="14">
      <c r="A350" s="35"/>
      <c r="B350" s="36"/>
      <c r="C350" s="39"/>
      <c r="D350" s="78"/>
      <c r="E350" s="78"/>
      <c r="F350" s="78"/>
      <c r="G350" s="229"/>
      <c r="H350" s="229"/>
      <c r="I350" s="40"/>
      <c r="J350" s="43" t="str">
        <f t="shared" si="10"/>
        <v/>
      </c>
      <c r="K350" s="79" t="str">
        <f t="shared" si="11"/>
        <v/>
      </c>
      <c r="L350" s="39"/>
      <c r="M350" s="35"/>
      <c r="N350" s="35"/>
      <c r="O350" s="35"/>
      <c r="P350" s="35"/>
      <c r="Q350" s="35"/>
      <c r="R350" s="35"/>
      <c r="S350" s="35"/>
      <c r="T350" s="35"/>
      <c r="U350" s="35"/>
      <c r="V350" s="35"/>
      <c r="W350" s="35"/>
      <c r="X350" s="35"/>
      <c r="Y350" s="35"/>
      <c r="Z350" s="35"/>
      <c r="AA350" s="35"/>
      <c r="AB350" s="35"/>
      <c r="AC350" s="35"/>
      <c r="AD350" s="35"/>
      <c r="AE350" s="35"/>
      <c r="AF350" s="35"/>
      <c r="AG350" s="35"/>
      <c r="AH350" s="35"/>
      <c r="AI350" s="35"/>
      <c r="AJ350" s="35"/>
      <c r="AK350" s="35"/>
      <c r="AL350" s="35"/>
      <c r="AM350" s="35"/>
      <c r="AN350" s="35"/>
      <c r="AO350" s="35"/>
      <c r="AP350" s="35"/>
      <c r="AQ350" s="35"/>
      <c r="AR350" s="35"/>
      <c r="AS350" s="35"/>
      <c r="AT350" s="35"/>
      <c r="AU350" s="35"/>
      <c r="AV350" s="35"/>
      <c r="AW350" s="35"/>
      <c r="AX350" s="35"/>
      <c r="AY350" s="35"/>
      <c r="AZ350" s="35"/>
      <c r="BA350" s="35"/>
      <c r="BB350" s="35"/>
      <c r="BC350" s="35"/>
      <c r="BD350" s="35"/>
      <c r="BE350" s="35"/>
      <c r="BF350" s="35"/>
      <c r="BG350" s="35"/>
      <c r="BH350" s="35"/>
      <c r="BI350" s="35"/>
      <c r="BJ350" s="35"/>
      <c r="BK350" s="35"/>
      <c r="BL350" s="35"/>
    </row>
    <row r="351" spans="1:64" ht="14">
      <c r="A351" s="35"/>
      <c r="B351" s="36"/>
      <c r="C351" s="39"/>
      <c r="D351" s="78"/>
      <c r="E351" s="78"/>
      <c r="F351" s="78"/>
      <c r="G351" s="229"/>
      <c r="H351" s="229"/>
      <c r="I351" s="40"/>
      <c r="J351" s="43" t="str">
        <f t="shared" si="10"/>
        <v/>
      </c>
      <c r="K351" s="79" t="str">
        <f t="shared" si="11"/>
        <v/>
      </c>
      <c r="L351" s="39"/>
      <c r="M351" s="35"/>
      <c r="N351" s="35"/>
      <c r="O351" s="35"/>
      <c r="P351" s="35"/>
      <c r="Q351" s="35"/>
      <c r="R351" s="35"/>
      <c r="S351" s="35"/>
      <c r="T351" s="35"/>
      <c r="U351" s="35"/>
      <c r="V351" s="35"/>
      <c r="W351" s="35"/>
      <c r="X351" s="35"/>
      <c r="Y351" s="35"/>
      <c r="Z351" s="35"/>
      <c r="AA351" s="35"/>
      <c r="AB351" s="35"/>
      <c r="AC351" s="35"/>
      <c r="AD351" s="35"/>
      <c r="AE351" s="35"/>
      <c r="AF351" s="35"/>
      <c r="AG351" s="35"/>
      <c r="AH351" s="35"/>
      <c r="AI351" s="35"/>
      <c r="AJ351" s="35"/>
      <c r="AK351" s="35"/>
      <c r="AL351" s="35"/>
      <c r="AM351" s="35"/>
      <c r="AN351" s="35"/>
      <c r="AO351" s="35"/>
      <c r="AP351" s="35"/>
      <c r="AQ351" s="35"/>
      <c r="AR351" s="35"/>
      <c r="AS351" s="35"/>
      <c r="AT351" s="35"/>
      <c r="AU351" s="35"/>
      <c r="AV351" s="35"/>
      <c r="AW351" s="35"/>
      <c r="AX351" s="35"/>
      <c r="AY351" s="35"/>
      <c r="AZ351" s="35"/>
      <c r="BA351" s="35"/>
      <c r="BB351" s="35"/>
      <c r="BC351" s="35"/>
      <c r="BD351" s="35"/>
      <c r="BE351" s="35"/>
      <c r="BF351" s="35"/>
      <c r="BG351" s="35"/>
      <c r="BH351" s="35"/>
      <c r="BI351" s="35"/>
      <c r="BJ351" s="35"/>
      <c r="BK351" s="35"/>
      <c r="BL351" s="35"/>
    </row>
    <row r="352" spans="1:64" ht="14">
      <c r="A352" s="35"/>
      <c r="B352" s="36"/>
      <c r="C352" s="39"/>
      <c r="D352" s="78"/>
      <c r="E352" s="78"/>
      <c r="F352" s="78"/>
      <c r="G352" s="229"/>
      <c r="H352" s="229"/>
      <c r="I352" s="40"/>
      <c r="J352" s="43" t="str">
        <f t="shared" si="10"/>
        <v/>
      </c>
      <c r="K352" s="79" t="str">
        <f t="shared" si="11"/>
        <v/>
      </c>
      <c r="L352" s="39"/>
      <c r="M352" s="35"/>
      <c r="N352" s="35"/>
      <c r="O352" s="35"/>
      <c r="P352" s="35"/>
      <c r="Q352" s="35"/>
      <c r="R352" s="35"/>
      <c r="S352" s="35"/>
      <c r="T352" s="35"/>
      <c r="U352" s="35"/>
      <c r="V352" s="35"/>
      <c r="W352" s="35"/>
      <c r="X352" s="35"/>
      <c r="Y352" s="35"/>
      <c r="Z352" s="35"/>
      <c r="AA352" s="35"/>
      <c r="AB352" s="35"/>
      <c r="AC352" s="35"/>
      <c r="AD352" s="35"/>
      <c r="AE352" s="35"/>
      <c r="AF352" s="35"/>
      <c r="AG352" s="35"/>
      <c r="AH352" s="35"/>
      <c r="AI352" s="35"/>
      <c r="AJ352" s="35"/>
      <c r="AK352" s="35"/>
      <c r="AL352" s="35"/>
      <c r="AM352" s="35"/>
      <c r="AN352" s="35"/>
      <c r="AO352" s="35"/>
      <c r="AP352" s="35"/>
      <c r="AQ352" s="35"/>
      <c r="AR352" s="35"/>
      <c r="AS352" s="35"/>
      <c r="AT352" s="35"/>
      <c r="AU352" s="35"/>
      <c r="AV352" s="35"/>
      <c r="AW352" s="35"/>
      <c r="AX352" s="35"/>
      <c r="AY352" s="35"/>
      <c r="AZ352" s="35"/>
      <c r="BA352" s="35"/>
      <c r="BB352" s="35"/>
      <c r="BC352" s="35"/>
      <c r="BD352" s="35"/>
      <c r="BE352" s="35"/>
      <c r="BF352" s="35"/>
      <c r="BG352" s="35"/>
      <c r="BH352" s="35"/>
      <c r="BI352" s="35"/>
      <c r="BJ352" s="35"/>
      <c r="BK352" s="35"/>
      <c r="BL352" s="35"/>
    </row>
    <row r="353" spans="1:64" ht="14">
      <c r="A353" s="35"/>
      <c r="B353" s="36"/>
      <c r="C353" s="39"/>
      <c r="D353" s="78"/>
      <c r="E353" s="78"/>
      <c r="F353" s="78"/>
      <c r="G353" s="229"/>
      <c r="H353" s="229"/>
      <c r="I353" s="40"/>
      <c r="J353" s="43" t="str">
        <f t="shared" si="10"/>
        <v/>
      </c>
      <c r="K353" s="79" t="str">
        <f t="shared" si="11"/>
        <v/>
      </c>
      <c r="L353" s="39"/>
      <c r="M353" s="35"/>
      <c r="N353" s="35"/>
      <c r="O353" s="35"/>
      <c r="P353" s="35"/>
      <c r="Q353" s="35"/>
      <c r="R353" s="35"/>
      <c r="S353" s="35"/>
      <c r="T353" s="35"/>
      <c r="U353" s="35"/>
      <c r="V353" s="35"/>
      <c r="W353" s="35"/>
      <c r="X353" s="35"/>
      <c r="Y353" s="35"/>
      <c r="Z353" s="35"/>
      <c r="AA353" s="35"/>
      <c r="AB353" s="35"/>
      <c r="AC353" s="35"/>
      <c r="AD353" s="35"/>
      <c r="AE353" s="35"/>
      <c r="AF353" s="35"/>
      <c r="AG353" s="35"/>
      <c r="AH353" s="35"/>
      <c r="AI353" s="35"/>
      <c r="AJ353" s="35"/>
      <c r="AK353" s="35"/>
      <c r="AL353" s="35"/>
      <c r="AM353" s="35"/>
      <c r="AN353" s="35"/>
      <c r="AO353" s="35"/>
      <c r="AP353" s="35"/>
      <c r="AQ353" s="35"/>
      <c r="AR353" s="35"/>
      <c r="AS353" s="35"/>
      <c r="AT353" s="35"/>
      <c r="AU353" s="35"/>
      <c r="AV353" s="35"/>
      <c r="AW353" s="35"/>
      <c r="AX353" s="35"/>
      <c r="AY353" s="35"/>
      <c r="AZ353" s="35"/>
      <c r="BA353" s="35"/>
      <c r="BB353" s="35"/>
      <c r="BC353" s="35"/>
      <c r="BD353" s="35"/>
      <c r="BE353" s="35"/>
      <c r="BF353" s="35"/>
      <c r="BG353" s="35"/>
      <c r="BH353" s="35"/>
      <c r="BI353" s="35"/>
      <c r="BJ353" s="35"/>
      <c r="BK353" s="35"/>
      <c r="BL353" s="35"/>
    </row>
    <row r="354" spans="1:64" ht="14">
      <c r="A354" s="35"/>
      <c r="B354" s="36"/>
      <c r="C354" s="39"/>
      <c r="D354" s="78"/>
      <c r="E354" s="78"/>
      <c r="F354" s="78"/>
      <c r="G354" s="229"/>
      <c r="H354" s="229"/>
      <c r="I354" s="40"/>
      <c r="J354" s="43" t="str">
        <f t="shared" si="10"/>
        <v/>
      </c>
      <c r="K354" s="79" t="str">
        <f t="shared" si="11"/>
        <v/>
      </c>
      <c r="L354" s="39"/>
      <c r="M354" s="35"/>
      <c r="N354" s="35"/>
      <c r="O354" s="35"/>
      <c r="P354" s="35"/>
      <c r="Q354" s="35"/>
      <c r="R354" s="35"/>
      <c r="S354" s="35"/>
      <c r="T354" s="35"/>
      <c r="U354" s="35"/>
      <c r="V354" s="35"/>
      <c r="W354" s="35"/>
      <c r="X354" s="35"/>
      <c r="Y354" s="35"/>
      <c r="Z354" s="35"/>
      <c r="AA354" s="35"/>
      <c r="AB354" s="35"/>
      <c r="AC354" s="35"/>
      <c r="AD354" s="35"/>
      <c r="AE354" s="35"/>
      <c r="AF354" s="35"/>
      <c r="AG354" s="35"/>
      <c r="AH354" s="35"/>
      <c r="AI354" s="35"/>
      <c r="AJ354" s="35"/>
      <c r="AK354" s="35"/>
      <c r="AL354" s="35"/>
      <c r="AM354" s="35"/>
      <c r="AN354" s="35"/>
      <c r="AO354" s="35"/>
      <c r="AP354" s="35"/>
      <c r="AQ354" s="35"/>
      <c r="AR354" s="35"/>
      <c r="AS354" s="35"/>
      <c r="AT354" s="35"/>
      <c r="AU354" s="35"/>
      <c r="AV354" s="35"/>
      <c r="AW354" s="35"/>
      <c r="AX354" s="35"/>
      <c r="AY354" s="35"/>
      <c r="AZ354" s="35"/>
      <c r="BA354" s="35"/>
      <c r="BB354" s="35"/>
      <c r="BC354" s="35"/>
      <c r="BD354" s="35"/>
      <c r="BE354" s="35"/>
      <c r="BF354" s="35"/>
      <c r="BG354" s="35"/>
      <c r="BH354" s="35"/>
      <c r="BI354" s="35"/>
      <c r="BJ354" s="35"/>
      <c r="BK354" s="35"/>
      <c r="BL354" s="35"/>
    </row>
    <row r="355" spans="1:64" ht="14">
      <c r="A355" s="35"/>
      <c r="B355" s="36"/>
      <c r="C355" s="39"/>
      <c r="D355" s="78"/>
      <c r="E355" s="78"/>
      <c r="F355" s="78"/>
      <c r="G355" s="229"/>
      <c r="H355" s="229"/>
      <c r="I355" s="40"/>
      <c r="J355" s="43" t="str">
        <f t="shared" si="10"/>
        <v/>
      </c>
      <c r="K355" s="79" t="str">
        <f t="shared" si="11"/>
        <v/>
      </c>
      <c r="L355" s="39"/>
      <c r="M355" s="35"/>
      <c r="N355" s="35"/>
      <c r="O355" s="35"/>
      <c r="P355" s="35"/>
      <c r="Q355" s="35"/>
      <c r="R355" s="35"/>
      <c r="S355" s="35"/>
      <c r="T355" s="35"/>
      <c r="U355" s="35"/>
      <c r="V355" s="35"/>
      <c r="W355" s="35"/>
      <c r="X355" s="35"/>
      <c r="Y355" s="35"/>
      <c r="Z355" s="35"/>
      <c r="AA355" s="35"/>
      <c r="AB355" s="35"/>
      <c r="AC355" s="35"/>
      <c r="AD355" s="35"/>
      <c r="AE355" s="35"/>
      <c r="AF355" s="35"/>
      <c r="AG355" s="35"/>
      <c r="AH355" s="35"/>
      <c r="AI355" s="35"/>
      <c r="AJ355" s="35"/>
      <c r="AK355" s="35"/>
      <c r="AL355" s="35"/>
      <c r="AM355" s="35"/>
      <c r="AN355" s="35"/>
      <c r="AO355" s="35"/>
      <c r="AP355" s="35"/>
      <c r="AQ355" s="35"/>
      <c r="AR355" s="35"/>
      <c r="AS355" s="35"/>
      <c r="AT355" s="35"/>
      <c r="AU355" s="35"/>
      <c r="AV355" s="35"/>
      <c r="AW355" s="35"/>
      <c r="AX355" s="35"/>
      <c r="AY355" s="35"/>
      <c r="AZ355" s="35"/>
      <c r="BA355" s="35"/>
      <c r="BB355" s="35"/>
      <c r="BC355" s="35"/>
      <c r="BD355" s="35"/>
      <c r="BE355" s="35"/>
      <c r="BF355" s="35"/>
      <c r="BG355" s="35"/>
      <c r="BH355" s="35"/>
      <c r="BI355" s="35"/>
      <c r="BJ355" s="35"/>
      <c r="BK355" s="35"/>
      <c r="BL355" s="35"/>
    </row>
    <row r="356" spans="1:64" ht="14">
      <c r="A356" s="35"/>
      <c r="B356" s="36"/>
      <c r="C356" s="39"/>
      <c r="D356" s="78"/>
      <c r="E356" s="78"/>
      <c r="F356" s="78"/>
      <c r="G356" s="229"/>
      <c r="H356" s="229"/>
      <c r="I356" s="40"/>
      <c r="J356" s="43" t="str">
        <f t="shared" si="10"/>
        <v/>
      </c>
      <c r="K356" s="79" t="str">
        <f t="shared" si="11"/>
        <v/>
      </c>
      <c r="L356" s="39"/>
      <c r="M356" s="35"/>
      <c r="N356" s="35"/>
      <c r="O356" s="35"/>
      <c r="P356" s="35"/>
      <c r="Q356" s="35"/>
      <c r="R356" s="35"/>
      <c r="S356" s="35"/>
      <c r="T356" s="35"/>
      <c r="U356" s="35"/>
      <c r="V356" s="35"/>
      <c r="W356" s="35"/>
      <c r="X356" s="35"/>
      <c r="Y356" s="35"/>
      <c r="Z356" s="35"/>
      <c r="AA356" s="35"/>
      <c r="AB356" s="35"/>
      <c r="AC356" s="35"/>
      <c r="AD356" s="35"/>
      <c r="AE356" s="35"/>
      <c r="AF356" s="35"/>
      <c r="AG356" s="35"/>
      <c r="AH356" s="35"/>
      <c r="AI356" s="35"/>
      <c r="AJ356" s="35"/>
      <c r="AK356" s="35"/>
      <c r="AL356" s="35"/>
      <c r="AM356" s="35"/>
      <c r="AN356" s="35"/>
      <c r="AO356" s="35"/>
      <c r="AP356" s="35"/>
      <c r="AQ356" s="35"/>
      <c r="AR356" s="35"/>
      <c r="AS356" s="35"/>
      <c r="AT356" s="35"/>
      <c r="AU356" s="35"/>
      <c r="AV356" s="35"/>
      <c r="AW356" s="35"/>
      <c r="AX356" s="35"/>
      <c r="AY356" s="35"/>
      <c r="AZ356" s="35"/>
      <c r="BA356" s="35"/>
      <c r="BB356" s="35"/>
      <c r="BC356" s="35"/>
      <c r="BD356" s="35"/>
      <c r="BE356" s="35"/>
      <c r="BF356" s="35"/>
      <c r="BG356" s="35"/>
      <c r="BH356" s="35"/>
      <c r="BI356" s="35"/>
      <c r="BJ356" s="35"/>
      <c r="BK356" s="35"/>
      <c r="BL356" s="35"/>
    </row>
    <row r="357" spans="1:64" ht="14">
      <c r="A357" s="35"/>
      <c r="B357" s="36"/>
      <c r="C357" s="39"/>
      <c r="D357" s="78"/>
      <c r="E357" s="78"/>
      <c r="F357" s="78"/>
      <c r="G357" s="229"/>
      <c r="H357" s="229"/>
      <c r="I357" s="40"/>
      <c r="J357" s="43" t="str">
        <f t="shared" si="10"/>
        <v/>
      </c>
      <c r="K357" s="79" t="str">
        <f t="shared" si="11"/>
        <v/>
      </c>
      <c r="L357" s="39"/>
      <c r="M357" s="35"/>
      <c r="N357" s="35"/>
      <c r="O357" s="35"/>
      <c r="P357" s="35"/>
      <c r="Q357" s="35"/>
      <c r="R357" s="35"/>
      <c r="S357" s="35"/>
      <c r="T357" s="35"/>
      <c r="U357" s="35"/>
      <c r="V357" s="35"/>
      <c r="W357" s="35"/>
      <c r="X357" s="35"/>
      <c r="Y357" s="35"/>
      <c r="Z357" s="35"/>
      <c r="AA357" s="35"/>
      <c r="AB357" s="35"/>
      <c r="AC357" s="35"/>
      <c r="AD357" s="35"/>
      <c r="AE357" s="35"/>
      <c r="AF357" s="35"/>
      <c r="AG357" s="35"/>
      <c r="AH357" s="35"/>
      <c r="AI357" s="35"/>
      <c r="AJ357" s="35"/>
      <c r="AK357" s="35"/>
      <c r="AL357" s="35"/>
      <c r="AM357" s="35"/>
      <c r="AN357" s="35"/>
      <c r="AO357" s="35"/>
      <c r="AP357" s="35"/>
      <c r="AQ357" s="35"/>
      <c r="AR357" s="35"/>
      <c r="AS357" s="35"/>
      <c r="AT357" s="35"/>
      <c r="AU357" s="35"/>
      <c r="AV357" s="35"/>
      <c r="AW357" s="35"/>
      <c r="AX357" s="35"/>
      <c r="AY357" s="35"/>
      <c r="AZ357" s="35"/>
      <c r="BA357" s="35"/>
      <c r="BB357" s="35"/>
      <c r="BC357" s="35"/>
      <c r="BD357" s="35"/>
      <c r="BE357" s="35"/>
      <c r="BF357" s="35"/>
      <c r="BG357" s="35"/>
      <c r="BH357" s="35"/>
      <c r="BI357" s="35"/>
      <c r="BJ357" s="35"/>
      <c r="BK357" s="35"/>
      <c r="BL357" s="35"/>
    </row>
    <row r="358" spans="1:64" ht="14">
      <c r="A358" s="35"/>
      <c r="B358" s="36"/>
      <c r="C358" s="39"/>
      <c r="D358" s="78"/>
      <c r="E358" s="78"/>
      <c r="F358" s="78"/>
      <c r="G358" s="229"/>
      <c r="H358" s="229"/>
      <c r="I358" s="40"/>
      <c r="J358" s="43" t="str">
        <f t="shared" si="10"/>
        <v/>
      </c>
      <c r="K358" s="79" t="str">
        <f t="shared" si="11"/>
        <v/>
      </c>
      <c r="L358" s="39"/>
      <c r="M358" s="35"/>
      <c r="N358" s="35"/>
      <c r="O358" s="35"/>
      <c r="P358" s="35"/>
      <c r="Q358" s="35"/>
      <c r="R358" s="35"/>
      <c r="S358" s="35"/>
      <c r="T358" s="35"/>
      <c r="U358" s="35"/>
      <c r="V358" s="35"/>
      <c r="W358" s="35"/>
      <c r="X358" s="35"/>
      <c r="Y358" s="35"/>
      <c r="Z358" s="35"/>
      <c r="AA358" s="35"/>
      <c r="AB358" s="35"/>
      <c r="AC358" s="35"/>
      <c r="AD358" s="35"/>
      <c r="AE358" s="35"/>
      <c r="AF358" s="35"/>
      <c r="AG358" s="35"/>
      <c r="AH358" s="35"/>
      <c r="AI358" s="35"/>
      <c r="AJ358" s="35"/>
      <c r="AK358" s="35"/>
      <c r="AL358" s="35"/>
      <c r="AM358" s="35"/>
      <c r="AN358" s="35"/>
      <c r="AO358" s="35"/>
      <c r="AP358" s="35"/>
      <c r="AQ358" s="35"/>
      <c r="AR358" s="35"/>
      <c r="AS358" s="35"/>
      <c r="AT358" s="35"/>
      <c r="AU358" s="35"/>
      <c r="AV358" s="35"/>
      <c r="AW358" s="35"/>
      <c r="AX358" s="35"/>
      <c r="AY358" s="35"/>
      <c r="AZ358" s="35"/>
      <c r="BA358" s="35"/>
      <c r="BB358" s="35"/>
      <c r="BC358" s="35"/>
      <c r="BD358" s="35"/>
      <c r="BE358" s="35"/>
      <c r="BF358" s="35"/>
      <c r="BG358" s="35"/>
      <c r="BH358" s="35"/>
      <c r="BI358" s="35"/>
      <c r="BJ358" s="35"/>
      <c r="BK358" s="35"/>
      <c r="BL358" s="35"/>
    </row>
    <row r="359" spans="1:64" ht="14">
      <c r="A359" s="35"/>
      <c r="B359" s="36"/>
      <c r="C359" s="39"/>
      <c r="D359" s="78"/>
      <c r="E359" s="78"/>
      <c r="F359" s="78"/>
      <c r="G359" s="229"/>
      <c r="H359" s="229"/>
      <c r="I359" s="40"/>
      <c r="J359" s="43" t="str">
        <f t="shared" si="10"/>
        <v/>
      </c>
      <c r="K359" s="79" t="str">
        <f t="shared" si="11"/>
        <v/>
      </c>
      <c r="L359" s="39"/>
      <c r="M359" s="35"/>
      <c r="N359" s="35"/>
      <c r="O359" s="35"/>
      <c r="P359" s="35"/>
      <c r="Q359" s="35"/>
      <c r="R359" s="35"/>
      <c r="S359" s="35"/>
      <c r="T359" s="35"/>
      <c r="U359" s="35"/>
      <c r="V359" s="35"/>
      <c r="W359" s="35"/>
      <c r="X359" s="35"/>
      <c r="Y359" s="35"/>
      <c r="Z359" s="35"/>
      <c r="AA359" s="35"/>
      <c r="AB359" s="35"/>
      <c r="AC359" s="35"/>
      <c r="AD359" s="35"/>
      <c r="AE359" s="35"/>
      <c r="AF359" s="35"/>
      <c r="AG359" s="35"/>
      <c r="AH359" s="35"/>
      <c r="AI359" s="35"/>
      <c r="AJ359" s="35"/>
      <c r="AK359" s="35"/>
      <c r="AL359" s="35"/>
      <c r="AM359" s="35"/>
      <c r="AN359" s="35"/>
      <c r="AO359" s="35"/>
      <c r="AP359" s="35"/>
      <c r="AQ359" s="35"/>
      <c r="AR359" s="35"/>
      <c r="AS359" s="35"/>
      <c r="AT359" s="35"/>
      <c r="AU359" s="35"/>
      <c r="AV359" s="35"/>
      <c r="AW359" s="35"/>
      <c r="AX359" s="35"/>
      <c r="AY359" s="35"/>
      <c r="AZ359" s="35"/>
      <c r="BA359" s="35"/>
      <c r="BB359" s="35"/>
      <c r="BC359" s="35"/>
      <c r="BD359" s="35"/>
      <c r="BE359" s="35"/>
      <c r="BF359" s="35"/>
      <c r="BG359" s="35"/>
      <c r="BH359" s="35"/>
      <c r="BI359" s="35"/>
      <c r="BJ359" s="35"/>
      <c r="BK359" s="35"/>
      <c r="BL359" s="35"/>
    </row>
    <row r="360" spans="1:64" ht="14">
      <c r="A360" s="35"/>
      <c r="B360" s="36"/>
      <c r="C360" s="39"/>
      <c r="D360" s="78"/>
      <c r="E360" s="78"/>
      <c r="F360" s="78"/>
      <c r="G360" s="229"/>
      <c r="H360" s="229"/>
      <c r="I360" s="40"/>
      <c r="J360" s="43" t="str">
        <f t="shared" si="10"/>
        <v/>
      </c>
      <c r="K360" s="79" t="str">
        <f t="shared" si="11"/>
        <v/>
      </c>
      <c r="L360" s="39"/>
      <c r="M360" s="35"/>
      <c r="N360" s="35"/>
      <c r="O360" s="35"/>
      <c r="P360" s="35"/>
      <c r="Q360" s="35"/>
      <c r="R360" s="35"/>
      <c r="S360" s="35"/>
      <c r="T360" s="35"/>
      <c r="U360" s="35"/>
      <c r="V360" s="35"/>
      <c r="W360" s="35"/>
      <c r="X360" s="35"/>
      <c r="Y360" s="35"/>
      <c r="Z360" s="35"/>
      <c r="AA360" s="35"/>
      <c r="AB360" s="35"/>
      <c r="AC360" s="35"/>
      <c r="AD360" s="35"/>
      <c r="AE360" s="35"/>
      <c r="AF360" s="35"/>
      <c r="AG360" s="35"/>
      <c r="AH360" s="35"/>
      <c r="AI360" s="35"/>
      <c r="AJ360" s="35"/>
      <c r="AK360" s="35"/>
      <c r="AL360" s="35"/>
      <c r="AM360" s="35"/>
      <c r="AN360" s="35"/>
      <c r="AO360" s="35"/>
      <c r="AP360" s="35"/>
      <c r="AQ360" s="35"/>
      <c r="AR360" s="35"/>
      <c r="AS360" s="35"/>
      <c r="AT360" s="35"/>
      <c r="AU360" s="35"/>
      <c r="AV360" s="35"/>
      <c r="AW360" s="35"/>
      <c r="AX360" s="35"/>
      <c r="AY360" s="35"/>
      <c r="AZ360" s="35"/>
      <c r="BA360" s="35"/>
      <c r="BB360" s="35"/>
      <c r="BC360" s="35"/>
      <c r="BD360" s="35"/>
      <c r="BE360" s="35"/>
      <c r="BF360" s="35"/>
      <c r="BG360" s="35"/>
      <c r="BH360" s="35"/>
      <c r="BI360" s="35"/>
      <c r="BJ360" s="35"/>
      <c r="BK360" s="35"/>
      <c r="BL360" s="35"/>
    </row>
    <row r="361" spans="1:64" ht="14">
      <c r="A361" s="35"/>
      <c r="B361" s="36"/>
      <c r="C361" s="39"/>
      <c r="D361" s="78"/>
      <c r="E361" s="78"/>
      <c r="F361" s="78"/>
      <c r="G361" s="229"/>
      <c r="H361" s="229"/>
      <c r="I361" s="40"/>
      <c r="J361" s="43" t="str">
        <f t="shared" si="10"/>
        <v/>
      </c>
      <c r="K361" s="79" t="str">
        <f t="shared" si="11"/>
        <v/>
      </c>
      <c r="L361" s="39"/>
      <c r="M361" s="35"/>
      <c r="N361" s="35"/>
      <c r="O361" s="35"/>
      <c r="P361" s="35"/>
      <c r="Q361" s="35"/>
      <c r="R361" s="35"/>
      <c r="S361" s="35"/>
      <c r="T361" s="35"/>
      <c r="U361" s="35"/>
      <c r="V361" s="35"/>
      <c r="W361" s="35"/>
      <c r="X361" s="35"/>
      <c r="Y361" s="35"/>
      <c r="Z361" s="35"/>
      <c r="AA361" s="35"/>
      <c r="AB361" s="35"/>
      <c r="AC361" s="35"/>
      <c r="AD361" s="35"/>
      <c r="AE361" s="35"/>
      <c r="AF361" s="35"/>
      <c r="AG361" s="35"/>
      <c r="AH361" s="35"/>
      <c r="AI361" s="35"/>
      <c r="AJ361" s="35"/>
      <c r="AK361" s="35"/>
      <c r="AL361" s="35"/>
      <c r="AM361" s="35"/>
      <c r="AN361" s="35"/>
      <c r="AO361" s="35"/>
      <c r="AP361" s="35"/>
      <c r="AQ361" s="35"/>
      <c r="AR361" s="35"/>
      <c r="AS361" s="35"/>
      <c r="AT361" s="35"/>
      <c r="AU361" s="35"/>
      <c r="AV361" s="35"/>
      <c r="AW361" s="35"/>
      <c r="AX361" s="35"/>
      <c r="AY361" s="35"/>
      <c r="AZ361" s="35"/>
      <c r="BA361" s="35"/>
      <c r="BB361" s="35"/>
      <c r="BC361" s="35"/>
      <c r="BD361" s="35"/>
      <c r="BE361" s="35"/>
      <c r="BF361" s="35"/>
      <c r="BG361" s="35"/>
      <c r="BH361" s="35"/>
      <c r="BI361" s="35"/>
      <c r="BJ361" s="35"/>
      <c r="BK361" s="35"/>
      <c r="BL361" s="35"/>
    </row>
    <row r="362" spans="1:64" ht="14">
      <c r="A362" s="35"/>
      <c r="B362" s="36"/>
      <c r="C362" s="39"/>
      <c r="D362" s="78"/>
      <c r="E362" s="78"/>
      <c r="F362" s="78"/>
      <c r="G362" s="229"/>
      <c r="H362" s="229"/>
      <c r="I362" s="40"/>
      <c r="J362" s="43" t="str">
        <f t="shared" si="10"/>
        <v/>
      </c>
      <c r="K362" s="79" t="str">
        <f t="shared" si="11"/>
        <v/>
      </c>
      <c r="L362" s="39"/>
      <c r="M362" s="35"/>
      <c r="N362" s="35"/>
      <c r="O362" s="35"/>
      <c r="P362" s="35"/>
      <c r="Q362" s="35"/>
      <c r="R362" s="35"/>
      <c r="S362" s="35"/>
      <c r="T362" s="35"/>
      <c r="U362" s="35"/>
      <c r="V362" s="35"/>
      <c r="W362" s="35"/>
      <c r="X362" s="35"/>
      <c r="Y362" s="35"/>
      <c r="Z362" s="35"/>
      <c r="AA362" s="35"/>
      <c r="AB362" s="35"/>
      <c r="AC362" s="35"/>
      <c r="AD362" s="35"/>
      <c r="AE362" s="35"/>
      <c r="AF362" s="35"/>
      <c r="AG362" s="35"/>
      <c r="AH362" s="35"/>
      <c r="AI362" s="35"/>
      <c r="AJ362" s="35"/>
      <c r="AK362" s="35"/>
      <c r="AL362" s="35"/>
      <c r="AM362" s="35"/>
      <c r="AN362" s="35"/>
      <c r="AO362" s="35"/>
      <c r="AP362" s="35"/>
      <c r="AQ362" s="35"/>
      <c r="AR362" s="35"/>
      <c r="AS362" s="35"/>
      <c r="AT362" s="35"/>
      <c r="AU362" s="35"/>
      <c r="AV362" s="35"/>
      <c r="AW362" s="35"/>
      <c r="AX362" s="35"/>
      <c r="AY362" s="35"/>
      <c r="AZ362" s="35"/>
      <c r="BA362" s="35"/>
      <c r="BB362" s="35"/>
      <c r="BC362" s="35"/>
      <c r="BD362" s="35"/>
      <c r="BE362" s="35"/>
      <c r="BF362" s="35"/>
      <c r="BG362" s="35"/>
      <c r="BH362" s="35"/>
      <c r="BI362" s="35"/>
      <c r="BJ362" s="35"/>
      <c r="BK362" s="35"/>
      <c r="BL362" s="35"/>
    </row>
    <row r="363" spans="1:64" ht="14">
      <c r="A363" s="35"/>
      <c r="B363" s="36"/>
      <c r="C363" s="39"/>
      <c r="D363" s="78"/>
      <c r="E363" s="78"/>
      <c r="F363" s="78"/>
      <c r="G363" s="229"/>
      <c r="H363" s="229"/>
      <c r="I363" s="40"/>
      <c r="J363" s="43" t="str">
        <f t="shared" si="10"/>
        <v/>
      </c>
      <c r="K363" s="79" t="str">
        <f t="shared" si="11"/>
        <v/>
      </c>
      <c r="L363" s="39"/>
      <c r="M363" s="35"/>
      <c r="N363" s="35"/>
      <c r="O363" s="35"/>
      <c r="P363" s="35"/>
      <c r="Q363" s="35"/>
      <c r="R363" s="35"/>
      <c r="S363" s="35"/>
      <c r="T363" s="35"/>
      <c r="U363" s="35"/>
      <c r="V363" s="35"/>
      <c r="W363" s="35"/>
      <c r="X363" s="35"/>
      <c r="Y363" s="35"/>
      <c r="Z363" s="35"/>
      <c r="AA363" s="35"/>
      <c r="AB363" s="35"/>
      <c r="AC363" s="35"/>
      <c r="AD363" s="35"/>
      <c r="AE363" s="35"/>
      <c r="AF363" s="35"/>
      <c r="AG363" s="35"/>
      <c r="AH363" s="35"/>
      <c r="AI363" s="35"/>
      <c r="AJ363" s="35"/>
      <c r="AK363" s="35"/>
      <c r="AL363" s="35"/>
      <c r="AM363" s="35"/>
      <c r="AN363" s="35"/>
      <c r="AO363" s="35"/>
      <c r="AP363" s="35"/>
      <c r="AQ363" s="35"/>
      <c r="AR363" s="35"/>
      <c r="AS363" s="35"/>
      <c r="AT363" s="35"/>
      <c r="AU363" s="35"/>
      <c r="AV363" s="35"/>
      <c r="AW363" s="35"/>
      <c r="AX363" s="35"/>
      <c r="AY363" s="35"/>
      <c r="AZ363" s="35"/>
      <c r="BA363" s="35"/>
      <c r="BB363" s="35"/>
      <c r="BC363" s="35"/>
      <c r="BD363" s="35"/>
      <c r="BE363" s="35"/>
      <c r="BF363" s="35"/>
      <c r="BG363" s="35"/>
      <c r="BH363" s="35"/>
      <c r="BI363" s="35"/>
      <c r="BJ363" s="35"/>
      <c r="BK363" s="35"/>
      <c r="BL363" s="35"/>
    </row>
    <row r="364" spans="1:64" ht="14">
      <c r="A364" s="35"/>
      <c r="B364" s="36"/>
      <c r="C364" s="39"/>
      <c r="D364" s="78"/>
      <c r="E364" s="78"/>
      <c r="F364" s="78"/>
      <c r="G364" s="229"/>
      <c r="H364" s="229"/>
      <c r="I364" s="40"/>
      <c r="J364" s="43" t="str">
        <f t="shared" si="10"/>
        <v/>
      </c>
      <c r="K364" s="79" t="str">
        <f t="shared" si="11"/>
        <v/>
      </c>
      <c r="L364" s="39"/>
      <c r="M364" s="35"/>
      <c r="N364" s="35"/>
      <c r="O364" s="35"/>
      <c r="P364" s="35"/>
      <c r="Q364" s="35"/>
      <c r="R364" s="35"/>
      <c r="S364" s="35"/>
      <c r="T364" s="35"/>
      <c r="U364" s="35"/>
      <c r="V364" s="35"/>
      <c r="W364" s="35"/>
      <c r="X364" s="35"/>
      <c r="Y364" s="35"/>
      <c r="Z364" s="35"/>
      <c r="AA364" s="35"/>
      <c r="AB364" s="35"/>
      <c r="AC364" s="35"/>
      <c r="AD364" s="35"/>
      <c r="AE364" s="35"/>
      <c r="AF364" s="35"/>
      <c r="AG364" s="35"/>
      <c r="AH364" s="35"/>
      <c r="AI364" s="35"/>
      <c r="AJ364" s="35"/>
      <c r="AK364" s="35"/>
      <c r="AL364" s="35"/>
      <c r="AM364" s="35"/>
      <c r="AN364" s="35"/>
      <c r="AO364" s="35"/>
      <c r="AP364" s="35"/>
      <c r="AQ364" s="35"/>
      <c r="AR364" s="35"/>
      <c r="AS364" s="35"/>
      <c r="AT364" s="35"/>
      <c r="AU364" s="35"/>
      <c r="AV364" s="35"/>
      <c r="AW364" s="35"/>
      <c r="AX364" s="35"/>
      <c r="AY364" s="35"/>
      <c r="AZ364" s="35"/>
      <c r="BA364" s="35"/>
      <c r="BB364" s="35"/>
      <c r="BC364" s="35"/>
      <c r="BD364" s="35"/>
      <c r="BE364" s="35"/>
      <c r="BF364" s="35"/>
      <c r="BG364" s="35"/>
      <c r="BH364" s="35"/>
      <c r="BI364" s="35"/>
      <c r="BJ364" s="35"/>
      <c r="BK364" s="35"/>
      <c r="BL364" s="35"/>
    </row>
    <row r="365" spans="1:64" ht="14">
      <c r="A365" s="35"/>
      <c r="B365" s="36"/>
      <c r="C365" s="39"/>
      <c r="D365" s="78"/>
      <c r="E365" s="78"/>
      <c r="F365" s="78"/>
      <c r="G365" s="229"/>
      <c r="H365" s="229"/>
      <c r="I365" s="40"/>
      <c r="J365" s="43" t="str">
        <f t="shared" si="10"/>
        <v/>
      </c>
      <c r="K365" s="79" t="str">
        <f t="shared" si="11"/>
        <v/>
      </c>
      <c r="L365" s="39"/>
      <c r="M365" s="35"/>
      <c r="N365" s="35"/>
      <c r="O365" s="35"/>
      <c r="P365" s="35"/>
      <c r="Q365" s="35"/>
      <c r="R365" s="35"/>
      <c r="S365" s="35"/>
      <c r="T365" s="35"/>
      <c r="U365" s="35"/>
      <c r="V365" s="35"/>
      <c r="W365" s="35"/>
      <c r="X365" s="35"/>
      <c r="Y365" s="35"/>
      <c r="Z365" s="35"/>
      <c r="AA365" s="35"/>
      <c r="AB365" s="35"/>
      <c r="AC365" s="35"/>
      <c r="AD365" s="35"/>
      <c r="AE365" s="35"/>
      <c r="AF365" s="35"/>
      <c r="AG365" s="35"/>
      <c r="AH365" s="35"/>
      <c r="AI365" s="35"/>
      <c r="AJ365" s="35"/>
      <c r="AK365" s="35"/>
      <c r="AL365" s="35"/>
      <c r="AM365" s="35"/>
      <c r="AN365" s="35"/>
      <c r="AO365" s="35"/>
      <c r="AP365" s="35"/>
      <c r="AQ365" s="35"/>
      <c r="AR365" s="35"/>
      <c r="AS365" s="35"/>
      <c r="AT365" s="35"/>
      <c r="AU365" s="35"/>
      <c r="AV365" s="35"/>
      <c r="AW365" s="35"/>
      <c r="AX365" s="35"/>
      <c r="AY365" s="35"/>
      <c r="AZ365" s="35"/>
      <c r="BA365" s="35"/>
      <c r="BB365" s="35"/>
      <c r="BC365" s="35"/>
      <c r="BD365" s="35"/>
      <c r="BE365" s="35"/>
      <c r="BF365" s="35"/>
      <c r="BG365" s="35"/>
      <c r="BH365" s="35"/>
      <c r="BI365" s="35"/>
      <c r="BJ365" s="35"/>
      <c r="BK365" s="35"/>
      <c r="BL365" s="35"/>
    </row>
    <row r="366" spans="1:64" ht="14">
      <c r="A366" s="35"/>
      <c r="B366" s="36"/>
      <c r="C366" s="39"/>
      <c r="D366" s="78"/>
      <c r="E366" s="78"/>
      <c r="F366" s="78"/>
      <c r="G366" s="229"/>
      <c r="H366" s="229"/>
      <c r="I366" s="40"/>
      <c r="J366" s="43" t="str">
        <f t="shared" si="10"/>
        <v/>
      </c>
      <c r="K366" s="79" t="str">
        <f t="shared" si="11"/>
        <v/>
      </c>
      <c r="L366" s="39"/>
      <c r="M366" s="35"/>
      <c r="N366" s="35"/>
      <c r="O366" s="35"/>
      <c r="P366" s="35"/>
      <c r="Q366" s="35"/>
      <c r="R366" s="35"/>
      <c r="S366" s="35"/>
      <c r="T366" s="35"/>
      <c r="U366" s="35"/>
      <c r="V366" s="35"/>
      <c r="W366" s="35"/>
      <c r="X366" s="35"/>
      <c r="Y366" s="35"/>
      <c r="Z366" s="35"/>
      <c r="AA366" s="35"/>
      <c r="AB366" s="35"/>
      <c r="AC366" s="35"/>
      <c r="AD366" s="35"/>
      <c r="AE366" s="35"/>
      <c r="AF366" s="35"/>
      <c r="AG366" s="35"/>
      <c r="AH366" s="35"/>
      <c r="AI366" s="35"/>
      <c r="AJ366" s="35"/>
      <c r="AK366" s="35"/>
      <c r="AL366" s="35"/>
      <c r="AM366" s="35"/>
      <c r="AN366" s="35"/>
      <c r="AO366" s="35"/>
      <c r="AP366" s="35"/>
      <c r="AQ366" s="35"/>
      <c r="AR366" s="35"/>
      <c r="AS366" s="35"/>
      <c r="AT366" s="35"/>
      <c r="AU366" s="35"/>
      <c r="AV366" s="35"/>
      <c r="AW366" s="35"/>
      <c r="AX366" s="35"/>
      <c r="AY366" s="35"/>
      <c r="AZ366" s="35"/>
      <c r="BA366" s="35"/>
      <c r="BB366" s="35"/>
      <c r="BC366" s="35"/>
      <c r="BD366" s="35"/>
      <c r="BE366" s="35"/>
      <c r="BF366" s="35"/>
      <c r="BG366" s="35"/>
      <c r="BH366" s="35"/>
      <c r="BI366" s="35"/>
      <c r="BJ366" s="35"/>
      <c r="BK366" s="35"/>
      <c r="BL366" s="35"/>
    </row>
    <row r="367" spans="1:64" ht="14">
      <c r="A367" s="35"/>
      <c r="B367" s="36"/>
      <c r="C367" s="39"/>
      <c r="D367" s="78"/>
      <c r="E367" s="78"/>
      <c r="F367" s="78"/>
      <c r="G367" s="229"/>
      <c r="H367" s="229"/>
      <c r="I367" s="40"/>
      <c r="J367" s="43" t="str">
        <f t="shared" si="10"/>
        <v/>
      </c>
      <c r="K367" s="79" t="str">
        <f t="shared" si="11"/>
        <v/>
      </c>
      <c r="L367" s="39"/>
      <c r="M367" s="35"/>
      <c r="N367" s="35"/>
      <c r="O367" s="35"/>
      <c r="P367" s="35"/>
      <c r="Q367" s="35"/>
      <c r="R367" s="35"/>
      <c r="S367" s="35"/>
      <c r="T367" s="35"/>
      <c r="U367" s="35"/>
      <c r="V367" s="35"/>
      <c r="W367" s="35"/>
      <c r="X367" s="35"/>
      <c r="Y367" s="35"/>
      <c r="Z367" s="35"/>
      <c r="AA367" s="35"/>
      <c r="AB367" s="35"/>
      <c r="AC367" s="35"/>
      <c r="AD367" s="35"/>
      <c r="AE367" s="35"/>
      <c r="AF367" s="35"/>
      <c r="AG367" s="35"/>
      <c r="AH367" s="35"/>
      <c r="AI367" s="35"/>
      <c r="AJ367" s="35"/>
      <c r="AK367" s="35"/>
      <c r="AL367" s="35"/>
      <c r="AM367" s="35"/>
      <c r="AN367" s="35"/>
      <c r="AO367" s="35"/>
      <c r="AP367" s="35"/>
      <c r="AQ367" s="35"/>
      <c r="AR367" s="35"/>
      <c r="AS367" s="35"/>
      <c r="AT367" s="35"/>
      <c r="AU367" s="35"/>
      <c r="AV367" s="35"/>
      <c r="AW367" s="35"/>
      <c r="AX367" s="35"/>
      <c r="AY367" s="35"/>
      <c r="AZ367" s="35"/>
      <c r="BA367" s="35"/>
      <c r="BB367" s="35"/>
      <c r="BC367" s="35"/>
      <c r="BD367" s="35"/>
      <c r="BE367" s="35"/>
      <c r="BF367" s="35"/>
      <c r="BG367" s="35"/>
      <c r="BH367" s="35"/>
      <c r="BI367" s="35"/>
      <c r="BJ367" s="35"/>
      <c r="BK367" s="35"/>
      <c r="BL367" s="35"/>
    </row>
    <row r="368" spans="1:64" ht="14">
      <c r="A368" s="35"/>
      <c r="B368" s="36"/>
      <c r="C368" s="39"/>
      <c r="D368" s="78"/>
      <c r="E368" s="78"/>
      <c r="F368" s="78"/>
      <c r="G368" s="229"/>
      <c r="H368" s="229"/>
      <c r="I368" s="40"/>
      <c r="J368" s="43" t="str">
        <f t="shared" si="10"/>
        <v/>
      </c>
      <c r="K368" s="79" t="str">
        <f t="shared" si="11"/>
        <v/>
      </c>
      <c r="L368" s="39"/>
      <c r="M368" s="35"/>
      <c r="N368" s="35"/>
      <c r="O368" s="35"/>
      <c r="P368" s="35"/>
      <c r="Q368" s="35"/>
      <c r="R368" s="35"/>
      <c r="S368" s="35"/>
      <c r="T368" s="35"/>
      <c r="U368" s="35"/>
      <c r="V368" s="35"/>
      <c r="W368" s="35"/>
      <c r="X368" s="35"/>
      <c r="Y368" s="35"/>
      <c r="Z368" s="35"/>
      <c r="AA368" s="35"/>
      <c r="AB368" s="35"/>
      <c r="AC368" s="35"/>
      <c r="AD368" s="35"/>
      <c r="AE368" s="35"/>
      <c r="AF368" s="35"/>
      <c r="AG368" s="35"/>
      <c r="AH368" s="35"/>
      <c r="AI368" s="35"/>
      <c r="AJ368" s="35"/>
      <c r="AK368" s="35"/>
      <c r="AL368" s="35"/>
      <c r="AM368" s="35"/>
      <c r="AN368" s="35"/>
      <c r="AO368" s="35"/>
      <c r="AP368" s="35"/>
      <c r="AQ368" s="35"/>
      <c r="AR368" s="35"/>
      <c r="AS368" s="35"/>
      <c r="AT368" s="35"/>
      <c r="AU368" s="35"/>
      <c r="AV368" s="35"/>
      <c r="AW368" s="35"/>
      <c r="AX368" s="35"/>
      <c r="AY368" s="35"/>
      <c r="AZ368" s="35"/>
      <c r="BA368" s="35"/>
      <c r="BB368" s="35"/>
      <c r="BC368" s="35"/>
      <c r="BD368" s="35"/>
      <c r="BE368" s="35"/>
      <c r="BF368" s="35"/>
      <c r="BG368" s="35"/>
      <c r="BH368" s="35"/>
      <c r="BI368" s="35"/>
      <c r="BJ368" s="35"/>
      <c r="BK368" s="35"/>
      <c r="BL368" s="35"/>
    </row>
    <row r="369" spans="1:64" ht="14">
      <c r="A369" s="35"/>
      <c r="B369" s="36"/>
      <c r="C369" s="39"/>
      <c r="D369" s="78"/>
      <c r="E369" s="78"/>
      <c r="F369" s="78"/>
      <c r="G369" s="229"/>
      <c r="H369" s="229"/>
      <c r="I369" s="40"/>
      <c r="J369" s="43" t="str">
        <f t="shared" si="10"/>
        <v/>
      </c>
      <c r="K369" s="79" t="str">
        <f t="shared" si="11"/>
        <v/>
      </c>
      <c r="L369" s="39"/>
      <c r="M369" s="35"/>
      <c r="N369" s="35"/>
      <c r="O369" s="35"/>
      <c r="P369" s="35"/>
      <c r="Q369" s="35"/>
      <c r="R369" s="35"/>
      <c r="S369" s="35"/>
      <c r="T369" s="35"/>
      <c r="U369" s="35"/>
      <c r="V369" s="35"/>
      <c r="W369" s="35"/>
      <c r="X369" s="35"/>
      <c r="Y369" s="35"/>
      <c r="Z369" s="35"/>
      <c r="AA369" s="35"/>
      <c r="AB369" s="35"/>
      <c r="AC369" s="35"/>
      <c r="AD369" s="35"/>
      <c r="AE369" s="35"/>
      <c r="AF369" s="35"/>
      <c r="AG369" s="35"/>
      <c r="AH369" s="35"/>
      <c r="AI369" s="35"/>
      <c r="AJ369" s="35"/>
      <c r="AK369" s="35"/>
      <c r="AL369" s="35"/>
      <c r="AM369" s="35"/>
      <c r="AN369" s="35"/>
      <c r="AO369" s="35"/>
      <c r="AP369" s="35"/>
      <c r="AQ369" s="35"/>
      <c r="AR369" s="35"/>
      <c r="AS369" s="35"/>
      <c r="AT369" s="35"/>
      <c r="AU369" s="35"/>
      <c r="AV369" s="35"/>
      <c r="AW369" s="35"/>
      <c r="AX369" s="35"/>
      <c r="AY369" s="35"/>
      <c r="AZ369" s="35"/>
      <c r="BA369" s="35"/>
      <c r="BB369" s="35"/>
      <c r="BC369" s="35"/>
      <c r="BD369" s="35"/>
      <c r="BE369" s="35"/>
      <c r="BF369" s="35"/>
      <c r="BG369" s="35"/>
      <c r="BH369" s="35"/>
      <c r="BI369" s="35"/>
      <c r="BJ369" s="35"/>
      <c r="BK369" s="35"/>
      <c r="BL369" s="35"/>
    </row>
    <row r="370" spans="1:64" ht="14">
      <c r="A370" s="35"/>
      <c r="B370" s="36"/>
      <c r="C370" s="39"/>
      <c r="D370" s="78"/>
      <c r="E370" s="78"/>
      <c r="F370" s="78"/>
      <c r="G370" s="229"/>
      <c r="H370" s="229"/>
      <c r="I370" s="40"/>
      <c r="J370" s="43" t="str">
        <f t="shared" si="10"/>
        <v/>
      </c>
      <c r="K370" s="79" t="str">
        <f t="shared" si="11"/>
        <v/>
      </c>
      <c r="L370" s="39"/>
      <c r="M370" s="35"/>
      <c r="N370" s="35"/>
      <c r="O370" s="35"/>
      <c r="P370" s="35"/>
      <c r="Q370" s="35"/>
      <c r="R370" s="35"/>
      <c r="S370" s="35"/>
      <c r="T370" s="35"/>
      <c r="U370" s="35"/>
      <c r="V370" s="35"/>
      <c r="W370" s="35"/>
      <c r="X370" s="35"/>
      <c r="Y370" s="35"/>
      <c r="Z370" s="35"/>
      <c r="AA370" s="35"/>
      <c r="AB370" s="35"/>
      <c r="AC370" s="35"/>
      <c r="AD370" s="35"/>
      <c r="AE370" s="35"/>
      <c r="AF370" s="35"/>
      <c r="AG370" s="35"/>
      <c r="AH370" s="35"/>
      <c r="AI370" s="35"/>
      <c r="AJ370" s="35"/>
      <c r="AK370" s="35"/>
      <c r="AL370" s="35"/>
      <c r="AM370" s="35"/>
      <c r="AN370" s="35"/>
      <c r="AO370" s="35"/>
      <c r="AP370" s="35"/>
      <c r="AQ370" s="35"/>
      <c r="AR370" s="35"/>
      <c r="AS370" s="35"/>
      <c r="AT370" s="35"/>
      <c r="AU370" s="35"/>
      <c r="AV370" s="35"/>
      <c r="AW370" s="35"/>
      <c r="AX370" s="35"/>
      <c r="AY370" s="35"/>
      <c r="AZ370" s="35"/>
      <c r="BA370" s="35"/>
      <c r="BB370" s="35"/>
      <c r="BC370" s="35"/>
      <c r="BD370" s="35"/>
      <c r="BE370" s="35"/>
      <c r="BF370" s="35"/>
      <c r="BG370" s="35"/>
      <c r="BH370" s="35"/>
      <c r="BI370" s="35"/>
      <c r="BJ370" s="35"/>
      <c r="BK370" s="35"/>
      <c r="BL370" s="35"/>
    </row>
    <row r="371" spans="1:64" ht="14">
      <c r="A371" s="35"/>
      <c r="B371" s="36"/>
      <c r="C371" s="39"/>
      <c r="D371" s="78"/>
      <c r="E371" s="78"/>
      <c r="F371" s="78"/>
      <c r="G371" s="229"/>
      <c r="H371" s="229"/>
      <c r="I371" s="40"/>
      <c r="J371" s="43" t="str">
        <f t="shared" si="10"/>
        <v/>
      </c>
      <c r="K371" s="79" t="str">
        <f t="shared" si="11"/>
        <v/>
      </c>
      <c r="L371" s="39"/>
      <c r="M371" s="35"/>
      <c r="N371" s="35"/>
      <c r="O371" s="35"/>
      <c r="P371" s="35"/>
      <c r="Q371" s="35"/>
      <c r="R371" s="35"/>
      <c r="S371" s="35"/>
      <c r="T371" s="35"/>
      <c r="U371" s="35"/>
      <c r="V371" s="35"/>
      <c r="W371" s="35"/>
      <c r="X371" s="35"/>
      <c r="Y371" s="35"/>
      <c r="Z371" s="35"/>
      <c r="AA371" s="35"/>
      <c r="AB371" s="35"/>
      <c r="AC371" s="35"/>
      <c r="AD371" s="35"/>
      <c r="AE371" s="35"/>
      <c r="AF371" s="35"/>
      <c r="AG371" s="35"/>
      <c r="AH371" s="35"/>
      <c r="AI371" s="35"/>
      <c r="AJ371" s="35"/>
      <c r="AK371" s="35"/>
      <c r="AL371" s="35"/>
      <c r="AM371" s="35"/>
      <c r="AN371" s="35"/>
      <c r="AO371" s="35"/>
      <c r="AP371" s="35"/>
      <c r="AQ371" s="35"/>
      <c r="AR371" s="35"/>
      <c r="AS371" s="35"/>
      <c r="AT371" s="35"/>
      <c r="AU371" s="35"/>
      <c r="AV371" s="35"/>
      <c r="AW371" s="35"/>
      <c r="AX371" s="35"/>
      <c r="AY371" s="35"/>
      <c r="AZ371" s="35"/>
      <c r="BA371" s="35"/>
      <c r="BB371" s="35"/>
      <c r="BC371" s="35"/>
      <c r="BD371" s="35"/>
      <c r="BE371" s="35"/>
      <c r="BF371" s="35"/>
      <c r="BG371" s="35"/>
      <c r="BH371" s="35"/>
      <c r="BI371" s="35"/>
      <c r="BJ371" s="35"/>
      <c r="BK371" s="35"/>
      <c r="BL371" s="35"/>
    </row>
    <row r="372" spans="1:64" ht="14">
      <c r="A372" s="35"/>
      <c r="B372" s="36"/>
      <c r="C372" s="39"/>
      <c r="D372" s="78"/>
      <c r="E372" s="78"/>
      <c r="F372" s="78"/>
      <c r="G372" s="229"/>
      <c r="H372" s="229"/>
      <c r="I372" s="40"/>
      <c r="J372" s="43" t="str">
        <f t="shared" si="10"/>
        <v/>
      </c>
      <c r="K372" s="79" t="str">
        <f t="shared" si="11"/>
        <v/>
      </c>
      <c r="L372" s="39"/>
      <c r="M372" s="35"/>
      <c r="N372" s="35"/>
      <c r="O372" s="35"/>
      <c r="P372" s="35"/>
      <c r="Q372" s="35"/>
      <c r="R372" s="35"/>
      <c r="S372" s="35"/>
      <c r="T372" s="35"/>
      <c r="U372" s="35"/>
      <c r="V372" s="35"/>
      <c r="W372" s="35"/>
      <c r="X372" s="35"/>
      <c r="Y372" s="35"/>
      <c r="Z372" s="35"/>
      <c r="AA372" s="35"/>
      <c r="AB372" s="35"/>
      <c r="AC372" s="35"/>
      <c r="AD372" s="35"/>
      <c r="AE372" s="35"/>
      <c r="AF372" s="35"/>
      <c r="AG372" s="35"/>
      <c r="AH372" s="35"/>
      <c r="AI372" s="35"/>
      <c r="AJ372" s="35"/>
      <c r="AK372" s="35"/>
      <c r="AL372" s="35"/>
      <c r="AM372" s="35"/>
      <c r="AN372" s="35"/>
      <c r="AO372" s="35"/>
      <c r="AP372" s="35"/>
      <c r="AQ372" s="35"/>
      <c r="AR372" s="35"/>
      <c r="AS372" s="35"/>
      <c r="AT372" s="35"/>
      <c r="AU372" s="35"/>
      <c r="AV372" s="35"/>
      <c r="AW372" s="35"/>
      <c r="AX372" s="35"/>
      <c r="AY372" s="35"/>
      <c r="AZ372" s="35"/>
      <c r="BA372" s="35"/>
      <c r="BB372" s="35"/>
      <c r="BC372" s="35"/>
      <c r="BD372" s="35"/>
      <c r="BE372" s="35"/>
      <c r="BF372" s="35"/>
      <c r="BG372" s="35"/>
      <c r="BH372" s="35"/>
      <c r="BI372" s="35"/>
      <c r="BJ372" s="35"/>
      <c r="BK372" s="35"/>
      <c r="BL372" s="35"/>
    </row>
    <row r="373" spans="1:64" ht="14">
      <c r="A373" s="35"/>
      <c r="B373" s="36"/>
      <c r="C373" s="39"/>
      <c r="D373" s="78"/>
      <c r="E373" s="78"/>
      <c r="F373" s="78"/>
      <c r="G373" s="229"/>
      <c r="H373" s="229"/>
      <c r="I373" s="40"/>
      <c r="J373" s="43" t="str">
        <f t="shared" si="10"/>
        <v/>
      </c>
      <c r="K373" s="79" t="str">
        <f t="shared" si="11"/>
        <v/>
      </c>
      <c r="L373" s="39"/>
      <c r="M373" s="35"/>
      <c r="N373" s="35"/>
      <c r="O373" s="35"/>
      <c r="P373" s="35"/>
      <c r="Q373" s="35"/>
      <c r="R373" s="35"/>
      <c r="S373" s="35"/>
      <c r="T373" s="35"/>
      <c r="U373" s="35"/>
      <c r="V373" s="35"/>
      <c r="W373" s="35"/>
      <c r="X373" s="35"/>
      <c r="Y373" s="35"/>
      <c r="Z373" s="35"/>
      <c r="AA373" s="35"/>
      <c r="AB373" s="35"/>
      <c r="AC373" s="35"/>
      <c r="AD373" s="35"/>
      <c r="AE373" s="35"/>
      <c r="AF373" s="35"/>
      <c r="AG373" s="35"/>
      <c r="AH373" s="35"/>
      <c r="AI373" s="35"/>
      <c r="AJ373" s="35"/>
      <c r="AK373" s="35"/>
      <c r="AL373" s="35"/>
      <c r="AM373" s="35"/>
      <c r="AN373" s="35"/>
      <c r="AO373" s="35"/>
      <c r="AP373" s="35"/>
      <c r="AQ373" s="35"/>
      <c r="AR373" s="35"/>
      <c r="AS373" s="35"/>
      <c r="AT373" s="35"/>
      <c r="AU373" s="35"/>
      <c r="AV373" s="35"/>
      <c r="AW373" s="35"/>
      <c r="AX373" s="35"/>
      <c r="AY373" s="35"/>
      <c r="AZ373" s="35"/>
      <c r="BA373" s="35"/>
      <c r="BB373" s="35"/>
      <c r="BC373" s="35"/>
      <c r="BD373" s="35"/>
      <c r="BE373" s="35"/>
      <c r="BF373" s="35"/>
      <c r="BG373" s="35"/>
      <c r="BH373" s="35"/>
      <c r="BI373" s="35"/>
      <c r="BJ373" s="35"/>
      <c r="BK373" s="35"/>
      <c r="BL373" s="35"/>
    </row>
    <row r="374" spans="1:64" ht="14">
      <c r="A374" s="35"/>
      <c r="B374" s="36"/>
      <c r="C374" s="39"/>
      <c r="D374" s="78"/>
      <c r="E374" s="78"/>
      <c r="F374" s="78"/>
      <c r="G374" s="229"/>
      <c r="H374" s="229"/>
      <c r="I374" s="40"/>
      <c r="J374" s="43" t="str">
        <f t="shared" si="10"/>
        <v/>
      </c>
      <c r="K374" s="79" t="str">
        <f t="shared" si="11"/>
        <v/>
      </c>
      <c r="L374" s="39"/>
      <c r="M374" s="35"/>
      <c r="N374" s="35"/>
      <c r="O374" s="35"/>
      <c r="P374" s="35"/>
      <c r="Q374" s="35"/>
      <c r="R374" s="35"/>
      <c r="S374" s="35"/>
      <c r="T374" s="35"/>
      <c r="U374" s="35"/>
      <c r="V374" s="35"/>
      <c r="W374" s="35"/>
      <c r="X374" s="35"/>
      <c r="Y374" s="35"/>
      <c r="Z374" s="35"/>
      <c r="AA374" s="35"/>
      <c r="AB374" s="35"/>
      <c r="AC374" s="35"/>
      <c r="AD374" s="35"/>
      <c r="AE374" s="35"/>
      <c r="AF374" s="35"/>
      <c r="AG374" s="35"/>
      <c r="AH374" s="35"/>
      <c r="AI374" s="35"/>
      <c r="AJ374" s="35"/>
      <c r="AK374" s="35"/>
      <c r="AL374" s="35"/>
      <c r="AM374" s="35"/>
      <c r="AN374" s="35"/>
      <c r="AO374" s="35"/>
      <c r="AP374" s="35"/>
      <c r="AQ374" s="35"/>
      <c r="AR374" s="35"/>
      <c r="AS374" s="35"/>
      <c r="AT374" s="35"/>
      <c r="AU374" s="35"/>
      <c r="AV374" s="35"/>
      <c r="AW374" s="35"/>
      <c r="AX374" s="35"/>
      <c r="AY374" s="35"/>
      <c r="AZ374" s="35"/>
      <c r="BA374" s="35"/>
      <c r="BB374" s="35"/>
      <c r="BC374" s="35"/>
      <c r="BD374" s="35"/>
      <c r="BE374" s="35"/>
      <c r="BF374" s="35"/>
      <c r="BG374" s="35"/>
      <c r="BH374" s="35"/>
      <c r="BI374" s="35"/>
      <c r="BJ374" s="35"/>
      <c r="BK374" s="35"/>
      <c r="BL374" s="35"/>
    </row>
    <row r="375" spans="1:64" ht="14">
      <c r="A375" s="35"/>
      <c r="B375" s="36"/>
      <c r="C375" s="39"/>
      <c r="D375" s="78"/>
      <c r="E375" s="78"/>
      <c r="F375" s="78"/>
      <c r="G375" s="229"/>
      <c r="H375" s="229"/>
      <c r="I375" s="40"/>
      <c r="J375" s="43" t="str">
        <f t="shared" si="10"/>
        <v/>
      </c>
      <c r="K375" s="79" t="str">
        <f t="shared" si="11"/>
        <v/>
      </c>
      <c r="L375" s="39"/>
      <c r="M375" s="35"/>
      <c r="N375" s="35"/>
      <c r="O375" s="35"/>
      <c r="P375" s="35"/>
      <c r="Q375" s="35"/>
      <c r="R375" s="35"/>
      <c r="S375" s="35"/>
      <c r="T375" s="35"/>
      <c r="U375" s="35"/>
      <c r="V375" s="35"/>
      <c r="W375" s="35"/>
      <c r="X375" s="35"/>
      <c r="Y375" s="35"/>
      <c r="Z375" s="35"/>
      <c r="AA375" s="35"/>
      <c r="AB375" s="35"/>
      <c r="AC375" s="35"/>
      <c r="AD375" s="35"/>
      <c r="AE375" s="35"/>
      <c r="AF375" s="35"/>
      <c r="AG375" s="35"/>
      <c r="AH375" s="35"/>
      <c r="AI375" s="35"/>
      <c r="AJ375" s="35"/>
      <c r="AK375" s="35"/>
      <c r="AL375" s="35"/>
      <c r="AM375" s="35"/>
      <c r="AN375" s="35"/>
      <c r="AO375" s="35"/>
      <c r="AP375" s="35"/>
      <c r="AQ375" s="35"/>
      <c r="AR375" s="35"/>
      <c r="AS375" s="35"/>
      <c r="AT375" s="35"/>
      <c r="AU375" s="35"/>
      <c r="AV375" s="35"/>
      <c r="AW375" s="35"/>
      <c r="AX375" s="35"/>
      <c r="AY375" s="35"/>
      <c r="AZ375" s="35"/>
      <c r="BA375" s="35"/>
      <c r="BB375" s="35"/>
      <c r="BC375" s="35"/>
      <c r="BD375" s="35"/>
      <c r="BE375" s="35"/>
      <c r="BF375" s="35"/>
      <c r="BG375" s="35"/>
      <c r="BH375" s="35"/>
      <c r="BI375" s="35"/>
      <c r="BJ375" s="35"/>
      <c r="BK375" s="35"/>
      <c r="BL375" s="35"/>
    </row>
    <row r="376" spans="1:64" ht="14">
      <c r="A376" s="35"/>
      <c r="B376" s="36"/>
      <c r="C376" s="39"/>
      <c r="D376" s="78"/>
      <c r="E376" s="78"/>
      <c r="F376" s="78"/>
      <c r="G376" s="229"/>
      <c r="H376" s="229"/>
      <c r="I376" s="40"/>
      <c r="J376" s="43" t="str">
        <f t="shared" si="10"/>
        <v/>
      </c>
      <c r="K376" s="79" t="str">
        <f t="shared" si="11"/>
        <v/>
      </c>
      <c r="L376" s="39"/>
      <c r="M376" s="35"/>
      <c r="N376" s="35"/>
      <c r="O376" s="35"/>
      <c r="P376" s="35"/>
      <c r="Q376" s="35"/>
      <c r="R376" s="35"/>
      <c r="S376" s="35"/>
      <c r="T376" s="35"/>
      <c r="U376" s="35"/>
      <c r="V376" s="35"/>
      <c r="W376" s="35"/>
      <c r="X376" s="35"/>
      <c r="Y376" s="35"/>
      <c r="Z376" s="35"/>
      <c r="AA376" s="35"/>
      <c r="AB376" s="35"/>
      <c r="AC376" s="35"/>
      <c r="AD376" s="35"/>
      <c r="AE376" s="35"/>
      <c r="AF376" s="35"/>
      <c r="AG376" s="35"/>
      <c r="AH376" s="35"/>
      <c r="AI376" s="35"/>
      <c r="AJ376" s="35"/>
      <c r="AK376" s="35"/>
      <c r="AL376" s="35"/>
      <c r="AM376" s="35"/>
      <c r="AN376" s="35"/>
      <c r="AO376" s="35"/>
      <c r="AP376" s="35"/>
      <c r="AQ376" s="35"/>
      <c r="AR376" s="35"/>
      <c r="AS376" s="35"/>
      <c r="AT376" s="35"/>
      <c r="AU376" s="35"/>
      <c r="AV376" s="35"/>
      <c r="AW376" s="35"/>
      <c r="AX376" s="35"/>
      <c r="AY376" s="35"/>
      <c r="AZ376" s="35"/>
      <c r="BA376" s="35"/>
      <c r="BB376" s="35"/>
      <c r="BC376" s="35"/>
      <c r="BD376" s="35"/>
      <c r="BE376" s="35"/>
      <c r="BF376" s="35"/>
      <c r="BG376" s="35"/>
      <c r="BH376" s="35"/>
      <c r="BI376" s="35"/>
      <c r="BJ376" s="35"/>
      <c r="BK376" s="35"/>
      <c r="BL376" s="35"/>
    </row>
    <row r="377" spans="1:64" ht="14">
      <c r="A377" s="35"/>
      <c r="B377" s="36"/>
      <c r="C377" s="39"/>
      <c r="D377" s="78"/>
      <c r="E377" s="78"/>
      <c r="F377" s="78"/>
      <c r="G377" s="229"/>
      <c r="H377" s="229"/>
      <c r="I377" s="40"/>
      <c r="J377" s="43" t="str">
        <f t="shared" si="10"/>
        <v/>
      </c>
      <c r="K377" s="79" t="str">
        <f t="shared" si="11"/>
        <v/>
      </c>
      <c r="L377" s="39"/>
      <c r="M377" s="35"/>
      <c r="N377" s="35"/>
      <c r="O377" s="35"/>
      <c r="P377" s="35"/>
      <c r="Q377" s="35"/>
      <c r="R377" s="35"/>
      <c r="S377" s="35"/>
      <c r="T377" s="35"/>
      <c r="U377" s="35"/>
      <c r="V377" s="35"/>
      <c r="W377" s="35"/>
      <c r="X377" s="35"/>
      <c r="Y377" s="35"/>
      <c r="Z377" s="35"/>
      <c r="AA377" s="35"/>
      <c r="AB377" s="35"/>
      <c r="AC377" s="35"/>
      <c r="AD377" s="35"/>
      <c r="AE377" s="35"/>
      <c r="AF377" s="35"/>
      <c r="AG377" s="35"/>
      <c r="AH377" s="35"/>
      <c r="AI377" s="35"/>
      <c r="AJ377" s="35"/>
      <c r="AK377" s="35"/>
      <c r="AL377" s="35"/>
      <c r="AM377" s="35"/>
      <c r="AN377" s="35"/>
      <c r="AO377" s="35"/>
      <c r="AP377" s="35"/>
      <c r="AQ377" s="35"/>
      <c r="AR377" s="35"/>
      <c r="AS377" s="35"/>
      <c r="AT377" s="35"/>
      <c r="AU377" s="35"/>
      <c r="AV377" s="35"/>
      <c r="AW377" s="35"/>
      <c r="AX377" s="35"/>
      <c r="AY377" s="35"/>
      <c r="AZ377" s="35"/>
      <c r="BA377" s="35"/>
      <c r="BB377" s="35"/>
      <c r="BC377" s="35"/>
      <c r="BD377" s="35"/>
      <c r="BE377" s="35"/>
      <c r="BF377" s="35"/>
      <c r="BG377" s="35"/>
      <c r="BH377" s="35"/>
      <c r="BI377" s="35"/>
      <c r="BJ377" s="35"/>
      <c r="BK377" s="35"/>
      <c r="BL377" s="35"/>
    </row>
    <row r="378" spans="1:64" ht="14">
      <c r="A378" s="35"/>
      <c r="B378" s="36"/>
      <c r="C378" s="39"/>
      <c r="D378" s="78"/>
      <c r="E378" s="78"/>
      <c r="F378" s="78"/>
      <c r="G378" s="229"/>
      <c r="H378" s="229"/>
      <c r="I378" s="40"/>
      <c r="J378" s="43" t="str">
        <f t="shared" si="10"/>
        <v/>
      </c>
      <c r="K378" s="79" t="str">
        <f t="shared" si="11"/>
        <v/>
      </c>
      <c r="L378" s="39"/>
      <c r="M378" s="35"/>
      <c r="N378" s="35"/>
      <c r="O378" s="35"/>
      <c r="P378" s="35"/>
      <c r="Q378" s="35"/>
      <c r="R378" s="35"/>
      <c r="S378" s="35"/>
      <c r="T378" s="35"/>
      <c r="U378" s="35"/>
      <c r="V378" s="35"/>
      <c r="W378" s="35"/>
      <c r="X378" s="35"/>
      <c r="Y378" s="35"/>
      <c r="Z378" s="35"/>
      <c r="AA378" s="35"/>
      <c r="AB378" s="35"/>
      <c r="AC378" s="35"/>
      <c r="AD378" s="35"/>
      <c r="AE378" s="35"/>
      <c r="AF378" s="35"/>
      <c r="AG378" s="35"/>
      <c r="AH378" s="35"/>
      <c r="AI378" s="35"/>
      <c r="AJ378" s="35"/>
      <c r="AK378" s="35"/>
      <c r="AL378" s="35"/>
      <c r="AM378" s="35"/>
      <c r="AN378" s="35"/>
      <c r="AO378" s="35"/>
      <c r="AP378" s="35"/>
      <c r="AQ378" s="35"/>
      <c r="AR378" s="35"/>
      <c r="AS378" s="35"/>
      <c r="AT378" s="35"/>
      <c r="AU378" s="35"/>
      <c r="AV378" s="35"/>
      <c r="AW378" s="35"/>
      <c r="AX378" s="35"/>
      <c r="AY378" s="35"/>
      <c r="AZ378" s="35"/>
      <c r="BA378" s="35"/>
      <c r="BB378" s="35"/>
      <c r="BC378" s="35"/>
      <c r="BD378" s="35"/>
      <c r="BE378" s="35"/>
      <c r="BF378" s="35"/>
      <c r="BG378" s="35"/>
      <c r="BH378" s="35"/>
      <c r="BI378" s="35"/>
      <c r="BJ378" s="35"/>
      <c r="BK378" s="35"/>
      <c r="BL378" s="35"/>
    </row>
    <row r="379" spans="1:64" ht="14">
      <c r="A379" s="35"/>
      <c r="B379" s="36"/>
      <c r="C379" s="39"/>
      <c r="D379" s="78"/>
      <c r="E379" s="78"/>
      <c r="F379" s="78"/>
      <c r="G379" s="229"/>
      <c r="H379" s="229"/>
      <c r="I379" s="40"/>
      <c r="J379" s="43" t="str">
        <f t="shared" si="10"/>
        <v/>
      </c>
      <c r="K379" s="79" t="str">
        <f t="shared" si="11"/>
        <v/>
      </c>
      <c r="L379" s="39"/>
      <c r="M379" s="35"/>
      <c r="N379" s="35"/>
      <c r="O379" s="35"/>
      <c r="P379" s="35"/>
      <c r="Q379" s="35"/>
      <c r="R379" s="35"/>
      <c r="S379" s="35"/>
      <c r="T379" s="35"/>
      <c r="U379" s="35"/>
      <c r="V379" s="35"/>
      <c r="W379" s="35"/>
      <c r="X379" s="35"/>
      <c r="Y379" s="35"/>
      <c r="Z379" s="35"/>
      <c r="AA379" s="35"/>
      <c r="AB379" s="35"/>
      <c r="AC379" s="35"/>
      <c r="AD379" s="35"/>
      <c r="AE379" s="35"/>
      <c r="AF379" s="35"/>
      <c r="AG379" s="35"/>
      <c r="AH379" s="35"/>
      <c r="AI379" s="35"/>
      <c r="AJ379" s="35"/>
      <c r="AK379" s="35"/>
      <c r="AL379" s="35"/>
      <c r="AM379" s="35"/>
      <c r="AN379" s="35"/>
      <c r="AO379" s="35"/>
      <c r="AP379" s="35"/>
      <c r="AQ379" s="35"/>
      <c r="AR379" s="35"/>
      <c r="AS379" s="35"/>
      <c r="AT379" s="35"/>
      <c r="AU379" s="35"/>
      <c r="AV379" s="35"/>
      <c r="AW379" s="35"/>
      <c r="AX379" s="35"/>
      <c r="AY379" s="35"/>
      <c r="AZ379" s="35"/>
      <c r="BA379" s="35"/>
      <c r="BB379" s="35"/>
      <c r="BC379" s="35"/>
      <c r="BD379" s="35"/>
      <c r="BE379" s="35"/>
      <c r="BF379" s="35"/>
      <c r="BG379" s="35"/>
      <c r="BH379" s="35"/>
      <c r="BI379" s="35"/>
      <c r="BJ379" s="35"/>
      <c r="BK379" s="35"/>
      <c r="BL379" s="35"/>
    </row>
    <row r="380" spans="1:64" ht="14">
      <c r="A380" s="35"/>
      <c r="B380" s="36"/>
      <c r="C380" s="39"/>
      <c r="D380" s="78"/>
      <c r="E380" s="78"/>
      <c r="F380" s="78"/>
      <c r="G380" s="229"/>
      <c r="H380" s="229"/>
      <c r="I380" s="40"/>
      <c r="J380" s="43" t="str">
        <f t="shared" si="10"/>
        <v/>
      </c>
      <c r="K380" s="79" t="str">
        <f t="shared" si="11"/>
        <v/>
      </c>
      <c r="L380" s="39"/>
      <c r="M380" s="35"/>
      <c r="N380" s="35"/>
      <c r="O380" s="35"/>
      <c r="P380" s="35"/>
      <c r="Q380" s="35"/>
      <c r="R380" s="35"/>
      <c r="S380" s="35"/>
      <c r="T380" s="35"/>
      <c r="U380" s="35"/>
      <c r="V380" s="35"/>
      <c r="W380" s="35"/>
      <c r="X380" s="35"/>
      <c r="Y380" s="35"/>
      <c r="Z380" s="35"/>
      <c r="AA380" s="35"/>
      <c r="AB380" s="35"/>
      <c r="AC380" s="35"/>
      <c r="AD380" s="35"/>
      <c r="AE380" s="35"/>
      <c r="AF380" s="35"/>
      <c r="AG380" s="35"/>
      <c r="AH380" s="35"/>
      <c r="AI380" s="35"/>
      <c r="AJ380" s="35"/>
      <c r="AK380" s="35"/>
      <c r="AL380" s="35"/>
      <c r="AM380" s="35"/>
      <c r="AN380" s="35"/>
      <c r="AO380" s="35"/>
      <c r="AP380" s="35"/>
      <c r="AQ380" s="35"/>
      <c r="AR380" s="35"/>
      <c r="AS380" s="35"/>
      <c r="AT380" s="35"/>
      <c r="AU380" s="35"/>
      <c r="AV380" s="35"/>
      <c r="AW380" s="35"/>
      <c r="AX380" s="35"/>
      <c r="AY380" s="35"/>
      <c r="AZ380" s="35"/>
      <c r="BA380" s="35"/>
      <c r="BB380" s="35"/>
      <c r="BC380" s="35"/>
      <c r="BD380" s="35"/>
      <c r="BE380" s="35"/>
      <c r="BF380" s="35"/>
      <c r="BG380" s="35"/>
      <c r="BH380" s="35"/>
      <c r="BI380" s="35"/>
      <c r="BJ380" s="35"/>
      <c r="BK380" s="35"/>
      <c r="BL380" s="35"/>
    </row>
    <row r="381" spans="1:64" ht="14">
      <c r="A381" s="35"/>
      <c r="B381" s="36"/>
      <c r="C381" s="39"/>
      <c r="D381" s="78"/>
      <c r="E381" s="78"/>
      <c r="F381" s="78"/>
      <c r="G381" s="229"/>
      <c r="H381" s="229"/>
      <c r="I381" s="40"/>
      <c r="J381" s="43" t="str">
        <f t="shared" si="10"/>
        <v/>
      </c>
      <c r="K381" s="79" t="str">
        <f t="shared" si="11"/>
        <v/>
      </c>
      <c r="L381" s="39"/>
      <c r="M381" s="35"/>
      <c r="N381" s="35"/>
      <c r="O381" s="35"/>
      <c r="P381" s="35"/>
      <c r="Q381" s="35"/>
      <c r="R381" s="35"/>
      <c r="S381" s="35"/>
      <c r="T381" s="35"/>
      <c r="U381" s="35"/>
      <c r="V381" s="35"/>
      <c r="W381" s="35"/>
      <c r="X381" s="35"/>
      <c r="Y381" s="35"/>
      <c r="Z381" s="35"/>
      <c r="AA381" s="35"/>
      <c r="AB381" s="35"/>
      <c r="AC381" s="35"/>
      <c r="AD381" s="35"/>
      <c r="AE381" s="35"/>
      <c r="AF381" s="35"/>
      <c r="AG381" s="35"/>
      <c r="AH381" s="35"/>
      <c r="AI381" s="35"/>
      <c r="AJ381" s="35"/>
      <c r="AK381" s="35"/>
      <c r="AL381" s="35"/>
      <c r="AM381" s="35"/>
      <c r="AN381" s="35"/>
      <c r="AO381" s="35"/>
      <c r="AP381" s="35"/>
      <c r="AQ381" s="35"/>
      <c r="AR381" s="35"/>
      <c r="AS381" s="35"/>
      <c r="AT381" s="35"/>
      <c r="AU381" s="35"/>
      <c r="AV381" s="35"/>
      <c r="AW381" s="35"/>
      <c r="AX381" s="35"/>
      <c r="AY381" s="35"/>
      <c r="AZ381" s="35"/>
      <c r="BA381" s="35"/>
      <c r="BB381" s="35"/>
      <c r="BC381" s="35"/>
      <c r="BD381" s="35"/>
      <c r="BE381" s="35"/>
      <c r="BF381" s="35"/>
      <c r="BG381" s="35"/>
      <c r="BH381" s="35"/>
      <c r="BI381" s="35"/>
      <c r="BJ381" s="35"/>
      <c r="BK381" s="35"/>
      <c r="BL381" s="35"/>
    </row>
    <row r="382" spans="1:64" ht="14">
      <c r="A382" s="35"/>
      <c r="B382" s="36"/>
      <c r="C382" s="39"/>
      <c r="D382" s="78"/>
      <c r="E382" s="78"/>
      <c r="F382" s="78"/>
      <c r="G382" s="229"/>
      <c r="H382" s="229"/>
      <c r="I382" s="40"/>
      <c r="J382" s="43" t="str">
        <f t="shared" si="10"/>
        <v/>
      </c>
      <c r="K382" s="79" t="str">
        <f t="shared" si="11"/>
        <v/>
      </c>
      <c r="L382" s="39"/>
      <c r="M382" s="35"/>
      <c r="N382" s="35"/>
      <c r="O382" s="35"/>
      <c r="P382" s="35"/>
      <c r="Q382" s="35"/>
      <c r="R382" s="35"/>
      <c r="S382" s="35"/>
      <c r="T382" s="35"/>
      <c r="U382" s="35"/>
      <c r="V382" s="35"/>
      <c r="W382" s="35"/>
      <c r="X382" s="35"/>
      <c r="Y382" s="35"/>
      <c r="Z382" s="35"/>
      <c r="AA382" s="35"/>
      <c r="AB382" s="35"/>
      <c r="AC382" s="35"/>
      <c r="AD382" s="35"/>
      <c r="AE382" s="35"/>
      <c r="AF382" s="35"/>
      <c r="AG382" s="35"/>
      <c r="AH382" s="35"/>
      <c r="AI382" s="35"/>
      <c r="AJ382" s="35"/>
      <c r="AK382" s="35"/>
      <c r="AL382" s="35"/>
      <c r="AM382" s="35"/>
      <c r="AN382" s="35"/>
      <c r="AO382" s="35"/>
      <c r="AP382" s="35"/>
      <c r="AQ382" s="35"/>
      <c r="AR382" s="35"/>
      <c r="AS382" s="35"/>
      <c r="AT382" s="35"/>
      <c r="AU382" s="35"/>
      <c r="AV382" s="35"/>
      <c r="AW382" s="35"/>
      <c r="AX382" s="35"/>
      <c r="AY382" s="35"/>
      <c r="AZ382" s="35"/>
      <c r="BA382" s="35"/>
      <c r="BB382" s="35"/>
      <c r="BC382" s="35"/>
      <c r="BD382" s="35"/>
      <c r="BE382" s="35"/>
      <c r="BF382" s="35"/>
      <c r="BG382" s="35"/>
      <c r="BH382" s="35"/>
      <c r="BI382" s="35"/>
      <c r="BJ382" s="35"/>
      <c r="BK382" s="35"/>
      <c r="BL382" s="35"/>
    </row>
    <row r="383" spans="1:64" ht="14">
      <c r="A383" s="35"/>
      <c r="B383" s="36"/>
      <c r="C383" s="39"/>
      <c r="D383" s="78"/>
      <c r="E383" s="78"/>
      <c r="F383" s="78"/>
      <c r="G383" s="229"/>
      <c r="H383" s="229"/>
      <c r="I383" s="40"/>
      <c r="J383" s="43" t="str">
        <f t="shared" si="10"/>
        <v/>
      </c>
      <c r="K383" s="79" t="str">
        <f t="shared" si="11"/>
        <v/>
      </c>
      <c r="L383" s="39"/>
      <c r="M383" s="35"/>
      <c r="N383" s="35"/>
      <c r="O383" s="35"/>
      <c r="P383" s="35"/>
      <c r="Q383" s="35"/>
      <c r="R383" s="35"/>
      <c r="S383" s="35"/>
      <c r="T383" s="35"/>
      <c r="U383" s="35"/>
      <c r="V383" s="35"/>
      <c r="W383" s="35"/>
      <c r="X383" s="35"/>
      <c r="Y383" s="35"/>
      <c r="Z383" s="35"/>
      <c r="AA383" s="35"/>
      <c r="AB383" s="35"/>
      <c r="AC383" s="35"/>
      <c r="AD383" s="35"/>
      <c r="AE383" s="35"/>
      <c r="AF383" s="35"/>
      <c r="AG383" s="35"/>
      <c r="AH383" s="35"/>
      <c r="AI383" s="35"/>
      <c r="AJ383" s="35"/>
      <c r="AK383" s="35"/>
      <c r="AL383" s="35"/>
      <c r="AM383" s="35"/>
      <c r="AN383" s="35"/>
      <c r="AO383" s="35"/>
      <c r="AP383" s="35"/>
      <c r="AQ383" s="35"/>
      <c r="AR383" s="35"/>
      <c r="AS383" s="35"/>
      <c r="AT383" s="35"/>
      <c r="AU383" s="35"/>
      <c r="AV383" s="35"/>
      <c r="AW383" s="35"/>
      <c r="AX383" s="35"/>
      <c r="AY383" s="35"/>
      <c r="AZ383" s="35"/>
      <c r="BA383" s="35"/>
      <c r="BB383" s="35"/>
      <c r="BC383" s="35"/>
      <c r="BD383" s="35"/>
      <c r="BE383" s="35"/>
      <c r="BF383" s="35"/>
      <c r="BG383" s="35"/>
      <c r="BH383" s="35"/>
      <c r="BI383" s="35"/>
      <c r="BJ383" s="35"/>
      <c r="BK383" s="35"/>
      <c r="BL383" s="35"/>
    </row>
    <row r="384" spans="1:64" ht="14">
      <c r="A384" s="35"/>
      <c r="B384" s="36"/>
      <c r="C384" s="39"/>
      <c r="D384" s="78"/>
      <c r="E384" s="78"/>
      <c r="F384" s="78"/>
      <c r="G384" s="229"/>
      <c r="H384" s="229"/>
      <c r="I384" s="40"/>
      <c r="J384" s="43" t="str">
        <f t="shared" si="10"/>
        <v/>
      </c>
      <c r="K384" s="79" t="str">
        <f t="shared" si="11"/>
        <v/>
      </c>
      <c r="L384" s="39"/>
      <c r="M384" s="35"/>
      <c r="N384" s="35"/>
      <c r="O384" s="35"/>
      <c r="P384" s="35"/>
      <c r="Q384" s="35"/>
      <c r="R384" s="35"/>
      <c r="S384" s="35"/>
      <c r="T384" s="35"/>
      <c r="U384" s="35"/>
      <c r="V384" s="35"/>
      <c r="W384" s="35"/>
      <c r="X384" s="35"/>
      <c r="Y384" s="35"/>
      <c r="Z384" s="35"/>
      <c r="AA384" s="35"/>
      <c r="AB384" s="35"/>
      <c r="AC384" s="35"/>
      <c r="AD384" s="35"/>
      <c r="AE384" s="35"/>
      <c r="AF384" s="35"/>
      <c r="AG384" s="35"/>
      <c r="AH384" s="35"/>
      <c r="AI384" s="35"/>
      <c r="AJ384" s="35"/>
      <c r="AK384" s="35"/>
      <c r="AL384" s="35"/>
      <c r="AM384" s="35"/>
      <c r="AN384" s="35"/>
      <c r="AO384" s="35"/>
      <c r="AP384" s="35"/>
      <c r="AQ384" s="35"/>
      <c r="AR384" s="35"/>
      <c r="AS384" s="35"/>
      <c r="AT384" s="35"/>
      <c r="AU384" s="35"/>
      <c r="AV384" s="35"/>
      <c r="AW384" s="35"/>
      <c r="AX384" s="35"/>
      <c r="AY384" s="35"/>
      <c r="AZ384" s="35"/>
      <c r="BA384" s="35"/>
      <c r="BB384" s="35"/>
      <c r="BC384" s="35"/>
      <c r="BD384" s="35"/>
      <c r="BE384" s="35"/>
      <c r="BF384" s="35"/>
      <c r="BG384" s="35"/>
      <c r="BH384" s="35"/>
      <c r="BI384" s="35"/>
      <c r="BJ384" s="35"/>
      <c r="BK384" s="35"/>
      <c r="BL384" s="35"/>
    </row>
    <row r="385" spans="1:64" ht="14">
      <c r="A385" s="35"/>
      <c r="B385" s="36"/>
      <c r="C385" s="39"/>
      <c r="D385" s="78"/>
      <c r="E385" s="78"/>
      <c r="F385" s="78"/>
      <c r="G385" s="229"/>
      <c r="H385" s="229"/>
      <c r="I385" s="40"/>
      <c r="J385" s="43" t="str">
        <f t="shared" si="10"/>
        <v/>
      </c>
      <c r="K385" s="79" t="str">
        <f t="shared" si="11"/>
        <v/>
      </c>
      <c r="L385" s="39"/>
      <c r="M385" s="35"/>
      <c r="N385" s="35"/>
      <c r="O385" s="35"/>
      <c r="P385" s="35"/>
      <c r="Q385" s="35"/>
      <c r="R385" s="35"/>
      <c r="S385" s="35"/>
      <c r="T385" s="35"/>
      <c r="U385" s="35"/>
      <c r="V385" s="35"/>
      <c r="W385" s="35"/>
      <c r="X385" s="35"/>
      <c r="Y385" s="35"/>
      <c r="Z385" s="35"/>
      <c r="AA385" s="35"/>
      <c r="AB385" s="35"/>
      <c r="AC385" s="35"/>
      <c r="AD385" s="35"/>
      <c r="AE385" s="35"/>
      <c r="AF385" s="35"/>
      <c r="AG385" s="35"/>
      <c r="AH385" s="35"/>
      <c r="AI385" s="35"/>
      <c r="AJ385" s="35"/>
      <c r="AK385" s="35"/>
      <c r="AL385" s="35"/>
      <c r="AM385" s="35"/>
      <c r="AN385" s="35"/>
      <c r="AO385" s="35"/>
      <c r="AP385" s="35"/>
      <c r="AQ385" s="35"/>
      <c r="AR385" s="35"/>
      <c r="AS385" s="35"/>
      <c r="AT385" s="35"/>
      <c r="AU385" s="35"/>
      <c r="AV385" s="35"/>
      <c r="AW385" s="35"/>
      <c r="AX385" s="35"/>
      <c r="AY385" s="35"/>
      <c r="AZ385" s="35"/>
      <c r="BA385" s="35"/>
      <c r="BB385" s="35"/>
      <c r="BC385" s="35"/>
      <c r="BD385" s="35"/>
      <c r="BE385" s="35"/>
      <c r="BF385" s="35"/>
      <c r="BG385" s="35"/>
      <c r="BH385" s="35"/>
      <c r="BI385" s="35"/>
      <c r="BJ385" s="35"/>
      <c r="BK385" s="35"/>
      <c r="BL385" s="35"/>
    </row>
    <row r="386" spans="1:64" ht="14">
      <c r="A386" s="35"/>
      <c r="B386" s="36"/>
      <c r="C386" s="39"/>
      <c r="D386" s="78"/>
      <c r="E386" s="78"/>
      <c r="F386" s="78"/>
      <c r="G386" s="229"/>
      <c r="H386" s="229"/>
      <c r="I386" s="40"/>
      <c r="J386" s="43" t="str">
        <f t="shared" si="10"/>
        <v/>
      </c>
      <c r="K386" s="79" t="str">
        <f t="shared" si="11"/>
        <v/>
      </c>
      <c r="L386" s="39"/>
      <c r="M386" s="35"/>
      <c r="N386" s="35"/>
      <c r="O386" s="35"/>
      <c r="P386" s="35"/>
      <c r="Q386" s="35"/>
      <c r="R386" s="35"/>
      <c r="S386" s="35"/>
      <c r="T386" s="35"/>
      <c r="U386" s="35"/>
      <c r="V386" s="35"/>
      <c r="W386" s="35"/>
      <c r="X386" s="35"/>
      <c r="Y386" s="35"/>
      <c r="Z386" s="35"/>
      <c r="AA386" s="35"/>
      <c r="AB386" s="35"/>
      <c r="AC386" s="35"/>
      <c r="AD386" s="35"/>
      <c r="AE386" s="35"/>
      <c r="AF386" s="35"/>
      <c r="AG386" s="35"/>
      <c r="AH386" s="35"/>
      <c r="AI386" s="35"/>
      <c r="AJ386" s="35"/>
      <c r="AK386" s="35"/>
      <c r="AL386" s="35"/>
      <c r="AM386" s="35"/>
      <c r="AN386" s="35"/>
      <c r="AO386" s="35"/>
      <c r="AP386" s="35"/>
      <c r="AQ386" s="35"/>
      <c r="AR386" s="35"/>
      <c r="AS386" s="35"/>
      <c r="AT386" s="35"/>
      <c r="AU386" s="35"/>
      <c r="AV386" s="35"/>
      <c r="AW386" s="35"/>
      <c r="AX386" s="35"/>
      <c r="AY386" s="35"/>
      <c r="AZ386" s="35"/>
      <c r="BA386" s="35"/>
      <c r="BB386" s="35"/>
      <c r="BC386" s="35"/>
      <c r="BD386" s="35"/>
      <c r="BE386" s="35"/>
      <c r="BF386" s="35"/>
      <c r="BG386" s="35"/>
      <c r="BH386" s="35"/>
      <c r="BI386" s="35"/>
      <c r="BJ386" s="35"/>
      <c r="BK386" s="35"/>
      <c r="BL386" s="35"/>
    </row>
    <row r="387" spans="1:64" ht="14">
      <c r="A387" s="35"/>
      <c r="B387" s="36"/>
      <c r="C387" s="39"/>
      <c r="D387" s="78"/>
      <c r="E387" s="78"/>
      <c r="F387" s="78"/>
      <c r="G387" s="229"/>
      <c r="H387" s="229"/>
      <c r="I387" s="40"/>
      <c r="J387" s="43" t="str">
        <f t="shared" si="10"/>
        <v/>
      </c>
      <c r="K387" s="79" t="str">
        <f t="shared" si="11"/>
        <v/>
      </c>
      <c r="L387" s="39"/>
      <c r="M387" s="35"/>
      <c r="N387" s="35"/>
      <c r="O387" s="35"/>
      <c r="P387" s="35"/>
      <c r="Q387" s="35"/>
      <c r="R387" s="35"/>
      <c r="S387" s="35"/>
      <c r="T387" s="35"/>
      <c r="U387" s="35"/>
      <c r="V387" s="35"/>
      <c r="W387" s="35"/>
      <c r="X387" s="35"/>
      <c r="Y387" s="35"/>
      <c r="Z387" s="35"/>
      <c r="AA387" s="35"/>
      <c r="AB387" s="35"/>
      <c r="AC387" s="35"/>
      <c r="AD387" s="35"/>
      <c r="AE387" s="35"/>
      <c r="AF387" s="35"/>
      <c r="AG387" s="35"/>
      <c r="AH387" s="35"/>
      <c r="AI387" s="35"/>
      <c r="AJ387" s="35"/>
      <c r="AK387" s="35"/>
      <c r="AL387" s="35"/>
      <c r="AM387" s="35"/>
      <c r="AN387" s="35"/>
      <c r="AO387" s="35"/>
      <c r="AP387" s="35"/>
      <c r="AQ387" s="35"/>
      <c r="AR387" s="35"/>
      <c r="AS387" s="35"/>
      <c r="AT387" s="35"/>
      <c r="AU387" s="35"/>
      <c r="AV387" s="35"/>
      <c r="AW387" s="35"/>
      <c r="AX387" s="35"/>
      <c r="AY387" s="35"/>
      <c r="AZ387" s="35"/>
      <c r="BA387" s="35"/>
      <c r="BB387" s="35"/>
      <c r="BC387" s="35"/>
      <c r="BD387" s="35"/>
      <c r="BE387" s="35"/>
      <c r="BF387" s="35"/>
      <c r="BG387" s="35"/>
      <c r="BH387" s="35"/>
      <c r="BI387" s="35"/>
      <c r="BJ387" s="35"/>
      <c r="BK387" s="35"/>
      <c r="BL387" s="35"/>
    </row>
    <row r="388" spans="1:64" ht="14">
      <c r="A388" s="35"/>
      <c r="B388" s="36"/>
      <c r="C388" s="39"/>
      <c r="D388" s="78"/>
      <c r="E388" s="78"/>
      <c r="F388" s="78"/>
      <c r="G388" s="229"/>
      <c r="H388" s="229"/>
      <c r="I388" s="40"/>
      <c r="J388" s="43" t="str">
        <f t="shared" si="10"/>
        <v/>
      </c>
      <c r="K388" s="79" t="str">
        <f t="shared" si="11"/>
        <v/>
      </c>
      <c r="L388" s="39"/>
      <c r="M388" s="35"/>
      <c r="N388" s="35"/>
      <c r="O388" s="35"/>
      <c r="P388" s="35"/>
      <c r="Q388" s="35"/>
      <c r="R388" s="35"/>
      <c r="S388" s="35"/>
      <c r="T388" s="35"/>
      <c r="U388" s="35"/>
      <c r="V388" s="35"/>
      <c r="W388" s="35"/>
      <c r="X388" s="35"/>
      <c r="Y388" s="35"/>
      <c r="Z388" s="35"/>
      <c r="AA388" s="35"/>
      <c r="AB388" s="35"/>
      <c r="AC388" s="35"/>
      <c r="AD388" s="35"/>
      <c r="AE388" s="35"/>
      <c r="AF388" s="35"/>
      <c r="AG388" s="35"/>
      <c r="AH388" s="35"/>
      <c r="AI388" s="35"/>
      <c r="AJ388" s="35"/>
      <c r="AK388" s="35"/>
      <c r="AL388" s="35"/>
      <c r="AM388" s="35"/>
      <c r="AN388" s="35"/>
      <c r="AO388" s="35"/>
      <c r="AP388" s="35"/>
      <c r="AQ388" s="35"/>
      <c r="AR388" s="35"/>
      <c r="AS388" s="35"/>
      <c r="AT388" s="35"/>
      <c r="AU388" s="35"/>
      <c r="AV388" s="35"/>
      <c r="AW388" s="35"/>
      <c r="AX388" s="35"/>
      <c r="AY388" s="35"/>
      <c r="AZ388" s="35"/>
      <c r="BA388" s="35"/>
      <c r="BB388" s="35"/>
      <c r="BC388" s="35"/>
      <c r="BD388" s="35"/>
      <c r="BE388" s="35"/>
      <c r="BF388" s="35"/>
      <c r="BG388" s="35"/>
      <c r="BH388" s="35"/>
      <c r="BI388" s="35"/>
      <c r="BJ388" s="35"/>
      <c r="BK388" s="35"/>
      <c r="BL388" s="35"/>
    </row>
    <row r="389" spans="1:64" ht="14">
      <c r="A389" s="35"/>
      <c r="B389" s="36"/>
      <c r="C389" s="39"/>
      <c r="D389" s="78"/>
      <c r="E389" s="78"/>
      <c r="F389" s="78"/>
      <c r="G389" s="229"/>
      <c r="H389" s="229"/>
      <c r="I389" s="40"/>
      <c r="J389" s="43" t="str">
        <f t="shared" si="10"/>
        <v/>
      </c>
      <c r="K389" s="79" t="str">
        <f t="shared" si="11"/>
        <v/>
      </c>
      <c r="L389" s="39"/>
      <c r="M389" s="35"/>
      <c r="N389" s="35"/>
      <c r="O389" s="35"/>
      <c r="P389" s="35"/>
      <c r="Q389" s="35"/>
      <c r="R389" s="35"/>
      <c r="S389" s="35"/>
      <c r="T389" s="35"/>
      <c r="U389" s="35"/>
      <c r="V389" s="35"/>
      <c r="W389" s="35"/>
      <c r="X389" s="35"/>
      <c r="Y389" s="35"/>
      <c r="Z389" s="35"/>
      <c r="AA389" s="35"/>
      <c r="AB389" s="35"/>
      <c r="AC389" s="35"/>
      <c r="AD389" s="35"/>
      <c r="AE389" s="35"/>
      <c r="AF389" s="35"/>
      <c r="AG389" s="35"/>
      <c r="AH389" s="35"/>
      <c r="AI389" s="35"/>
      <c r="AJ389" s="35"/>
      <c r="AK389" s="35"/>
      <c r="AL389" s="35"/>
      <c r="AM389" s="35"/>
      <c r="AN389" s="35"/>
      <c r="AO389" s="35"/>
      <c r="AP389" s="35"/>
      <c r="AQ389" s="35"/>
      <c r="AR389" s="35"/>
      <c r="AS389" s="35"/>
      <c r="AT389" s="35"/>
      <c r="AU389" s="35"/>
      <c r="AV389" s="35"/>
      <c r="AW389" s="35"/>
      <c r="AX389" s="35"/>
      <c r="AY389" s="35"/>
      <c r="AZ389" s="35"/>
      <c r="BA389" s="35"/>
      <c r="BB389" s="35"/>
      <c r="BC389" s="35"/>
      <c r="BD389" s="35"/>
      <c r="BE389" s="35"/>
      <c r="BF389" s="35"/>
      <c r="BG389" s="35"/>
      <c r="BH389" s="35"/>
      <c r="BI389" s="35"/>
      <c r="BJ389" s="35"/>
      <c r="BK389" s="35"/>
      <c r="BL389" s="35"/>
    </row>
    <row r="390" spans="1:64" ht="14">
      <c r="A390" s="35"/>
      <c r="B390" s="36"/>
      <c r="C390" s="39"/>
      <c r="D390" s="78"/>
      <c r="E390" s="78"/>
      <c r="F390" s="78"/>
      <c r="G390" s="229"/>
      <c r="H390" s="229"/>
      <c r="I390" s="40"/>
      <c r="J390" s="43" t="str">
        <f t="shared" si="10"/>
        <v/>
      </c>
      <c r="K390" s="79" t="str">
        <f t="shared" si="11"/>
        <v/>
      </c>
      <c r="L390" s="39"/>
      <c r="M390" s="35"/>
      <c r="N390" s="35"/>
      <c r="O390" s="35"/>
      <c r="P390" s="35"/>
      <c r="Q390" s="35"/>
      <c r="R390" s="35"/>
      <c r="S390" s="35"/>
      <c r="T390" s="35"/>
      <c r="U390" s="35"/>
      <c r="V390" s="35"/>
      <c r="W390" s="35"/>
      <c r="X390" s="35"/>
      <c r="Y390" s="35"/>
      <c r="Z390" s="35"/>
      <c r="AA390" s="35"/>
      <c r="AB390" s="35"/>
      <c r="AC390" s="35"/>
      <c r="AD390" s="35"/>
      <c r="AE390" s="35"/>
      <c r="AF390" s="35"/>
      <c r="AG390" s="35"/>
      <c r="AH390" s="35"/>
      <c r="AI390" s="35"/>
      <c r="AJ390" s="35"/>
      <c r="AK390" s="35"/>
      <c r="AL390" s="35"/>
      <c r="AM390" s="35"/>
      <c r="AN390" s="35"/>
      <c r="AO390" s="35"/>
      <c r="AP390" s="35"/>
      <c r="AQ390" s="35"/>
      <c r="AR390" s="35"/>
      <c r="AS390" s="35"/>
      <c r="AT390" s="35"/>
      <c r="AU390" s="35"/>
      <c r="AV390" s="35"/>
      <c r="AW390" s="35"/>
      <c r="AX390" s="35"/>
      <c r="AY390" s="35"/>
      <c r="AZ390" s="35"/>
      <c r="BA390" s="35"/>
      <c r="BB390" s="35"/>
      <c r="BC390" s="35"/>
      <c r="BD390" s="35"/>
      <c r="BE390" s="35"/>
      <c r="BF390" s="35"/>
      <c r="BG390" s="35"/>
      <c r="BH390" s="35"/>
      <c r="BI390" s="35"/>
      <c r="BJ390" s="35"/>
      <c r="BK390" s="35"/>
      <c r="BL390" s="35"/>
    </row>
    <row r="391" spans="1:64" ht="14">
      <c r="A391" s="35"/>
      <c r="B391" s="36"/>
      <c r="C391" s="39"/>
      <c r="D391" s="78"/>
      <c r="E391" s="78"/>
      <c r="F391" s="78"/>
      <c r="G391" s="229"/>
      <c r="H391" s="229"/>
      <c r="I391" s="40"/>
      <c r="J391" s="43" t="str">
        <f t="shared" si="10"/>
        <v/>
      </c>
      <c r="K391" s="79" t="str">
        <f t="shared" si="11"/>
        <v/>
      </c>
      <c r="L391" s="39"/>
      <c r="M391" s="35"/>
      <c r="N391" s="35"/>
      <c r="O391" s="35"/>
      <c r="P391" s="35"/>
      <c r="Q391" s="35"/>
      <c r="R391" s="35"/>
      <c r="S391" s="35"/>
      <c r="T391" s="35"/>
      <c r="U391" s="35"/>
      <c r="V391" s="35"/>
      <c r="W391" s="35"/>
      <c r="X391" s="35"/>
      <c r="Y391" s="35"/>
      <c r="Z391" s="35"/>
      <c r="AA391" s="35"/>
      <c r="AB391" s="35"/>
      <c r="AC391" s="35"/>
      <c r="AD391" s="35"/>
      <c r="AE391" s="35"/>
      <c r="AF391" s="35"/>
      <c r="AG391" s="35"/>
      <c r="AH391" s="35"/>
      <c r="AI391" s="35"/>
      <c r="AJ391" s="35"/>
      <c r="AK391" s="35"/>
      <c r="AL391" s="35"/>
      <c r="AM391" s="35"/>
      <c r="AN391" s="35"/>
      <c r="AO391" s="35"/>
      <c r="AP391" s="35"/>
      <c r="AQ391" s="35"/>
      <c r="AR391" s="35"/>
      <c r="AS391" s="35"/>
      <c r="AT391" s="35"/>
      <c r="AU391" s="35"/>
      <c r="AV391" s="35"/>
      <c r="AW391" s="35"/>
      <c r="AX391" s="35"/>
      <c r="AY391" s="35"/>
      <c r="AZ391" s="35"/>
      <c r="BA391" s="35"/>
      <c r="BB391" s="35"/>
      <c r="BC391" s="35"/>
      <c r="BD391" s="35"/>
      <c r="BE391" s="35"/>
      <c r="BF391" s="35"/>
      <c r="BG391" s="35"/>
      <c r="BH391" s="35"/>
      <c r="BI391" s="35"/>
      <c r="BJ391" s="35"/>
      <c r="BK391" s="35"/>
      <c r="BL391" s="35"/>
    </row>
    <row r="392" spans="1:64" ht="14">
      <c r="A392" s="35"/>
      <c r="B392" s="36"/>
      <c r="C392" s="39"/>
      <c r="D392" s="78"/>
      <c r="E392" s="78"/>
      <c r="F392" s="78"/>
      <c r="G392" s="229"/>
      <c r="H392" s="229"/>
      <c r="I392" s="40"/>
      <c r="J392" s="43" t="str">
        <f t="shared" si="10"/>
        <v/>
      </c>
      <c r="K392" s="79" t="str">
        <f t="shared" si="11"/>
        <v/>
      </c>
      <c r="L392" s="39"/>
      <c r="M392" s="35"/>
      <c r="N392" s="35"/>
      <c r="O392" s="35"/>
      <c r="P392" s="35"/>
      <c r="Q392" s="35"/>
      <c r="R392" s="35"/>
      <c r="S392" s="35"/>
      <c r="T392" s="35"/>
      <c r="U392" s="35"/>
      <c r="V392" s="35"/>
      <c r="W392" s="35"/>
      <c r="X392" s="35"/>
      <c r="Y392" s="35"/>
      <c r="Z392" s="35"/>
      <c r="AA392" s="35"/>
      <c r="AB392" s="35"/>
      <c r="AC392" s="35"/>
      <c r="AD392" s="35"/>
      <c r="AE392" s="35"/>
      <c r="AF392" s="35"/>
      <c r="AG392" s="35"/>
      <c r="AH392" s="35"/>
      <c r="AI392" s="35"/>
      <c r="AJ392" s="35"/>
      <c r="AK392" s="35"/>
      <c r="AL392" s="35"/>
      <c r="AM392" s="35"/>
      <c r="AN392" s="35"/>
      <c r="AO392" s="35"/>
      <c r="AP392" s="35"/>
      <c r="AQ392" s="35"/>
      <c r="AR392" s="35"/>
      <c r="AS392" s="35"/>
      <c r="AT392" s="35"/>
      <c r="AU392" s="35"/>
      <c r="AV392" s="35"/>
      <c r="AW392" s="35"/>
      <c r="AX392" s="35"/>
      <c r="AY392" s="35"/>
      <c r="AZ392" s="35"/>
      <c r="BA392" s="35"/>
      <c r="BB392" s="35"/>
      <c r="BC392" s="35"/>
      <c r="BD392" s="35"/>
      <c r="BE392" s="35"/>
      <c r="BF392" s="35"/>
      <c r="BG392" s="35"/>
      <c r="BH392" s="35"/>
      <c r="BI392" s="35"/>
      <c r="BJ392" s="35"/>
      <c r="BK392" s="35"/>
      <c r="BL392" s="35"/>
    </row>
    <row r="393" spans="1:64" ht="14">
      <c r="A393" s="35"/>
      <c r="B393" s="36"/>
      <c r="C393" s="39"/>
      <c r="D393" s="78"/>
      <c r="E393" s="78"/>
      <c r="F393" s="78"/>
      <c r="G393" s="229"/>
      <c r="H393" s="229"/>
      <c r="I393" s="40"/>
      <c r="J393" s="43" t="str">
        <f t="shared" si="10"/>
        <v/>
      </c>
      <c r="K393" s="79" t="str">
        <f t="shared" si="11"/>
        <v/>
      </c>
      <c r="L393" s="39"/>
      <c r="M393" s="35"/>
      <c r="N393" s="35"/>
      <c r="O393" s="35"/>
      <c r="P393" s="35"/>
      <c r="Q393" s="35"/>
      <c r="R393" s="35"/>
      <c r="S393" s="35"/>
      <c r="T393" s="35"/>
      <c r="U393" s="35"/>
      <c r="V393" s="35"/>
      <c r="W393" s="35"/>
      <c r="X393" s="35"/>
      <c r="Y393" s="35"/>
      <c r="Z393" s="35"/>
      <c r="AA393" s="35"/>
      <c r="AB393" s="35"/>
      <c r="AC393" s="35"/>
      <c r="AD393" s="35"/>
      <c r="AE393" s="35"/>
      <c r="AF393" s="35"/>
      <c r="AG393" s="35"/>
      <c r="AH393" s="35"/>
      <c r="AI393" s="35"/>
      <c r="AJ393" s="35"/>
      <c r="AK393" s="35"/>
      <c r="AL393" s="35"/>
      <c r="AM393" s="35"/>
      <c r="AN393" s="35"/>
      <c r="AO393" s="35"/>
      <c r="AP393" s="35"/>
      <c r="AQ393" s="35"/>
      <c r="AR393" s="35"/>
      <c r="AS393" s="35"/>
      <c r="AT393" s="35"/>
      <c r="AU393" s="35"/>
      <c r="AV393" s="35"/>
      <c r="AW393" s="35"/>
      <c r="AX393" s="35"/>
      <c r="AY393" s="35"/>
      <c r="AZ393" s="35"/>
      <c r="BA393" s="35"/>
      <c r="BB393" s="35"/>
      <c r="BC393" s="35"/>
      <c r="BD393" s="35"/>
      <c r="BE393" s="35"/>
      <c r="BF393" s="35"/>
      <c r="BG393" s="35"/>
      <c r="BH393" s="35"/>
      <c r="BI393" s="35"/>
      <c r="BJ393" s="35"/>
      <c r="BK393" s="35"/>
      <c r="BL393" s="35"/>
    </row>
    <row r="394" spans="1:64" ht="14">
      <c r="A394" s="35"/>
      <c r="B394" s="36"/>
      <c r="C394" s="39"/>
      <c r="D394" s="78"/>
      <c r="E394" s="78"/>
      <c r="F394" s="78"/>
      <c r="G394" s="229"/>
      <c r="H394" s="229"/>
      <c r="I394" s="40"/>
      <c r="J394" s="43" t="str">
        <f t="shared" si="10"/>
        <v/>
      </c>
      <c r="K394" s="79" t="str">
        <f t="shared" si="11"/>
        <v/>
      </c>
      <c r="L394" s="39"/>
      <c r="M394" s="35"/>
      <c r="N394" s="35"/>
      <c r="O394" s="35"/>
      <c r="P394" s="35"/>
      <c r="Q394" s="35"/>
      <c r="R394" s="35"/>
      <c r="S394" s="35"/>
      <c r="T394" s="35"/>
      <c r="U394" s="35"/>
      <c r="V394" s="35"/>
      <c r="W394" s="35"/>
      <c r="X394" s="35"/>
      <c r="Y394" s="35"/>
      <c r="Z394" s="35"/>
      <c r="AA394" s="35"/>
      <c r="AB394" s="35"/>
      <c r="AC394" s="35"/>
      <c r="AD394" s="35"/>
      <c r="AE394" s="35"/>
      <c r="AF394" s="35"/>
      <c r="AG394" s="35"/>
      <c r="AH394" s="35"/>
      <c r="AI394" s="35"/>
      <c r="AJ394" s="35"/>
      <c r="AK394" s="35"/>
      <c r="AL394" s="35"/>
      <c r="AM394" s="35"/>
      <c r="AN394" s="35"/>
      <c r="AO394" s="35"/>
      <c r="AP394" s="35"/>
      <c r="AQ394" s="35"/>
      <c r="AR394" s="35"/>
      <c r="AS394" s="35"/>
      <c r="AT394" s="35"/>
      <c r="AU394" s="35"/>
      <c r="AV394" s="35"/>
      <c r="AW394" s="35"/>
      <c r="AX394" s="35"/>
      <c r="AY394" s="35"/>
      <c r="AZ394" s="35"/>
      <c r="BA394" s="35"/>
      <c r="BB394" s="35"/>
      <c r="BC394" s="35"/>
      <c r="BD394" s="35"/>
      <c r="BE394" s="35"/>
      <c r="BF394" s="35"/>
      <c r="BG394" s="35"/>
      <c r="BH394" s="35"/>
      <c r="BI394" s="35"/>
      <c r="BJ394" s="35"/>
      <c r="BK394" s="35"/>
      <c r="BL394" s="35"/>
    </row>
    <row r="395" spans="1:64" ht="14">
      <c r="A395" s="35"/>
      <c r="B395" s="36"/>
      <c r="C395" s="39"/>
      <c r="D395" s="78"/>
      <c r="E395" s="78"/>
      <c r="F395" s="78"/>
      <c r="G395" s="229"/>
      <c r="H395" s="229"/>
      <c r="I395" s="40"/>
      <c r="J395" s="43" t="str">
        <f t="shared" ref="J395:J402" si="12">IF($C395&lt;&gt;"",$E395*1.5,"")</f>
        <v/>
      </c>
      <c r="K395" s="79" t="str">
        <f t="shared" ref="K395:K402" si="13">IFERROR($J395/10,"")</f>
        <v/>
      </c>
      <c r="L395" s="39"/>
      <c r="M395" s="35"/>
      <c r="N395" s="35"/>
      <c r="O395" s="35"/>
      <c r="P395" s="35"/>
      <c r="Q395" s="35"/>
      <c r="R395" s="35"/>
      <c r="S395" s="35"/>
      <c r="T395" s="35"/>
      <c r="U395" s="35"/>
      <c r="V395" s="35"/>
      <c r="W395" s="35"/>
      <c r="X395" s="35"/>
      <c r="Y395" s="35"/>
      <c r="Z395" s="35"/>
      <c r="AA395" s="35"/>
      <c r="AB395" s="35"/>
      <c r="AC395" s="35"/>
      <c r="AD395" s="35"/>
      <c r="AE395" s="35"/>
      <c r="AF395" s="35"/>
      <c r="AG395" s="35"/>
      <c r="AH395" s="35"/>
      <c r="AI395" s="35"/>
      <c r="AJ395" s="35"/>
      <c r="AK395" s="35"/>
      <c r="AL395" s="35"/>
      <c r="AM395" s="35"/>
      <c r="AN395" s="35"/>
      <c r="AO395" s="35"/>
      <c r="AP395" s="35"/>
      <c r="AQ395" s="35"/>
      <c r="AR395" s="35"/>
      <c r="AS395" s="35"/>
      <c r="AT395" s="35"/>
      <c r="AU395" s="35"/>
      <c r="AV395" s="35"/>
      <c r="AW395" s="35"/>
      <c r="AX395" s="35"/>
      <c r="AY395" s="35"/>
      <c r="AZ395" s="35"/>
      <c r="BA395" s="35"/>
      <c r="BB395" s="35"/>
      <c r="BC395" s="35"/>
      <c r="BD395" s="35"/>
      <c r="BE395" s="35"/>
      <c r="BF395" s="35"/>
      <c r="BG395" s="35"/>
      <c r="BH395" s="35"/>
      <c r="BI395" s="35"/>
      <c r="BJ395" s="35"/>
      <c r="BK395" s="35"/>
      <c r="BL395" s="35"/>
    </row>
    <row r="396" spans="1:64" ht="14">
      <c r="A396" s="35"/>
      <c r="B396" s="36"/>
      <c r="C396" s="39"/>
      <c r="D396" s="78"/>
      <c r="E396" s="78"/>
      <c r="F396" s="78"/>
      <c r="G396" s="229"/>
      <c r="H396" s="229"/>
      <c r="I396" s="40"/>
      <c r="J396" s="43" t="str">
        <f t="shared" si="12"/>
        <v/>
      </c>
      <c r="K396" s="79" t="str">
        <f t="shared" si="13"/>
        <v/>
      </c>
      <c r="L396" s="39"/>
      <c r="M396" s="35"/>
      <c r="N396" s="35"/>
      <c r="O396" s="35"/>
      <c r="P396" s="35"/>
      <c r="Q396" s="35"/>
      <c r="R396" s="35"/>
      <c r="S396" s="35"/>
      <c r="T396" s="35"/>
      <c r="U396" s="35"/>
      <c r="V396" s="35"/>
      <c r="W396" s="35"/>
      <c r="X396" s="35"/>
      <c r="Y396" s="35"/>
      <c r="Z396" s="35"/>
      <c r="AA396" s="35"/>
      <c r="AB396" s="35"/>
      <c r="AC396" s="35"/>
      <c r="AD396" s="35"/>
      <c r="AE396" s="35"/>
      <c r="AF396" s="35"/>
      <c r="AG396" s="35"/>
      <c r="AH396" s="35"/>
      <c r="AI396" s="35"/>
      <c r="AJ396" s="35"/>
      <c r="AK396" s="35"/>
      <c r="AL396" s="35"/>
      <c r="AM396" s="35"/>
      <c r="AN396" s="35"/>
      <c r="AO396" s="35"/>
      <c r="AP396" s="35"/>
      <c r="AQ396" s="35"/>
      <c r="AR396" s="35"/>
      <c r="AS396" s="35"/>
      <c r="AT396" s="35"/>
      <c r="AU396" s="35"/>
      <c r="AV396" s="35"/>
      <c r="AW396" s="35"/>
      <c r="AX396" s="35"/>
      <c r="AY396" s="35"/>
      <c r="AZ396" s="35"/>
      <c r="BA396" s="35"/>
      <c r="BB396" s="35"/>
      <c r="BC396" s="35"/>
      <c r="BD396" s="35"/>
      <c r="BE396" s="35"/>
      <c r="BF396" s="35"/>
      <c r="BG396" s="35"/>
      <c r="BH396" s="35"/>
      <c r="BI396" s="35"/>
      <c r="BJ396" s="35"/>
      <c r="BK396" s="35"/>
      <c r="BL396" s="35"/>
    </row>
    <row r="397" spans="1:64" ht="14">
      <c r="A397" s="35"/>
      <c r="B397" s="36"/>
      <c r="C397" s="39"/>
      <c r="D397" s="78"/>
      <c r="E397" s="78"/>
      <c r="F397" s="78"/>
      <c r="G397" s="229"/>
      <c r="H397" s="229"/>
      <c r="I397" s="40"/>
      <c r="J397" s="43" t="str">
        <f t="shared" si="12"/>
        <v/>
      </c>
      <c r="K397" s="79" t="str">
        <f t="shared" si="13"/>
        <v/>
      </c>
      <c r="L397" s="39"/>
      <c r="M397" s="35"/>
      <c r="N397" s="35"/>
      <c r="O397" s="35"/>
      <c r="P397" s="35"/>
      <c r="Q397" s="35"/>
      <c r="R397" s="35"/>
      <c r="S397" s="35"/>
      <c r="T397" s="35"/>
      <c r="U397" s="35"/>
      <c r="V397" s="35"/>
      <c r="W397" s="35"/>
      <c r="X397" s="35"/>
      <c r="Y397" s="35"/>
      <c r="Z397" s="35"/>
      <c r="AA397" s="35"/>
      <c r="AB397" s="35"/>
      <c r="AC397" s="35"/>
      <c r="AD397" s="35"/>
      <c r="AE397" s="35"/>
      <c r="AF397" s="35"/>
      <c r="AG397" s="35"/>
      <c r="AH397" s="35"/>
      <c r="AI397" s="35"/>
      <c r="AJ397" s="35"/>
      <c r="AK397" s="35"/>
      <c r="AL397" s="35"/>
      <c r="AM397" s="35"/>
      <c r="AN397" s="35"/>
      <c r="AO397" s="35"/>
      <c r="AP397" s="35"/>
      <c r="AQ397" s="35"/>
      <c r="AR397" s="35"/>
      <c r="AS397" s="35"/>
      <c r="AT397" s="35"/>
      <c r="AU397" s="35"/>
      <c r="AV397" s="35"/>
      <c r="AW397" s="35"/>
      <c r="AX397" s="35"/>
      <c r="AY397" s="35"/>
      <c r="AZ397" s="35"/>
      <c r="BA397" s="35"/>
      <c r="BB397" s="35"/>
      <c r="BC397" s="35"/>
      <c r="BD397" s="35"/>
      <c r="BE397" s="35"/>
      <c r="BF397" s="35"/>
      <c r="BG397" s="35"/>
      <c r="BH397" s="35"/>
      <c r="BI397" s="35"/>
      <c r="BJ397" s="35"/>
      <c r="BK397" s="35"/>
      <c r="BL397" s="35"/>
    </row>
    <row r="398" spans="1:64" ht="14">
      <c r="A398" s="35"/>
      <c r="B398" s="36"/>
      <c r="C398" s="39"/>
      <c r="D398" s="78"/>
      <c r="E398" s="78"/>
      <c r="F398" s="78"/>
      <c r="G398" s="229"/>
      <c r="H398" s="229"/>
      <c r="I398" s="40"/>
      <c r="J398" s="43" t="str">
        <f t="shared" si="12"/>
        <v/>
      </c>
      <c r="K398" s="79" t="str">
        <f t="shared" si="13"/>
        <v/>
      </c>
      <c r="L398" s="39"/>
      <c r="M398" s="35"/>
      <c r="N398" s="35"/>
      <c r="O398" s="35"/>
      <c r="P398" s="35"/>
      <c r="Q398" s="35"/>
      <c r="R398" s="35"/>
      <c r="S398" s="35"/>
      <c r="T398" s="35"/>
      <c r="U398" s="35"/>
      <c r="V398" s="35"/>
      <c r="W398" s="35"/>
      <c r="X398" s="35"/>
      <c r="Y398" s="35"/>
      <c r="Z398" s="35"/>
      <c r="AA398" s="35"/>
      <c r="AB398" s="35"/>
      <c r="AC398" s="35"/>
      <c r="AD398" s="35"/>
      <c r="AE398" s="35"/>
      <c r="AF398" s="35"/>
      <c r="AG398" s="35"/>
      <c r="AH398" s="35"/>
      <c r="AI398" s="35"/>
      <c r="AJ398" s="35"/>
      <c r="AK398" s="35"/>
      <c r="AL398" s="35"/>
      <c r="AM398" s="35"/>
      <c r="AN398" s="35"/>
      <c r="AO398" s="35"/>
      <c r="AP398" s="35"/>
      <c r="AQ398" s="35"/>
      <c r="AR398" s="35"/>
      <c r="AS398" s="35"/>
      <c r="AT398" s="35"/>
      <c r="AU398" s="35"/>
      <c r="AV398" s="35"/>
      <c r="AW398" s="35"/>
      <c r="AX398" s="35"/>
      <c r="AY398" s="35"/>
      <c r="AZ398" s="35"/>
      <c r="BA398" s="35"/>
      <c r="BB398" s="35"/>
      <c r="BC398" s="35"/>
      <c r="BD398" s="35"/>
      <c r="BE398" s="35"/>
      <c r="BF398" s="35"/>
      <c r="BG398" s="35"/>
      <c r="BH398" s="35"/>
      <c r="BI398" s="35"/>
      <c r="BJ398" s="35"/>
      <c r="BK398" s="35"/>
      <c r="BL398" s="35"/>
    </row>
    <row r="399" spans="1:64" ht="14">
      <c r="A399" s="35"/>
      <c r="B399" s="36"/>
      <c r="C399" s="39"/>
      <c r="D399" s="78"/>
      <c r="E399" s="78"/>
      <c r="F399" s="78"/>
      <c r="G399" s="229"/>
      <c r="H399" s="229"/>
      <c r="I399" s="40"/>
      <c r="J399" s="43" t="str">
        <f t="shared" si="12"/>
        <v/>
      </c>
      <c r="K399" s="79" t="str">
        <f t="shared" si="13"/>
        <v/>
      </c>
      <c r="L399" s="39"/>
      <c r="M399" s="35"/>
      <c r="N399" s="35"/>
      <c r="O399" s="35"/>
      <c r="P399" s="35"/>
      <c r="Q399" s="35"/>
      <c r="R399" s="35"/>
      <c r="S399" s="35"/>
      <c r="T399" s="35"/>
      <c r="U399" s="35"/>
      <c r="V399" s="35"/>
      <c r="W399" s="35"/>
      <c r="X399" s="35"/>
      <c r="Y399" s="35"/>
      <c r="Z399" s="35"/>
      <c r="AA399" s="35"/>
      <c r="AB399" s="35"/>
      <c r="AC399" s="35"/>
      <c r="AD399" s="35"/>
      <c r="AE399" s="35"/>
      <c r="AF399" s="35"/>
      <c r="AG399" s="35"/>
      <c r="AH399" s="35"/>
      <c r="AI399" s="35"/>
      <c r="AJ399" s="35"/>
      <c r="AK399" s="35"/>
      <c r="AL399" s="35"/>
      <c r="AM399" s="35"/>
      <c r="AN399" s="35"/>
      <c r="AO399" s="35"/>
      <c r="AP399" s="35"/>
      <c r="AQ399" s="35"/>
      <c r="AR399" s="35"/>
      <c r="AS399" s="35"/>
      <c r="AT399" s="35"/>
      <c r="AU399" s="35"/>
      <c r="AV399" s="35"/>
      <c r="AW399" s="35"/>
      <c r="AX399" s="35"/>
      <c r="AY399" s="35"/>
      <c r="AZ399" s="35"/>
      <c r="BA399" s="35"/>
      <c r="BB399" s="35"/>
      <c r="BC399" s="35"/>
      <c r="BD399" s="35"/>
      <c r="BE399" s="35"/>
      <c r="BF399" s="35"/>
      <c r="BG399" s="35"/>
      <c r="BH399" s="35"/>
      <c r="BI399" s="35"/>
      <c r="BJ399" s="35"/>
      <c r="BK399" s="35"/>
      <c r="BL399" s="35"/>
    </row>
    <row r="400" spans="1:64" ht="14">
      <c r="A400" s="35"/>
      <c r="B400" s="36"/>
      <c r="C400" s="39"/>
      <c r="D400" s="78"/>
      <c r="E400" s="78"/>
      <c r="F400" s="78"/>
      <c r="G400" s="229"/>
      <c r="H400" s="229"/>
      <c r="I400" s="40"/>
      <c r="J400" s="43" t="str">
        <f t="shared" si="12"/>
        <v/>
      </c>
      <c r="K400" s="79" t="str">
        <f t="shared" si="13"/>
        <v/>
      </c>
      <c r="L400" s="39"/>
      <c r="M400" s="35"/>
      <c r="N400" s="35"/>
      <c r="O400" s="35"/>
      <c r="P400" s="35"/>
      <c r="Q400" s="35"/>
      <c r="R400" s="35"/>
      <c r="S400" s="35"/>
      <c r="T400" s="35"/>
      <c r="U400" s="35"/>
      <c r="V400" s="35"/>
      <c r="W400" s="35"/>
      <c r="X400" s="35"/>
      <c r="Y400" s="35"/>
      <c r="Z400" s="35"/>
      <c r="AA400" s="35"/>
      <c r="AB400" s="35"/>
      <c r="AC400" s="35"/>
      <c r="AD400" s="35"/>
      <c r="AE400" s="35"/>
      <c r="AF400" s="35"/>
      <c r="AG400" s="35"/>
      <c r="AH400" s="35"/>
      <c r="AI400" s="35"/>
      <c r="AJ400" s="35"/>
      <c r="AK400" s="35"/>
      <c r="AL400" s="35"/>
      <c r="AM400" s="35"/>
      <c r="AN400" s="35"/>
      <c r="AO400" s="35"/>
      <c r="AP400" s="35"/>
      <c r="AQ400" s="35"/>
      <c r="AR400" s="35"/>
      <c r="AS400" s="35"/>
      <c r="AT400" s="35"/>
      <c r="AU400" s="35"/>
      <c r="AV400" s="35"/>
      <c r="AW400" s="35"/>
      <c r="AX400" s="35"/>
      <c r="AY400" s="35"/>
      <c r="AZ400" s="35"/>
      <c r="BA400" s="35"/>
      <c r="BB400" s="35"/>
      <c r="BC400" s="35"/>
      <c r="BD400" s="35"/>
      <c r="BE400" s="35"/>
      <c r="BF400" s="35"/>
      <c r="BG400" s="35"/>
      <c r="BH400" s="35"/>
      <c r="BI400" s="35"/>
      <c r="BJ400" s="35"/>
      <c r="BK400" s="35"/>
      <c r="BL400" s="35"/>
    </row>
    <row r="401" spans="1:64" ht="14">
      <c r="A401" s="35"/>
      <c r="B401" s="36"/>
      <c r="C401" s="39"/>
      <c r="D401" s="78"/>
      <c r="E401" s="78"/>
      <c r="F401" s="78"/>
      <c r="G401" s="229"/>
      <c r="H401" s="229"/>
      <c r="I401" s="40"/>
      <c r="J401" s="43" t="str">
        <f t="shared" si="12"/>
        <v/>
      </c>
      <c r="K401" s="79" t="str">
        <f t="shared" si="13"/>
        <v/>
      </c>
      <c r="L401" s="39"/>
      <c r="M401" s="35"/>
      <c r="N401" s="35"/>
      <c r="O401" s="35"/>
      <c r="P401" s="35"/>
      <c r="Q401" s="35"/>
      <c r="R401" s="35"/>
      <c r="S401" s="35"/>
      <c r="T401" s="35"/>
      <c r="U401" s="35"/>
      <c r="V401" s="35"/>
      <c r="W401" s="35"/>
      <c r="X401" s="35"/>
      <c r="Y401" s="35"/>
      <c r="Z401" s="35"/>
      <c r="AA401" s="35"/>
      <c r="AB401" s="35"/>
      <c r="AC401" s="35"/>
      <c r="AD401" s="35"/>
      <c r="AE401" s="35"/>
      <c r="AF401" s="35"/>
      <c r="AG401" s="35"/>
      <c r="AH401" s="35"/>
      <c r="AI401" s="35"/>
      <c r="AJ401" s="35"/>
      <c r="AK401" s="35"/>
      <c r="AL401" s="35"/>
      <c r="AM401" s="35"/>
      <c r="AN401" s="35"/>
      <c r="AO401" s="35"/>
      <c r="AP401" s="35"/>
      <c r="AQ401" s="35"/>
      <c r="AR401" s="35"/>
      <c r="AS401" s="35"/>
      <c r="AT401" s="35"/>
      <c r="AU401" s="35"/>
      <c r="AV401" s="35"/>
      <c r="AW401" s="35"/>
      <c r="AX401" s="35"/>
      <c r="AY401" s="35"/>
      <c r="AZ401" s="35"/>
      <c r="BA401" s="35"/>
      <c r="BB401" s="35"/>
      <c r="BC401" s="35"/>
      <c r="BD401" s="35"/>
      <c r="BE401" s="35"/>
      <c r="BF401" s="35"/>
      <c r="BG401" s="35"/>
      <c r="BH401" s="35"/>
      <c r="BI401" s="35"/>
      <c r="BJ401" s="35"/>
      <c r="BK401" s="35"/>
      <c r="BL401" s="35"/>
    </row>
    <row r="402" spans="1:64" ht="14">
      <c r="A402" s="35"/>
      <c r="B402" s="36"/>
      <c r="C402" s="39"/>
      <c r="D402" s="78"/>
      <c r="E402" s="78"/>
      <c r="F402" s="78"/>
      <c r="G402" s="229"/>
      <c r="H402" s="229"/>
      <c r="I402" s="40"/>
      <c r="J402" s="43" t="str">
        <f t="shared" si="12"/>
        <v/>
      </c>
      <c r="K402" s="79" t="str">
        <f t="shared" si="13"/>
        <v/>
      </c>
      <c r="L402" s="39"/>
      <c r="M402" s="35"/>
      <c r="N402" s="35"/>
      <c r="O402" s="35"/>
      <c r="P402" s="35"/>
      <c r="Q402" s="35"/>
      <c r="R402" s="35"/>
      <c r="S402" s="35"/>
      <c r="T402" s="35"/>
      <c r="U402" s="35"/>
      <c r="V402" s="35"/>
      <c r="W402" s="35"/>
      <c r="X402" s="35"/>
      <c r="Y402" s="35"/>
      <c r="Z402" s="35"/>
      <c r="AA402" s="35"/>
      <c r="AB402" s="35"/>
      <c r="AC402" s="35"/>
      <c r="AD402" s="35"/>
      <c r="AE402" s="35"/>
      <c r="AF402" s="35"/>
      <c r="AG402" s="35"/>
      <c r="AH402" s="35"/>
      <c r="AI402" s="35"/>
      <c r="AJ402" s="35"/>
      <c r="AK402" s="35"/>
      <c r="AL402" s="35"/>
      <c r="AM402" s="35"/>
      <c r="AN402" s="35"/>
      <c r="AO402" s="35"/>
      <c r="AP402" s="35"/>
      <c r="AQ402" s="35"/>
      <c r="AR402" s="35"/>
      <c r="AS402" s="35"/>
      <c r="AT402" s="35"/>
      <c r="AU402" s="35"/>
      <c r="AV402" s="35"/>
      <c r="AW402" s="35"/>
      <c r="AX402" s="35"/>
      <c r="AY402" s="35"/>
      <c r="AZ402" s="35"/>
      <c r="BA402" s="35"/>
      <c r="BB402" s="35"/>
      <c r="BC402" s="35"/>
      <c r="BD402" s="35"/>
      <c r="BE402" s="35"/>
      <c r="BF402" s="35"/>
      <c r="BG402" s="35"/>
      <c r="BH402" s="35"/>
      <c r="BI402" s="35"/>
      <c r="BJ402" s="35"/>
      <c r="BK402" s="35"/>
      <c r="BL402" s="35"/>
    </row>
    <row r="403" spans="1:64" ht="14">
      <c r="A403" s="35"/>
      <c r="B403" s="217" t="s">
        <v>58</v>
      </c>
      <c r="C403" s="217"/>
      <c r="D403" s="217"/>
      <c r="E403" s="217"/>
      <c r="F403" s="217"/>
      <c r="G403" s="217"/>
      <c r="H403" s="217"/>
      <c r="I403" s="217"/>
      <c r="J403" s="217"/>
      <c r="K403" s="217"/>
      <c r="L403" s="217"/>
      <c r="M403" s="35"/>
      <c r="N403" s="35"/>
      <c r="O403" s="35"/>
      <c r="P403" s="35"/>
      <c r="Q403" s="35"/>
      <c r="R403" s="35"/>
      <c r="S403" s="35"/>
      <c r="T403" s="35"/>
      <c r="U403" s="35"/>
      <c r="V403" s="35"/>
      <c r="W403" s="35"/>
      <c r="X403" s="35"/>
      <c r="Y403" s="35"/>
      <c r="Z403" s="35"/>
      <c r="AA403" s="35"/>
      <c r="AB403" s="35"/>
      <c r="AC403" s="35"/>
      <c r="AD403" s="35"/>
      <c r="AE403" s="35"/>
      <c r="AF403" s="35"/>
      <c r="AG403" s="35"/>
      <c r="AH403" s="35"/>
      <c r="AI403" s="35"/>
      <c r="AJ403" s="35"/>
      <c r="AK403" s="35"/>
      <c r="AL403" s="35"/>
      <c r="AM403" s="35"/>
      <c r="AN403" s="35"/>
      <c r="AO403" s="35"/>
      <c r="AP403" s="35"/>
      <c r="AQ403" s="35"/>
      <c r="AR403" s="35"/>
      <c r="AS403" s="35"/>
      <c r="AT403" s="35"/>
      <c r="AU403" s="35"/>
      <c r="AV403" s="35"/>
      <c r="AW403" s="35"/>
      <c r="AX403" s="35"/>
      <c r="AY403" s="35"/>
      <c r="AZ403" s="35"/>
      <c r="BA403" s="35"/>
      <c r="BB403" s="35"/>
      <c r="BC403" s="35"/>
      <c r="BD403" s="35"/>
      <c r="BE403" s="35"/>
      <c r="BF403" s="35"/>
      <c r="BG403" s="35"/>
      <c r="BH403" s="35"/>
      <c r="BI403" s="35"/>
      <c r="BJ403" s="35"/>
      <c r="BK403" s="35"/>
      <c r="BL403" s="35"/>
    </row>
    <row r="404" spans="1:64" ht="13">
      <c r="B404" s="47"/>
      <c r="C404" s="49"/>
      <c r="D404" s="49"/>
      <c r="E404" s="49"/>
      <c r="F404" s="49"/>
      <c r="G404" s="49"/>
      <c r="H404" s="49"/>
      <c r="I404" s="81" t="s">
        <v>87</v>
      </c>
      <c r="J404" s="82">
        <f>SUM(J11:J402)</f>
        <v>0</v>
      </c>
      <c r="K404" s="230">
        <f>SUM(K11:K402)</f>
        <v>0</v>
      </c>
    </row>
    <row r="405" spans="1:64" ht="13">
      <c r="I405" s="231" t="s">
        <v>88</v>
      </c>
      <c r="J405" s="231"/>
      <c r="K405" s="230"/>
    </row>
  </sheetData>
  <mergeCells count="413">
    <mergeCell ref="G401:H401"/>
    <mergeCell ref="G402:H402"/>
    <mergeCell ref="B403:L403"/>
    <mergeCell ref="K404:K405"/>
    <mergeCell ref="I405:J405"/>
    <mergeCell ref="G389:H389"/>
    <mergeCell ref="G390:H390"/>
    <mergeCell ref="G391:H391"/>
    <mergeCell ref="G392:H392"/>
    <mergeCell ref="G393:H393"/>
    <mergeCell ref="G386:H386"/>
    <mergeCell ref="G387:H387"/>
    <mergeCell ref="G388:H388"/>
    <mergeCell ref="G398:H398"/>
    <mergeCell ref="G399:H399"/>
    <mergeCell ref="G400:H400"/>
    <mergeCell ref="G394:H394"/>
    <mergeCell ref="G395:H395"/>
    <mergeCell ref="G396:H396"/>
    <mergeCell ref="G397:H397"/>
    <mergeCell ref="G380:H380"/>
    <mergeCell ref="G381:H381"/>
    <mergeCell ref="G382:H382"/>
    <mergeCell ref="G383:H383"/>
    <mergeCell ref="G384:H384"/>
    <mergeCell ref="G385:H385"/>
    <mergeCell ref="G374:H374"/>
    <mergeCell ref="G375:H375"/>
    <mergeCell ref="G376:H376"/>
    <mergeCell ref="G377:H377"/>
    <mergeCell ref="G378:H378"/>
    <mergeCell ref="G379:H379"/>
    <mergeCell ref="G368:H368"/>
    <mergeCell ref="G369:H369"/>
    <mergeCell ref="G370:H370"/>
    <mergeCell ref="G371:H371"/>
    <mergeCell ref="G372:H372"/>
    <mergeCell ref="G373:H373"/>
    <mergeCell ref="G362:H362"/>
    <mergeCell ref="G363:H363"/>
    <mergeCell ref="G364:H364"/>
    <mergeCell ref="G365:H365"/>
    <mergeCell ref="G366:H366"/>
    <mergeCell ref="G367:H367"/>
    <mergeCell ref="G356:H356"/>
    <mergeCell ref="G357:H357"/>
    <mergeCell ref="G358:H358"/>
    <mergeCell ref="G359:H359"/>
    <mergeCell ref="G360:H360"/>
    <mergeCell ref="G361:H361"/>
    <mergeCell ref="G350:H350"/>
    <mergeCell ref="G351:H351"/>
    <mergeCell ref="G352:H352"/>
    <mergeCell ref="G353:H353"/>
    <mergeCell ref="G354:H354"/>
    <mergeCell ref="G355:H355"/>
    <mergeCell ref="G344:H344"/>
    <mergeCell ref="G345:H345"/>
    <mergeCell ref="G346:H346"/>
    <mergeCell ref="G347:H347"/>
    <mergeCell ref="G348:H348"/>
    <mergeCell ref="G349:H349"/>
    <mergeCell ref="G338:H338"/>
    <mergeCell ref="G339:H339"/>
    <mergeCell ref="G340:H340"/>
    <mergeCell ref="G341:H341"/>
    <mergeCell ref="G342:H342"/>
    <mergeCell ref="G343:H343"/>
    <mergeCell ref="G332:H332"/>
    <mergeCell ref="G333:H333"/>
    <mergeCell ref="G334:H334"/>
    <mergeCell ref="G335:H335"/>
    <mergeCell ref="G336:H336"/>
    <mergeCell ref="G337:H337"/>
    <mergeCell ref="G326:H326"/>
    <mergeCell ref="G327:H327"/>
    <mergeCell ref="G328:H328"/>
    <mergeCell ref="G329:H329"/>
    <mergeCell ref="G330:H330"/>
    <mergeCell ref="G331:H331"/>
    <mergeCell ref="G320:H320"/>
    <mergeCell ref="G321:H321"/>
    <mergeCell ref="G322:H322"/>
    <mergeCell ref="G323:H323"/>
    <mergeCell ref="G324:H324"/>
    <mergeCell ref="G325:H325"/>
    <mergeCell ref="G314:H314"/>
    <mergeCell ref="G315:H315"/>
    <mergeCell ref="G316:H316"/>
    <mergeCell ref="G317:H317"/>
    <mergeCell ref="G318:H318"/>
    <mergeCell ref="G319:H319"/>
    <mergeCell ref="G308:H308"/>
    <mergeCell ref="G309:H309"/>
    <mergeCell ref="G310:H310"/>
    <mergeCell ref="G311:H311"/>
    <mergeCell ref="G312:H312"/>
    <mergeCell ref="G313:H313"/>
    <mergeCell ref="G302:H302"/>
    <mergeCell ref="G303:H303"/>
    <mergeCell ref="G304:H304"/>
    <mergeCell ref="G305:H305"/>
    <mergeCell ref="G306:H306"/>
    <mergeCell ref="G307:H307"/>
    <mergeCell ref="G296:H296"/>
    <mergeCell ref="G297:H297"/>
    <mergeCell ref="G298:H298"/>
    <mergeCell ref="G299:H299"/>
    <mergeCell ref="G300:H300"/>
    <mergeCell ref="G301:H301"/>
    <mergeCell ref="G290:H290"/>
    <mergeCell ref="G291:H291"/>
    <mergeCell ref="G292:H292"/>
    <mergeCell ref="G293:H293"/>
    <mergeCell ref="G294:H294"/>
    <mergeCell ref="G295:H295"/>
    <mergeCell ref="G284:H284"/>
    <mergeCell ref="G285:H285"/>
    <mergeCell ref="G286:H286"/>
    <mergeCell ref="G287:H287"/>
    <mergeCell ref="G288:H288"/>
    <mergeCell ref="G289:H289"/>
    <mergeCell ref="G278:H278"/>
    <mergeCell ref="G279:H279"/>
    <mergeCell ref="G280:H280"/>
    <mergeCell ref="G281:H281"/>
    <mergeCell ref="G282:H282"/>
    <mergeCell ref="G283:H283"/>
    <mergeCell ref="G272:H272"/>
    <mergeCell ref="G273:H273"/>
    <mergeCell ref="G274:H274"/>
    <mergeCell ref="G275:H275"/>
    <mergeCell ref="G276:H276"/>
    <mergeCell ref="G277:H277"/>
    <mergeCell ref="G266:H266"/>
    <mergeCell ref="G267:H267"/>
    <mergeCell ref="G268:H268"/>
    <mergeCell ref="G269:H269"/>
    <mergeCell ref="G270:H270"/>
    <mergeCell ref="G271:H271"/>
    <mergeCell ref="G260:H260"/>
    <mergeCell ref="G261:H261"/>
    <mergeCell ref="G262:H262"/>
    <mergeCell ref="G263:H263"/>
    <mergeCell ref="G264:H264"/>
    <mergeCell ref="G265:H265"/>
    <mergeCell ref="G254:H254"/>
    <mergeCell ref="G255:H255"/>
    <mergeCell ref="G256:H256"/>
    <mergeCell ref="G257:H257"/>
    <mergeCell ref="G258:H258"/>
    <mergeCell ref="G259:H259"/>
    <mergeCell ref="G248:H248"/>
    <mergeCell ref="G249:H249"/>
    <mergeCell ref="G250:H250"/>
    <mergeCell ref="G251:H251"/>
    <mergeCell ref="G252:H252"/>
    <mergeCell ref="G253:H253"/>
    <mergeCell ref="G242:H242"/>
    <mergeCell ref="G243:H243"/>
    <mergeCell ref="G244:H244"/>
    <mergeCell ref="G245:H245"/>
    <mergeCell ref="G246:H246"/>
    <mergeCell ref="G247:H247"/>
    <mergeCell ref="G236:H236"/>
    <mergeCell ref="G237:H237"/>
    <mergeCell ref="G238:H238"/>
    <mergeCell ref="G239:H239"/>
    <mergeCell ref="G240:H240"/>
    <mergeCell ref="G241:H241"/>
    <mergeCell ref="G230:H230"/>
    <mergeCell ref="G231:H231"/>
    <mergeCell ref="G232:H232"/>
    <mergeCell ref="G233:H233"/>
    <mergeCell ref="G234:H234"/>
    <mergeCell ref="G235:H235"/>
    <mergeCell ref="G224:H224"/>
    <mergeCell ref="G225:H225"/>
    <mergeCell ref="G226:H226"/>
    <mergeCell ref="G227:H227"/>
    <mergeCell ref="G228:H228"/>
    <mergeCell ref="G229:H229"/>
    <mergeCell ref="G218:H218"/>
    <mergeCell ref="G219:H219"/>
    <mergeCell ref="G220:H220"/>
    <mergeCell ref="G221:H221"/>
    <mergeCell ref="G222:H222"/>
    <mergeCell ref="G223:H223"/>
    <mergeCell ref="G212:H212"/>
    <mergeCell ref="G213:H213"/>
    <mergeCell ref="G214:H214"/>
    <mergeCell ref="G215:H215"/>
    <mergeCell ref="G216:H216"/>
    <mergeCell ref="G217:H217"/>
    <mergeCell ref="G206:H206"/>
    <mergeCell ref="G207:H207"/>
    <mergeCell ref="G208:H208"/>
    <mergeCell ref="G209:H209"/>
    <mergeCell ref="G210:H210"/>
    <mergeCell ref="G211:H211"/>
    <mergeCell ref="G200:H200"/>
    <mergeCell ref="G201:H201"/>
    <mergeCell ref="G202:H202"/>
    <mergeCell ref="G203:H203"/>
    <mergeCell ref="G204:H204"/>
    <mergeCell ref="G205:H205"/>
    <mergeCell ref="G194:H194"/>
    <mergeCell ref="G195:H195"/>
    <mergeCell ref="G196:H196"/>
    <mergeCell ref="G197:H197"/>
    <mergeCell ref="G198:H198"/>
    <mergeCell ref="G199:H199"/>
    <mergeCell ref="G188:H188"/>
    <mergeCell ref="G189:H189"/>
    <mergeCell ref="G190:H190"/>
    <mergeCell ref="G191:H191"/>
    <mergeCell ref="G192:H192"/>
    <mergeCell ref="G193:H193"/>
    <mergeCell ref="G182:H182"/>
    <mergeCell ref="G183:H183"/>
    <mergeCell ref="G184:H184"/>
    <mergeCell ref="G185:H185"/>
    <mergeCell ref="G186:H186"/>
    <mergeCell ref="G187:H187"/>
    <mergeCell ref="G176:H176"/>
    <mergeCell ref="G177:H177"/>
    <mergeCell ref="G178:H178"/>
    <mergeCell ref="G179:H179"/>
    <mergeCell ref="G180:H180"/>
    <mergeCell ref="G181:H181"/>
    <mergeCell ref="G170:H170"/>
    <mergeCell ref="G171:H171"/>
    <mergeCell ref="G172:H172"/>
    <mergeCell ref="G173:H173"/>
    <mergeCell ref="G174:H174"/>
    <mergeCell ref="G175:H175"/>
    <mergeCell ref="G164:H164"/>
    <mergeCell ref="G165:H165"/>
    <mergeCell ref="G166:H166"/>
    <mergeCell ref="G167:H167"/>
    <mergeCell ref="G168:H168"/>
    <mergeCell ref="G169:H169"/>
    <mergeCell ref="G158:H158"/>
    <mergeCell ref="G159:H159"/>
    <mergeCell ref="G160:H160"/>
    <mergeCell ref="G161:H161"/>
    <mergeCell ref="G162:H162"/>
    <mergeCell ref="G163:H163"/>
    <mergeCell ref="G152:H152"/>
    <mergeCell ref="G153:H153"/>
    <mergeCell ref="G154:H154"/>
    <mergeCell ref="G155:H155"/>
    <mergeCell ref="G156:H156"/>
    <mergeCell ref="G157:H157"/>
    <mergeCell ref="G146:H146"/>
    <mergeCell ref="G147:H147"/>
    <mergeCell ref="G148:H148"/>
    <mergeCell ref="G149:H149"/>
    <mergeCell ref="G150:H150"/>
    <mergeCell ref="G151:H151"/>
    <mergeCell ref="G140:H140"/>
    <mergeCell ref="G141:H141"/>
    <mergeCell ref="G142:H142"/>
    <mergeCell ref="G143:H143"/>
    <mergeCell ref="G144:H144"/>
    <mergeCell ref="G145:H145"/>
    <mergeCell ref="G134:H134"/>
    <mergeCell ref="G135:H135"/>
    <mergeCell ref="G136:H136"/>
    <mergeCell ref="G137:H137"/>
    <mergeCell ref="G138:H138"/>
    <mergeCell ref="G139:H139"/>
    <mergeCell ref="G128:H128"/>
    <mergeCell ref="G129:H129"/>
    <mergeCell ref="G130:H130"/>
    <mergeCell ref="G131:H131"/>
    <mergeCell ref="G132:H132"/>
    <mergeCell ref="G133:H133"/>
    <mergeCell ref="G122:H122"/>
    <mergeCell ref="G123:H123"/>
    <mergeCell ref="G124:H124"/>
    <mergeCell ref="G125:H125"/>
    <mergeCell ref="G126:H126"/>
    <mergeCell ref="G127:H127"/>
    <mergeCell ref="G116:H116"/>
    <mergeCell ref="G117:H117"/>
    <mergeCell ref="G118:H118"/>
    <mergeCell ref="G119:H119"/>
    <mergeCell ref="G120:H120"/>
    <mergeCell ref="G121:H121"/>
    <mergeCell ref="G110:H110"/>
    <mergeCell ref="G111:H111"/>
    <mergeCell ref="G112:H112"/>
    <mergeCell ref="G113:H113"/>
    <mergeCell ref="G114:H114"/>
    <mergeCell ref="G115:H115"/>
    <mergeCell ref="G104:H104"/>
    <mergeCell ref="G105:H105"/>
    <mergeCell ref="G106:H106"/>
    <mergeCell ref="G107:H107"/>
    <mergeCell ref="G108:H108"/>
    <mergeCell ref="G109:H109"/>
    <mergeCell ref="G98:H98"/>
    <mergeCell ref="G99:H99"/>
    <mergeCell ref="G100:H100"/>
    <mergeCell ref="G101:H101"/>
    <mergeCell ref="G102:H102"/>
    <mergeCell ref="G103:H103"/>
    <mergeCell ref="G92:H92"/>
    <mergeCell ref="G93:H93"/>
    <mergeCell ref="G94:H94"/>
    <mergeCell ref="G95:H95"/>
    <mergeCell ref="G96:H96"/>
    <mergeCell ref="G97:H97"/>
    <mergeCell ref="G86:H86"/>
    <mergeCell ref="G87:H87"/>
    <mergeCell ref="G88:H88"/>
    <mergeCell ref="G89:H89"/>
    <mergeCell ref="G90:H90"/>
    <mergeCell ref="G91:H91"/>
    <mergeCell ref="G80:H80"/>
    <mergeCell ref="G81:H81"/>
    <mergeCell ref="G82:H82"/>
    <mergeCell ref="G83:H83"/>
    <mergeCell ref="G84:H84"/>
    <mergeCell ref="G85:H85"/>
    <mergeCell ref="G74:H74"/>
    <mergeCell ref="G75:H75"/>
    <mergeCell ref="G76:H76"/>
    <mergeCell ref="G77:H77"/>
    <mergeCell ref="G78:H78"/>
    <mergeCell ref="G79:H79"/>
    <mergeCell ref="G68:H68"/>
    <mergeCell ref="G69:H69"/>
    <mergeCell ref="G70:H70"/>
    <mergeCell ref="G71:H71"/>
    <mergeCell ref="G72:H72"/>
    <mergeCell ref="G73:H73"/>
    <mergeCell ref="G62:H62"/>
    <mergeCell ref="G63:H63"/>
    <mergeCell ref="G64:H64"/>
    <mergeCell ref="G65:H65"/>
    <mergeCell ref="G66:H66"/>
    <mergeCell ref="G67:H67"/>
    <mergeCell ref="G56:H56"/>
    <mergeCell ref="G57:H57"/>
    <mergeCell ref="G58:H58"/>
    <mergeCell ref="G59:H59"/>
    <mergeCell ref="G60:H60"/>
    <mergeCell ref="G61:H61"/>
    <mergeCell ref="G50:H50"/>
    <mergeCell ref="G51:H51"/>
    <mergeCell ref="G52:H52"/>
    <mergeCell ref="G53:H53"/>
    <mergeCell ref="G54:H54"/>
    <mergeCell ref="G55:H55"/>
    <mergeCell ref="G44:H44"/>
    <mergeCell ref="G45:H45"/>
    <mergeCell ref="G46:H46"/>
    <mergeCell ref="G47:H47"/>
    <mergeCell ref="G48:H48"/>
    <mergeCell ref="G49:H49"/>
    <mergeCell ref="G38:H38"/>
    <mergeCell ref="G39:H39"/>
    <mergeCell ref="G40:H40"/>
    <mergeCell ref="G41:H41"/>
    <mergeCell ref="G42:H42"/>
    <mergeCell ref="G43:H43"/>
    <mergeCell ref="G32:H32"/>
    <mergeCell ref="G33:H33"/>
    <mergeCell ref="G34:H34"/>
    <mergeCell ref="G35:H35"/>
    <mergeCell ref="G36:H36"/>
    <mergeCell ref="G37:H37"/>
    <mergeCell ref="G26:H26"/>
    <mergeCell ref="G27:H27"/>
    <mergeCell ref="G28:H28"/>
    <mergeCell ref="G29:H29"/>
    <mergeCell ref="G30:H30"/>
    <mergeCell ref="G31:H31"/>
    <mergeCell ref="G20:H20"/>
    <mergeCell ref="G21:H21"/>
    <mergeCell ref="G22:H22"/>
    <mergeCell ref="G23:H23"/>
    <mergeCell ref="G24:H24"/>
    <mergeCell ref="G25:H25"/>
    <mergeCell ref="G14:H14"/>
    <mergeCell ref="G15:H15"/>
    <mergeCell ref="G16:H16"/>
    <mergeCell ref="G17:H17"/>
    <mergeCell ref="G18:H18"/>
    <mergeCell ref="G19:H19"/>
    <mergeCell ref="J8:K8"/>
    <mergeCell ref="L8:L9"/>
    <mergeCell ref="B10:L10"/>
    <mergeCell ref="G11:H11"/>
    <mergeCell ref="G12:H12"/>
    <mergeCell ref="G13:H13"/>
    <mergeCell ref="B8:B9"/>
    <mergeCell ref="C8:C9"/>
    <mergeCell ref="E8:E9"/>
    <mergeCell ref="F8:F9"/>
    <mergeCell ref="G8:H9"/>
    <mergeCell ref="I8:I9"/>
    <mergeCell ref="G1:L1"/>
    <mergeCell ref="B3:C4"/>
    <mergeCell ref="D3:E4"/>
    <mergeCell ref="J3:L3"/>
    <mergeCell ref="J4:L4"/>
    <mergeCell ref="B5:C6"/>
    <mergeCell ref="D5:E6"/>
    <mergeCell ref="J5:L5"/>
    <mergeCell ref="J6:L6"/>
  </mergeCells>
  <dataValidations count="3">
    <dataValidation type="list" operator="equal" allowBlank="1" showInputMessage="1" showErrorMessage="1" sqref="C11:C402">
      <formula1>UST</formula1>
      <formula2>0</formula2>
    </dataValidation>
    <dataValidation type="list" operator="equal" allowBlank="1" showInputMessage="1" showErrorMessage="1" sqref="D11:D402">
      <formula1>"Básica,Intermediária,Mediana,Alta"</formula1>
      <formula2>0</formula2>
    </dataValidation>
    <dataValidation operator="equal" allowBlank="1" showInputMessage="1" showErrorMessage="1" errorTitle="Erro" error="Selecione uma das opções apresentada" sqref="J11:J402">
      <formula1>0</formula1>
      <formula2>0</formula2>
    </dataValidation>
  </dataValidations>
  <pageMargins left="0.196527777777778" right="0.196527777777778" top="0.32986111111111099" bottom="0.42986111111111103" header="0.179861111111111" footer="0.27569444444444402"/>
  <pageSetup paperSize="9" firstPageNumber="0" fitToHeight="10" orientation="landscape" horizontalDpi="300" verticalDpi="300"/>
  <headerFooter>
    <oddHeader>&amp;C&amp;A</oddHeader>
    <oddFooter>&amp;CPágina &amp;P de &amp;N</oddFooter>
  </headerFooter>
  <drawing r:id="rId1"/>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BL26"/>
  <sheetViews>
    <sheetView zoomScaleNormal="100" workbookViewId="0"/>
  </sheetViews>
  <sheetFormatPr defaultColWidth="8.6328125" defaultRowHeight="12.5"/>
  <cols>
    <col min="1" max="1" width="5.36328125" style="53" customWidth="1"/>
    <col min="2" max="2" width="30.90625" style="54" customWidth="1"/>
    <col min="3" max="3" width="10.1796875" style="54" customWidth="1"/>
    <col min="4" max="4" width="8.1796875" style="55" customWidth="1"/>
    <col min="5" max="5" width="14.1796875" style="55" customWidth="1"/>
    <col min="6" max="6" width="26.54296875" style="55" customWidth="1"/>
    <col min="7" max="7" width="13.36328125" style="55" customWidth="1"/>
    <col min="8" max="8" width="21.26953125" style="56" customWidth="1"/>
    <col min="9" max="9" width="14" style="53" customWidth="1"/>
    <col min="10" max="11" width="11.6328125" style="53" customWidth="1"/>
    <col min="12" max="13" width="9" style="54" customWidth="1"/>
    <col min="14" max="14" width="9.54296875" style="54" customWidth="1"/>
    <col min="15" max="23" width="9" style="54" customWidth="1"/>
    <col min="24" max="64" width="8.6328125" style="54" customWidth="1"/>
  </cols>
  <sheetData>
    <row r="1" spans="1:64" ht="69" customHeight="1">
      <c r="A1" s="2" t="s">
        <v>0</v>
      </c>
      <c r="B1" s="22"/>
      <c r="C1" s="22"/>
      <c r="D1" s="213" t="s">
        <v>89</v>
      </c>
      <c r="E1" s="213"/>
      <c r="F1" s="213"/>
      <c r="G1" s="213"/>
      <c r="H1" s="213"/>
      <c r="I1" s="213"/>
      <c r="J1" s="213"/>
      <c r="K1" s="213"/>
      <c r="L1"/>
      <c r="M1"/>
      <c r="N1"/>
      <c r="O1"/>
      <c r="P1"/>
      <c r="Q1"/>
      <c r="R1"/>
      <c r="S1"/>
      <c r="T1"/>
      <c r="U1"/>
      <c r="V1"/>
      <c r="W1"/>
      <c r="X1"/>
      <c r="Y1"/>
      <c r="Z1"/>
      <c r="AA1"/>
      <c r="AB1"/>
      <c r="AC1"/>
      <c r="AD1"/>
      <c r="AE1"/>
      <c r="AF1"/>
      <c r="AG1"/>
      <c r="AH1"/>
      <c r="AI1"/>
      <c r="AJ1"/>
      <c r="AK1"/>
      <c r="AL1"/>
      <c r="AM1"/>
      <c r="AN1"/>
      <c r="AO1"/>
      <c r="AP1"/>
      <c r="AQ1"/>
      <c r="AR1"/>
      <c r="AS1"/>
      <c r="AT1"/>
      <c r="AU1"/>
      <c r="AV1"/>
      <c r="AW1"/>
      <c r="AX1"/>
      <c r="AY1"/>
      <c r="AZ1"/>
      <c r="BA1"/>
      <c r="BB1"/>
      <c r="BC1"/>
      <c r="BD1"/>
      <c r="BE1"/>
      <c r="BF1"/>
      <c r="BG1"/>
      <c r="BH1"/>
      <c r="BI1"/>
      <c r="BJ1"/>
      <c r="BK1"/>
      <c r="BL1"/>
    </row>
    <row r="2" spans="1:64" ht="9" customHeight="1">
      <c r="A2" s="23"/>
      <c r="B2" s="23"/>
      <c r="C2" s="23"/>
      <c r="D2" s="24"/>
      <c r="E2" s="24"/>
      <c r="F2" s="24"/>
      <c r="G2" s="24"/>
      <c r="H2" s="24"/>
      <c r="I2" s="24"/>
      <c r="J2" s="24"/>
      <c r="K2" s="24"/>
      <c r="L2"/>
      <c r="M2"/>
      <c r="N2"/>
      <c r="O2"/>
      <c r="P2"/>
      <c r="Q2"/>
      <c r="R2"/>
      <c r="S2"/>
      <c r="T2"/>
      <c r="U2"/>
      <c r="V2"/>
      <c r="W2"/>
      <c r="X2"/>
      <c r="Y2"/>
      <c r="Z2"/>
      <c r="AA2"/>
      <c r="AB2"/>
      <c r="AC2"/>
      <c r="AD2"/>
      <c r="AE2"/>
      <c r="AF2"/>
      <c r="AG2"/>
      <c r="AH2"/>
      <c r="AI2"/>
      <c r="AJ2"/>
      <c r="AK2"/>
      <c r="AL2"/>
      <c r="AM2"/>
      <c r="AN2"/>
      <c r="AO2"/>
      <c r="AP2"/>
      <c r="AQ2"/>
      <c r="AR2"/>
      <c r="AS2"/>
      <c r="AT2"/>
      <c r="AU2"/>
      <c r="AV2"/>
      <c r="AW2"/>
      <c r="AX2"/>
      <c r="AY2"/>
      <c r="AZ2"/>
      <c r="BA2"/>
      <c r="BB2"/>
      <c r="BC2"/>
      <c r="BD2"/>
      <c r="BE2"/>
      <c r="BF2"/>
      <c r="BG2"/>
      <c r="BH2"/>
      <c r="BI2"/>
      <c r="BJ2"/>
      <c r="BK2"/>
      <c r="BL2"/>
    </row>
    <row r="3" spans="1:64" ht="18.649999999999999" customHeight="1">
      <c r="A3" s="19"/>
      <c r="B3" s="25"/>
      <c r="C3" s="25"/>
      <c r="D3" s="24"/>
      <c r="E3" s="24"/>
      <c r="F3" s="24"/>
      <c r="G3" s="219" t="s">
        <v>8</v>
      </c>
      <c r="H3" s="219"/>
      <c r="I3" s="215"/>
      <c r="J3" s="215"/>
      <c r="K3" s="215"/>
      <c r="L3"/>
      <c r="M3"/>
      <c r="N3"/>
      <c r="O3"/>
      <c r="P3"/>
      <c r="Q3"/>
      <c r="R3"/>
      <c r="S3"/>
      <c r="T3"/>
      <c r="U3"/>
      <c r="V3"/>
      <c r="W3"/>
      <c r="X3"/>
      <c r="Y3"/>
      <c r="Z3"/>
      <c r="AA3"/>
      <c r="AB3"/>
      <c r="AC3"/>
      <c r="AD3"/>
      <c r="AE3"/>
      <c r="AF3"/>
      <c r="AG3"/>
      <c r="AH3"/>
      <c r="AI3"/>
      <c r="AJ3"/>
      <c r="AK3"/>
      <c r="AL3"/>
      <c r="AM3"/>
      <c r="AN3"/>
      <c r="AO3"/>
      <c r="AP3"/>
      <c r="AQ3"/>
      <c r="AR3"/>
      <c r="AS3"/>
      <c r="AT3"/>
      <c r="AU3"/>
      <c r="AV3"/>
      <c r="AW3"/>
      <c r="AX3"/>
      <c r="AY3"/>
      <c r="AZ3"/>
      <c r="BA3"/>
      <c r="BB3"/>
      <c r="BC3"/>
      <c r="BD3"/>
      <c r="BE3"/>
      <c r="BF3"/>
      <c r="BG3"/>
      <c r="BH3"/>
      <c r="BI3"/>
      <c r="BJ3"/>
      <c r="BK3"/>
      <c r="BL3"/>
    </row>
    <row r="4" spans="1:64" ht="18.649999999999999" customHeight="1">
      <c r="A4" s="19"/>
      <c r="B4" s="25"/>
      <c r="C4" s="25"/>
      <c r="D4" s="24"/>
      <c r="E4" s="24"/>
      <c r="F4" s="24"/>
      <c r="G4" s="219" t="s">
        <v>9</v>
      </c>
      <c r="H4" s="219"/>
      <c r="I4" s="215"/>
      <c r="J4" s="215"/>
      <c r="K4" s="215"/>
      <c r="L4"/>
      <c r="M4"/>
      <c r="N4"/>
      <c r="O4"/>
      <c r="P4"/>
      <c r="Q4"/>
      <c r="R4"/>
      <c r="S4"/>
      <c r="T4"/>
      <c r="U4"/>
      <c r="V4"/>
      <c r="W4"/>
      <c r="X4"/>
      <c r="Y4"/>
      <c r="Z4"/>
      <c r="AA4"/>
      <c r="AB4"/>
      <c r="AC4"/>
      <c r="AD4"/>
      <c r="AE4"/>
      <c r="AF4"/>
      <c r="AG4"/>
      <c r="AH4"/>
      <c r="AI4"/>
      <c r="AJ4"/>
      <c r="AK4"/>
      <c r="AL4"/>
      <c r="AM4"/>
      <c r="AN4"/>
      <c r="AO4"/>
      <c r="AP4"/>
      <c r="AQ4"/>
      <c r="AR4"/>
      <c r="AS4"/>
      <c r="AT4"/>
      <c r="AU4"/>
      <c r="AV4"/>
      <c r="AW4"/>
      <c r="AX4"/>
      <c r="AY4"/>
      <c r="AZ4"/>
      <c r="BA4"/>
      <c r="BB4"/>
      <c r="BC4"/>
      <c r="BD4"/>
      <c r="BE4"/>
      <c r="BF4"/>
      <c r="BG4"/>
      <c r="BH4"/>
      <c r="BI4"/>
      <c r="BJ4"/>
      <c r="BK4"/>
      <c r="BL4"/>
    </row>
    <row r="5" spans="1:64" ht="18.649999999999999" customHeight="1">
      <c r="A5" s="219" t="s">
        <v>36</v>
      </c>
      <c r="B5" s="219"/>
      <c r="C5" s="219"/>
      <c r="D5" s="218" t="str">
        <f>TEXT(K26,"#.##0,0#")</f>
        <v>0,0</v>
      </c>
      <c r="E5" s="218"/>
      <c r="F5" s="24"/>
      <c r="G5" s="219" t="s">
        <v>10</v>
      </c>
      <c r="H5" s="219"/>
      <c r="I5" s="215"/>
      <c r="J5" s="215"/>
      <c r="K5" s="215"/>
      <c r="L5"/>
      <c r="M5"/>
      <c r="N5"/>
      <c r="O5"/>
      <c r="P5"/>
      <c r="Q5"/>
      <c r="R5"/>
      <c r="S5"/>
      <c r="T5"/>
      <c r="U5"/>
      <c r="V5"/>
      <c r="W5"/>
      <c r="X5"/>
      <c r="Y5"/>
      <c r="Z5"/>
      <c r="AA5"/>
      <c r="AB5"/>
      <c r="AC5"/>
      <c r="AD5"/>
      <c r="AE5"/>
      <c r="AF5"/>
      <c r="AG5"/>
      <c r="AH5"/>
      <c r="AI5"/>
      <c r="AJ5"/>
      <c r="AK5"/>
      <c r="AL5"/>
      <c r="AM5"/>
      <c r="AN5"/>
      <c r="AO5"/>
      <c r="AP5"/>
      <c r="AQ5"/>
      <c r="AR5"/>
      <c r="AS5"/>
      <c r="AT5"/>
      <c r="AU5"/>
      <c r="AV5"/>
      <c r="AW5"/>
      <c r="AX5"/>
      <c r="AY5"/>
      <c r="AZ5"/>
      <c r="BA5"/>
      <c r="BB5"/>
      <c r="BC5"/>
      <c r="BD5"/>
      <c r="BE5"/>
      <c r="BF5"/>
      <c r="BG5"/>
      <c r="BH5"/>
      <c r="BI5"/>
      <c r="BJ5"/>
      <c r="BK5"/>
      <c r="BL5"/>
    </row>
    <row r="6" spans="1:64" ht="18.649999999999999" customHeight="1">
      <c r="A6" s="219"/>
      <c r="B6" s="219"/>
      <c r="C6" s="219"/>
      <c r="D6" s="218"/>
      <c r="E6" s="218"/>
      <c r="F6" s="24"/>
      <c r="G6" s="219" t="s">
        <v>11</v>
      </c>
      <c r="H6" s="219"/>
      <c r="I6" s="215"/>
      <c r="J6" s="215"/>
      <c r="K6" s="215"/>
      <c r="L6"/>
      <c r="M6"/>
      <c r="N6"/>
      <c r="O6"/>
      <c r="P6"/>
      <c r="Q6"/>
      <c r="R6"/>
      <c r="S6"/>
      <c r="T6"/>
      <c r="U6"/>
      <c r="V6"/>
      <c r="W6"/>
      <c r="X6"/>
      <c r="Y6"/>
      <c r="Z6"/>
      <c r="AA6"/>
      <c r="AB6"/>
      <c r="AC6"/>
      <c r="AD6"/>
      <c r="AE6"/>
      <c r="AF6"/>
      <c r="AG6"/>
      <c r="AH6"/>
      <c r="AI6"/>
      <c r="AJ6"/>
      <c r="AK6"/>
      <c r="AL6"/>
      <c r="AM6"/>
      <c r="AN6"/>
      <c r="AO6"/>
      <c r="AP6"/>
      <c r="AQ6"/>
      <c r="AR6"/>
      <c r="AS6"/>
      <c r="AT6"/>
      <c r="AU6"/>
      <c r="AV6"/>
      <c r="AW6"/>
      <c r="AX6"/>
      <c r="AY6"/>
      <c r="AZ6"/>
      <c r="BA6"/>
      <c r="BB6"/>
      <c r="BC6"/>
      <c r="BD6"/>
      <c r="BE6"/>
      <c r="BF6"/>
      <c r="BG6"/>
      <c r="BH6"/>
      <c r="BI6"/>
      <c r="BJ6"/>
      <c r="BK6"/>
      <c r="BL6"/>
    </row>
    <row r="7" spans="1:64" ht="9" customHeight="1">
      <c r="A7" s="221"/>
      <c r="B7" s="221"/>
      <c r="C7" s="221"/>
      <c r="D7" s="221"/>
      <c r="E7" s="221"/>
      <c r="F7" s="221"/>
      <c r="G7" s="221"/>
      <c r="H7" s="221"/>
      <c r="I7" s="221"/>
      <c r="J7" s="221"/>
      <c r="K7" s="221"/>
      <c r="L7"/>
      <c r="M7"/>
      <c r="N7"/>
      <c r="O7"/>
      <c r="P7"/>
      <c r="Q7"/>
      <c r="R7"/>
      <c r="S7"/>
      <c r="T7"/>
      <c r="U7"/>
      <c r="V7"/>
      <c r="W7"/>
      <c r="X7"/>
      <c r="Y7"/>
      <c r="Z7"/>
      <c r="AA7"/>
      <c r="AB7"/>
      <c r="AC7"/>
      <c r="AD7"/>
      <c r="AE7"/>
      <c r="AF7"/>
      <c r="AG7"/>
      <c r="AH7"/>
      <c r="AI7"/>
      <c r="AJ7"/>
      <c r="AK7"/>
      <c r="AL7"/>
      <c r="AM7"/>
      <c r="AN7"/>
      <c r="AO7"/>
      <c r="AP7"/>
      <c r="AQ7"/>
      <c r="AR7"/>
      <c r="AS7"/>
      <c r="AT7"/>
      <c r="AU7"/>
      <c r="AV7"/>
      <c r="AW7"/>
      <c r="AX7"/>
      <c r="AY7"/>
      <c r="AZ7"/>
      <c r="BA7"/>
      <c r="BB7"/>
      <c r="BC7"/>
      <c r="BD7"/>
      <c r="BE7"/>
      <c r="BF7"/>
      <c r="BG7"/>
      <c r="BH7"/>
      <c r="BI7"/>
      <c r="BJ7"/>
      <c r="BK7"/>
      <c r="BL7"/>
    </row>
    <row r="8" spans="1:64" ht="17.25" customHeight="1">
      <c r="A8"/>
      <c r="B8"/>
      <c r="C8"/>
      <c r="D8"/>
      <c r="E8"/>
      <c r="F8"/>
      <c r="G8"/>
      <c r="H8"/>
      <c r="I8"/>
      <c r="J8"/>
      <c r="K8"/>
      <c r="L8"/>
      <c r="M8"/>
      <c r="N8"/>
      <c r="O8"/>
      <c r="P8"/>
      <c r="Q8"/>
      <c r="R8"/>
      <c r="S8"/>
      <c r="T8"/>
      <c r="U8"/>
      <c r="V8"/>
      <c r="W8"/>
      <c r="X8"/>
      <c r="Y8"/>
      <c r="Z8"/>
      <c r="AA8"/>
      <c r="AB8"/>
      <c r="AC8"/>
      <c r="AD8"/>
      <c r="AE8"/>
      <c r="AF8"/>
      <c r="AG8"/>
      <c r="AH8"/>
      <c r="AI8"/>
      <c r="AJ8"/>
      <c r="AK8"/>
      <c r="AL8"/>
      <c r="AM8"/>
      <c r="AN8"/>
      <c r="AO8"/>
      <c r="AP8"/>
      <c r="AQ8"/>
      <c r="AR8"/>
      <c r="AS8"/>
      <c r="AT8"/>
      <c r="AU8"/>
      <c r="AV8"/>
      <c r="AW8"/>
      <c r="AX8"/>
      <c r="AY8"/>
      <c r="AZ8"/>
      <c r="BA8"/>
      <c r="BB8"/>
      <c r="BC8"/>
      <c r="BD8"/>
      <c r="BE8"/>
      <c r="BF8"/>
      <c r="BG8"/>
      <c r="BH8"/>
      <c r="BI8"/>
      <c r="BJ8"/>
      <c r="BK8"/>
      <c r="BL8"/>
    </row>
    <row r="9" spans="1:64" ht="30.65" customHeight="1">
      <c r="A9" s="58" t="s">
        <v>37</v>
      </c>
      <c r="B9" s="59" t="s">
        <v>64</v>
      </c>
      <c r="C9" s="59" t="s">
        <v>90</v>
      </c>
      <c r="D9" s="59" t="s">
        <v>40</v>
      </c>
      <c r="E9" s="59" t="s">
        <v>43</v>
      </c>
      <c r="F9" s="59" t="s">
        <v>65</v>
      </c>
      <c r="G9" s="59" t="s">
        <v>66</v>
      </c>
      <c r="H9" s="59" t="s">
        <v>67</v>
      </c>
      <c r="I9" s="83" t="s">
        <v>68</v>
      </c>
      <c r="J9" s="84" t="s">
        <v>69</v>
      </c>
      <c r="K9" s="84" t="s">
        <v>91</v>
      </c>
      <c r="L9" s="60"/>
      <c r="M9" s="60"/>
      <c r="N9" s="60"/>
      <c r="O9" s="60"/>
      <c r="P9" s="60"/>
      <c r="Q9" s="60"/>
      <c r="R9" s="60"/>
      <c r="S9" s="60"/>
      <c r="T9" s="60"/>
      <c r="U9" s="60"/>
      <c r="V9" s="60"/>
      <c r="W9" s="60"/>
      <c r="X9" s="60"/>
      <c r="Y9" s="60"/>
      <c r="Z9" s="60"/>
      <c r="AA9" s="60"/>
      <c r="AB9" s="60"/>
      <c r="AC9" s="60"/>
      <c r="AD9" s="60"/>
      <c r="AE9" s="60"/>
      <c r="AF9" s="60"/>
      <c r="AG9" s="60"/>
      <c r="AH9" s="60"/>
      <c r="AI9" s="60"/>
      <c r="AJ9" s="60"/>
      <c r="AK9" s="60"/>
      <c r="AL9" s="60"/>
      <c r="AM9" s="60"/>
      <c r="AN9" s="60"/>
      <c r="AO9" s="60"/>
      <c r="AP9" s="60"/>
      <c r="AQ9" s="60"/>
      <c r="AR9" s="60"/>
      <c r="AS9" s="60"/>
      <c r="AT9" s="60"/>
      <c r="AU9" s="60"/>
      <c r="AV9" s="60"/>
      <c r="AW9" s="60"/>
      <c r="AX9" s="60"/>
      <c r="AY9" s="60"/>
      <c r="AZ9" s="60"/>
      <c r="BA9" s="60"/>
      <c r="BB9" s="60"/>
      <c r="BC9" s="60"/>
      <c r="BD9" s="60"/>
      <c r="BE9" s="60"/>
      <c r="BF9" s="60"/>
      <c r="BG9" s="60"/>
      <c r="BH9" s="60"/>
      <c r="BI9" s="60"/>
      <c r="BJ9" s="60"/>
      <c r="BK9" s="60"/>
      <c r="BL9" s="60"/>
    </row>
    <row r="10" spans="1:64" ht="14">
      <c r="A10" s="217" t="s">
        <v>57</v>
      </c>
      <c r="B10" s="217"/>
      <c r="C10" s="217"/>
      <c r="D10" s="217"/>
      <c r="E10" s="217"/>
      <c r="F10" s="217"/>
      <c r="G10" s="217"/>
      <c r="H10" s="217"/>
      <c r="I10" s="217"/>
      <c r="J10" s="217"/>
      <c r="K10" s="217"/>
      <c r="L10" s="35"/>
      <c r="M10" s="35"/>
      <c r="N10" s="35"/>
      <c r="O10" s="35"/>
      <c r="P10" s="35"/>
      <c r="Q10" s="35"/>
      <c r="R10" s="35"/>
      <c r="S10" s="35"/>
      <c r="T10" s="35"/>
      <c r="U10" s="35"/>
      <c r="V10" s="35"/>
      <c r="W10" s="35"/>
      <c r="X10" s="35"/>
      <c r="Y10" s="35"/>
      <c r="Z10" s="35"/>
      <c r="AA10" s="35"/>
      <c r="AB10" s="35"/>
      <c r="AC10" s="35"/>
      <c r="AD10" s="35"/>
      <c r="AE10" s="35"/>
      <c r="AF10" s="35"/>
      <c r="AG10" s="35"/>
      <c r="AH10" s="35"/>
      <c r="AI10" s="35"/>
      <c r="AJ10" s="35"/>
      <c r="AK10" s="35"/>
      <c r="AL10" s="35"/>
      <c r="AM10" s="35"/>
      <c r="AN10" s="35"/>
      <c r="AO10" s="35"/>
      <c r="AP10" s="35"/>
      <c r="AQ10" s="35"/>
      <c r="AR10" s="35"/>
      <c r="AS10" s="35"/>
      <c r="AT10" s="35"/>
      <c r="AU10" s="35"/>
      <c r="AV10" s="35"/>
      <c r="AW10" s="35"/>
      <c r="AX10" s="35"/>
      <c r="AY10" s="35"/>
      <c r="AZ10" s="35"/>
      <c r="BA10" s="35"/>
      <c r="BB10" s="35"/>
      <c r="BC10" s="35"/>
      <c r="BD10" s="35"/>
      <c r="BE10" s="35"/>
      <c r="BF10" s="35"/>
      <c r="BG10" s="35"/>
      <c r="BH10" s="35"/>
      <c r="BI10" s="35"/>
      <c r="BJ10" s="35"/>
      <c r="BK10" s="35"/>
      <c r="BL10" s="35"/>
    </row>
    <row r="11" spans="1:64" ht="13">
      <c r="A11" s="36"/>
      <c r="B11" s="39"/>
      <c r="C11" s="85" t="str">
        <f t="shared" ref="C11:C24" si="0">IF(B11&lt;&gt;"",IF(B11="Serviço de Gerência", 0.87027272,0.5),"")</f>
        <v/>
      </c>
      <c r="D11" s="39"/>
      <c r="E11" s="39"/>
      <c r="F11" s="39"/>
      <c r="G11" s="39"/>
      <c r="H11" s="39"/>
      <c r="I11" s="86" t="str">
        <f t="shared" ref="I11:I24" si="1">IF($G11*$H11=0,"",$G11*$H11)</f>
        <v/>
      </c>
      <c r="J11" s="87" t="str">
        <f t="shared" ref="J11:J24" si="2">IF($I11="","",IFERROR($I11/15,""))</f>
        <v/>
      </c>
      <c r="K11" s="88" t="str">
        <f t="shared" ref="K11:K24" si="3">IFERROR(($I11/15)*$C11,"")</f>
        <v/>
      </c>
      <c r="N11"/>
    </row>
    <row r="12" spans="1:64" ht="13">
      <c r="A12" s="36"/>
      <c r="B12" s="39"/>
      <c r="C12" s="85" t="str">
        <f t="shared" si="0"/>
        <v/>
      </c>
      <c r="D12" s="39"/>
      <c r="E12" s="39"/>
      <c r="F12" s="39"/>
      <c r="G12" s="39"/>
      <c r="H12" s="39"/>
      <c r="I12" s="86" t="str">
        <f t="shared" si="1"/>
        <v/>
      </c>
      <c r="J12" s="87" t="str">
        <f t="shared" si="2"/>
        <v/>
      </c>
      <c r="K12" s="88" t="str">
        <f t="shared" si="3"/>
        <v/>
      </c>
      <c r="N12"/>
    </row>
    <row r="13" spans="1:64" ht="13">
      <c r="A13" s="36"/>
      <c r="B13" s="39"/>
      <c r="C13" s="85" t="str">
        <f t="shared" si="0"/>
        <v/>
      </c>
      <c r="D13" s="39"/>
      <c r="E13" s="39"/>
      <c r="F13" s="39"/>
      <c r="G13" s="39"/>
      <c r="H13" s="39"/>
      <c r="I13" s="86" t="str">
        <f t="shared" si="1"/>
        <v/>
      </c>
      <c r="J13" s="87" t="str">
        <f t="shared" si="2"/>
        <v/>
      </c>
      <c r="K13" s="88" t="str">
        <f t="shared" si="3"/>
        <v/>
      </c>
      <c r="N13"/>
    </row>
    <row r="14" spans="1:64" ht="13">
      <c r="A14" s="36"/>
      <c r="B14" s="39"/>
      <c r="C14" s="85" t="str">
        <f t="shared" si="0"/>
        <v/>
      </c>
      <c r="D14" s="39"/>
      <c r="E14" s="39"/>
      <c r="F14" s="39"/>
      <c r="G14" s="39"/>
      <c r="H14" s="39"/>
      <c r="I14" s="86" t="str">
        <f t="shared" si="1"/>
        <v/>
      </c>
      <c r="J14" s="87" t="str">
        <f t="shared" si="2"/>
        <v/>
      </c>
      <c r="K14" s="88" t="str">
        <f t="shared" si="3"/>
        <v/>
      </c>
      <c r="N14"/>
    </row>
    <row r="15" spans="1:64" ht="13">
      <c r="A15" s="36"/>
      <c r="B15" s="39"/>
      <c r="C15" s="85" t="str">
        <f t="shared" si="0"/>
        <v/>
      </c>
      <c r="D15" s="39"/>
      <c r="E15" s="39"/>
      <c r="F15" s="39"/>
      <c r="G15" s="39"/>
      <c r="H15" s="39"/>
      <c r="I15" s="86" t="str">
        <f t="shared" si="1"/>
        <v/>
      </c>
      <c r="J15" s="87" t="str">
        <f t="shared" si="2"/>
        <v/>
      </c>
      <c r="K15" s="88" t="str">
        <f t="shared" si="3"/>
        <v/>
      </c>
      <c r="N15"/>
    </row>
    <row r="16" spans="1:64" ht="13">
      <c r="A16" s="36"/>
      <c r="B16" s="39"/>
      <c r="C16" s="85" t="str">
        <f t="shared" si="0"/>
        <v/>
      </c>
      <c r="D16" s="39"/>
      <c r="E16" s="39"/>
      <c r="F16" s="39"/>
      <c r="G16" s="39"/>
      <c r="H16" s="39"/>
      <c r="I16" s="86" t="str">
        <f t="shared" si="1"/>
        <v/>
      </c>
      <c r="J16" s="87" t="str">
        <f t="shared" si="2"/>
        <v/>
      </c>
      <c r="K16" s="88" t="str">
        <f t="shared" si="3"/>
        <v/>
      </c>
      <c r="N16"/>
    </row>
    <row r="17" spans="1:64" ht="13">
      <c r="A17" s="36"/>
      <c r="B17" s="39"/>
      <c r="C17" s="85" t="str">
        <f t="shared" si="0"/>
        <v/>
      </c>
      <c r="D17" s="39"/>
      <c r="E17" s="39"/>
      <c r="F17" s="39"/>
      <c r="G17" s="39"/>
      <c r="H17" s="39"/>
      <c r="I17" s="86" t="str">
        <f t="shared" si="1"/>
        <v/>
      </c>
      <c r="J17" s="87" t="str">
        <f t="shared" si="2"/>
        <v/>
      </c>
      <c r="K17" s="88" t="str">
        <f t="shared" si="3"/>
        <v/>
      </c>
      <c r="N17"/>
    </row>
    <row r="18" spans="1:64" ht="13">
      <c r="A18" s="36"/>
      <c r="B18" s="39"/>
      <c r="C18" s="85" t="str">
        <f t="shared" si="0"/>
        <v/>
      </c>
      <c r="D18" s="39"/>
      <c r="E18" s="39"/>
      <c r="F18" s="39"/>
      <c r="G18" s="39"/>
      <c r="H18" s="39"/>
      <c r="I18" s="86" t="str">
        <f t="shared" si="1"/>
        <v/>
      </c>
      <c r="J18" s="87" t="str">
        <f t="shared" si="2"/>
        <v/>
      </c>
      <c r="K18" s="88" t="str">
        <f t="shared" si="3"/>
        <v/>
      </c>
      <c r="N18"/>
    </row>
    <row r="19" spans="1:64" ht="13">
      <c r="A19" s="36"/>
      <c r="B19" s="39"/>
      <c r="C19" s="85" t="str">
        <f t="shared" si="0"/>
        <v/>
      </c>
      <c r="D19" s="39"/>
      <c r="E19" s="39"/>
      <c r="F19" s="39"/>
      <c r="G19" s="39"/>
      <c r="H19" s="39"/>
      <c r="I19" s="86" t="str">
        <f t="shared" si="1"/>
        <v/>
      </c>
      <c r="J19" s="87" t="str">
        <f t="shared" si="2"/>
        <v/>
      </c>
      <c r="K19" s="88" t="str">
        <f t="shared" si="3"/>
        <v/>
      </c>
      <c r="N19"/>
    </row>
    <row r="20" spans="1:64" ht="13">
      <c r="A20" s="36"/>
      <c r="B20" s="39"/>
      <c r="C20" s="85" t="str">
        <f t="shared" si="0"/>
        <v/>
      </c>
      <c r="D20" s="39"/>
      <c r="E20" s="39"/>
      <c r="F20" s="39"/>
      <c r="G20" s="39"/>
      <c r="H20" s="39"/>
      <c r="I20" s="86" t="str">
        <f t="shared" si="1"/>
        <v/>
      </c>
      <c r="J20" s="87" t="str">
        <f t="shared" si="2"/>
        <v/>
      </c>
      <c r="K20" s="88" t="str">
        <f t="shared" si="3"/>
        <v/>
      </c>
      <c r="N20"/>
    </row>
    <row r="21" spans="1:64" ht="13">
      <c r="A21" s="36"/>
      <c r="B21" s="39"/>
      <c r="C21" s="85" t="str">
        <f t="shared" si="0"/>
        <v/>
      </c>
      <c r="D21" s="39"/>
      <c r="E21" s="39"/>
      <c r="F21" s="39"/>
      <c r="G21" s="39"/>
      <c r="H21" s="39"/>
      <c r="I21" s="86" t="str">
        <f t="shared" si="1"/>
        <v/>
      </c>
      <c r="J21" s="87" t="str">
        <f t="shared" si="2"/>
        <v/>
      </c>
      <c r="K21" s="88" t="str">
        <f t="shared" si="3"/>
        <v/>
      </c>
      <c r="N21"/>
    </row>
    <row r="22" spans="1:64" ht="13">
      <c r="A22" s="36"/>
      <c r="B22" s="39"/>
      <c r="C22" s="85" t="str">
        <f t="shared" si="0"/>
        <v/>
      </c>
      <c r="D22" s="39"/>
      <c r="E22" s="39"/>
      <c r="F22" s="39"/>
      <c r="G22" s="39"/>
      <c r="H22" s="39"/>
      <c r="I22" s="86" t="str">
        <f t="shared" si="1"/>
        <v/>
      </c>
      <c r="J22" s="87" t="str">
        <f t="shared" si="2"/>
        <v/>
      </c>
      <c r="K22" s="88" t="str">
        <f t="shared" si="3"/>
        <v/>
      </c>
      <c r="N22"/>
    </row>
    <row r="23" spans="1:64" ht="13">
      <c r="A23" s="36"/>
      <c r="B23" s="39"/>
      <c r="C23" s="85" t="str">
        <f t="shared" si="0"/>
        <v/>
      </c>
      <c r="D23" s="39"/>
      <c r="E23" s="39"/>
      <c r="F23" s="39"/>
      <c r="G23" s="39"/>
      <c r="H23" s="39"/>
      <c r="I23" s="86" t="str">
        <f t="shared" si="1"/>
        <v/>
      </c>
      <c r="J23" s="87" t="str">
        <f t="shared" si="2"/>
        <v/>
      </c>
      <c r="K23" s="88" t="str">
        <f t="shared" si="3"/>
        <v/>
      </c>
      <c r="N23"/>
    </row>
    <row r="24" spans="1:64" ht="13">
      <c r="A24" s="36"/>
      <c r="B24" s="39"/>
      <c r="C24" s="85" t="str">
        <f t="shared" si="0"/>
        <v/>
      </c>
      <c r="D24" s="39"/>
      <c r="E24" s="39"/>
      <c r="F24" s="39"/>
      <c r="G24" s="39"/>
      <c r="H24" s="39"/>
      <c r="I24" s="86" t="str">
        <f t="shared" si="1"/>
        <v/>
      </c>
      <c r="J24" s="87" t="str">
        <f t="shared" si="2"/>
        <v/>
      </c>
      <c r="K24" s="88" t="str">
        <f t="shared" si="3"/>
        <v/>
      </c>
      <c r="N24"/>
    </row>
    <row r="25" spans="1:64" ht="14">
      <c r="A25" s="217" t="s">
        <v>57</v>
      </c>
      <c r="B25" s="217"/>
      <c r="C25" s="217"/>
      <c r="D25" s="217"/>
      <c r="E25" s="217"/>
      <c r="F25" s="217"/>
      <c r="G25" s="217"/>
      <c r="H25" s="217"/>
      <c r="I25" s="217"/>
      <c r="J25" s="217"/>
      <c r="K25" s="217"/>
      <c r="L25" s="35"/>
      <c r="M25" s="35"/>
      <c r="N25" s="35"/>
      <c r="O25" s="35"/>
      <c r="P25" s="35"/>
      <c r="Q25" s="35"/>
      <c r="R25" s="35"/>
      <c r="S25" s="35"/>
      <c r="T25" s="35"/>
      <c r="U25" s="35"/>
      <c r="V25" s="35"/>
      <c r="W25" s="35"/>
      <c r="X25" s="35"/>
      <c r="Y25" s="35"/>
      <c r="Z25" s="35"/>
      <c r="AA25" s="35"/>
      <c r="AB25" s="35"/>
      <c r="AC25" s="35"/>
      <c r="AD25" s="35"/>
      <c r="AE25" s="35"/>
      <c r="AF25" s="35"/>
      <c r="AG25" s="35"/>
      <c r="AH25" s="35"/>
      <c r="AI25" s="35"/>
      <c r="AJ25" s="35"/>
      <c r="AK25" s="35"/>
      <c r="AL25" s="35"/>
      <c r="AM25" s="35"/>
      <c r="AN25" s="35"/>
      <c r="AO25" s="35"/>
      <c r="AP25" s="35"/>
      <c r="AQ25" s="35"/>
      <c r="AR25" s="35"/>
      <c r="AS25" s="35"/>
      <c r="AT25" s="35"/>
      <c r="AU25" s="35"/>
      <c r="AV25" s="35"/>
      <c r="AW25" s="35"/>
      <c r="AX25" s="35"/>
      <c r="AY25" s="35"/>
      <c r="AZ25" s="35"/>
      <c r="BA25" s="35"/>
      <c r="BB25" s="35"/>
      <c r="BC25" s="35"/>
      <c r="BD25" s="35"/>
      <c r="BE25" s="35"/>
      <c r="BF25" s="35"/>
      <c r="BG25" s="35"/>
      <c r="BH25" s="35"/>
      <c r="BI25" s="35"/>
      <c r="BJ25" s="35"/>
      <c r="BK25" s="35"/>
      <c r="BL25" s="35"/>
    </row>
    <row r="26" spans="1:64" ht="15.5">
      <c r="A26" s="48"/>
      <c r="B26" s="48"/>
      <c r="C26" s="48"/>
      <c r="D26" s="48"/>
      <c r="E26" s="48"/>
      <c r="F26" s="48"/>
      <c r="G26" s="48"/>
      <c r="H26" s="48"/>
      <c r="I26" s="65" t="s">
        <v>76</v>
      </c>
      <c r="J26" s="65"/>
      <c r="K26" s="66">
        <f>SUM($K11:$K24)</f>
        <v>0</v>
      </c>
      <c r="N26"/>
    </row>
  </sheetData>
  <mergeCells count="14">
    <mergeCell ref="A10:K10"/>
    <mergeCell ref="A25:K25"/>
    <mergeCell ref="A5:C6"/>
    <mergeCell ref="D5:E6"/>
    <mergeCell ref="G5:H5"/>
    <mergeCell ref="I5:K5"/>
    <mergeCell ref="G6:H6"/>
    <mergeCell ref="I6:K6"/>
    <mergeCell ref="D1:K1"/>
    <mergeCell ref="G3:H3"/>
    <mergeCell ref="I3:K3"/>
    <mergeCell ref="G4:H4"/>
    <mergeCell ref="I4:K4"/>
    <mergeCell ref="A7:K7"/>
  </mergeCells>
  <dataValidations count="1">
    <dataValidation type="list" operator="equal" allowBlank="1" showErrorMessage="1" sqref="B11:B24">
      <formula1>"Serviço de Atendimento,Serviço de Gerência,Serviço Técnico"</formula1>
      <formula2>0</formula2>
    </dataValidation>
  </dataValidations>
  <pageMargins left="0.78749999999999998" right="0.78749999999999998" top="1.0249999999999999" bottom="1.0249999999999999" header="0.78749999999999998" footer="0.78749999999999998"/>
  <pageSetup paperSize="9" firstPageNumber="0" orientation="portrait" horizontalDpi="300" verticalDpi="300"/>
  <headerFooter>
    <oddHeader>&amp;C&amp;A</oddHeader>
    <oddFooter>&amp;CPágina &amp;P</oddFooter>
  </headerFooter>
  <drawing r:id="rId1"/>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pageSetUpPr fitToPage="1"/>
  </sheetPr>
  <dimension ref="A1:BL110"/>
  <sheetViews>
    <sheetView zoomScaleNormal="100" workbookViewId="0"/>
  </sheetViews>
  <sheetFormatPr defaultColWidth="8.90625" defaultRowHeight="12.5"/>
  <cols>
    <col min="1" max="1" width="5.54296875" style="18" customWidth="1"/>
    <col min="2" max="3" width="9.54296875" style="20" customWidth="1"/>
    <col min="4" max="4" width="17.54296875" style="20" customWidth="1"/>
    <col min="5" max="5" width="18.08984375" style="20" customWidth="1"/>
    <col min="6" max="6" width="23" style="20" customWidth="1"/>
    <col min="7" max="7" width="44" style="21" customWidth="1"/>
    <col min="8" max="8" width="12.36328125" style="18" customWidth="1"/>
    <col min="9" max="10" width="8.36328125" style="19" customWidth="1"/>
    <col min="11" max="12" width="9.08984375" style="19" customWidth="1"/>
    <col min="13" max="13" width="9.6328125" style="19" customWidth="1"/>
    <col min="14" max="22" width="9.08984375" style="19" customWidth="1"/>
    <col min="23" max="64" width="8.90625" style="19" customWidth="1"/>
  </cols>
  <sheetData>
    <row r="1" spans="1:64" ht="69" customHeight="1">
      <c r="A1" s="22" t="s">
        <v>92</v>
      </c>
      <c r="B1" s="22"/>
      <c r="C1" s="69"/>
      <c r="D1" s="69"/>
      <c r="E1" s="213" t="s">
        <v>93</v>
      </c>
      <c r="F1" s="213"/>
      <c r="G1" s="213"/>
      <c r="H1" s="213"/>
      <c r="I1" s="213"/>
      <c r="J1" s="213"/>
      <c r="K1" s="70"/>
      <c r="L1" s="70"/>
      <c r="M1" s="71"/>
      <c r="N1" s="71"/>
      <c r="O1" s="71"/>
      <c r="P1" s="71"/>
      <c r="Q1" s="71"/>
      <c r="R1" s="71"/>
      <c r="S1" s="71"/>
      <c r="T1" s="72"/>
    </row>
    <row r="2" spans="1:64" ht="9" customHeight="1">
      <c r="A2" s="73"/>
      <c r="B2" s="89"/>
      <c r="C2" s="74"/>
      <c r="D2" s="74"/>
      <c r="E2" s="74"/>
      <c r="F2" s="74"/>
      <c r="G2" s="74"/>
      <c r="H2" s="74"/>
      <c r="I2" s="74"/>
      <c r="J2" s="74"/>
      <c r="K2" s="74"/>
    </row>
    <row r="3" spans="1:64" ht="18.649999999999999" customHeight="1">
      <c r="A3" s="72"/>
      <c r="B3" s="24"/>
      <c r="C3" s="24"/>
      <c r="D3" s="24"/>
      <c r="E3" s="24"/>
      <c r="F3" s="24"/>
      <c r="G3" s="75" t="s">
        <v>8</v>
      </c>
      <c r="H3" s="215"/>
      <c r="I3" s="215"/>
      <c r="J3" s="215"/>
    </row>
    <row r="4" spans="1:64" ht="18.649999999999999" customHeight="1">
      <c r="A4" s="72"/>
      <c r="B4" s="24"/>
      <c r="C4" s="24"/>
      <c r="D4" s="24"/>
      <c r="E4" s="24"/>
      <c r="F4" s="24"/>
      <c r="G4" s="75" t="s">
        <v>9</v>
      </c>
      <c r="H4" s="216"/>
      <c r="I4" s="216"/>
      <c r="J4" s="216"/>
    </row>
    <row r="5" spans="1:64" ht="18.649999999999999" customHeight="1">
      <c r="A5" s="219" t="s">
        <v>36</v>
      </c>
      <c r="B5" s="219"/>
      <c r="C5" s="219"/>
      <c r="D5" s="219"/>
      <c r="E5" s="218" t="str">
        <f>TEXT(I110,"#.##0,0#")</f>
        <v>0,0</v>
      </c>
      <c r="F5" s="90"/>
      <c r="G5" s="75" t="s">
        <v>10</v>
      </c>
      <c r="H5" s="215"/>
      <c r="I5" s="215"/>
      <c r="J5" s="215"/>
    </row>
    <row r="6" spans="1:64" ht="18.649999999999999" customHeight="1">
      <c r="A6" s="219"/>
      <c r="B6" s="219"/>
      <c r="C6" s="219"/>
      <c r="D6" s="219"/>
      <c r="E6" s="218"/>
      <c r="F6" s="90"/>
      <c r="G6" s="75" t="s">
        <v>11</v>
      </c>
      <c r="H6" s="216"/>
      <c r="I6" s="216"/>
      <c r="J6" s="216"/>
    </row>
    <row r="7" spans="1:64" ht="9" customHeight="1">
      <c r="A7" s="76"/>
      <c r="B7" s="76"/>
      <c r="C7" s="76"/>
      <c r="D7" s="76"/>
      <c r="E7" s="76"/>
      <c r="F7" s="76"/>
      <c r="G7" s="77"/>
      <c r="H7" s="77"/>
      <c r="I7" s="77"/>
      <c r="J7" s="77"/>
    </row>
    <row r="8" spans="1:64" ht="26.4" customHeight="1">
      <c r="A8" s="224" t="s">
        <v>37</v>
      </c>
      <c r="B8" s="225" t="s">
        <v>40</v>
      </c>
      <c r="C8" s="225" t="s">
        <v>41</v>
      </c>
      <c r="D8" s="225" t="s">
        <v>42</v>
      </c>
      <c r="E8" s="226" t="s">
        <v>43</v>
      </c>
      <c r="F8" s="226"/>
      <c r="G8" s="227" t="s">
        <v>94</v>
      </c>
      <c r="H8" s="228" t="s">
        <v>84</v>
      </c>
      <c r="I8" s="228"/>
      <c r="J8" s="228" t="s">
        <v>56</v>
      </c>
      <c r="K8" s="60"/>
      <c r="L8" s="60"/>
      <c r="M8" s="60"/>
      <c r="N8" s="60"/>
      <c r="O8" s="60"/>
      <c r="P8" s="60"/>
      <c r="Q8" s="60"/>
      <c r="R8" s="60"/>
      <c r="S8" s="60"/>
      <c r="T8" s="60"/>
      <c r="U8" s="60"/>
      <c r="V8" s="60"/>
      <c r="W8" s="60"/>
      <c r="X8" s="60"/>
      <c r="Y8" s="60"/>
      <c r="Z8" s="60"/>
      <c r="AA8" s="60"/>
      <c r="AB8" s="60"/>
      <c r="AC8" s="60"/>
      <c r="AD8" s="60"/>
      <c r="AE8" s="60"/>
      <c r="AF8" s="60"/>
      <c r="AG8" s="60"/>
      <c r="AH8" s="60"/>
      <c r="AI8" s="60"/>
      <c r="AJ8" s="60"/>
      <c r="AK8" s="60"/>
      <c r="AL8" s="60"/>
      <c r="AM8" s="60"/>
      <c r="AN8" s="60"/>
      <c r="AO8" s="60"/>
      <c r="AP8" s="60"/>
      <c r="AQ8" s="60"/>
      <c r="AR8" s="60"/>
      <c r="AS8" s="60"/>
      <c r="AT8" s="60"/>
      <c r="AU8" s="60"/>
      <c r="AV8" s="60"/>
      <c r="AW8" s="60"/>
      <c r="AX8" s="60"/>
      <c r="AY8" s="60"/>
      <c r="AZ8" s="60"/>
      <c r="BA8" s="60"/>
      <c r="BB8" s="60"/>
      <c r="BC8" s="60"/>
      <c r="BD8" s="60"/>
      <c r="BE8" s="60"/>
      <c r="BF8" s="60"/>
      <c r="BG8" s="60"/>
      <c r="BH8" s="60"/>
      <c r="BI8" s="60"/>
      <c r="BJ8" s="60"/>
      <c r="BK8" s="60"/>
      <c r="BL8" s="60"/>
    </row>
    <row r="9" spans="1:64" ht="15.5">
      <c r="A9" s="224"/>
      <c r="B9" s="225"/>
      <c r="C9" s="225"/>
      <c r="D9" s="225"/>
      <c r="E9" s="226"/>
      <c r="F9" s="226"/>
      <c r="G9" s="227"/>
      <c r="H9" s="33" t="s">
        <v>46</v>
      </c>
      <c r="I9" s="33" t="s">
        <v>55</v>
      </c>
      <c r="J9" s="228"/>
      <c r="K9" s="34"/>
      <c r="L9" s="34"/>
      <c r="M9" s="34"/>
      <c r="N9" s="34"/>
      <c r="O9" s="34"/>
      <c r="P9" s="34"/>
      <c r="Q9" s="34"/>
      <c r="R9" s="34"/>
      <c r="S9" s="34"/>
      <c r="T9" s="34"/>
      <c r="U9" s="34"/>
      <c r="V9" s="34"/>
      <c r="W9" s="34"/>
      <c r="X9" s="34"/>
      <c r="Y9" s="34"/>
      <c r="Z9" s="34"/>
      <c r="AA9" s="34"/>
      <c r="AB9" s="34"/>
      <c r="AC9" s="34"/>
      <c r="AD9" s="34"/>
      <c r="AE9" s="34"/>
      <c r="AF9" s="34"/>
      <c r="AG9" s="34"/>
      <c r="AH9" s="34"/>
      <c r="AI9" s="34"/>
      <c r="AJ9" s="34"/>
      <c r="AK9" s="34"/>
      <c r="AL9" s="34"/>
      <c r="AM9" s="34"/>
      <c r="AN9" s="34"/>
      <c r="AO9" s="34"/>
      <c r="AP9" s="34"/>
      <c r="AQ9" s="34"/>
      <c r="AR9" s="34"/>
      <c r="AS9" s="34"/>
      <c r="AT9" s="34"/>
      <c r="AU9" s="34"/>
      <c r="AV9" s="34"/>
      <c r="AW9" s="34"/>
      <c r="AX9" s="34"/>
      <c r="AY9" s="34"/>
      <c r="AZ9" s="34"/>
      <c r="BA9" s="34"/>
      <c r="BB9" s="34"/>
      <c r="BC9" s="34"/>
      <c r="BD9" s="34"/>
      <c r="BE9" s="34"/>
      <c r="BF9" s="34"/>
      <c r="BG9" s="34"/>
      <c r="BH9" s="34"/>
      <c r="BI9" s="34"/>
      <c r="BJ9" s="34"/>
      <c r="BK9" s="34"/>
      <c r="BL9" s="34"/>
    </row>
    <row r="10" spans="1:64" ht="14">
      <c r="A10" s="217" t="s">
        <v>57</v>
      </c>
      <c r="B10" s="217"/>
      <c r="C10" s="217"/>
      <c r="D10" s="217"/>
      <c r="E10" s="217"/>
      <c r="F10" s="217"/>
      <c r="G10" s="217"/>
      <c r="H10" s="217"/>
      <c r="I10" s="217"/>
      <c r="J10" s="217"/>
      <c r="K10" s="35"/>
      <c r="L10" s="35"/>
      <c r="M10" s="35"/>
      <c r="N10" s="35"/>
      <c r="O10" s="35"/>
      <c r="P10" s="35"/>
      <c r="Q10" s="35"/>
      <c r="R10" s="35"/>
      <c r="S10" s="35"/>
      <c r="T10" s="35"/>
      <c r="U10" s="35"/>
      <c r="V10" s="35"/>
      <c r="W10" s="35"/>
      <c r="X10" s="35"/>
      <c r="Y10" s="35"/>
      <c r="Z10" s="35"/>
      <c r="AA10" s="35"/>
      <c r="AB10" s="35"/>
      <c r="AC10" s="35"/>
      <c r="AD10" s="35"/>
      <c r="AE10" s="35"/>
      <c r="AF10" s="35"/>
      <c r="AG10" s="35"/>
      <c r="AH10" s="35"/>
      <c r="AI10" s="35"/>
      <c r="AJ10" s="35"/>
      <c r="AK10" s="35"/>
      <c r="AL10" s="35"/>
      <c r="AM10" s="35"/>
      <c r="AN10" s="35"/>
      <c r="AO10" s="35"/>
      <c r="AP10" s="35"/>
      <c r="AQ10" s="35"/>
      <c r="AR10" s="35"/>
      <c r="AS10" s="35"/>
      <c r="AT10" s="35"/>
      <c r="AU10" s="35"/>
      <c r="AV10" s="35"/>
      <c r="AW10" s="35"/>
      <c r="AX10" s="35"/>
      <c r="AY10" s="35"/>
      <c r="AZ10" s="35"/>
      <c r="BA10" s="35"/>
      <c r="BB10" s="35"/>
      <c r="BC10" s="35"/>
      <c r="BD10" s="35"/>
      <c r="BE10" s="35"/>
      <c r="BF10" s="35"/>
      <c r="BG10" s="35"/>
      <c r="BH10" s="35"/>
      <c r="BI10" s="35"/>
      <c r="BJ10" s="35"/>
      <c r="BK10" s="35"/>
      <c r="BL10" s="35"/>
    </row>
    <row r="11" spans="1:64" ht="14">
      <c r="A11" s="36"/>
      <c r="B11" s="39"/>
      <c r="C11" s="39"/>
      <c r="D11" s="39"/>
      <c r="E11" s="229"/>
      <c r="F11" s="229"/>
      <c r="G11" s="40"/>
      <c r="H11" s="39"/>
      <c r="I11" s="91" t="str">
        <f t="shared" ref="I11:I42" si="0">IF(H11="ALI",35,IF(H11="AIE",15,""))</f>
        <v/>
      </c>
      <c r="J11" s="39"/>
      <c r="K11" s="35"/>
      <c r="L11" s="35"/>
      <c r="M11" s="35"/>
      <c r="N11" s="35"/>
      <c r="O11" s="35"/>
      <c r="P11" s="35"/>
      <c r="Q11" s="35"/>
      <c r="R11" s="35"/>
      <c r="S11" s="35"/>
      <c r="T11" s="35"/>
      <c r="U11" s="35"/>
      <c r="V11" s="35"/>
      <c r="W11" s="35"/>
      <c r="X11" s="35"/>
      <c r="Y11" s="35"/>
      <c r="Z11" s="35"/>
      <c r="AA11" s="35"/>
      <c r="AB11" s="35"/>
      <c r="AC11" s="35"/>
      <c r="AD11" s="35"/>
      <c r="AE11" s="35"/>
      <c r="AF11" s="35"/>
      <c r="AG11" s="35"/>
      <c r="AH11" s="35"/>
      <c r="AI11" s="35"/>
      <c r="AJ11" s="35"/>
      <c r="AK11" s="35"/>
      <c r="AL11" s="35"/>
      <c r="AM11" s="35"/>
      <c r="AN11" s="35"/>
      <c r="AO11" s="35"/>
      <c r="AP11" s="35"/>
      <c r="AQ11" s="35"/>
      <c r="AR11" s="35"/>
      <c r="AS11" s="35"/>
      <c r="AT11" s="35"/>
      <c r="AU11" s="35"/>
      <c r="AV11" s="35"/>
      <c r="AW11" s="35"/>
      <c r="AX11" s="35"/>
      <c r="AY11" s="35"/>
      <c r="AZ11" s="35"/>
      <c r="BA11" s="35"/>
      <c r="BB11" s="35"/>
      <c r="BC11" s="35"/>
      <c r="BD11" s="35"/>
      <c r="BE11" s="35"/>
      <c r="BF11" s="35"/>
      <c r="BG11" s="35"/>
      <c r="BH11" s="35"/>
      <c r="BI11" s="35"/>
      <c r="BJ11" s="35"/>
      <c r="BK11" s="35"/>
      <c r="BL11" s="35"/>
    </row>
    <row r="12" spans="1:64" ht="14">
      <c r="A12" s="36"/>
      <c r="B12" s="39"/>
      <c r="C12" s="39"/>
      <c r="D12" s="39"/>
      <c r="E12" s="229"/>
      <c r="F12" s="229"/>
      <c r="G12" s="40"/>
      <c r="H12" s="39"/>
      <c r="I12" s="91" t="str">
        <f t="shared" si="0"/>
        <v/>
      </c>
      <c r="J12" s="39"/>
      <c r="K12" s="35"/>
      <c r="L12" s="35"/>
      <c r="M12" s="35"/>
      <c r="N12" s="35"/>
      <c r="O12" s="35"/>
      <c r="P12" s="35"/>
      <c r="Q12" s="35"/>
      <c r="R12" s="35"/>
      <c r="S12" s="35"/>
      <c r="T12" s="35"/>
      <c r="U12" s="35"/>
      <c r="V12" s="35"/>
      <c r="W12" s="35"/>
      <c r="X12" s="35"/>
      <c r="Y12" s="35"/>
      <c r="Z12" s="35"/>
      <c r="AA12" s="35"/>
      <c r="AB12" s="35"/>
      <c r="AC12" s="35"/>
      <c r="AD12" s="35"/>
      <c r="AE12" s="35"/>
      <c r="AF12" s="35"/>
      <c r="AG12" s="35"/>
      <c r="AH12" s="35"/>
      <c r="AI12" s="35"/>
      <c r="AJ12" s="35"/>
      <c r="AK12" s="35"/>
      <c r="AL12" s="35"/>
      <c r="AM12" s="35"/>
      <c r="AN12" s="35"/>
      <c r="AO12" s="35"/>
      <c r="AP12" s="35"/>
      <c r="AQ12" s="35"/>
      <c r="AR12" s="35"/>
      <c r="AS12" s="35"/>
      <c r="AT12" s="35"/>
      <c r="AU12" s="35"/>
      <c r="AV12" s="35"/>
      <c r="AW12" s="35"/>
      <c r="AX12" s="35"/>
      <c r="AY12" s="35"/>
      <c r="AZ12" s="35"/>
      <c r="BA12" s="35"/>
      <c r="BB12" s="35"/>
      <c r="BC12" s="35"/>
      <c r="BD12" s="35"/>
      <c r="BE12" s="35"/>
      <c r="BF12" s="35"/>
      <c r="BG12" s="35"/>
      <c r="BH12" s="35"/>
      <c r="BI12" s="35"/>
      <c r="BJ12" s="35"/>
      <c r="BK12" s="35"/>
      <c r="BL12" s="35"/>
    </row>
    <row r="13" spans="1:64" ht="14">
      <c r="A13" s="36"/>
      <c r="B13" s="39"/>
      <c r="C13" s="39"/>
      <c r="D13" s="39"/>
      <c r="E13" s="229"/>
      <c r="F13" s="229"/>
      <c r="G13" s="40"/>
      <c r="H13" s="39"/>
      <c r="I13" s="91" t="str">
        <f t="shared" si="0"/>
        <v/>
      </c>
      <c r="J13" s="39"/>
      <c r="K13" s="35"/>
      <c r="L13" s="35"/>
      <c r="M13" s="35"/>
      <c r="N13" s="35"/>
      <c r="O13" s="35"/>
      <c r="P13" s="35"/>
      <c r="Q13" s="35"/>
      <c r="R13" s="35"/>
      <c r="S13" s="35"/>
      <c r="T13" s="35"/>
      <c r="U13" s="35"/>
      <c r="V13" s="35"/>
      <c r="W13" s="35"/>
      <c r="X13" s="35"/>
      <c r="Y13" s="35"/>
      <c r="Z13" s="35"/>
      <c r="AA13" s="35"/>
      <c r="AB13" s="35"/>
      <c r="AC13" s="35"/>
      <c r="AD13" s="35"/>
      <c r="AE13" s="35"/>
      <c r="AF13" s="35"/>
      <c r="AG13" s="35"/>
      <c r="AH13" s="35"/>
      <c r="AI13" s="35"/>
      <c r="AJ13" s="35"/>
      <c r="AK13" s="35"/>
      <c r="AL13" s="35"/>
      <c r="AM13" s="35"/>
      <c r="AN13" s="35"/>
      <c r="AO13" s="35"/>
      <c r="AP13" s="35"/>
      <c r="AQ13" s="35"/>
      <c r="AR13" s="35"/>
      <c r="AS13" s="35"/>
      <c r="AT13" s="35"/>
      <c r="AU13" s="35"/>
      <c r="AV13" s="35"/>
      <c r="AW13" s="35"/>
      <c r="AX13" s="35"/>
      <c r="AY13" s="35"/>
      <c r="AZ13" s="35"/>
      <c r="BA13" s="35"/>
      <c r="BB13" s="35"/>
      <c r="BC13" s="35"/>
      <c r="BD13" s="35"/>
      <c r="BE13" s="35"/>
      <c r="BF13" s="35"/>
      <c r="BG13" s="35"/>
      <c r="BH13" s="35"/>
      <c r="BI13" s="35"/>
      <c r="BJ13" s="35"/>
      <c r="BK13" s="35"/>
      <c r="BL13" s="35"/>
    </row>
    <row r="14" spans="1:64" ht="14">
      <c r="A14" s="36"/>
      <c r="B14" s="39"/>
      <c r="C14" s="39"/>
      <c r="D14" s="39"/>
      <c r="E14" s="229"/>
      <c r="F14" s="229"/>
      <c r="G14" s="40"/>
      <c r="H14" s="39"/>
      <c r="I14" s="91" t="str">
        <f t="shared" si="0"/>
        <v/>
      </c>
      <c r="J14" s="39"/>
      <c r="K14" s="35"/>
      <c r="L14" s="35"/>
      <c r="M14" s="35"/>
      <c r="N14" s="35"/>
      <c r="O14" s="35"/>
      <c r="P14" s="35"/>
      <c r="Q14" s="35"/>
      <c r="R14" s="35"/>
      <c r="S14" s="35"/>
      <c r="T14" s="35"/>
      <c r="U14" s="35"/>
      <c r="V14" s="35"/>
      <c r="W14" s="35"/>
      <c r="X14" s="35"/>
      <c r="Y14" s="35"/>
      <c r="Z14" s="35"/>
      <c r="AA14" s="35"/>
      <c r="AB14" s="35"/>
      <c r="AC14" s="35"/>
      <c r="AD14" s="35"/>
      <c r="AE14" s="35"/>
      <c r="AF14" s="35"/>
      <c r="AG14" s="35"/>
      <c r="AH14" s="35"/>
      <c r="AI14" s="35"/>
      <c r="AJ14" s="35"/>
      <c r="AK14" s="35"/>
      <c r="AL14" s="35"/>
      <c r="AM14" s="35"/>
      <c r="AN14" s="35"/>
      <c r="AO14" s="35"/>
      <c r="AP14" s="35"/>
      <c r="AQ14" s="35"/>
      <c r="AR14" s="35"/>
      <c r="AS14" s="35"/>
      <c r="AT14" s="35"/>
      <c r="AU14" s="35"/>
      <c r="AV14" s="35"/>
      <c r="AW14" s="35"/>
      <c r="AX14" s="35"/>
      <c r="AY14" s="35"/>
      <c r="AZ14" s="35"/>
      <c r="BA14" s="35"/>
      <c r="BB14" s="35"/>
      <c r="BC14" s="35"/>
      <c r="BD14" s="35"/>
      <c r="BE14" s="35"/>
      <c r="BF14" s="35"/>
      <c r="BG14" s="35"/>
      <c r="BH14" s="35"/>
      <c r="BI14" s="35"/>
      <c r="BJ14" s="35"/>
      <c r="BK14" s="35"/>
      <c r="BL14" s="35"/>
    </row>
    <row r="15" spans="1:64" ht="14">
      <c r="A15" s="36"/>
      <c r="B15" s="39"/>
      <c r="C15" s="39"/>
      <c r="D15" s="39"/>
      <c r="E15" s="229"/>
      <c r="F15" s="229"/>
      <c r="G15" s="40"/>
      <c r="H15" s="39"/>
      <c r="I15" s="91" t="str">
        <f t="shared" si="0"/>
        <v/>
      </c>
      <c r="J15" s="39"/>
      <c r="K15" s="35"/>
      <c r="L15" s="35"/>
      <c r="M15" s="35"/>
      <c r="N15" s="35"/>
      <c r="O15" s="35"/>
      <c r="P15" s="35"/>
      <c r="Q15" s="35"/>
      <c r="R15" s="35"/>
      <c r="S15" s="35"/>
      <c r="T15" s="35"/>
      <c r="U15" s="35"/>
      <c r="V15" s="35"/>
      <c r="W15" s="35"/>
      <c r="X15" s="35"/>
      <c r="Y15" s="35"/>
      <c r="Z15" s="35"/>
      <c r="AA15" s="35"/>
      <c r="AB15" s="35"/>
      <c r="AC15" s="35"/>
      <c r="AD15" s="35"/>
      <c r="AE15" s="35"/>
      <c r="AF15" s="35"/>
      <c r="AG15" s="35"/>
      <c r="AH15" s="35"/>
      <c r="AI15" s="35"/>
      <c r="AJ15" s="35"/>
      <c r="AK15" s="35"/>
      <c r="AL15" s="35"/>
      <c r="AM15" s="35"/>
      <c r="AN15" s="35"/>
      <c r="AO15" s="35"/>
      <c r="AP15" s="35"/>
      <c r="AQ15" s="35"/>
      <c r="AR15" s="35"/>
      <c r="AS15" s="35"/>
      <c r="AT15" s="35"/>
      <c r="AU15" s="35"/>
      <c r="AV15" s="35"/>
      <c r="AW15" s="35"/>
      <c r="AX15" s="35"/>
      <c r="AY15" s="35"/>
      <c r="AZ15" s="35"/>
      <c r="BA15" s="35"/>
      <c r="BB15" s="35"/>
      <c r="BC15" s="35"/>
      <c r="BD15" s="35"/>
      <c r="BE15" s="35"/>
      <c r="BF15" s="35"/>
      <c r="BG15" s="35"/>
      <c r="BH15" s="35"/>
      <c r="BI15" s="35"/>
      <c r="BJ15" s="35"/>
      <c r="BK15" s="35"/>
      <c r="BL15" s="35"/>
    </row>
    <row r="16" spans="1:64" ht="14">
      <c r="A16" s="36"/>
      <c r="B16" s="39"/>
      <c r="C16" s="39"/>
      <c r="D16" s="39"/>
      <c r="E16" s="229"/>
      <c r="F16" s="229"/>
      <c r="G16" s="40"/>
      <c r="H16" s="39"/>
      <c r="I16" s="91" t="str">
        <f t="shared" si="0"/>
        <v/>
      </c>
      <c r="J16" s="39"/>
      <c r="K16" s="35"/>
      <c r="L16" s="35"/>
      <c r="M16" s="35"/>
      <c r="N16" s="35"/>
      <c r="O16" s="35"/>
      <c r="P16" s="35"/>
      <c r="Q16" s="35"/>
      <c r="R16" s="35"/>
      <c r="S16" s="35"/>
      <c r="T16" s="35"/>
      <c r="U16" s="35"/>
      <c r="V16" s="35"/>
      <c r="W16" s="35"/>
      <c r="X16" s="35"/>
      <c r="Y16" s="35"/>
      <c r="Z16" s="35"/>
      <c r="AA16" s="35"/>
      <c r="AB16" s="35"/>
      <c r="AC16" s="35"/>
      <c r="AD16" s="35"/>
      <c r="AE16" s="35"/>
      <c r="AF16" s="35"/>
      <c r="AG16" s="35"/>
      <c r="AH16" s="35"/>
      <c r="AI16" s="35"/>
      <c r="AJ16" s="35"/>
      <c r="AK16" s="35"/>
      <c r="AL16" s="35"/>
      <c r="AM16" s="35"/>
      <c r="AN16" s="35"/>
      <c r="AO16" s="35"/>
      <c r="AP16" s="35"/>
      <c r="AQ16" s="35"/>
      <c r="AR16" s="35"/>
      <c r="AS16" s="35"/>
      <c r="AT16" s="35"/>
      <c r="AU16" s="35"/>
      <c r="AV16" s="35"/>
      <c r="AW16" s="35"/>
      <c r="AX16" s="35"/>
      <c r="AY16" s="35"/>
      <c r="AZ16" s="35"/>
      <c r="BA16" s="35"/>
      <c r="BB16" s="35"/>
      <c r="BC16" s="35"/>
      <c r="BD16" s="35"/>
      <c r="BE16" s="35"/>
      <c r="BF16" s="35"/>
      <c r="BG16" s="35"/>
      <c r="BH16" s="35"/>
      <c r="BI16" s="35"/>
      <c r="BJ16" s="35"/>
      <c r="BK16" s="35"/>
      <c r="BL16" s="35"/>
    </row>
    <row r="17" spans="1:64" ht="14">
      <c r="A17" s="36"/>
      <c r="B17" s="39"/>
      <c r="C17" s="39"/>
      <c r="D17" s="39"/>
      <c r="E17" s="229"/>
      <c r="F17" s="229"/>
      <c r="G17" s="40"/>
      <c r="H17" s="39"/>
      <c r="I17" s="91" t="str">
        <f t="shared" si="0"/>
        <v/>
      </c>
      <c r="J17" s="39"/>
      <c r="K17" s="35"/>
      <c r="L17" s="35"/>
      <c r="M17" s="35"/>
      <c r="N17" s="35"/>
      <c r="O17" s="35"/>
      <c r="P17" s="35"/>
      <c r="Q17" s="35"/>
      <c r="R17" s="35"/>
      <c r="S17" s="35"/>
      <c r="T17" s="35"/>
      <c r="U17" s="35"/>
      <c r="V17" s="35"/>
      <c r="W17" s="35"/>
      <c r="X17" s="35"/>
      <c r="Y17" s="35"/>
      <c r="Z17" s="35"/>
      <c r="AA17" s="35"/>
      <c r="AB17" s="35"/>
      <c r="AC17" s="35"/>
      <c r="AD17" s="35"/>
      <c r="AE17" s="35"/>
      <c r="AF17" s="35"/>
      <c r="AG17" s="35"/>
      <c r="AH17" s="35"/>
      <c r="AI17" s="35"/>
      <c r="AJ17" s="35"/>
      <c r="AK17" s="35"/>
      <c r="AL17" s="35"/>
      <c r="AM17" s="35"/>
      <c r="AN17" s="35"/>
      <c r="AO17" s="35"/>
      <c r="AP17" s="35"/>
      <c r="AQ17" s="35"/>
      <c r="AR17" s="35"/>
      <c r="AS17" s="35"/>
      <c r="AT17" s="35"/>
      <c r="AU17" s="35"/>
      <c r="AV17" s="35"/>
      <c r="AW17" s="35"/>
      <c r="AX17" s="35"/>
      <c r="AY17" s="35"/>
      <c r="AZ17" s="35"/>
      <c r="BA17" s="35"/>
      <c r="BB17" s="35"/>
      <c r="BC17" s="35"/>
      <c r="BD17" s="35"/>
      <c r="BE17" s="35"/>
      <c r="BF17" s="35"/>
      <c r="BG17" s="35"/>
      <c r="BH17" s="35"/>
      <c r="BI17" s="35"/>
      <c r="BJ17" s="35"/>
      <c r="BK17" s="35"/>
      <c r="BL17" s="35"/>
    </row>
    <row r="18" spans="1:64" ht="14">
      <c r="A18" s="36"/>
      <c r="B18" s="39"/>
      <c r="C18" s="39"/>
      <c r="D18" s="39"/>
      <c r="E18" s="229"/>
      <c r="F18" s="229"/>
      <c r="G18" s="40"/>
      <c r="H18" s="39"/>
      <c r="I18" s="91" t="str">
        <f t="shared" si="0"/>
        <v/>
      </c>
      <c r="J18" s="39"/>
      <c r="K18" s="35"/>
      <c r="L18" s="35"/>
      <c r="M18" s="35"/>
      <c r="N18" s="35"/>
      <c r="O18" s="35"/>
      <c r="P18" s="35"/>
      <c r="Q18" s="35"/>
      <c r="R18" s="35"/>
      <c r="S18" s="35"/>
      <c r="T18" s="35"/>
      <c r="U18" s="35"/>
      <c r="V18" s="35"/>
      <c r="W18" s="35"/>
      <c r="X18" s="35"/>
      <c r="Y18" s="35"/>
      <c r="Z18" s="35"/>
      <c r="AA18" s="35"/>
      <c r="AB18" s="35"/>
      <c r="AC18" s="35"/>
      <c r="AD18" s="35"/>
      <c r="AE18" s="35"/>
      <c r="AF18" s="35"/>
      <c r="AG18" s="35"/>
      <c r="AH18" s="35"/>
      <c r="AI18" s="35"/>
      <c r="AJ18" s="35"/>
      <c r="AK18" s="35"/>
      <c r="AL18" s="35"/>
      <c r="AM18" s="35"/>
      <c r="AN18" s="35"/>
      <c r="AO18" s="35"/>
      <c r="AP18" s="35"/>
      <c r="AQ18" s="35"/>
      <c r="AR18" s="35"/>
      <c r="AS18" s="35"/>
      <c r="AT18" s="35"/>
      <c r="AU18" s="35"/>
      <c r="AV18" s="35"/>
      <c r="AW18" s="35"/>
      <c r="AX18" s="35"/>
      <c r="AY18" s="35"/>
      <c r="AZ18" s="35"/>
      <c r="BA18" s="35"/>
      <c r="BB18" s="35"/>
      <c r="BC18" s="35"/>
      <c r="BD18" s="35"/>
      <c r="BE18" s="35"/>
      <c r="BF18" s="35"/>
      <c r="BG18" s="35"/>
      <c r="BH18" s="35"/>
      <c r="BI18" s="35"/>
      <c r="BJ18" s="35"/>
      <c r="BK18" s="35"/>
      <c r="BL18" s="35"/>
    </row>
    <row r="19" spans="1:64" ht="14">
      <c r="A19" s="36"/>
      <c r="B19" s="39"/>
      <c r="C19" s="39"/>
      <c r="D19" s="39"/>
      <c r="E19" s="229"/>
      <c r="F19" s="229"/>
      <c r="G19" s="40"/>
      <c r="H19" s="39"/>
      <c r="I19" s="91" t="str">
        <f t="shared" si="0"/>
        <v/>
      </c>
      <c r="J19" s="39"/>
      <c r="K19" s="35"/>
      <c r="L19" s="35"/>
      <c r="M19" s="35"/>
      <c r="N19" s="35"/>
      <c r="O19" s="35"/>
      <c r="P19" s="35"/>
      <c r="Q19" s="35"/>
      <c r="R19" s="35"/>
      <c r="S19" s="35"/>
      <c r="T19" s="35"/>
      <c r="U19" s="35"/>
      <c r="V19" s="35"/>
      <c r="W19" s="35"/>
      <c r="X19" s="35"/>
      <c r="Y19" s="35"/>
      <c r="Z19" s="35"/>
      <c r="AA19" s="35"/>
      <c r="AB19" s="35"/>
      <c r="AC19" s="35"/>
      <c r="AD19" s="35"/>
      <c r="AE19" s="35"/>
      <c r="AF19" s="35"/>
      <c r="AG19" s="35"/>
      <c r="AH19" s="35"/>
      <c r="AI19" s="35"/>
      <c r="AJ19" s="35"/>
      <c r="AK19" s="35"/>
      <c r="AL19" s="35"/>
      <c r="AM19" s="35"/>
      <c r="AN19" s="35"/>
      <c r="AO19" s="35"/>
      <c r="AP19" s="35"/>
      <c r="AQ19" s="35"/>
      <c r="AR19" s="35"/>
      <c r="AS19" s="35"/>
      <c r="AT19" s="35"/>
      <c r="AU19" s="35"/>
      <c r="AV19" s="35"/>
      <c r="AW19" s="35"/>
      <c r="AX19" s="35"/>
      <c r="AY19" s="35"/>
      <c r="AZ19" s="35"/>
      <c r="BA19" s="35"/>
      <c r="BB19" s="35"/>
      <c r="BC19" s="35"/>
      <c r="BD19" s="35"/>
      <c r="BE19" s="35"/>
      <c r="BF19" s="35"/>
      <c r="BG19" s="35"/>
      <c r="BH19" s="35"/>
      <c r="BI19" s="35"/>
      <c r="BJ19" s="35"/>
      <c r="BK19" s="35"/>
      <c r="BL19" s="35"/>
    </row>
    <row r="20" spans="1:64" ht="14">
      <c r="A20" s="36"/>
      <c r="B20" s="39"/>
      <c r="C20" s="39"/>
      <c r="D20" s="39"/>
      <c r="E20" s="229"/>
      <c r="F20" s="229"/>
      <c r="G20" s="40"/>
      <c r="H20" s="39"/>
      <c r="I20" s="91" t="str">
        <f t="shared" si="0"/>
        <v/>
      </c>
      <c r="J20" s="39"/>
      <c r="K20" s="35"/>
      <c r="L20" s="35"/>
      <c r="M20" s="35"/>
      <c r="N20" s="35"/>
      <c r="O20" s="35"/>
      <c r="P20" s="35"/>
      <c r="Q20" s="35"/>
      <c r="R20" s="35"/>
      <c r="S20" s="35"/>
      <c r="T20" s="35"/>
      <c r="U20" s="35"/>
      <c r="V20" s="35"/>
      <c r="W20" s="35"/>
      <c r="X20" s="35"/>
      <c r="Y20" s="35"/>
      <c r="Z20" s="35"/>
      <c r="AA20" s="35"/>
      <c r="AB20" s="35"/>
      <c r="AC20" s="35"/>
      <c r="AD20" s="35"/>
      <c r="AE20" s="35"/>
      <c r="AF20" s="35"/>
      <c r="AG20" s="35"/>
      <c r="AH20" s="35"/>
      <c r="AI20" s="35"/>
      <c r="AJ20" s="35"/>
      <c r="AK20" s="35"/>
      <c r="AL20" s="35"/>
      <c r="AM20" s="35"/>
      <c r="AN20" s="35"/>
      <c r="AO20" s="35"/>
      <c r="AP20" s="35"/>
      <c r="AQ20" s="35"/>
      <c r="AR20" s="35"/>
      <c r="AS20" s="35"/>
      <c r="AT20" s="35"/>
      <c r="AU20" s="35"/>
      <c r="AV20" s="35"/>
      <c r="AW20" s="35"/>
      <c r="AX20" s="35"/>
      <c r="AY20" s="35"/>
      <c r="AZ20" s="35"/>
      <c r="BA20" s="35"/>
      <c r="BB20" s="35"/>
      <c r="BC20" s="35"/>
      <c r="BD20" s="35"/>
      <c r="BE20" s="35"/>
      <c r="BF20" s="35"/>
      <c r="BG20" s="35"/>
      <c r="BH20" s="35"/>
      <c r="BI20" s="35"/>
      <c r="BJ20" s="35"/>
      <c r="BK20" s="35"/>
      <c r="BL20" s="35"/>
    </row>
    <row r="21" spans="1:64" ht="14">
      <c r="A21" s="36"/>
      <c r="B21" s="39"/>
      <c r="C21" s="39"/>
      <c r="D21" s="39"/>
      <c r="E21" s="229"/>
      <c r="F21" s="229"/>
      <c r="G21" s="40"/>
      <c r="H21" s="39"/>
      <c r="I21" s="91" t="str">
        <f t="shared" si="0"/>
        <v/>
      </c>
      <c r="J21" s="39"/>
      <c r="K21" s="35"/>
      <c r="L21" s="35"/>
      <c r="M21" s="35"/>
      <c r="N21" s="35"/>
      <c r="O21" s="35"/>
      <c r="P21" s="35"/>
      <c r="Q21" s="35"/>
      <c r="R21" s="35"/>
      <c r="S21" s="35"/>
      <c r="T21" s="35"/>
      <c r="U21" s="35"/>
      <c r="V21" s="35"/>
      <c r="W21" s="35"/>
      <c r="X21" s="35"/>
      <c r="Y21" s="35"/>
      <c r="Z21" s="35"/>
      <c r="AA21" s="35"/>
      <c r="AB21" s="35"/>
      <c r="AC21" s="35"/>
      <c r="AD21" s="35"/>
      <c r="AE21" s="35"/>
      <c r="AF21" s="35"/>
      <c r="AG21" s="35"/>
      <c r="AH21" s="35"/>
      <c r="AI21" s="35"/>
      <c r="AJ21" s="35"/>
      <c r="AK21" s="35"/>
      <c r="AL21" s="35"/>
      <c r="AM21" s="35"/>
      <c r="AN21" s="35"/>
      <c r="AO21" s="35"/>
      <c r="AP21" s="35"/>
      <c r="AQ21" s="35"/>
      <c r="AR21" s="35"/>
      <c r="AS21" s="35"/>
      <c r="AT21" s="35"/>
      <c r="AU21" s="35"/>
      <c r="AV21" s="35"/>
      <c r="AW21" s="35"/>
      <c r="AX21" s="35"/>
      <c r="AY21" s="35"/>
      <c r="AZ21" s="35"/>
      <c r="BA21" s="35"/>
      <c r="BB21" s="35"/>
      <c r="BC21" s="35"/>
      <c r="BD21" s="35"/>
      <c r="BE21" s="35"/>
      <c r="BF21" s="35"/>
      <c r="BG21" s="35"/>
      <c r="BH21" s="35"/>
      <c r="BI21" s="35"/>
      <c r="BJ21" s="35"/>
      <c r="BK21" s="35"/>
      <c r="BL21" s="35"/>
    </row>
    <row r="22" spans="1:64" ht="14">
      <c r="A22" s="36"/>
      <c r="B22" s="39"/>
      <c r="C22" s="39"/>
      <c r="D22" s="39"/>
      <c r="E22" s="229"/>
      <c r="F22" s="229"/>
      <c r="G22" s="40"/>
      <c r="H22" s="39"/>
      <c r="I22" s="91" t="str">
        <f t="shared" si="0"/>
        <v/>
      </c>
      <c r="J22" s="39"/>
      <c r="K22" s="35"/>
      <c r="L22" s="35"/>
      <c r="M22" s="35"/>
      <c r="N22" s="35"/>
      <c r="O22" s="35"/>
      <c r="P22" s="35"/>
      <c r="Q22" s="35"/>
      <c r="R22" s="35"/>
      <c r="S22" s="35"/>
      <c r="T22" s="35"/>
      <c r="U22" s="35"/>
      <c r="V22" s="35"/>
      <c r="W22" s="35"/>
      <c r="X22" s="35"/>
      <c r="Y22" s="35"/>
      <c r="Z22" s="35"/>
      <c r="AA22" s="35"/>
      <c r="AB22" s="35"/>
      <c r="AC22" s="35"/>
      <c r="AD22" s="35"/>
      <c r="AE22" s="35"/>
      <c r="AF22" s="35"/>
      <c r="AG22" s="35"/>
      <c r="AH22" s="35"/>
      <c r="AI22" s="35"/>
      <c r="AJ22" s="35"/>
      <c r="AK22" s="35"/>
      <c r="AL22" s="35"/>
      <c r="AM22" s="35"/>
      <c r="AN22" s="35"/>
      <c r="AO22" s="35"/>
      <c r="AP22" s="35"/>
      <c r="AQ22" s="35"/>
      <c r="AR22" s="35"/>
      <c r="AS22" s="35"/>
      <c r="AT22" s="35"/>
      <c r="AU22" s="35"/>
      <c r="AV22" s="35"/>
      <c r="AW22" s="35"/>
      <c r="AX22" s="35"/>
      <c r="AY22" s="35"/>
      <c r="AZ22" s="35"/>
      <c r="BA22" s="35"/>
      <c r="BB22" s="35"/>
      <c r="BC22" s="35"/>
      <c r="BD22" s="35"/>
      <c r="BE22" s="35"/>
      <c r="BF22" s="35"/>
      <c r="BG22" s="35"/>
      <c r="BH22" s="35"/>
      <c r="BI22" s="35"/>
      <c r="BJ22" s="35"/>
      <c r="BK22" s="35"/>
      <c r="BL22" s="35"/>
    </row>
    <row r="23" spans="1:64" ht="14">
      <c r="A23" s="36"/>
      <c r="B23" s="39"/>
      <c r="C23" s="39"/>
      <c r="D23" s="39"/>
      <c r="E23" s="229"/>
      <c r="F23" s="229"/>
      <c r="G23" s="40"/>
      <c r="H23" s="39"/>
      <c r="I23" s="91" t="str">
        <f t="shared" si="0"/>
        <v/>
      </c>
      <c r="J23" s="39"/>
      <c r="K23" s="35"/>
      <c r="L23" s="35"/>
      <c r="M23" s="35"/>
      <c r="N23" s="35"/>
      <c r="O23" s="35"/>
      <c r="P23" s="35"/>
      <c r="Q23" s="35"/>
      <c r="R23" s="35"/>
      <c r="S23" s="35"/>
      <c r="T23" s="35"/>
      <c r="U23" s="35"/>
      <c r="V23" s="35"/>
      <c r="W23" s="35"/>
      <c r="X23" s="35"/>
      <c r="Y23" s="35"/>
      <c r="Z23" s="35"/>
      <c r="AA23" s="35"/>
      <c r="AB23" s="35"/>
      <c r="AC23" s="35"/>
      <c r="AD23" s="35"/>
      <c r="AE23" s="35"/>
      <c r="AF23" s="35"/>
      <c r="AG23" s="35"/>
      <c r="AH23" s="35"/>
      <c r="AI23" s="35"/>
      <c r="AJ23" s="35"/>
      <c r="AK23" s="35"/>
      <c r="AL23" s="35"/>
      <c r="AM23" s="35"/>
      <c r="AN23" s="35"/>
      <c r="AO23" s="35"/>
      <c r="AP23" s="35"/>
      <c r="AQ23" s="35"/>
      <c r="AR23" s="35"/>
      <c r="AS23" s="35"/>
      <c r="AT23" s="35"/>
      <c r="AU23" s="35"/>
      <c r="AV23" s="35"/>
      <c r="AW23" s="35"/>
      <c r="AX23" s="35"/>
      <c r="AY23" s="35"/>
      <c r="AZ23" s="35"/>
      <c r="BA23" s="35"/>
      <c r="BB23" s="35"/>
      <c r="BC23" s="35"/>
      <c r="BD23" s="35"/>
      <c r="BE23" s="35"/>
      <c r="BF23" s="35"/>
      <c r="BG23" s="35"/>
      <c r="BH23" s="35"/>
      <c r="BI23" s="35"/>
      <c r="BJ23" s="35"/>
      <c r="BK23" s="35"/>
      <c r="BL23" s="35"/>
    </row>
    <row r="24" spans="1:64" ht="14">
      <c r="A24" s="36"/>
      <c r="B24" s="39"/>
      <c r="C24" s="39"/>
      <c r="D24" s="39"/>
      <c r="E24" s="229"/>
      <c r="F24" s="229"/>
      <c r="G24" s="40"/>
      <c r="H24" s="39"/>
      <c r="I24" s="91" t="str">
        <f t="shared" si="0"/>
        <v/>
      </c>
      <c r="J24" s="39"/>
      <c r="K24" s="35"/>
      <c r="L24" s="35"/>
      <c r="M24" s="35"/>
      <c r="N24" s="35"/>
      <c r="O24" s="35"/>
      <c r="P24" s="35"/>
      <c r="Q24" s="35"/>
      <c r="R24" s="35"/>
      <c r="S24" s="35"/>
      <c r="T24" s="35"/>
      <c r="U24" s="35"/>
      <c r="V24" s="35"/>
      <c r="W24" s="35"/>
      <c r="X24" s="35"/>
      <c r="Y24" s="35"/>
      <c r="Z24" s="35"/>
      <c r="AA24" s="35"/>
      <c r="AB24" s="35"/>
      <c r="AC24" s="35"/>
      <c r="AD24" s="35"/>
      <c r="AE24" s="35"/>
      <c r="AF24" s="35"/>
      <c r="AG24" s="35"/>
      <c r="AH24" s="35"/>
      <c r="AI24" s="35"/>
      <c r="AJ24" s="35"/>
      <c r="AK24" s="35"/>
      <c r="AL24" s="35"/>
      <c r="AM24" s="35"/>
      <c r="AN24" s="35"/>
      <c r="AO24" s="35"/>
      <c r="AP24" s="35"/>
      <c r="AQ24" s="35"/>
      <c r="AR24" s="35"/>
      <c r="AS24" s="35"/>
      <c r="AT24" s="35"/>
      <c r="AU24" s="35"/>
      <c r="AV24" s="35"/>
      <c r="AW24" s="35"/>
      <c r="AX24" s="35"/>
      <c r="AY24" s="35"/>
      <c r="AZ24" s="35"/>
      <c r="BA24" s="35"/>
      <c r="BB24" s="35"/>
      <c r="BC24" s="35"/>
      <c r="BD24" s="35"/>
      <c r="BE24" s="35"/>
      <c r="BF24" s="35"/>
      <c r="BG24" s="35"/>
      <c r="BH24" s="35"/>
      <c r="BI24" s="35"/>
      <c r="BJ24" s="35"/>
      <c r="BK24" s="35"/>
      <c r="BL24" s="35"/>
    </row>
    <row r="25" spans="1:64" ht="14">
      <c r="A25" s="36"/>
      <c r="B25" s="39"/>
      <c r="C25" s="39"/>
      <c r="D25" s="39"/>
      <c r="E25" s="229"/>
      <c r="F25" s="229"/>
      <c r="G25" s="40"/>
      <c r="H25" s="39"/>
      <c r="I25" s="91" t="str">
        <f t="shared" si="0"/>
        <v/>
      </c>
      <c r="J25" s="39"/>
      <c r="K25" s="35"/>
      <c r="L25" s="35"/>
      <c r="M25" s="35"/>
      <c r="N25" s="35"/>
      <c r="O25" s="35"/>
      <c r="P25" s="35"/>
      <c r="Q25" s="35"/>
      <c r="R25" s="35"/>
      <c r="S25" s="35"/>
      <c r="T25" s="35"/>
      <c r="U25" s="35"/>
      <c r="V25" s="35"/>
      <c r="W25" s="35"/>
      <c r="X25" s="35"/>
      <c r="Y25" s="35"/>
      <c r="Z25" s="35"/>
      <c r="AA25" s="35"/>
      <c r="AB25" s="35"/>
      <c r="AC25" s="35"/>
      <c r="AD25" s="35"/>
      <c r="AE25" s="35"/>
      <c r="AF25" s="35"/>
      <c r="AG25" s="35"/>
      <c r="AH25" s="35"/>
      <c r="AI25" s="35"/>
      <c r="AJ25" s="35"/>
      <c r="AK25" s="35"/>
      <c r="AL25" s="35"/>
      <c r="AM25" s="35"/>
      <c r="AN25" s="35"/>
      <c r="AO25" s="35"/>
      <c r="AP25" s="35"/>
      <c r="AQ25" s="35"/>
      <c r="AR25" s="35"/>
      <c r="AS25" s="35"/>
      <c r="AT25" s="35"/>
      <c r="AU25" s="35"/>
      <c r="AV25" s="35"/>
      <c r="AW25" s="35"/>
      <c r="AX25" s="35"/>
      <c r="AY25" s="35"/>
      <c r="AZ25" s="35"/>
      <c r="BA25" s="35"/>
      <c r="BB25" s="35"/>
      <c r="BC25" s="35"/>
      <c r="BD25" s="35"/>
      <c r="BE25" s="35"/>
      <c r="BF25" s="35"/>
      <c r="BG25" s="35"/>
      <c r="BH25" s="35"/>
      <c r="BI25" s="35"/>
      <c r="BJ25" s="35"/>
      <c r="BK25" s="35"/>
      <c r="BL25" s="35"/>
    </row>
    <row r="26" spans="1:64" ht="14">
      <c r="A26" s="36"/>
      <c r="B26" s="39"/>
      <c r="C26" s="39"/>
      <c r="D26" s="39"/>
      <c r="E26" s="229"/>
      <c r="F26" s="229"/>
      <c r="G26" s="40"/>
      <c r="H26" s="39"/>
      <c r="I26" s="91" t="str">
        <f t="shared" si="0"/>
        <v/>
      </c>
      <c r="J26" s="39"/>
      <c r="K26" s="35"/>
      <c r="L26" s="35"/>
      <c r="M26" s="35"/>
      <c r="N26" s="35"/>
      <c r="O26" s="35"/>
      <c r="P26" s="35"/>
      <c r="Q26" s="35"/>
      <c r="R26" s="35"/>
      <c r="S26" s="35"/>
      <c r="T26" s="35"/>
      <c r="U26" s="35"/>
      <c r="V26" s="35"/>
      <c r="W26" s="35"/>
      <c r="X26" s="35"/>
      <c r="Y26" s="35"/>
      <c r="Z26" s="35"/>
      <c r="AA26" s="35"/>
      <c r="AB26" s="35"/>
      <c r="AC26" s="35"/>
      <c r="AD26" s="35"/>
      <c r="AE26" s="35"/>
      <c r="AF26" s="35"/>
      <c r="AG26" s="35"/>
      <c r="AH26" s="35"/>
      <c r="AI26" s="35"/>
      <c r="AJ26" s="35"/>
      <c r="AK26" s="35"/>
      <c r="AL26" s="35"/>
      <c r="AM26" s="35"/>
      <c r="AN26" s="35"/>
      <c r="AO26" s="35"/>
      <c r="AP26" s="35"/>
      <c r="AQ26" s="35"/>
      <c r="AR26" s="35"/>
      <c r="AS26" s="35"/>
      <c r="AT26" s="35"/>
      <c r="AU26" s="35"/>
      <c r="AV26" s="35"/>
      <c r="AW26" s="35"/>
      <c r="AX26" s="35"/>
      <c r="AY26" s="35"/>
      <c r="AZ26" s="35"/>
      <c r="BA26" s="35"/>
      <c r="BB26" s="35"/>
      <c r="BC26" s="35"/>
      <c r="BD26" s="35"/>
      <c r="BE26" s="35"/>
      <c r="BF26" s="35"/>
      <c r="BG26" s="35"/>
      <c r="BH26" s="35"/>
      <c r="BI26" s="35"/>
      <c r="BJ26" s="35"/>
      <c r="BK26" s="35"/>
      <c r="BL26" s="35"/>
    </row>
    <row r="27" spans="1:64" ht="14">
      <c r="A27" s="36"/>
      <c r="B27" s="39"/>
      <c r="C27" s="39"/>
      <c r="D27" s="39"/>
      <c r="E27" s="229"/>
      <c r="F27" s="229"/>
      <c r="G27" s="40"/>
      <c r="H27" s="39"/>
      <c r="I27" s="91" t="str">
        <f t="shared" si="0"/>
        <v/>
      </c>
      <c r="J27" s="39"/>
      <c r="K27" s="35"/>
      <c r="L27" s="35"/>
      <c r="M27" s="35"/>
      <c r="N27" s="35"/>
      <c r="O27" s="35"/>
      <c r="P27" s="35"/>
      <c r="Q27" s="35"/>
      <c r="R27" s="35"/>
      <c r="S27" s="35"/>
      <c r="T27" s="35"/>
      <c r="U27" s="35"/>
      <c r="V27" s="35"/>
      <c r="W27" s="35"/>
      <c r="X27" s="35"/>
      <c r="Y27" s="35"/>
      <c r="Z27" s="35"/>
      <c r="AA27" s="35"/>
      <c r="AB27" s="35"/>
      <c r="AC27" s="35"/>
      <c r="AD27" s="35"/>
      <c r="AE27" s="35"/>
      <c r="AF27" s="35"/>
      <c r="AG27" s="35"/>
      <c r="AH27" s="35"/>
      <c r="AI27" s="35"/>
      <c r="AJ27" s="35"/>
      <c r="AK27" s="35"/>
      <c r="AL27" s="35"/>
      <c r="AM27" s="35"/>
      <c r="AN27" s="35"/>
      <c r="AO27" s="35"/>
      <c r="AP27" s="35"/>
      <c r="AQ27" s="35"/>
      <c r="AR27" s="35"/>
      <c r="AS27" s="35"/>
      <c r="AT27" s="35"/>
      <c r="AU27" s="35"/>
      <c r="AV27" s="35"/>
      <c r="AW27" s="35"/>
      <c r="AX27" s="35"/>
      <c r="AY27" s="35"/>
      <c r="AZ27" s="35"/>
      <c r="BA27" s="35"/>
      <c r="BB27" s="35"/>
      <c r="BC27" s="35"/>
      <c r="BD27" s="35"/>
      <c r="BE27" s="35"/>
      <c r="BF27" s="35"/>
      <c r="BG27" s="35"/>
      <c r="BH27" s="35"/>
      <c r="BI27" s="35"/>
      <c r="BJ27" s="35"/>
      <c r="BK27" s="35"/>
      <c r="BL27" s="35"/>
    </row>
    <row r="28" spans="1:64" ht="14">
      <c r="A28" s="36"/>
      <c r="B28" s="39"/>
      <c r="C28" s="39"/>
      <c r="D28" s="39"/>
      <c r="E28" s="229"/>
      <c r="F28" s="229"/>
      <c r="G28" s="40"/>
      <c r="H28" s="39"/>
      <c r="I28" s="91" t="str">
        <f t="shared" si="0"/>
        <v/>
      </c>
      <c r="J28" s="39"/>
      <c r="K28" s="35"/>
      <c r="L28" s="35"/>
      <c r="M28" s="35"/>
      <c r="N28" s="35"/>
      <c r="O28" s="35"/>
      <c r="P28" s="35"/>
      <c r="Q28" s="35"/>
      <c r="R28" s="35"/>
      <c r="S28" s="35"/>
      <c r="T28" s="35"/>
      <c r="U28" s="35"/>
      <c r="V28" s="35"/>
      <c r="W28" s="35"/>
      <c r="X28" s="35"/>
      <c r="Y28" s="35"/>
      <c r="Z28" s="35"/>
      <c r="AA28" s="35"/>
      <c r="AB28" s="35"/>
      <c r="AC28" s="35"/>
      <c r="AD28" s="35"/>
      <c r="AE28" s="35"/>
      <c r="AF28" s="35"/>
      <c r="AG28" s="35"/>
      <c r="AH28" s="35"/>
      <c r="AI28" s="35"/>
      <c r="AJ28" s="35"/>
      <c r="AK28" s="35"/>
      <c r="AL28" s="35"/>
      <c r="AM28" s="35"/>
      <c r="AN28" s="35"/>
      <c r="AO28" s="35"/>
      <c r="AP28" s="35"/>
      <c r="AQ28" s="35"/>
      <c r="AR28" s="35"/>
      <c r="AS28" s="35"/>
      <c r="AT28" s="35"/>
      <c r="AU28" s="35"/>
      <c r="AV28" s="35"/>
      <c r="AW28" s="35"/>
      <c r="AX28" s="35"/>
      <c r="AY28" s="35"/>
      <c r="AZ28" s="35"/>
      <c r="BA28" s="35"/>
      <c r="BB28" s="35"/>
      <c r="BC28" s="35"/>
      <c r="BD28" s="35"/>
      <c r="BE28" s="35"/>
      <c r="BF28" s="35"/>
      <c r="BG28" s="35"/>
      <c r="BH28" s="35"/>
      <c r="BI28" s="35"/>
      <c r="BJ28" s="35"/>
      <c r="BK28" s="35"/>
      <c r="BL28" s="35"/>
    </row>
    <row r="29" spans="1:64" ht="14">
      <c r="A29" s="36"/>
      <c r="B29" s="39"/>
      <c r="C29" s="39"/>
      <c r="D29" s="39"/>
      <c r="E29" s="229"/>
      <c r="F29" s="229"/>
      <c r="G29" s="80"/>
      <c r="H29" s="39"/>
      <c r="I29" s="91" t="str">
        <f t="shared" si="0"/>
        <v/>
      </c>
      <c r="J29" s="39"/>
      <c r="K29" s="35"/>
      <c r="L29" s="35"/>
      <c r="M29" s="35"/>
      <c r="N29" s="35"/>
      <c r="O29" s="35"/>
      <c r="P29" s="35"/>
      <c r="Q29" s="35"/>
      <c r="R29" s="35"/>
      <c r="S29" s="35"/>
      <c r="T29" s="35"/>
      <c r="U29" s="35"/>
      <c r="V29" s="35"/>
      <c r="W29" s="35"/>
      <c r="X29" s="35"/>
      <c r="Y29" s="35"/>
      <c r="Z29" s="35"/>
      <c r="AA29" s="35"/>
      <c r="AB29" s="35"/>
      <c r="AC29" s="35"/>
      <c r="AD29" s="35"/>
      <c r="AE29" s="35"/>
      <c r="AF29" s="35"/>
      <c r="AG29" s="35"/>
      <c r="AH29" s="35"/>
      <c r="AI29" s="35"/>
      <c r="AJ29" s="35"/>
      <c r="AK29" s="35"/>
      <c r="AL29" s="35"/>
      <c r="AM29" s="35"/>
      <c r="AN29" s="35"/>
      <c r="AO29" s="35"/>
      <c r="AP29" s="35"/>
      <c r="AQ29" s="35"/>
      <c r="AR29" s="35"/>
      <c r="AS29" s="35"/>
      <c r="AT29" s="35"/>
      <c r="AU29" s="35"/>
      <c r="AV29" s="35"/>
      <c r="AW29" s="35"/>
      <c r="AX29" s="35"/>
      <c r="AY29" s="35"/>
      <c r="AZ29" s="35"/>
      <c r="BA29" s="35"/>
      <c r="BB29" s="35"/>
      <c r="BC29" s="35"/>
      <c r="BD29" s="35"/>
      <c r="BE29" s="35"/>
      <c r="BF29" s="35"/>
      <c r="BG29" s="35"/>
      <c r="BH29" s="35"/>
      <c r="BI29" s="35"/>
      <c r="BJ29" s="35"/>
      <c r="BK29" s="35"/>
      <c r="BL29" s="35"/>
    </row>
    <row r="30" spans="1:64" ht="14">
      <c r="A30" s="36"/>
      <c r="B30" s="39"/>
      <c r="C30" s="39"/>
      <c r="D30" s="39"/>
      <c r="E30" s="229"/>
      <c r="F30" s="229"/>
      <c r="G30" s="80"/>
      <c r="H30" s="39"/>
      <c r="I30" s="91" t="str">
        <f t="shared" si="0"/>
        <v/>
      </c>
      <c r="J30" s="39"/>
      <c r="K30" s="35"/>
      <c r="L30" s="35"/>
      <c r="M30" s="35"/>
      <c r="N30" s="35"/>
      <c r="O30" s="35"/>
      <c r="P30" s="35"/>
      <c r="Q30" s="35"/>
      <c r="R30" s="35"/>
      <c r="S30" s="35"/>
      <c r="T30" s="35"/>
      <c r="U30" s="35"/>
      <c r="V30" s="35"/>
      <c r="W30" s="35"/>
      <c r="X30" s="35"/>
      <c r="Y30" s="35"/>
      <c r="Z30" s="35"/>
      <c r="AA30" s="35"/>
      <c r="AB30" s="35"/>
      <c r="AC30" s="35"/>
      <c r="AD30" s="35"/>
      <c r="AE30" s="35"/>
      <c r="AF30" s="35"/>
      <c r="AG30" s="35"/>
      <c r="AH30" s="35"/>
      <c r="AI30" s="35"/>
      <c r="AJ30" s="35"/>
      <c r="AK30" s="35"/>
      <c r="AL30" s="35"/>
      <c r="AM30" s="35"/>
      <c r="AN30" s="35"/>
      <c r="AO30" s="35"/>
      <c r="AP30" s="35"/>
      <c r="AQ30" s="35"/>
      <c r="AR30" s="35"/>
      <c r="AS30" s="35"/>
      <c r="AT30" s="35"/>
      <c r="AU30" s="35"/>
      <c r="AV30" s="35"/>
      <c r="AW30" s="35"/>
      <c r="AX30" s="35"/>
      <c r="AY30" s="35"/>
      <c r="AZ30" s="35"/>
      <c r="BA30" s="35"/>
      <c r="BB30" s="35"/>
      <c r="BC30" s="35"/>
      <c r="BD30" s="35"/>
      <c r="BE30" s="35"/>
      <c r="BF30" s="35"/>
      <c r="BG30" s="35"/>
      <c r="BH30" s="35"/>
      <c r="BI30" s="35"/>
      <c r="BJ30" s="35"/>
      <c r="BK30" s="35"/>
      <c r="BL30" s="35"/>
    </row>
    <row r="31" spans="1:64" ht="14">
      <c r="A31" s="36"/>
      <c r="B31" s="39"/>
      <c r="C31" s="39"/>
      <c r="D31" s="39"/>
      <c r="E31" s="229"/>
      <c r="F31" s="229"/>
      <c r="G31" s="40"/>
      <c r="H31" s="39"/>
      <c r="I31" s="91" t="str">
        <f t="shared" si="0"/>
        <v/>
      </c>
      <c r="J31" s="39"/>
      <c r="K31" s="35"/>
      <c r="L31" s="35"/>
      <c r="M31" s="35"/>
      <c r="N31" s="35"/>
      <c r="O31" s="35"/>
      <c r="P31" s="35"/>
      <c r="Q31" s="35"/>
      <c r="R31" s="35"/>
      <c r="S31" s="35"/>
      <c r="T31" s="35"/>
      <c r="U31" s="35"/>
      <c r="V31" s="35"/>
      <c r="W31" s="35"/>
      <c r="X31" s="35"/>
      <c r="Y31" s="35"/>
      <c r="Z31" s="35"/>
      <c r="AA31" s="35"/>
      <c r="AB31" s="35"/>
      <c r="AC31" s="35"/>
      <c r="AD31" s="35"/>
      <c r="AE31" s="35"/>
      <c r="AF31" s="35"/>
      <c r="AG31" s="35"/>
      <c r="AH31" s="35"/>
      <c r="AI31" s="35"/>
      <c r="AJ31" s="35"/>
      <c r="AK31" s="35"/>
      <c r="AL31" s="35"/>
      <c r="AM31" s="35"/>
      <c r="AN31" s="35"/>
      <c r="AO31" s="35"/>
      <c r="AP31" s="35"/>
      <c r="AQ31" s="35"/>
      <c r="AR31" s="35"/>
      <c r="AS31" s="35"/>
      <c r="AT31" s="35"/>
      <c r="AU31" s="35"/>
      <c r="AV31" s="35"/>
      <c r="AW31" s="35"/>
      <c r="AX31" s="35"/>
      <c r="AY31" s="35"/>
      <c r="AZ31" s="35"/>
      <c r="BA31" s="35"/>
      <c r="BB31" s="35"/>
      <c r="BC31" s="35"/>
      <c r="BD31" s="35"/>
      <c r="BE31" s="35"/>
      <c r="BF31" s="35"/>
      <c r="BG31" s="35"/>
      <c r="BH31" s="35"/>
      <c r="BI31" s="35"/>
      <c r="BJ31" s="35"/>
      <c r="BK31" s="35"/>
      <c r="BL31" s="35"/>
    </row>
    <row r="32" spans="1:64" ht="14">
      <c r="A32" s="36"/>
      <c r="B32" s="39"/>
      <c r="C32" s="39"/>
      <c r="D32" s="39"/>
      <c r="E32" s="229"/>
      <c r="F32" s="229"/>
      <c r="G32" s="40"/>
      <c r="H32" s="39"/>
      <c r="I32" s="91" t="str">
        <f t="shared" si="0"/>
        <v/>
      </c>
      <c r="J32" s="39"/>
      <c r="K32" s="35"/>
      <c r="L32" s="35"/>
      <c r="M32" s="35"/>
      <c r="N32" s="35"/>
      <c r="O32" s="35"/>
      <c r="P32" s="35"/>
      <c r="Q32" s="35"/>
      <c r="R32" s="35"/>
      <c r="S32" s="35"/>
      <c r="T32" s="35"/>
      <c r="U32" s="35"/>
      <c r="V32" s="35"/>
      <c r="W32" s="35"/>
      <c r="X32" s="35"/>
      <c r="Y32" s="35"/>
      <c r="Z32" s="35"/>
      <c r="AA32" s="35"/>
      <c r="AB32" s="35"/>
      <c r="AC32" s="35"/>
      <c r="AD32" s="35"/>
      <c r="AE32" s="35"/>
      <c r="AF32" s="35"/>
      <c r="AG32" s="35"/>
      <c r="AH32" s="35"/>
      <c r="AI32" s="35"/>
      <c r="AJ32" s="35"/>
      <c r="AK32" s="35"/>
      <c r="AL32" s="35"/>
      <c r="AM32" s="35"/>
      <c r="AN32" s="35"/>
      <c r="AO32" s="35"/>
      <c r="AP32" s="35"/>
      <c r="AQ32" s="35"/>
      <c r="AR32" s="35"/>
      <c r="AS32" s="35"/>
      <c r="AT32" s="35"/>
      <c r="AU32" s="35"/>
      <c r="AV32" s="35"/>
      <c r="AW32" s="35"/>
      <c r="AX32" s="35"/>
      <c r="AY32" s="35"/>
      <c r="AZ32" s="35"/>
      <c r="BA32" s="35"/>
      <c r="BB32" s="35"/>
      <c r="BC32" s="35"/>
      <c r="BD32" s="35"/>
      <c r="BE32" s="35"/>
      <c r="BF32" s="35"/>
      <c r="BG32" s="35"/>
      <c r="BH32" s="35"/>
      <c r="BI32" s="35"/>
      <c r="BJ32" s="35"/>
      <c r="BK32" s="35"/>
      <c r="BL32" s="35"/>
    </row>
    <row r="33" spans="1:64" ht="14">
      <c r="A33" s="36"/>
      <c r="B33" s="39"/>
      <c r="C33" s="39"/>
      <c r="D33" s="39"/>
      <c r="E33" s="229"/>
      <c r="F33" s="229"/>
      <c r="G33" s="40"/>
      <c r="H33" s="39"/>
      <c r="I33" s="91" t="str">
        <f t="shared" si="0"/>
        <v/>
      </c>
      <c r="J33" s="39"/>
      <c r="K33" s="35"/>
      <c r="L33" s="35"/>
      <c r="M33" s="35"/>
      <c r="N33" s="35"/>
      <c r="O33" s="35"/>
      <c r="P33" s="35"/>
      <c r="Q33" s="35"/>
      <c r="R33" s="35"/>
      <c r="S33" s="35"/>
      <c r="T33" s="35"/>
      <c r="U33" s="35"/>
      <c r="V33" s="35"/>
      <c r="W33" s="35"/>
      <c r="X33" s="35"/>
      <c r="Y33" s="35"/>
      <c r="Z33" s="35"/>
      <c r="AA33" s="35"/>
      <c r="AB33" s="35"/>
      <c r="AC33" s="35"/>
      <c r="AD33" s="35"/>
      <c r="AE33" s="35"/>
      <c r="AF33" s="35"/>
      <c r="AG33" s="35"/>
      <c r="AH33" s="35"/>
      <c r="AI33" s="35"/>
      <c r="AJ33" s="35"/>
      <c r="AK33" s="35"/>
      <c r="AL33" s="35"/>
      <c r="AM33" s="35"/>
      <c r="AN33" s="35"/>
      <c r="AO33" s="35"/>
      <c r="AP33" s="35"/>
      <c r="AQ33" s="35"/>
      <c r="AR33" s="35"/>
      <c r="AS33" s="35"/>
      <c r="AT33" s="35"/>
      <c r="AU33" s="35"/>
      <c r="AV33" s="35"/>
      <c r="AW33" s="35"/>
      <c r="AX33" s="35"/>
      <c r="AY33" s="35"/>
      <c r="AZ33" s="35"/>
      <c r="BA33" s="35"/>
      <c r="BB33" s="35"/>
      <c r="BC33" s="35"/>
      <c r="BD33" s="35"/>
      <c r="BE33" s="35"/>
      <c r="BF33" s="35"/>
      <c r="BG33" s="35"/>
      <c r="BH33" s="35"/>
      <c r="BI33" s="35"/>
      <c r="BJ33" s="35"/>
      <c r="BK33" s="35"/>
      <c r="BL33" s="35"/>
    </row>
    <row r="34" spans="1:64" ht="14">
      <c r="A34" s="36"/>
      <c r="B34" s="39"/>
      <c r="C34" s="39"/>
      <c r="D34" s="39"/>
      <c r="E34" s="229"/>
      <c r="F34" s="229"/>
      <c r="G34" s="40"/>
      <c r="H34" s="39"/>
      <c r="I34" s="91" t="str">
        <f t="shared" si="0"/>
        <v/>
      </c>
      <c r="J34" s="39"/>
      <c r="K34" s="35"/>
      <c r="L34" s="35"/>
      <c r="M34" s="35"/>
      <c r="N34" s="35"/>
      <c r="O34" s="35"/>
      <c r="P34" s="35"/>
      <c r="Q34" s="35"/>
      <c r="R34" s="35"/>
      <c r="S34" s="35"/>
      <c r="T34" s="35"/>
      <c r="U34" s="35"/>
      <c r="V34" s="35"/>
      <c r="W34" s="35"/>
      <c r="X34" s="35"/>
      <c r="Y34" s="35"/>
      <c r="Z34" s="35"/>
      <c r="AA34" s="35"/>
      <c r="AB34" s="35"/>
      <c r="AC34" s="35"/>
      <c r="AD34" s="35"/>
      <c r="AE34" s="35"/>
      <c r="AF34" s="35"/>
      <c r="AG34" s="35"/>
      <c r="AH34" s="35"/>
      <c r="AI34" s="35"/>
      <c r="AJ34" s="35"/>
      <c r="AK34" s="35"/>
      <c r="AL34" s="35"/>
      <c r="AM34" s="35"/>
      <c r="AN34" s="35"/>
      <c r="AO34" s="35"/>
      <c r="AP34" s="35"/>
      <c r="AQ34" s="35"/>
      <c r="AR34" s="35"/>
      <c r="AS34" s="35"/>
      <c r="AT34" s="35"/>
      <c r="AU34" s="35"/>
      <c r="AV34" s="35"/>
      <c r="AW34" s="35"/>
      <c r="AX34" s="35"/>
      <c r="AY34" s="35"/>
      <c r="AZ34" s="35"/>
      <c r="BA34" s="35"/>
      <c r="BB34" s="35"/>
      <c r="BC34" s="35"/>
      <c r="BD34" s="35"/>
      <c r="BE34" s="35"/>
      <c r="BF34" s="35"/>
      <c r="BG34" s="35"/>
      <c r="BH34" s="35"/>
      <c r="BI34" s="35"/>
      <c r="BJ34" s="35"/>
      <c r="BK34" s="35"/>
      <c r="BL34" s="35"/>
    </row>
    <row r="35" spans="1:64" ht="14">
      <c r="A35" s="36"/>
      <c r="B35" s="39"/>
      <c r="C35" s="39"/>
      <c r="D35" s="39"/>
      <c r="E35" s="229"/>
      <c r="F35" s="229"/>
      <c r="G35" s="40"/>
      <c r="H35" s="39"/>
      <c r="I35" s="91" t="str">
        <f t="shared" si="0"/>
        <v/>
      </c>
      <c r="J35" s="39"/>
      <c r="K35" s="35"/>
      <c r="L35" s="35"/>
      <c r="M35" s="35"/>
      <c r="N35" s="35"/>
      <c r="O35" s="35"/>
      <c r="P35" s="35"/>
      <c r="Q35" s="35"/>
      <c r="R35" s="35"/>
      <c r="S35" s="35"/>
      <c r="T35" s="35"/>
      <c r="U35" s="35"/>
      <c r="V35" s="35"/>
      <c r="W35" s="35"/>
      <c r="X35" s="35"/>
      <c r="Y35" s="35"/>
      <c r="Z35" s="35"/>
      <c r="AA35" s="35"/>
      <c r="AB35" s="35"/>
      <c r="AC35" s="35"/>
      <c r="AD35" s="35"/>
      <c r="AE35" s="35"/>
      <c r="AF35" s="35"/>
      <c r="AG35" s="35"/>
      <c r="AH35" s="35"/>
      <c r="AI35" s="35"/>
      <c r="AJ35" s="35"/>
      <c r="AK35" s="35"/>
      <c r="AL35" s="35"/>
      <c r="AM35" s="35"/>
      <c r="AN35" s="35"/>
      <c r="AO35" s="35"/>
      <c r="AP35" s="35"/>
      <c r="AQ35" s="35"/>
      <c r="AR35" s="35"/>
      <c r="AS35" s="35"/>
      <c r="AT35" s="35"/>
      <c r="AU35" s="35"/>
      <c r="AV35" s="35"/>
      <c r="AW35" s="35"/>
      <c r="AX35" s="35"/>
      <c r="AY35" s="35"/>
      <c r="AZ35" s="35"/>
      <c r="BA35" s="35"/>
      <c r="BB35" s="35"/>
      <c r="BC35" s="35"/>
      <c r="BD35" s="35"/>
      <c r="BE35" s="35"/>
      <c r="BF35" s="35"/>
      <c r="BG35" s="35"/>
      <c r="BH35" s="35"/>
      <c r="BI35" s="35"/>
      <c r="BJ35" s="35"/>
      <c r="BK35" s="35"/>
      <c r="BL35" s="35"/>
    </row>
    <row r="36" spans="1:64" ht="14">
      <c r="A36" s="36"/>
      <c r="B36" s="39"/>
      <c r="C36" s="39"/>
      <c r="D36" s="39"/>
      <c r="E36" s="229"/>
      <c r="F36" s="229"/>
      <c r="G36" s="40"/>
      <c r="H36" s="39"/>
      <c r="I36" s="91" t="str">
        <f t="shared" si="0"/>
        <v/>
      </c>
      <c r="J36" s="39"/>
      <c r="K36" s="35"/>
      <c r="L36" s="35"/>
      <c r="M36" s="35"/>
      <c r="N36" s="35"/>
      <c r="O36" s="35"/>
      <c r="P36" s="35"/>
      <c r="Q36" s="35"/>
      <c r="R36" s="35"/>
      <c r="S36" s="35"/>
      <c r="T36" s="35"/>
      <c r="U36" s="35"/>
      <c r="V36" s="35"/>
      <c r="W36" s="35"/>
      <c r="X36" s="35"/>
      <c r="Y36" s="35"/>
      <c r="Z36" s="35"/>
      <c r="AA36" s="35"/>
      <c r="AB36" s="35"/>
      <c r="AC36" s="35"/>
      <c r="AD36" s="35"/>
      <c r="AE36" s="35"/>
      <c r="AF36" s="35"/>
      <c r="AG36" s="35"/>
      <c r="AH36" s="35"/>
      <c r="AI36" s="35"/>
      <c r="AJ36" s="35"/>
      <c r="AK36" s="35"/>
      <c r="AL36" s="35"/>
      <c r="AM36" s="35"/>
      <c r="AN36" s="35"/>
      <c r="AO36" s="35"/>
      <c r="AP36" s="35"/>
      <c r="AQ36" s="35"/>
      <c r="AR36" s="35"/>
      <c r="AS36" s="35"/>
      <c r="AT36" s="35"/>
      <c r="AU36" s="35"/>
      <c r="AV36" s="35"/>
      <c r="AW36" s="35"/>
      <c r="AX36" s="35"/>
      <c r="AY36" s="35"/>
      <c r="AZ36" s="35"/>
      <c r="BA36" s="35"/>
      <c r="BB36" s="35"/>
      <c r="BC36" s="35"/>
      <c r="BD36" s="35"/>
      <c r="BE36" s="35"/>
      <c r="BF36" s="35"/>
      <c r="BG36" s="35"/>
      <c r="BH36" s="35"/>
      <c r="BI36" s="35"/>
      <c r="BJ36" s="35"/>
      <c r="BK36" s="35"/>
      <c r="BL36" s="35"/>
    </row>
    <row r="37" spans="1:64" ht="14">
      <c r="A37" s="36"/>
      <c r="B37" s="39"/>
      <c r="C37" s="39"/>
      <c r="D37" s="39"/>
      <c r="E37" s="229"/>
      <c r="F37" s="229"/>
      <c r="G37" s="40"/>
      <c r="H37" s="39"/>
      <c r="I37" s="91" t="str">
        <f t="shared" si="0"/>
        <v/>
      </c>
      <c r="J37" s="39"/>
      <c r="K37" s="35"/>
      <c r="L37" s="35"/>
      <c r="M37" s="35"/>
      <c r="N37" s="35"/>
      <c r="O37" s="35"/>
      <c r="P37" s="35"/>
      <c r="Q37" s="35"/>
      <c r="R37" s="35"/>
      <c r="S37" s="35"/>
      <c r="T37" s="35"/>
      <c r="U37" s="35"/>
      <c r="V37" s="35"/>
      <c r="W37" s="35"/>
      <c r="X37" s="35"/>
      <c r="Y37" s="35"/>
      <c r="Z37" s="35"/>
      <c r="AA37" s="35"/>
      <c r="AB37" s="35"/>
      <c r="AC37" s="35"/>
      <c r="AD37" s="35"/>
      <c r="AE37" s="35"/>
      <c r="AF37" s="35"/>
      <c r="AG37" s="35"/>
      <c r="AH37" s="35"/>
      <c r="AI37" s="35"/>
      <c r="AJ37" s="35"/>
      <c r="AK37" s="35"/>
      <c r="AL37" s="35"/>
      <c r="AM37" s="35"/>
      <c r="AN37" s="35"/>
      <c r="AO37" s="35"/>
      <c r="AP37" s="35"/>
      <c r="AQ37" s="35"/>
      <c r="AR37" s="35"/>
      <c r="AS37" s="35"/>
      <c r="AT37" s="35"/>
      <c r="AU37" s="35"/>
      <c r="AV37" s="35"/>
      <c r="AW37" s="35"/>
      <c r="AX37" s="35"/>
      <c r="AY37" s="35"/>
      <c r="AZ37" s="35"/>
      <c r="BA37" s="35"/>
      <c r="BB37" s="35"/>
      <c r="BC37" s="35"/>
      <c r="BD37" s="35"/>
      <c r="BE37" s="35"/>
      <c r="BF37" s="35"/>
      <c r="BG37" s="35"/>
      <c r="BH37" s="35"/>
      <c r="BI37" s="35"/>
      <c r="BJ37" s="35"/>
      <c r="BK37" s="35"/>
      <c r="BL37" s="35"/>
    </row>
    <row r="38" spans="1:64" ht="14">
      <c r="A38" s="36"/>
      <c r="B38" s="39"/>
      <c r="C38" s="39"/>
      <c r="D38" s="39"/>
      <c r="E38" s="229"/>
      <c r="F38" s="229"/>
      <c r="G38" s="40"/>
      <c r="H38" s="39"/>
      <c r="I38" s="91" t="str">
        <f t="shared" si="0"/>
        <v/>
      </c>
      <c r="J38" s="39"/>
      <c r="K38" s="35"/>
      <c r="L38" s="35"/>
      <c r="M38" s="35"/>
      <c r="N38" s="35"/>
      <c r="O38" s="35"/>
      <c r="P38" s="35"/>
      <c r="Q38" s="35"/>
      <c r="R38" s="35"/>
      <c r="S38" s="35"/>
      <c r="T38" s="35"/>
      <c r="U38" s="35"/>
      <c r="V38" s="35"/>
      <c r="W38" s="35"/>
      <c r="X38" s="35"/>
      <c r="Y38" s="35"/>
      <c r="Z38" s="35"/>
      <c r="AA38" s="35"/>
      <c r="AB38" s="35"/>
      <c r="AC38" s="35"/>
      <c r="AD38" s="35"/>
      <c r="AE38" s="35"/>
      <c r="AF38" s="35"/>
      <c r="AG38" s="35"/>
      <c r="AH38" s="35"/>
      <c r="AI38" s="35"/>
      <c r="AJ38" s="35"/>
      <c r="AK38" s="35"/>
      <c r="AL38" s="35"/>
      <c r="AM38" s="35"/>
      <c r="AN38" s="35"/>
      <c r="AO38" s="35"/>
      <c r="AP38" s="35"/>
      <c r="AQ38" s="35"/>
      <c r="AR38" s="35"/>
      <c r="AS38" s="35"/>
      <c r="AT38" s="35"/>
      <c r="AU38" s="35"/>
      <c r="AV38" s="35"/>
      <c r="AW38" s="35"/>
      <c r="AX38" s="35"/>
      <c r="AY38" s="35"/>
      <c r="AZ38" s="35"/>
      <c r="BA38" s="35"/>
      <c r="BB38" s="35"/>
      <c r="BC38" s="35"/>
      <c r="BD38" s="35"/>
      <c r="BE38" s="35"/>
      <c r="BF38" s="35"/>
      <c r="BG38" s="35"/>
      <c r="BH38" s="35"/>
      <c r="BI38" s="35"/>
      <c r="BJ38" s="35"/>
      <c r="BK38" s="35"/>
      <c r="BL38" s="35"/>
    </row>
    <row r="39" spans="1:64" ht="14">
      <c r="A39" s="36"/>
      <c r="B39" s="39"/>
      <c r="C39" s="39"/>
      <c r="D39" s="39"/>
      <c r="E39" s="229"/>
      <c r="F39" s="229"/>
      <c r="G39" s="40"/>
      <c r="H39" s="39"/>
      <c r="I39" s="91" t="str">
        <f t="shared" si="0"/>
        <v/>
      </c>
      <c r="J39" s="39"/>
      <c r="K39" s="35"/>
      <c r="L39" s="35"/>
      <c r="M39" s="35"/>
      <c r="N39" s="35"/>
      <c r="O39" s="35"/>
      <c r="P39" s="35"/>
      <c r="Q39" s="35"/>
      <c r="R39" s="35"/>
      <c r="S39" s="35"/>
      <c r="T39" s="35"/>
      <c r="U39" s="35"/>
      <c r="V39" s="35"/>
      <c r="W39" s="35"/>
      <c r="X39" s="35"/>
      <c r="Y39" s="35"/>
      <c r="Z39" s="35"/>
      <c r="AA39" s="35"/>
      <c r="AB39" s="35"/>
      <c r="AC39" s="35"/>
      <c r="AD39" s="35"/>
      <c r="AE39" s="35"/>
      <c r="AF39" s="35"/>
      <c r="AG39" s="35"/>
      <c r="AH39" s="35"/>
      <c r="AI39" s="35"/>
      <c r="AJ39" s="35"/>
      <c r="AK39" s="35"/>
      <c r="AL39" s="35"/>
      <c r="AM39" s="35"/>
      <c r="AN39" s="35"/>
      <c r="AO39" s="35"/>
      <c r="AP39" s="35"/>
      <c r="AQ39" s="35"/>
      <c r="AR39" s="35"/>
      <c r="AS39" s="35"/>
      <c r="AT39" s="35"/>
      <c r="AU39" s="35"/>
      <c r="AV39" s="35"/>
      <c r="AW39" s="35"/>
      <c r="AX39" s="35"/>
      <c r="AY39" s="35"/>
      <c r="AZ39" s="35"/>
      <c r="BA39" s="35"/>
      <c r="BB39" s="35"/>
      <c r="BC39" s="35"/>
      <c r="BD39" s="35"/>
      <c r="BE39" s="35"/>
      <c r="BF39" s="35"/>
      <c r="BG39" s="35"/>
      <c r="BH39" s="35"/>
      <c r="BI39" s="35"/>
      <c r="BJ39" s="35"/>
      <c r="BK39" s="35"/>
      <c r="BL39" s="35"/>
    </row>
    <row r="40" spans="1:64" ht="14">
      <c r="A40" s="36"/>
      <c r="B40" s="39"/>
      <c r="C40" s="39"/>
      <c r="D40" s="39"/>
      <c r="E40" s="229"/>
      <c r="F40" s="229"/>
      <c r="G40" s="40"/>
      <c r="H40" s="39"/>
      <c r="I40" s="91" t="str">
        <f t="shared" si="0"/>
        <v/>
      </c>
      <c r="J40" s="39"/>
      <c r="K40" s="35"/>
      <c r="L40" s="35"/>
      <c r="M40" s="35"/>
      <c r="N40" s="35"/>
      <c r="O40" s="35"/>
      <c r="P40" s="35"/>
      <c r="Q40" s="35"/>
      <c r="R40" s="35"/>
      <c r="S40" s="35"/>
      <c r="T40" s="35"/>
      <c r="U40" s="35"/>
      <c r="V40" s="35"/>
      <c r="W40" s="35"/>
      <c r="X40" s="35"/>
      <c r="Y40" s="35"/>
      <c r="Z40" s="35"/>
      <c r="AA40" s="35"/>
      <c r="AB40" s="35"/>
      <c r="AC40" s="35"/>
      <c r="AD40" s="35"/>
      <c r="AE40" s="35"/>
      <c r="AF40" s="35"/>
      <c r="AG40" s="35"/>
      <c r="AH40" s="35"/>
      <c r="AI40" s="35"/>
      <c r="AJ40" s="35"/>
      <c r="AK40" s="35"/>
      <c r="AL40" s="35"/>
      <c r="AM40" s="35"/>
      <c r="AN40" s="35"/>
      <c r="AO40" s="35"/>
      <c r="AP40" s="35"/>
      <c r="AQ40" s="35"/>
      <c r="AR40" s="35"/>
      <c r="AS40" s="35"/>
      <c r="AT40" s="35"/>
      <c r="AU40" s="35"/>
      <c r="AV40" s="35"/>
      <c r="AW40" s="35"/>
      <c r="AX40" s="35"/>
      <c r="AY40" s="35"/>
      <c r="AZ40" s="35"/>
      <c r="BA40" s="35"/>
      <c r="BB40" s="35"/>
      <c r="BC40" s="35"/>
      <c r="BD40" s="35"/>
      <c r="BE40" s="35"/>
      <c r="BF40" s="35"/>
      <c r="BG40" s="35"/>
      <c r="BH40" s="35"/>
      <c r="BI40" s="35"/>
      <c r="BJ40" s="35"/>
      <c r="BK40" s="35"/>
      <c r="BL40" s="35"/>
    </row>
    <row r="41" spans="1:64" ht="14">
      <c r="A41" s="36"/>
      <c r="B41" s="39"/>
      <c r="C41" s="39"/>
      <c r="D41" s="39"/>
      <c r="E41" s="229"/>
      <c r="F41" s="229"/>
      <c r="G41" s="40"/>
      <c r="H41" s="39"/>
      <c r="I41" s="91" t="str">
        <f t="shared" si="0"/>
        <v/>
      </c>
      <c r="J41" s="39"/>
      <c r="K41" s="35"/>
      <c r="L41" s="35"/>
      <c r="M41" s="35"/>
      <c r="N41" s="35"/>
      <c r="O41" s="35"/>
      <c r="P41" s="35"/>
      <c r="Q41" s="35"/>
      <c r="R41" s="35"/>
      <c r="S41" s="35"/>
      <c r="T41" s="35"/>
      <c r="U41" s="35"/>
      <c r="V41" s="35"/>
      <c r="W41" s="35"/>
      <c r="X41" s="35"/>
      <c r="Y41" s="35"/>
      <c r="Z41" s="35"/>
      <c r="AA41" s="35"/>
      <c r="AB41" s="35"/>
      <c r="AC41" s="35"/>
      <c r="AD41" s="35"/>
      <c r="AE41" s="35"/>
      <c r="AF41" s="35"/>
      <c r="AG41" s="35"/>
      <c r="AH41" s="35"/>
      <c r="AI41" s="35"/>
      <c r="AJ41" s="35"/>
      <c r="AK41" s="35"/>
      <c r="AL41" s="35"/>
      <c r="AM41" s="35"/>
      <c r="AN41" s="35"/>
      <c r="AO41" s="35"/>
      <c r="AP41" s="35"/>
      <c r="AQ41" s="35"/>
      <c r="AR41" s="35"/>
      <c r="AS41" s="35"/>
      <c r="AT41" s="35"/>
      <c r="AU41" s="35"/>
      <c r="AV41" s="35"/>
      <c r="AW41" s="35"/>
      <c r="AX41" s="35"/>
      <c r="AY41" s="35"/>
      <c r="AZ41" s="35"/>
      <c r="BA41" s="35"/>
      <c r="BB41" s="35"/>
      <c r="BC41" s="35"/>
      <c r="BD41" s="35"/>
      <c r="BE41" s="35"/>
      <c r="BF41" s="35"/>
      <c r="BG41" s="35"/>
      <c r="BH41" s="35"/>
      <c r="BI41" s="35"/>
      <c r="BJ41" s="35"/>
      <c r="BK41" s="35"/>
      <c r="BL41" s="35"/>
    </row>
    <row r="42" spans="1:64" ht="14">
      <c r="A42" s="36"/>
      <c r="B42" s="39"/>
      <c r="C42" s="39"/>
      <c r="D42" s="39"/>
      <c r="E42" s="229"/>
      <c r="F42" s="229"/>
      <c r="G42" s="40"/>
      <c r="H42" s="39"/>
      <c r="I42" s="91" t="str">
        <f t="shared" si="0"/>
        <v/>
      </c>
      <c r="J42" s="39"/>
      <c r="K42" s="35"/>
      <c r="L42" s="35"/>
      <c r="M42" s="35"/>
      <c r="N42" s="35"/>
      <c r="O42" s="35"/>
      <c r="P42" s="35"/>
      <c r="Q42" s="35"/>
      <c r="R42" s="35"/>
      <c r="S42" s="35"/>
      <c r="T42" s="35"/>
      <c r="U42" s="35"/>
      <c r="V42" s="35"/>
      <c r="W42" s="35"/>
      <c r="X42" s="35"/>
      <c r="Y42" s="35"/>
      <c r="Z42" s="35"/>
      <c r="AA42" s="35"/>
      <c r="AB42" s="35"/>
      <c r="AC42" s="35"/>
      <c r="AD42" s="35"/>
      <c r="AE42" s="35"/>
      <c r="AF42" s="35"/>
      <c r="AG42" s="35"/>
      <c r="AH42" s="35"/>
      <c r="AI42" s="35"/>
      <c r="AJ42" s="35"/>
      <c r="AK42" s="35"/>
      <c r="AL42" s="35"/>
      <c r="AM42" s="35"/>
      <c r="AN42" s="35"/>
      <c r="AO42" s="35"/>
      <c r="AP42" s="35"/>
      <c r="AQ42" s="35"/>
      <c r="AR42" s="35"/>
      <c r="AS42" s="35"/>
      <c r="AT42" s="35"/>
      <c r="AU42" s="35"/>
      <c r="AV42" s="35"/>
      <c r="AW42" s="35"/>
      <c r="AX42" s="35"/>
      <c r="AY42" s="35"/>
      <c r="AZ42" s="35"/>
      <c r="BA42" s="35"/>
      <c r="BB42" s="35"/>
      <c r="BC42" s="35"/>
      <c r="BD42" s="35"/>
      <c r="BE42" s="35"/>
      <c r="BF42" s="35"/>
      <c r="BG42" s="35"/>
      <c r="BH42" s="35"/>
      <c r="BI42" s="35"/>
      <c r="BJ42" s="35"/>
      <c r="BK42" s="35"/>
      <c r="BL42" s="35"/>
    </row>
    <row r="43" spans="1:64" ht="14">
      <c r="A43" s="36"/>
      <c r="B43" s="39"/>
      <c r="C43" s="39"/>
      <c r="D43" s="39"/>
      <c r="E43" s="229"/>
      <c r="F43" s="229"/>
      <c r="G43" s="40"/>
      <c r="H43" s="39"/>
      <c r="I43" s="91" t="str">
        <f t="shared" ref="I43:I74" si="1">IF(H43="ALI",35,IF(H43="AIE",15,""))</f>
        <v/>
      </c>
      <c r="J43" s="39"/>
      <c r="K43" s="35"/>
      <c r="L43" s="35"/>
      <c r="M43" s="35"/>
      <c r="N43" s="35"/>
      <c r="O43" s="35"/>
      <c r="P43" s="35"/>
      <c r="Q43" s="35"/>
      <c r="R43" s="35"/>
      <c r="S43" s="35"/>
      <c r="T43" s="35"/>
      <c r="U43" s="35"/>
      <c r="V43" s="35"/>
      <c r="W43" s="35"/>
      <c r="X43" s="35"/>
      <c r="Y43" s="35"/>
      <c r="Z43" s="35"/>
      <c r="AA43" s="35"/>
      <c r="AB43" s="35"/>
      <c r="AC43" s="35"/>
      <c r="AD43" s="35"/>
      <c r="AE43" s="35"/>
      <c r="AF43" s="35"/>
      <c r="AG43" s="35"/>
      <c r="AH43" s="35"/>
      <c r="AI43" s="35"/>
      <c r="AJ43" s="35"/>
      <c r="AK43" s="35"/>
      <c r="AL43" s="35"/>
      <c r="AM43" s="35"/>
      <c r="AN43" s="35"/>
      <c r="AO43" s="35"/>
      <c r="AP43" s="35"/>
      <c r="AQ43" s="35"/>
      <c r="AR43" s="35"/>
      <c r="AS43" s="35"/>
      <c r="AT43" s="35"/>
      <c r="AU43" s="35"/>
      <c r="AV43" s="35"/>
      <c r="AW43" s="35"/>
      <c r="AX43" s="35"/>
      <c r="AY43" s="35"/>
      <c r="AZ43" s="35"/>
      <c r="BA43" s="35"/>
      <c r="BB43" s="35"/>
      <c r="BC43" s="35"/>
      <c r="BD43" s="35"/>
      <c r="BE43" s="35"/>
      <c r="BF43" s="35"/>
      <c r="BG43" s="35"/>
      <c r="BH43" s="35"/>
      <c r="BI43" s="35"/>
      <c r="BJ43" s="35"/>
      <c r="BK43" s="35"/>
      <c r="BL43" s="35"/>
    </row>
    <row r="44" spans="1:64" ht="14">
      <c r="A44" s="36"/>
      <c r="B44" s="39"/>
      <c r="C44" s="39"/>
      <c r="D44" s="39"/>
      <c r="E44" s="229"/>
      <c r="F44" s="229"/>
      <c r="G44" s="40"/>
      <c r="H44" s="39"/>
      <c r="I44" s="91" t="str">
        <f t="shared" si="1"/>
        <v/>
      </c>
      <c r="J44" s="39"/>
      <c r="K44" s="35"/>
      <c r="L44" s="35"/>
      <c r="M44" s="35"/>
      <c r="N44" s="35"/>
      <c r="O44" s="35"/>
      <c r="P44" s="35"/>
      <c r="Q44" s="35"/>
      <c r="R44" s="35"/>
      <c r="S44" s="35"/>
      <c r="T44" s="35"/>
      <c r="U44" s="35"/>
      <c r="V44" s="35"/>
      <c r="W44" s="35"/>
      <c r="X44" s="35"/>
      <c r="Y44" s="35"/>
      <c r="Z44" s="35"/>
      <c r="AA44" s="35"/>
      <c r="AB44" s="35"/>
      <c r="AC44" s="35"/>
      <c r="AD44" s="35"/>
      <c r="AE44" s="35"/>
      <c r="AF44" s="35"/>
      <c r="AG44" s="35"/>
      <c r="AH44" s="35"/>
      <c r="AI44" s="35"/>
      <c r="AJ44" s="35"/>
      <c r="AK44" s="35"/>
      <c r="AL44" s="35"/>
      <c r="AM44" s="35"/>
      <c r="AN44" s="35"/>
      <c r="AO44" s="35"/>
      <c r="AP44" s="35"/>
      <c r="AQ44" s="35"/>
      <c r="AR44" s="35"/>
      <c r="AS44" s="35"/>
      <c r="AT44" s="35"/>
      <c r="AU44" s="35"/>
      <c r="AV44" s="35"/>
      <c r="AW44" s="35"/>
      <c r="AX44" s="35"/>
      <c r="AY44" s="35"/>
      <c r="AZ44" s="35"/>
      <c r="BA44" s="35"/>
      <c r="BB44" s="35"/>
      <c r="BC44" s="35"/>
      <c r="BD44" s="35"/>
      <c r="BE44" s="35"/>
      <c r="BF44" s="35"/>
      <c r="BG44" s="35"/>
      <c r="BH44" s="35"/>
      <c r="BI44" s="35"/>
      <c r="BJ44" s="35"/>
      <c r="BK44" s="35"/>
      <c r="BL44" s="35"/>
    </row>
    <row r="45" spans="1:64" ht="14">
      <c r="A45" s="36"/>
      <c r="B45" s="39"/>
      <c r="C45" s="39"/>
      <c r="D45" s="39"/>
      <c r="E45" s="229"/>
      <c r="F45" s="229"/>
      <c r="G45" s="40"/>
      <c r="H45" s="39"/>
      <c r="I45" s="91" t="str">
        <f t="shared" si="1"/>
        <v/>
      </c>
      <c r="J45" s="39"/>
      <c r="K45" s="35"/>
      <c r="L45" s="35"/>
      <c r="M45" s="35"/>
      <c r="N45" s="35"/>
      <c r="O45" s="35"/>
      <c r="P45" s="35"/>
      <c r="Q45" s="35"/>
      <c r="R45" s="35"/>
      <c r="S45" s="35"/>
      <c r="T45" s="35"/>
      <c r="U45" s="35"/>
      <c r="V45" s="35"/>
      <c r="W45" s="35"/>
      <c r="X45" s="35"/>
      <c r="Y45" s="35"/>
      <c r="Z45" s="35"/>
      <c r="AA45" s="35"/>
      <c r="AB45" s="35"/>
      <c r="AC45" s="35"/>
      <c r="AD45" s="35"/>
      <c r="AE45" s="35"/>
      <c r="AF45" s="35"/>
      <c r="AG45" s="35"/>
      <c r="AH45" s="35"/>
      <c r="AI45" s="35"/>
      <c r="AJ45" s="35"/>
      <c r="AK45" s="35"/>
      <c r="AL45" s="35"/>
      <c r="AM45" s="35"/>
      <c r="AN45" s="35"/>
      <c r="AO45" s="35"/>
      <c r="AP45" s="35"/>
      <c r="AQ45" s="35"/>
      <c r="AR45" s="35"/>
      <c r="AS45" s="35"/>
      <c r="AT45" s="35"/>
      <c r="AU45" s="35"/>
      <c r="AV45" s="35"/>
      <c r="AW45" s="35"/>
      <c r="AX45" s="35"/>
      <c r="AY45" s="35"/>
      <c r="AZ45" s="35"/>
      <c r="BA45" s="35"/>
      <c r="BB45" s="35"/>
      <c r="BC45" s="35"/>
      <c r="BD45" s="35"/>
      <c r="BE45" s="35"/>
      <c r="BF45" s="35"/>
      <c r="BG45" s="35"/>
      <c r="BH45" s="35"/>
      <c r="BI45" s="35"/>
      <c r="BJ45" s="35"/>
      <c r="BK45" s="35"/>
      <c r="BL45" s="35"/>
    </row>
    <row r="46" spans="1:64" ht="14">
      <c r="A46" s="36"/>
      <c r="B46" s="39"/>
      <c r="C46" s="39"/>
      <c r="D46" s="39"/>
      <c r="E46" s="229"/>
      <c r="F46" s="229"/>
      <c r="G46" s="40"/>
      <c r="H46" s="39"/>
      <c r="I46" s="91" t="str">
        <f t="shared" si="1"/>
        <v/>
      </c>
      <c r="J46" s="39"/>
      <c r="K46" s="35"/>
      <c r="L46" s="35"/>
      <c r="M46" s="35"/>
      <c r="N46" s="35"/>
      <c r="O46" s="35"/>
      <c r="P46" s="35"/>
      <c r="Q46" s="35"/>
      <c r="R46" s="35"/>
      <c r="S46" s="35"/>
      <c r="T46" s="35"/>
      <c r="U46" s="35"/>
      <c r="V46" s="35"/>
      <c r="W46" s="35"/>
      <c r="X46" s="35"/>
      <c r="Y46" s="35"/>
      <c r="Z46" s="35"/>
      <c r="AA46" s="35"/>
      <c r="AB46" s="35"/>
      <c r="AC46" s="35"/>
      <c r="AD46" s="35"/>
      <c r="AE46" s="35"/>
      <c r="AF46" s="35"/>
      <c r="AG46" s="35"/>
      <c r="AH46" s="35"/>
      <c r="AI46" s="35"/>
      <c r="AJ46" s="35"/>
      <c r="AK46" s="35"/>
      <c r="AL46" s="35"/>
      <c r="AM46" s="35"/>
      <c r="AN46" s="35"/>
      <c r="AO46" s="35"/>
      <c r="AP46" s="35"/>
      <c r="AQ46" s="35"/>
      <c r="AR46" s="35"/>
      <c r="AS46" s="35"/>
      <c r="AT46" s="35"/>
      <c r="AU46" s="35"/>
      <c r="AV46" s="35"/>
      <c r="AW46" s="35"/>
      <c r="AX46" s="35"/>
      <c r="AY46" s="35"/>
      <c r="AZ46" s="35"/>
      <c r="BA46" s="35"/>
      <c r="BB46" s="35"/>
      <c r="BC46" s="35"/>
      <c r="BD46" s="35"/>
      <c r="BE46" s="35"/>
      <c r="BF46" s="35"/>
      <c r="BG46" s="35"/>
      <c r="BH46" s="35"/>
      <c r="BI46" s="35"/>
      <c r="BJ46" s="35"/>
      <c r="BK46" s="35"/>
      <c r="BL46" s="35"/>
    </row>
    <row r="47" spans="1:64" ht="14">
      <c r="A47" s="36"/>
      <c r="B47" s="39"/>
      <c r="C47" s="39"/>
      <c r="D47" s="39"/>
      <c r="E47" s="229"/>
      <c r="F47" s="229"/>
      <c r="G47" s="40"/>
      <c r="H47" s="39"/>
      <c r="I47" s="91" t="str">
        <f t="shared" si="1"/>
        <v/>
      </c>
      <c r="J47" s="39"/>
      <c r="K47" s="35"/>
      <c r="L47" s="35"/>
      <c r="M47" s="35"/>
      <c r="N47" s="35"/>
      <c r="O47" s="35"/>
      <c r="P47" s="35"/>
      <c r="Q47" s="35"/>
      <c r="R47" s="35"/>
      <c r="S47" s="35"/>
      <c r="T47" s="35"/>
      <c r="U47" s="35"/>
      <c r="V47" s="35"/>
      <c r="W47" s="35"/>
      <c r="X47" s="35"/>
      <c r="Y47" s="35"/>
      <c r="Z47" s="35"/>
      <c r="AA47" s="35"/>
      <c r="AB47" s="35"/>
      <c r="AC47" s="35"/>
      <c r="AD47" s="35"/>
      <c r="AE47" s="35"/>
      <c r="AF47" s="35"/>
      <c r="AG47" s="35"/>
      <c r="AH47" s="35"/>
      <c r="AI47" s="35"/>
      <c r="AJ47" s="35"/>
      <c r="AK47" s="35"/>
      <c r="AL47" s="35"/>
      <c r="AM47" s="35"/>
      <c r="AN47" s="35"/>
      <c r="AO47" s="35"/>
      <c r="AP47" s="35"/>
      <c r="AQ47" s="35"/>
      <c r="AR47" s="35"/>
      <c r="AS47" s="35"/>
      <c r="AT47" s="35"/>
      <c r="AU47" s="35"/>
      <c r="AV47" s="35"/>
      <c r="AW47" s="35"/>
      <c r="AX47" s="35"/>
      <c r="AY47" s="35"/>
      <c r="AZ47" s="35"/>
      <c r="BA47" s="35"/>
      <c r="BB47" s="35"/>
      <c r="BC47" s="35"/>
      <c r="BD47" s="35"/>
      <c r="BE47" s="35"/>
      <c r="BF47" s="35"/>
      <c r="BG47" s="35"/>
      <c r="BH47" s="35"/>
      <c r="BI47" s="35"/>
      <c r="BJ47" s="35"/>
      <c r="BK47" s="35"/>
      <c r="BL47" s="35"/>
    </row>
    <row r="48" spans="1:64" ht="14">
      <c r="A48" s="36"/>
      <c r="B48" s="39"/>
      <c r="C48" s="39"/>
      <c r="D48" s="39"/>
      <c r="E48" s="229"/>
      <c r="F48" s="229"/>
      <c r="G48" s="40"/>
      <c r="H48" s="39"/>
      <c r="I48" s="91" t="str">
        <f t="shared" si="1"/>
        <v/>
      </c>
      <c r="J48" s="39"/>
      <c r="K48" s="35"/>
      <c r="L48" s="35"/>
      <c r="M48" s="35"/>
      <c r="N48" s="35"/>
      <c r="O48" s="35"/>
      <c r="P48" s="35"/>
      <c r="Q48" s="35"/>
      <c r="R48" s="35"/>
      <c r="S48" s="35"/>
      <c r="T48" s="35"/>
      <c r="U48" s="35"/>
      <c r="V48" s="35"/>
      <c r="W48" s="35"/>
      <c r="X48" s="35"/>
      <c r="Y48" s="35"/>
      <c r="Z48" s="35"/>
      <c r="AA48" s="35"/>
      <c r="AB48" s="35"/>
      <c r="AC48" s="35"/>
      <c r="AD48" s="35"/>
      <c r="AE48" s="35"/>
      <c r="AF48" s="35"/>
      <c r="AG48" s="35"/>
      <c r="AH48" s="35"/>
      <c r="AI48" s="35"/>
      <c r="AJ48" s="35"/>
      <c r="AK48" s="35"/>
      <c r="AL48" s="35"/>
      <c r="AM48" s="35"/>
      <c r="AN48" s="35"/>
      <c r="AO48" s="35"/>
      <c r="AP48" s="35"/>
      <c r="AQ48" s="35"/>
      <c r="AR48" s="35"/>
      <c r="AS48" s="35"/>
      <c r="AT48" s="35"/>
      <c r="AU48" s="35"/>
      <c r="AV48" s="35"/>
      <c r="AW48" s="35"/>
      <c r="AX48" s="35"/>
      <c r="AY48" s="35"/>
      <c r="AZ48" s="35"/>
      <c r="BA48" s="35"/>
      <c r="BB48" s="35"/>
      <c r="BC48" s="35"/>
      <c r="BD48" s="35"/>
      <c r="BE48" s="35"/>
      <c r="BF48" s="35"/>
      <c r="BG48" s="35"/>
      <c r="BH48" s="35"/>
      <c r="BI48" s="35"/>
      <c r="BJ48" s="35"/>
      <c r="BK48" s="35"/>
      <c r="BL48" s="35"/>
    </row>
    <row r="49" spans="1:64" ht="14">
      <c r="A49" s="36"/>
      <c r="B49" s="39"/>
      <c r="C49" s="39"/>
      <c r="D49" s="39"/>
      <c r="E49" s="229"/>
      <c r="F49" s="229"/>
      <c r="G49" s="40"/>
      <c r="H49" s="39"/>
      <c r="I49" s="91" t="str">
        <f t="shared" si="1"/>
        <v/>
      </c>
      <c r="J49" s="39"/>
      <c r="K49" s="35"/>
      <c r="L49" s="35"/>
      <c r="M49" s="35"/>
      <c r="N49" s="35"/>
      <c r="O49" s="35"/>
      <c r="P49" s="35"/>
      <c r="Q49" s="35"/>
      <c r="R49" s="35"/>
      <c r="S49" s="35"/>
      <c r="T49" s="35"/>
      <c r="U49" s="35"/>
      <c r="V49" s="35"/>
      <c r="W49" s="35"/>
      <c r="X49" s="35"/>
      <c r="Y49" s="35"/>
      <c r="Z49" s="35"/>
      <c r="AA49" s="35"/>
      <c r="AB49" s="35"/>
      <c r="AC49" s="35"/>
      <c r="AD49" s="35"/>
      <c r="AE49" s="35"/>
      <c r="AF49" s="35"/>
      <c r="AG49" s="35"/>
      <c r="AH49" s="35"/>
      <c r="AI49" s="35"/>
      <c r="AJ49" s="35"/>
      <c r="AK49" s="35"/>
      <c r="AL49" s="35"/>
      <c r="AM49" s="35"/>
      <c r="AN49" s="35"/>
      <c r="AO49" s="35"/>
      <c r="AP49" s="35"/>
      <c r="AQ49" s="35"/>
      <c r="AR49" s="35"/>
      <c r="AS49" s="35"/>
      <c r="AT49" s="35"/>
      <c r="AU49" s="35"/>
      <c r="AV49" s="35"/>
      <c r="AW49" s="35"/>
      <c r="AX49" s="35"/>
      <c r="AY49" s="35"/>
      <c r="AZ49" s="35"/>
      <c r="BA49" s="35"/>
      <c r="BB49" s="35"/>
      <c r="BC49" s="35"/>
      <c r="BD49" s="35"/>
      <c r="BE49" s="35"/>
      <c r="BF49" s="35"/>
      <c r="BG49" s="35"/>
      <c r="BH49" s="35"/>
      <c r="BI49" s="35"/>
      <c r="BJ49" s="35"/>
      <c r="BK49" s="35"/>
      <c r="BL49" s="35"/>
    </row>
    <row r="50" spans="1:64" ht="14">
      <c r="A50" s="36"/>
      <c r="B50" s="39"/>
      <c r="C50" s="39"/>
      <c r="D50" s="39"/>
      <c r="E50" s="229"/>
      <c r="F50" s="229"/>
      <c r="G50" s="40"/>
      <c r="H50" s="39"/>
      <c r="I50" s="91" t="str">
        <f t="shared" si="1"/>
        <v/>
      </c>
      <c r="J50" s="39"/>
      <c r="K50" s="35"/>
      <c r="L50" s="35"/>
      <c r="M50" s="35"/>
      <c r="N50" s="35"/>
      <c r="O50" s="35"/>
      <c r="P50" s="35"/>
      <c r="Q50" s="35"/>
      <c r="R50" s="35"/>
      <c r="S50" s="35"/>
      <c r="T50" s="35"/>
      <c r="U50" s="35"/>
      <c r="V50" s="35"/>
      <c r="W50" s="35"/>
      <c r="X50" s="35"/>
      <c r="Y50" s="35"/>
      <c r="Z50" s="35"/>
      <c r="AA50" s="35"/>
      <c r="AB50" s="35"/>
      <c r="AC50" s="35"/>
      <c r="AD50" s="35"/>
      <c r="AE50" s="35"/>
      <c r="AF50" s="35"/>
      <c r="AG50" s="35"/>
      <c r="AH50" s="35"/>
      <c r="AI50" s="35"/>
      <c r="AJ50" s="35"/>
      <c r="AK50" s="35"/>
      <c r="AL50" s="35"/>
      <c r="AM50" s="35"/>
      <c r="AN50" s="35"/>
      <c r="AO50" s="35"/>
      <c r="AP50" s="35"/>
      <c r="AQ50" s="35"/>
      <c r="AR50" s="35"/>
      <c r="AS50" s="35"/>
      <c r="AT50" s="35"/>
      <c r="AU50" s="35"/>
      <c r="AV50" s="35"/>
      <c r="AW50" s="35"/>
      <c r="AX50" s="35"/>
      <c r="AY50" s="35"/>
      <c r="AZ50" s="35"/>
      <c r="BA50" s="35"/>
      <c r="BB50" s="35"/>
      <c r="BC50" s="35"/>
      <c r="BD50" s="35"/>
      <c r="BE50" s="35"/>
      <c r="BF50" s="35"/>
      <c r="BG50" s="35"/>
      <c r="BH50" s="35"/>
      <c r="BI50" s="35"/>
      <c r="BJ50" s="35"/>
      <c r="BK50" s="35"/>
      <c r="BL50" s="35"/>
    </row>
    <row r="51" spans="1:64" ht="14">
      <c r="A51" s="36"/>
      <c r="B51" s="39"/>
      <c r="C51" s="39"/>
      <c r="D51" s="39"/>
      <c r="E51" s="229"/>
      <c r="F51" s="229"/>
      <c r="G51" s="40"/>
      <c r="H51" s="39"/>
      <c r="I51" s="91" t="str">
        <f t="shared" si="1"/>
        <v/>
      </c>
      <c r="J51" s="39"/>
      <c r="K51" s="35"/>
      <c r="L51" s="35"/>
      <c r="M51" s="35"/>
      <c r="N51" s="35"/>
      <c r="O51" s="35"/>
      <c r="P51" s="35"/>
      <c r="Q51" s="35"/>
      <c r="R51" s="35"/>
      <c r="S51" s="35"/>
      <c r="T51" s="35"/>
      <c r="U51" s="35"/>
      <c r="V51" s="35"/>
      <c r="W51" s="35"/>
      <c r="X51" s="35"/>
      <c r="Y51" s="35"/>
      <c r="Z51" s="35"/>
      <c r="AA51" s="35"/>
      <c r="AB51" s="35"/>
      <c r="AC51" s="35"/>
      <c r="AD51" s="35"/>
      <c r="AE51" s="35"/>
      <c r="AF51" s="35"/>
      <c r="AG51" s="35"/>
      <c r="AH51" s="35"/>
      <c r="AI51" s="35"/>
      <c r="AJ51" s="35"/>
      <c r="AK51" s="35"/>
      <c r="AL51" s="35"/>
      <c r="AM51" s="35"/>
      <c r="AN51" s="35"/>
      <c r="AO51" s="35"/>
      <c r="AP51" s="35"/>
      <c r="AQ51" s="35"/>
      <c r="AR51" s="35"/>
      <c r="AS51" s="35"/>
      <c r="AT51" s="35"/>
      <c r="AU51" s="35"/>
      <c r="AV51" s="35"/>
      <c r="AW51" s="35"/>
      <c r="AX51" s="35"/>
      <c r="AY51" s="35"/>
      <c r="AZ51" s="35"/>
      <c r="BA51" s="35"/>
      <c r="BB51" s="35"/>
      <c r="BC51" s="35"/>
      <c r="BD51" s="35"/>
      <c r="BE51" s="35"/>
      <c r="BF51" s="35"/>
      <c r="BG51" s="35"/>
      <c r="BH51" s="35"/>
      <c r="BI51" s="35"/>
      <c r="BJ51" s="35"/>
      <c r="BK51" s="35"/>
      <c r="BL51" s="35"/>
    </row>
    <row r="52" spans="1:64" ht="14">
      <c r="A52" s="36"/>
      <c r="B52" s="39"/>
      <c r="C52" s="39"/>
      <c r="D52" s="39"/>
      <c r="E52" s="229"/>
      <c r="F52" s="229"/>
      <c r="G52" s="40"/>
      <c r="H52" s="39"/>
      <c r="I52" s="91" t="str">
        <f t="shared" si="1"/>
        <v/>
      </c>
      <c r="J52" s="39"/>
      <c r="K52" s="35"/>
      <c r="L52" s="35"/>
      <c r="M52" s="35"/>
      <c r="N52" s="35"/>
      <c r="O52" s="35"/>
      <c r="P52" s="35"/>
      <c r="Q52" s="35"/>
      <c r="R52" s="35"/>
      <c r="S52" s="35"/>
      <c r="T52" s="35"/>
      <c r="U52" s="35"/>
      <c r="V52" s="35"/>
      <c r="W52" s="35"/>
      <c r="X52" s="35"/>
      <c r="Y52" s="35"/>
      <c r="Z52" s="35"/>
      <c r="AA52" s="35"/>
      <c r="AB52" s="35"/>
      <c r="AC52" s="35"/>
      <c r="AD52" s="35"/>
      <c r="AE52" s="35"/>
      <c r="AF52" s="35"/>
      <c r="AG52" s="35"/>
      <c r="AH52" s="35"/>
      <c r="AI52" s="35"/>
      <c r="AJ52" s="35"/>
      <c r="AK52" s="35"/>
      <c r="AL52" s="35"/>
      <c r="AM52" s="35"/>
      <c r="AN52" s="35"/>
      <c r="AO52" s="35"/>
      <c r="AP52" s="35"/>
      <c r="AQ52" s="35"/>
      <c r="AR52" s="35"/>
      <c r="AS52" s="35"/>
      <c r="AT52" s="35"/>
      <c r="AU52" s="35"/>
      <c r="AV52" s="35"/>
      <c r="AW52" s="35"/>
      <c r="AX52" s="35"/>
      <c r="AY52" s="35"/>
      <c r="AZ52" s="35"/>
      <c r="BA52" s="35"/>
      <c r="BB52" s="35"/>
      <c r="BC52" s="35"/>
      <c r="BD52" s="35"/>
      <c r="BE52" s="35"/>
      <c r="BF52" s="35"/>
      <c r="BG52" s="35"/>
      <c r="BH52" s="35"/>
      <c r="BI52" s="35"/>
      <c r="BJ52" s="35"/>
      <c r="BK52" s="35"/>
      <c r="BL52" s="35"/>
    </row>
    <row r="53" spans="1:64" ht="14">
      <c r="A53" s="36"/>
      <c r="B53" s="39"/>
      <c r="C53" s="39"/>
      <c r="D53" s="39"/>
      <c r="E53" s="229"/>
      <c r="F53" s="229"/>
      <c r="G53" s="40"/>
      <c r="H53" s="39"/>
      <c r="I53" s="91" t="str">
        <f t="shared" si="1"/>
        <v/>
      </c>
      <c r="J53" s="39"/>
      <c r="K53" s="35"/>
      <c r="L53" s="35"/>
      <c r="M53" s="35"/>
      <c r="N53" s="35"/>
      <c r="O53" s="35"/>
      <c r="P53" s="35"/>
      <c r="Q53" s="35"/>
      <c r="R53" s="35"/>
      <c r="S53" s="35"/>
      <c r="T53" s="35"/>
      <c r="U53" s="35"/>
      <c r="V53" s="35"/>
      <c r="W53" s="35"/>
      <c r="X53" s="35"/>
      <c r="Y53" s="35"/>
      <c r="Z53" s="35"/>
      <c r="AA53" s="35"/>
      <c r="AB53" s="35"/>
      <c r="AC53" s="35"/>
      <c r="AD53" s="35"/>
      <c r="AE53" s="35"/>
      <c r="AF53" s="35"/>
      <c r="AG53" s="35"/>
      <c r="AH53" s="35"/>
      <c r="AI53" s="35"/>
      <c r="AJ53" s="35"/>
      <c r="AK53" s="35"/>
      <c r="AL53" s="35"/>
      <c r="AM53" s="35"/>
      <c r="AN53" s="35"/>
      <c r="AO53" s="35"/>
      <c r="AP53" s="35"/>
      <c r="AQ53" s="35"/>
      <c r="AR53" s="35"/>
      <c r="AS53" s="35"/>
      <c r="AT53" s="35"/>
      <c r="AU53" s="35"/>
      <c r="AV53" s="35"/>
      <c r="AW53" s="35"/>
      <c r="AX53" s="35"/>
      <c r="AY53" s="35"/>
      <c r="AZ53" s="35"/>
      <c r="BA53" s="35"/>
      <c r="BB53" s="35"/>
      <c r="BC53" s="35"/>
      <c r="BD53" s="35"/>
      <c r="BE53" s="35"/>
      <c r="BF53" s="35"/>
      <c r="BG53" s="35"/>
      <c r="BH53" s="35"/>
      <c r="BI53" s="35"/>
      <c r="BJ53" s="35"/>
      <c r="BK53" s="35"/>
      <c r="BL53" s="35"/>
    </row>
    <row r="54" spans="1:64" ht="14">
      <c r="A54" s="36"/>
      <c r="B54" s="39"/>
      <c r="C54" s="39"/>
      <c r="D54" s="39"/>
      <c r="E54" s="229"/>
      <c r="F54" s="229"/>
      <c r="G54" s="40"/>
      <c r="H54" s="39"/>
      <c r="I54" s="91" t="str">
        <f t="shared" si="1"/>
        <v/>
      </c>
      <c r="J54" s="39"/>
      <c r="K54" s="35"/>
      <c r="L54" s="35"/>
      <c r="M54" s="35"/>
      <c r="N54" s="35"/>
      <c r="O54" s="35"/>
      <c r="P54" s="35"/>
      <c r="Q54" s="35"/>
      <c r="R54" s="35"/>
      <c r="S54" s="35"/>
      <c r="T54" s="35"/>
      <c r="U54" s="35"/>
      <c r="V54" s="35"/>
      <c r="W54" s="35"/>
      <c r="X54" s="35"/>
      <c r="Y54" s="35"/>
      <c r="Z54" s="35"/>
      <c r="AA54" s="35"/>
      <c r="AB54" s="35"/>
      <c r="AC54" s="35"/>
      <c r="AD54" s="35"/>
      <c r="AE54" s="35"/>
      <c r="AF54" s="35"/>
      <c r="AG54" s="35"/>
      <c r="AH54" s="35"/>
      <c r="AI54" s="35"/>
      <c r="AJ54" s="35"/>
      <c r="AK54" s="35"/>
      <c r="AL54" s="35"/>
      <c r="AM54" s="35"/>
      <c r="AN54" s="35"/>
      <c r="AO54" s="35"/>
      <c r="AP54" s="35"/>
      <c r="AQ54" s="35"/>
      <c r="AR54" s="35"/>
      <c r="AS54" s="35"/>
      <c r="AT54" s="35"/>
      <c r="AU54" s="35"/>
      <c r="AV54" s="35"/>
      <c r="AW54" s="35"/>
      <c r="AX54" s="35"/>
      <c r="AY54" s="35"/>
      <c r="AZ54" s="35"/>
      <c r="BA54" s="35"/>
      <c r="BB54" s="35"/>
      <c r="BC54" s="35"/>
      <c r="BD54" s="35"/>
      <c r="BE54" s="35"/>
      <c r="BF54" s="35"/>
      <c r="BG54" s="35"/>
      <c r="BH54" s="35"/>
      <c r="BI54" s="35"/>
      <c r="BJ54" s="35"/>
      <c r="BK54" s="35"/>
      <c r="BL54" s="35"/>
    </row>
    <row r="55" spans="1:64" ht="14">
      <c r="A55" s="36"/>
      <c r="B55" s="39"/>
      <c r="C55" s="39"/>
      <c r="D55" s="39"/>
      <c r="E55" s="229"/>
      <c r="F55" s="229"/>
      <c r="G55" s="40"/>
      <c r="H55" s="39"/>
      <c r="I55" s="91" t="str">
        <f t="shared" si="1"/>
        <v/>
      </c>
      <c r="J55" s="39"/>
      <c r="K55" s="35"/>
      <c r="L55" s="35"/>
      <c r="M55" s="35"/>
      <c r="N55" s="35"/>
      <c r="O55" s="35"/>
      <c r="P55" s="35"/>
      <c r="Q55" s="35"/>
      <c r="R55" s="35"/>
      <c r="S55" s="35"/>
      <c r="T55" s="35"/>
      <c r="U55" s="35"/>
      <c r="V55" s="35"/>
      <c r="W55" s="35"/>
      <c r="X55" s="35"/>
      <c r="Y55" s="35"/>
      <c r="Z55" s="35"/>
      <c r="AA55" s="35"/>
      <c r="AB55" s="35"/>
      <c r="AC55" s="35"/>
      <c r="AD55" s="35"/>
      <c r="AE55" s="35"/>
      <c r="AF55" s="35"/>
      <c r="AG55" s="35"/>
      <c r="AH55" s="35"/>
      <c r="AI55" s="35"/>
      <c r="AJ55" s="35"/>
      <c r="AK55" s="35"/>
      <c r="AL55" s="35"/>
      <c r="AM55" s="35"/>
      <c r="AN55" s="35"/>
      <c r="AO55" s="35"/>
      <c r="AP55" s="35"/>
      <c r="AQ55" s="35"/>
      <c r="AR55" s="35"/>
      <c r="AS55" s="35"/>
      <c r="AT55" s="35"/>
      <c r="AU55" s="35"/>
      <c r="AV55" s="35"/>
      <c r="AW55" s="35"/>
      <c r="AX55" s="35"/>
      <c r="AY55" s="35"/>
      <c r="AZ55" s="35"/>
      <c r="BA55" s="35"/>
      <c r="BB55" s="35"/>
      <c r="BC55" s="35"/>
      <c r="BD55" s="35"/>
      <c r="BE55" s="35"/>
      <c r="BF55" s="35"/>
      <c r="BG55" s="35"/>
      <c r="BH55" s="35"/>
      <c r="BI55" s="35"/>
      <c r="BJ55" s="35"/>
      <c r="BK55" s="35"/>
      <c r="BL55" s="35"/>
    </row>
    <row r="56" spans="1:64" ht="14">
      <c r="A56" s="36"/>
      <c r="B56" s="39"/>
      <c r="C56" s="39"/>
      <c r="D56" s="39"/>
      <c r="E56" s="229"/>
      <c r="F56" s="229"/>
      <c r="G56" s="40"/>
      <c r="H56" s="39"/>
      <c r="I56" s="91" t="str">
        <f t="shared" si="1"/>
        <v/>
      </c>
      <c r="J56" s="39"/>
      <c r="K56" s="35"/>
      <c r="L56" s="35"/>
      <c r="M56" s="35"/>
      <c r="N56" s="35"/>
      <c r="O56" s="35"/>
      <c r="P56" s="35"/>
      <c r="Q56" s="35"/>
      <c r="R56" s="35"/>
      <c r="S56" s="35"/>
      <c r="T56" s="35"/>
      <c r="U56" s="35"/>
      <c r="V56" s="35"/>
      <c r="W56" s="35"/>
      <c r="X56" s="35"/>
      <c r="Y56" s="35"/>
      <c r="Z56" s="35"/>
      <c r="AA56" s="35"/>
      <c r="AB56" s="35"/>
      <c r="AC56" s="35"/>
      <c r="AD56" s="35"/>
      <c r="AE56" s="35"/>
      <c r="AF56" s="35"/>
      <c r="AG56" s="35"/>
      <c r="AH56" s="35"/>
      <c r="AI56" s="35"/>
      <c r="AJ56" s="35"/>
      <c r="AK56" s="35"/>
      <c r="AL56" s="35"/>
      <c r="AM56" s="35"/>
      <c r="AN56" s="35"/>
      <c r="AO56" s="35"/>
      <c r="AP56" s="35"/>
      <c r="AQ56" s="35"/>
      <c r="AR56" s="35"/>
      <c r="AS56" s="35"/>
      <c r="AT56" s="35"/>
      <c r="AU56" s="35"/>
      <c r="AV56" s="35"/>
      <c r="AW56" s="35"/>
      <c r="AX56" s="35"/>
      <c r="AY56" s="35"/>
      <c r="AZ56" s="35"/>
      <c r="BA56" s="35"/>
      <c r="BB56" s="35"/>
      <c r="BC56" s="35"/>
      <c r="BD56" s="35"/>
      <c r="BE56" s="35"/>
      <c r="BF56" s="35"/>
      <c r="BG56" s="35"/>
      <c r="BH56" s="35"/>
      <c r="BI56" s="35"/>
      <c r="BJ56" s="35"/>
      <c r="BK56" s="35"/>
      <c r="BL56" s="35"/>
    </row>
    <row r="57" spans="1:64" ht="14">
      <c r="A57" s="36"/>
      <c r="B57" s="39"/>
      <c r="C57" s="39"/>
      <c r="D57" s="39"/>
      <c r="E57" s="229"/>
      <c r="F57" s="229"/>
      <c r="G57" s="40"/>
      <c r="H57" s="39"/>
      <c r="I57" s="91" t="str">
        <f t="shared" si="1"/>
        <v/>
      </c>
      <c r="J57" s="39"/>
      <c r="K57" s="35"/>
      <c r="L57" s="35"/>
      <c r="M57" s="35"/>
      <c r="N57" s="35"/>
      <c r="O57" s="35"/>
      <c r="P57" s="35"/>
      <c r="Q57" s="35"/>
      <c r="R57" s="35"/>
      <c r="S57" s="35"/>
      <c r="T57" s="35"/>
      <c r="U57" s="35"/>
      <c r="V57" s="35"/>
      <c r="W57" s="35"/>
      <c r="X57" s="35"/>
      <c r="Y57" s="35"/>
      <c r="Z57" s="35"/>
      <c r="AA57" s="35"/>
      <c r="AB57" s="35"/>
      <c r="AC57" s="35"/>
      <c r="AD57" s="35"/>
      <c r="AE57" s="35"/>
      <c r="AF57" s="35"/>
      <c r="AG57" s="35"/>
      <c r="AH57" s="35"/>
      <c r="AI57" s="35"/>
      <c r="AJ57" s="35"/>
      <c r="AK57" s="35"/>
      <c r="AL57" s="35"/>
      <c r="AM57" s="35"/>
      <c r="AN57" s="35"/>
      <c r="AO57" s="35"/>
      <c r="AP57" s="35"/>
      <c r="AQ57" s="35"/>
      <c r="AR57" s="35"/>
      <c r="AS57" s="35"/>
      <c r="AT57" s="35"/>
      <c r="AU57" s="35"/>
      <c r="AV57" s="35"/>
      <c r="AW57" s="35"/>
      <c r="AX57" s="35"/>
      <c r="AY57" s="35"/>
      <c r="AZ57" s="35"/>
      <c r="BA57" s="35"/>
      <c r="BB57" s="35"/>
      <c r="BC57" s="35"/>
      <c r="BD57" s="35"/>
      <c r="BE57" s="35"/>
      <c r="BF57" s="35"/>
      <c r="BG57" s="35"/>
      <c r="BH57" s="35"/>
      <c r="BI57" s="35"/>
      <c r="BJ57" s="35"/>
      <c r="BK57" s="35"/>
      <c r="BL57" s="35"/>
    </row>
    <row r="58" spans="1:64" ht="14">
      <c r="A58" s="36"/>
      <c r="B58" s="39"/>
      <c r="C58" s="39"/>
      <c r="D58" s="39"/>
      <c r="E58" s="229"/>
      <c r="F58" s="229"/>
      <c r="G58" s="40"/>
      <c r="H58" s="39"/>
      <c r="I58" s="91" t="str">
        <f t="shared" si="1"/>
        <v/>
      </c>
      <c r="J58" s="39"/>
      <c r="K58" s="35"/>
      <c r="L58" s="35"/>
      <c r="M58" s="35"/>
      <c r="N58" s="35"/>
      <c r="O58" s="35"/>
      <c r="P58" s="35"/>
      <c r="Q58" s="35"/>
      <c r="R58" s="35"/>
      <c r="S58" s="35"/>
      <c r="T58" s="35"/>
      <c r="U58" s="35"/>
      <c r="V58" s="35"/>
      <c r="W58" s="35"/>
      <c r="X58" s="35"/>
      <c r="Y58" s="35"/>
      <c r="Z58" s="35"/>
      <c r="AA58" s="35"/>
      <c r="AB58" s="35"/>
      <c r="AC58" s="35"/>
      <c r="AD58" s="35"/>
      <c r="AE58" s="35"/>
      <c r="AF58" s="35"/>
      <c r="AG58" s="35"/>
      <c r="AH58" s="35"/>
      <c r="AI58" s="35"/>
      <c r="AJ58" s="35"/>
      <c r="AK58" s="35"/>
      <c r="AL58" s="35"/>
      <c r="AM58" s="35"/>
      <c r="AN58" s="35"/>
      <c r="AO58" s="35"/>
      <c r="AP58" s="35"/>
      <c r="AQ58" s="35"/>
      <c r="AR58" s="35"/>
      <c r="AS58" s="35"/>
      <c r="AT58" s="35"/>
      <c r="AU58" s="35"/>
      <c r="AV58" s="35"/>
      <c r="AW58" s="35"/>
      <c r="AX58" s="35"/>
      <c r="AY58" s="35"/>
      <c r="AZ58" s="35"/>
      <c r="BA58" s="35"/>
      <c r="BB58" s="35"/>
      <c r="BC58" s="35"/>
      <c r="BD58" s="35"/>
      <c r="BE58" s="35"/>
      <c r="BF58" s="35"/>
      <c r="BG58" s="35"/>
      <c r="BH58" s="35"/>
      <c r="BI58" s="35"/>
      <c r="BJ58" s="35"/>
      <c r="BK58" s="35"/>
      <c r="BL58" s="35"/>
    </row>
    <row r="59" spans="1:64" ht="14">
      <c r="A59" s="36"/>
      <c r="B59" s="39"/>
      <c r="C59" s="39"/>
      <c r="D59" s="39"/>
      <c r="E59" s="229"/>
      <c r="F59" s="229"/>
      <c r="G59" s="40"/>
      <c r="H59" s="39"/>
      <c r="I59" s="91" t="str">
        <f t="shared" si="1"/>
        <v/>
      </c>
      <c r="J59" s="39"/>
      <c r="K59" s="35"/>
      <c r="L59" s="35"/>
      <c r="M59" s="35"/>
      <c r="N59" s="35"/>
      <c r="O59" s="35"/>
      <c r="P59" s="35"/>
      <c r="Q59" s="35"/>
      <c r="R59" s="35"/>
      <c r="S59" s="35"/>
      <c r="T59" s="35"/>
      <c r="U59" s="35"/>
      <c r="V59" s="35"/>
      <c r="W59" s="35"/>
      <c r="X59" s="35"/>
      <c r="Y59" s="35"/>
      <c r="Z59" s="35"/>
      <c r="AA59" s="35"/>
      <c r="AB59" s="35"/>
      <c r="AC59" s="35"/>
      <c r="AD59" s="35"/>
      <c r="AE59" s="35"/>
      <c r="AF59" s="35"/>
      <c r="AG59" s="35"/>
      <c r="AH59" s="35"/>
      <c r="AI59" s="35"/>
      <c r="AJ59" s="35"/>
      <c r="AK59" s="35"/>
      <c r="AL59" s="35"/>
      <c r="AM59" s="35"/>
      <c r="AN59" s="35"/>
      <c r="AO59" s="35"/>
      <c r="AP59" s="35"/>
      <c r="AQ59" s="35"/>
      <c r="AR59" s="35"/>
      <c r="AS59" s="35"/>
      <c r="AT59" s="35"/>
      <c r="AU59" s="35"/>
      <c r="AV59" s="35"/>
      <c r="AW59" s="35"/>
      <c r="AX59" s="35"/>
      <c r="AY59" s="35"/>
      <c r="AZ59" s="35"/>
      <c r="BA59" s="35"/>
      <c r="BB59" s="35"/>
      <c r="BC59" s="35"/>
      <c r="BD59" s="35"/>
      <c r="BE59" s="35"/>
      <c r="BF59" s="35"/>
      <c r="BG59" s="35"/>
      <c r="BH59" s="35"/>
      <c r="BI59" s="35"/>
      <c r="BJ59" s="35"/>
      <c r="BK59" s="35"/>
      <c r="BL59" s="35"/>
    </row>
    <row r="60" spans="1:64" ht="14">
      <c r="A60" s="36"/>
      <c r="B60" s="39"/>
      <c r="C60" s="39"/>
      <c r="D60" s="39"/>
      <c r="E60" s="229"/>
      <c r="F60" s="229"/>
      <c r="G60" s="40"/>
      <c r="H60" s="39"/>
      <c r="I60" s="91" t="str">
        <f t="shared" si="1"/>
        <v/>
      </c>
      <c r="J60" s="39"/>
      <c r="K60" s="35"/>
      <c r="L60" s="35"/>
      <c r="M60" s="35"/>
      <c r="N60" s="35"/>
      <c r="O60" s="35"/>
      <c r="P60" s="35"/>
      <c r="Q60" s="35"/>
      <c r="R60" s="35"/>
      <c r="S60" s="35"/>
      <c r="T60" s="35"/>
      <c r="U60" s="35"/>
      <c r="V60" s="35"/>
      <c r="W60" s="35"/>
      <c r="X60" s="35"/>
      <c r="Y60" s="35"/>
      <c r="Z60" s="35"/>
      <c r="AA60" s="35"/>
      <c r="AB60" s="35"/>
      <c r="AC60" s="35"/>
      <c r="AD60" s="35"/>
      <c r="AE60" s="35"/>
      <c r="AF60" s="35"/>
      <c r="AG60" s="35"/>
      <c r="AH60" s="35"/>
      <c r="AI60" s="35"/>
      <c r="AJ60" s="35"/>
      <c r="AK60" s="35"/>
      <c r="AL60" s="35"/>
      <c r="AM60" s="35"/>
      <c r="AN60" s="35"/>
      <c r="AO60" s="35"/>
      <c r="AP60" s="35"/>
      <c r="AQ60" s="35"/>
      <c r="AR60" s="35"/>
      <c r="AS60" s="35"/>
      <c r="AT60" s="35"/>
      <c r="AU60" s="35"/>
      <c r="AV60" s="35"/>
      <c r="AW60" s="35"/>
      <c r="AX60" s="35"/>
      <c r="AY60" s="35"/>
      <c r="AZ60" s="35"/>
      <c r="BA60" s="35"/>
      <c r="BB60" s="35"/>
      <c r="BC60" s="35"/>
      <c r="BD60" s="35"/>
      <c r="BE60" s="35"/>
      <c r="BF60" s="35"/>
      <c r="BG60" s="35"/>
      <c r="BH60" s="35"/>
      <c r="BI60" s="35"/>
      <c r="BJ60" s="35"/>
      <c r="BK60" s="35"/>
      <c r="BL60" s="35"/>
    </row>
    <row r="61" spans="1:64" ht="14">
      <c r="A61" s="36"/>
      <c r="B61" s="39"/>
      <c r="C61" s="39"/>
      <c r="D61" s="39"/>
      <c r="E61" s="229"/>
      <c r="F61" s="229"/>
      <c r="G61" s="40"/>
      <c r="H61" s="39"/>
      <c r="I61" s="91" t="str">
        <f t="shared" si="1"/>
        <v/>
      </c>
      <c r="J61" s="39"/>
      <c r="K61" s="35"/>
      <c r="L61" s="35"/>
      <c r="M61" s="35"/>
      <c r="N61" s="35"/>
      <c r="O61" s="35"/>
      <c r="P61" s="35"/>
      <c r="Q61" s="35"/>
      <c r="R61" s="35"/>
      <c r="S61" s="35"/>
      <c r="T61" s="35"/>
      <c r="U61" s="35"/>
      <c r="V61" s="35"/>
      <c r="W61" s="35"/>
      <c r="X61" s="35"/>
      <c r="Y61" s="35"/>
      <c r="Z61" s="35"/>
      <c r="AA61" s="35"/>
      <c r="AB61" s="35"/>
      <c r="AC61" s="35"/>
      <c r="AD61" s="35"/>
      <c r="AE61" s="35"/>
      <c r="AF61" s="35"/>
      <c r="AG61" s="35"/>
      <c r="AH61" s="35"/>
      <c r="AI61" s="35"/>
      <c r="AJ61" s="35"/>
      <c r="AK61" s="35"/>
      <c r="AL61" s="35"/>
      <c r="AM61" s="35"/>
      <c r="AN61" s="35"/>
      <c r="AO61" s="35"/>
      <c r="AP61" s="35"/>
      <c r="AQ61" s="35"/>
      <c r="AR61" s="35"/>
      <c r="AS61" s="35"/>
      <c r="AT61" s="35"/>
      <c r="AU61" s="35"/>
      <c r="AV61" s="35"/>
      <c r="AW61" s="35"/>
      <c r="AX61" s="35"/>
      <c r="AY61" s="35"/>
      <c r="AZ61" s="35"/>
      <c r="BA61" s="35"/>
      <c r="BB61" s="35"/>
      <c r="BC61" s="35"/>
      <c r="BD61" s="35"/>
      <c r="BE61" s="35"/>
      <c r="BF61" s="35"/>
      <c r="BG61" s="35"/>
      <c r="BH61" s="35"/>
      <c r="BI61" s="35"/>
      <c r="BJ61" s="35"/>
      <c r="BK61" s="35"/>
      <c r="BL61" s="35"/>
    </row>
    <row r="62" spans="1:64" ht="14">
      <c r="A62" s="36"/>
      <c r="B62" s="39"/>
      <c r="C62" s="39"/>
      <c r="D62" s="39"/>
      <c r="E62" s="229"/>
      <c r="F62" s="229"/>
      <c r="G62" s="40"/>
      <c r="H62" s="39"/>
      <c r="I62" s="91" t="str">
        <f t="shared" si="1"/>
        <v/>
      </c>
      <c r="J62" s="39"/>
      <c r="K62" s="35"/>
      <c r="L62" s="35"/>
      <c r="M62" s="35"/>
      <c r="N62" s="35"/>
      <c r="O62" s="35"/>
      <c r="P62" s="35"/>
      <c r="Q62" s="35"/>
      <c r="R62" s="35"/>
      <c r="S62" s="35"/>
      <c r="T62" s="35"/>
      <c r="U62" s="35"/>
      <c r="V62" s="35"/>
      <c r="W62" s="35"/>
      <c r="X62" s="35"/>
      <c r="Y62" s="35"/>
      <c r="Z62" s="35"/>
      <c r="AA62" s="35"/>
      <c r="AB62" s="35"/>
      <c r="AC62" s="35"/>
      <c r="AD62" s="35"/>
      <c r="AE62" s="35"/>
      <c r="AF62" s="35"/>
      <c r="AG62" s="35"/>
      <c r="AH62" s="35"/>
      <c r="AI62" s="35"/>
      <c r="AJ62" s="35"/>
      <c r="AK62" s="35"/>
      <c r="AL62" s="35"/>
      <c r="AM62" s="35"/>
      <c r="AN62" s="35"/>
      <c r="AO62" s="35"/>
      <c r="AP62" s="35"/>
      <c r="AQ62" s="35"/>
      <c r="AR62" s="35"/>
      <c r="AS62" s="35"/>
      <c r="AT62" s="35"/>
      <c r="AU62" s="35"/>
      <c r="AV62" s="35"/>
      <c r="AW62" s="35"/>
      <c r="AX62" s="35"/>
      <c r="AY62" s="35"/>
      <c r="AZ62" s="35"/>
      <c r="BA62" s="35"/>
      <c r="BB62" s="35"/>
      <c r="BC62" s="35"/>
      <c r="BD62" s="35"/>
      <c r="BE62" s="35"/>
      <c r="BF62" s="35"/>
      <c r="BG62" s="35"/>
      <c r="BH62" s="35"/>
      <c r="BI62" s="35"/>
      <c r="BJ62" s="35"/>
      <c r="BK62" s="35"/>
      <c r="BL62" s="35"/>
    </row>
    <row r="63" spans="1:64" ht="14">
      <c r="A63" s="36"/>
      <c r="B63" s="39"/>
      <c r="C63" s="39"/>
      <c r="D63" s="39"/>
      <c r="E63" s="229"/>
      <c r="F63" s="229"/>
      <c r="G63" s="40"/>
      <c r="H63" s="39"/>
      <c r="I63" s="91" t="str">
        <f t="shared" si="1"/>
        <v/>
      </c>
      <c r="J63" s="39"/>
      <c r="K63" s="35"/>
      <c r="L63" s="35"/>
      <c r="M63" s="35"/>
      <c r="N63" s="35"/>
      <c r="O63" s="35"/>
      <c r="P63" s="35"/>
      <c r="Q63" s="35"/>
      <c r="R63" s="35"/>
      <c r="S63" s="35"/>
      <c r="T63" s="35"/>
      <c r="U63" s="35"/>
      <c r="V63" s="35"/>
      <c r="W63" s="35"/>
      <c r="X63" s="35"/>
      <c r="Y63" s="35"/>
      <c r="Z63" s="35"/>
      <c r="AA63" s="35"/>
      <c r="AB63" s="35"/>
      <c r="AC63" s="35"/>
      <c r="AD63" s="35"/>
      <c r="AE63" s="35"/>
      <c r="AF63" s="35"/>
      <c r="AG63" s="35"/>
      <c r="AH63" s="35"/>
      <c r="AI63" s="35"/>
      <c r="AJ63" s="35"/>
      <c r="AK63" s="35"/>
      <c r="AL63" s="35"/>
      <c r="AM63" s="35"/>
      <c r="AN63" s="35"/>
      <c r="AO63" s="35"/>
      <c r="AP63" s="35"/>
      <c r="AQ63" s="35"/>
      <c r="AR63" s="35"/>
      <c r="AS63" s="35"/>
      <c r="AT63" s="35"/>
      <c r="AU63" s="35"/>
      <c r="AV63" s="35"/>
      <c r="AW63" s="35"/>
      <c r="AX63" s="35"/>
      <c r="AY63" s="35"/>
      <c r="AZ63" s="35"/>
      <c r="BA63" s="35"/>
      <c r="BB63" s="35"/>
      <c r="BC63" s="35"/>
      <c r="BD63" s="35"/>
      <c r="BE63" s="35"/>
      <c r="BF63" s="35"/>
      <c r="BG63" s="35"/>
      <c r="BH63" s="35"/>
      <c r="BI63" s="35"/>
      <c r="BJ63" s="35"/>
      <c r="BK63" s="35"/>
      <c r="BL63" s="35"/>
    </row>
    <row r="64" spans="1:64" ht="14">
      <c r="A64" s="36"/>
      <c r="B64" s="39"/>
      <c r="C64" s="39"/>
      <c r="D64" s="39"/>
      <c r="E64" s="229"/>
      <c r="F64" s="229"/>
      <c r="G64" s="40"/>
      <c r="H64" s="39"/>
      <c r="I64" s="91" t="str">
        <f t="shared" si="1"/>
        <v/>
      </c>
      <c r="J64" s="39"/>
      <c r="K64" s="35"/>
      <c r="L64" s="35"/>
      <c r="M64" s="35"/>
      <c r="N64" s="35"/>
      <c r="O64" s="35"/>
      <c r="P64" s="35"/>
      <c r="Q64" s="35"/>
      <c r="R64" s="35"/>
      <c r="S64" s="35"/>
      <c r="T64" s="35"/>
      <c r="U64" s="35"/>
      <c r="V64" s="35"/>
      <c r="W64" s="35"/>
      <c r="X64" s="35"/>
      <c r="Y64" s="35"/>
      <c r="Z64" s="35"/>
      <c r="AA64" s="35"/>
      <c r="AB64" s="35"/>
      <c r="AC64" s="35"/>
      <c r="AD64" s="35"/>
      <c r="AE64" s="35"/>
      <c r="AF64" s="35"/>
      <c r="AG64" s="35"/>
      <c r="AH64" s="35"/>
      <c r="AI64" s="35"/>
      <c r="AJ64" s="35"/>
      <c r="AK64" s="35"/>
      <c r="AL64" s="35"/>
      <c r="AM64" s="35"/>
      <c r="AN64" s="35"/>
      <c r="AO64" s="35"/>
      <c r="AP64" s="35"/>
      <c r="AQ64" s="35"/>
      <c r="AR64" s="35"/>
      <c r="AS64" s="35"/>
      <c r="AT64" s="35"/>
      <c r="AU64" s="35"/>
      <c r="AV64" s="35"/>
      <c r="AW64" s="35"/>
      <c r="AX64" s="35"/>
      <c r="AY64" s="35"/>
      <c r="AZ64" s="35"/>
      <c r="BA64" s="35"/>
      <c r="BB64" s="35"/>
      <c r="BC64" s="35"/>
      <c r="BD64" s="35"/>
      <c r="BE64" s="35"/>
      <c r="BF64" s="35"/>
      <c r="BG64" s="35"/>
      <c r="BH64" s="35"/>
      <c r="BI64" s="35"/>
      <c r="BJ64" s="35"/>
      <c r="BK64" s="35"/>
      <c r="BL64" s="35"/>
    </row>
    <row r="65" spans="1:64" ht="14">
      <c r="A65" s="36"/>
      <c r="B65" s="39"/>
      <c r="C65" s="39"/>
      <c r="D65" s="39"/>
      <c r="E65" s="229"/>
      <c r="F65" s="229"/>
      <c r="G65" s="40"/>
      <c r="H65" s="39"/>
      <c r="I65" s="91" t="str">
        <f t="shared" si="1"/>
        <v/>
      </c>
      <c r="J65" s="39"/>
      <c r="K65" s="35"/>
      <c r="L65" s="35"/>
      <c r="M65" s="35"/>
      <c r="N65" s="35"/>
      <c r="O65" s="35"/>
      <c r="P65" s="35"/>
      <c r="Q65" s="35"/>
      <c r="R65" s="35"/>
      <c r="S65" s="35"/>
      <c r="T65" s="35"/>
      <c r="U65" s="35"/>
      <c r="V65" s="35"/>
      <c r="W65" s="35"/>
      <c r="X65" s="35"/>
      <c r="Y65" s="35"/>
      <c r="Z65" s="35"/>
      <c r="AA65" s="35"/>
      <c r="AB65" s="35"/>
      <c r="AC65" s="35"/>
      <c r="AD65" s="35"/>
      <c r="AE65" s="35"/>
      <c r="AF65" s="35"/>
      <c r="AG65" s="35"/>
      <c r="AH65" s="35"/>
      <c r="AI65" s="35"/>
      <c r="AJ65" s="35"/>
      <c r="AK65" s="35"/>
      <c r="AL65" s="35"/>
      <c r="AM65" s="35"/>
      <c r="AN65" s="35"/>
      <c r="AO65" s="35"/>
      <c r="AP65" s="35"/>
      <c r="AQ65" s="35"/>
      <c r="AR65" s="35"/>
      <c r="AS65" s="35"/>
      <c r="AT65" s="35"/>
      <c r="AU65" s="35"/>
      <c r="AV65" s="35"/>
      <c r="AW65" s="35"/>
      <c r="AX65" s="35"/>
      <c r="AY65" s="35"/>
      <c r="AZ65" s="35"/>
      <c r="BA65" s="35"/>
      <c r="BB65" s="35"/>
      <c r="BC65" s="35"/>
      <c r="BD65" s="35"/>
      <c r="BE65" s="35"/>
      <c r="BF65" s="35"/>
      <c r="BG65" s="35"/>
      <c r="BH65" s="35"/>
      <c r="BI65" s="35"/>
      <c r="BJ65" s="35"/>
      <c r="BK65" s="35"/>
      <c r="BL65" s="35"/>
    </row>
    <row r="66" spans="1:64" ht="14">
      <c r="A66" s="36"/>
      <c r="B66" s="39"/>
      <c r="C66" s="39"/>
      <c r="D66" s="39"/>
      <c r="E66" s="229"/>
      <c r="F66" s="229"/>
      <c r="G66" s="40"/>
      <c r="H66" s="39"/>
      <c r="I66" s="91" t="str">
        <f t="shared" si="1"/>
        <v/>
      </c>
      <c r="J66" s="39"/>
      <c r="K66" s="35"/>
      <c r="L66" s="35"/>
      <c r="M66" s="35"/>
      <c r="N66" s="35"/>
      <c r="O66" s="35"/>
      <c r="P66" s="35"/>
      <c r="Q66" s="35"/>
      <c r="R66" s="35"/>
      <c r="S66" s="35"/>
      <c r="T66" s="35"/>
      <c r="U66" s="35"/>
      <c r="V66" s="35"/>
      <c r="W66" s="35"/>
      <c r="X66" s="35"/>
      <c r="Y66" s="35"/>
      <c r="Z66" s="35"/>
      <c r="AA66" s="35"/>
      <c r="AB66" s="35"/>
      <c r="AC66" s="35"/>
      <c r="AD66" s="35"/>
      <c r="AE66" s="35"/>
      <c r="AF66" s="35"/>
      <c r="AG66" s="35"/>
      <c r="AH66" s="35"/>
      <c r="AI66" s="35"/>
      <c r="AJ66" s="35"/>
      <c r="AK66" s="35"/>
      <c r="AL66" s="35"/>
      <c r="AM66" s="35"/>
      <c r="AN66" s="35"/>
      <c r="AO66" s="35"/>
      <c r="AP66" s="35"/>
      <c r="AQ66" s="35"/>
      <c r="AR66" s="35"/>
      <c r="AS66" s="35"/>
      <c r="AT66" s="35"/>
      <c r="AU66" s="35"/>
      <c r="AV66" s="35"/>
      <c r="AW66" s="35"/>
      <c r="AX66" s="35"/>
      <c r="AY66" s="35"/>
      <c r="AZ66" s="35"/>
      <c r="BA66" s="35"/>
      <c r="BB66" s="35"/>
      <c r="BC66" s="35"/>
      <c r="BD66" s="35"/>
      <c r="BE66" s="35"/>
      <c r="BF66" s="35"/>
      <c r="BG66" s="35"/>
      <c r="BH66" s="35"/>
      <c r="BI66" s="35"/>
      <c r="BJ66" s="35"/>
      <c r="BK66" s="35"/>
      <c r="BL66" s="35"/>
    </row>
    <row r="67" spans="1:64" ht="14">
      <c r="A67" s="36"/>
      <c r="B67" s="39"/>
      <c r="C67" s="39"/>
      <c r="D67" s="39"/>
      <c r="E67" s="229"/>
      <c r="F67" s="229"/>
      <c r="G67" s="40"/>
      <c r="H67" s="39"/>
      <c r="I67" s="91" t="str">
        <f t="shared" si="1"/>
        <v/>
      </c>
      <c r="J67" s="39"/>
      <c r="K67" s="35"/>
      <c r="L67" s="35"/>
      <c r="M67" s="35"/>
      <c r="N67" s="35"/>
      <c r="O67" s="35"/>
      <c r="P67" s="35"/>
      <c r="Q67" s="35"/>
      <c r="R67" s="35"/>
      <c r="S67" s="35"/>
      <c r="T67" s="35"/>
      <c r="U67" s="35"/>
      <c r="V67" s="35"/>
      <c r="W67" s="35"/>
      <c r="X67" s="35"/>
      <c r="Y67" s="35"/>
      <c r="Z67" s="35"/>
      <c r="AA67" s="35"/>
      <c r="AB67" s="35"/>
      <c r="AC67" s="35"/>
      <c r="AD67" s="35"/>
      <c r="AE67" s="35"/>
      <c r="AF67" s="35"/>
      <c r="AG67" s="35"/>
      <c r="AH67" s="35"/>
      <c r="AI67" s="35"/>
      <c r="AJ67" s="35"/>
      <c r="AK67" s="35"/>
      <c r="AL67" s="35"/>
      <c r="AM67" s="35"/>
      <c r="AN67" s="35"/>
      <c r="AO67" s="35"/>
      <c r="AP67" s="35"/>
      <c r="AQ67" s="35"/>
      <c r="AR67" s="35"/>
      <c r="AS67" s="35"/>
      <c r="AT67" s="35"/>
      <c r="AU67" s="35"/>
      <c r="AV67" s="35"/>
      <c r="AW67" s="35"/>
      <c r="AX67" s="35"/>
      <c r="AY67" s="35"/>
      <c r="AZ67" s="35"/>
      <c r="BA67" s="35"/>
      <c r="BB67" s="35"/>
      <c r="BC67" s="35"/>
      <c r="BD67" s="35"/>
      <c r="BE67" s="35"/>
      <c r="BF67" s="35"/>
      <c r="BG67" s="35"/>
      <c r="BH67" s="35"/>
      <c r="BI67" s="35"/>
      <c r="BJ67" s="35"/>
      <c r="BK67" s="35"/>
      <c r="BL67" s="35"/>
    </row>
    <row r="68" spans="1:64" ht="14">
      <c r="A68" s="36"/>
      <c r="B68" s="39"/>
      <c r="C68" s="39"/>
      <c r="D68" s="39"/>
      <c r="E68" s="229"/>
      <c r="F68" s="229"/>
      <c r="G68" s="40"/>
      <c r="H68" s="39"/>
      <c r="I68" s="91" t="str">
        <f t="shared" si="1"/>
        <v/>
      </c>
      <c r="J68" s="39"/>
      <c r="K68" s="35"/>
      <c r="L68" s="35"/>
      <c r="M68" s="35"/>
      <c r="N68" s="35"/>
      <c r="O68" s="35"/>
      <c r="P68" s="35"/>
      <c r="Q68" s="35"/>
      <c r="R68" s="35"/>
      <c r="S68" s="35"/>
      <c r="T68" s="35"/>
      <c r="U68" s="35"/>
      <c r="V68" s="35"/>
      <c r="W68" s="35"/>
      <c r="X68" s="35"/>
      <c r="Y68" s="35"/>
      <c r="Z68" s="35"/>
      <c r="AA68" s="35"/>
      <c r="AB68" s="35"/>
      <c r="AC68" s="35"/>
      <c r="AD68" s="35"/>
      <c r="AE68" s="35"/>
      <c r="AF68" s="35"/>
      <c r="AG68" s="35"/>
      <c r="AH68" s="35"/>
      <c r="AI68" s="35"/>
      <c r="AJ68" s="35"/>
      <c r="AK68" s="35"/>
      <c r="AL68" s="35"/>
      <c r="AM68" s="35"/>
      <c r="AN68" s="35"/>
      <c r="AO68" s="35"/>
      <c r="AP68" s="35"/>
      <c r="AQ68" s="35"/>
      <c r="AR68" s="35"/>
      <c r="AS68" s="35"/>
      <c r="AT68" s="35"/>
      <c r="AU68" s="35"/>
      <c r="AV68" s="35"/>
      <c r="AW68" s="35"/>
      <c r="AX68" s="35"/>
      <c r="AY68" s="35"/>
      <c r="AZ68" s="35"/>
      <c r="BA68" s="35"/>
      <c r="BB68" s="35"/>
      <c r="BC68" s="35"/>
      <c r="BD68" s="35"/>
      <c r="BE68" s="35"/>
      <c r="BF68" s="35"/>
      <c r="BG68" s="35"/>
      <c r="BH68" s="35"/>
      <c r="BI68" s="35"/>
      <c r="BJ68" s="35"/>
      <c r="BK68" s="35"/>
      <c r="BL68" s="35"/>
    </row>
    <row r="69" spans="1:64" ht="14">
      <c r="A69" s="36"/>
      <c r="B69" s="39"/>
      <c r="C69" s="39"/>
      <c r="D69" s="39"/>
      <c r="E69" s="229"/>
      <c r="F69" s="229"/>
      <c r="G69" s="40"/>
      <c r="H69" s="39"/>
      <c r="I69" s="91" t="str">
        <f t="shared" si="1"/>
        <v/>
      </c>
      <c r="J69" s="39"/>
      <c r="K69" s="35"/>
      <c r="L69" s="35"/>
      <c r="M69" s="35"/>
      <c r="N69" s="35"/>
      <c r="O69" s="35"/>
      <c r="P69" s="35"/>
      <c r="Q69" s="35"/>
      <c r="R69" s="35"/>
      <c r="S69" s="35"/>
      <c r="T69" s="35"/>
      <c r="U69" s="35"/>
      <c r="V69" s="35"/>
      <c r="W69" s="35"/>
      <c r="X69" s="35"/>
      <c r="Y69" s="35"/>
      <c r="Z69" s="35"/>
      <c r="AA69" s="35"/>
      <c r="AB69" s="35"/>
      <c r="AC69" s="35"/>
      <c r="AD69" s="35"/>
      <c r="AE69" s="35"/>
      <c r="AF69" s="35"/>
      <c r="AG69" s="35"/>
      <c r="AH69" s="35"/>
      <c r="AI69" s="35"/>
      <c r="AJ69" s="35"/>
      <c r="AK69" s="35"/>
      <c r="AL69" s="35"/>
      <c r="AM69" s="35"/>
      <c r="AN69" s="35"/>
      <c r="AO69" s="35"/>
      <c r="AP69" s="35"/>
      <c r="AQ69" s="35"/>
      <c r="AR69" s="35"/>
      <c r="AS69" s="35"/>
      <c r="AT69" s="35"/>
      <c r="AU69" s="35"/>
      <c r="AV69" s="35"/>
      <c r="AW69" s="35"/>
      <c r="AX69" s="35"/>
      <c r="AY69" s="35"/>
      <c r="AZ69" s="35"/>
      <c r="BA69" s="35"/>
      <c r="BB69" s="35"/>
      <c r="BC69" s="35"/>
      <c r="BD69" s="35"/>
      <c r="BE69" s="35"/>
      <c r="BF69" s="35"/>
      <c r="BG69" s="35"/>
      <c r="BH69" s="35"/>
      <c r="BI69" s="35"/>
      <c r="BJ69" s="35"/>
      <c r="BK69" s="35"/>
      <c r="BL69" s="35"/>
    </row>
    <row r="70" spans="1:64" ht="14">
      <c r="A70" s="36"/>
      <c r="B70" s="39"/>
      <c r="C70" s="39"/>
      <c r="D70" s="39"/>
      <c r="E70" s="229"/>
      <c r="F70" s="229"/>
      <c r="G70" s="40"/>
      <c r="H70" s="39"/>
      <c r="I70" s="91" t="str">
        <f t="shared" si="1"/>
        <v/>
      </c>
      <c r="J70" s="39"/>
      <c r="K70" s="35"/>
      <c r="L70" s="35"/>
      <c r="M70" s="35"/>
      <c r="N70" s="35"/>
      <c r="O70" s="35"/>
      <c r="P70" s="35"/>
      <c r="Q70" s="35"/>
      <c r="R70" s="35"/>
      <c r="S70" s="35"/>
      <c r="T70" s="35"/>
      <c r="U70" s="35"/>
      <c r="V70" s="35"/>
      <c r="W70" s="35"/>
      <c r="X70" s="35"/>
      <c r="Y70" s="35"/>
      <c r="Z70" s="35"/>
      <c r="AA70" s="35"/>
      <c r="AB70" s="35"/>
      <c r="AC70" s="35"/>
      <c r="AD70" s="35"/>
      <c r="AE70" s="35"/>
      <c r="AF70" s="35"/>
      <c r="AG70" s="35"/>
      <c r="AH70" s="35"/>
      <c r="AI70" s="35"/>
      <c r="AJ70" s="35"/>
      <c r="AK70" s="35"/>
      <c r="AL70" s="35"/>
      <c r="AM70" s="35"/>
      <c r="AN70" s="35"/>
      <c r="AO70" s="35"/>
      <c r="AP70" s="35"/>
      <c r="AQ70" s="35"/>
      <c r="AR70" s="35"/>
      <c r="AS70" s="35"/>
      <c r="AT70" s="35"/>
      <c r="AU70" s="35"/>
      <c r="AV70" s="35"/>
      <c r="AW70" s="35"/>
      <c r="AX70" s="35"/>
      <c r="AY70" s="35"/>
      <c r="AZ70" s="35"/>
      <c r="BA70" s="35"/>
      <c r="BB70" s="35"/>
      <c r="BC70" s="35"/>
      <c r="BD70" s="35"/>
      <c r="BE70" s="35"/>
      <c r="BF70" s="35"/>
      <c r="BG70" s="35"/>
      <c r="BH70" s="35"/>
      <c r="BI70" s="35"/>
      <c r="BJ70" s="35"/>
      <c r="BK70" s="35"/>
      <c r="BL70" s="35"/>
    </row>
    <row r="71" spans="1:64" ht="14">
      <c r="A71" s="36"/>
      <c r="B71" s="39"/>
      <c r="C71" s="39"/>
      <c r="D71" s="39"/>
      <c r="E71" s="229"/>
      <c r="F71" s="229"/>
      <c r="G71" s="40"/>
      <c r="H71" s="39"/>
      <c r="I71" s="91" t="str">
        <f t="shared" si="1"/>
        <v/>
      </c>
      <c r="J71" s="39"/>
      <c r="K71" s="35"/>
      <c r="L71" s="35"/>
      <c r="M71" s="35"/>
      <c r="N71" s="35"/>
      <c r="O71" s="35"/>
      <c r="P71" s="35"/>
      <c r="Q71" s="35"/>
      <c r="R71" s="35"/>
      <c r="S71" s="35"/>
      <c r="T71" s="35"/>
      <c r="U71" s="35"/>
      <c r="V71" s="35"/>
      <c r="W71" s="35"/>
      <c r="X71" s="35"/>
      <c r="Y71" s="35"/>
      <c r="Z71" s="35"/>
      <c r="AA71" s="35"/>
      <c r="AB71" s="35"/>
      <c r="AC71" s="35"/>
      <c r="AD71" s="35"/>
      <c r="AE71" s="35"/>
      <c r="AF71" s="35"/>
      <c r="AG71" s="35"/>
      <c r="AH71" s="35"/>
      <c r="AI71" s="35"/>
      <c r="AJ71" s="35"/>
      <c r="AK71" s="35"/>
      <c r="AL71" s="35"/>
      <c r="AM71" s="35"/>
      <c r="AN71" s="35"/>
      <c r="AO71" s="35"/>
      <c r="AP71" s="35"/>
      <c r="AQ71" s="35"/>
      <c r="AR71" s="35"/>
      <c r="AS71" s="35"/>
      <c r="AT71" s="35"/>
      <c r="AU71" s="35"/>
      <c r="AV71" s="35"/>
      <c r="AW71" s="35"/>
      <c r="AX71" s="35"/>
      <c r="AY71" s="35"/>
      <c r="AZ71" s="35"/>
      <c r="BA71" s="35"/>
      <c r="BB71" s="35"/>
      <c r="BC71" s="35"/>
      <c r="BD71" s="35"/>
      <c r="BE71" s="35"/>
      <c r="BF71" s="35"/>
      <c r="BG71" s="35"/>
      <c r="BH71" s="35"/>
      <c r="BI71" s="35"/>
      <c r="BJ71" s="35"/>
      <c r="BK71" s="35"/>
      <c r="BL71" s="35"/>
    </row>
    <row r="72" spans="1:64" ht="14">
      <c r="A72" s="36"/>
      <c r="B72" s="39"/>
      <c r="C72" s="39"/>
      <c r="D72" s="39"/>
      <c r="E72" s="229"/>
      <c r="F72" s="229"/>
      <c r="G72" s="40"/>
      <c r="H72" s="39"/>
      <c r="I72" s="91" t="str">
        <f t="shared" si="1"/>
        <v/>
      </c>
      <c r="J72" s="39"/>
      <c r="K72" s="35"/>
      <c r="L72" s="35"/>
      <c r="M72" s="35"/>
      <c r="N72" s="35"/>
      <c r="O72" s="35"/>
      <c r="P72" s="35"/>
      <c r="Q72" s="35"/>
      <c r="R72" s="35"/>
      <c r="S72" s="35"/>
      <c r="T72" s="35"/>
      <c r="U72" s="35"/>
      <c r="V72" s="35"/>
      <c r="W72" s="35"/>
      <c r="X72" s="35"/>
      <c r="Y72" s="35"/>
      <c r="Z72" s="35"/>
      <c r="AA72" s="35"/>
      <c r="AB72" s="35"/>
      <c r="AC72" s="35"/>
      <c r="AD72" s="35"/>
      <c r="AE72" s="35"/>
      <c r="AF72" s="35"/>
      <c r="AG72" s="35"/>
      <c r="AH72" s="35"/>
      <c r="AI72" s="35"/>
      <c r="AJ72" s="35"/>
      <c r="AK72" s="35"/>
      <c r="AL72" s="35"/>
      <c r="AM72" s="35"/>
      <c r="AN72" s="35"/>
      <c r="AO72" s="35"/>
      <c r="AP72" s="35"/>
      <c r="AQ72" s="35"/>
      <c r="AR72" s="35"/>
      <c r="AS72" s="35"/>
      <c r="AT72" s="35"/>
      <c r="AU72" s="35"/>
      <c r="AV72" s="35"/>
      <c r="AW72" s="35"/>
      <c r="AX72" s="35"/>
      <c r="AY72" s="35"/>
      <c r="AZ72" s="35"/>
      <c r="BA72" s="35"/>
      <c r="BB72" s="35"/>
      <c r="BC72" s="35"/>
      <c r="BD72" s="35"/>
      <c r="BE72" s="35"/>
      <c r="BF72" s="35"/>
      <c r="BG72" s="35"/>
      <c r="BH72" s="35"/>
      <c r="BI72" s="35"/>
      <c r="BJ72" s="35"/>
      <c r="BK72" s="35"/>
      <c r="BL72" s="35"/>
    </row>
    <row r="73" spans="1:64" ht="14">
      <c r="A73" s="36"/>
      <c r="B73" s="39"/>
      <c r="C73" s="39"/>
      <c r="D73" s="39"/>
      <c r="E73" s="229"/>
      <c r="F73" s="229"/>
      <c r="G73" s="40"/>
      <c r="H73" s="39"/>
      <c r="I73" s="91" t="str">
        <f t="shared" si="1"/>
        <v/>
      </c>
      <c r="J73" s="39"/>
      <c r="K73" s="35"/>
      <c r="L73" s="35"/>
      <c r="M73" s="35"/>
      <c r="N73" s="35"/>
      <c r="O73" s="35"/>
      <c r="P73" s="35"/>
      <c r="Q73" s="35"/>
      <c r="R73" s="35"/>
      <c r="S73" s="35"/>
      <c r="T73" s="35"/>
      <c r="U73" s="35"/>
      <c r="V73" s="35"/>
      <c r="W73" s="35"/>
      <c r="X73" s="35"/>
      <c r="Y73" s="35"/>
      <c r="Z73" s="35"/>
      <c r="AA73" s="35"/>
      <c r="AB73" s="35"/>
      <c r="AC73" s="35"/>
      <c r="AD73" s="35"/>
      <c r="AE73" s="35"/>
      <c r="AF73" s="35"/>
      <c r="AG73" s="35"/>
      <c r="AH73" s="35"/>
      <c r="AI73" s="35"/>
      <c r="AJ73" s="35"/>
      <c r="AK73" s="35"/>
      <c r="AL73" s="35"/>
      <c r="AM73" s="35"/>
      <c r="AN73" s="35"/>
      <c r="AO73" s="35"/>
      <c r="AP73" s="35"/>
      <c r="AQ73" s="35"/>
      <c r="AR73" s="35"/>
      <c r="AS73" s="35"/>
      <c r="AT73" s="35"/>
      <c r="AU73" s="35"/>
      <c r="AV73" s="35"/>
      <c r="AW73" s="35"/>
      <c r="AX73" s="35"/>
      <c r="AY73" s="35"/>
      <c r="AZ73" s="35"/>
      <c r="BA73" s="35"/>
      <c r="BB73" s="35"/>
      <c r="BC73" s="35"/>
      <c r="BD73" s="35"/>
      <c r="BE73" s="35"/>
      <c r="BF73" s="35"/>
      <c r="BG73" s="35"/>
      <c r="BH73" s="35"/>
      <c r="BI73" s="35"/>
      <c r="BJ73" s="35"/>
      <c r="BK73" s="35"/>
      <c r="BL73" s="35"/>
    </row>
    <row r="74" spans="1:64" ht="14">
      <c r="A74" s="36"/>
      <c r="B74" s="39"/>
      <c r="C74" s="39"/>
      <c r="D74" s="39"/>
      <c r="E74" s="229"/>
      <c r="F74" s="229"/>
      <c r="G74" s="40"/>
      <c r="H74" s="39"/>
      <c r="I74" s="91" t="str">
        <f t="shared" si="1"/>
        <v/>
      </c>
      <c r="J74" s="39"/>
      <c r="K74" s="35"/>
      <c r="L74" s="35"/>
      <c r="M74" s="35"/>
      <c r="N74" s="35"/>
      <c r="O74" s="35"/>
      <c r="P74" s="35"/>
      <c r="Q74" s="35"/>
      <c r="R74" s="35"/>
      <c r="S74" s="35"/>
      <c r="T74" s="35"/>
      <c r="U74" s="35"/>
      <c r="V74" s="35"/>
      <c r="W74" s="35"/>
      <c r="X74" s="35"/>
      <c r="Y74" s="35"/>
      <c r="Z74" s="35"/>
      <c r="AA74" s="35"/>
      <c r="AB74" s="35"/>
      <c r="AC74" s="35"/>
      <c r="AD74" s="35"/>
      <c r="AE74" s="35"/>
      <c r="AF74" s="35"/>
      <c r="AG74" s="35"/>
      <c r="AH74" s="35"/>
      <c r="AI74" s="35"/>
      <c r="AJ74" s="35"/>
      <c r="AK74" s="35"/>
      <c r="AL74" s="35"/>
      <c r="AM74" s="35"/>
      <c r="AN74" s="35"/>
      <c r="AO74" s="35"/>
      <c r="AP74" s="35"/>
      <c r="AQ74" s="35"/>
      <c r="AR74" s="35"/>
      <c r="AS74" s="35"/>
      <c r="AT74" s="35"/>
      <c r="AU74" s="35"/>
      <c r="AV74" s="35"/>
      <c r="AW74" s="35"/>
      <c r="AX74" s="35"/>
      <c r="AY74" s="35"/>
      <c r="AZ74" s="35"/>
      <c r="BA74" s="35"/>
      <c r="BB74" s="35"/>
      <c r="BC74" s="35"/>
      <c r="BD74" s="35"/>
      <c r="BE74" s="35"/>
      <c r="BF74" s="35"/>
      <c r="BG74" s="35"/>
      <c r="BH74" s="35"/>
      <c r="BI74" s="35"/>
      <c r="BJ74" s="35"/>
      <c r="BK74" s="35"/>
      <c r="BL74" s="35"/>
    </row>
    <row r="75" spans="1:64" ht="14">
      <c r="A75" s="36"/>
      <c r="B75" s="39"/>
      <c r="C75" s="39"/>
      <c r="D75" s="39"/>
      <c r="E75" s="229"/>
      <c r="F75" s="229"/>
      <c r="G75" s="40"/>
      <c r="H75" s="39"/>
      <c r="I75" s="91" t="str">
        <f t="shared" ref="I75:I106" si="2">IF(H75="ALI",35,IF(H75="AIE",15,""))</f>
        <v/>
      </c>
      <c r="J75" s="39"/>
      <c r="K75" s="35"/>
      <c r="L75" s="35"/>
      <c r="M75" s="35"/>
      <c r="N75" s="35"/>
      <c r="O75" s="35"/>
      <c r="P75" s="35"/>
      <c r="Q75" s="35"/>
      <c r="R75" s="35"/>
      <c r="S75" s="35"/>
      <c r="T75" s="35"/>
      <c r="U75" s="35"/>
      <c r="V75" s="35"/>
      <c r="W75" s="35"/>
      <c r="X75" s="35"/>
      <c r="Y75" s="35"/>
      <c r="Z75" s="35"/>
      <c r="AA75" s="35"/>
      <c r="AB75" s="35"/>
      <c r="AC75" s="35"/>
      <c r="AD75" s="35"/>
      <c r="AE75" s="35"/>
      <c r="AF75" s="35"/>
      <c r="AG75" s="35"/>
      <c r="AH75" s="35"/>
      <c r="AI75" s="35"/>
      <c r="AJ75" s="35"/>
      <c r="AK75" s="35"/>
      <c r="AL75" s="35"/>
      <c r="AM75" s="35"/>
      <c r="AN75" s="35"/>
      <c r="AO75" s="35"/>
      <c r="AP75" s="35"/>
      <c r="AQ75" s="35"/>
      <c r="AR75" s="35"/>
      <c r="AS75" s="35"/>
      <c r="AT75" s="35"/>
      <c r="AU75" s="35"/>
      <c r="AV75" s="35"/>
      <c r="AW75" s="35"/>
      <c r="AX75" s="35"/>
      <c r="AY75" s="35"/>
      <c r="AZ75" s="35"/>
      <c r="BA75" s="35"/>
      <c r="BB75" s="35"/>
      <c r="BC75" s="35"/>
      <c r="BD75" s="35"/>
      <c r="BE75" s="35"/>
      <c r="BF75" s="35"/>
      <c r="BG75" s="35"/>
      <c r="BH75" s="35"/>
      <c r="BI75" s="35"/>
      <c r="BJ75" s="35"/>
      <c r="BK75" s="35"/>
      <c r="BL75" s="35"/>
    </row>
    <row r="76" spans="1:64" ht="14">
      <c r="A76" s="36"/>
      <c r="B76" s="39"/>
      <c r="C76" s="39"/>
      <c r="D76" s="39"/>
      <c r="E76" s="229"/>
      <c r="F76" s="229"/>
      <c r="G76" s="40"/>
      <c r="H76" s="39"/>
      <c r="I76" s="91" t="str">
        <f t="shared" si="2"/>
        <v/>
      </c>
      <c r="J76" s="39"/>
      <c r="K76" s="35"/>
      <c r="L76" s="35"/>
      <c r="M76" s="35"/>
      <c r="N76" s="35"/>
      <c r="O76" s="35"/>
      <c r="P76" s="35"/>
      <c r="Q76" s="35"/>
      <c r="R76" s="35"/>
      <c r="S76" s="35"/>
      <c r="T76" s="35"/>
      <c r="U76" s="35"/>
      <c r="V76" s="35"/>
      <c r="W76" s="35"/>
      <c r="X76" s="35"/>
      <c r="Y76" s="35"/>
      <c r="Z76" s="35"/>
      <c r="AA76" s="35"/>
      <c r="AB76" s="35"/>
      <c r="AC76" s="35"/>
      <c r="AD76" s="35"/>
      <c r="AE76" s="35"/>
      <c r="AF76" s="35"/>
      <c r="AG76" s="35"/>
      <c r="AH76" s="35"/>
      <c r="AI76" s="35"/>
      <c r="AJ76" s="35"/>
      <c r="AK76" s="35"/>
      <c r="AL76" s="35"/>
      <c r="AM76" s="35"/>
      <c r="AN76" s="35"/>
      <c r="AO76" s="35"/>
      <c r="AP76" s="35"/>
      <c r="AQ76" s="35"/>
      <c r="AR76" s="35"/>
      <c r="AS76" s="35"/>
      <c r="AT76" s="35"/>
      <c r="AU76" s="35"/>
      <c r="AV76" s="35"/>
      <c r="AW76" s="35"/>
      <c r="AX76" s="35"/>
      <c r="AY76" s="35"/>
      <c r="AZ76" s="35"/>
      <c r="BA76" s="35"/>
      <c r="BB76" s="35"/>
      <c r="BC76" s="35"/>
      <c r="BD76" s="35"/>
      <c r="BE76" s="35"/>
      <c r="BF76" s="35"/>
      <c r="BG76" s="35"/>
      <c r="BH76" s="35"/>
      <c r="BI76" s="35"/>
      <c r="BJ76" s="35"/>
      <c r="BK76" s="35"/>
      <c r="BL76" s="35"/>
    </row>
    <row r="77" spans="1:64" ht="14">
      <c r="A77" s="36"/>
      <c r="B77" s="39"/>
      <c r="C77" s="39"/>
      <c r="D77" s="39"/>
      <c r="E77" s="229"/>
      <c r="F77" s="229"/>
      <c r="G77" s="40"/>
      <c r="H77" s="39"/>
      <c r="I77" s="91" t="str">
        <f t="shared" si="2"/>
        <v/>
      </c>
      <c r="J77" s="39"/>
      <c r="K77" s="35"/>
      <c r="L77" s="35"/>
      <c r="M77" s="35"/>
      <c r="N77" s="35"/>
      <c r="O77" s="35"/>
      <c r="P77" s="35"/>
      <c r="Q77" s="35"/>
      <c r="R77" s="35"/>
      <c r="S77" s="35"/>
      <c r="T77" s="35"/>
      <c r="U77" s="35"/>
      <c r="V77" s="35"/>
      <c r="W77" s="35"/>
      <c r="X77" s="35"/>
      <c r="Y77" s="35"/>
      <c r="Z77" s="35"/>
      <c r="AA77" s="35"/>
      <c r="AB77" s="35"/>
      <c r="AC77" s="35"/>
      <c r="AD77" s="35"/>
      <c r="AE77" s="35"/>
      <c r="AF77" s="35"/>
      <c r="AG77" s="35"/>
      <c r="AH77" s="35"/>
      <c r="AI77" s="35"/>
      <c r="AJ77" s="35"/>
      <c r="AK77" s="35"/>
      <c r="AL77" s="35"/>
      <c r="AM77" s="35"/>
      <c r="AN77" s="35"/>
      <c r="AO77" s="35"/>
      <c r="AP77" s="35"/>
      <c r="AQ77" s="35"/>
      <c r="AR77" s="35"/>
      <c r="AS77" s="35"/>
      <c r="AT77" s="35"/>
      <c r="AU77" s="35"/>
      <c r="AV77" s="35"/>
      <c r="AW77" s="35"/>
      <c r="AX77" s="35"/>
      <c r="AY77" s="35"/>
      <c r="AZ77" s="35"/>
      <c r="BA77" s="35"/>
      <c r="BB77" s="35"/>
      <c r="BC77" s="35"/>
      <c r="BD77" s="35"/>
      <c r="BE77" s="35"/>
      <c r="BF77" s="35"/>
      <c r="BG77" s="35"/>
      <c r="BH77" s="35"/>
      <c r="BI77" s="35"/>
      <c r="BJ77" s="35"/>
      <c r="BK77" s="35"/>
      <c r="BL77" s="35"/>
    </row>
    <row r="78" spans="1:64" ht="14">
      <c r="A78" s="36"/>
      <c r="B78" s="39"/>
      <c r="C78" s="39"/>
      <c r="D78" s="39"/>
      <c r="E78" s="229"/>
      <c r="F78" s="229"/>
      <c r="G78" s="40"/>
      <c r="H78" s="39"/>
      <c r="I78" s="91" t="str">
        <f t="shared" si="2"/>
        <v/>
      </c>
      <c r="J78" s="39"/>
      <c r="K78" s="35"/>
      <c r="L78" s="35"/>
      <c r="M78" s="35"/>
      <c r="N78" s="35"/>
      <c r="O78" s="35"/>
      <c r="P78" s="35"/>
      <c r="Q78" s="35"/>
      <c r="R78" s="35"/>
      <c r="S78" s="35"/>
      <c r="T78" s="35"/>
      <c r="U78" s="35"/>
      <c r="V78" s="35"/>
      <c r="W78" s="35"/>
      <c r="X78" s="35"/>
      <c r="Y78" s="35"/>
      <c r="Z78" s="35"/>
      <c r="AA78" s="35"/>
      <c r="AB78" s="35"/>
      <c r="AC78" s="35"/>
      <c r="AD78" s="35"/>
      <c r="AE78" s="35"/>
      <c r="AF78" s="35"/>
      <c r="AG78" s="35"/>
      <c r="AH78" s="35"/>
      <c r="AI78" s="35"/>
      <c r="AJ78" s="35"/>
      <c r="AK78" s="35"/>
      <c r="AL78" s="35"/>
      <c r="AM78" s="35"/>
      <c r="AN78" s="35"/>
      <c r="AO78" s="35"/>
      <c r="AP78" s="35"/>
      <c r="AQ78" s="35"/>
      <c r="AR78" s="35"/>
      <c r="AS78" s="35"/>
      <c r="AT78" s="35"/>
      <c r="AU78" s="35"/>
      <c r="AV78" s="35"/>
      <c r="AW78" s="35"/>
      <c r="AX78" s="35"/>
      <c r="AY78" s="35"/>
      <c r="AZ78" s="35"/>
      <c r="BA78" s="35"/>
      <c r="BB78" s="35"/>
      <c r="BC78" s="35"/>
      <c r="BD78" s="35"/>
      <c r="BE78" s="35"/>
      <c r="BF78" s="35"/>
      <c r="BG78" s="35"/>
      <c r="BH78" s="35"/>
      <c r="BI78" s="35"/>
      <c r="BJ78" s="35"/>
      <c r="BK78" s="35"/>
      <c r="BL78" s="35"/>
    </row>
    <row r="79" spans="1:64" ht="14">
      <c r="A79" s="36"/>
      <c r="B79" s="39"/>
      <c r="C79" s="39"/>
      <c r="D79" s="39"/>
      <c r="E79" s="229"/>
      <c r="F79" s="229"/>
      <c r="G79" s="40"/>
      <c r="H79" s="39"/>
      <c r="I79" s="91" t="str">
        <f t="shared" si="2"/>
        <v/>
      </c>
      <c r="J79" s="39"/>
      <c r="K79" s="35"/>
      <c r="L79" s="35"/>
      <c r="M79" s="35"/>
      <c r="N79" s="35"/>
      <c r="O79" s="35"/>
      <c r="P79" s="35"/>
      <c r="Q79" s="35"/>
      <c r="R79" s="35"/>
      <c r="S79" s="35"/>
      <c r="T79" s="35"/>
      <c r="U79" s="35"/>
      <c r="V79" s="35"/>
      <c r="W79" s="35"/>
      <c r="X79" s="35"/>
      <c r="Y79" s="35"/>
      <c r="Z79" s="35"/>
      <c r="AA79" s="35"/>
      <c r="AB79" s="35"/>
      <c r="AC79" s="35"/>
      <c r="AD79" s="35"/>
      <c r="AE79" s="35"/>
      <c r="AF79" s="35"/>
      <c r="AG79" s="35"/>
      <c r="AH79" s="35"/>
      <c r="AI79" s="35"/>
      <c r="AJ79" s="35"/>
      <c r="AK79" s="35"/>
      <c r="AL79" s="35"/>
      <c r="AM79" s="35"/>
      <c r="AN79" s="35"/>
      <c r="AO79" s="35"/>
      <c r="AP79" s="35"/>
      <c r="AQ79" s="35"/>
      <c r="AR79" s="35"/>
      <c r="AS79" s="35"/>
      <c r="AT79" s="35"/>
      <c r="AU79" s="35"/>
      <c r="AV79" s="35"/>
      <c r="AW79" s="35"/>
      <c r="AX79" s="35"/>
      <c r="AY79" s="35"/>
      <c r="AZ79" s="35"/>
      <c r="BA79" s="35"/>
      <c r="BB79" s="35"/>
      <c r="BC79" s="35"/>
      <c r="BD79" s="35"/>
      <c r="BE79" s="35"/>
      <c r="BF79" s="35"/>
      <c r="BG79" s="35"/>
      <c r="BH79" s="35"/>
      <c r="BI79" s="35"/>
      <c r="BJ79" s="35"/>
      <c r="BK79" s="35"/>
      <c r="BL79" s="35"/>
    </row>
    <row r="80" spans="1:64" ht="14">
      <c r="A80" s="36"/>
      <c r="B80" s="39"/>
      <c r="C80" s="39"/>
      <c r="D80" s="39"/>
      <c r="E80" s="229"/>
      <c r="F80" s="229"/>
      <c r="G80" s="40"/>
      <c r="H80" s="39"/>
      <c r="I80" s="91" t="str">
        <f t="shared" si="2"/>
        <v/>
      </c>
      <c r="J80" s="39"/>
      <c r="K80" s="35"/>
      <c r="L80" s="35"/>
      <c r="M80" s="35"/>
      <c r="N80" s="35"/>
      <c r="O80" s="35"/>
      <c r="P80" s="35"/>
      <c r="Q80" s="35"/>
      <c r="R80" s="35"/>
      <c r="S80" s="35"/>
      <c r="T80" s="35"/>
      <c r="U80" s="35"/>
      <c r="V80" s="35"/>
      <c r="W80" s="35"/>
      <c r="X80" s="35"/>
      <c r="Y80" s="35"/>
      <c r="Z80" s="35"/>
      <c r="AA80" s="35"/>
      <c r="AB80" s="35"/>
      <c r="AC80" s="35"/>
      <c r="AD80" s="35"/>
      <c r="AE80" s="35"/>
      <c r="AF80" s="35"/>
      <c r="AG80" s="35"/>
      <c r="AH80" s="35"/>
      <c r="AI80" s="35"/>
      <c r="AJ80" s="35"/>
      <c r="AK80" s="35"/>
      <c r="AL80" s="35"/>
      <c r="AM80" s="35"/>
      <c r="AN80" s="35"/>
      <c r="AO80" s="35"/>
      <c r="AP80" s="35"/>
      <c r="AQ80" s="35"/>
      <c r="AR80" s="35"/>
      <c r="AS80" s="35"/>
      <c r="AT80" s="35"/>
      <c r="AU80" s="35"/>
      <c r="AV80" s="35"/>
      <c r="AW80" s="35"/>
      <c r="AX80" s="35"/>
      <c r="AY80" s="35"/>
      <c r="AZ80" s="35"/>
      <c r="BA80" s="35"/>
      <c r="BB80" s="35"/>
      <c r="BC80" s="35"/>
      <c r="BD80" s="35"/>
      <c r="BE80" s="35"/>
      <c r="BF80" s="35"/>
      <c r="BG80" s="35"/>
      <c r="BH80" s="35"/>
      <c r="BI80" s="35"/>
      <c r="BJ80" s="35"/>
      <c r="BK80" s="35"/>
      <c r="BL80" s="35"/>
    </row>
    <row r="81" spans="1:64" ht="14">
      <c r="A81" s="36"/>
      <c r="B81" s="39"/>
      <c r="C81" s="39"/>
      <c r="D81" s="39"/>
      <c r="E81" s="229"/>
      <c r="F81" s="229"/>
      <c r="G81" s="40"/>
      <c r="H81" s="39"/>
      <c r="I81" s="91" t="str">
        <f t="shared" si="2"/>
        <v/>
      </c>
      <c r="J81" s="39"/>
      <c r="K81" s="35"/>
      <c r="L81" s="35"/>
      <c r="M81" s="35"/>
      <c r="N81" s="35"/>
      <c r="O81" s="35"/>
      <c r="P81" s="35"/>
      <c r="Q81" s="35"/>
      <c r="R81" s="35"/>
      <c r="S81" s="35"/>
      <c r="T81" s="35"/>
      <c r="U81" s="35"/>
      <c r="V81" s="35"/>
      <c r="W81" s="35"/>
      <c r="X81" s="35"/>
      <c r="Y81" s="35"/>
      <c r="Z81" s="35"/>
      <c r="AA81" s="35"/>
      <c r="AB81" s="35"/>
      <c r="AC81" s="35"/>
      <c r="AD81" s="35"/>
      <c r="AE81" s="35"/>
      <c r="AF81" s="35"/>
      <c r="AG81" s="35"/>
      <c r="AH81" s="35"/>
      <c r="AI81" s="35"/>
      <c r="AJ81" s="35"/>
      <c r="AK81" s="35"/>
      <c r="AL81" s="35"/>
      <c r="AM81" s="35"/>
      <c r="AN81" s="35"/>
      <c r="AO81" s="35"/>
      <c r="AP81" s="35"/>
      <c r="AQ81" s="35"/>
      <c r="AR81" s="35"/>
      <c r="AS81" s="35"/>
      <c r="AT81" s="35"/>
      <c r="AU81" s="35"/>
      <c r="AV81" s="35"/>
      <c r="AW81" s="35"/>
      <c r="AX81" s="35"/>
      <c r="AY81" s="35"/>
      <c r="AZ81" s="35"/>
      <c r="BA81" s="35"/>
      <c r="BB81" s="35"/>
      <c r="BC81" s="35"/>
      <c r="BD81" s="35"/>
      <c r="BE81" s="35"/>
      <c r="BF81" s="35"/>
      <c r="BG81" s="35"/>
      <c r="BH81" s="35"/>
      <c r="BI81" s="35"/>
      <c r="BJ81" s="35"/>
      <c r="BK81" s="35"/>
      <c r="BL81" s="35"/>
    </row>
    <row r="82" spans="1:64" ht="14">
      <c r="A82" s="36"/>
      <c r="B82" s="39"/>
      <c r="C82" s="39"/>
      <c r="D82" s="39"/>
      <c r="E82" s="229"/>
      <c r="F82" s="229"/>
      <c r="G82" s="40"/>
      <c r="H82" s="39"/>
      <c r="I82" s="91" t="str">
        <f t="shared" si="2"/>
        <v/>
      </c>
      <c r="J82" s="39"/>
      <c r="K82" s="35"/>
      <c r="L82" s="35"/>
      <c r="M82" s="35"/>
      <c r="N82" s="35"/>
      <c r="O82" s="35"/>
      <c r="P82" s="35"/>
      <c r="Q82" s="35"/>
      <c r="R82" s="35"/>
      <c r="S82" s="35"/>
      <c r="T82" s="35"/>
      <c r="U82" s="35"/>
      <c r="V82" s="35"/>
      <c r="W82" s="35"/>
      <c r="X82" s="35"/>
      <c r="Y82" s="35"/>
      <c r="Z82" s="35"/>
      <c r="AA82" s="35"/>
      <c r="AB82" s="35"/>
      <c r="AC82" s="35"/>
      <c r="AD82" s="35"/>
      <c r="AE82" s="35"/>
      <c r="AF82" s="35"/>
      <c r="AG82" s="35"/>
      <c r="AH82" s="35"/>
      <c r="AI82" s="35"/>
      <c r="AJ82" s="35"/>
      <c r="AK82" s="35"/>
      <c r="AL82" s="35"/>
      <c r="AM82" s="35"/>
      <c r="AN82" s="35"/>
      <c r="AO82" s="35"/>
      <c r="AP82" s="35"/>
      <c r="AQ82" s="35"/>
      <c r="AR82" s="35"/>
      <c r="AS82" s="35"/>
      <c r="AT82" s="35"/>
      <c r="AU82" s="35"/>
      <c r="AV82" s="35"/>
      <c r="AW82" s="35"/>
      <c r="AX82" s="35"/>
      <c r="AY82" s="35"/>
      <c r="AZ82" s="35"/>
      <c r="BA82" s="35"/>
      <c r="BB82" s="35"/>
      <c r="BC82" s="35"/>
      <c r="BD82" s="35"/>
      <c r="BE82" s="35"/>
      <c r="BF82" s="35"/>
      <c r="BG82" s="35"/>
      <c r="BH82" s="35"/>
      <c r="BI82" s="35"/>
      <c r="BJ82" s="35"/>
      <c r="BK82" s="35"/>
      <c r="BL82" s="35"/>
    </row>
    <row r="83" spans="1:64" ht="14">
      <c r="A83" s="36"/>
      <c r="B83" s="39"/>
      <c r="C83" s="39"/>
      <c r="D83" s="39"/>
      <c r="E83" s="229"/>
      <c r="F83" s="229"/>
      <c r="G83" s="40"/>
      <c r="H83" s="39"/>
      <c r="I83" s="91" t="str">
        <f t="shared" si="2"/>
        <v/>
      </c>
      <c r="J83" s="39"/>
      <c r="K83" s="35"/>
      <c r="L83" s="35"/>
      <c r="M83" s="35"/>
      <c r="N83" s="35"/>
      <c r="O83" s="35"/>
      <c r="P83" s="35"/>
      <c r="Q83" s="35"/>
      <c r="R83" s="35"/>
      <c r="S83" s="35"/>
      <c r="T83" s="35"/>
      <c r="U83" s="35"/>
      <c r="V83" s="35"/>
      <c r="W83" s="35"/>
      <c r="X83" s="35"/>
      <c r="Y83" s="35"/>
      <c r="Z83" s="35"/>
      <c r="AA83" s="35"/>
      <c r="AB83" s="35"/>
      <c r="AC83" s="35"/>
      <c r="AD83" s="35"/>
      <c r="AE83" s="35"/>
      <c r="AF83" s="35"/>
      <c r="AG83" s="35"/>
      <c r="AH83" s="35"/>
      <c r="AI83" s="35"/>
      <c r="AJ83" s="35"/>
      <c r="AK83" s="35"/>
      <c r="AL83" s="35"/>
      <c r="AM83" s="35"/>
      <c r="AN83" s="35"/>
      <c r="AO83" s="35"/>
      <c r="AP83" s="35"/>
      <c r="AQ83" s="35"/>
      <c r="AR83" s="35"/>
      <c r="AS83" s="35"/>
      <c r="AT83" s="35"/>
      <c r="AU83" s="35"/>
      <c r="AV83" s="35"/>
      <c r="AW83" s="35"/>
      <c r="AX83" s="35"/>
      <c r="AY83" s="35"/>
      <c r="AZ83" s="35"/>
      <c r="BA83" s="35"/>
      <c r="BB83" s="35"/>
      <c r="BC83" s="35"/>
      <c r="BD83" s="35"/>
      <c r="BE83" s="35"/>
      <c r="BF83" s="35"/>
      <c r="BG83" s="35"/>
      <c r="BH83" s="35"/>
      <c r="BI83" s="35"/>
      <c r="BJ83" s="35"/>
      <c r="BK83" s="35"/>
      <c r="BL83" s="35"/>
    </row>
    <row r="84" spans="1:64" ht="14">
      <c r="A84" s="36"/>
      <c r="B84" s="39"/>
      <c r="C84" s="39"/>
      <c r="D84" s="39"/>
      <c r="E84" s="229"/>
      <c r="F84" s="229"/>
      <c r="G84" s="40"/>
      <c r="H84" s="39"/>
      <c r="I84" s="91" t="str">
        <f t="shared" si="2"/>
        <v/>
      </c>
      <c r="J84" s="39"/>
      <c r="K84" s="35"/>
      <c r="L84" s="35"/>
      <c r="M84" s="35"/>
      <c r="N84" s="35"/>
      <c r="O84" s="35"/>
      <c r="P84" s="35"/>
      <c r="Q84" s="35"/>
      <c r="R84" s="35"/>
      <c r="S84" s="35"/>
      <c r="T84" s="35"/>
      <c r="U84" s="35"/>
      <c r="V84" s="35"/>
      <c r="W84" s="35"/>
      <c r="X84" s="35"/>
      <c r="Y84" s="35"/>
      <c r="Z84" s="35"/>
      <c r="AA84" s="35"/>
      <c r="AB84" s="35"/>
      <c r="AC84" s="35"/>
      <c r="AD84" s="35"/>
      <c r="AE84" s="35"/>
      <c r="AF84" s="35"/>
      <c r="AG84" s="35"/>
      <c r="AH84" s="35"/>
      <c r="AI84" s="35"/>
      <c r="AJ84" s="35"/>
      <c r="AK84" s="35"/>
      <c r="AL84" s="35"/>
      <c r="AM84" s="35"/>
      <c r="AN84" s="35"/>
      <c r="AO84" s="35"/>
      <c r="AP84" s="35"/>
      <c r="AQ84" s="35"/>
      <c r="AR84" s="35"/>
      <c r="AS84" s="35"/>
      <c r="AT84" s="35"/>
      <c r="AU84" s="35"/>
      <c r="AV84" s="35"/>
      <c r="AW84" s="35"/>
      <c r="AX84" s="35"/>
      <c r="AY84" s="35"/>
      <c r="AZ84" s="35"/>
      <c r="BA84" s="35"/>
      <c r="BB84" s="35"/>
      <c r="BC84" s="35"/>
      <c r="BD84" s="35"/>
      <c r="BE84" s="35"/>
      <c r="BF84" s="35"/>
      <c r="BG84" s="35"/>
      <c r="BH84" s="35"/>
      <c r="BI84" s="35"/>
      <c r="BJ84" s="35"/>
      <c r="BK84" s="35"/>
      <c r="BL84" s="35"/>
    </row>
    <row r="85" spans="1:64" ht="14">
      <c r="A85" s="36"/>
      <c r="B85" s="39"/>
      <c r="C85" s="39"/>
      <c r="D85" s="39"/>
      <c r="E85" s="229"/>
      <c r="F85" s="229"/>
      <c r="G85" s="40"/>
      <c r="H85" s="39"/>
      <c r="I85" s="91" t="str">
        <f t="shared" si="2"/>
        <v/>
      </c>
      <c r="J85" s="39"/>
      <c r="K85" s="35"/>
      <c r="L85" s="35"/>
      <c r="M85" s="35"/>
      <c r="N85" s="35"/>
      <c r="O85" s="35"/>
      <c r="P85" s="35"/>
      <c r="Q85" s="35"/>
      <c r="R85" s="35"/>
      <c r="S85" s="35"/>
      <c r="T85" s="35"/>
      <c r="U85" s="35"/>
      <c r="V85" s="35"/>
      <c r="W85" s="35"/>
      <c r="X85" s="35"/>
      <c r="Y85" s="35"/>
      <c r="Z85" s="35"/>
      <c r="AA85" s="35"/>
      <c r="AB85" s="35"/>
      <c r="AC85" s="35"/>
      <c r="AD85" s="35"/>
      <c r="AE85" s="35"/>
      <c r="AF85" s="35"/>
      <c r="AG85" s="35"/>
      <c r="AH85" s="35"/>
      <c r="AI85" s="35"/>
      <c r="AJ85" s="35"/>
      <c r="AK85" s="35"/>
      <c r="AL85" s="35"/>
      <c r="AM85" s="35"/>
      <c r="AN85" s="35"/>
      <c r="AO85" s="35"/>
      <c r="AP85" s="35"/>
      <c r="AQ85" s="35"/>
      <c r="AR85" s="35"/>
      <c r="AS85" s="35"/>
      <c r="AT85" s="35"/>
      <c r="AU85" s="35"/>
      <c r="AV85" s="35"/>
      <c r="AW85" s="35"/>
      <c r="AX85" s="35"/>
      <c r="AY85" s="35"/>
      <c r="AZ85" s="35"/>
      <c r="BA85" s="35"/>
      <c r="BB85" s="35"/>
      <c r="BC85" s="35"/>
      <c r="BD85" s="35"/>
      <c r="BE85" s="35"/>
      <c r="BF85" s="35"/>
      <c r="BG85" s="35"/>
      <c r="BH85" s="35"/>
      <c r="BI85" s="35"/>
      <c r="BJ85" s="35"/>
      <c r="BK85" s="35"/>
      <c r="BL85" s="35"/>
    </row>
    <row r="86" spans="1:64" ht="14">
      <c r="A86" s="36"/>
      <c r="B86" s="39"/>
      <c r="C86" s="39"/>
      <c r="D86" s="39"/>
      <c r="E86" s="229"/>
      <c r="F86" s="229"/>
      <c r="G86" s="40"/>
      <c r="H86" s="39"/>
      <c r="I86" s="91" t="str">
        <f t="shared" si="2"/>
        <v/>
      </c>
      <c r="J86" s="39"/>
      <c r="K86" s="35"/>
      <c r="L86" s="35"/>
      <c r="M86" s="35"/>
      <c r="N86" s="35"/>
      <c r="O86" s="35"/>
      <c r="P86" s="35"/>
      <c r="Q86" s="35"/>
      <c r="R86" s="35"/>
      <c r="S86" s="35"/>
      <c r="T86" s="35"/>
      <c r="U86" s="35"/>
      <c r="V86" s="35"/>
      <c r="W86" s="35"/>
      <c r="X86" s="35"/>
      <c r="Y86" s="35"/>
      <c r="Z86" s="35"/>
      <c r="AA86" s="35"/>
      <c r="AB86" s="35"/>
      <c r="AC86" s="35"/>
      <c r="AD86" s="35"/>
      <c r="AE86" s="35"/>
      <c r="AF86" s="35"/>
      <c r="AG86" s="35"/>
      <c r="AH86" s="35"/>
      <c r="AI86" s="35"/>
      <c r="AJ86" s="35"/>
      <c r="AK86" s="35"/>
      <c r="AL86" s="35"/>
      <c r="AM86" s="35"/>
      <c r="AN86" s="35"/>
      <c r="AO86" s="35"/>
      <c r="AP86" s="35"/>
      <c r="AQ86" s="35"/>
      <c r="AR86" s="35"/>
      <c r="AS86" s="35"/>
      <c r="AT86" s="35"/>
      <c r="AU86" s="35"/>
      <c r="AV86" s="35"/>
      <c r="AW86" s="35"/>
      <c r="AX86" s="35"/>
      <c r="AY86" s="35"/>
      <c r="AZ86" s="35"/>
      <c r="BA86" s="35"/>
      <c r="BB86" s="35"/>
      <c r="BC86" s="35"/>
      <c r="BD86" s="35"/>
      <c r="BE86" s="35"/>
      <c r="BF86" s="35"/>
      <c r="BG86" s="35"/>
      <c r="BH86" s="35"/>
      <c r="BI86" s="35"/>
      <c r="BJ86" s="35"/>
      <c r="BK86" s="35"/>
      <c r="BL86" s="35"/>
    </row>
    <row r="87" spans="1:64" ht="14">
      <c r="A87" s="36"/>
      <c r="B87" s="39"/>
      <c r="C87" s="39"/>
      <c r="D87" s="39"/>
      <c r="E87" s="229"/>
      <c r="F87" s="229"/>
      <c r="G87" s="40"/>
      <c r="H87" s="39"/>
      <c r="I87" s="91" t="str">
        <f t="shared" si="2"/>
        <v/>
      </c>
      <c r="J87" s="39"/>
      <c r="K87" s="35"/>
      <c r="L87" s="35"/>
      <c r="M87" s="35"/>
      <c r="N87" s="35"/>
      <c r="O87" s="35"/>
      <c r="P87" s="35"/>
      <c r="Q87" s="35"/>
      <c r="R87" s="35"/>
      <c r="S87" s="35"/>
      <c r="T87" s="35"/>
      <c r="U87" s="35"/>
      <c r="V87" s="35"/>
      <c r="W87" s="35"/>
      <c r="X87" s="35"/>
      <c r="Y87" s="35"/>
      <c r="Z87" s="35"/>
      <c r="AA87" s="35"/>
      <c r="AB87" s="35"/>
      <c r="AC87" s="35"/>
      <c r="AD87" s="35"/>
      <c r="AE87" s="35"/>
      <c r="AF87" s="35"/>
      <c r="AG87" s="35"/>
      <c r="AH87" s="35"/>
      <c r="AI87" s="35"/>
      <c r="AJ87" s="35"/>
      <c r="AK87" s="35"/>
      <c r="AL87" s="35"/>
      <c r="AM87" s="35"/>
      <c r="AN87" s="35"/>
      <c r="AO87" s="35"/>
      <c r="AP87" s="35"/>
      <c r="AQ87" s="35"/>
      <c r="AR87" s="35"/>
      <c r="AS87" s="35"/>
      <c r="AT87" s="35"/>
      <c r="AU87" s="35"/>
      <c r="AV87" s="35"/>
      <c r="AW87" s="35"/>
      <c r="AX87" s="35"/>
      <c r="AY87" s="35"/>
      <c r="AZ87" s="35"/>
      <c r="BA87" s="35"/>
      <c r="BB87" s="35"/>
      <c r="BC87" s="35"/>
      <c r="BD87" s="35"/>
      <c r="BE87" s="35"/>
      <c r="BF87" s="35"/>
      <c r="BG87" s="35"/>
      <c r="BH87" s="35"/>
      <c r="BI87" s="35"/>
      <c r="BJ87" s="35"/>
      <c r="BK87" s="35"/>
      <c r="BL87" s="35"/>
    </row>
    <row r="88" spans="1:64" ht="14">
      <c r="A88" s="36"/>
      <c r="B88" s="39"/>
      <c r="C88" s="39"/>
      <c r="D88" s="39"/>
      <c r="E88" s="229"/>
      <c r="F88" s="229"/>
      <c r="G88" s="40"/>
      <c r="H88" s="39"/>
      <c r="I88" s="91" t="str">
        <f t="shared" si="2"/>
        <v/>
      </c>
      <c r="J88" s="39"/>
      <c r="K88" s="35"/>
      <c r="L88" s="35"/>
      <c r="M88" s="35"/>
      <c r="N88" s="35"/>
      <c r="O88" s="35"/>
      <c r="P88" s="35"/>
      <c r="Q88" s="35"/>
      <c r="R88" s="35"/>
      <c r="S88" s="35"/>
      <c r="T88" s="35"/>
      <c r="U88" s="35"/>
      <c r="V88" s="35"/>
      <c r="W88" s="35"/>
      <c r="X88" s="35"/>
      <c r="Y88" s="35"/>
      <c r="Z88" s="35"/>
      <c r="AA88" s="35"/>
      <c r="AB88" s="35"/>
      <c r="AC88" s="35"/>
      <c r="AD88" s="35"/>
      <c r="AE88" s="35"/>
      <c r="AF88" s="35"/>
      <c r="AG88" s="35"/>
      <c r="AH88" s="35"/>
      <c r="AI88" s="35"/>
      <c r="AJ88" s="35"/>
      <c r="AK88" s="35"/>
      <c r="AL88" s="35"/>
      <c r="AM88" s="35"/>
      <c r="AN88" s="35"/>
      <c r="AO88" s="35"/>
      <c r="AP88" s="35"/>
      <c r="AQ88" s="35"/>
      <c r="AR88" s="35"/>
      <c r="AS88" s="35"/>
      <c r="AT88" s="35"/>
      <c r="AU88" s="35"/>
      <c r="AV88" s="35"/>
      <c r="AW88" s="35"/>
      <c r="AX88" s="35"/>
      <c r="AY88" s="35"/>
      <c r="AZ88" s="35"/>
      <c r="BA88" s="35"/>
      <c r="BB88" s="35"/>
      <c r="BC88" s="35"/>
      <c r="BD88" s="35"/>
      <c r="BE88" s="35"/>
      <c r="BF88" s="35"/>
      <c r="BG88" s="35"/>
      <c r="BH88" s="35"/>
      <c r="BI88" s="35"/>
      <c r="BJ88" s="35"/>
      <c r="BK88" s="35"/>
      <c r="BL88" s="35"/>
    </row>
    <row r="89" spans="1:64" ht="14">
      <c r="A89" s="36"/>
      <c r="B89" s="39"/>
      <c r="C89" s="39"/>
      <c r="D89" s="39"/>
      <c r="E89" s="229"/>
      <c r="F89" s="229"/>
      <c r="G89" s="40"/>
      <c r="H89" s="39"/>
      <c r="I89" s="91" t="str">
        <f t="shared" si="2"/>
        <v/>
      </c>
      <c r="J89" s="39"/>
      <c r="K89" s="35"/>
      <c r="L89" s="35"/>
      <c r="M89" s="35"/>
      <c r="N89" s="35"/>
      <c r="O89" s="35"/>
      <c r="P89" s="35"/>
      <c r="Q89" s="35"/>
      <c r="R89" s="35"/>
      <c r="S89" s="35"/>
      <c r="T89" s="35"/>
      <c r="U89" s="35"/>
      <c r="V89" s="35"/>
      <c r="W89" s="35"/>
      <c r="X89" s="35"/>
      <c r="Y89" s="35"/>
      <c r="Z89" s="35"/>
      <c r="AA89" s="35"/>
      <c r="AB89" s="35"/>
      <c r="AC89" s="35"/>
      <c r="AD89" s="35"/>
      <c r="AE89" s="35"/>
      <c r="AF89" s="35"/>
      <c r="AG89" s="35"/>
      <c r="AH89" s="35"/>
      <c r="AI89" s="35"/>
      <c r="AJ89" s="35"/>
      <c r="AK89" s="35"/>
      <c r="AL89" s="35"/>
      <c r="AM89" s="35"/>
      <c r="AN89" s="35"/>
      <c r="AO89" s="35"/>
      <c r="AP89" s="35"/>
      <c r="AQ89" s="35"/>
      <c r="AR89" s="35"/>
      <c r="AS89" s="35"/>
      <c r="AT89" s="35"/>
      <c r="AU89" s="35"/>
      <c r="AV89" s="35"/>
      <c r="AW89" s="35"/>
      <c r="AX89" s="35"/>
      <c r="AY89" s="35"/>
      <c r="AZ89" s="35"/>
      <c r="BA89" s="35"/>
      <c r="BB89" s="35"/>
      <c r="BC89" s="35"/>
      <c r="BD89" s="35"/>
      <c r="BE89" s="35"/>
      <c r="BF89" s="35"/>
      <c r="BG89" s="35"/>
      <c r="BH89" s="35"/>
      <c r="BI89" s="35"/>
      <c r="BJ89" s="35"/>
      <c r="BK89" s="35"/>
      <c r="BL89" s="35"/>
    </row>
    <row r="90" spans="1:64" ht="14">
      <c r="A90" s="36"/>
      <c r="B90" s="39"/>
      <c r="C90" s="39"/>
      <c r="D90" s="39"/>
      <c r="E90" s="229"/>
      <c r="F90" s="229"/>
      <c r="G90" s="40"/>
      <c r="H90" s="39"/>
      <c r="I90" s="91" t="str">
        <f t="shared" si="2"/>
        <v/>
      </c>
      <c r="J90" s="39"/>
      <c r="K90" s="35"/>
      <c r="L90" s="35"/>
      <c r="M90" s="35"/>
      <c r="N90" s="35"/>
      <c r="O90" s="35"/>
      <c r="P90" s="35"/>
      <c r="Q90" s="35"/>
      <c r="R90" s="35"/>
      <c r="S90" s="35"/>
      <c r="T90" s="35"/>
      <c r="U90" s="35"/>
      <c r="V90" s="35"/>
      <c r="W90" s="35"/>
      <c r="X90" s="35"/>
      <c r="Y90" s="35"/>
      <c r="Z90" s="35"/>
      <c r="AA90" s="35"/>
      <c r="AB90" s="35"/>
      <c r="AC90" s="35"/>
      <c r="AD90" s="35"/>
      <c r="AE90" s="35"/>
      <c r="AF90" s="35"/>
      <c r="AG90" s="35"/>
      <c r="AH90" s="35"/>
      <c r="AI90" s="35"/>
      <c r="AJ90" s="35"/>
      <c r="AK90" s="35"/>
      <c r="AL90" s="35"/>
      <c r="AM90" s="35"/>
      <c r="AN90" s="35"/>
      <c r="AO90" s="35"/>
      <c r="AP90" s="35"/>
      <c r="AQ90" s="35"/>
      <c r="AR90" s="35"/>
      <c r="AS90" s="35"/>
      <c r="AT90" s="35"/>
      <c r="AU90" s="35"/>
      <c r="AV90" s="35"/>
      <c r="AW90" s="35"/>
      <c r="AX90" s="35"/>
      <c r="AY90" s="35"/>
      <c r="AZ90" s="35"/>
      <c r="BA90" s="35"/>
      <c r="BB90" s="35"/>
      <c r="BC90" s="35"/>
      <c r="BD90" s="35"/>
      <c r="BE90" s="35"/>
      <c r="BF90" s="35"/>
      <c r="BG90" s="35"/>
      <c r="BH90" s="35"/>
      <c r="BI90" s="35"/>
      <c r="BJ90" s="35"/>
      <c r="BK90" s="35"/>
      <c r="BL90" s="35"/>
    </row>
    <row r="91" spans="1:64" ht="14">
      <c r="A91" s="36"/>
      <c r="B91" s="39"/>
      <c r="C91" s="39"/>
      <c r="D91" s="39"/>
      <c r="E91" s="229"/>
      <c r="F91" s="229"/>
      <c r="G91" s="40"/>
      <c r="H91" s="39"/>
      <c r="I91" s="91" t="str">
        <f t="shared" si="2"/>
        <v/>
      </c>
      <c r="J91" s="39"/>
      <c r="K91" s="35"/>
      <c r="L91" s="35"/>
      <c r="M91" s="35"/>
      <c r="N91" s="35"/>
      <c r="O91" s="35"/>
      <c r="P91" s="35"/>
      <c r="Q91" s="35"/>
      <c r="R91" s="35"/>
      <c r="S91" s="35"/>
      <c r="T91" s="35"/>
      <c r="U91" s="35"/>
      <c r="V91" s="35"/>
      <c r="W91" s="35"/>
      <c r="X91" s="35"/>
      <c r="Y91" s="35"/>
      <c r="Z91" s="35"/>
      <c r="AA91" s="35"/>
      <c r="AB91" s="35"/>
      <c r="AC91" s="35"/>
      <c r="AD91" s="35"/>
      <c r="AE91" s="35"/>
      <c r="AF91" s="35"/>
      <c r="AG91" s="35"/>
      <c r="AH91" s="35"/>
      <c r="AI91" s="35"/>
      <c r="AJ91" s="35"/>
      <c r="AK91" s="35"/>
      <c r="AL91" s="35"/>
      <c r="AM91" s="35"/>
      <c r="AN91" s="35"/>
      <c r="AO91" s="35"/>
      <c r="AP91" s="35"/>
      <c r="AQ91" s="35"/>
      <c r="AR91" s="35"/>
      <c r="AS91" s="35"/>
      <c r="AT91" s="35"/>
      <c r="AU91" s="35"/>
      <c r="AV91" s="35"/>
      <c r="AW91" s="35"/>
      <c r="AX91" s="35"/>
      <c r="AY91" s="35"/>
      <c r="AZ91" s="35"/>
      <c r="BA91" s="35"/>
      <c r="BB91" s="35"/>
      <c r="BC91" s="35"/>
      <c r="BD91" s="35"/>
      <c r="BE91" s="35"/>
      <c r="BF91" s="35"/>
      <c r="BG91" s="35"/>
      <c r="BH91" s="35"/>
      <c r="BI91" s="35"/>
      <c r="BJ91" s="35"/>
      <c r="BK91" s="35"/>
      <c r="BL91" s="35"/>
    </row>
    <row r="92" spans="1:64" ht="14">
      <c r="A92" s="36"/>
      <c r="B92" s="39"/>
      <c r="C92" s="39"/>
      <c r="D92" s="39"/>
      <c r="E92" s="229"/>
      <c r="F92" s="229"/>
      <c r="G92" s="40"/>
      <c r="H92" s="39"/>
      <c r="I92" s="91" t="str">
        <f t="shared" si="2"/>
        <v/>
      </c>
      <c r="J92" s="39"/>
      <c r="K92" s="35"/>
      <c r="L92" s="35"/>
      <c r="M92" s="35"/>
      <c r="N92" s="35"/>
      <c r="O92" s="35"/>
      <c r="P92" s="35"/>
      <c r="Q92" s="35"/>
      <c r="R92" s="35"/>
      <c r="S92" s="35"/>
      <c r="T92" s="35"/>
      <c r="U92" s="35"/>
      <c r="V92" s="35"/>
      <c r="W92" s="35"/>
      <c r="X92" s="35"/>
      <c r="Y92" s="35"/>
      <c r="Z92" s="35"/>
      <c r="AA92" s="35"/>
      <c r="AB92" s="35"/>
      <c r="AC92" s="35"/>
      <c r="AD92" s="35"/>
      <c r="AE92" s="35"/>
      <c r="AF92" s="35"/>
      <c r="AG92" s="35"/>
      <c r="AH92" s="35"/>
      <c r="AI92" s="35"/>
      <c r="AJ92" s="35"/>
      <c r="AK92" s="35"/>
      <c r="AL92" s="35"/>
      <c r="AM92" s="35"/>
      <c r="AN92" s="35"/>
      <c r="AO92" s="35"/>
      <c r="AP92" s="35"/>
      <c r="AQ92" s="35"/>
      <c r="AR92" s="35"/>
      <c r="AS92" s="35"/>
      <c r="AT92" s="35"/>
      <c r="AU92" s="35"/>
      <c r="AV92" s="35"/>
      <c r="AW92" s="35"/>
      <c r="AX92" s="35"/>
      <c r="AY92" s="35"/>
      <c r="AZ92" s="35"/>
      <c r="BA92" s="35"/>
      <c r="BB92" s="35"/>
      <c r="BC92" s="35"/>
      <c r="BD92" s="35"/>
      <c r="BE92" s="35"/>
      <c r="BF92" s="35"/>
      <c r="BG92" s="35"/>
      <c r="BH92" s="35"/>
      <c r="BI92" s="35"/>
      <c r="BJ92" s="35"/>
      <c r="BK92" s="35"/>
      <c r="BL92" s="35"/>
    </row>
    <row r="93" spans="1:64" ht="14">
      <c r="A93" s="36"/>
      <c r="B93" s="39"/>
      <c r="C93" s="39"/>
      <c r="D93" s="39"/>
      <c r="E93" s="229"/>
      <c r="F93" s="229"/>
      <c r="G93" s="40"/>
      <c r="H93" s="39"/>
      <c r="I93" s="91" t="str">
        <f t="shared" si="2"/>
        <v/>
      </c>
      <c r="J93" s="39"/>
      <c r="K93" s="35"/>
      <c r="L93" s="35"/>
      <c r="M93" s="35"/>
      <c r="N93" s="35"/>
      <c r="O93" s="35"/>
      <c r="P93" s="35"/>
      <c r="Q93" s="35"/>
      <c r="R93" s="35"/>
      <c r="S93" s="35"/>
      <c r="T93" s="35"/>
      <c r="U93" s="35"/>
      <c r="V93" s="35"/>
      <c r="W93" s="35"/>
      <c r="X93" s="35"/>
      <c r="Y93" s="35"/>
      <c r="Z93" s="35"/>
      <c r="AA93" s="35"/>
      <c r="AB93" s="35"/>
      <c r="AC93" s="35"/>
      <c r="AD93" s="35"/>
      <c r="AE93" s="35"/>
      <c r="AF93" s="35"/>
      <c r="AG93" s="35"/>
      <c r="AH93" s="35"/>
      <c r="AI93" s="35"/>
      <c r="AJ93" s="35"/>
      <c r="AK93" s="35"/>
      <c r="AL93" s="35"/>
      <c r="AM93" s="35"/>
      <c r="AN93" s="35"/>
      <c r="AO93" s="35"/>
      <c r="AP93" s="35"/>
      <c r="AQ93" s="35"/>
      <c r="AR93" s="35"/>
      <c r="AS93" s="35"/>
      <c r="AT93" s="35"/>
      <c r="AU93" s="35"/>
      <c r="AV93" s="35"/>
      <c r="AW93" s="35"/>
      <c r="AX93" s="35"/>
      <c r="AY93" s="35"/>
      <c r="AZ93" s="35"/>
      <c r="BA93" s="35"/>
      <c r="BB93" s="35"/>
      <c r="BC93" s="35"/>
      <c r="BD93" s="35"/>
      <c r="BE93" s="35"/>
      <c r="BF93" s="35"/>
      <c r="BG93" s="35"/>
      <c r="BH93" s="35"/>
      <c r="BI93" s="35"/>
      <c r="BJ93" s="35"/>
      <c r="BK93" s="35"/>
      <c r="BL93" s="35"/>
    </row>
    <row r="94" spans="1:64" ht="14">
      <c r="A94" s="36"/>
      <c r="B94" s="39"/>
      <c r="C94" s="39"/>
      <c r="D94" s="39"/>
      <c r="E94" s="229"/>
      <c r="F94" s="229"/>
      <c r="G94" s="40"/>
      <c r="H94" s="39"/>
      <c r="I94" s="91" t="str">
        <f t="shared" si="2"/>
        <v/>
      </c>
      <c r="J94" s="39"/>
      <c r="K94" s="35"/>
      <c r="L94" s="35"/>
      <c r="M94" s="35"/>
      <c r="N94" s="35"/>
      <c r="O94" s="35"/>
      <c r="P94" s="35"/>
      <c r="Q94" s="35"/>
      <c r="R94" s="35"/>
      <c r="S94" s="35"/>
      <c r="T94" s="35"/>
      <c r="U94" s="35"/>
      <c r="V94" s="35"/>
      <c r="W94" s="35"/>
      <c r="X94" s="35"/>
      <c r="Y94" s="35"/>
      <c r="Z94" s="35"/>
      <c r="AA94" s="35"/>
      <c r="AB94" s="35"/>
      <c r="AC94" s="35"/>
      <c r="AD94" s="35"/>
      <c r="AE94" s="35"/>
      <c r="AF94" s="35"/>
      <c r="AG94" s="35"/>
      <c r="AH94" s="35"/>
      <c r="AI94" s="35"/>
      <c r="AJ94" s="35"/>
      <c r="AK94" s="35"/>
      <c r="AL94" s="35"/>
      <c r="AM94" s="35"/>
      <c r="AN94" s="35"/>
      <c r="AO94" s="35"/>
      <c r="AP94" s="35"/>
      <c r="AQ94" s="35"/>
      <c r="AR94" s="35"/>
      <c r="AS94" s="35"/>
      <c r="AT94" s="35"/>
      <c r="AU94" s="35"/>
      <c r="AV94" s="35"/>
      <c r="AW94" s="35"/>
      <c r="AX94" s="35"/>
      <c r="AY94" s="35"/>
      <c r="AZ94" s="35"/>
      <c r="BA94" s="35"/>
      <c r="BB94" s="35"/>
      <c r="BC94" s="35"/>
      <c r="BD94" s="35"/>
      <c r="BE94" s="35"/>
      <c r="BF94" s="35"/>
      <c r="BG94" s="35"/>
      <c r="BH94" s="35"/>
      <c r="BI94" s="35"/>
      <c r="BJ94" s="35"/>
      <c r="BK94" s="35"/>
      <c r="BL94" s="35"/>
    </row>
    <row r="95" spans="1:64" ht="14">
      <c r="A95" s="36"/>
      <c r="B95" s="39"/>
      <c r="C95" s="39"/>
      <c r="D95" s="39"/>
      <c r="E95" s="229"/>
      <c r="F95" s="229"/>
      <c r="G95" s="40"/>
      <c r="H95" s="39"/>
      <c r="I95" s="91" t="str">
        <f t="shared" si="2"/>
        <v/>
      </c>
      <c r="J95" s="39"/>
      <c r="K95" s="35"/>
      <c r="L95" s="35"/>
      <c r="M95" s="35"/>
      <c r="N95" s="35"/>
      <c r="O95" s="35"/>
      <c r="P95" s="35"/>
      <c r="Q95" s="35"/>
      <c r="R95" s="35"/>
      <c r="S95" s="35"/>
      <c r="T95" s="35"/>
      <c r="U95" s="35"/>
      <c r="V95" s="35"/>
      <c r="W95" s="35"/>
      <c r="X95" s="35"/>
      <c r="Y95" s="35"/>
      <c r="Z95" s="35"/>
      <c r="AA95" s="35"/>
      <c r="AB95" s="35"/>
      <c r="AC95" s="35"/>
      <c r="AD95" s="35"/>
      <c r="AE95" s="35"/>
      <c r="AF95" s="35"/>
      <c r="AG95" s="35"/>
      <c r="AH95" s="35"/>
      <c r="AI95" s="35"/>
      <c r="AJ95" s="35"/>
      <c r="AK95" s="35"/>
      <c r="AL95" s="35"/>
      <c r="AM95" s="35"/>
      <c r="AN95" s="35"/>
      <c r="AO95" s="35"/>
      <c r="AP95" s="35"/>
      <c r="AQ95" s="35"/>
      <c r="AR95" s="35"/>
      <c r="AS95" s="35"/>
      <c r="AT95" s="35"/>
      <c r="AU95" s="35"/>
      <c r="AV95" s="35"/>
      <c r="AW95" s="35"/>
      <c r="AX95" s="35"/>
      <c r="AY95" s="35"/>
      <c r="AZ95" s="35"/>
      <c r="BA95" s="35"/>
      <c r="BB95" s="35"/>
      <c r="BC95" s="35"/>
      <c r="BD95" s="35"/>
      <c r="BE95" s="35"/>
      <c r="BF95" s="35"/>
      <c r="BG95" s="35"/>
      <c r="BH95" s="35"/>
      <c r="BI95" s="35"/>
      <c r="BJ95" s="35"/>
      <c r="BK95" s="35"/>
      <c r="BL95" s="35"/>
    </row>
    <row r="96" spans="1:64" ht="14">
      <c r="A96" s="36"/>
      <c r="B96" s="39"/>
      <c r="C96" s="39"/>
      <c r="D96" s="39"/>
      <c r="E96" s="229"/>
      <c r="F96" s="229"/>
      <c r="G96" s="40"/>
      <c r="H96" s="39"/>
      <c r="I96" s="91" t="str">
        <f t="shared" si="2"/>
        <v/>
      </c>
      <c r="J96" s="39"/>
      <c r="K96" s="35"/>
      <c r="L96" s="35"/>
      <c r="M96" s="35"/>
      <c r="N96" s="35"/>
      <c r="O96" s="35"/>
      <c r="P96" s="35"/>
      <c r="Q96" s="35"/>
      <c r="R96" s="35"/>
      <c r="S96" s="35"/>
      <c r="T96" s="35"/>
      <c r="U96" s="35"/>
      <c r="V96" s="35"/>
      <c r="W96" s="35"/>
      <c r="X96" s="35"/>
      <c r="Y96" s="35"/>
      <c r="Z96" s="35"/>
      <c r="AA96" s="35"/>
      <c r="AB96" s="35"/>
      <c r="AC96" s="35"/>
      <c r="AD96" s="35"/>
      <c r="AE96" s="35"/>
      <c r="AF96" s="35"/>
      <c r="AG96" s="35"/>
      <c r="AH96" s="35"/>
      <c r="AI96" s="35"/>
      <c r="AJ96" s="35"/>
      <c r="AK96" s="35"/>
      <c r="AL96" s="35"/>
      <c r="AM96" s="35"/>
      <c r="AN96" s="35"/>
      <c r="AO96" s="35"/>
      <c r="AP96" s="35"/>
      <c r="AQ96" s="35"/>
      <c r="AR96" s="35"/>
      <c r="AS96" s="35"/>
      <c r="AT96" s="35"/>
      <c r="AU96" s="35"/>
      <c r="AV96" s="35"/>
      <c r="AW96" s="35"/>
      <c r="AX96" s="35"/>
      <c r="AY96" s="35"/>
      <c r="AZ96" s="35"/>
      <c r="BA96" s="35"/>
      <c r="BB96" s="35"/>
      <c r="BC96" s="35"/>
      <c r="BD96" s="35"/>
      <c r="BE96" s="35"/>
      <c r="BF96" s="35"/>
      <c r="BG96" s="35"/>
      <c r="BH96" s="35"/>
      <c r="BI96" s="35"/>
      <c r="BJ96" s="35"/>
      <c r="BK96" s="35"/>
      <c r="BL96" s="35"/>
    </row>
    <row r="97" spans="1:64" ht="14">
      <c r="A97" s="36"/>
      <c r="B97" s="39"/>
      <c r="C97" s="39"/>
      <c r="D97" s="39"/>
      <c r="E97" s="229"/>
      <c r="F97" s="229"/>
      <c r="G97" s="40"/>
      <c r="H97" s="39"/>
      <c r="I97" s="91" t="str">
        <f t="shared" si="2"/>
        <v/>
      </c>
      <c r="J97" s="39"/>
      <c r="K97" s="35"/>
      <c r="L97" s="35"/>
      <c r="M97" s="35"/>
      <c r="N97" s="35"/>
      <c r="O97" s="35"/>
      <c r="P97" s="35"/>
      <c r="Q97" s="35"/>
      <c r="R97" s="35"/>
      <c r="S97" s="35"/>
      <c r="T97" s="35"/>
      <c r="U97" s="35"/>
      <c r="V97" s="35"/>
      <c r="W97" s="35"/>
      <c r="X97" s="35"/>
      <c r="Y97" s="35"/>
      <c r="Z97" s="35"/>
      <c r="AA97" s="35"/>
      <c r="AB97" s="35"/>
      <c r="AC97" s="35"/>
      <c r="AD97" s="35"/>
      <c r="AE97" s="35"/>
      <c r="AF97" s="35"/>
      <c r="AG97" s="35"/>
      <c r="AH97" s="35"/>
      <c r="AI97" s="35"/>
      <c r="AJ97" s="35"/>
      <c r="AK97" s="35"/>
      <c r="AL97" s="35"/>
      <c r="AM97" s="35"/>
      <c r="AN97" s="35"/>
      <c r="AO97" s="35"/>
      <c r="AP97" s="35"/>
      <c r="AQ97" s="35"/>
      <c r="AR97" s="35"/>
      <c r="AS97" s="35"/>
      <c r="AT97" s="35"/>
      <c r="AU97" s="35"/>
      <c r="AV97" s="35"/>
      <c r="AW97" s="35"/>
      <c r="AX97" s="35"/>
      <c r="AY97" s="35"/>
      <c r="AZ97" s="35"/>
      <c r="BA97" s="35"/>
      <c r="BB97" s="35"/>
      <c r="BC97" s="35"/>
      <c r="BD97" s="35"/>
      <c r="BE97" s="35"/>
      <c r="BF97" s="35"/>
      <c r="BG97" s="35"/>
      <c r="BH97" s="35"/>
      <c r="BI97" s="35"/>
      <c r="BJ97" s="35"/>
      <c r="BK97" s="35"/>
      <c r="BL97" s="35"/>
    </row>
    <row r="98" spans="1:64" ht="14">
      <c r="A98" s="36"/>
      <c r="B98" s="39"/>
      <c r="C98" s="39"/>
      <c r="D98" s="39"/>
      <c r="E98" s="229"/>
      <c r="F98" s="229"/>
      <c r="G98" s="40"/>
      <c r="H98" s="39"/>
      <c r="I98" s="91" t="str">
        <f t="shared" si="2"/>
        <v/>
      </c>
      <c r="J98" s="39"/>
      <c r="K98" s="35"/>
      <c r="L98" s="35"/>
      <c r="M98" s="35"/>
      <c r="N98" s="35"/>
      <c r="O98" s="35"/>
      <c r="P98" s="35"/>
      <c r="Q98" s="35"/>
      <c r="R98" s="35"/>
      <c r="S98" s="35"/>
      <c r="T98" s="35"/>
      <c r="U98" s="35"/>
      <c r="V98" s="35"/>
      <c r="W98" s="35"/>
      <c r="X98" s="35"/>
      <c r="Y98" s="35"/>
      <c r="Z98" s="35"/>
      <c r="AA98" s="35"/>
      <c r="AB98" s="35"/>
      <c r="AC98" s="35"/>
      <c r="AD98" s="35"/>
      <c r="AE98" s="35"/>
      <c r="AF98" s="35"/>
      <c r="AG98" s="35"/>
      <c r="AH98" s="35"/>
      <c r="AI98" s="35"/>
      <c r="AJ98" s="35"/>
      <c r="AK98" s="35"/>
      <c r="AL98" s="35"/>
      <c r="AM98" s="35"/>
      <c r="AN98" s="35"/>
      <c r="AO98" s="35"/>
      <c r="AP98" s="35"/>
      <c r="AQ98" s="35"/>
      <c r="AR98" s="35"/>
      <c r="AS98" s="35"/>
      <c r="AT98" s="35"/>
      <c r="AU98" s="35"/>
      <c r="AV98" s="35"/>
      <c r="AW98" s="35"/>
      <c r="AX98" s="35"/>
      <c r="AY98" s="35"/>
      <c r="AZ98" s="35"/>
      <c r="BA98" s="35"/>
      <c r="BB98" s="35"/>
      <c r="BC98" s="35"/>
      <c r="BD98" s="35"/>
      <c r="BE98" s="35"/>
      <c r="BF98" s="35"/>
      <c r="BG98" s="35"/>
      <c r="BH98" s="35"/>
      <c r="BI98" s="35"/>
      <c r="BJ98" s="35"/>
      <c r="BK98" s="35"/>
      <c r="BL98" s="35"/>
    </row>
    <row r="99" spans="1:64" ht="14">
      <c r="A99" s="36"/>
      <c r="B99" s="39"/>
      <c r="C99" s="39"/>
      <c r="D99" s="39"/>
      <c r="E99" s="229"/>
      <c r="F99" s="229"/>
      <c r="G99" s="40"/>
      <c r="H99" s="39"/>
      <c r="I99" s="91" t="str">
        <f t="shared" si="2"/>
        <v/>
      </c>
      <c r="J99" s="39"/>
      <c r="K99" s="35"/>
      <c r="L99" s="35"/>
      <c r="M99" s="35"/>
      <c r="N99" s="35"/>
      <c r="O99" s="35"/>
      <c r="P99" s="35"/>
      <c r="Q99" s="35"/>
      <c r="R99" s="35"/>
      <c r="S99" s="35"/>
      <c r="T99" s="35"/>
      <c r="U99" s="35"/>
      <c r="V99" s="35"/>
      <c r="W99" s="35"/>
      <c r="X99" s="35"/>
      <c r="Y99" s="35"/>
      <c r="Z99" s="35"/>
      <c r="AA99" s="35"/>
      <c r="AB99" s="35"/>
      <c r="AC99" s="35"/>
      <c r="AD99" s="35"/>
      <c r="AE99" s="35"/>
      <c r="AF99" s="35"/>
      <c r="AG99" s="35"/>
      <c r="AH99" s="35"/>
      <c r="AI99" s="35"/>
      <c r="AJ99" s="35"/>
      <c r="AK99" s="35"/>
      <c r="AL99" s="35"/>
      <c r="AM99" s="35"/>
      <c r="AN99" s="35"/>
      <c r="AO99" s="35"/>
      <c r="AP99" s="35"/>
      <c r="AQ99" s="35"/>
      <c r="AR99" s="35"/>
      <c r="AS99" s="35"/>
      <c r="AT99" s="35"/>
      <c r="AU99" s="35"/>
      <c r="AV99" s="35"/>
      <c r="AW99" s="35"/>
      <c r="AX99" s="35"/>
      <c r="AY99" s="35"/>
      <c r="AZ99" s="35"/>
      <c r="BA99" s="35"/>
      <c r="BB99" s="35"/>
      <c r="BC99" s="35"/>
      <c r="BD99" s="35"/>
      <c r="BE99" s="35"/>
      <c r="BF99" s="35"/>
      <c r="BG99" s="35"/>
      <c r="BH99" s="35"/>
      <c r="BI99" s="35"/>
      <c r="BJ99" s="35"/>
      <c r="BK99" s="35"/>
      <c r="BL99" s="35"/>
    </row>
    <row r="100" spans="1:64" ht="14">
      <c r="A100" s="36"/>
      <c r="B100" s="39"/>
      <c r="C100" s="39"/>
      <c r="D100" s="39"/>
      <c r="E100" s="229"/>
      <c r="F100" s="229"/>
      <c r="G100" s="40"/>
      <c r="H100" s="39"/>
      <c r="I100" s="91" t="str">
        <f t="shared" si="2"/>
        <v/>
      </c>
      <c r="J100" s="39"/>
      <c r="K100" s="35"/>
      <c r="L100" s="35"/>
      <c r="M100" s="35"/>
      <c r="N100" s="35"/>
      <c r="O100" s="35"/>
      <c r="P100" s="35"/>
      <c r="Q100" s="35"/>
      <c r="R100" s="35"/>
      <c r="S100" s="35"/>
      <c r="T100" s="35"/>
      <c r="U100" s="35"/>
      <c r="V100" s="35"/>
      <c r="W100" s="35"/>
      <c r="X100" s="35"/>
      <c r="Y100" s="35"/>
      <c r="Z100" s="35"/>
      <c r="AA100" s="35"/>
      <c r="AB100" s="35"/>
      <c r="AC100" s="35"/>
      <c r="AD100" s="35"/>
      <c r="AE100" s="35"/>
      <c r="AF100" s="35"/>
      <c r="AG100" s="35"/>
      <c r="AH100" s="35"/>
      <c r="AI100" s="35"/>
      <c r="AJ100" s="35"/>
      <c r="AK100" s="35"/>
      <c r="AL100" s="35"/>
      <c r="AM100" s="35"/>
      <c r="AN100" s="35"/>
      <c r="AO100" s="35"/>
      <c r="AP100" s="35"/>
      <c r="AQ100" s="35"/>
      <c r="AR100" s="35"/>
      <c r="AS100" s="35"/>
      <c r="AT100" s="35"/>
      <c r="AU100" s="35"/>
      <c r="AV100" s="35"/>
      <c r="AW100" s="35"/>
      <c r="AX100" s="35"/>
      <c r="AY100" s="35"/>
      <c r="AZ100" s="35"/>
      <c r="BA100" s="35"/>
      <c r="BB100" s="35"/>
      <c r="BC100" s="35"/>
      <c r="BD100" s="35"/>
      <c r="BE100" s="35"/>
      <c r="BF100" s="35"/>
      <c r="BG100" s="35"/>
      <c r="BH100" s="35"/>
      <c r="BI100" s="35"/>
      <c r="BJ100" s="35"/>
      <c r="BK100" s="35"/>
      <c r="BL100" s="35"/>
    </row>
    <row r="101" spans="1:64" ht="14">
      <c r="A101" s="36"/>
      <c r="B101" s="39"/>
      <c r="C101" s="39"/>
      <c r="D101" s="39"/>
      <c r="E101" s="229"/>
      <c r="F101" s="229"/>
      <c r="G101" s="40"/>
      <c r="H101" s="39"/>
      <c r="I101" s="91" t="str">
        <f t="shared" si="2"/>
        <v/>
      </c>
      <c r="J101" s="39"/>
      <c r="K101" s="35"/>
      <c r="L101" s="35"/>
      <c r="M101" s="35"/>
      <c r="N101" s="35"/>
      <c r="O101" s="35"/>
      <c r="P101" s="35"/>
      <c r="Q101" s="35"/>
      <c r="R101" s="35"/>
      <c r="S101" s="35"/>
      <c r="T101" s="35"/>
      <c r="U101" s="35"/>
      <c r="V101" s="35"/>
      <c r="W101" s="35"/>
      <c r="X101" s="35"/>
      <c r="Y101" s="35"/>
      <c r="Z101" s="35"/>
      <c r="AA101" s="35"/>
      <c r="AB101" s="35"/>
      <c r="AC101" s="35"/>
      <c r="AD101" s="35"/>
      <c r="AE101" s="35"/>
      <c r="AF101" s="35"/>
      <c r="AG101" s="35"/>
      <c r="AH101" s="35"/>
      <c r="AI101" s="35"/>
      <c r="AJ101" s="35"/>
      <c r="AK101" s="35"/>
      <c r="AL101" s="35"/>
      <c r="AM101" s="35"/>
      <c r="AN101" s="35"/>
      <c r="AO101" s="35"/>
      <c r="AP101" s="35"/>
      <c r="AQ101" s="35"/>
      <c r="AR101" s="35"/>
      <c r="AS101" s="35"/>
      <c r="AT101" s="35"/>
      <c r="AU101" s="35"/>
      <c r="AV101" s="35"/>
      <c r="AW101" s="35"/>
      <c r="AX101" s="35"/>
      <c r="AY101" s="35"/>
      <c r="AZ101" s="35"/>
      <c r="BA101" s="35"/>
      <c r="BB101" s="35"/>
      <c r="BC101" s="35"/>
      <c r="BD101" s="35"/>
      <c r="BE101" s="35"/>
      <c r="BF101" s="35"/>
      <c r="BG101" s="35"/>
      <c r="BH101" s="35"/>
      <c r="BI101" s="35"/>
      <c r="BJ101" s="35"/>
      <c r="BK101" s="35"/>
      <c r="BL101" s="35"/>
    </row>
    <row r="102" spans="1:64" ht="14">
      <c r="A102" s="36"/>
      <c r="B102" s="39"/>
      <c r="C102" s="39"/>
      <c r="D102" s="39"/>
      <c r="E102" s="229"/>
      <c r="F102" s="229"/>
      <c r="G102" s="40"/>
      <c r="H102" s="39"/>
      <c r="I102" s="91" t="str">
        <f t="shared" si="2"/>
        <v/>
      </c>
      <c r="J102" s="39"/>
      <c r="K102" s="35"/>
      <c r="L102" s="35"/>
      <c r="M102" s="35"/>
      <c r="N102" s="35"/>
      <c r="O102" s="35"/>
      <c r="P102" s="35"/>
      <c r="Q102" s="35"/>
      <c r="R102" s="35"/>
      <c r="S102" s="35"/>
      <c r="T102" s="35"/>
      <c r="U102" s="35"/>
      <c r="V102" s="35"/>
      <c r="W102" s="35"/>
      <c r="X102" s="35"/>
      <c r="Y102" s="35"/>
      <c r="Z102" s="35"/>
      <c r="AA102" s="35"/>
      <c r="AB102" s="35"/>
      <c r="AC102" s="35"/>
      <c r="AD102" s="35"/>
      <c r="AE102" s="35"/>
      <c r="AF102" s="35"/>
      <c r="AG102" s="35"/>
      <c r="AH102" s="35"/>
      <c r="AI102" s="35"/>
      <c r="AJ102" s="35"/>
      <c r="AK102" s="35"/>
      <c r="AL102" s="35"/>
      <c r="AM102" s="35"/>
      <c r="AN102" s="35"/>
      <c r="AO102" s="35"/>
      <c r="AP102" s="35"/>
      <c r="AQ102" s="35"/>
      <c r="AR102" s="35"/>
      <c r="AS102" s="35"/>
      <c r="AT102" s="35"/>
      <c r="AU102" s="35"/>
      <c r="AV102" s="35"/>
      <c r="AW102" s="35"/>
      <c r="AX102" s="35"/>
      <c r="AY102" s="35"/>
      <c r="AZ102" s="35"/>
      <c r="BA102" s="35"/>
      <c r="BB102" s="35"/>
      <c r="BC102" s="35"/>
      <c r="BD102" s="35"/>
      <c r="BE102" s="35"/>
      <c r="BF102" s="35"/>
      <c r="BG102" s="35"/>
      <c r="BH102" s="35"/>
      <c r="BI102" s="35"/>
      <c r="BJ102" s="35"/>
      <c r="BK102" s="35"/>
      <c r="BL102" s="35"/>
    </row>
    <row r="103" spans="1:64" ht="14">
      <c r="A103" s="36"/>
      <c r="B103" s="39"/>
      <c r="C103" s="39"/>
      <c r="D103" s="39"/>
      <c r="E103" s="229"/>
      <c r="F103" s="229"/>
      <c r="G103" s="40"/>
      <c r="H103" s="39"/>
      <c r="I103" s="91" t="str">
        <f t="shared" si="2"/>
        <v/>
      </c>
      <c r="J103" s="39"/>
      <c r="K103" s="35"/>
      <c r="L103" s="35"/>
      <c r="M103" s="35"/>
      <c r="N103" s="35"/>
      <c r="O103" s="35"/>
      <c r="P103" s="35"/>
      <c r="Q103" s="35"/>
      <c r="R103" s="35"/>
      <c r="S103" s="35"/>
      <c r="T103" s="35"/>
      <c r="U103" s="35"/>
      <c r="V103" s="35"/>
      <c r="W103" s="35"/>
      <c r="X103" s="35"/>
      <c r="Y103" s="35"/>
      <c r="Z103" s="35"/>
      <c r="AA103" s="35"/>
      <c r="AB103" s="35"/>
      <c r="AC103" s="35"/>
      <c r="AD103" s="35"/>
      <c r="AE103" s="35"/>
      <c r="AF103" s="35"/>
      <c r="AG103" s="35"/>
      <c r="AH103" s="35"/>
      <c r="AI103" s="35"/>
      <c r="AJ103" s="35"/>
      <c r="AK103" s="35"/>
      <c r="AL103" s="35"/>
      <c r="AM103" s="35"/>
      <c r="AN103" s="35"/>
      <c r="AO103" s="35"/>
      <c r="AP103" s="35"/>
      <c r="AQ103" s="35"/>
      <c r="AR103" s="35"/>
      <c r="AS103" s="35"/>
      <c r="AT103" s="35"/>
      <c r="AU103" s="35"/>
      <c r="AV103" s="35"/>
      <c r="AW103" s="35"/>
      <c r="AX103" s="35"/>
      <c r="AY103" s="35"/>
      <c r="AZ103" s="35"/>
      <c r="BA103" s="35"/>
      <c r="BB103" s="35"/>
      <c r="BC103" s="35"/>
      <c r="BD103" s="35"/>
      <c r="BE103" s="35"/>
      <c r="BF103" s="35"/>
      <c r="BG103" s="35"/>
      <c r="BH103" s="35"/>
      <c r="BI103" s="35"/>
      <c r="BJ103" s="35"/>
      <c r="BK103" s="35"/>
      <c r="BL103" s="35"/>
    </row>
    <row r="104" spans="1:64" ht="14">
      <c r="A104" s="36"/>
      <c r="B104" s="39"/>
      <c r="C104" s="39"/>
      <c r="D104" s="39"/>
      <c r="E104" s="229"/>
      <c r="F104" s="229"/>
      <c r="G104" s="40"/>
      <c r="H104" s="39"/>
      <c r="I104" s="91" t="str">
        <f t="shared" si="2"/>
        <v/>
      </c>
      <c r="J104" s="39"/>
      <c r="K104" s="35"/>
      <c r="L104" s="35"/>
      <c r="M104" s="35"/>
      <c r="N104" s="35"/>
      <c r="O104" s="35"/>
      <c r="P104" s="35"/>
      <c r="Q104" s="35"/>
      <c r="R104" s="35"/>
      <c r="S104" s="35"/>
      <c r="T104" s="35"/>
      <c r="U104" s="35"/>
      <c r="V104" s="35"/>
      <c r="W104" s="35"/>
      <c r="X104" s="35"/>
      <c r="Y104" s="35"/>
      <c r="Z104" s="35"/>
      <c r="AA104" s="35"/>
      <c r="AB104" s="35"/>
      <c r="AC104" s="35"/>
      <c r="AD104" s="35"/>
      <c r="AE104" s="35"/>
      <c r="AF104" s="35"/>
      <c r="AG104" s="35"/>
      <c r="AH104" s="35"/>
      <c r="AI104" s="35"/>
      <c r="AJ104" s="35"/>
      <c r="AK104" s="35"/>
      <c r="AL104" s="35"/>
      <c r="AM104" s="35"/>
      <c r="AN104" s="35"/>
      <c r="AO104" s="35"/>
      <c r="AP104" s="35"/>
      <c r="AQ104" s="35"/>
      <c r="AR104" s="35"/>
      <c r="AS104" s="35"/>
      <c r="AT104" s="35"/>
      <c r="AU104" s="35"/>
      <c r="AV104" s="35"/>
      <c r="AW104" s="35"/>
      <c r="AX104" s="35"/>
      <c r="AY104" s="35"/>
      <c r="AZ104" s="35"/>
      <c r="BA104" s="35"/>
      <c r="BB104" s="35"/>
      <c r="BC104" s="35"/>
      <c r="BD104" s="35"/>
      <c r="BE104" s="35"/>
      <c r="BF104" s="35"/>
      <c r="BG104" s="35"/>
      <c r="BH104" s="35"/>
      <c r="BI104" s="35"/>
      <c r="BJ104" s="35"/>
      <c r="BK104" s="35"/>
      <c r="BL104" s="35"/>
    </row>
    <row r="105" spans="1:64" ht="14">
      <c r="A105" s="36"/>
      <c r="B105" s="39"/>
      <c r="C105" s="39"/>
      <c r="D105" s="39"/>
      <c r="E105" s="229"/>
      <c r="F105" s="229"/>
      <c r="G105" s="40"/>
      <c r="H105" s="39"/>
      <c r="I105" s="91" t="str">
        <f t="shared" si="2"/>
        <v/>
      </c>
      <c r="J105" s="39"/>
      <c r="K105" s="35"/>
      <c r="L105" s="35"/>
      <c r="M105" s="35"/>
      <c r="N105" s="35"/>
      <c r="O105" s="35"/>
      <c r="P105" s="35"/>
      <c r="Q105" s="35"/>
      <c r="R105" s="35"/>
      <c r="S105" s="35"/>
      <c r="T105" s="35"/>
      <c r="U105" s="35"/>
      <c r="V105" s="35"/>
      <c r="W105" s="35"/>
      <c r="X105" s="35"/>
      <c r="Y105" s="35"/>
      <c r="Z105" s="35"/>
      <c r="AA105" s="35"/>
      <c r="AB105" s="35"/>
      <c r="AC105" s="35"/>
      <c r="AD105" s="35"/>
      <c r="AE105" s="35"/>
      <c r="AF105" s="35"/>
      <c r="AG105" s="35"/>
      <c r="AH105" s="35"/>
      <c r="AI105" s="35"/>
      <c r="AJ105" s="35"/>
      <c r="AK105" s="35"/>
      <c r="AL105" s="35"/>
      <c r="AM105" s="35"/>
      <c r="AN105" s="35"/>
      <c r="AO105" s="35"/>
      <c r="AP105" s="35"/>
      <c r="AQ105" s="35"/>
      <c r="AR105" s="35"/>
      <c r="AS105" s="35"/>
      <c r="AT105" s="35"/>
      <c r="AU105" s="35"/>
      <c r="AV105" s="35"/>
      <c r="AW105" s="35"/>
      <c r="AX105" s="35"/>
      <c r="AY105" s="35"/>
      <c r="AZ105" s="35"/>
      <c r="BA105" s="35"/>
      <c r="BB105" s="35"/>
      <c r="BC105" s="35"/>
      <c r="BD105" s="35"/>
      <c r="BE105" s="35"/>
      <c r="BF105" s="35"/>
      <c r="BG105" s="35"/>
      <c r="BH105" s="35"/>
      <c r="BI105" s="35"/>
      <c r="BJ105" s="35"/>
      <c r="BK105" s="35"/>
      <c r="BL105" s="35"/>
    </row>
    <row r="106" spans="1:64" ht="14">
      <c r="A106" s="36"/>
      <c r="B106" s="39"/>
      <c r="C106" s="39"/>
      <c r="D106" s="39"/>
      <c r="E106" s="229"/>
      <c r="F106" s="229"/>
      <c r="G106" s="40"/>
      <c r="H106" s="39"/>
      <c r="I106" s="91" t="str">
        <f t="shared" si="2"/>
        <v/>
      </c>
      <c r="J106" s="39"/>
      <c r="K106" s="35"/>
      <c r="L106" s="35"/>
      <c r="M106" s="35"/>
      <c r="N106" s="35"/>
      <c r="O106" s="35"/>
      <c r="P106" s="35"/>
      <c r="Q106" s="35"/>
      <c r="R106" s="35"/>
      <c r="S106" s="35"/>
      <c r="T106" s="35"/>
      <c r="U106" s="35"/>
      <c r="V106" s="35"/>
      <c r="W106" s="35"/>
      <c r="X106" s="35"/>
      <c r="Y106" s="35"/>
      <c r="Z106" s="35"/>
      <c r="AA106" s="35"/>
      <c r="AB106" s="35"/>
      <c r="AC106" s="35"/>
      <c r="AD106" s="35"/>
      <c r="AE106" s="35"/>
      <c r="AF106" s="35"/>
      <c r="AG106" s="35"/>
      <c r="AH106" s="35"/>
      <c r="AI106" s="35"/>
      <c r="AJ106" s="35"/>
      <c r="AK106" s="35"/>
      <c r="AL106" s="35"/>
      <c r="AM106" s="35"/>
      <c r="AN106" s="35"/>
      <c r="AO106" s="35"/>
      <c r="AP106" s="35"/>
      <c r="AQ106" s="35"/>
      <c r="AR106" s="35"/>
      <c r="AS106" s="35"/>
      <c r="AT106" s="35"/>
      <c r="AU106" s="35"/>
      <c r="AV106" s="35"/>
      <c r="AW106" s="35"/>
      <c r="AX106" s="35"/>
      <c r="AY106" s="35"/>
      <c r="AZ106" s="35"/>
      <c r="BA106" s="35"/>
      <c r="BB106" s="35"/>
      <c r="BC106" s="35"/>
      <c r="BD106" s="35"/>
      <c r="BE106" s="35"/>
      <c r="BF106" s="35"/>
      <c r="BG106" s="35"/>
      <c r="BH106" s="35"/>
      <c r="BI106" s="35"/>
      <c r="BJ106" s="35"/>
      <c r="BK106" s="35"/>
      <c r="BL106" s="35"/>
    </row>
    <row r="107" spans="1:64" ht="14">
      <c r="A107" s="36"/>
      <c r="B107" s="39"/>
      <c r="C107" s="39"/>
      <c r="D107" s="39"/>
      <c r="E107" s="229"/>
      <c r="F107" s="229"/>
      <c r="G107" s="40"/>
      <c r="H107" s="39"/>
      <c r="I107" s="91" t="str">
        <f>IF(H107="ALI",35,IF(H107="AIE",15,""))</f>
        <v/>
      </c>
      <c r="J107" s="39"/>
      <c r="K107" s="35"/>
      <c r="L107" s="35"/>
      <c r="M107" s="35"/>
      <c r="N107" s="35"/>
      <c r="O107" s="35"/>
      <c r="P107" s="35"/>
      <c r="Q107" s="35"/>
      <c r="R107" s="35"/>
      <c r="S107" s="35"/>
      <c r="T107" s="35"/>
      <c r="U107" s="35"/>
      <c r="V107" s="35"/>
      <c r="W107" s="35"/>
      <c r="X107" s="35"/>
      <c r="Y107" s="35"/>
      <c r="Z107" s="35"/>
      <c r="AA107" s="35"/>
      <c r="AB107" s="35"/>
      <c r="AC107" s="35"/>
      <c r="AD107" s="35"/>
      <c r="AE107" s="35"/>
      <c r="AF107" s="35"/>
      <c r="AG107" s="35"/>
      <c r="AH107" s="35"/>
      <c r="AI107" s="35"/>
      <c r="AJ107" s="35"/>
      <c r="AK107" s="35"/>
      <c r="AL107" s="35"/>
      <c r="AM107" s="35"/>
      <c r="AN107" s="35"/>
      <c r="AO107" s="35"/>
      <c r="AP107" s="35"/>
      <c r="AQ107" s="35"/>
      <c r="AR107" s="35"/>
      <c r="AS107" s="35"/>
      <c r="AT107" s="35"/>
      <c r="AU107" s="35"/>
      <c r="AV107" s="35"/>
      <c r="AW107" s="35"/>
      <c r="AX107" s="35"/>
      <c r="AY107" s="35"/>
      <c r="AZ107" s="35"/>
      <c r="BA107" s="35"/>
      <c r="BB107" s="35"/>
      <c r="BC107" s="35"/>
      <c r="BD107" s="35"/>
      <c r="BE107" s="35"/>
      <c r="BF107" s="35"/>
      <c r="BG107" s="35"/>
      <c r="BH107" s="35"/>
      <c r="BI107" s="35"/>
      <c r="BJ107" s="35"/>
      <c r="BK107" s="35"/>
      <c r="BL107" s="35"/>
    </row>
    <row r="108" spans="1:64" ht="14">
      <c r="A108" s="36"/>
      <c r="B108" s="39"/>
      <c r="C108" s="39"/>
      <c r="D108" s="39"/>
      <c r="E108" s="229"/>
      <c r="F108" s="229"/>
      <c r="G108" s="40"/>
      <c r="H108" s="39"/>
      <c r="I108" s="91" t="str">
        <f>IF(H108="ALI",35,IF(H108="AIE",15,""))</f>
        <v/>
      </c>
      <c r="J108" s="39"/>
      <c r="K108" s="35"/>
      <c r="L108" s="35"/>
      <c r="M108" s="35"/>
      <c r="N108" s="35"/>
      <c r="O108" s="35"/>
      <c r="P108" s="35"/>
      <c r="Q108" s="35"/>
      <c r="R108" s="35"/>
      <c r="S108" s="35"/>
      <c r="T108" s="35"/>
      <c r="U108" s="35"/>
      <c r="V108" s="35"/>
      <c r="W108" s="35"/>
      <c r="X108" s="35"/>
      <c r="Y108" s="35"/>
      <c r="Z108" s="35"/>
      <c r="AA108" s="35"/>
      <c r="AB108" s="35"/>
      <c r="AC108" s="35"/>
      <c r="AD108" s="35"/>
      <c r="AE108" s="35"/>
      <c r="AF108" s="35"/>
      <c r="AG108" s="35"/>
      <c r="AH108" s="35"/>
      <c r="AI108" s="35"/>
      <c r="AJ108" s="35"/>
      <c r="AK108" s="35"/>
      <c r="AL108" s="35"/>
      <c r="AM108" s="35"/>
      <c r="AN108" s="35"/>
      <c r="AO108" s="35"/>
      <c r="AP108" s="35"/>
      <c r="AQ108" s="35"/>
      <c r="AR108" s="35"/>
      <c r="AS108" s="35"/>
      <c r="AT108" s="35"/>
      <c r="AU108" s="35"/>
      <c r="AV108" s="35"/>
      <c r="AW108" s="35"/>
      <c r="AX108" s="35"/>
      <c r="AY108" s="35"/>
      <c r="AZ108" s="35"/>
      <c r="BA108" s="35"/>
      <c r="BB108" s="35"/>
      <c r="BC108" s="35"/>
      <c r="BD108" s="35"/>
      <c r="BE108" s="35"/>
      <c r="BF108" s="35"/>
      <c r="BG108" s="35"/>
      <c r="BH108" s="35"/>
      <c r="BI108" s="35"/>
      <c r="BJ108" s="35"/>
      <c r="BK108" s="35"/>
      <c r="BL108" s="35"/>
    </row>
    <row r="109" spans="1:64" ht="14">
      <c r="A109" s="217" t="s">
        <v>58</v>
      </c>
      <c r="B109" s="217"/>
      <c r="C109" s="217"/>
      <c r="D109" s="217"/>
      <c r="E109" s="217"/>
      <c r="F109" s="217"/>
      <c r="G109" s="217"/>
      <c r="H109" s="217"/>
      <c r="I109" s="217"/>
      <c r="J109" s="217"/>
      <c r="K109" s="35"/>
      <c r="L109" s="35"/>
      <c r="M109" s="35"/>
      <c r="N109" s="35"/>
      <c r="O109" s="35"/>
      <c r="P109" s="35"/>
      <c r="Q109" s="35"/>
      <c r="R109" s="35"/>
      <c r="S109" s="35"/>
      <c r="T109" s="35"/>
      <c r="U109" s="35"/>
      <c r="V109" s="35"/>
      <c r="W109" s="35"/>
      <c r="X109" s="35"/>
      <c r="Y109" s="35"/>
      <c r="Z109" s="35"/>
      <c r="AA109" s="35"/>
      <c r="AB109" s="35"/>
      <c r="AC109" s="35"/>
      <c r="AD109" s="35"/>
      <c r="AE109" s="35"/>
      <c r="AF109" s="35"/>
      <c r="AG109" s="35"/>
      <c r="AH109" s="35"/>
      <c r="AI109" s="35"/>
      <c r="AJ109" s="35"/>
      <c r="AK109" s="35"/>
      <c r="AL109" s="35"/>
      <c r="AM109" s="35"/>
      <c r="AN109" s="35"/>
      <c r="AO109" s="35"/>
      <c r="AP109" s="35"/>
      <c r="AQ109" s="35"/>
      <c r="AR109" s="35"/>
      <c r="AS109" s="35"/>
      <c r="AT109" s="35"/>
      <c r="AU109" s="35"/>
      <c r="AV109" s="35"/>
      <c r="AW109" s="35"/>
      <c r="AX109" s="35"/>
      <c r="AY109" s="35"/>
      <c r="AZ109" s="35"/>
      <c r="BA109" s="35"/>
      <c r="BB109" s="35"/>
      <c r="BC109" s="35"/>
      <c r="BD109" s="35"/>
      <c r="BE109" s="35"/>
      <c r="BF109" s="35"/>
      <c r="BG109" s="35"/>
      <c r="BH109" s="35"/>
      <c r="BI109" s="35"/>
      <c r="BJ109" s="35"/>
      <c r="BK109" s="35"/>
      <c r="BL109" s="35"/>
    </row>
    <row r="110" spans="1:64" ht="12.75" customHeight="1">
      <c r="A110" s="47"/>
      <c r="B110" s="49"/>
      <c r="C110" s="49"/>
      <c r="D110" s="49"/>
      <c r="E110" s="49"/>
      <c r="F110" s="49"/>
      <c r="G110" s="232" t="s">
        <v>95</v>
      </c>
      <c r="H110" s="232"/>
      <c r="I110" s="92">
        <f>SUM(I10:I109)</f>
        <v>0</v>
      </c>
      <c r="J110" s="52"/>
    </row>
  </sheetData>
  <mergeCells count="116">
    <mergeCell ref="E106:F106"/>
    <mergeCell ref="E107:F107"/>
    <mergeCell ref="E108:F108"/>
    <mergeCell ref="E98:F98"/>
    <mergeCell ref="E99:F99"/>
    <mergeCell ref="A109:J109"/>
    <mergeCell ref="G110:H110"/>
    <mergeCell ref="E100:F100"/>
    <mergeCell ref="E101:F101"/>
    <mergeCell ref="E102:F102"/>
    <mergeCell ref="E103:F103"/>
    <mergeCell ref="E104:F104"/>
    <mergeCell ref="E105:F105"/>
    <mergeCell ref="E92:F92"/>
    <mergeCell ref="E93:F93"/>
    <mergeCell ref="E94:F94"/>
    <mergeCell ref="E95:F95"/>
    <mergeCell ref="E96:F96"/>
    <mergeCell ref="E97:F97"/>
    <mergeCell ref="E86:F86"/>
    <mergeCell ref="E87:F87"/>
    <mergeCell ref="E88:F88"/>
    <mergeCell ref="E89:F89"/>
    <mergeCell ref="E90:F90"/>
    <mergeCell ref="E91:F91"/>
    <mergeCell ref="E80:F80"/>
    <mergeCell ref="E81:F81"/>
    <mergeCell ref="E82:F82"/>
    <mergeCell ref="E83:F83"/>
    <mergeCell ref="E84:F84"/>
    <mergeCell ref="E85:F85"/>
    <mergeCell ref="E74:F74"/>
    <mergeCell ref="E75:F75"/>
    <mergeCell ref="E76:F76"/>
    <mergeCell ref="E77:F77"/>
    <mergeCell ref="E78:F78"/>
    <mergeCell ref="E79:F79"/>
    <mergeCell ref="E68:F68"/>
    <mergeCell ref="E69:F69"/>
    <mergeCell ref="E70:F70"/>
    <mergeCell ref="E71:F71"/>
    <mergeCell ref="E72:F72"/>
    <mergeCell ref="E73:F73"/>
    <mergeCell ref="E62:F62"/>
    <mergeCell ref="E63:F63"/>
    <mergeCell ref="E64:F64"/>
    <mergeCell ref="E65:F65"/>
    <mergeCell ref="E66:F66"/>
    <mergeCell ref="E67:F67"/>
    <mergeCell ref="E56:F56"/>
    <mergeCell ref="E57:F57"/>
    <mergeCell ref="E58:F58"/>
    <mergeCell ref="E59:F59"/>
    <mergeCell ref="E60:F60"/>
    <mergeCell ref="E61:F61"/>
    <mergeCell ref="E50:F50"/>
    <mergeCell ref="E51:F51"/>
    <mergeCell ref="E52:F52"/>
    <mergeCell ref="E53:F53"/>
    <mergeCell ref="E54:F54"/>
    <mergeCell ref="E55:F55"/>
    <mergeCell ref="E44:F44"/>
    <mergeCell ref="E45:F45"/>
    <mergeCell ref="E46:F46"/>
    <mergeCell ref="E47:F47"/>
    <mergeCell ref="E48:F48"/>
    <mergeCell ref="E49:F49"/>
    <mergeCell ref="E38:F38"/>
    <mergeCell ref="E39:F39"/>
    <mergeCell ref="E40:F40"/>
    <mergeCell ref="E41:F41"/>
    <mergeCell ref="E42:F42"/>
    <mergeCell ref="E43:F43"/>
    <mergeCell ref="E32:F32"/>
    <mergeCell ref="E33:F33"/>
    <mergeCell ref="E34:F34"/>
    <mergeCell ref="E35:F35"/>
    <mergeCell ref="E36:F36"/>
    <mergeCell ref="E37:F37"/>
    <mergeCell ref="E26:F26"/>
    <mergeCell ref="E27:F27"/>
    <mergeCell ref="E28:F28"/>
    <mergeCell ref="E29:F29"/>
    <mergeCell ref="E30:F30"/>
    <mergeCell ref="E31:F31"/>
    <mergeCell ref="E20:F20"/>
    <mergeCell ref="E21:F21"/>
    <mergeCell ref="E22:F22"/>
    <mergeCell ref="E23:F23"/>
    <mergeCell ref="E24:F24"/>
    <mergeCell ref="E25:F25"/>
    <mergeCell ref="E14:F14"/>
    <mergeCell ref="E15:F15"/>
    <mergeCell ref="E16:F16"/>
    <mergeCell ref="E17:F17"/>
    <mergeCell ref="E18:F18"/>
    <mergeCell ref="E19:F19"/>
    <mergeCell ref="H8:I8"/>
    <mergeCell ref="J8:J9"/>
    <mergeCell ref="A10:J10"/>
    <mergeCell ref="E11:F11"/>
    <mergeCell ref="E12:F12"/>
    <mergeCell ref="E13:F13"/>
    <mergeCell ref="A8:A9"/>
    <mergeCell ref="B8:B9"/>
    <mergeCell ref="C8:C9"/>
    <mergeCell ref="D8:D9"/>
    <mergeCell ref="E8:F9"/>
    <mergeCell ref="G8:G9"/>
    <mergeCell ref="E1:J1"/>
    <mergeCell ref="H3:J3"/>
    <mergeCell ref="H4:J4"/>
    <mergeCell ref="A5:D6"/>
    <mergeCell ref="E5:E6"/>
    <mergeCell ref="H5:J5"/>
    <mergeCell ref="H6:J6"/>
  </mergeCells>
  <conditionalFormatting sqref="H11:H108">
    <cfRule type="cellIs" dxfId="5" priority="2" operator="between">
      <formula>"Desenvolvimento"</formula>
      <formula>"Manutenção"</formula>
    </cfRule>
  </conditionalFormatting>
  <dataValidations count="1">
    <dataValidation type="list" operator="equal" allowBlank="1" showInputMessage="1" showErrorMessage="1" errorTitle="Erro" error="Selecione uma das opções apresentada" sqref="H11:H108">
      <formula1>"-------,ALI,AIE"</formula1>
      <formula2>0</formula2>
    </dataValidation>
  </dataValidations>
  <pageMargins left="0.196527777777778" right="0.196527777777778" top="0.32986111111111099" bottom="0.42986111111111103" header="0.179861111111111" footer="0.27569444444444402"/>
  <pageSetup paperSize="9" firstPageNumber="0" fitToHeight="10" orientation="landscape" horizontalDpi="300" verticalDpi="300"/>
  <headerFooter>
    <oddHeader>&amp;C&amp;A</oddHeader>
    <oddFooter>&amp;CPágina &amp;P de &amp;N</oddFooter>
  </headerFooter>
  <drawing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L135"/>
  <sheetViews>
    <sheetView zoomScaleNormal="100" workbookViewId="0"/>
  </sheetViews>
  <sheetFormatPr defaultColWidth="9" defaultRowHeight="12.5"/>
  <cols>
    <col min="1" max="1" width="1.7265625" style="96" customWidth="1"/>
    <col min="2" max="2" width="11.1796875" style="96" customWidth="1"/>
    <col min="3" max="3" width="10.81640625" style="53" customWidth="1"/>
    <col min="4" max="5" width="6.90625" style="96" customWidth="1"/>
    <col min="6" max="6" width="6.453125" style="96" customWidth="1"/>
    <col min="7" max="7" width="15.90625" style="96" customWidth="1"/>
    <col min="8" max="8" width="14" style="96" customWidth="1"/>
    <col min="9" max="9" width="4.08984375" style="96" customWidth="1"/>
    <col min="10" max="10" width="25.26953125" style="96" customWidth="1"/>
    <col min="11" max="11" width="11.08984375" style="96" customWidth="1"/>
    <col min="12" max="12" width="1.08984375" style="96" customWidth="1"/>
    <col min="13" max="13" width="22.54296875" style="96" customWidth="1"/>
    <col min="14" max="14" width="7.54296875" style="96" customWidth="1"/>
    <col min="15" max="15" width="7.81640625" style="96" customWidth="1"/>
    <col min="16" max="16" width="12.453125" style="96" customWidth="1"/>
    <col min="17" max="17" width="11.90625" style="96" customWidth="1"/>
    <col min="18" max="64" width="9" style="96" customWidth="1"/>
  </cols>
  <sheetData>
    <row r="1" spans="1:18" ht="69.75" customHeight="1">
      <c r="A1"/>
      <c r="B1" s="97" t="s">
        <v>0</v>
      </c>
      <c r="C1"/>
      <c r="D1" s="233" t="s">
        <v>96</v>
      </c>
      <c r="E1" s="233"/>
      <c r="F1" s="233"/>
      <c r="G1" s="233"/>
      <c r="H1" s="233"/>
      <c r="I1" s="233"/>
      <c r="J1" s="233"/>
      <c r="K1" s="233"/>
      <c r="L1" s="233"/>
      <c r="M1" s="233"/>
      <c r="N1" s="233"/>
      <c r="O1" s="233"/>
      <c r="P1" s="233"/>
      <c r="Q1" s="233"/>
      <c r="R1"/>
    </row>
    <row r="2" spans="1:18" ht="15.5">
      <c r="A2"/>
      <c r="B2" s="234" t="s">
        <v>97</v>
      </c>
      <c r="C2" s="234"/>
      <c r="D2" s="234"/>
      <c r="E2" s="234"/>
      <c r="F2" s="234"/>
      <c r="G2" s="234"/>
      <c r="H2" s="234"/>
      <c r="I2" s="98"/>
      <c r="J2" s="235" t="s">
        <v>98</v>
      </c>
      <c r="K2" s="235"/>
      <c r="L2" s="98"/>
      <c r="M2" s="235" t="s">
        <v>99</v>
      </c>
      <c r="N2" s="235"/>
      <c r="O2" s="235"/>
      <c r="P2" s="235"/>
      <c r="Q2" s="235"/>
      <c r="R2"/>
    </row>
    <row r="3" spans="1:18" ht="15.75" customHeight="1">
      <c r="A3"/>
      <c r="B3" s="236" t="s">
        <v>100</v>
      </c>
      <c r="C3" s="236"/>
      <c r="D3" s="236"/>
      <c r="E3" s="236"/>
      <c r="F3" s="236"/>
      <c r="G3" s="237" t="s">
        <v>101</v>
      </c>
      <c r="H3" s="237"/>
      <c r="I3" s="98"/>
      <c r="J3" s="238" t="s">
        <v>102</v>
      </c>
      <c r="K3" s="239" t="s">
        <v>103</v>
      </c>
      <c r="L3" s="98"/>
      <c r="M3" s="238" t="s">
        <v>104</v>
      </c>
      <c r="N3" s="238"/>
      <c r="O3" s="238"/>
      <c r="P3" s="240" t="s">
        <v>105</v>
      </c>
      <c r="Q3" s="240"/>
      <c r="R3"/>
    </row>
    <row r="4" spans="1:18" ht="22" customHeight="1">
      <c r="A4"/>
      <c r="B4" s="241" t="s">
        <v>106</v>
      </c>
      <c r="C4" s="241"/>
      <c r="D4" s="241"/>
      <c r="E4" s="241"/>
      <c r="F4" s="241"/>
      <c r="G4" s="242" t="s">
        <v>107</v>
      </c>
      <c r="H4" s="99" t="s">
        <v>108</v>
      </c>
      <c r="I4" s="98"/>
      <c r="J4" s="238"/>
      <c r="K4" s="239"/>
      <c r="L4" s="98"/>
      <c r="M4" s="243" t="s">
        <v>109</v>
      </c>
      <c r="N4" s="243"/>
      <c r="O4" s="243"/>
      <c r="P4" s="244"/>
      <c r="Q4" s="244"/>
      <c r="R4"/>
    </row>
    <row r="5" spans="1:18" ht="35.25" customHeight="1">
      <c r="A5"/>
      <c r="B5" s="241"/>
      <c r="C5" s="241"/>
      <c r="D5" s="241"/>
      <c r="E5" s="241"/>
      <c r="F5" s="241"/>
      <c r="G5" s="242"/>
      <c r="H5" s="101">
        <f>IF(G4="Sistema Comum – Mainframe", 0.33, IF(G4="Sistema Comum – WEB", 0.35, IF(G4="Sistema OO", 0.36, IF(G4="Sistema Cliente/Servidor (Alta complexidade)", 0.37,IF(G4="Sistemas Gerenciais Complexos", 0.39, IF(G4="Software Básico, Framework, Sistemas Comerciais", 0.4, IF(G4="Software Militar *Exclusivo SISP v2.0", 0.45, "ERRO - Selecione o Tipo novamente")))))))</f>
        <v>0.36</v>
      </c>
      <c r="I5" s="98"/>
      <c r="J5" s="238"/>
      <c r="K5" s="102" t="s">
        <v>110</v>
      </c>
      <c r="L5" s="98"/>
      <c r="M5" s="243" t="s">
        <v>111</v>
      </c>
      <c r="N5" s="243"/>
      <c r="O5" s="243"/>
      <c r="P5" s="245" t="e">
        <f>IF(AND(P4&lt;&gt;"",B16&lt;&gt;0),(P4-G10)+1,B16)</f>
        <v>#VALUE!</v>
      </c>
      <c r="Q5" s="245"/>
      <c r="R5"/>
    </row>
    <row r="6" spans="1:18" ht="23.25" customHeight="1">
      <c r="A6"/>
      <c r="B6" s="236" t="s">
        <v>112</v>
      </c>
      <c r="C6" s="236"/>
      <c r="D6" s="236"/>
      <c r="E6" s="236"/>
      <c r="F6" s="236"/>
      <c r="G6" s="246" t="s">
        <v>113</v>
      </c>
      <c r="H6" s="246"/>
      <c r="I6" s="98"/>
      <c r="J6" s="100" t="s">
        <v>114</v>
      </c>
      <c r="K6" s="7">
        <v>10</v>
      </c>
      <c r="L6" s="98"/>
      <c r="M6" s="247" t="s">
        <v>115</v>
      </c>
      <c r="N6" s="247"/>
      <c r="O6" s="247"/>
      <c r="P6" s="248" t="str">
        <f>IF(G7&lt;&gt;0,P5/B16-1,"-")</f>
        <v>-</v>
      </c>
      <c r="Q6" s="248"/>
      <c r="R6"/>
    </row>
    <row r="7" spans="1:18" ht="24" customHeight="1">
      <c r="A7"/>
      <c r="B7" s="249" t="s">
        <v>116</v>
      </c>
      <c r="C7" s="249"/>
      <c r="D7" s="249"/>
      <c r="E7" s="249"/>
      <c r="F7" s="249"/>
      <c r="G7" s="250"/>
      <c r="H7" s="250"/>
      <c r="I7" s="98"/>
      <c r="J7" s="100" t="s">
        <v>117</v>
      </c>
      <c r="K7" s="7">
        <v>20</v>
      </c>
      <c r="L7" s="98"/>
      <c r="M7" s="251"/>
      <c r="N7" s="251"/>
      <c r="O7" s="251"/>
      <c r="P7" s="103" t="s">
        <v>118</v>
      </c>
      <c r="Q7" s="104" t="s">
        <v>119</v>
      </c>
      <c r="R7"/>
    </row>
    <row r="8" spans="1:18" ht="13.75" customHeight="1">
      <c r="A8"/>
      <c r="B8" s="257" t="s">
        <v>120</v>
      </c>
      <c r="C8" s="257"/>
      <c r="D8" s="258" t="s">
        <v>121</v>
      </c>
      <c r="E8" s="258" t="s">
        <v>122</v>
      </c>
      <c r="F8" s="259" t="s">
        <v>123</v>
      </c>
      <c r="G8" s="260" t="s">
        <v>124</v>
      </c>
      <c r="H8" s="260"/>
      <c r="I8" s="98"/>
      <c r="J8" s="100" t="s">
        <v>125</v>
      </c>
      <c r="K8" s="7">
        <v>30</v>
      </c>
      <c r="L8" s="98"/>
      <c r="M8" s="252" t="s">
        <v>126</v>
      </c>
      <c r="N8" s="252"/>
      <c r="O8" s="252"/>
      <c r="P8" s="105" t="e">
        <f>IF(P5=B16,"-",GROWTH(Q22:Q24,P22:P24,P6,1))</f>
        <v>#VALUE!</v>
      </c>
      <c r="Q8" s="106" t="e">
        <f>IF(P5=B16,"-",TREND(Q22:Q24,P22:P24,P6,0))</f>
        <v>#VALUE!</v>
      </c>
      <c r="R8"/>
    </row>
    <row r="9" spans="1:18" ht="15" customHeight="1">
      <c r="A9"/>
      <c r="B9" s="257"/>
      <c r="C9" s="257"/>
      <c r="D9" s="258"/>
      <c r="E9" s="258"/>
      <c r="F9" s="259"/>
      <c r="G9" s="107" t="s">
        <v>127</v>
      </c>
      <c r="H9" s="108" t="s">
        <v>128</v>
      </c>
      <c r="I9" s="98"/>
      <c r="J9" s="100" t="s">
        <v>129</v>
      </c>
      <c r="K9" s="7">
        <v>40</v>
      </c>
      <c r="L9" s="98"/>
      <c r="M9" s="253" t="s">
        <v>130</v>
      </c>
      <c r="N9" s="253"/>
      <c r="O9" s="253"/>
      <c r="P9" s="109" t="e">
        <f>IF(P5=B16,"-",P8/100+1)</f>
        <v>#VALUE!</v>
      </c>
      <c r="Q9" s="110" t="e">
        <f>IF(P5=B16,"-",Q8/100+1)</f>
        <v>#VALUE!</v>
      </c>
      <c r="R9"/>
    </row>
    <row r="10" spans="1:18" ht="19.5" customHeight="1">
      <c r="A10"/>
      <c r="B10" s="254" t="s">
        <v>20</v>
      </c>
      <c r="C10" s="254"/>
      <c r="D10" s="112">
        <v>0.25</v>
      </c>
      <c r="E10" s="113">
        <v>0.25</v>
      </c>
      <c r="F10" s="114" t="str">
        <f t="shared" ref="F10:F15" si="0">IF(ISERR($B$16*E10),"ERRO",$B$16*E10)</f>
        <v>ERRO</v>
      </c>
      <c r="G10" s="115"/>
      <c r="H10" s="116" t="str">
        <f>IF(E10="",G10,(IF(G10="","-",IF(ISERR(IF(AND((G10&gt;=0),(G10&lt;=2958465)),G10+(F10-1),"-")),"-",IF(AND((G10&gt;=0),(G10&lt;=2958465)),G10+(F10-1),"-")))))</f>
        <v>-</v>
      </c>
      <c r="I10" s="98"/>
      <c r="J10" s="100" t="s">
        <v>131</v>
      </c>
      <c r="K10" s="7">
        <v>50</v>
      </c>
      <c r="L10" s="98"/>
      <c r="M10" s="255" t="s">
        <v>132</v>
      </c>
      <c r="N10" s="255"/>
      <c r="O10" s="255"/>
      <c r="P10" s="117" t="e">
        <f>IF(P5=B16,"-",(P8/100+1)*G7)</f>
        <v>#VALUE!</v>
      </c>
      <c r="Q10" s="118" t="e">
        <f>IF(P5=B16,"-",(Q8/100+1)*G7)</f>
        <v>#VALUE!</v>
      </c>
      <c r="R10"/>
    </row>
    <row r="11" spans="1:18" ht="14.5">
      <c r="A11"/>
      <c r="B11" s="254" t="s">
        <v>133</v>
      </c>
      <c r="C11" s="254"/>
      <c r="D11" s="119">
        <v>0.1</v>
      </c>
      <c r="E11" s="113">
        <v>0.1</v>
      </c>
      <c r="F11" s="114" t="str">
        <f t="shared" si="0"/>
        <v>ERRO</v>
      </c>
      <c r="G11" s="120" t="str">
        <f>IF(AND((H10&gt;=0),(H10&lt;=2958465)),H10,"-")</f>
        <v>-</v>
      </c>
      <c r="H11" s="116" t="str">
        <f>IF(G11="", "-",(IF(AND((G11&gt;=0),(G11&lt;=2958465)),G11+(F11),"-")))</f>
        <v>-</v>
      </c>
      <c r="I11" s="98"/>
      <c r="J11" s="100" t="s">
        <v>134</v>
      </c>
      <c r="K11" s="7">
        <v>60</v>
      </c>
      <c r="L11" s="98"/>
      <c r="M11" s="256" t="s">
        <v>135</v>
      </c>
      <c r="N11" s="256"/>
      <c r="O11" s="256"/>
      <c r="P11" s="256"/>
      <c r="Q11" s="256"/>
      <c r="R11"/>
    </row>
    <row r="12" spans="1:18" ht="14.5">
      <c r="A12"/>
      <c r="B12" s="254" t="s">
        <v>24</v>
      </c>
      <c r="C12" s="254"/>
      <c r="D12" s="112">
        <v>0.4</v>
      </c>
      <c r="E12" s="113">
        <v>0.4</v>
      </c>
      <c r="F12" s="114" t="str">
        <f t="shared" si="0"/>
        <v>ERRO</v>
      </c>
      <c r="G12" s="120" t="str">
        <f>IF(AND((H11&gt;=0),(H11&lt;=2958465)),H11,"-")</f>
        <v>-</v>
      </c>
      <c r="H12" s="116" t="str">
        <f>IF(G12="", "-",(IF(AND((G12&gt;=0),(G12&lt;=2958465)),G12+(F12),"-")))</f>
        <v>-</v>
      </c>
      <c r="I12" s="98"/>
      <c r="J12" s="100" t="s">
        <v>136</v>
      </c>
      <c r="K12" s="7">
        <v>70</v>
      </c>
      <c r="L12" s="98"/>
      <c r="M12" s="121" t="s">
        <v>120</v>
      </c>
      <c r="N12" s="122" t="s">
        <v>122</v>
      </c>
      <c r="O12" s="122" t="s">
        <v>123</v>
      </c>
      <c r="P12" s="123" t="s">
        <v>137</v>
      </c>
      <c r="Q12" s="124" t="s">
        <v>138</v>
      </c>
      <c r="R12"/>
    </row>
    <row r="13" spans="1:18" ht="14.5">
      <c r="A13"/>
      <c r="B13" s="254" t="s">
        <v>26</v>
      </c>
      <c r="C13" s="254"/>
      <c r="D13" s="119">
        <v>0.15</v>
      </c>
      <c r="E13" s="113">
        <v>0.15</v>
      </c>
      <c r="F13" s="114" t="str">
        <f t="shared" si="0"/>
        <v>ERRO</v>
      </c>
      <c r="G13" s="120" t="str">
        <f>IF(AND((H12&gt;=0),(H12&lt;=2958465)),H12,"-")</f>
        <v>-</v>
      </c>
      <c r="H13" s="116" t="str">
        <f>IF(G13="", "-",(IF(AND((G13&gt;=0),(G13&lt;=2958465)),G13+(F13),"-")))</f>
        <v>-</v>
      </c>
      <c r="I13" s="98"/>
      <c r="J13" s="100" t="s">
        <v>139</v>
      </c>
      <c r="K13" s="7">
        <v>88</v>
      </c>
      <c r="L13" s="98"/>
      <c r="M13" s="125" t="s">
        <v>20</v>
      </c>
      <c r="N13" s="126">
        <f t="shared" ref="N13:N18" si="1">E10</f>
        <v>0.25</v>
      </c>
      <c r="O13" s="127" t="e">
        <f>IF(P5=B16,"-",IF(AND($G$7&lt;&gt;0,$G$10&lt;&gt;""),$P$5*N13,"-"))</f>
        <v>#VALUE!</v>
      </c>
      <c r="P13" s="128" t="e">
        <f>IF(P5=B16,"-",IF(G10="","-",G10))</f>
        <v>#VALUE!</v>
      </c>
      <c r="Q13" s="129" t="e">
        <f>IF(P13&lt;&gt;"-",(IF(O13&gt;1,((P13+O13)-1),(P13+O13))),"-")</f>
        <v>#VALUE!</v>
      </c>
      <c r="R13"/>
    </row>
    <row r="14" spans="1:18" ht="14.5">
      <c r="A14"/>
      <c r="B14" s="254" t="s">
        <v>28</v>
      </c>
      <c r="C14" s="254"/>
      <c r="D14" s="112">
        <v>0.05</v>
      </c>
      <c r="E14" s="113">
        <v>0.05</v>
      </c>
      <c r="F14" s="114" t="str">
        <f t="shared" si="0"/>
        <v>ERRO</v>
      </c>
      <c r="G14" s="120" t="str">
        <f>IF(AND((H13&gt;=0),(H13&lt;=2958465)),H13,"-")</f>
        <v>-</v>
      </c>
      <c r="H14" s="116" t="str">
        <f>IF(G14="", "-",(IF(AND((G14&gt;=0),(G14&lt;=2958465)),G14+(F14),"-")))</f>
        <v>-</v>
      </c>
      <c r="I14" s="98"/>
      <c r="J14" s="100" t="s">
        <v>140</v>
      </c>
      <c r="K14" s="7">
        <v>104</v>
      </c>
      <c r="L14" s="98"/>
      <c r="M14" s="111" t="s">
        <v>133</v>
      </c>
      <c r="N14" s="130">
        <f t="shared" si="1"/>
        <v>0.1</v>
      </c>
      <c r="O14" s="131" t="e">
        <f>IF(P5=B16,"-",IF(AND($G$7&lt;&gt;0,$G$10&lt;&gt;""),$P$5*N14,"-"))</f>
        <v>#VALUE!</v>
      </c>
      <c r="P14" s="132" t="e">
        <f>Q13</f>
        <v>#VALUE!</v>
      </c>
      <c r="Q14" s="116" t="e">
        <f>IF(P14&lt;&gt;"-",P14+O14,"-")</f>
        <v>#VALUE!</v>
      </c>
      <c r="R14"/>
    </row>
    <row r="15" spans="1:18" ht="16.5" customHeight="1">
      <c r="A15"/>
      <c r="B15" s="254" t="s">
        <v>30</v>
      </c>
      <c r="C15" s="254"/>
      <c r="D15" s="112">
        <v>0.05</v>
      </c>
      <c r="E15" s="113">
        <v>0.05</v>
      </c>
      <c r="F15" s="114" t="str">
        <f t="shared" si="0"/>
        <v>ERRO</v>
      </c>
      <c r="G15" s="120" t="str">
        <f>IF(AND((H14&gt;=0),(H14&lt;=2958465)),H14,"-")</f>
        <v>-</v>
      </c>
      <c r="H15" s="116" t="str">
        <f>IF(G15="", "-",(IF(AND((G15&gt;=0),(G15&lt;=2958465)),G15+(F15),"-")))</f>
        <v>-</v>
      </c>
      <c r="I15" s="98"/>
      <c r="J15" s="263" t="s">
        <v>141</v>
      </c>
      <c r="K15" s="261" t="s">
        <v>142</v>
      </c>
      <c r="L15" s="98"/>
      <c r="M15" s="111" t="s">
        <v>24</v>
      </c>
      <c r="N15" s="130">
        <f t="shared" si="1"/>
        <v>0.4</v>
      </c>
      <c r="O15" s="131" t="e">
        <f>IF(P5=B16,"-",IF(AND($G$7&lt;&gt;0,$G$10&lt;&gt;""),$P$5*N15,"-"))</f>
        <v>#VALUE!</v>
      </c>
      <c r="P15" s="132" t="e">
        <f>Q14</f>
        <v>#VALUE!</v>
      </c>
      <c r="Q15" s="116" t="e">
        <f>IF(P15&lt;&gt;"-",P15+O15,"-")</f>
        <v>#VALUE!</v>
      </c>
      <c r="R15"/>
    </row>
    <row r="16" spans="1:18" ht="15" customHeight="1">
      <c r="A16"/>
      <c r="B16" s="133" t="e">
        <f>#VALUE!</f>
        <v>#VALUE!</v>
      </c>
      <c r="C16" s="134" t="s">
        <v>143</v>
      </c>
      <c r="D16" s="135">
        <v>1</v>
      </c>
      <c r="E16" s="135">
        <f>SUM(E10:E15)</f>
        <v>1</v>
      </c>
      <c r="F16" s="262" t="e">
        <f>IF(B16&lt;&gt;"ERRO - Insira novamente o tamanho em PF do projeto",SUM(F10:F15)&amp;" dias","ERRO - Insira novamente PF")</f>
        <v>#VALUE!</v>
      </c>
      <c r="G16" s="262"/>
      <c r="H16" s="262"/>
      <c r="I16" s="98"/>
      <c r="J16" s="263"/>
      <c r="K16" s="261"/>
      <c r="L16" s="98"/>
      <c r="M16" s="111" t="s">
        <v>26</v>
      </c>
      <c r="N16" s="130">
        <f t="shared" si="1"/>
        <v>0.15</v>
      </c>
      <c r="O16" s="131" t="e">
        <f>IF(P5=B16,"-",IF(AND($G$7&lt;&gt;0,$G$10&lt;&gt;""),$P$5*N16,"-"))</f>
        <v>#VALUE!</v>
      </c>
      <c r="P16" s="132" t="e">
        <f>Q15</f>
        <v>#VALUE!</v>
      </c>
      <c r="Q16" s="116" t="e">
        <f>IF(P16&lt;&gt;"-",P16+O16,"-")</f>
        <v>#VALUE!</v>
      </c>
      <c r="R16"/>
    </row>
    <row r="17" spans="1:18" ht="14.5">
      <c r="A17"/>
      <c r="B17" s="136"/>
      <c r="C17" s="136"/>
      <c r="D17" s="136"/>
      <c r="E17" s="136"/>
      <c r="F17" s="137"/>
      <c r="G17" s="136"/>
      <c r="H17" s="136"/>
      <c r="I17" s="98"/>
      <c r="J17" s="263"/>
      <c r="K17" s="261"/>
      <c r="L17" s="98"/>
      <c r="M17" s="111" t="s">
        <v>28</v>
      </c>
      <c r="N17" s="130">
        <f t="shared" si="1"/>
        <v>0.05</v>
      </c>
      <c r="O17" s="131" t="e">
        <f>IF(P5=B16,"-",IF(AND($G$7&lt;&gt;0,$G$10&lt;&gt;""),$P$5*N17,"-"))</f>
        <v>#VALUE!</v>
      </c>
      <c r="P17" s="132" t="e">
        <f>Q16</f>
        <v>#VALUE!</v>
      </c>
      <c r="Q17" s="116" t="e">
        <f>IF(P17&lt;&gt;"-",P17+O17,"-")</f>
        <v>#VALUE!</v>
      </c>
      <c r="R17"/>
    </row>
    <row r="18" spans="1:18" ht="14.25" customHeight="1">
      <c r="A18"/>
      <c r="B18" s="138"/>
      <c r="C18" s="139"/>
      <c r="D18" s="138"/>
      <c r="E18" s="138"/>
      <c r="F18" s="138"/>
      <c r="G18" s="138"/>
      <c r="H18" s="138"/>
      <c r="I18" s="136"/>
      <c r="J18" s="138"/>
      <c r="K18" s="138"/>
      <c r="L18" s="138"/>
      <c r="M18" s="140" t="s">
        <v>30</v>
      </c>
      <c r="N18" s="141">
        <f t="shared" si="1"/>
        <v>0.05</v>
      </c>
      <c r="O18" s="142" t="e">
        <f>IF(P5=B16,"-",IF(AND($G$7&lt;&gt;0,$G$10&lt;&gt;""),$P$5*N18,"-"))</f>
        <v>#VALUE!</v>
      </c>
      <c r="P18" s="143" t="e">
        <f>Q17</f>
        <v>#VALUE!</v>
      </c>
      <c r="Q18" s="144" t="e">
        <f>IF(P18&lt;&gt;"-",P18+O18,"-")</f>
        <v>#VALUE!</v>
      </c>
      <c r="R18"/>
    </row>
    <row r="19" spans="1:18" ht="14.5">
      <c r="A19"/>
      <c r="B19" s="138"/>
      <c r="C19" s="139"/>
      <c r="D19" s="138"/>
      <c r="E19" s="138"/>
      <c r="F19" s="138"/>
      <c r="G19" s="138"/>
      <c r="H19" s="138"/>
      <c r="I19" s="138"/>
      <c r="J19" s="138"/>
      <c r="K19" s="138"/>
      <c r="L19" s="138"/>
      <c r="M19" s="138"/>
      <c r="N19" s="138"/>
      <c r="O19" s="138"/>
      <c r="P19"/>
      <c r="Q19"/>
      <c r="R19"/>
    </row>
    <row r="20" spans="1:18" ht="14.5">
      <c r="A20"/>
      <c r="B20" s="138"/>
      <c r="C20" s="139"/>
      <c r="D20" s="138"/>
      <c r="E20" s="138"/>
      <c r="F20" s="138"/>
      <c r="G20" s="138"/>
      <c r="H20" s="138"/>
      <c r="I20" s="138"/>
      <c r="J20" s="138"/>
      <c r="K20" s="138"/>
      <c r="L20" s="138"/>
      <c r="M20" s="138"/>
      <c r="N20" s="138"/>
      <c r="O20" s="138"/>
      <c r="P20"/>
      <c r="Q20"/>
      <c r="R20"/>
    </row>
    <row r="21" spans="1:18" ht="29">
      <c r="A21"/>
      <c r="B21" s="138"/>
      <c r="C21" s="139"/>
      <c r="D21" s="138"/>
      <c r="E21" s="138"/>
      <c r="F21" s="138"/>
      <c r="G21" s="138"/>
      <c r="H21" s="138"/>
      <c r="I21" s="138"/>
      <c r="J21" s="138"/>
      <c r="K21" s="138"/>
      <c r="L21" s="138"/>
      <c r="M21" s="138"/>
      <c r="N21" s="138"/>
      <c r="O21" s="138"/>
      <c r="P21" s="145" t="s">
        <v>144</v>
      </c>
      <c r="Q21" s="146" t="s">
        <v>145</v>
      </c>
      <c r="R21" s="147"/>
    </row>
    <row r="22" spans="1:18" ht="14.5">
      <c r="A22"/>
      <c r="B22"/>
      <c r="C22"/>
      <c r="D22"/>
      <c r="E22"/>
      <c r="H22"/>
      <c r="I22" s="138"/>
      <c r="J22" s="138"/>
      <c r="K22" s="138"/>
      <c r="L22" s="138"/>
      <c r="M22" s="138"/>
      <c r="N22" s="138"/>
      <c r="O22" s="138"/>
      <c r="P22" s="148">
        <v>-0.1</v>
      </c>
      <c r="Q22" s="149">
        <v>20</v>
      </c>
      <c r="R22" s="147"/>
    </row>
    <row r="23" spans="1:18" ht="14.5">
      <c r="A23"/>
      <c r="B23"/>
      <c r="C23"/>
      <c r="D23"/>
      <c r="E23"/>
      <c r="H23"/>
      <c r="I23"/>
      <c r="J23"/>
      <c r="K23"/>
      <c r="P23" s="148">
        <v>-0.2</v>
      </c>
      <c r="Q23" s="149">
        <v>50</v>
      </c>
      <c r="R23" s="147"/>
    </row>
    <row r="24" spans="1:18" ht="14.5">
      <c r="A24"/>
      <c r="B24"/>
      <c r="C24"/>
      <c r="D24"/>
      <c r="E24"/>
      <c r="H24"/>
      <c r="I24"/>
      <c r="J24"/>
      <c r="K24"/>
      <c r="P24" s="150">
        <v>-0.25</v>
      </c>
      <c r="Q24" s="151">
        <v>70</v>
      </c>
      <c r="R24" s="147"/>
    </row>
    <row r="25" spans="1:18">
      <c r="A25"/>
      <c r="B25"/>
      <c r="C25"/>
      <c r="D25"/>
      <c r="E25"/>
      <c r="H25"/>
      <c r="I25"/>
      <c r="J25"/>
      <c r="K25"/>
      <c r="P25" s="147"/>
      <c r="Q25" s="147"/>
      <c r="R25" s="147"/>
    </row>
    <row r="26" spans="1:18" ht="26">
      <c r="A26"/>
      <c r="B26"/>
      <c r="C26"/>
      <c r="D26"/>
      <c r="E26"/>
      <c r="H26"/>
      <c r="I26"/>
      <c r="J26"/>
      <c r="K26"/>
      <c r="P26" s="152" t="s">
        <v>146</v>
      </c>
      <c r="Q26" s="153" t="s">
        <v>118</v>
      </c>
      <c r="R26" s="154" t="s">
        <v>147</v>
      </c>
    </row>
    <row r="27" spans="1:18">
      <c r="A27"/>
      <c r="B27"/>
      <c r="C27"/>
      <c r="D27"/>
      <c r="E27"/>
      <c r="H27"/>
      <c r="I27"/>
      <c r="J27"/>
      <c r="K27"/>
      <c r="P27" s="155">
        <v>-0.01</v>
      </c>
      <c r="Q27" s="156">
        <f t="shared" ref="Q27:Q45" si="2">GROWTH($Q$22:$Q$24,$P$22:$P$24,P27,1)</f>
        <v>9.4974870513428584</v>
      </c>
      <c r="R27" s="157">
        <f t="shared" ref="R27:R58" si="3">TREND($Q$22:$Q$24,$P$22:$P$24,P27,0)</f>
        <v>2.6222222222222218</v>
      </c>
    </row>
    <row r="28" spans="1:18">
      <c r="A28"/>
      <c r="B28"/>
      <c r="C28"/>
      <c r="D28"/>
      <c r="E28"/>
      <c r="H28"/>
      <c r="I28"/>
      <c r="J28"/>
      <c r="K28"/>
      <c r="P28" s="155">
        <v>-0.02</v>
      </c>
      <c r="Q28" s="156">
        <f t="shared" si="2"/>
        <v>10.336729939663668</v>
      </c>
      <c r="R28" s="157">
        <f t="shared" si="3"/>
        <v>5.2444444444444436</v>
      </c>
    </row>
    <row r="29" spans="1:18">
      <c r="A29"/>
      <c r="B29"/>
      <c r="C29"/>
      <c r="D29"/>
      <c r="E29"/>
      <c r="H29"/>
      <c r="I29"/>
      <c r="J29"/>
      <c r="K29"/>
      <c r="P29" s="155">
        <v>-0.03</v>
      </c>
      <c r="Q29" s="156">
        <f t="shared" si="2"/>
        <v>11.25013230004161</v>
      </c>
      <c r="R29" s="157">
        <f t="shared" si="3"/>
        <v>7.8666666666666645</v>
      </c>
    </row>
    <row r="30" spans="1:18">
      <c r="A30"/>
      <c r="B30"/>
      <c r="C30"/>
      <c r="D30"/>
      <c r="E30"/>
      <c r="H30"/>
      <c r="I30"/>
      <c r="J30"/>
      <c r="K30"/>
      <c r="P30" s="155">
        <v>-0.04</v>
      </c>
      <c r="Q30" s="156">
        <f t="shared" si="2"/>
        <v>12.244247214274969</v>
      </c>
      <c r="R30" s="157">
        <f t="shared" si="3"/>
        <v>10.488888888888887</v>
      </c>
    </row>
    <row r="31" spans="1:18">
      <c r="A31"/>
      <c r="B31"/>
      <c r="C31"/>
      <c r="D31"/>
      <c r="E31"/>
      <c r="H31"/>
      <c r="I31"/>
      <c r="J31"/>
      <c r="K31"/>
      <c r="P31" s="155">
        <v>-0.05</v>
      </c>
      <c r="Q31" s="156">
        <f t="shared" si="2"/>
        <v>13.32620682547225</v>
      </c>
      <c r="R31" s="157">
        <f t="shared" si="3"/>
        <v>13.111111111111109</v>
      </c>
    </row>
    <row r="32" spans="1:18">
      <c r="A32"/>
      <c r="B32"/>
      <c r="C32"/>
      <c r="D32"/>
      <c r="E32"/>
      <c r="H32"/>
      <c r="I32"/>
      <c r="J32"/>
      <c r="K32"/>
      <c r="P32" s="155">
        <v>-0.06</v>
      </c>
      <c r="Q32" s="156">
        <f t="shared" si="2"/>
        <v>14.503773506649086</v>
      </c>
      <c r="R32" s="157">
        <f t="shared" si="3"/>
        <v>15.733333333333329</v>
      </c>
    </row>
    <row r="33" spans="1:18">
      <c r="A33"/>
      <c r="B33"/>
      <c r="C33"/>
      <c r="D33"/>
      <c r="E33"/>
      <c r="H33"/>
      <c r="I33"/>
      <c r="J33"/>
      <c r="K33"/>
      <c r="P33" s="155">
        <v>-7.0000000000000007E-2</v>
      </c>
      <c r="Q33" s="156">
        <f t="shared" si="2"/>
        <v>15.785395550824445</v>
      </c>
      <c r="R33" s="157">
        <f t="shared" si="3"/>
        <v>18.355555555555554</v>
      </c>
    </row>
    <row r="34" spans="1:18">
      <c r="A34"/>
      <c r="B34"/>
      <c r="C34"/>
      <c r="D34"/>
      <c r="E34"/>
      <c r="H34"/>
      <c r="I34"/>
      <c r="J34"/>
      <c r="K34"/>
      <c r="P34" s="155">
        <v>-0.08</v>
      </c>
      <c r="Q34" s="156">
        <f t="shared" si="2"/>
        <v>17.180267782157173</v>
      </c>
      <c r="R34" s="157">
        <f t="shared" si="3"/>
        <v>20.977777777777774</v>
      </c>
    </row>
    <row r="35" spans="1:18">
      <c r="A35"/>
      <c r="B35"/>
      <c r="C35"/>
      <c r="D35"/>
      <c r="E35"/>
      <c r="H35"/>
      <c r="I35"/>
      <c r="J35"/>
      <c r="K35"/>
      <c r="P35" s="155">
        <v>-0.09</v>
      </c>
      <c r="Q35" s="156">
        <f t="shared" si="2"/>
        <v>18.69839752296939</v>
      </c>
      <c r="R35" s="157">
        <f t="shared" si="3"/>
        <v>23.599999999999994</v>
      </c>
    </row>
    <row r="36" spans="1:18">
      <c r="A36"/>
      <c r="B36"/>
      <c r="C36"/>
      <c r="D36"/>
      <c r="E36"/>
      <c r="H36"/>
      <c r="I36"/>
      <c r="J36"/>
      <c r="K36"/>
      <c r="P36" s="155">
        <v>-0.1</v>
      </c>
      <c r="Q36" s="158">
        <f t="shared" si="2"/>
        <v>20.350676389928065</v>
      </c>
      <c r="R36" s="159">
        <f t="shared" si="3"/>
        <v>26.222222222222218</v>
      </c>
    </row>
    <row r="37" spans="1:18">
      <c r="A37"/>
      <c r="B37"/>
      <c r="C37"/>
      <c r="D37"/>
      <c r="E37"/>
      <c r="H37"/>
      <c r="I37"/>
      <c r="J37"/>
      <c r="K37"/>
      <c r="P37" s="155">
        <v>-0.11</v>
      </c>
      <c r="Q37" s="156">
        <f t="shared" si="2"/>
        <v>22.148958434476945</v>
      </c>
      <c r="R37" s="157">
        <f t="shared" si="3"/>
        <v>28.844444444444438</v>
      </c>
    </row>
    <row r="38" spans="1:18">
      <c r="A38"/>
      <c r="B38"/>
      <c r="C38"/>
      <c r="D38"/>
      <c r="E38"/>
      <c r="H38"/>
      <c r="I38"/>
      <c r="J38"/>
      <c r="K38"/>
      <c r="P38" s="155">
        <v>-0.12</v>
      </c>
      <c r="Q38" s="156">
        <f t="shared" si="2"/>
        <v>24.106145188126657</v>
      </c>
      <c r="R38" s="157">
        <f t="shared" si="3"/>
        <v>31.466666666666658</v>
      </c>
    </row>
    <row r="39" spans="1:18">
      <c r="A39"/>
      <c r="B39"/>
      <c r="C39"/>
      <c r="D39"/>
      <c r="E39"/>
      <c r="H39"/>
      <c r="I39"/>
      <c r="J39"/>
      <c r="K39"/>
      <c r="P39" s="155">
        <v>-0.13</v>
      </c>
      <c r="Q39" s="156">
        <f t="shared" si="2"/>
        <v>26.236278222749089</v>
      </c>
      <c r="R39" s="157">
        <f t="shared" si="3"/>
        <v>34.088888888888881</v>
      </c>
    </row>
    <row r="40" spans="1:18">
      <c r="A40"/>
      <c r="B40"/>
      <c r="C40"/>
      <c r="D40"/>
      <c r="E40"/>
      <c r="H40"/>
      <c r="I40"/>
      <c r="J40"/>
      <c r="K40"/>
      <c r="P40" s="155">
        <v>-0.14000000000000001</v>
      </c>
      <c r="Q40" s="156">
        <f t="shared" si="2"/>
        <v>28.554639889937153</v>
      </c>
      <c r="R40" s="157">
        <f t="shared" si="3"/>
        <v>36.711111111111109</v>
      </c>
    </row>
    <row r="41" spans="1:18">
      <c r="A41"/>
      <c r="B41"/>
      <c r="C41"/>
      <c r="D41"/>
      <c r="E41"/>
      <c r="H41"/>
      <c r="I41"/>
      <c r="J41"/>
      <c r="K41"/>
      <c r="P41" s="155">
        <v>-0.15</v>
      </c>
      <c r="Q41" s="156">
        <f t="shared" si="2"/>
        <v>31.077862962171093</v>
      </c>
      <c r="R41" s="157">
        <f t="shared" si="3"/>
        <v>39.333333333333321</v>
      </c>
    </row>
    <row r="42" spans="1:18">
      <c r="A42"/>
      <c r="B42"/>
      <c r="C42"/>
      <c r="D42"/>
      <c r="E42"/>
      <c r="H42"/>
      <c r="I42"/>
      <c r="J42"/>
      <c r="K42"/>
      <c r="P42" s="155">
        <v>-0.16</v>
      </c>
      <c r="Q42" s="156">
        <f t="shared" si="2"/>
        <v>33.824049962396906</v>
      </c>
      <c r="R42" s="157">
        <f t="shared" si="3"/>
        <v>41.955555555555549</v>
      </c>
    </row>
    <row r="43" spans="1:18">
      <c r="A43"/>
      <c r="B43"/>
      <c r="C43"/>
      <c r="D43"/>
      <c r="E43"/>
      <c r="H43"/>
      <c r="I43"/>
      <c r="J43"/>
      <c r="K43"/>
      <c r="P43" s="155">
        <v>-0.17</v>
      </c>
      <c r="Q43" s="156">
        <f t="shared" si="2"/>
        <v>36.812903038130841</v>
      </c>
      <c r="R43" s="157">
        <f t="shared" si="3"/>
        <v>44.577777777777776</v>
      </c>
    </row>
    <row r="44" spans="1:18">
      <c r="A44"/>
      <c r="B44"/>
      <c r="C44"/>
      <c r="D44"/>
      <c r="E44"/>
      <c r="H44"/>
      <c r="I44"/>
      <c r="J44"/>
      <c r="K44"/>
      <c r="P44" s="155">
        <v>-0.18</v>
      </c>
      <c r="Q44" s="156">
        <f t="shared" si="2"/>
        <v>40.065865311854225</v>
      </c>
      <c r="R44" s="157">
        <f t="shared" si="3"/>
        <v>47.199999999999989</v>
      </c>
    </row>
    <row r="45" spans="1:18">
      <c r="A45"/>
      <c r="B45"/>
      <c r="C45"/>
      <c r="D45"/>
      <c r="E45"/>
      <c r="H45"/>
      <c r="I45"/>
      <c r="J45"/>
      <c r="K45"/>
      <c r="P45" s="155">
        <v>-0.19</v>
      </c>
      <c r="Q45" s="156">
        <f t="shared" si="2"/>
        <v>43.606274721797959</v>
      </c>
      <c r="R45" s="157">
        <f t="shared" si="3"/>
        <v>49.822222222222216</v>
      </c>
    </row>
    <row r="46" spans="1:18">
      <c r="A46"/>
      <c r="B46"/>
      <c r="C46"/>
      <c r="D46"/>
      <c r="E46"/>
      <c r="H46"/>
      <c r="I46"/>
      <c r="J46"/>
      <c r="K46"/>
      <c r="P46" s="155">
        <v>-0.2</v>
      </c>
      <c r="Q46" s="158">
        <v>50</v>
      </c>
      <c r="R46" s="159">
        <f t="shared" si="3"/>
        <v>52.444444444444436</v>
      </c>
    </row>
    <row r="47" spans="1:18">
      <c r="A47"/>
      <c r="B47"/>
      <c r="C47"/>
      <c r="D47"/>
      <c r="E47"/>
      <c r="H47"/>
      <c r="I47"/>
      <c r="J47"/>
      <c r="K47"/>
      <c r="P47" s="155">
        <v>-0.21</v>
      </c>
      <c r="Q47" s="156">
        <f>GROWTH($Q$22:$Q$24,$P$22:$P$24,P47,1)</f>
        <v>51.653280186659927</v>
      </c>
      <c r="R47" s="157">
        <f t="shared" si="3"/>
        <v>55.066666666666656</v>
      </c>
    </row>
    <row r="48" spans="1:18">
      <c r="A48"/>
      <c r="B48"/>
      <c r="C48"/>
      <c r="D48"/>
      <c r="E48"/>
      <c r="H48"/>
      <c r="I48"/>
      <c r="J48"/>
      <c r="K48"/>
      <c r="P48" s="155">
        <v>-0.22</v>
      </c>
      <c r="Q48" s="156">
        <f>GROWTH($Q$22:$Q$24,$P$22:$P$24,P48,1)</f>
        <v>56.217608394821809</v>
      </c>
      <c r="R48" s="157">
        <f t="shared" si="3"/>
        <v>57.688888888888876</v>
      </c>
    </row>
    <row r="49" spans="1:18">
      <c r="A49"/>
      <c r="B49"/>
      <c r="C49"/>
      <c r="D49"/>
      <c r="E49"/>
      <c r="H49"/>
      <c r="I49"/>
      <c r="J49"/>
      <c r="K49"/>
      <c r="P49" s="155">
        <v>-0.23</v>
      </c>
      <c r="Q49" s="156">
        <f>GROWTH($Q$22:$Q$24,$P$22:$P$24,P49,1)</f>
        <v>61.18526223722295</v>
      </c>
      <c r="R49" s="157">
        <f t="shared" si="3"/>
        <v>60.311111111111103</v>
      </c>
    </row>
    <row r="50" spans="1:18">
      <c r="A50"/>
      <c r="B50"/>
      <c r="C50"/>
      <c r="D50"/>
      <c r="E50"/>
      <c r="H50"/>
      <c r="I50"/>
      <c r="J50"/>
      <c r="K50"/>
      <c r="P50" s="155">
        <v>-0.24</v>
      </c>
      <c r="Q50" s="156">
        <f>GROWTH($Q$22:$Q$24,$P$22:$P$24,P50,1)</f>
        <v>66.591881475032011</v>
      </c>
      <c r="R50" s="157">
        <f t="shared" si="3"/>
        <v>62.933333333333316</v>
      </c>
    </row>
    <row r="51" spans="1:18">
      <c r="A51"/>
      <c r="B51"/>
      <c r="C51"/>
      <c r="D51"/>
      <c r="E51"/>
      <c r="H51"/>
      <c r="I51"/>
      <c r="J51"/>
      <c r="K51"/>
      <c r="P51" s="155">
        <v>-0.25</v>
      </c>
      <c r="Q51" s="158">
        <v>70</v>
      </c>
      <c r="R51" s="159">
        <f t="shared" si="3"/>
        <v>65.555555555555543</v>
      </c>
    </row>
    <row r="52" spans="1:18">
      <c r="A52"/>
      <c r="B52"/>
      <c r="C52"/>
      <c r="D52"/>
      <c r="E52"/>
      <c r="H52"/>
      <c r="I52"/>
      <c r="J52"/>
      <c r="K52"/>
      <c r="P52" s="155">
        <v>-0.26</v>
      </c>
      <c r="Q52" s="156">
        <f t="shared" ref="Q52:Q83" si="4">GROWTH($Q$22:$Q$24,$P$22:$P$24,P52,1)</f>
        <v>78.880599957951503</v>
      </c>
      <c r="R52" s="157">
        <f t="shared" si="3"/>
        <v>68.177777777777763</v>
      </c>
    </row>
    <row r="53" spans="1:18">
      <c r="A53"/>
      <c r="B53"/>
      <c r="C53"/>
      <c r="D53"/>
      <c r="E53"/>
      <c r="H53"/>
      <c r="I53"/>
      <c r="J53"/>
      <c r="K53"/>
      <c r="P53" s="155">
        <v>-0.27</v>
      </c>
      <c r="Q53" s="156">
        <f t="shared" si="4"/>
        <v>85.850862953132875</v>
      </c>
      <c r="R53" s="157">
        <f t="shared" si="3"/>
        <v>70.8</v>
      </c>
    </row>
    <row r="54" spans="1:18">
      <c r="A54"/>
      <c r="B54"/>
      <c r="C54"/>
      <c r="D54"/>
      <c r="E54"/>
      <c r="H54"/>
      <c r="I54"/>
      <c r="J54"/>
      <c r="K54"/>
      <c r="P54" s="155">
        <v>-0.28000000000000003</v>
      </c>
      <c r="Q54" s="156">
        <f t="shared" si="4"/>
        <v>93.437051362774795</v>
      </c>
      <c r="R54" s="157">
        <f t="shared" si="3"/>
        <v>73.422222222222217</v>
      </c>
    </row>
    <row r="55" spans="1:18">
      <c r="A55"/>
      <c r="B55"/>
      <c r="C55"/>
      <c r="D55"/>
      <c r="E55"/>
      <c r="H55"/>
      <c r="I55"/>
      <c r="J55"/>
      <c r="K55"/>
      <c r="P55" s="155">
        <v>-0.28999999999999998</v>
      </c>
      <c r="Q55" s="156">
        <f t="shared" si="4"/>
        <v>101.69359127043245</v>
      </c>
      <c r="R55" s="157">
        <f t="shared" si="3"/>
        <v>76.044444444444423</v>
      </c>
    </row>
    <row r="56" spans="1:18">
      <c r="A56"/>
      <c r="B56"/>
      <c r="C56"/>
      <c r="D56"/>
      <c r="E56"/>
      <c r="H56"/>
      <c r="I56"/>
      <c r="J56"/>
      <c r="K56"/>
      <c r="P56" s="155">
        <v>-0.3</v>
      </c>
      <c r="Q56" s="156">
        <f t="shared" si="4"/>
        <v>110.67971810589327</v>
      </c>
      <c r="R56" s="157">
        <f t="shared" si="3"/>
        <v>78.666666666666643</v>
      </c>
    </row>
    <row r="57" spans="1:18">
      <c r="A57"/>
      <c r="B57"/>
      <c r="C57"/>
      <c r="D57"/>
      <c r="E57"/>
      <c r="H57"/>
      <c r="I57"/>
      <c r="J57"/>
      <c r="K57"/>
      <c r="P57" s="155">
        <v>-0.31</v>
      </c>
      <c r="Q57" s="156">
        <f t="shared" si="4"/>
        <v>120.45990162176226</v>
      </c>
      <c r="R57" s="157">
        <f t="shared" si="3"/>
        <v>81.288888888888877</v>
      </c>
    </row>
    <row r="58" spans="1:18">
      <c r="A58"/>
      <c r="B58"/>
      <c r="C58"/>
      <c r="D58"/>
      <c r="E58"/>
      <c r="H58"/>
      <c r="I58"/>
      <c r="J58"/>
      <c r="K58"/>
      <c r="P58" s="155">
        <v>-0.32</v>
      </c>
      <c r="Q58" s="156">
        <f t="shared" si="4"/>
        <v>131.10430842299021</v>
      </c>
      <c r="R58" s="157">
        <f t="shared" si="3"/>
        <v>83.911111111111097</v>
      </c>
    </row>
    <row r="59" spans="1:18">
      <c r="A59"/>
      <c r="B59"/>
      <c r="C59"/>
      <c r="D59"/>
      <c r="E59"/>
      <c r="H59"/>
      <c r="I59"/>
      <c r="J59"/>
      <c r="K59"/>
      <c r="P59" s="155">
        <v>-0.33</v>
      </c>
      <c r="Q59" s="156">
        <f t="shared" si="4"/>
        <v>142.68930536769835</v>
      </c>
      <c r="R59" s="157">
        <f t="shared" ref="R59:R90" si="5">TREND($Q$22:$Q$24,$P$22:$P$24,P59,0)</f>
        <v>86.533333333333317</v>
      </c>
    </row>
    <row r="60" spans="1:18">
      <c r="A60"/>
      <c r="B60"/>
      <c r="C60"/>
      <c r="D60"/>
      <c r="E60"/>
      <c r="H60"/>
      <c r="I60"/>
      <c r="J60"/>
      <c r="K60"/>
      <c r="P60" s="155">
        <v>-0.34</v>
      </c>
      <c r="Q60" s="156">
        <f t="shared" si="4"/>
        <v>155.29800745088212</v>
      </c>
      <c r="R60" s="157">
        <f t="shared" si="5"/>
        <v>89.155555555555551</v>
      </c>
    </row>
    <row r="61" spans="1:18">
      <c r="A61"/>
      <c r="B61"/>
      <c r="C61"/>
      <c r="D61"/>
      <c r="E61"/>
      <c r="H61"/>
      <c r="I61"/>
      <c r="J61"/>
      <c r="K61"/>
      <c r="P61" s="155">
        <v>-0.35</v>
      </c>
      <c r="Q61" s="156">
        <f t="shared" si="4"/>
        <v>169.02087410171018</v>
      </c>
      <c r="R61" s="157">
        <f t="shared" si="5"/>
        <v>91.777777777777757</v>
      </c>
    </row>
    <row r="62" spans="1:18">
      <c r="A62"/>
      <c r="B62"/>
      <c r="C62"/>
      <c r="D62"/>
      <c r="E62"/>
      <c r="H62"/>
      <c r="I62"/>
      <c r="J62"/>
      <c r="K62"/>
      <c r="P62" s="155">
        <v>-0.36</v>
      </c>
      <c r="Q62" s="156">
        <f t="shared" si="4"/>
        <v>183.95635817247503</v>
      </c>
      <c r="R62" s="157">
        <f t="shared" si="5"/>
        <v>94.399999999999977</v>
      </c>
    </row>
    <row r="63" spans="1:18">
      <c r="A63"/>
      <c r="B63"/>
      <c r="C63"/>
      <c r="D63"/>
      <c r="E63"/>
      <c r="H63"/>
      <c r="I63"/>
      <c r="J63"/>
      <c r="K63"/>
      <c r="P63" s="155">
        <v>-0.37</v>
      </c>
      <c r="Q63" s="156">
        <f t="shared" si="4"/>
        <v>200.21161227527659</v>
      </c>
      <c r="R63" s="157">
        <f t="shared" si="5"/>
        <v>97.022222222222197</v>
      </c>
    </row>
    <row r="64" spans="1:18">
      <c r="A64"/>
      <c r="B64"/>
      <c r="C64"/>
      <c r="D64"/>
      <c r="E64"/>
      <c r="H64"/>
      <c r="I64"/>
      <c r="J64"/>
      <c r="K64"/>
      <c r="P64" s="155">
        <v>-0.38</v>
      </c>
      <c r="Q64" s="156">
        <f t="shared" si="4"/>
        <v>217.903257533957</v>
      </c>
      <c r="R64" s="157">
        <f t="shared" si="5"/>
        <v>99.644444444444431</v>
      </c>
    </row>
    <row r="65" spans="1:18">
      <c r="A65"/>
      <c r="B65"/>
      <c r="C65"/>
      <c r="D65"/>
      <c r="E65"/>
      <c r="H65"/>
      <c r="I65"/>
      <c r="J65"/>
      <c r="K65"/>
      <c r="P65" s="155">
        <v>-0.39</v>
      </c>
      <c r="Q65" s="156">
        <f t="shared" si="4"/>
        <v>237.15822026659424</v>
      </c>
      <c r="R65" s="157">
        <f t="shared" si="5"/>
        <v>102.26666666666665</v>
      </c>
    </row>
    <row r="66" spans="1:18">
      <c r="A66"/>
      <c r="B66"/>
      <c r="C66"/>
      <c r="D66"/>
      <c r="E66"/>
      <c r="H66"/>
      <c r="I66"/>
      <c r="J66"/>
      <c r="K66"/>
      <c r="P66" s="155">
        <v>-0.4</v>
      </c>
      <c r="Q66" s="156">
        <f t="shared" si="4"/>
        <v>258.11464260121767</v>
      </c>
      <c r="R66" s="157">
        <f t="shared" si="5"/>
        <v>104.88888888888887</v>
      </c>
    </row>
    <row r="67" spans="1:18">
      <c r="A67"/>
      <c r="B67"/>
      <c r="C67"/>
      <c r="D67"/>
      <c r="E67"/>
      <c r="H67"/>
      <c r="I67"/>
      <c r="J67"/>
      <c r="K67"/>
      <c r="P67" s="155">
        <v>-0.41</v>
      </c>
      <c r="Q67" s="156">
        <f t="shared" si="4"/>
        <v>280.92287355783799</v>
      </c>
      <c r="R67" s="157">
        <f t="shared" si="5"/>
        <v>107.51111111111108</v>
      </c>
    </row>
    <row r="68" spans="1:18">
      <c r="A68"/>
      <c r="B68"/>
      <c r="C68"/>
      <c r="D68"/>
      <c r="E68"/>
      <c r="H68"/>
      <c r="I68"/>
      <c r="J68"/>
      <c r="K68"/>
      <c r="P68" s="155">
        <v>-0.42</v>
      </c>
      <c r="Q68" s="156">
        <f t="shared" si="4"/>
        <v>305.74654770717279</v>
      </c>
      <c r="R68" s="157">
        <f t="shared" si="5"/>
        <v>110.13333333333331</v>
      </c>
    </row>
    <row r="69" spans="1:18">
      <c r="A69"/>
      <c r="B69"/>
      <c r="C69"/>
      <c r="D69"/>
      <c r="E69"/>
      <c r="H69"/>
      <c r="I69"/>
      <c r="J69"/>
      <c r="K69"/>
      <c r="P69" s="155">
        <v>-0.43</v>
      </c>
      <c r="Q69" s="156">
        <f t="shared" si="4"/>
        <v>332.76375914476068</v>
      </c>
      <c r="R69" s="157">
        <f t="shared" si="5"/>
        <v>112.75555555555553</v>
      </c>
    </row>
    <row r="70" spans="1:18">
      <c r="A70"/>
      <c r="B70"/>
      <c r="C70"/>
      <c r="D70"/>
      <c r="E70"/>
      <c r="H70"/>
      <c r="I70"/>
      <c r="J70"/>
      <c r="K70"/>
      <c r="P70" s="155">
        <v>-0.44</v>
      </c>
      <c r="Q70" s="156">
        <f t="shared" si="4"/>
        <v>362.16833920298285</v>
      </c>
      <c r="R70" s="157">
        <f t="shared" si="5"/>
        <v>115.37777777777775</v>
      </c>
    </row>
    <row r="71" spans="1:18">
      <c r="A71"/>
      <c r="B71"/>
      <c r="C71"/>
      <c r="D71"/>
      <c r="E71"/>
      <c r="H71"/>
      <c r="I71"/>
      <c r="J71"/>
      <c r="K71"/>
      <c r="P71" s="155">
        <v>-0.45</v>
      </c>
      <c r="Q71" s="156">
        <f t="shared" si="4"/>
        <v>394.17124706776224</v>
      </c>
      <c r="R71" s="157">
        <f t="shared" si="5"/>
        <v>117.99999999999999</v>
      </c>
    </row>
    <row r="72" spans="1:18">
      <c r="A72"/>
      <c r="B72"/>
      <c r="C72"/>
      <c r="D72"/>
      <c r="E72"/>
      <c r="H72"/>
      <c r="I72"/>
      <c r="J72"/>
      <c r="K72"/>
      <c r="P72" s="155">
        <v>-0.46</v>
      </c>
      <c r="Q72" s="156">
        <f t="shared" si="4"/>
        <v>429.00208327673522</v>
      </c>
      <c r="R72" s="157">
        <f t="shared" si="5"/>
        <v>120.62222222222221</v>
      </c>
    </row>
    <row r="73" spans="1:18">
      <c r="A73"/>
      <c r="B73"/>
      <c r="C73"/>
      <c r="D73"/>
      <c r="E73"/>
      <c r="H73"/>
      <c r="I73"/>
      <c r="J73"/>
      <c r="K73"/>
      <c r="P73" s="155">
        <v>-0.47</v>
      </c>
      <c r="Q73" s="156">
        <f t="shared" si="4"/>
        <v>466.91073695727931</v>
      </c>
      <c r="R73" s="157">
        <f t="shared" si="5"/>
        <v>123.24444444444441</v>
      </c>
    </row>
    <row r="74" spans="1:18">
      <c r="A74"/>
      <c r="B74"/>
      <c r="C74"/>
      <c r="D74"/>
      <c r="E74"/>
      <c r="H74"/>
      <c r="I74"/>
      <c r="J74"/>
      <c r="K74"/>
      <c r="P74" s="155">
        <v>-0.48</v>
      </c>
      <c r="Q74" s="156">
        <f t="shared" si="4"/>
        <v>508.16917862228996</v>
      </c>
      <c r="R74" s="157">
        <f t="shared" si="5"/>
        <v>125.86666666666663</v>
      </c>
    </row>
    <row r="75" spans="1:18">
      <c r="A75"/>
      <c r="B75"/>
      <c r="C75"/>
      <c r="D75"/>
      <c r="E75"/>
      <c r="H75"/>
      <c r="I75"/>
      <c r="J75"/>
      <c r="K75"/>
      <c r="P75" s="155">
        <v>-0.49</v>
      </c>
      <c r="Q75" s="156">
        <f t="shared" si="4"/>
        <v>553.0734113858698</v>
      </c>
      <c r="R75" s="157">
        <f t="shared" si="5"/>
        <v>128.48888888888885</v>
      </c>
    </row>
    <row r="76" spans="1:18">
      <c r="A76"/>
      <c r="B76"/>
      <c r="C76"/>
      <c r="D76"/>
      <c r="E76"/>
      <c r="H76"/>
      <c r="I76"/>
      <c r="J76"/>
      <c r="K76"/>
      <c r="P76" s="155">
        <v>-0.5</v>
      </c>
      <c r="Q76" s="156">
        <f t="shared" si="4"/>
        <v>601.94559459766924</v>
      </c>
      <c r="R76" s="157">
        <f t="shared" si="5"/>
        <v>131.11111111111109</v>
      </c>
    </row>
    <row r="77" spans="1:18">
      <c r="A77"/>
      <c r="B77"/>
      <c r="C77"/>
      <c r="D77"/>
      <c r="E77"/>
      <c r="H77"/>
      <c r="I77"/>
      <c r="J77"/>
      <c r="K77"/>
      <c r="P77" s="155">
        <v>-0.51</v>
      </c>
      <c r="Q77" s="156">
        <f t="shared" si="4"/>
        <v>655.13635513160523</v>
      </c>
      <c r="R77" s="157">
        <f t="shared" si="5"/>
        <v>133.73333333333332</v>
      </c>
    </row>
    <row r="78" spans="1:18">
      <c r="A78"/>
      <c r="B78"/>
      <c r="C78"/>
      <c r="D78"/>
      <c r="E78"/>
      <c r="H78"/>
      <c r="I78"/>
      <c r="J78"/>
      <c r="K78"/>
      <c r="P78" s="155">
        <v>-0.52</v>
      </c>
      <c r="Q78" s="156">
        <f t="shared" si="4"/>
        <v>713.02730291098419</v>
      </c>
      <c r="R78" s="157">
        <f t="shared" si="5"/>
        <v>136.35555555555553</v>
      </c>
    </row>
    <row r="79" spans="1:18">
      <c r="A79"/>
      <c r="B79"/>
      <c r="C79"/>
      <c r="D79"/>
      <c r="E79"/>
      <c r="H79"/>
      <c r="I79"/>
      <c r="J79"/>
      <c r="K79"/>
      <c r="P79" s="155">
        <v>-0.53</v>
      </c>
      <c r="Q79" s="156">
        <f t="shared" si="4"/>
        <v>776.03376871732564</v>
      </c>
      <c r="R79" s="157">
        <f t="shared" si="5"/>
        <v>138.97777777777776</v>
      </c>
    </row>
    <row r="80" spans="1:18">
      <c r="A80"/>
      <c r="B80"/>
      <c r="C80"/>
      <c r="D80"/>
      <c r="E80"/>
      <c r="H80"/>
      <c r="I80"/>
      <c r="J80"/>
      <c r="K80"/>
      <c r="P80" s="155">
        <v>-0.54</v>
      </c>
      <c r="Q80" s="156">
        <f t="shared" si="4"/>
        <v>844.60778392493023</v>
      </c>
      <c r="R80" s="157">
        <f t="shared" si="5"/>
        <v>141.6</v>
      </c>
    </row>
    <row r="81" spans="1:18">
      <c r="A81"/>
      <c r="B81"/>
      <c r="C81"/>
      <c r="D81"/>
      <c r="E81"/>
      <c r="H81"/>
      <c r="I81"/>
      <c r="J81"/>
      <c r="K81"/>
      <c r="P81" s="155">
        <v>-0.55000000000000004</v>
      </c>
      <c r="Q81" s="156">
        <f t="shared" si="4"/>
        <v>919.24132353888274</v>
      </c>
      <c r="R81" s="157">
        <f t="shared" si="5"/>
        <v>144.2222222222222</v>
      </c>
    </row>
    <row r="82" spans="1:18">
      <c r="A82"/>
      <c r="B82"/>
      <c r="C82"/>
      <c r="D82"/>
      <c r="E82"/>
      <c r="H82"/>
      <c r="I82"/>
      <c r="J82"/>
      <c r="K82"/>
      <c r="P82" s="155">
        <v>-0.56000000000000005</v>
      </c>
      <c r="Q82" s="156">
        <f t="shared" si="4"/>
        <v>1000.4698358032441</v>
      </c>
      <c r="R82" s="157">
        <f t="shared" si="5"/>
        <v>146.84444444444443</v>
      </c>
    </row>
    <row r="83" spans="1:18">
      <c r="A83"/>
      <c r="B83"/>
      <c r="C83"/>
      <c r="D83"/>
      <c r="E83"/>
      <c r="H83"/>
      <c r="I83"/>
      <c r="J83"/>
      <c r="K83"/>
      <c r="P83" s="155">
        <v>-0.56999999999999995</v>
      </c>
      <c r="Q83" s="156">
        <f t="shared" si="4"/>
        <v>1088.8760837021161</v>
      </c>
      <c r="R83" s="157">
        <f t="shared" si="5"/>
        <v>149.46666666666661</v>
      </c>
    </row>
    <row r="84" spans="1:18">
      <c r="A84"/>
      <c r="B84"/>
      <c r="C84"/>
      <c r="D84"/>
      <c r="E84"/>
      <c r="H84"/>
      <c r="I84"/>
      <c r="J84"/>
      <c r="K84"/>
      <c r="P84" s="155">
        <v>-0.57999999999999996</v>
      </c>
      <c r="Q84" s="156">
        <f t="shared" ref="Q84:Q115" si="6">GROWTH($Q$22:$Q$24,$P$22:$P$24,P84,1)</f>
        <v>1185.0943259139242</v>
      </c>
      <c r="R84" s="157">
        <f t="shared" si="5"/>
        <v>152.08888888888885</v>
      </c>
    </row>
    <row r="85" spans="1:18">
      <c r="A85"/>
      <c r="B85"/>
      <c r="C85"/>
      <c r="D85"/>
      <c r="E85"/>
      <c r="H85"/>
      <c r="I85"/>
      <c r="J85"/>
      <c r="K85"/>
      <c r="P85" s="155">
        <v>-0.59</v>
      </c>
      <c r="Q85" s="156">
        <f t="shared" si="6"/>
        <v>1289.8148672145812</v>
      </c>
      <c r="R85" s="157">
        <f t="shared" si="5"/>
        <v>154.71111111111108</v>
      </c>
    </row>
    <row r="86" spans="1:18">
      <c r="A86"/>
      <c r="B86"/>
      <c r="C86"/>
      <c r="D86"/>
      <c r="E86"/>
      <c r="H86"/>
      <c r="I86"/>
      <c r="J86"/>
      <c r="K86"/>
      <c r="P86" s="155">
        <v>-0.6</v>
      </c>
      <c r="Q86" s="156">
        <f t="shared" si="6"/>
        <v>1403.7890109758237</v>
      </c>
      <c r="R86" s="157">
        <f t="shared" si="5"/>
        <v>157.33333333333329</v>
      </c>
    </row>
    <row r="87" spans="1:18">
      <c r="A87"/>
      <c r="B87"/>
      <c r="C87"/>
      <c r="D87"/>
      <c r="E87"/>
      <c r="H87"/>
      <c r="I87"/>
      <c r="J87"/>
      <c r="K87"/>
      <c r="P87" s="155">
        <v>-0.61</v>
      </c>
      <c r="Q87" s="156">
        <f t="shared" si="6"/>
        <v>1527.8344492897181</v>
      </c>
      <c r="R87" s="157">
        <f t="shared" si="5"/>
        <v>159.95555555555552</v>
      </c>
    </row>
    <row r="88" spans="1:18">
      <c r="A88"/>
      <c r="B88"/>
      <c r="C88"/>
      <c r="D88"/>
      <c r="E88"/>
      <c r="H88"/>
      <c r="I88"/>
      <c r="J88"/>
      <c r="K88"/>
      <c r="P88" s="155">
        <v>-0.62</v>
      </c>
      <c r="Q88" s="156">
        <f t="shared" si="6"/>
        <v>1662.8411293900749</v>
      </c>
      <c r="R88" s="157">
        <f t="shared" si="5"/>
        <v>162.57777777777775</v>
      </c>
    </row>
    <row r="89" spans="1:18">
      <c r="A89"/>
      <c r="B89"/>
      <c r="C89"/>
      <c r="D89"/>
      <c r="E89"/>
      <c r="H89"/>
      <c r="I89"/>
      <c r="J89"/>
      <c r="K89"/>
      <c r="P89" s="155">
        <v>-0.63</v>
      </c>
      <c r="Q89" s="156">
        <f t="shared" si="6"/>
        <v>1809.7776384586134</v>
      </c>
      <c r="R89" s="157">
        <f t="shared" si="5"/>
        <v>165.19999999999996</v>
      </c>
    </row>
    <row r="90" spans="1:18">
      <c r="A90"/>
      <c r="B90"/>
      <c r="C90"/>
      <c r="D90"/>
      <c r="E90"/>
      <c r="H90"/>
      <c r="I90"/>
      <c r="J90"/>
      <c r="K90"/>
      <c r="P90" s="155">
        <v>-0.64</v>
      </c>
      <c r="Q90" s="156">
        <f t="shared" si="6"/>
        <v>1969.6981526227967</v>
      </c>
      <c r="R90" s="157">
        <f t="shared" si="5"/>
        <v>167.82222222222219</v>
      </c>
    </row>
    <row r="91" spans="1:18">
      <c r="A91"/>
      <c r="B91"/>
      <c r="C91"/>
      <c r="D91"/>
      <c r="E91"/>
      <c r="H91"/>
      <c r="I91"/>
      <c r="J91"/>
      <c r="K91"/>
      <c r="P91" s="155">
        <v>-0.65</v>
      </c>
      <c r="Q91" s="156">
        <f t="shared" si="6"/>
        <v>2143.7500000000032</v>
      </c>
      <c r="R91" s="157">
        <f t="shared" ref="R91:R115" si="7">TREND($Q$22:$Q$24,$P$22:$P$24,P91,0)</f>
        <v>170.44444444444443</v>
      </c>
    </row>
    <row r="92" spans="1:18">
      <c r="A92"/>
      <c r="B92"/>
      <c r="C92"/>
      <c r="D92"/>
      <c r="E92"/>
      <c r="H92"/>
      <c r="I92"/>
      <c r="J92"/>
      <c r="K92"/>
      <c r="P92" s="155">
        <v>-0.66</v>
      </c>
      <c r="Q92" s="156">
        <f t="shared" si="6"/>
        <v>2333.1818920480518</v>
      </c>
      <c r="R92" s="157">
        <f t="shared" si="7"/>
        <v>173.06666666666663</v>
      </c>
    </row>
    <row r="93" spans="1:18">
      <c r="A93"/>
      <c r="B93"/>
      <c r="C93"/>
      <c r="D93"/>
      <c r="E93"/>
      <c r="H93"/>
      <c r="I93"/>
      <c r="J93"/>
      <c r="K93"/>
      <c r="P93" s="155">
        <v>-0.67</v>
      </c>
      <c r="Q93" s="156">
        <f t="shared" si="6"/>
        <v>2539.3528822768158</v>
      </c>
      <c r="R93" s="157">
        <f t="shared" si="7"/>
        <v>175.68888888888887</v>
      </c>
    </row>
    <row r="94" spans="1:18">
      <c r="A94"/>
      <c r="B94"/>
      <c r="C94"/>
      <c r="D94"/>
      <c r="E94"/>
      <c r="H94"/>
      <c r="I94"/>
      <c r="J94"/>
      <c r="K94"/>
      <c r="P94" s="155">
        <v>-0.68</v>
      </c>
      <c r="Q94" s="156">
        <f t="shared" si="6"/>
        <v>2763.7421165939554</v>
      </c>
      <c r="R94" s="157">
        <f t="shared" si="7"/>
        <v>178.3111111111111</v>
      </c>
    </row>
    <row r="95" spans="1:18">
      <c r="A95"/>
      <c r="B95"/>
      <c r="C95"/>
      <c r="D95"/>
      <c r="E95"/>
      <c r="H95"/>
      <c r="I95"/>
      <c r="J95"/>
      <c r="K95"/>
      <c r="P95" s="155">
        <v>-0.69</v>
      </c>
      <c r="Q95" s="156">
        <f t="shared" si="6"/>
        <v>3007.9594452373472</v>
      </c>
      <c r="R95" s="157">
        <f t="shared" si="7"/>
        <v>180.93333333333328</v>
      </c>
    </row>
    <row r="96" spans="1:18">
      <c r="A96"/>
      <c r="B96"/>
      <c r="C96"/>
      <c r="D96"/>
      <c r="E96"/>
      <c r="H96"/>
      <c r="I96"/>
      <c r="J96"/>
      <c r="K96"/>
      <c r="P96" s="155">
        <v>-0.7</v>
      </c>
      <c r="Q96" s="156">
        <f t="shared" si="6"/>
        <v>3273.7569724280715</v>
      </c>
      <c r="R96" s="157">
        <f t="shared" si="7"/>
        <v>183.55555555555551</v>
      </c>
    </row>
    <row r="97" spans="1:18">
      <c r="A97"/>
      <c r="B97"/>
      <c r="C97"/>
      <c r="D97"/>
      <c r="E97"/>
      <c r="H97"/>
      <c r="I97"/>
      <c r="J97"/>
      <c r="K97"/>
      <c r="P97" s="155">
        <v>-0.71</v>
      </c>
      <c r="Q97" s="156">
        <f t="shared" si="6"/>
        <v>3563.0416266053498</v>
      </c>
      <c r="R97" s="157">
        <f t="shared" si="7"/>
        <v>186.17777777777772</v>
      </c>
    </row>
    <row r="98" spans="1:18">
      <c r="A98"/>
      <c r="B98"/>
      <c r="C98"/>
      <c r="D98"/>
      <c r="E98"/>
      <c r="H98"/>
      <c r="I98"/>
      <c r="J98"/>
      <c r="K98"/>
      <c r="P98" s="155">
        <v>-0.72</v>
      </c>
      <c r="Q98" s="156">
        <f t="shared" si="6"/>
        <v>3877.8888414269545</v>
      </c>
      <c r="R98" s="157">
        <f t="shared" si="7"/>
        <v>188.79999999999995</v>
      </c>
    </row>
    <row r="99" spans="1:18">
      <c r="A99"/>
      <c r="B99"/>
      <c r="C99"/>
      <c r="D99"/>
      <c r="E99"/>
      <c r="H99"/>
      <c r="I99"/>
      <c r="J99"/>
      <c r="K99"/>
      <c r="P99" s="155">
        <v>-0.73</v>
      </c>
      <c r="Q99" s="156">
        <f t="shared" si="6"/>
        <v>4220.5574456874938</v>
      </c>
      <c r="R99" s="157">
        <f t="shared" si="7"/>
        <v>191.42222222222219</v>
      </c>
    </row>
    <row r="100" spans="1:18">
      <c r="A100"/>
      <c r="B100"/>
      <c r="C100"/>
      <c r="D100"/>
      <c r="E100"/>
      <c r="H100"/>
      <c r="I100"/>
      <c r="J100"/>
      <c r="K100"/>
      <c r="P100" s="155">
        <v>-0.74</v>
      </c>
      <c r="Q100" s="156">
        <f t="shared" si="6"/>
        <v>4593.5058689803536</v>
      </c>
      <c r="R100" s="157">
        <f t="shared" si="7"/>
        <v>194.04444444444439</v>
      </c>
    </row>
    <row r="101" spans="1:18">
      <c r="A101"/>
      <c r="B101"/>
      <c r="C101"/>
      <c r="D101"/>
      <c r="E101"/>
      <c r="H101"/>
      <c r="I101"/>
      <c r="J101"/>
      <c r="K101"/>
      <c r="P101" s="155">
        <v>-0.75</v>
      </c>
      <c r="Q101" s="156">
        <f t="shared" si="6"/>
        <v>4999.4097793685823</v>
      </c>
      <c r="R101" s="157">
        <f t="shared" si="7"/>
        <v>196.66666666666663</v>
      </c>
    </row>
    <row r="102" spans="1:18">
      <c r="A102"/>
      <c r="B102"/>
      <c r="C102"/>
      <c r="D102"/>
      <c r="E102"/>
      <c r="H102"/>
      <c r="I102"/>
      <c r="J102"/>
      <c r="K102"/>
      <c r="P102" s="155">
        <v>-0.76</v>
      </c>
      <c r="Q102" s="156">
        <f t="shared" si="6"/>
        <v>5441.1812796038321</v>
      </c>
      <c r="R102" s="157">
        <f t="shared" si="7"/>
        <v>199.28888888888886</v>
      </c>
    </row>
    <row r="103" spans="1:18">
      <c r="A103"/>
      <c r="B103"/>
      <c r="C103"/>
      <c r="D103"/>
      <c r="E103"/>
      <c r="H103"/>
      <c r="I103"/>
      <c r="J103"/>
      <c r="K103"/>
      <c r="P103" s="155">
        <v>-0.77</v>
      </c>
      <c r="Q103" s="156">
        <f t="shared" si="6"/>
        <v>5921.9897996139953</v>
      </c>
      <c r="R103" s="157">
        <f t="shared" si="7"/>
        <v>201.91111111111107</v>
      </c>
    </row>
    <row r="104" spans="1:18">
      <c r="A104"/>
      <c r="B104"/>
      <c r="C104"/>
      <c r="D104"/>
      <c r="E104"/>
      <c r="H104"/>
      <c r="I104"/>
      <c r="J104"/>
      <c r="K104"/>
      <c r="P104" s="155">
        <v>-0.78</v>
      </c>
      <c r="Q104" s="156">
        <f t="shared" si="6"/>
        <v>6445.2848351499179</v>
      </c>
      <c r="R104" s="157">
        <f t="shared" si="7"/>
        <v>204.5333333333333</v>
      </c>
    </row>
    <row r="105" spans="1:18">
      <c r="A105"/>
      <c r="B105"/>
      <c r="C105"/>
      <c r="D105"/>
      <c r="E105"/>
      <c r="H105"/>
      <c r="I105"/>
      <c r="J105"/>
      <c r="K105"/>
      <c r="P105" s="155">
        <v>-0.79</v>
      </c>
      <c r="Q105" s="156">
        <f t="shared" si="6"/>
        <v>7014.8206957265047</v>
      </c>
      <c r="R105" s="157">
        <f t="shared" si="7"/>
        <v>207.15555555555554</v>
      </c>
    </row>
    <row r="106" spans="1:18">
      <c r="A106"/>
      <c r="B106"/>
      <c r="C106"/>
      <c r="D106"/>
      <c r="E106"/>
      <c r="H106"/>
      <c r="I106"/>
      <c r="J106"/>
      <c r="K106"/>
      <c r="P106" s="155">
        <v>-0.8</v>
      </c>
      <c r="Q106" s="156">
        <f t="shared" si="6"/>
        <v>7634.6834394089665</v>
      </c>
      <c r="R106" s="157">
        <f t="shared" si="7"/>
        <v>209.77777777777774</v>
      </c>
    </row>
    <row r="107" spans="1:18">
      <c r="A107"/>
      <c r="B107"/>
      <c r="C107"/>
      <c r="D107"/>
      <c r="E107"/>
      <c r="H107"/>
      <c r="I107"/>
      <c r="J107"/>
      <c r="K107"/>
      <c r="P107" s="155">
        <v>-0.81</v>
      </c>
      <c r="Q107" s="156">
        <f t="shared" si="6"/>
        <v>8309.3201876842595</v>
      </c>
      <c r="R107" s="157">
        <f t="shared" si="7"/>
        <v>212.39999999999998</v>
      </c>
    </row>
    <row r="108" spans="1:18">
      <c r="A108"/>
      <c r="B108"/>
      <c r="C108"/>
      <c r="D108"/>
      <c r="E108"/>
      <c r="H108"/>
      <c r="I108"/>
      <c r="J108"/>
      <c r="K108"/>
      <c r="P108" s="155">
        <v>-0.82</v>
      </c>
      <c r="Q108" s="156">
        <f t="shared" si="6"/>
        <v>9043.5710307331574</v>
      </c>
      <c r="R108" s="157">
        <f t="shared" si="7"/>
        <v>215.02222222222215</v>
      </c>
    </row>
    <row r="109" spans="1:18">
      <c r="A109"/>
      <c r="B109"/>
      <c r="C109"/>
      <c r="D109"/>
      <c r="E109"/>
      <c r="H109"/>
      <c r="I109"/>
      <c r="J109"/>
      <c r="K109"/>
      <c r="P109" s="155">
        <v>-0.83</v>
      </c>
      <c r="Q109" s="156">
        <f t="shared" si="6"/>
        <v>9842.7037520032318</v>
      </c>
      <c r="R109" s="157">
        <f t="shared" si="7"/>
        <v>217.64444444444439</v>
      </c>
    </row>
    <row r="110" spans="1:18">
      <c r="A110"/>
      <c r="B110"/>
      <c r="C110"/>
      <c r="D110"/>
      <c r="E110"/>
      <c r="H110"/>
      <c r="I110"/>
      <c r="J110"/>
      <c r="K110"/>
      <c r="P110" s="155">
        <v>-0.84</v>
      </c>
      <c r="Q110" s="156">
        <f t="shared" si="6"/>
        <v>10712.451621209257</v>
      </c>
      <c r="R110" s="157">
        <f t="shared" si="7"/>
        <v>220.26666666666662</v>
      </c>
    </row>
    <row r="111" spans="1:18">
      <c r="A111"/>
      <c r="B111"/>
      <c r="C111"/>
      <c r="D111"/>
      <c r="E111"/>
      <c r="H111"/>
      <c r="I111"/>
      <c r="J111"/>
      <c r="K111"/>
      <c r="P111" s="155">
        <v>-0.85</v>
      </c>
      <c r="Q111" s="156">
        <f t="shared" si="6"/>
        <v>11659.054526902017</v>
      </c>
      <c r="R111" s="157">
        <f t="shared" si="7"/>
        <v>222.88888888888883</v>
      </c>
    </row>
    <row r="112" spans="1:18">
      <c r="A112"/>
      <c r="B112"/>
      <c r="C112"/>
      <c r="D112"/>
      <c r="E112"/>
      <c r="H112"/>
      <c r="I112"/>
      <c r="J112"/>
      <c r="K112"/>
      <c r="P112" s="155">
        <v>-0.86</v>
      </c>
      <c r="Q112" s="156">
        <f t="shared" si="6"/>
        <v>12689.303743705488</v>
      </c>
      <c r="R112" s="157">
        <f t="shared" si="7"/>
        <v>225.51111111111106</v>
      </c>
    </row>
    <row r="113" spans="1:18">
      <c r="A113"/>
      <c r="B113"/>
      <c r="C113"/>
      <c r="D113"/>
      <c r="E113"/>
      <c r="H113"/>
      <c r="I113"/>
      <c r="J113"/>
      <c r="K113"/>
      <c r="P113" s="155">
        <v>-0.87</v>
      </c>
      <c r="Q113" s="156">
        <f t="shared" si="6"/>
        <v>13810.590655398801</v>
      </c>
      <c r="R113" s="157">
        <f t="shared" si="7"/>
        <v>228.1333333333333</v>
      </c>
    </row>
    <row r="114" spans="1:18">
      <c r="A114"/>
      <c r="B114"/>
      <c r="C114"/>
      <c r="D114"/>
      <c r="E114"/>
      <c r="H114"/>
      <c r="I114"/>
      <c r="J114"/>
      <c r="K114"/>
      <c r="P114" s="155">
        <v>-0.88</v>
      </c>
      <c r="Q114" s="156">
        <f t="shared" si="6"/>
        <v>15030.959783400349</v>
      </c>
      <c r="R114" s="157">
        <f t="shared" si="7"/>
        <v>230.7555555555555</v>
      </c>
    </row>
    <row r="115" spans="1:18">
      <c r="A115"/>
      <c r="B115"/>
      <c r="C115"/>
      <c r="D115"/>
      <c r="E115"/>
      <c r="H115"/>
      <c r="I115"/>
      <c r="J115"/>
      <c r="K115"/>
      <c r="P115" s="160">
        <v>-0.89</v>
      </c>
      <c r="Q115" s="161">
        <f t="shared" si="6"/>
        <v>16359.166501099548</v>
      </c>
      <c r="R115" s="162">
        <f t="shared" si="7"/>
        <v>233.37777777777774</v>
      </c>
    </row>
    <row r="135" ht="31.5" customHeight="1"/>
  </sheetData>
  <mergeCells count="41">
    <mergeCell ref="G8:H8"/>
    <mergeCell ref="K15:K17"/>
    <mergeCell ref="F16:H16"/>
    <mergeCell ref="B12:C12"/>
    <mergeCell ref="B13:C13"/>
    <mergeCell ref="B14:C14"/>
    <mergeCell ref="B15:C15"/>
    <mergeCell ref="J15:J17"/>
    <mergeCell ref="M8:O8"/>
    <mergeCell ref="M9:O9"/>
    <mergeCell ref="B10:C10"/>
    <mergeCell ref="M10:O10"/>
    <mergeCell ref="B11:C11"/>
    <mergeCell ref="M11:Q11"/>
    <mergeCell ref="B8:C9"/>
    <mergeCell ref="D8:D9"/>
    <mergeCell ref="E8:E9"/>
    <mergeCell ref="F8:F9"/>
    <mergeCell ref="B6:F6"/>
    <mergeCell ref="G6:H6"/>
    <mergeCell ref="M6:O6"/>
    <mergeCell ref="P6:Q6"/>
    <mergeCell ref="B7:F7"/>
    <mergeCell ref="G7:H7"/>
    <mergeCell ref="M7:O7"/>
    <mergeCell ref="B4:F5"/>
    <mergeCell ref="G4:G5"/>
    <mergeCell ref="M4:O4"/>
    <mergeCell ref="P4:Q4"/>
    <mergeCell ref="M5:O5"/>
    <mergeCell ref="P5:Q5"/>
    <mergeCell ref="D1:Q1"/>
    <mergeCell ref="B2:H2"/>
    <mergeCell ref="J2:K2"/>
    <mergeCell ref="M2:Q2"/>
    <mergeCell ref="B3:F3"/>
    <mergeCell ref="G3:H3"/>
    <mergeCell ref="J3:J5"/>
    <mergeCell ref="K3:K4"/>
    <mergeCell ref="M3:O3"/>
    <mergeCell ref="P3:Q3"/>
  </mergeCells>
  <conditionalFormatting sqref="B4:H5">
    <cfRule type="expression" dxfId="4" priority="2">
      <formula>$G$8="Projetos com até 99 PF - Complexidade Média ou Alta"</formula>
    </cfRule>
    <cfRule type="expression" dxfId="3" priority="3">
      <formula>$G$8="Projetos com até 99 PF - Complexidade Baixa"</formula>
    </cfRule>
  </conditionalFormatting>
  <conditionalFormatting sqref="E16">
    <cfRule type="expression" dxfId="2" priority="4">
      <formula>$E$16&lt;&gt;1</formula>
    </cfRule>
  </conditionalFormatting>
  <conditionalFormatting sqref="E13">
    <cfRule type="expression" dxfId="1" priority="5">
      <formula>AND((OR($E$13=0.15,$E$13=0.1)),$E$13&lt;&gt;$D$13)</formula>
    </cfRule>
  </conditionalFormatting>
  <conditionalFormatting sqref="E11">
    <cfRule type="expression" dxfId="0" priority="6">
      <formula>AND((OR($E$11=0.15,$E$11=0.1)),$E$11&lt;&gt;$D$11)</formula>
    </cfRule>
  </conditionalFormatting>
  <dataValidations count="9">
    <dataValidation type="list" operator="equal" allowBlank="1" showInputMessage="1" showErrorMessage="1" prompt="Informe qual o tipo de prazo que deseja distribuir os dias, se em dias úteis ou em dias corridos._x000a_Proporção utilizada: 7 dias corridos para cada 5 dias úteis (7/5)" sqref="G3:H3">
      <formula1>"Úteis,Corridos"</formula1>
      <formula2>0</formula2>
    </dataValidation>
    <dataValidation type="list" operator="equal" showInputMessage="1" showErrorMessage="1" prompt="Informe qual o tipo de projeto para determinação do expoente utilizado na fórmula de Capers Jones. Para descrição e valor referir-se a tabela abaixo" sqref="G4">
      <formula1>"Sistema Comum – Mainframe,Sistema Comum – WEB,Sistema OO,Sistema Cliente/Servidor (Alta complexidade),Sistemas Gerenciais Complexos,Software Básico,Framework,Sistemas Comerciais,Software Militar *Exclusivo SISP v2.0"</formula1>
      <formula2>0</formula2>
    </dataValidation>
    <dataValidation operator="equal" allowBlank="1" showInputMessage="1" showErrorMessage="1" sqref="H4:H5">
      <formula1>0</formula1>
      <formula2>0</formula2>
    </dataValidation>
    <dataValidation type="whole" operator="greaterThan" allowBlank="1" showInputMessage="1" showErrorMessage="1" error="Data limite tem que ser maior que data inicial" prompt="Informe a data que deseja que o projeto finalize" sqref="P4:Q4">
      <formula1>G10</formula1>
      <formula2>0</formula2>
    </dataValidation>
    <dataValidation type="list" operator="equal" showInputMessage="1" showErrorMessage="1" prompt="Informe qual o tipo de projeto para determinação do expoente utilizado na fórmula de Capers Jones. Para descrição e valor referir-se a tabela abaixo" sqref="G5">
      <formula1>0</formula1>
      <formula2>0</formula2>
    </dataValidation>
    <dataValidation type="list" operator="equal" allowBlank="1" showInputMessage="1" showErrorMessage="1" prompt="Informe a complexidade do projeto._x000a_Informação relevante apenas para projetos com menos de 100 PF" sqref="G6">
      <formula1>"Projetos com até 99 PF,Projetos com mais de 99 PF "</formula1>
      <formula2>0</formula2>
    </dataValidation>
    <dataValidation type="list" operator="equal" allowBlank="1" showInputMessage="1" showErrorMessage="1" prompt="Informe a complexidade do projeto._x000a_Informação relevante apenas para projetos com menos de 100 PF" sqref="H6">
      <formula1>"Projetos com até 99 PF - Complexidade Baixa,Projetos com até 99 PF - Complexidade Média ou Alta,Projetos com mais de 99 PF "</formula1>
      <formula2>0</formula2>
    </dataValidation>
    <dataValidation type="decimal" allowBlank="1" showErrorMessage="1" error="- Este campo aceita apenas números_x000a_- Projetos com mais de 99 PF devem   ter mais de 99 PF_x000a_- Projetos com até 99 PF devem no máximo ter 99 PF" prompt="Informe a quantidade de PF que deseja calcular o prazo" sqref="G7">
      <formula1>IF(G6="Projetos com mais de 99 PF ",99.0000001,0)</formula1>
      <formula2>IF(G6="Projetos com mais de 99 PF ",1E+24,99)</formula2>
    </dataValidation>
    <dataValidation operator="equal" allowBlank="1" showInputMessage="1" showErrorMessage="1" prompt="Atenção ao alterar esse valor, pois ele varia de acordo com a versão do SISP" sqref="E11 E13">
      <formula1>0</formula1>
      <formula2>0</formula2>
    </dataValidation>
  </dataValidations>
  <pageMargins left="0.78749999999999998" right="0.78749999999999998" top="1.0249999999999999" bottom="1.0249999999999999" header="0.78749999999999998" footer="0.78749999999999998"/>
  <pageSetup paperSize="9" firstPageNumber="0" orientation="portrait" horizontalDpi="300" verticalDpi="300"/>
  <headerFooter>
    <oddHeader>&amp;C&amp;A</oddHeader>
    <oddFooter>&amp;CPágina &amp;P</oddFooter>
  </headerFooter>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E46C0A"/>
  </sheetPr>
  <dimension ref="A1:BL23"/>
  <sheetViews>
    <sheetView zoomScaleNormal="100" workbookViewId="0"/>
  </sheetViews>
  <sheetFormatPr defaultColWidth="8.54296875" defaultRowHeight="12.5"/>
  <cols>
    <col min="1" max="1" width="23.08984375" customWidth="1"/>
    <col min="2" max="2" width="11.90625" customWidth="1"/>
    <col min="3" max="3" width="11.36328125" customWidth="1"/>
    <col min="4" max="5" width="12.453125" customWidth="1"/>
    <col min="6" max="6" width="15.90625" customWidth="1"/>
    <col min="7" max="7" width="12.453125" customWidth="1"/>
    <col min="8" max="8" width="15.90625" customWidth="1"/>
    <col min="9" max="9" width="15.453125" customWidth="1"/>
  </cols>
  <sheetData>
    <row r="1" spans="1:64" ht="69" customHeight="1">
      <c r="A1" s="2" t="str">
        <f>Resumo!A1</f>
        <v>Template V.1.6</v>
      </c>
      <c r="B1" s="2"/>
      <c r="C1" s="213" t="s">
        <v>148</v>
      </c>
      <c r="D1" s="213"/>
      <c r="E1" s="213"/>
      <c r="F1" s="213"/>
      <c r="G1" s="213"/>
      <c r="H1" s="213"/>
      <c r="I1" s="213"/>
      <c r="J1" s="163"/>
      <c r="K1" s="163"/>
      <c r="L1" s="163"/>
      <c r="M1" s="163"/>
      <c r="N1" s="163"/>
      <c r="O1" s="163"/>
      <c r="P1" s="163"/>
      <c r="Q1" s="163"/>
      <c r="R1" s="163"/>
      <c r="S1" s="164"/>
      <c r="T1" s="164"/>
      <c r="U1" s="164"/>
      <c r="V1" s="164"/>
      <c r="W1" s="164"/>
      <c r="X1" s="164"/>
      <c r="Y1" s="164"/>
      <c r="Z1" s="164"/>
      <c r="AA1" s="164"/>
      <c r="AB1" s="164"/>
      <c r="AC1" s="164"/>
      <c r="AD1" s="164"/>
      <c r="AE1" s="164"/>
      <c r="AF1" s="164"/>
      <c r="AG1" s="164"/>
      <c r="AH1" s="164"/>
      <c r="AI1" s="164"/>
      <c r="AJ1" s="164"/>
      <c r="AK1" s="164"/>
      <c r="AL1" s="164"/>
      <c r="AM1" s="164"/>
      <c r="AN1" s="164"/>
      <c r="AO1" s="164"/>
      <c r="AP1" s="164"/>
      <c r="AQ1" s="164"/>
      <c r="AR1" s="164"/>
      <c r="AS1" s="164"/>
      <c r="AT1" s="164"/>
      <c r="AU1" s="164"/>
      <c r="AV1" s="164"/>
      <c r="AW1" s="164"/>
      <c r="AX1" s="164"/>
      <c r="AY1" s="164"/>
      <c r="AZ1" s="164"/>
      <c r="BA1" s="164"/>
      <c r="BB1" s="164"/>
      <c r="BC1" s="164"/>
      <c r="BD1" s="164"/>
      <c r="BE1" s="164"/>
      <c r="BF1" s="164"/>
      <c r="BG1" s="164"/>
      <c r="BH1" s="164"/>
      <c r="BI1" s="164"/>
      <c r="BJ1" s="164"/>
      <c r="BK1" s="164"/>
      <c r="BL1" s="164"/>
    </row>
    <row r="3" spans="1:64" ht="13">
      <c r="A3" s="165" t="s">
        <v>149</v>
      </c>
      <c r="C3" s="166">
        <v>8</v>
      </c>
    </row>
    <row r="4" spans="1:64" ht="29">
      <c r="B4" s="165"/>
      <c r="D4" s="167" t="s">
        <v>20</v>
      </c>
      <c r="E4" s="167" t="s">
        <v>22</v>
      </c>
      <c r="F4" s="167" t="s">
        <v>24</v>
      </c>
      <c r="G4" s="167" t="s">
        <v>26</v>
      </c>
      <c r="H4" s="167" t="s">
        <v>28</v>
      </c>
      <c r="I4" s="167" t="s">
        <v>30</v>
      </c>
    </row>
    <row r="5" spans="1:64" ht="14.5">
      <c r="A5" s="168" t="s">
        <v>43</v>
      </c>
      <c r="B5" s="168" t="s">
        <v>150</v>
      </c>
      <c r="C5" s="169" t="s">
        <v>151</v>
      </c>
      <c r="D5" s="170">
        <f>Resumo!G18</f>
        <v>0.25</v>
      </c>
      <c r="E5" s="170">
        <f>Resumo!G19</f>
        <v>0.1</v>
      </c>
      <c r="F5" s="170">
        <f>Resumo!G20</f>
        <v>0.4</v>
      </c>
      <c r="G5" s="170">
        <f>Resumo!G21</f>
        <v>0.15</v>
      </c>
      <c r="H5" s="170">
        <f>Resumo!G22</f>
        <v>0.05</v>
      </c>
      <c r="I5" s="170">
        <f>Resumo!G23</f>
        <v>0.05</v>
      </c>
    </row>
    <row r="6" spans="1:64">
      <c r="A6" s="171"/>
      <c r="B6" s="172">
        <f>IF(Resumo!$B$5="Detalhada",SUMIF('AFP - Detalhada'!$G$10:$G382,Esforço!$A6,'AFP - Detalhada'!$S$10:$S382), IF(Resumo!$B$5="Estimativa",SUMIF('AFP - Estimativa'!$G$10:$G382,Esforço!$A6,'AFP - Estimativa'!$K$10:$K382)*(1+'AFP - Estimativa'!$D$6),IF(Resumo!$B$5="Indicativa",SUMIF('AFP - Indicativa'!$E$10:$E$109,Esforço!$A6,'AFP - Indicativa'!$I$10:$I$109)*(1+'AFP - Indicativa'!$E$6),0)))</f>
        <v>0</v>
      </c>
      <c r="C6" s="172">
        <f t="shared" ref="C6:C22" si="0">ROUND(B6*$C$3,0)</f>
        <v>0</v>
      </c>
      <c r="D6" s="172">
        <f t="shared" ref="D6:I15" si="1">ROUND($C6*D$5,0)</f>
        <v>0</v>
      </c>
      <c r="E6" s="172">
        <f t="shared" si="1"/>
        <v>0</v>
      </c>
      <c r="F6" s="172">
        <f t="shared" si="1"/>
        <v>0</v>
      </c>
      <c r="G6" s="172">
        <f t="shared" si="1"/>
        <v>0</v>
      </c>
      <c r="H6" s="172">
        <f t="shared" si="1"/>
        <v>0</v>
      </c>
      <c r="I6" s="172">
        <f t="shared" si="1"/>
        <v>0</v>
      </c>
    </row>
    <row r="7" spans="1:64">
      <c r="A7" s="171"/>
      <c r="B7" s="172">
        <f>IF(Resumo!$B$5="Detalhada",SUMIF('AFP - Detalhada'!$G$10:$G383,Esforço!$A7,'AFP - Detalhada'!$S$10:$S383), IF(Resumo!$B$5="Estimativa",SUMIF('AFP - Estimativa'!$G$10:$G383,Esforço!$A7,'AFP - Estimativa'!$K$10:$K383)*(1+'AFP - Estimativa'!$D$6),IF(Resumo!$B$5="Indicativa",SUMIF('AFP - Indicativa'!$E$10:$E$109,Esforço!$A7,'AFP - Indicativa'!$I$10:$I$109)*(1+'AFP - Indicativa'!$E$6),0)))</f>
        <v>0</v>
      </c>
      <c r="C7" s="172">
        <f t="shared" si="0"/>
        <v>0</v>
      </c>
      <c r="D7" s="172">
        <f t="shared" si="1"/>
        <v>0</v>
      </c>
      <c r="E7" s="172">
        <f t="shared" si="1"/>
        <v>0</v>
      </c>
      <c r="F7" s="172">
        <f t="shared" si="1"/>
        <v>0</v>
      </c>
      <c r="G7" s="172">
        <f t="shared" si="1"/>
        <v>0</v>
      </c>
      <c r="H7" s="172">
        <f t="shared" si="1"/>
        <v>0</v>
      </c>
      <c r="I7" s="172">
        <f t="shared" si="1"/>
        <v>0</v>
      </c>
    </row>
    <row r="8" spans="1:64">
      <c r="A8" s="171"/>
      <c r="B8" s="172">
        <f>IF(Resumo!$B$5="Detalhada",SUMIF('AFP - Detalhada'!$G$10:$G384,Esforço!$A8,'AFP - Detalhada'!$S$10:$S384), IF(Resumo!$B$5="Estimativa",SUMIF('AFP - Estimativa'!$G$10:$G384,Esforço!$A8,'AFP - Estimativa'!$K$10:$K384)*(1+'AFP - Estimativa'!$D$6),IF(Resumo!$B$5="Indicativa",SUMIF('AFP - Indicativa'!$E$10:$E$109,Esforço!$A8,'AFP - Indicativa'!$I$10:$I$109)*(1+'AFP - Indicativa'!$E$6),0)))</f>
        <v>0</v>
      </c>
      <c r="C8" s="172">
        <f t="shared" si="0"/>
        <v>0</v>
      </c>
      <c r="D8" s="172">
        <f t="shared" si="1"/>
        <v>0</v>
      </c>
      <c r="E8" s="172">
        <f t="shared" si="1"/>
        <v>0</v>
      </c>
      <c r="F8" s="172">
        <f t="shared" si="1"/>
        <v>0</v>
      </c>
      <c r="G8" s="172">
        <f t="shared" si="1"/>
        <v>0</v>
      </c>
      <c r="H8" s="172">
        <f t="shared" si="1"/>
        <v>0</v>
      </c>
      <c r="I8" s="172">
        <f t="shared" si="1"/>
        <v>0</v>
      </c>
    </row>
    <row r="9" spans="1:64">
      <c r="A9" s="171"/>
      <c r="B9" s="172">
        <f>IF(Resumo!$B$5="Detalhada",SUMIF('AFP - Detalhada'!$G$10:$G385,Esforço!$A9,'AFP - Detalhada'!$S$10:$S385), IF(Resumo!$B$5="Estimativa",SUMIF('AFP - Estimativa'!$G$10:$G385,Esforço!$A9,'AFP - Estimativa'!$K$10:$K385)*(1+'AFP - Estimativa'!$D$6),IF(Resumo!$B$5="Indicativa",SUMIF('AFP - Indicativa'!$E$10:$E$109,Esforço!$A9,'AFP - Indicativa'!$I$10:$I$109)*(1+'AFP - Indicativa'!$E$6),0)))</f>
        <v>0</v>
      </c>
      <c r="C9" s="172">
        <f t="shared" si="0"/>
        <v>0</v>
      </c>
      <c r="D9" s="172">
        <f t="shared" si="1"/>
        <v>0</v>
      </c>
      <c r="E9" s="172">
        <f t="shared" si="1"/>
        <v>0</v>
      </c>
      <c r="F9" s="172">
        <f t="shared" si="1"/>
        <v>0</v>
      </c>
      <c r="G9" s="172">
        <f t="shared" si="1"/>
        <v>0</v>
      </c>
      <c r="H9" s="172">
        <f t="shared" si="1"/>
        <v>0</v>
      </c>
      <c r="I9" s="172">
        <f t="shared" si="1"/>
        <v>0</v>
      </c>
    </row>
    <row r="10" spans="1:64">
      <c r="A10" s="171"/>
      <c r="B10" s="172">
        <f>IF(Resumo!$B$5="Detalhada",SUMIF('AFP - Detalhada'!$G$10:$G386,Esforço!$A10,'AFP - Detalhada'!$S$10:$S386), IF(Resumo!$B$5="Estimativa",SUMIF('AFP - Estimativa'!$G$10:$G386,Esforço!$A10,'AFP - Estimativa'!$K$10:$K386)*(1+'AFP - Estimativa'!$D$6),IF(Resumo!$B$5="Indicativa",SUMIF('AFP - Indicativa'!$E$10:$E$109,Esforço!$A10,'AFP - Indicativa'!$I$10:$I$109)*(1+'AFP - Indicativa'!$E$6),0)))</f>
        <v>0</v>
      </c>
      <c r="C10" s="172">
        <f t="shared" si="0"/>
        <v>0</v>
      </c>
      <c r="D10" s="172">
        <f t="shared" si="1"/>
        <v>0</v>
      </c>
      <c r="E10" s="172">
        <f t="shared" si="1"/>
        <v>0</v>
      </c>
      <c r="F10" s="172">
        <f t="shared" si="1"/>
        <v>0</v>
      </c>
      <c r="G10" s="172">
        <f t="shared" si="1"/>
        <v>0</v>
      </c>
      <c r="H10" s="172">
        <f t="shared" si="1"/>
        <v>0</v>
      </c>
      <c r="I10" s="172">
        <f t="shared" si="1"/>
        <v>0</v>
      </c>
    </row>
    <row r="11" spans="1:64">
      <c r="A11" s="171"/>
      <c r="B11" s="172">
        <f>IF(Resumo!$B$5="Detalhada",SUMIF('AFP - Detalhada'!$G$10:$G387,Esforço!$A11,'AFP - Detalhada'!$S$10:$S387), IF(Resumo!$B$5="Estimativa",SUMIF('AFP - Estimativa'!$G$10:$G387,Esforço!$A11,'AFP - Estimativa'!$K$10:$K387)*(1+'AFP - Estimativa'!$D$6),IF(Resumo!$B$5="Indicativa",SUMIF('AFP - Indicativa'!$E$10:$E$109,Esforço!$A11,'AFP - Indicativa'!$I$10:$I$109)*(1+'AFP - Indicativa'!$E$6),0)))</f>
        <v>0</v>
      </c>
      <c r="C11" s="172">
        <f t="shared" si="0"/>
        <v>0</v>
      </c>
      <c r="D11" s="172">
        <f t="shared" si="1"/>
        <v>0</v>
      </c>
      <c r="E11" s="172">
        <f t="shared" si="1"/>
        <v>0</v>
      </c>
      <c r="F11" s="172">
        <f t="shared" si="1"/>
        <v>0</v>
      </c>
      <c r="G11" s="172">
        <f t="shared" si="1"/>
        <v>0</v>
      </c>
      <c r="H11" s="172">
        <f t="shared" si="1"/>
        <v>0</v>
      </c>
      <c r="I11" s="172">
        <f t="shared" si="1"/>
        <v>0</v>
      </c>
    </row>
    <row r="12" spans="1:64">
      <c r="A12" s="171"/>
      <c r="B12" s="172">
        <f>IF(Resumo!$B$5="Detalhada",SUMIF('AFP - Detalhada'!$G$10:$G388,Esforço!$A12,'AFP - Detalhada'!$S$10:$S388), IF(Resumo!$B$5="Estimativa",SUMIF('AFP - Estimativa'!$G$10:$G388,Esforço!$A12,'AFP - Estimativa'!$K$10:$K388)*(1+'AFP - Estimativa'!$D$6),IF(Resumo!$B$5="Indicativa",SUMIF('AFP - Indicativa'!$E$10:$E$109,Esforço!$A12,'AFP - Indicativa'!$I$10:$I$109)*(1+'AFP - Indicativa'!$E$6),0)))</f>
        <v>0</v>
      </c>
      <c r="C12" s="172">
        <f t="shared" si="0"/>
        <v>0</v>
      </c>
      <c r="D12" s="172">
        <f t="shared" si="1"/>
        <v>0</v>
      </c>
      <c r="E12" s="172">
        <f t="shared" si="1"/>
        <v>0</v>
      </c>
      <c r="F12" s="172">
        <f t="shared" si="1"/>
        <v>0</v>
      </c>
      <c r="G12" s="172">
        <f t="shared" si="1"/>
        <v>0</v>
      </c>
      <c r="H12" s="172">
        <f t="shared" si="1"/>
        <v>0</v>
      </c>
      <c r="I12" s="172">
        <f t="shared" si="1"/>
        <v>0</v>
      </c>
    </row>
    <row r="13" spans="1:64">
      <c r="A13" s="171"/>
      <c r="B13" s="172">
        <f>IF(Resumo!$B$5="Detalhada",SUMIF('AFP - Detalhada'!$G$10:$G389,Esforço!$A13,'AFP - Detalhada'!$S$10:$S389), IF(Resumo!$B$5="Estimativa",SUMIF('AFP - Estimativa'!$G$10:$G389,Esforço!$A13,'AFP - Estimativa'!$K$10:$K389)*(1+'AFP - Estimativa'!$D$6),IF(Resumo!$B$5="Indicativa",SUMIF('AFP - Indicativa'!$E$10:$E$109,Esforço!$A13,'AFP - Indicativa'!$I$10:$I$109)*(1+'AFP - Indicativa'!$E$6),0)))</f>
        <v>0</v>
      </c>
      <c r="C13" s="172">
        <f t="shared" si="0"/>
        <v>0</v>
      </c>
      <c r="D13" s="172">
        <f t="shared" si="1"/>
        <v>0</v>
      </c>
      <c r="E13" s="172">
        <f t="shared" si="1"/>
        <v>0</v>
      </c>
      <c r="F13" s="172">
        <f t="shared" si="1"/>
        <v>0</v>
      </c>
      <c r="G13" s="172">
        <f t="shared" si="1"/>
        <v>0</v>
      </c>
      <c r="H13" s="172">
        <f t="shared" si="1"/>
        <v>0</v>
      </c>
      <c r="I13" s="172">
        <f t="shared" si="1"/>
        <v>0</v>
      </c>
    </row>
    <row r="14" spans="1:64">
      <c r="A14" s="171"/>
      <c r="B14" s="172">
        <f>IF(Resumo!$B$5="Detalhada",SUMIF('AFP - Detalhada'!$G$10:$G390,Esforço!$A14,'AFP - Detalhada'!$S$10:$S390), IF(Resumo!$B$5="Estimativa",SUMIF('AFP - Estimativa'!$G$10:$G390,Esforço!$A14,'AFP - Estimativa'!$K$10:$K390)*(1+'AFP - Estimativa'!$D$6),IF(Resumo!$B$5="Indicativa",SUMIF('AFP - Indicativa'!$E$10:$E$109,Esforço!$A14,'AFP - Indicativa'!$I$10:$I$109)*(1+'AFP - Indicativa'!$E$6),0)))</f>
        <v>0</v>
      </c>
      <c r="C14" s="172">
        <f t="shared" si="0"/>
        <v>0</v>
      </c>
      <c r="D14" s="172">
        <f t="shared" si="1"/>
        <v>0</v>
      </c>
      <c r="E14" s="172">
        <f t="shared" si="1"/>
        <v>0</v>
      </c>
      <c r="F14" s="172">
        <f t="shared" si="1"/>
        <v>0</v>
      </c>
      <c r="G14" s="172">
        <f t="shared" si="1"/>
        <v>0</v>
      </c>
      <c r="H14" s="172">
        <f t="shared" si="1"/>
        <v>0</v>
      </c>
      <c r="I14" s="172">
        <f t="shared" si="1"/>
        <v>0</v>
      </c>
    </row>
    <row r="15" spans="1:64">
      <c r="A15" s="171"/>
      <c r="B15" s="172">
        <f>IF(Resumo!$B$5="Detalhada",SUMIF('AFP - Detalhada'!$G$10:$G391,Esforço!$A15,'AFP - Detalhada'!$S$10:$S391), IF(Resumo!$B$5="Estimativa",SUMIF('AFP - Estimativa'!$G$10:$G391,Esforço!$A15,'AFP - Estimativa'!$K$10:$K391)*(1+'AFP - Estimativa'!$D$6),IF(Resumo!$B$5="Indicativa",SUMIF('AFP - Indicativa'!$E$10:$E$109,Esforço!$A15,'AFP - Indicativa'!$I$10:$I$109)*(1+'AFP - Indicativa'!$E$6),0)))</f>
        <v>0</v>
      </c>
      <c r="C15" s="172">
        <f t="shared" si="0"/>
        <v>0</v>
      </c>
      <c r="D15" s="172">
        <f t="shared" si="1"/>
        <v>0</v>
      </c>
      <c r="E15" s="172">
        <f t="shared" si="1"/>
        <v>0</v>
      </c>
      <c r="F15" s="172">
        <f t="shared" si="1"/>
        <v>0</v>
      </c>
      <c r="G15" s="172">
        <f t="shared" si="1"/>
        <v>0</v>
      </c>
      <c r="H15" s="172">
        <f t="shared" si="1"/>
        <v>0</v>
      </c>
      <c r="I15" s="172">
        <f t="shared" si="1"/>
        <v>0</v>
      </c>
    </row>
    <row r="16" spans="1:64">
      <c r="A16" s="171"/>
      <c r="B16" s="172">
        <f>IF(Resumo!$B$5="Detalhada",SUMIF('AFP - Detalhada'!$G$10:$G392,Esforço!$A16,'AFP - Detalhada'!$S$10:$S392), IF(Resumo!$B$5="Estimativa",SUMIF('AFP - Estimativa'!$G$10:$G392,Esforço!$A16,'AFP - Estimativa'!$K$10:$K392)*(1+'AFP - Estimativa'!$D$6),IF(Resumo!$B$5="Indicativa",SUMIF('AFP - Indicativa'!$E$10:$E$109,Esforço!$A16,'AFP - Indicativa'!$I$10:$I$109)*(1+'AFP - Indicativa'!$E$6),0)))</f>
        <v>0</v>
      </c>
      <c r="C16" s="172">
        <f t="shared" si="0"/>
        <v>0</v>
      </c>
      <c r="D16" s="172">
        <f t="shared" ref="D16:I22" si="2">ROUND($C16*D$5,0)</f>
        <v>0</v>
      </c>
      <c r="E16" s="172">
        <f t="shared" si="2"/>
        <v>0</v>
      </c>
      <c r="F16" s="172">
        <f t="shared" si="2"/>
        <v>0</v>
      </c>
      <c r="G16" s="172">
        <f t="shared" si="2"/>
        <v>0</v>
      </c>
      <c r="H16" s="172">
        <f t="shared" si="2"/>
        <v>0</v>
      </c>
      <c r="I16" s="172">
        <f t="shared" si="2"/>
        <v>0</v>
      </c>
    </row>
    <row r="17" spans="1:9">
      <c r="A17" s="171"/>
      <c r="B17" s="172">
        <f>IF(Resumo!$B$5="Detalhada",SUMIF('AFP - Detalhada'!$G$10:$G393,Esforço!$A17,'AFP - Detalhada'!$S$10:$S393), IF(Resumo!$B$5="Estimativa",SUMIF('AFP - Estimativa'!$G$10:$G393,Esforço!$A17,'AFP - Estimativa'!$K$10:$K393)*(1+'AFP - Estimativa'!$D$6),IF(Resumo!$B$5="Indicativa",SUMIF('AFP - Indicativa'!$E$10:$E$109,Esforço!$A17,'AFP - Indicativa'!$I$10:$I$109)*(1+'AFP - Indicativa'!$E$6),0)))</f>
        <v>0</v>
      </c>
      <c r="C17" s="172">
        <f t="shared" si="0"/>
        <v>0</v>
      </c>
      <c r="D17" s="172">
        <f t="shared" si="2"/>
        <v>0</v>
      </c>
      <c r="E17" s="172">
        <f t="shared" si="2"/>
        <v>0</v>
      </c>
      <c r="F17" s="172">
        <f t="shared" si="2"/>
        <v>0</v>
      </c>
      <c r="G17" s="172">
        <f t="shared" si="2"/>
        <v>0</v>
      </c>
      <c r="H17" s="172">
        <f t="shared" si="2"/>
        <v>0</v>
      </c>
      <c r="I17" s="172">
        <f t="shared" si="2"/>
        <v>0</v>
      </c>
    </row>
    <row r="18" spans="1:9">
      <c r="A18" s="171"/>
      <c r="B18" s="172">
        <f>IF(Resumo!$B$5="Detalhada",SUMIF('AFP - Detalhada'!$G$10:$G394,Esforço!$A18,'AFP - Detalhada'!$S$10:$S394), IF(Resumo!$B$5="Estimativa",SUMIF('AFP - Estimativa'!$G$10:$G394,Esforço!$A18,'AFP - Estimativa'!$K$10:$K394)*(1+'AFP - Estimativa'!$D$6),IF(Resumo!$B$5="Indicativa",SUMIF('AFP - Indicativa'!$E$10:$E$109,Esforço!$A18,'AFP - Indicativa'!$I$10:$I$109)*(1+'AFP - Indicativa'!$E$6),0)))</f>
        <v>0</v>
      </c>
      <c r="C18" s="172">
        <f t="shared" si="0"/>
        <v>0</v>
      </c>
      <c r="D18" s="172">
        <f t="shared" si="2"/>
        <v>0</v>
      </c>
      <c r="E18" s="172">
        <f t="shared" si="2"/>
        <v>0</v>
      </c>
      <c r="F18" s="172">
        <f t="shared" si="2"/>
        <v>0</v>
      </c>
      <c r="G18" s="172">
        <f t="shared" si="2"/>
        <v>0</v>
      </c>
      <c r="H18" s="172">
        <f t="shared" si="2"/>
        <v>0</v>
      </c>
      <c r="I18" s="172">
        <f t="shared" si="2"/>
        <v>0</v>
      </c>
    </row>
    <row r="19" spans="1:9">
      <c r="A19" s="171"/>
      <c r="B19" s="172">
        <f>IF(Resumo!$B$5="Detalhada",SUMIF('AFP - Detalhada'!$G$10:$G395,Esforço!$A19,'AFP - Detalhada'!$S$10:$S395), IF(Resumo!$B$5="Estimativa",SUMIF('AFP - Estimativa'!$G$10:$G395,Esforço!$A19,'AFP - Estimativa'!$K$10:$K395)*(1+'AFP - Estimativa'!$D$6),IF(Resumo!$B$5="Indicativa",SUMIF('AFP - Indicativa'!$E$10:$E$109,Esforço!$A19,'AFP - Indicativa'!$I$10:$I$109)*(1+'AFP - Indicativa'!$E$6),0)))</f>
        <v>0</v>
      </c>
      <c r="C19" s="172">
        <f t="shared" si="0"/>
        <v>0</v>
      </c>
      <c r="D19" s="172">
        <f t="shared" si="2"/>
        <v>0</v>
      </c>
      <c r="E19" s="172">
        <f t="shared" si="2"/>
        <v>0</v>
      </c>
      <c r="F19" s="172">
        <f t="shared" si="2"/>
        <v>0</v>
      </c>
      <c r="G19" s="172">
        <f t="shared" si="2"/>
        <v>0</v>
      </c>
      <c r="H19" s="172">
        <f t="shared" si="2"/>
        <v>0</v>
      </c>
      <c r="I19" s="172">
        <f t="shared" si="2"/>
        <v>0</v>
      </c>
    </row>
    <row r="20" spans="1:9">
      <c r="A20" s="171"/>
      <c r="B20" s="172">
        <f>IF(Resumo!$B$5="Detalhada",SUMIF('AFP - Detalhada'!$G$10:$G396,Esforço!$A20,'AFP - Detalhada'!$S$10:$S396), IF(Resumo!$B$5="Estimativa",SUMIF('AFP - Estimativa'!$G$10:$G396,Esforço!$A20,'AFP - Estimativa'!$K$10:$K396)*(1+'AFP - Estimativa'!$D$6),IF(Resumo!$B$5="Indicativa",SUMIF('AFP - Indicativa'!$E$10:$E$109,Esforço!$A20,'AFP - Indicativa'!$I$10:$I$109)*(1+'AFP - Indicativa'!$E$6),0)))</f>
        <v>0</v>
      </c>
      <c r="C20" s="172">
        <f t="shared" si="0"/>
        <v>0</v>
      </c>
      <c r="D20" s="172">
        <f t="shared" si="2"/>
        <v>0</v>
      </c>
      <c r="E20" s="172">
        <f t="shared" si="2"/>
        <v>0</v>
      </c>
      <c r="F20" s="172">
        <f t="shared" si="2"/>
        <v>0</v>
      </c>
      <c r="G20" s="172">
        <f t="shared" si="2"/>
        <v>0</v>
      </c>
      <c r="H20" s="172">
        <f t="shared" si="2"/>
        <v>0</v>
      </c>
      <c r="I20" s="172">
        <f t="shared" si="2"/>
        <v>0</v>
      </c>
    </row>
    <row r="21" spans="1:9">
      <c r="A21" s="171"/>
      <c r="B21" s="172">
        <f>IF(Resumo!$B$5="Detalhada",SUMIF('AFP - Detalhada'!$G$10:$G397,Esforço!$A21,'AFP - Detalhada'!$S$10:$S397), IF(Resumo!$B$5="Estimativa",SUMIF('AFP - Estimativa'!$G$10:$G397,Esforço!$A21,'AFP - Estimativa'!$K$10:$K397)*(1+'AFP - Estimativa'!$D$6),IF(Resumo!$B$5="Indicativa",SUMIF('AFP - Indicativa'!$E$10:$E$109,Esforço!$A21,'AFP - Indicativa'!$I$10:$I$109)*(1+'AFP - Indicativa'!$E$6),0)))</f>
        <v>0</v>
      </c>
      <c r="C21" s="172">
        <f t="shared" si="0"/>
        <v>0</v>
      </c>
      <c r="D21" s="172">
        <f t="shared" si="2"/>
        <v>0</v>
      </c>
      <c r="E21" s="172">
        <f t="shared" si="2"/>
        <v>0</v>
      </c>
      <c r="F21" s="172">
        <f t="shared" si="2"/>
        <v>0</v>
      </c>
      <c r="G21" s="172">
        <f t="shared" si="2"/>
        <v>0</v>
      </c>
      <c r="H21" s="172">
        <f t="shared" si="2"/>
        <v>0</v>
      </c>
      <c r="I21" s="172">
        <f t="shared" si="2"/>
        <v>0</v>
      </c>
    </row>
    <row r="22" spans="1:9">
      <c r="A22" s="171"/>
      <c r="B22" s="172">
        <f>IF(Resumo!$B$5="Detalhada",SUMIF('AFP - Detalhada'!$G$10:$G398,Esforço!$A22,'AFP - Detalhada'!$S$10:$S398), IF(Resumo!$B$5="Estimativa",SUMIF('AFP - Estimativa'!$G$10:$G398,Esforço!$A22,'AFP - Estimativa'!$K$10:$K398)*(1+'AFP - Estimativa'!$D$6),IF(Resumo!$B$5="Indicativa",SUMIF('AFP - Indicativa'!$E$10:$E$109,Esforço!$A22,'AFP - Indicativa'!$I$10:$I$109)*(1+'AFP - Indicativa'!$E$6),0)))</f>
        <v>0</v>
      </c>
      <c r="C22" s="172">
        <f t="shared" si="0"/>
        <v>0</v>
      </c>
      <c r="D22" s="172">
        <f t="shared" si="2"/>
        <v>0</v>
      </c>
      <c r="E22" s="172">
        <f t="shared" si="2"/>
        <v>0</v>
      </c>
      <c r="F22" s="172">
        <f t="shared" si="2"/>
        <v>0</v>
      </c>
      <c r="G22" s="172">
        <f t="shared" si="2"/>
        <v>0</v>
      </c>
      <c r="H22" s="172">
        <f t="shared" si="2"/>
        <v>0</v>
      </c>
      <c r="I22" s="172">
        <f t="shared" si="2"/>
        <v>0</v>
      </c>
    </row>
    <row r="23" spans="1:9" ht="13">
      <c r="A23" s="173" t="s">
        <v>143</v>
      </c>
      <c r="B23" s="174">
        <f>SUM(B6:B22)</f>
        <v>0</v>
      </c>
      <c r="C23" s="174">
        <f>SUM(C6:C22)</f>
        <v>0</v>
      </c>
      <c r="D23" s="174">
        <f>SUM(D6:D22)</f>
        <v>0</v>
      </c>
      <c r="E23" s="174">
        <f>ROUND($C23*E$5,0)</f>
        <v>0</v>
      </c>
      <c r="F23" s="174">
        <f>SUM(F6:F22)</f>
        <v>0</v>
      </c>
      <c r="G23" s="174">
        <f>SUM(G6:G22)</f>
        <v>0</v>
      </c>
      <c r="H23" s="174">
        <f>SUM(H6:H22)</f>
        <v>0</v>
      </c>
      <c r="I23" s="174">
        <f>SUM(I6:I22)</f>
        <v>0</v>
      </c>
    </row>
  </sheetData>
  <mergeCells count="1">
    <mergeCell ref="C1:I1"/>
  </mergeCells>
  <pageMargins left="0.51180555555555496" right="0.51180555555555496" top="0.78749999999999998" bottom="0.78749999999999998" header="0.51180555555555496" footer="0.51180555555555496"/>
  <pageSetup paperSize="9" firstPageNumber="0" orientation="portrait" horizontalDpi="300" verticalDpi="300"/>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4F81BD"/>
  </sheetPr>
  <dimension ref="A1:N195"/>
  <sheetViews>
    <sheetView topLeftCell="J1" zoomScaleNormal="100" workbookViewId="0">
      <selection sqref="A1:B1"/>
    </sheetView>
  </sheetViews>
  <sheetFormatPr defaultColWidth="11.54296875" defaultRowHeight="12.5"/>
  <cols>
    <col min="1" max="1" width="49.453125" hidden="1" customWidth="1"/>
    <col min="2" max="2" width="16.08984375" hidden="1" customWidth="1"/>
    <col min="3" max="3" width="10.54296875" hidden="1" customWidth="1"/>
    <col min="4" max="4" width="59.1796875" style="175" hidden="1" customWidth="1"/>
    <col min="5" max="5" width="10.1796875" style="176" hidden="1" customWidth="1"/>
    <col min="6" max="6" width="13.08984375" style="177" hidden="1" customWidth="1"/>
    <col min="7" max="8" width="8.90625" style="177" hidden="1" customWidth="1"/>
    <col min="9" max="9" width="8.54296875" hidden="1" customWidth="1"/>
    <col min="10" max="10" width="67.81640625" customWidth="1"/>
    <col min="11" max="11" width="8.6328125" style="177" customWidth="1"/>
    <col min="12" max="12" width="8.453125" style="177" customWidth="1"/>
    <col min="13" max="13" width="27.08984375" customWidth="1"/>
    <col min="14" max="14" width="45.1796875" customWidth="1"/>
    <col min="15" max="64" width="8.54296875" customWidth="1"/>
  </cols>
  <sheetData>
    <row r="1" spans="1:14" ht="13">
      <c r="A1" s="264" t="s">
        <v>152</v>
      </c>
      <c r="B1" s="264"/>
      <c r="D1" s="265" t="s">
        <v>153</v>
      </c>
      <c r="E1" s="265"/>
      <c r="F1" s="265"/>
      <c r="G1" s="265"/>
      <c r="H1" s="265"/>
      <c r="J1" s="265" t="s">
        <v>154</v>
      </c>
      <c r="K1" s="265"/>
      <c r="L1" s="265"/>
      <c r="M1" s="265"/>
      <c r="N1" s="265"/>
    </row>
    <row r="2" spans="1:14" ht="13">
      <c r="A2" s="168" t="s">
        <v>46</v>
      </c>
      <c r="B2" s="168" t="s">
        <v>155</v>
      </c>
      <c r="D2" s="178" t="s">
        <v>156</v>
      </c>
      <c r="E2" s="179" t="s">
        <v>157</v>
      </c>
      <c r="F2" s="179" t="s">
        <v>158</v>
      </c>
      <c r="G2" s="179" t="s">
        <v>159</v>
      </c>
      <c r="H2" s="179" t="s">
        <v>160</v>
      </c>
      <c r="J2" s="180" t="s">
        <v>161</v>
      </c>
      <c r="K2" s="181" t="s">
        <v>162</v>
      </c>
      <c r="L2" s="181" t="s">
        <v>46</v>
      </c>
      <c r="M2" s="181" t="s">
        <v>163</v>
      </c>
      <c r="N2" s="182" t="s">
        <v>164</v>
      </c>
    </row>
    <row r="3" spans="1:14" ht="13.25" customHeight="1">
      <c r="A3" s="178" t="s">
        <v>165</v>
      </c>
      <c r="B3" s="183">
        <v>1</v>
      </c>
      <c r="D3" s="178" t="s">
        <v>166</v>
      </c>
      <c r="E3" s="179" t="s">
        <v>157</v>
      </c>
      <c r="F3" s="179" t="s">
        <v>158</v>
      </c>
      <c r="G3" s="179" t="s">
        <v>159</v>
      </c>
      <c r="H3" s="179" t="s">
        <v>160</v>
      </c>
      <c r="J3" s="172"/>
      <c r="K3" s="184"/>
      <c r="L3" s="184"/>
      <c r="M3" s="172"/>
      <c r="N3" s="172"/>
    </row>
    <row r="4" spans="1:14" ht="12.65" customHeight="1">
      <c r="A4" s="178" t="s">
        <v>167</v>
      </c>
      <c r="B4" s="183">
        <v>1</v>
      </c>
      <c r="D4" s="178" t="s">
        <v>168</v>
      </c>
      <c r="E4" s="179" t="s">
        <v>157</v>
      </c>
      <c r="F4" s="179" t="s">
        <v>158</v>
      </c>
      <c r="G4" s="179" t="s">
        <v>159</v>
      </c>
      <c r="H4" s="179" t="s">
        <v>160</v>
      </c>
      <c r="J4" s="172"/>
      <c r="K4" s="184"/>
      <c r="L4" s="184"/>
      <c r="M4" s="172"/>
      <c r="N4" s="172"/>
    </row>
    <row r="5" spans="1:14" ht="13.75" customHeight="1">
      <c r="A5" s="178" t="s">
        <v>169</v>
      </c>
      <c r="B5" s="183">
        <v>1</v>
      </c>
      <c r="D5" s="178" t="s">
        <v>170</v>
      </c>
      <c r="E5" s="179" t="s">
        <v>157</v>
      </c>
      <c r="F5" s="179" t="s">
        <v>158</v>
      </c>
      <c r="G5" s="179" t="s">
        <v>159</v>
      </c>
      <c r="H5" s="179" t="s">
        <v>160</v>
      </c>
      <c r="J5" s="172"/>
      <c r="K5" s="184"/>
      <c r="L5" s="184"/>
      <c r="M5" s="172"/>
      <c r="N5" s="172"/>
    </row>
    <row r="6" spans="1:14" ht="13.75" customHeight="1">
      <c r="A6" s="178" t="s">
        <v>171</v>
      </c>
      <c r="B6" s="183">
        <v>0.5</v>
      </c>
      <c r="D6" s="178" t="s">
        <v>172</v>
      </c>
      <c r="E6" s="179" t="s">
        <v>157</v>
      </c>
      <c r="F6" s="179" t="s">
        <v>158</v>
      </c>
      <c r="G6" s="179" t="s">
        <v>159</v>
      </c>
      <c r="H6" s="179"/>
      <c r="J6" s="172"/>
      <c r="K6" s="184"/>
      <c r="L6" s="184"/>
      <c r="M6" s="172"/>
      <c r="N6" s="172"/>
    </row>
    <row r="7" spans="1:14" ht="12" customHeight="1">
      <c r="A7" s="178" t="s">
        <v>173</v>
      </c>
      <c r="B7" s="183">
        <v>0.75</v>
      </c>
      <c r="D7" s="178" t="s">
        <v>174</v>
      </c>
      <c r="E7" s="179" t="s">
        <v>157</v>
      </c>
      <c r="F7" s="179" t="s">
        <v>158</v>
      </c>
      <c r="G7" s="179" t="s">
        <v>159</v>
      </c>
      <c r="H7" s="179" t="s">
        <v>160</v>
      </c>
      <c r="J7" s="172"/>
      <c r="K7" s="184"/>
      <c r="L7" s="184"/>
      <c r="M7" s="172"/>
      <c r="N7" s="172"/>
    </row>
    <row r="8" spans="1:14" ht="12" customHeight="1">
      <c r="A8" s="178" t="s">
        <v>175</v>
      </c>
      <c r="B8" s="183">
        <v>0.9</v>
      </c>
      <c r="D8" s="185" t="s">
        <v>176</v>
      </c>
      <c r="E8" s="179" t="s">
        <v>157</v>
      </c>
      <c r="F8" s="179" t="s">
        <v>158</v>
      </c>
      <c r="G8" s="179"/>
      <c r="H8" s="179"/>
      <c r="J8" s="172"/>
      <c r="K8" s="184"/>
      <c r="L8" s="184"/>
      <c r="M8" s="172"/>
      <c r="N8" s="172"/>
    </row>
    <row r="9" spans="1:14" ht="12" customHeight="1">
      <c r="A9" s="172" t="s">
        <v>177</v>
      </c>
      <c r="B9" s="183">
        <v>0.4</v>
      </c>
      <c r="D9" s="185" t="s">
        <v>178</v>
      </c>
      <c r="E9" s="179" t="s">
        <v>157</v>
      </c>
      <c r="F9" s="179" t="s">
        <v>158</v>
      </c>
      <c r="G9" s="179" t="s">
        <v>159</v>
      </c>
      <c r="H9" s="179" t="s">
        <v>160</v>
      </c>
      <c r="J9" s="172"/>
      <c r="K9" s="184"/>
      <c r="L9" s="184"/>
      <c r="M9" s="172"/>
      <c r="N9" s="172"/>
    </row>
    <row r="10" spans="1:14" ht="12" customHeight="1">
      <c r="A10" s="172" t="s">
        <v>179</v>
      </c>
      <c r="B10" s="183">
        <v>1</v>
      </c>
      <c r="D10" s="178" t="s">
        <v>180</v>
      </c>
      <c r="E10" s="179" t="s">
        <v>157</v>
      </c>
      <c r="F10" s="179"/>
      <c r="G10" s="179"/>
      <c r="H10" s="179"/>
      <c r="J10" s="172"/>
      <c r="K10" s="184"/>
      <c r="L10" s="184"/>
      <c r="M10" s="172"/>
      <c r="N10" s="172"/>
    </row>
    <row r="11" spans="1:14" ht="12" customHeight="1">
      <c r="A11" s="172" t="s">
        <v>181</v>
      </c>
      <c r="B11" s="183">
        <v>0</v>
      </c>
      <c r="D11" s="178" t="s">
        <v>182</v>
      </c>
      <c r="E11" s="179" t="s">
        <v>157</v>
      </c>
      <c r="F11" s="179" t="s">
        <v>158</v>
      </c>
      <c r="G11" s="179"/>
      <c r="H11" s="179"/>
      <c r="J11" s="172"/>
      <c r="K11" s="184"/>
      <c r="L11" s="184"/>
      <c r="M11" s="172"/>
      <c r="N11" s="172"/>
    </row>
    <row r="12" spans="1:14" ht="12" customHeight="1">
      <c r="A12" s="185" t="s">
        <v>183</v>
      </c>
      <c r="B12" s="183">
        <v>0.5</v>
      </c>
      <c r="D12" s="178" t="s">
        <v>184</v>
      </c>
      <c r="E12" s="179" t="s">
        <v>157</v>
      </c>
      <c r="F12" s="179"/>
      <c r="G12" s="179"/>
      <c r="H12" s="179" t="s">
        <v>160</v>
      </c>
      <c r="J12" s="172"/>
      <c r="K12" s="184"/>
      <c r="L12" s="184"/>
      <c r="M12" s="172"/>
      <c r="N12" s="172"/>
    </row>
    <row r="13" spans="1:14" ht="12" customHeight="1">
      <c r="A13" s="185" t="s">
        <v>185</v>
      </c>
      <c r="B13" s="183">
        <v>0.65</v>
      </c>
      <c r="D13" s="178" t="s">
        <v>186</v>
      </c>
      <c r="E13" s="179"/>
      <c r="F13" s="179"/>
      <c r="G13" s="179"/>
      <c r="H13" s="179" t="s">
        <v>160</v>
      </c>
      <c r="J13" s="172"/>
      <c r="K13" s="184"/>
      <c r="L13" s="184"/>
      <c r="M13" s="172"/>
      <c r="N13" s="172"/>
    </row>
    <row r="14" spans="1:14" ht="13.75" customHeight="1">
      <c r="A14" s="185" t="s">
        <v>187</v>
      </c>
      <c r="B14" s="183">
        <v>0.75</v>
      </c>
      <c r="D14" s="178" t="s">
        <v>188</v>
      </c>
      <c r="E14" s="179"/>
      <c r="F14" s="179"/>
      <c r="G14" s="179"/>
      <c r="H14" s="179" t="s">
        <v>160</v>
      </c>
      <c r="J14" s="172"/>
      <c r="K14" s="184"/>
      <c r="L14" s="184"/>
      <c r="M14" s="172"/>
      <c r="N14" s="172"/>
    </row>
    <row r="15" spans="1:14" ht="12.65" customHeight="1">
      <c r="A15" s="185" t="s">
        <v>189</v>
      </c>
      <c r="B15" s="183">
        <v>0.9</v>
      </c>
      <c r="D15" s="185" t="s">
        <v>190</v>
      </c>
      <c r="E15" s="179"/>
      <c r="F15" s="179"/>
      <c r="G15" s="179"/>
      <c r="H15" s="179" t="s">
        <v>160</v>
      </c>
      <c r="J15" s="172"/>
      <c r="K15" s="184"/>
      <c r="L15" s="184"/>
      <c r="M15" s="172"/>
      <c r="N15" s="172"/>
    </row>
    <row r="16" spans="1:14" ht="14.4" customHeight="1">
      <c r="A16" s="185" t="s">
        <v>191</v>
      </c>
      <c r="B16" s="183">
        <v>1</v>
      </c>
      <c r="D16" s="178" t="s">
        <v>192</v>
      </c>
      <c r="E16" s="179"/>
      <c r="F16" s="179"/>
      <c r="G16" s="179" t="s">
        <v>159</v>
      </c>
      <c r="H16" s="179"/>
      <c r="J16" s="172"/>
      <c r="K16" s="184"/>
      <c r="L16" s="184"/>
      <c r="M16" s="172"/>
      <c r="N16" s="172"/>
    </row>
    <row r="17" spans="1:14" ht="13.75" customHeight="1">
      <c r="A17" s="185" t="s">
        <v>193</v>
      </c>
      <c r="B17" s="183">
        <v>1</v>
      </c>
      <c r="D17" s="178" t="s">
        <v>194</v>
      </c>
      <c r="E17" s="179" t="s">
        <v>157</v>
      </c>
      <c r="F17" s="179" t="s">
        <v>158</v>
      </c>
      <c r="G17" s="179" t="s">
        <v>159</v>
      </c>
      <c r="H17" s="179"/>
      <c r="J17" s="172"/>
      <c r="K17" s="184"/>
      <c r="L17" s="184"/>
      <c r="M17" s="172"/>
      <c r="N17" s="172"/>
    </row>
    <row r="18" spans="1:14" ht="14.4" customHeight="1">
      <c r="A18" s="185" t="s">
        <v>195</v>
      </c>
      <c r="B18" s="183">
        <v>0.3</v>
      </c>
      <c r="D18" s="178" t="s">
        <v>196</v>
      </c>
      <c r="E18" s="179" t="s">
        <v>157</v>
      </c>
      <c r="F18" s="179" t="s">
        <v>158</v>
      </c>
      <c r="G18" s="179" t="s">
        <v>159</v>
      </c>
      <c r="H18" s="179" t="s">
        <v>160</v>
      </c>
      <c r="J18" s="172"/>
      <c r="K18" s="184"/>
      <c r="L18" s="184"/>
      <c r="M18" s="172"/>
      <c r="N18" s="172"/>
    </row>
    <row r="19" spans="1:14" ht="17.399999999999999" customHeight="1">
      <c r="A19" s="185" t="s">
        <v>197</v>
      </c>
      <c r="B19" s="183">
        <v>0.3</v>
      </c>
      <c r="D19" s="178" t="s">
        <v>198</v>
      </c>
      <c r="E19" s="179"/>
      <c r="F19" s="179"/>
      <c r="G19" s="179"/>
      <c r="H19" s="179" t="s">
        <v>160</v>
      </c>
      <c r="J19" s="172"/>
      <c r="K19" s="184"/>
      <c r="L19" s="184"/>
      <c r="M19" s="172"/>
      <c r="N19" s="172"/>
    </row>
    <row r="20" spans="1:14" ht="14.4" customHeight="1">
      <c r="A20" s="185" t="s">
        <v>199</v>
      </c>
      <c r="B20" s="183">
        <v>0.3</v>
      </c>
      <c r="D20" s="178" t="s">
        <v>200</v>
      </c>
      <c r="E20" s="179"/>
      <c r="F20" s="179"/>
      <c r="G20" s="179" t="s">
        <v>159</v>
      </c>
      <c r="H20" s="179"/>
      <c r="J20" s="172"/>
      <c r="K20" s="184"/>
      <c r="L20" s="184"/>
      <c r="M20" s="172"/>
      <c r="N20" s="172"/>
    </row>
    <row r="21" spans="1:14" ht="13.75" customHeight="1">
      <c r="A21" s="185" t="s">
        <v>201</v>
      </c>
      <c r="B21" s="183">
        <v>0.3</v>
      </c>
      <c r="D21" s="178" t="s">
        <v>202</v>
      </c>
      <c r="E21" s="179" t="s">
        <v>157</v>
      </c>
      <c r="F21" s="179" t="s">
        <v>158</v>
      </c>
      <c r="G21" s="179" t="s">
        <v>159</v>
      </c>
      <c r="H21" s="179" t="s">
        <v>160</v>
      </c>
      <c r="J21" s="172"/>
      <c r="K21" s="184"/>
      <c r="L21" s="184"/>
      <c r="M21" s="172"/>
      <c r="N21" s="172"/>
    </row>
    <row r="22" spans="1:14" ht="15" customHeight="1">
      <c r="A22" s="185" t="s">
        <v>203</v>
      </c>
      <c r="B22" s="183">
        <v>0.6</v>
      </c>
      <c r="D22" s="178" t="s">
        <v>204</v>
      </c>
      <c r="E22" s="179" t="s">
        <v>157</v>
      </c>
      <c r="F22" s="179" t="s">
        <v>158</v>
      </c>
      <c r="G22" s="179" t="s">
        <v>159</v>
      </c>
      <c r="H22" s="179" t="s">
        <v>160</v>
      </c>
      <c r="J22" s="172"/>
      <c r="K22" s="184"/>
      <c r="L22" s="184"/>
      <c r="M22" s="172"/>
      <c r="N22" s="172"/>
    </row>
    <row r="23" spans="1:14" ht="13.75" customHeight="1">
      <c r="A23" s="185" t="s">
        <v>205</v>
      </c>
      <c r="B23" s="183">
        <v>0.5</v>
      </c>
      <c r="D23" s="178" t="s">
        <v>206</v>
      </c>
      <c r="E23" s="179" t="s">
        <v>157</v>
      </c>
      <c r="F23" s="179" t="s">
        <v>158</v>
      </c>
      <c r="G23" s="179" t="s">
        <v>159</v>
      </c>
      <c r="H23" s="179" t="s">
        <v>160</v>
      </c>
      <c r="J23" s="172"/>
      <c r="K23" s="184"/>
      <c r="L23" s="184"/>
      <c r="M23" s="172"/>
      <c r="N23" s="172"/>
    </row>
    <row r="24" spans="1:14" ht="15" customHeight="1">
      <c r="A24" s="185" t="s">
        <v>207</v>
      </c>
      <c r="B24" s="183">
        <v>0.65</v>
      </c>
      <c r="D24" s="178" t="s">
        <v>208</v>
      </c>
      <c r="E24" s="179" t="s">
        <v>157</v>
      </c>
      <c r="F24" s="179" t="s">
        <v>158</v>
      </c>
      <c r="G24" s="179" t="s">
        <v>159</v>
      </c>
      <c r="H24" s="179" t="s">
        <v>160</v>
      </c>
      <c r="J24" s="172"/>
      <c r="K24" s="184"/>
      <c r="L24" s="184"/>
      <c r="M24" s="172"/>
      <c r="N24" s="172"/>
    </row>
    <row r="25" spans="1:14" ht="12.65" customHeight="1">
      <c r="A25" s="185" t="s">
        <v>209</v>
      </c>
      <c r="B25" s="183">
        <v>0.75</v>
      </c>
      <c r="D25" s="178" t="s">
        <v>210</v>
      </c>
      <c r="E25" s="179" t="s">
        <v>157</v>
      </c>
      <c r="F25" s="179" t="s">
        <v>158</v>
      </c>
      <c r="G25" s="179"/>
      <c r="H25" s="179"/>
      <c r="J25" s="172"/>
      <c r="K25" s="184"/>
      <c r="L25" s="184"/>
      <c r="M25" s="172"/>
      <c r="N25" s="172"/>
    </row>
    <row r="26" spans="1:14" ht="16.75" customHeight="1">
      <c r="A26" s="185" t="s">
        <v>211</v>
      </c>
      <c r="B26" s="183">
        <v>0.9</v>
      </c>
      <c r="D26" s="178" t="s">
        <v>212</v>
      </c>
      <c r="E26" s="179" t="s">
        <v>157</v>
      </c>
      <c r="F26" s="179" t="s">
        <v>158</v>
      </c>
      <c r="G26" s="179" t="s">
        <v>159</v>
      </c>
      <c r="H26" s="179" t="s">
        <v>160</v>
      </c>
      <c r="J26" s="172"/>
      <c r="K26" s="184"/>
      <c r="L26" s="184"/>
      <c r="M26" s="172"/>
      <c r="N26" s="186"/>
    </row>
    <row r="27" spans="1:14" ht="13.25" customHeight="1">
      <c r="A27" s="185" t="s">
        <v>213</v>
      </c>
      <c r="B27" s="183">
        <v>1</v>
      </c>
      <c r="D27" s="178" t="s">
        <v>214</v>
      </c>
      <c r="E27" s="179" t="s">
        <v>157</v>
      </c>
      <c r="F27" s="179" t="s">
        <v>158</v>
      </c>
      <c r="G27" s="179" t="s">
        <v>159</v>
      </c>
      <c r="H27" s="179" t="s">
        <v>160</v>
      </c>
      <c r="J27" s="172"/>
      <c r="K27" s="184"/>
      <c r="L27" s="184"/>
      <c r="M27" s="172"/>
      <c r="N27" s="172"/>
    </row>
    <row r="28" spans="1:14">
      <c r="A28" s="185" t="s">
        <v>215</v>
      </c>
      <c r="B28" s="183">
        <v>1</v>
      </c>
      <c r="D28" s="178" t="s">
        <v>216</v>
      </c>
      <c r="E28" s="179" t="s">
        <v>157</v>
      </c>
      <c r="F28" s="179" t="s">
        <v>158</v>
      </c>
      <c r="G28" s="179" t="s">
        <v>159</v>
      </c>
      <c r="H28" s="179" t="s">
        <v>160</v>
      </c>
      <c r="J28" s="172"/>
      <c r="K28" s="184"/>
      <c r="L28" s="184"/>
      <c r="M28" s="172"/>
      <c r="N28" s="172"/>
    </row>
    <row r="29" spans="1:14">
      <c r="A29" s="185" t="s">
        <v>217</v>
      </c>
      <c r="B29" s="183">
        <v>0.6</v>
      </c>
      <c r="D29" s="178" t="s">
        <v>218</v>
      </c>
      <c r="E29" s="179" t="s">
        <v>157</v>
      </c>
      <c r="F29" s="179" t="s">
        <v>158</v>
      </c>
      <c r="G29" s="179" t="s">
        <v>159</v>
      </c>
      <c r="H29" s="179" t="s">
        <v>160</v>
      </c>
      <c r="J29" s="172"/>
      <c r="K29" s="184"/>
      <c r="L29" s="184"/>
      <c r="M29" s="172"/>
      <c r="N29" s="172"/>
    </row>
    <row r="30" spans="1:14">
      <c r="A30" s="185" t="s">
        <v>219</v>
      </c>
      <c r="B30" s="183">
        <v>1</v>
      </c>
      <c r="D30" s="178" t="s">
        <v>220</v>
      </c>
      <c r="E30" s="179" t="s">
        <v>157</v>
      </c>
      <c r="F30" s="179" t="s">
        <v>158</v>
      </c>
      <c r="G30" s="179" t="s">
        <v>159</v>
      </c>
      <c r="H30" s="179" t="s">
        <v>160</v>
      </c>
      <c r="J30" s="172"/>
      <c r="K30" s="184"/>
      <c r="L30" s="184"/>
      <c r="M30" s="172"/>
      <c r="N30" s="172"/>
    </row>
    <row r="31" spans="1:14">
      <c r="A31" s="185" t="s">
        <v>221</v>
      </c>
      <c r="B31" s="183">
        <v>0.1</v>
      </c>
      <c r="D31" s="178" t="s">
        <v>222</v>
      </c>
      <c r="E31" s="179" t="s">
        <v>157</v>
      </c>
      <c r="F31" s="179" t="s">
        <v>158</v>
      </c>
      <c r="G31" s="179" t="s">
        <v>159</v>
      </c>
      <c r="H31" s="179" t="s">
        <v>160</v>
      </c>
      <c r="J31" s="172"/>
      <c r="K31" s="184"/>
      <c r="L31" s="184"/>
      <c r="M31" s="172"/>
      <c r="N31" s="172"/>
    </row>
    <row r="32" spans="1:14">
      <c r="A32" s="185" t="s">
        <v>223</v>
      </c>
      <c r="B32" s="183">
        <v>0.1</v>
      </c>
      <c r="D32" s="178" t="s">
        <v>224</v>
      </c>
      <c r="E32" s="179" t="s">
        <v>157</v>
      </c>
      <c r="F32" s="179" t="s">
        <v>158</v>
      </c>
      <c r="G32" s="179" t="s">
        <v>159</v>
      </c>
      <c r="H32" s="179" t="s">
        <v>160</v>
      </c>
      <c r="J32" s="172"/>
      <c r="K32" s="184"/>
      <c r="L32" s="184"/>
      <c r="M32" s="172"/>
      <c r="N32" s="172"/>
    </row>
    <row r="33" spans="1:14">
      <c r="A33" s="185" t="s">
        <v>225</v>
      </c>
      <c r="B33" s="183">
        <v>0.6</v>
      </c>
      <c r="D33" s="178" t="s">
        <v>226</v>
      </c>
      <c r="E33" s="179" t="s">
        <v>157</v>
      </c>
      <c r="F33" s="179" t="s">
        <v>158</v>
      </c>
      <c r="G33" s="179" t="s">
        <v>159</v>
      </c>
      <c r="H33" s="179" t="s">
        <v>160</v>
      </c>
      <c r="J33" s="172"/>
      <c r="K33" s="184"/>
      <c r="L33" s="184"/>
      <c r="M33" s="172"/>
      <c r="N33" s="172"/>
    </row>
    <row r="34" spans="1:14">
      <c r="A34" s="185" t="s">
        <v>227</v>
      </c>
      <c r="B34" s="183">
        <v>0.2</v>
      </c>
      <c r="D34" s="178" t="s">
        <v>228</v>
      </c>
      <c r="E34" s="179" t="s">
        <v>157</v>
      </c>
      <c r="F34" s="179" t="s">
        <v>158</v>
      </c>
      <c r="G34" s="179" t="s">
        <v>159</v>
      </c>
      <c r="H34" s="179" t="s">
        <v>160</v>
      </c>
      <c r="J34" s="172"/>
      <c r="K34" s="184"/>
      <c r="L34" s="184"/>
      <c r="M34" s="172"/>
      <c r="N34" s="172"/>
    </row>
    <row r="35" spans="1:14">
      <c r="A35" s="185" t="s">
        <v>229</v>
      </c>
      <c r="B35" s="183">
        <v>0.15</v>
      </c>
      <c r="D35" s="178" t="s">
        <v>230</v>
      </c>
      <c r="E35" s="179" t="s">
        <v>157</v>
      </c>
      <c r="F35" s="179" t="s">
        <v>158</v>
      </c>
      <c r="G35" s="179" t="s">
        <v>159</v>
      </c>
      <c r="H35" s="179" t="s">
        <v>160</v>
      </c>
      <c r="J35" s="172"/>
      <c r="K35" s="184"/>
      <c r="L35" s="184"/>
      <c r="M35" s="172"/>
      <c r="N35" s="172"/>
    </row>
    <row r="36" spans="1:14" ht="14.4" customHeight="1">
      <c r="A36" s="185" t="s">
        <v>231</v>
      </c>
      <c r="B36" s="183">
        <v>0.15</v>
      </c>
      <c r="D36" s="178" t="s">
        <v>232</v>
      </c>
      <c r="E36" s="179" t="s">
        <v>157</v>
      </c>
      <c r="F36" s="179" t="s">
        <v>158</v>
      </c>
      <c r="G36" s="179" t="s">
        <v>159</v>
      </c>
      <c r="H36" s="179" t="s">
        <v>160</v>
      </c>
      <c r="J36" s="172"/>
      <c r="K36" s="184"/>
      <c r="L36" s="184"/>
      <c r="M36" s="172"/>
      <c r="N36" s="187"/>
    </row>
    <row r="37" spans="1:14" ht="14.4" customHeight="1">
      <c r="A37" s="185" t="s">
        <v>233</v>
      </c>
      <c r="B37" s="183">
        <v>1</v>
      </c>
      <c r="D37" s="178" t="s">
        <v>234</v>
      </c>
      <c r="E37" s="179" t="s">
        <v>157</v>
      </c>
      <c r="F37" s="179" t="s">
        <v>158</v>
      </c>
      <c r="G37" s="179" t="s">
        <v>159</v>
      </c>
      <c r="H37" s="179" t="s">
        <v>160</v>
      </c>
      <c r="J37" s="172"/>
      <c r="K37" s="184"/>
      <c r="L37" s="184"/>
      <c r="M37" s="172"/>
      <c r="N37" s="187"/>
    </row>
    <row r="38" spans="1:14" ht="14.4" customHeight="1">
      <c r="D38" s="178" t="s">
        <v>235</v>
      </c>
      <c r="E38" s="179" t="s">
        <v>157</v>
      </c>
      <c r="F38" s="179" t="s">
        <v>158</v>
      </c>
      <c r="G38" s="179" t="s">
        <v>159</v>
      </c>
      <c r="H38" s="179" t="s">
        <v>160</v>
      </c>
      <c r="J38" s="172"/>
      <c r="K38" s="184"/>
      <c r="L38" s="184"/>
      <c r="M38" s="172"/>
      <c r="N38" s="187"/>
    </row>
    <row r="39" spans="1:14" ht="14.4" customHeight="1">
      <c r="D39" s="178"/>
      <c r="E39" s="179"/>
      <c r="F39" s="179"/>
      <c r="G39" s="179"/>
      <c r="H39" s="179"/>
      <c r="J39" s="172"/>
      <c r="K39" s="184"/>
      <c r="L39" s="184"/>
      <c r="M39" s="172"/>
      <c r="N39" s="187"/>
    </row>
    <row r="40" spans="1:14" ht="14.4" customHeight="1">
      <c r="D40" s="178"/>
      <c r="E40" s="179"/>
      <c r="F40" s="179"/>
      <c r="G40" s="179"/>
      <c r="H40" s="179"/>
      <c r="J40" s="172"/>
      <c r="K40" s="184"/>
      <c r="L40" s="184"/>
      <c r="M40" s="172"/>
      <c r="N40" s="187"/>
    </row>
    <row r="41" spans="1:14" ht="14.4" customHeight="1">
      <c r="D41" s="178"/>
      <c r="E41" s="179"/>
      <c r="F41" s="179"/>
      <c r="G41" s="179"/>
      <c r="H41" s="179"/>
      <c r="J41" s="172"/>
      <c r="K41" s="184"/>
      <c r="L41" s="184"/>
      <c r="M41" s="172"/>
      <c r="N41" s="187"/>
    </row>
    <row r="42" spans="1:14" ht="14.4" customHeight="1">
      <c r="D42" s="178" t="s">
        <v>236</v>
      </c>
      <c r="E42" s="179" t="s">
        <v>157</v>
      </c>
      <c r="F42" s="179" t="s">
        <v>158</v>
      </c>
      <c r="G42" s="179" t="s">
        <v>159</v>
      </c>
      <c r="H42" s="179" t="s">
        <v>160</v>
      </c>
      <c r="J42" s="172"/>
      <c r="K42" s="184"/>
      <c r="L42" s="184"/>
      <c r="M42" s="172"/>
      <c r="N42" s="187"/>
    </row>
    <row r="43" spans="1:14" ht="14.4" customHeight="1">
      <c r="D43" s="178" t="s">
        <v>237</v>
      </c>
      <c r="E43" s="179" t="s">
        <v>157</v>
      </c>
      <c r="F43" s="179" t="s">
        <v>158</v>
      </c>
      <c r="G43" s="179" t="s">
        <v>159</v>
      </c>
      <c r="H43" s="179" t="s">
        <v>160</v>
      </c>
      <c r="J43" s="172"/>
      <c r="K43" s="184"/>
      <c r="L43" s="184"/>
      <c r="M43" s="172"/>
      <c r="N43" s="187"/>
    </row>
    <row r="44" spans="1:14" ht="14.4" customHeight="1">
      <c r="D44" s="178" t="s">
        <v>238</v>
      </c>
      <c r="E44" s="179" t="s">
        <v>157</v>
      </c>
      <c r="F44" s="179" t="s">
        <v>158</v>
      </c>
      <c r="G44" s="179" t="s">
        <v>159</v>
      </c>
      <c r="H44" s="179" t="s">
        <v>160</v>
      </c>
      <c r="J44" s="172"/>
      <c r="K44" s="184"/>
      <c r="L44" s="184"/>
      <c r="M44" s="172"/>
      <c r="N44" s="187"/>
    </row>
    <row r="45" spans="1:14" ht="14.4" customHeight="1">
      <c r="D45" s="178" t="s">
        <v>239</v>
      </c>
      <c r="E45" s="179" t="s">
        <v>157</v>
      </c>
      <c r="F45" s="179" t="s">
        <v>158</v>
      </c>
      <c r="G45" s="179" t="s">
        <v>159</v>
      </c>
      <c r="H45" s="179" t="s">
        <v>160</v>
      </c>
      <c r="J45" s="172"/>
      <c r="K45" s="184"/>
      <c r="L45" s="184"/>
      <c r="M45" s="172"/>
      <c r="N45" s="187"/>
    </row>
    <row r="46" spans="1:14" ht="14.4" customHeight="1">
      <c r="D46" s="178" t="s">
        <v>240</v>
      </c>
      <c r="E46" s="179" t="s">
        <v>157</v>
      </c>
      <c r="F46" s="179" t="s">
        <v>158</v>
      </c>
      <c r="G46" s="179" t="s">
        <v>159</v>
      </c>
      <c r="H46" s="179" t="s">
        <v>160</v>
      </c>
      <c r="J46" s="172"/>
      <c r="K46" s="184"/>
      <c r="L46" s="184"/>
      <c r="M46" s="172"/>
      <c r="N46" s="187"/>
    </row>
    <row r="47" spans="1:14" ht="14.4" customHeight="1">
      <c r="D47" s="178" t="s">
        <v>241</v>
      </c>
      <c r="E47" s="179" t="s">
        <v>157</v>
      </c>
      <c r="F47" s="179" t="s">
        <v>158</v>
      </c>
      <c r="G47" s="179" t="s">
        <v>159</v>
      </c>
      <c r="H47" s="179" t="s">
        <v>160</v>
      </c>
      <c r="J47" s="172"/>
      <c r="K47" s="184"/>
      <c r="L47" s="184"/>
      <c r="M47" s="172"/>
      <c r="N47" s="187"/>
    </row>
    <row r="48" spans="1:14" ht="14.4" customHeight="1">
      <c r="D48" s="178" t="s">
        <v>242</v>
      </c>
      <c r="E48" s="179" t="s">
        <v>157</v>
      </c>
      <c r="F48" s="179" t="s">
        <v>158</v>
      </c>
      <c r="G48" s="179" t="s">
        <v>159</v>
      </c>
      <c r="H48" s="179" t="s">
        <v>160</v>
      </c>
      <c r="J48" s="172"/>
      <c r="K48" s="184"/>
      <c r="L48" s="184"/>
      <c r="M48" s="172"/>
      <c r="N48" s="187"/>
    </row>
    <row r="49" spans="4:14" ht="14.4" customHeight="1">
      <c r="D49" s="178" t="s">
        <v>243</v>
      </c>
      <c r="E49" s="179" t="s">
        <v>157</v>
      </c>
      <c r="F49" s="179" t="s">
        <v>158</v>
      </c>
      <c r="G49" s="179" t="s">
        <v>159</v>
      </c>
      <c r="H49" s="179" t="s">
        <v>160</v>
      </c>
      <c r="J49" s="172"/>
      <c r="K49" s="184"/>
      <c r="L49" s="184"/>
      <c r="M49" s="172"/>
      <c r="N49" s="187"/>
    </row>
    <row r="50" spans="4:14" ht="14.4" customHeight="1">
      <c r="D50" s="178" t="s">
        <v>244</v>
      </c>
      <c r="E50" s="179" t="s">
        <v>157</v>
      </c>
      <c r="F50" s="179" t="s">
        <v>158</v>
      </c>
      <c r="G50" s="179" t="s">
        <v>159</v>
      </c>
      <c r="H50" s="179" t="s">
        <v>160</v>
      </c>
      <c r="J50" s="172"/>
      <c r="K50" s="184"/>
      <c r="L50" s="184"/>
      <c r="M50" s="172"/>
      <c r="N50" s="187"/>
    </row>
    <row r="51" spans="4:14" ht="14.4" customHeight="1">
      <c r="D51" s="178" t="s">
        <v>245</v>
      </c>
      <c r="E51" s="179" t="s">
        <v>157</v>
      </c>
      <c r="F51" s="179" t="s">
        <v>158</v>
      </c>
      <c r="G51" s="179" t="s">
        <v>159</v>
      </c>
      <c r="H51" s="179" t="s">
        <v>160</v>
      </c>
      <c r="J51" s="172"/>
      <c r="K51" s="184"/>
      <c r="L51" s="184"/>
      <c r="M51" s="172"/>
      <c r="N51" s="187"/>
    </row>
    <row r="52" spans="4:14" ht="14.4" customHeight="1">
      <c r="D52" s="178" t="s">
        <v>246</v>
      </c>
      <c r="E52" s="179" t="s">
        <v>157</v>
      </c>
      <c r="F52" s="179" t="s">
        <v>158</v>
      </c>
      <c r="G52" s="179" t="s">
        <v>159</v>
      </c>
      <c r="H52" s="179" t="s">
        <v>160</v>
      </c>
      <c r="J52" s="172"/>
      <c r="K52" s="184"/>
      <c r="L52" s="184"/>
      <c r="M52" s="172"/>
      <c r="N52" s="187"/>
    </row>
    <row r="53" spans="4:14" ht="14.4" customHeight="1">
      <c r="D53" s="178" t="s">
        <v>247</v>
      </c>
      <c r="E53" s="179" t="s">
        <v>157</v>
      </c>
      <c r="F53" s="179" t="s">
        <v>158</v>
      </c>
      <c r="G53" s="179" t="s">
        <v>159</v>
      </c>
      <c r="H53" s="179" t="s">
        <v>160</v>
      </c>
      <c r="J53" s="172"/>
      <c r="K53" s="184"/>
      <c r="L53" s="184"/>
      <c r="M53" s="172"/>
      <c r="N53" s="187"/>
    </row>
    <row r="54" spans="4:14" ht="14.4" customHeight="1">
      <c r="D54" s="178" t="s">
        <v>248</v>
      </c>
      <c r="E54" s="179" t="s">
        <v>157</v>
      </c>
      <c r="F54" s="179" t="s">
        <v>158</v>
      </c>
      <c r="G54" s="179" t="s">
        <v>159</v>
      </c>
      <c r="H54" s="179" t="s">
        <v>160</v>
      </c>
      <c r="J54" s="172"/>
      <c r="K54" s="184"/>
      <c r="L54" s="184"/>
      <c r="M54" s="172"/>
      <c r="N54" s="187"/>
    </row>
    <row r="55" spans="4:14" ht="14.4" customHeight="1">
      <c r="D55" s="178" t="s">
        <v>249</v>
      </c>
      <c r="E55" s="179" t="s">
        <v>157</v>
      </c>
      <c r="F55" s="179" t="s">
        <v>158</v>
      </c>
      <c r="G55" s="179" t="s">
        <v>159</v>
      </c>
      <c r="H55" s="179" t="s">
        <v>160</v>
      </c>
      <c r="J55" s="172"/>
      <c r="K55" s="184"/>
      <c r="L55" s="184"/>
      <c r="M55" s="172"/>
      <c r="N55" s="187"/>
    </row>
    <row r="56" spans="4:14" ht="14.4" customHeight="1">
      <c r="D56" s="178" t="s">
        <v>250</v>
      </c>
      <c r="E56" s="179" t="s">
        <v>157</v>
      </c>
      <c r="F56" s="179" t="s">
        <v>158</v>
      </c>
      <c r="G56" s="179" t="s">
        <v>159</v>
      </c>
      <c r="H56" s="179" t="s">
        <v>160</v>
      </c>
      <c r="J56" s="172"/>
      <c r="K56" s="184"/>
      <c r="L56" s="184"/>
      <c r="M56" s="172"/>
      <c r="N56" s="187"/>
    </row>
    <row r="57" spans="4:14" ht="14.4" customHeight="1">
      <c r="J57" s="172"/>
      <c r="K57" s="184"/>
      <c r="L57" s="184"/>
      <c r="M57" s="172"/>
      <c r="N57" s="187"/>
    </row>
    <row r="58" spans="4:14" ht="14.4" customHeight="1">
      <c r="J58" s="172"/>
      <c r="K58" s="184"/>
      <c r="L58" s="184"/>
      <c r="M58" s="172"/>
      <c r="N58" s="187"/>
    </row>
    <row r="59" spans="4:14" ht="14.4" customHeight="1">
      <c r="J59" s="172"/>
      <c r="K59" s="184"/>
      <c r="L59" s="184"/>
      <c r="M59" s="172"/>
      <c r="N59" s="187"/>
    </row>
    <row r="60" spans="4:14" ht="14.4" customHeight="1">
      <c r="J60" s="172"/>
      <c r="K60" s="184"/>
      <c r="L60" s="184"/>
      <c r="M60" s="172"/>
      <c r="N60" s="187"/>
    </row>
    <row r="61" spans="4:14" ht="14.4" customHeight="1">
      <c r="J61" s="172"/>
      <c r="K61" s="184"/>
      <c r="L61" s="184"/>
      <c r="M61" s="172"/>
      <c r="N61" s="187"/>
    </row>
    <row r="62" spans="4:14" ht="14.4" customHeight="1">
      <c r="J62" s="172"/>
      <c r="K62" s="184"/>
      <c r="L62" s="184"/>
      <c r="M62" s="172"/>
      <c r="N62" s="187"/>
    </row>
    <row r="63" spans="4:14" ht="14.4" customHeight="1">
      <c r="J63" s="172"/>
      <c r="K63" s="184"/>
      <c r="L63" s="184"/>
      <c r="M63" s="172"/>
      <c r="N63" s="187"/>
    </row>
    <row r="64" spans="4:14" ht="15" customHeight="1">
      <c r="J64" s="172"/>
      <c r="K64" s="184"/>
      <c r="L64" s="184"/>
      <c r="M64" s="172"/>
      <c r="N64" s="187"/>
    </row>
    <row r="65" spans="10:14" ht="15" customHeight="1">
      <c r="J65" s="172"/>
      <c r="K65" s="184"/>
      <c r="L65" s="184"/>
      <c r="M65" s="172"/>
      <c r="N65" s="187"/>
    </row>
    <row r="66" spans="10:14" ht="15" customHeight="1">
      <c r="J66" s="172"/>
      <c r="K66" s="184"/>
      <c r="L66" s="184"/>
      <c r="M66" s="172"/>
      <c r="N66" s="187"/>
    </row>
    <row r="67" spans="10:14" ht="15" customHeight="1">
      <c r="J67" s="172"/>
      <c r="K67" s="184"/>
      <c r="L67" s="184"/>
      <c r="M67" s="172"/>
      <c r="N67" s="187"/>
    </row>
    <row r="68" spans="10:14" ht="15" customHeight="1">
      <c r="J68" s="172"/>
      <c r="K68" s="184"/>
      <c r="L68" s="184"/>
      <c r="M68" s="172"/>
      <c r="N68" s="187"/>
    </row>
    <row r="69" spans="10:14" ht="15" customHeight="1">
      <c r="J69" s="172"/>
      <c r="K69" s="184"/>
      <c r="L69" s="184"/>
      <c r="M69" s="172"/>
      <c r="N69" s="187"/>
    </row>
    <row r="70" spans="10:14" ht="15" customHeight="1">
      <c r="J70" s="172"/>
      <c r="K70" s="184"/>
      <c r="L70" s="184"/>
      <c r="M70" s="172"/>
      <c r="N70" s="187"/>
    </row>
    <row r="71" spans="10:14" ht="15" customHeight="1">
      <c r="J71" s="172"/>
      <c r="K71" s="184"/>
      <c r="L71" s="184"/>
      <c r="M71" s="172"/>
      <c r="N71" s="187"/>
    </row>
    <row r="72" spans="10:14" ht="15" customHeight="1">
      <c r="J72" s="172"/>
      <c r="K72" s="184"/>
      <c r="L72" s="184"/>
      <c r="M72" s="172"/>
      <c r="N72" s="187"/>
    </row>
    <row r="73" spans="10:14" ht="15" customHeight="1">
      <c r="J73" s="172"/>
      <c r="K73" s="184"/>
      <c r="L73" s="184"/>
      <c r="M73" s="172"/>
      <c r="N73" s="187"/>
    </row>
    <row r="74" spans="10:14" ht="15" customHeight="1">
      <c r="J74" s="172"/>
      <c r="K74" s="184"/>
      <c r="L74" s="184"/>
      <c r="M74" s="172"/>
      <c r="N74" s="187"/>
    </row>
    <row r="75" spans="10:14" ht="15" customHeight="1">
      <c r="J75" s="172"/>
      <c r="K75" s="184"/>
      <c r="L75" s="184"/>
      <c r="M75" s="172"/>
      <c r="N75" s="187"/>
    </row>
    <row r="76" spans="10:14" ht="15" customHeight="1">
      <c r="J76" s="172"/>
      <c r="K76" s="184"/>
      <c r="L76" s="184"/>
      <c r="M76" s="172"/>
      <c r="N76" s="187"/>
    </row>
    <row r="77" spans="10:14" ht="15" customHeight="1">
      <c r="J77" s="172"/>
      <c r="K77" s="184"/>
      <c r="L77" s="184"/>
      <c r="M77" s="172"/>
      <c r="N77" s="187"/>
    </row>
    <row r="78" spans="10:14" ht="15" customHeight="1">
      <c r="J78" s="172"/>
      <c r="K78" s="184"/>
      <c r="L78" s="184"/>
      <c r="M78" s="172"/>
      <c r="N78" s="187"/>
    </row>
    <row r="79" spans="10:14" ht="15" customHeight="1">
      <c r="J79" s="172"/>
      <c r="K79" s="184"/>
      <c r="L79" s="184"/>
      <c r="M79" s="172"/>
      <c r="N79" s="187"/>
    </row>
    <row r="80" spans="10:14" ht="15" customHeight="1">
      <c r="J80" s="172"/>
      <c r="K80" s="184"/>
      <c r="L80" s="184"/>
      <c r="M80" s="172"/>
      <c r="N80" s="187"/>
    </row>
    <row r="81" spans="10:14" ht="15" customHeight="1">
      <c r="J81" s="172"/>
      <c r="K81" s="184"/>
      <c r="L81" s="184"/>
      <c r="M81" s="172"/>
      <c r="N81" s="187"/>
    </row>
    <row r="82" spans="10:14" ht="15" customHeight="1">
      <c r="J82" s="172"/>
      <c r="K82" s="184"/>
      <c r="L82" s="184"/>
      <c r="M82" s="172"/>
      <c r="N82" s="187"/>
    </row>
    <row r="83" spans="10:14" ht="15" customHeight="1">
      <c r="J83" s="172"/>
      <c r="K83" s="184"/>
      <c r="L83" s="184"/>
      <c r="M83" s="172"/>
      <c r="N83" s="187"/>
    </row>
    <row r="84" spans="10:14" ht="15" customHeight="1">
      <c r="J84" s="172"/>
      <c r="K84" s="184"/>
      <c r="L84" s="184"/>
      <c r="M84" s="172"/>
      <c r="N84" s="187"/>
    </row>
    <row r="85" spans="10:14" ht="15" customHeight="1">
      <c r="J85" s="172"/>
      <c r="K85" s="184"/>
      <c r="L85" s="184"/>
      <c r="M85" s="172"/>
      <c r="N85" s="187"/>
    </row>
    <row r="86" spans="10:14" ht="15" customHeight="1">
      <c r="J86" s="172"/>
      <c r="K86" s="184"/>
      <c r="L86" s="184"/>
      <c r="M86" s="172"/>
      <c r="N86" s="187"/>
    </row>
    <row r="87" spans="10:14" ht="15" customHeight="1">
      <c r="J87" s="172"/>
      <c r="K87" s="184"/>
      <c r="L87" s="184"/>
      <c r="M87" s="172"/>
      <c r="N87" s="187"/>
    </row>
    <row r="88" spans="10:14" ht="15" customHeight="1">
      <c r="J88" s="172"/>
      <c r="K88" s="184"/>
      <c r="L88" s="184"/>
      <c r="M88" s="172"/>
      <c r="N88" s="187"/>
    </row>
    <row r="89" spans="10:14" ht="15" customHeight="1">
      <c r="J89" s="172"/>
      <c r="K89" s="184"/>
      <c r="L89" s="184"/>
      <c r="M89" s="172"/>
      <c r="N89" s="187"/>
    </row>
    <row r="90" spans="10:14" ht="15" customHeight="1">
      <c r="J90" s="172"/>
      <c r="K90" s="184"/>
      <c r="L90" s="184"/>
      <c r="M90" s="172"/>
      <c r="N90" s="187"/>
    </row>
    <row r="91" spans="10:14" ht="15" customHeight="1">
      <c r="J91" s="172"/>
      <c r="K91" s="184"/>
      <c r="L91" s="184"/>
      <c r="M91" s="172"/>
      <c r="N91" s="187"/>
    </row>
    <row r="92" spans="10:14" ht="15" customHeight="1">
      <c r="J92" s="172"/>
      <c r="K92" s="184"/>
      <c r="L92" s="184"/>
      <c r="M92" s="172"/>
      <c r="N92" s="187"/>
    </row>
    <row r="93" spans="10:14" ht="15" customHeight="1">
      <c r="J93" s="172"/>
      <c r="K93" s="184"/>
      <c r="L93" s="184"/>
      <c r="M93" s="172"/>
      <c r="N93" s="187"/>
    </row>
    <row r="94" spans="10:14" ht="15" customHeight="1">
      <c r="J94" s="172"/>
      <c r="K94" s="184"/>
      <c r="L94" s="184"/>
      <c r="M94" s="172"/>
      <c r="N94" s="187"/>
    </row>
    <row r="95" spans="10:14" ht="15" customHeight="1">
      <c r="J95" s="172"/>
      <c r="K95" s="184"/>
      <c r="L95" s="184"/>
      <c r="M95" s="172"/>
      <c r="N95" s="187"/>
    </row>
    <row r="96" spans="10:14" ht="15" customHeight="1">
      <c r="J96" s="172"/>
      <c r="K96" s="184"/>
      <c r="L96" s="184"/>
      <c r="M96" s="172"/>
      <c r="N96" s="187"/>
    </row>
    <row r="97" spans="10:14" ht="15" customHeight="1">
      <c r="J97" s="172"/>
      <c r="K97" s="184"/>
      <c r="L97" s="184"/>
      <c r="M97" s="172"/>
      <c r="N97" s="187"/>
    </row>
    <row r="98" spans="10:14" ht="15" customHeight="1">
      <c r="J98" s="172"/>
      <c r="K98" s="184"/>
      <c r="L98" s="184"/>
      <c r="M98" s="172"/>
      <c r="N98" s="187"/>
    </row>
    <row r="99" spans="10:14" ht="15" customHeight="1">
      <c r="J99" s="172"/>
      <c r="K99" s="184"/>
      <c r="L99" s="184"/>
      <c r="M99" s="172"/>
      <c r="N99" s="187"/>
    </row>
    <row r="100" spans="10:14" ht="15" customHeight="1">
      <c r="J100" s="172"/>
      <c r="K100" s="184"/>
      <c r="L100" s="184"/>
      <c r="M100" s="172"/>
      <c r="N100" s="187"/>
    </row>
    <row r="101" spans="10:14" ht="15" customHeight="1">
      <c r="J101" s="172"/>
      <c r="K101" s="184"/>
      <c r="L101" s="184"/>
      <c r="M101" s="172"/>
      <c r="N101" s="187"/>
    </row>
    <row r="102" spans="10:14" ht="15" customHeight="1">
      <c r="J102" s="172"/>
      <c r="K102" s="184"/>
      <c r="L102" s="184"/>
      <c r="M102" s="172"/>
      <c r="N102" s="187"/>
    </row>
    <row r="103" spans="10:14" ht="15" customHeight="1">
      <c r="J103" s="172"/>
      <c r="K103" s="184"/>
      <c r="L103" s="184"/>
      <c r="M103" s="172"/>
      <c r="N103" s="187"/>
    </row>
    <row r="104" spans="10:14" ht="15" customHeight="1">
      <c r="J104" s="172"/>
      <c r="K104" s="184"/>
      <c r="L104" s="184"/>
      <c r="M104" s="172"/>
      <c r="N104" s="187"/>
    </row>
    <row r="105" spans="10:14" ht="15" customHeight="1">
      <c r="J105" s="172"/>
      <c r="K105" s="184"/>
      <c r="L105" s="184"/>
      <c r="M105" s="172"/>
      <c r="N105" s="187"/>
    </row>
    <row r="106" spans="10:14" ht="15" customHeight="1">
      <c r="J106" s="172"/>
      <c r="K106" s="184"/>
      <c r="L106" s="184"/>
      <c r="M106" s="172"/>
      <c r="N106" s="187"/>
    </row>
    <row r="107" spans="10:14" ht="15" customHeight="1">
      <c r="J107" s="172"/>
      <c r="K107" s="184"/>
      <c r="L107" s="184"/>
      <c r="M107" s="172"/>
      <c r="N107" s="187"/>
    </row>
    <row r="108" spans="10:14" ht="15" customHeight="1">
      <c r="J108" s="172"/>
      <c r="K108" s="184"/>
      <c r="L108" s="184"/>
      <c r="M108" s="172"/>
      <c r="N108" s="187"/>
    </row>
    <row r="109" spans="10:14" ht="15" customHeight="1">
      <c r="J109" s="172"/>
      <c r="K109" s="184"/>
      <c r="L109" s="184"/>
      <c r="M109" s="172"/>
      <c r="N109" s="187"/>
    </row>
    <row r="110" spans="10:14" ht="15" customHeight="1">
      <c r="J110" s="172"/>
      <c r="K110" s="184"/>
      <c r="L110" s="184"/>
      <c r="M110" s="172"/>
      <c r="N110" s="187"/>
    </row>
    <row r="111" spans="10:14" ht="15" customHeight="1">
      <c r="J111" s="172"/>
      <c r="K111" s="184"/>
      <c r="L111" s="184"/>
      <c r="M111" s="172"/>
      <c r="N111" s="187"/>
    </row>
    <row r="112" spans="10:14" ht="15" customHeight="1">
      <c r="J112" s="172"/>
      <c r="K112" s="184"/>
      <c r="L112" s="184"/>
      <c r="M112" s="172"/>
      <c r="N112" s="187"/>
    </row>
    <row r="113" spans="10:14" ht="15" customHeight="1">
      <c r="J113" s="172"/>
      <c r="K113" s="184"/>
      <c r="L113" s="184"/>
      <c r="M113" s="172"/>
      <c r="N113" s="187"/>
    </row>
    <row r="114" spans="10:14" ht="15" customHeight="1">
      <c r="J114" s="172"/>
      <c r="K114" s="184"/>
      <c r="L114" s="184"/>
      <c r="M114" s="172"/>
      <c r="N114" s="187"/>
    </row>
    <row r="115" spans="10:14" ht="15" customHeight="1">
      <c r="J115" s="172"/>
      <c r="K115" s="184"/>
      <c r="L115" s="184"/>
      <c r="M115" s="172"/>
      <c r="N115" s="187"/>
    </row>
    <row r="116" spans="10:14" ht="15" customHeight="1">
      <c r="J116" s="172"/>
      <c r="K116" s="184"/>
      <c r="L116" s="184"/>
      <c r="M116" s="172"/>
      <c r="N116" s="187"/>
    </row>
    <row r="117" spans="10:14" ht="15" customHeight="1">
      <c r="J117" s="172"/>
      <c r="K117" s="184"/>
      <c r="L117" s="184"/>
      <c r="M117" s="172"/>
      <c r="N117" s="187"/>
    </row>
    <row r="118" spans="10:14" ht="15" customHeight="1">
      <c r="J118" s="172"/>
      <c r="K118" s="184"/>
      <c r="L118" s="184"/>
      <c r="M118" s="172"/>
      <c r="N118" s="187"/>
    </row>
    <row r="119" spans="10:14" ht="15" customHeight="1">
      <c r="J119" s="172"/>
      <c r="K119" s="184"/>
      <c r="L119" s="184"/>
      <c r="M119" s="172"/>
      <c r="N119" s="187"/>
    </row>
    <row r="120" spans="10:14" ht="15" customHeight="1">
      <c r="J120" s="172"/>
      <c r="K120" s="184"/>
      <c r="L120" s="184"/>
      <c r="M120" s="172"/>
      <c r="N120" s="187"/>
    </row>
    <row r="121" spans="10:14" ht="15" customHeight="1">
      <c r="J121" s="172"/>
      <c r="K121" s="184"/>
      <c r="L121" s="184"/>
      <c r="M121" s="172"/>
      <c r="N121" s="187"/>
    </row>
    <row r="122" spans="10:14" ht="15" customHeight="1">
      <c r="J122" s="172"/>
      <c r="K122" s="184"/>
      <c r="L122" s="184"/>
      <c r="M122" s="172"/>
      <c r="N122" s="187"/>
    </row>
    <row r="123" spans="10:14" ht="15" customHeight="1">
      <c r="J123" s="172"/>
      <c r="K123" s="184"/>
      <c r="L123" s="184"/>
      <c r="M123" s="172"/>
      <c r="N123" s="187"/>
    </row>
    <row r="124" spans="10:14" ht="15" customHeight="1">
      <c r="J124" s="172"/>
      <c r="K124" s="184"/>
      <c r="L124" s="184"/>
      <c r="M124" s="172"/>
      <c r="N124" s="187"/>
    </row>
    <row r="125" spans="10:14" ht="15" customHeight="1">
      <c r="J125" s="172"/>
      <c r="K125" s="184"/>
      <c r="L125" s="184"/>
      <c r="M125" s="172"/>
      <c r="N125" s="187"/>
    </row>
    <row r="126" spans="10:14" ht="15" customHeight="1">
      <c r="J126" s="172"/>
      <c r="K126" s="184"/>
      <c r="L126" s="184"/>
      <c r="M126" s="172"/>
      <c r="N126" s="187"/>
    </row>
    <row r="127" spans="10:14" ht="15" customHeight="1">
      <c r="J127" s="172"/>
      <c r="K127" s="184"/>
      <c r="L127" s="184"/>
      <c r="M127" s="172"/>
      <c r="N127" s="187"/>
    </row>
    <row r="128" spans="10:14" ht="15" customHeight="1">
      <c r="J128" s="172"/>
      <c r="K128" s="184"/>
      <c r="L128" s="184"/>
      <c r="M128" s="172"/>
      <c r="N128" s="187"/>
    </row>
    <row r="129" spans="10:14" ht="15" customHeight="1">
      <c r="J129" s="172"/>
      <c r="K129" s="184"/>
      <c r="L129" s="184"/>
      <c r="M129" s="172"/>
      <c r="N129" s="187"/>
    </row>
    <row r="130" spans="10:14" ht="15" customHeight="1">
      <c r="J130" s="172"/>
      <c r="K130" s="184"/>
      <c r="L130" s="184"/>
      <c r="M130" s="172"/>
      <c r="N130" s="187"/>
    </row>
    <row r="131" spans="10:14" ht="15" customHeight="1">
      <c r="J131" s="172"/>
      <c r="K131" s="184"/>
      <c r="L131" s="184"/>
      <c r="M131" s="172"/>
      <c r="N131" s="187"/>
    </row>
    <row r="132" spans="10:14" ht="15" customHeight="1">
      <c r="J132" s="172"/>
      <c r="K132" s="184"/>
      <c r="L132" s="184"/>
      <c r="M132" s="172"/>
      <c r="N132" s="187"/>
    </row>
    <row r="133" spans="10:14" ht="15" customHeight="1">
      <c r="J133" s="172"/>
      <c r="K133" s="184"/>
      <c r="L133" s="184"/>
      <c r="M133" s="172"/>
      <c r="N133" s="187"/>
    </row>
    <row r="134" spans="10:14" ht="15" customHeight="1">
      <c r="J134" s="172"/>
      <c r="K134" s="184"/>
      <c r="L134" s="184"/>
      <c r="M134" s="172"/>
      <c r="N134" s="187"/>
    </row>
    <row r="135" spans="10:14" ht="15" customHeight="1">
      <c r="J135" s="172"/>
      <c r="K135" s="184"/>
      <c r="L135" s="184"/>
      <c r="M135" s="172"/>
      <c r="N135" s="187"/>
    </row>
    <row r="136" spans="10:14" ht="15" customHeight="1">
      <c r="J136" s="172"/>
      <c r="K136" s="184"/>
      <c r="L136" s="184"/>
      <c r="M136" s="172"/>
      <c r="N136" s="187"/>
    </row>
    <row r="137" spans="10:14" ht="15" customHeight="1">
      <c r="J137" s="172"/>
      <c r="K137" s="184"/>
      <c r="L137" s="184"/>
      <c r="M137" s="172"/>
      <c r="N137" s="187"/>
    </row>
    <row r="138" spans="10:14" ht="15" customHeight="1">
      <c r="J138" s="172"/>
      <c r="K138" s="184"/>
      <c r="L138" s="184"/>
      <c r="M138" s="172"/>
      <c r="N138" s="187"/>
    </row>
    <row r="139" spans="10:14" ht="15" customHeight="1">
      <c r="J139" s="172"/>
      <c r="K139" s="184"/>
      <c r="L139" s="184"/>
      <c r="M139" s="172"/>
      <c r="N139" s="187"/>
    </row>
    <row r="140" spans="10:14" ht="15" customHeight="1">
      <c r="J140" s="172"/>
      <c r="K140" s="184"/>
      <c r="L140" s="184"/>
      <c r="M140" s="172"/>
      <c r="N140" s="187"/>
    </row>
    <row r="141" spans="10:14" ht="15" customHeight="1">
      <c r="J141" s="172"/>
      <c r="K141" s="184"/>
      <c r="L141" s="184"/>
      <c r="M141" s="172"/>
      <c r="N141" s="187"/>
    </row>
    <row r="142" spans="10:14" ht="15" customHeight="1">
      <c r="J142" s="172"/>
      <c r="K142" s="184"/>
      <c r="L142" s="184"/>
      <c r="M142" s="172"/>
      <c r="N142" s="187"/>
    </row>
    <row r="143" spans="10:14" ht="15" customHeight="1">
      <c r="J143" s="172"/>
      <c r="K143" s="184"/>
      <c r="L143" s="184"/>
      <c r="M143" s="172"/>
      <c r="N143" s="187"/>
    </row>
    <row r="144" spans="10:14" ht="15" customHeight="1">
      <c r="J144" s="172"/>
      <c r="K144" s="184"/>
      <c r="L144" s="184"/>
      <c r="M144" s="172"/>
      <c r="N144" s="187"/>
    </row>
    <row r="145" spans="3:14" ht="15" customHeight="1">
      <c r="J145" s="172"/>
      <c r="K145" s="184"/>
      <c r="L145" s="184"/>
      <c r="M145" s="172"/>
      <c r="N145" s="187"/>
    </row>
    <row r="146" spans="3:14" ht="15" customHeight="1">
      <c r="J146" s="172"/>
      <c r="K146" s="184"/>
      <c r="L146" s="184"/>
      <c r="M146" s="172"/>
      <c r="N146" s="187"/>
    </row>
    <row r="147" spans="3:14" ht="15" customHeight="1">
      <c r="J147" s="172"/>
      <c r="K147" s="184"/>
      <c r="L147" s="184"/>
      <c r="M147" s="172"/>
      <c r="N147" s="187"/>
    </row>
    <row r="148" spans="3:14" ht="15" customHeight="1">
      <c r="J148" s="172"/>
      <c r="K148" s="184"/>
      <c r="L148" s="184"/>
      <c r="M148" s="172"/>
      <c r="N148" s="187"/>
    </row>
    <row r="149" spans="3:14" ht="15" customHeight="1">
      <c r="J149" s="172"/>
      <c r="K149" s="184"/>
      <c r="L149" s="184"/>
      <c r="M149" s="172"/>
      <c r="N149" s="187"/>
    </row>
    <row r="150" spans="3:14" ht="15" customHeight="1">
      <c r="J150" s="172"/>
      <c r="K150" s="184"/>
      <c r="L150" s="184"/>
      <c r="M150" s="172"/>
      <c r="N150" s="187"/>
    </row>
    <row r="151" spans="3:14" ht="15" customHeight="1">
      <c r="J151" s="172"/>
      <c r="K151" s="184"/>
      <c r="L151" s="184"/>
      <c r="M151" s="172"/>
      <c r="N151" s="187"/>
    </row>
    <row r="152" spans="3:14" ht="15" customHeight="1">
      <c r="C152" s="188"/>
      <c r="J152" s="172"/>
      <c r="K152" s="184"/>
      <c r="L152" s="184"/>
      <c r="M152" s="172"/>
      <c r="N152" s="187"/>
    </row>
    <row r="153" spans="3:14" ht="15" customHeight="1">
      <c r="C153" s="188"/>
      <c r="J153" s="172"/>
      <c r="K153" s="184"/>
      <c r="L153" s="184"/>
      <c r="M153" s="172"/>
      <c r="N153" s="187"/>
    </row>
    <row r="154" spans="3:14" ht="15" customHeight="1">
      <c r="C154" s="188"/>
      <c r="J154" s="172"/>
      <c r="K154" s="184"/>
      <c r="L154" s="184"/>
      <c r="M154" s="172"/>
      <c r="N154" s="187"/>
    </row>
    <row r="155" spans="3:14" ht="15" customHeight="1">
      <c r="C155" s="188"/>
      <c r="J155" s="172"/>
      <c r="K155" s="184"/>
      <c r="L155" s="184"/>
      <c r="M155" s="172"/>
      <c r="N155" s="187"/>
    </row>
    <row r="156" spans="3:14" ht="15" customHeight="1">
      <c r="C156" s="188"/>
      <c r="J156" s="172"/>
      <c r="K156" s="184"/>
      <c r="L156" s="184"/>
      <c r="M156" s="172"/>
      <c r="N156" s="187"/>
    </row>
    <row r="157" spans="3:14" ht="15" customHeight="1">
      <c r="C157" s="188"/>
      <c r="J157" s="172"/>
      <c r="K157" s="184"/>
      <c r="L157" s="184"/>
      <c r="M157" s="172"/>
      <c r="N157" s="187"/>
    </row>
    <row r="158" spans="3:14" ht="15" customHeight="1">
      <c r="C158" s="188"/>
      <c r="J158" s="172"/>
      <c r="K158" s="184"/>
      <c r="L158" s="184"/>
      <c r="M158" s="172"/>
      <c r="N158" s="187"/>
    </row>
    <row r="159" spans="3:14" ht="15" customHeight="1">
      <c r="C159" s="188"/>
      <c r="J159" s="172"/>
      <c r="K159" s="184"/>
      <c r="L159" s="184"/>
      <c r="M159" s="172"/>
      <c r="N159" s="187"/>
    </row>
    <row r="160" spans="3:14" ht="15" customHeight="1">
      <c r="C160" s="188"/>
      <c r="J160" s="172"/>
      <c r="K160" s="184"/>
      <c r="L160" s="184"/>
      <c r="M160" s="172"/>
      <c r="N160" s="187"/>
    </row>
    <row r="161" spans="3:14" ht="15" customHeight="1">
      <c r="C161" s="188"/>
      <c r="J161" s="172"/>
      <c r="K161" s="184"/>
      <c r="L161" s="184"/>
      <c r="M161" s="172"/>
      <c r="N161" s="187"/>
    </row>
    <row r="162" spans="3:14" ht="15" customHeight="1">
      <c r="C162" s="188"/>
      <c r="J162" s="172"/>
      <c r="K162" s="184"/>
      <c r="L162" s="184"/>
      <c r="M162" s="172"/>
      <c r="N162" s="187"/>
    </row>
    <row r="163" spans="3:14" ht="15" customHeight="1">
      <c r="C163" s="188"/>
      <c r="J163" s="172"/>
      <c r="K163" s="184"/>
      <c r="L163" s="184"/>
      <c r="M163" s="172"/>
      <c r="N163" s="187"/>
    </row>
    <row r="164" spans="3:14" ht="15" customHeight="1">
      <c r="C164" s="188"/>
      <c r="J164" s="172"/>
      <c r="K164" s="184"/>
      <c r="L164" s="184"/>
      <c r="M164" s="172"/>
      <c r="N164" s="187"/>
    </row>
    <row r="165" spans="3:14">
      <c r="C165" s="188"/>
      <c r="J165" s="172"/>
      <c r="K165" s="184"/>
      <c r="L165" s="184"/>
      <c r="M165" s="172"/>
      <c r="N165" s="187"/>
    </row>
    <row r="166" spans="3:14">
      <c r="C166" s="188"/>
      <c r="J166" s="172"/>
      <c r="K166" s="184"/>
      <c r="L166" s="184"/>
      <c r="M166" s="172"/>
      <c r="N166" s="187"/>
    </row>
    <row r="167" spans="3:14">
      <c r="C167" s="188"/>
      <c r="J167" s="172"/>
      <c r="K167" s="184"/>
      <c r="L167" s="184"/>
      <c r="M167" s="172"/>
      <c r="N167" s="187"/>
    </row>
    <row r="168" spans="3:14">
      <c r="C168" s="188"/>
      <c r="J168" s="172"/>
      <c r="K168" s="184"/>
      <c r="L168" s="184"/>
      <c r="M168" s="172"/>
      <c r="N168" s="187"/>
    </row>
    <row r="169" spans="3:14" ht="29.4" customHeight="1">
      <c r="C169" s="188"/>
      <c r="J169" s="172"/>
      <c r="K169" s="184"/>
      <c r="L169" s="184"/>
      <c r="M169" s="172"/>
      <c r="N169" s="187"/>
    </row>
    <row r="170" spans="3:14" ht="29.4" customHeight="1">
      <c r="C170" s="188"/>
      <c r="J170" s="172"/>
      <c r="K170" s="184"/>
      <c r="L170" s="184"/>
      <c r="M170" s="172"/>
      <c r="N170" s="187"/>
    </row>
    <row r="171" spans="3:14" ht="29.4" customHeight="1">
      <c r="C171" s="188"/>
      <c r="J171" s="172"/>
      <c r="K171" s="184"/>
      <c r="L171" s="184"/>
      <c r="M171" s="172"/>
      <c r="N171" s="187"/>
    </row>
    <row r="172" spans="3:14" ht="29.4" customHeight="1">
      <c r="C172" s="188"/>
      <c r="J172" s="172"/>
      <c r="K172" s="184"/>
      <c r="L172" s="184"/>
      <c r="M172" s="172"/>
      <c r="N172" s="187"/>
    </row>
    <row r="173" spans="3:14" ht="29.4" customHeight="1">
      <c r="C173" s="188"/>
      <c r="D173" s="175" t="str">
        <f t="shared" ref="D173:D195" si="0">C173&amp;" - "</f>
        <v xml:space="preserve"> - </v>
      </c>
      <c r="J173" s="172"/>
      <c r="K173" s="184"/>
      <c r="L173" s="184"/>
      <c r="M173" s="172"/>
      <c r="N173" s="187"/>
    </row>
    <row r="174" spans="3:14" ht="29.4" customHeight="1">
      <c r="C174" s="188"/>
      <c r="D174" s="175" t="str">
        <f t="shared" si="0"/>
        <v xml:space="preserve"> - </v>
      </c>
      <c r="J174" s="172"/>
      <c r="K174" s="184"/>
      <c r="L174" s="184"/>
      <c r="M174" s="172"/>
      <c r="N174" s="187"/>
    </row>
    <row r="175" spans="3:14">
      <c r="C175" s="188"/>
      <c r="D175" s="175" t="str">
        <f t="shared" si="0"/>
        <v xml:space="preserve"> - </v>
      </c>
      <c r="J175" s="172"/>
      <c r="K175" s="184"/>
      <c r="L175" s="184"/>
      <c r="M175" s="172"/>
      <c r="N175" s="187"/>
    </row>
    <row r="176" spans="3:14">
      <c r="C176" s="188"/>
      <c r="D176" s="175" t="str">
        <f t="shared" si="0"/>
        <v xml:space="preserve"> - </v>
      </c>
      <c r="J176" s="172"/>
      <c r="K176" s="184"/>
      <c r="L176" s="184"/>
      <c r="M176" s="172"/>
      <c r="N176" s="187"/>
    </row>
    <row r="177" spans="3:14">
      <c r="C177" s="188"/>
      <c r="D177" s="175" t="str">
        <f t="shared" si="0"/>
        <v xml:space="preserve"> - </v>
      </c>
      <c r="J177" s="172"/>
      <c r="K177" s="184"/>
      <c r="L177" s="184"/>
      <c r="M177" s="172"/>
      <c r="N177" s="187"/>
    </row>
    <row r="178" spans="3:14">
      <c r="C178" s="188"/>
      <c r="D178" s="175" t="str">
        <f t="shared" si="0"/>
        <v xml:space="preserve"> - </v>
      </c>
      <c r="J178" s="172"/>
      <c r="K178" s="184"/>
      <c r="L178" s="184"/>
      <c r="M178" s="172"/>
      <c r="N178" s="187"/>
    </row>
    <row r="179" spans="3:14">
      <c r="C179" s="188"/>
      <c r="D179" s="175" t="str">
        <f t="shared" si="0"/>
        <v xml:space="preserve"> - </v>
      </c>
      <c r="J179" s="172"/>
      <c r="K179" s="184"/>
      <c r="L179" s="184"/>
      <c r="M179" s="172"/>
      <c r="N179" s="187"/>
    </row>
    <row r="180" spans="3:14">
      <c r="C180" s="188"/>
      <c r="D180" s="175" t="str">
        <f t="shared" si="0"/>
        <v xml:space="preserve"> - </v>
      </c>
      <c r="J180" s="172"/>
      <c r="K180" s="184"/>
      <c r="L180" s="184"/>
      <c r="M180" s="172"/>
      <c r="N180" s="187"/>
    </row>
    <row r="181" spans="3:14">
      <c r="C181" s="188"/>
      <c r="D181" s="175" t="str">
        <f t="shared" si="0"/>
        <v xml:space="preserve"> - </v>
      </c>
      <c r="J181" s="172"/>
      <c r="K181" s="184"/>
      <c r="L181" s="184"/>
      <c r="M181" s="172"/>
      <c r="N181" s="187"/>
    </row>
    <row r="182" spans="3:14">
      <c r="C182" s="188"/>
      <c r="D182" s="175" t="str">
        <f t="shared" si="0"/>
        <v xml:space="preserve"> - </v>
      </c>
      <c r="J182" s="172"/>
      <c r="K182" s="184"/>
      <c r="L182" s="184"/>
      <c r="M182" s="172"/>
      <c r="N182" s="187"/>
    </row>
    <row r="183" spans="3:14">
      <c r="C183" s="188"/>
      <c r="D183" s="175" t="str">
        <f t="shared" si="0"/>
        <v xml:space="preserve"> - </v>
      </c>
      <c r="J183" s="172"/>
      <c r="K183" s="184"/>
      <c r="L183" s="184"/>
      <c r="M183" s="172"/>
      <c r="N183" s="187"/>
    </row>
    <row r="184" spans="3:14">
      <c r="C184" s="188"/>
      <c r="D184" s="175" t="str">
        <f t="shared" si="0"/>
        <v xml:space="preserve"> - </v>
      </c>
      <c r="J184" s="172"/>
      <c r="K184" s="184"/>
      <c r="L184" s="184"/>
      <c r="M184" s="172"/>
      <c r="N184" s="187"/>
    </row>
    <row r="185" spans="3:14">
      <c r="C185" s="188"/>
      <c r="D185" s="175" t="str">
        <f t="shared" si="0"/>
        <v xml:space="preserve"> - </v>
      </c>
      <c r="J185" s="172"/>
      <c r="K185" s="184"/>
      <c r="L185" s="184"/>
      <c r="M185" s="172"/>
      <c r="N185" s="187"/>
    </row>
    <row r="186" spans="3:14">
      <c r="C186" s="188"/>
      <c r="D186" s="175" t="str">
        <f t="shared" si="0"/>
        <v xml:space="preserve"> - </v>
      </c>
      <c r="J186" s="172"/>
      <c r="K186" s="184"/>
      <c r="L186" s="184"/>
      <c r="M186" s="172"/>
      <c r="N186" s="187"/>
    </row>
    <row r="187" spans="3:14">
      <c r="C187" s="188"/>
      <c r="D187" s="175" t="str">
        <f t="shared" si="0"/>
        <v xml:space="preserve"> - </v>
      </c>
      <c r="J187" s="172"/>
      <c r="K187" s="184"/>
      <c r="L187" s="184"/>
      <c r="M187" s="172"/>
      <c r="N187" s="187"/>
    </row>
    <row r="188" spans="3:14">
      <c r="C188" s="188"/>
      <c r="D188" s="175" t="str">
        <f t="shared" si="0"/>
        <v xml:space="preserve"> - </v>
      </c>
      <c r="J188" s="189"/>
      <c r="K188" s="190"/>
      <c r="L188" s="190"/>
      <c r="M188" s="191"/>
      <c r="N188" s="191"/>
    </row>
    <row r="189" spans="3:14">
      <c r="C189" s="188"/>
      <c r="D189" s="175" t="str">
        <f t="shared" si="0"/>
        <v xml:space="preserve"> - </v>
      </c>
      <c r="J189" s="189"/>
      <c r="K189" s="190"/>
      <c r="L189" s="190"/>
      <c r="M189" s="191"/>
      <c r="N189" s="191"/>
    </row>
    <row r="190" spans="3:14">
      <c r="C190" s="188"/>
      <c r="D190" s="175" t="str">
        <f t="shared" si="0"/>
        <v xml:space="preserve"> - </v>
      </c>
      <c r="J190" s="189"/>
      <c r="K190" s="190"/>
      <c r="L190" s="190"/>
      <c r="M190" s="191"/>
      <c r="N190" s="191"/>
    </row>
    <row r="191" spans="3:14">
      <c r="C191" s="188"/>
      <c r="D191" s="175" t="str">
        <f t="shared" si="0"/>
        <v xml:space="preserve"> - </v>
      </c>
      <c r="J191" s="189"/>
      <c r="K191" s="190"/>
      <c r="L191" s="190"/>
      <c r="M191" s="191"/>
      <c r="N191" s="191"/>
    </row>
    <row r="192" spans="3:14">
      <c r="C192" s="188"/>
      <c r="D192" s="175" t="str">
        <f t="shared" si="0"/>
        <v xml:space="preserve"> - </v>
      </c>
      <c r="J192" s="189"/>
      <c r="K192" s="190"/>
      <c r="L192" s="190"/>
      <c r="M192" s="191"/>
      <c r="N192" s="191"/>
    </row>
    <row r="193" spans="3:14">
      <c r="C193" s="188"/>
      <c r="D193" s="175" t="str">
        <f t="shared" si="0"/>
        <v xml:space="preserve"> - </v>
      </c>
      <c r="J193" s="189"/>
      <c r="K193" s="190"/>
      <c r="L193" s="190"/>
      <c r="M193" s="191"/>
      <c r="N193" s="191"/>
    </row>
    <row r="194" spans="3:14">
      <c r="C194" s="188"/>
      <c r="D194" s="175" t="str">
        <f t="shared" si="0"/>
        <v xml:space="preserve"> - </v>
      </c>
      <c r="J194" s="189"/>
      <c r="K194" s="190"/>
      <c r="L194" s="190"/>
      <c r="M194" s="191"/>
      <c r="N194" s="191"/>
    </row>
    <row r="195" spans="3:14">
      <c r="C195" s="188"/>
      <c r="D195" s="175" t="str">
        <f t="shared" si="0"/>
        <v xml:space="preserve"> - </v>
      </c>
      <c r="J195" s="189"/>
      <c r="K195" s="190"/>
      <c r="L195" s="190"/>
      <c r="M195" s="191"/>
      <c r="N195" s="191"/>
    </row>
  </sheetData>
  <mergeCells count="3">
    <mergeCell ref="A1:B1"/>
    <mergeCell ref="D1:H1"/>
    <mergeCell ref="J1:N1"/>
  </mergeCells>
  <pageMargins left="0.51180555555555496" right="0.51180555555555496" top="0.78749999999999998" bottom="0.78749999999999998" header="0.51180555555555496" footer="0.51180555555555496"/>
  <pageSetup paperSize="9" firstPageNumber="0" orientation="portrait" horizontalDpi="300" verticalDpi="300"/>
  <drawing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31"/>
  <sheetViews>
    <sheetView showGridLines="0" zoomScaleNormal="100" workbookViewId="0">
      <selection activeCell="B5" sqref="B5"/>
    </sheetView>
  </sheetViews>
  <sheetFormatPr defaultColWidth="8.90625" defaultRowHeight="12.5"/>
  <cols>
    <col min="1" max="1" width="4.6328125" style="18" customWidth="1" collapsed="1"/>
    <col min="2" max="2" width="68.36328125" style="18" customWidth="1" collapsed="1"/>
    <col min="3" max="3" width="16.36328125" style="18" customWidth="1" collapsed="1"/>
    <col min="4" max="16384" width="8.90625" style="18"/>
  </cols>
  <sheetData>
    <row r="1" spans="1:3" ht="69" customHeight="1">
      <c r="A1" s="2" t="str">
        <f>[1]Resumo!A1</f>
        <v>Template V.2.0</v>
      </c>
      <c r="B1" s="266" t="s">
        <v>266</v>
      </c>
      <c r="C1" s="266"/>
    </row>
    <row r="3" spans="1:3" ht="13">
      <c r="A3" s="267" t="s">
        <v>267</v>
      </c>
      <c r="B3" s="267"/>
      <c r="C3" s="267"/>
    </row>
    <row r="4" spans="1:3" ht="13">
      <c r="A4" s="196" t="s">
        <v>264</v>
      </c>
      <c r="B4" s="196" t="s">
        <v>265</v>
      </c>
      <c r="C4" s="196" t="s">
        <v>55</v>
      </c>
    </row>
    <row r="5" spans="1:3" ht="12.65" customHeight="1">
      <c r="A5" s="93"/>
      <c r="B5" s="94"/>
      <c r="C5" s="36"/>
    </row>
    <row r="6" spans="1:3">
      <c r="A6" s="93"/>
      <c r="B6" s="94"/>
      <c r="C6" s="36"/>
    </row>
    <row r="7" spans="1:3">
      <c r="A7" s="93"/>
      <c r="B7" s="94"/>
      <c r="C7" s="36"/>
    </row>
    <row r="8" spans="1:3">
      <c r="A8" s="93"/>
      <c r="B8" s="94"/>
      <c r="C8" s="36"/>
    </row>
    <row r="9" spans="1:3">
      <c r="A9" s="93"/>
      <c r="B9" s="94"/>
      <c r="C9" s="93"/>
    </row>
    <row r="10" spans="1:3">
      <c r="A10" s="93"/>
      <c r="B10" s="94"/>
      <c r="C10" s="93"/>
    </row>
    <row r="11" spans="1:3">
      <c r="A11" s="93"/>
      <c r="B11" s="94"/>
      <c r="C11" s="93"/>
    </row>
    <row r="12" spans="1:3">
      <c r="A12" s="93"/>
      <c r="B12" s="94"/>
      <c r="C12" s="95"/>
    </row>
    <row r="13" spans="1:3">
      <c r="A13" s="93"/>
      <c r="B13" s="94"/>
      <c r="C13" s="95"/>
    </row>
    <row r="14" spans="1:3">
      <c r="A14" s="93"/>
      <c r="B14" s="94"/>
      <c r="C14" s="95"/>
    </row>
    <row r="15" spans="1:3">
      <c r="A15" s="93"/>
      <c r="B15" s="94"/>
      <c r="C15" s="95"/>
    </row>
    <row r="16" spans="1:3">
      <c r="A16" s="93"/>
      <c r="B16" s="94"/>
      <c r="C16" s="95"/>
    </row>
    <row r="17" spans="1:3">
      <c r="A17" s="93"/>
      <c r="B17" s="94"/>
      <c r="C17" s="95"/>
    </row>
    <row r="18" spans="1:3">
      <c r="A18" s="93"/>
      <c r="B18" s="94"/>
      <c r="C18" s="95"/>
    </row>
    <row r="19" spans="1:3">
      <c r="A19" s="93"/>
      <c r="B19" s="94"/>
      <c r="C19" s="95"/>
    </row>
    <row r="20" spans="1:3">
      <c r="A20" s="93"/>
      <c r="B20" s="94"/>
      <c r="C20" s="95"/>
    </row>
    <row r="21" spans="1:3">
      <c r="A21" s="93"/>
      <c r="B21" s="94"/>
      <c r="C21" s="95"/>
    </row>
    <row r="22" spans="1:3">
      <c r="A22" s="93"/>
      <c r="B22" s="94"/>
      <c r="C22" s="95"/>
    </row>
    <row r="23" spans="1:3">
      <c r="A23" s="93"/>
      <c r="B23" s="94"/>
      <c r="C23" s="95"/>
    </row>
    <row r="24" spans="1:3">
      <c r="A24" s="93"/>
      <c r="B24" s="94"/>
      <c r="C24" s="95"/>
    </row>
    <row r="25" spans="1:3">
      <c r="A25" s="93"/>
      <c r="B25" s="94"/>
      <c r="C25" s="95"/>
    </row>
    <row r="26" spans="1:3">
      <c r="A26" s="93"/>
      <c r="B26" s="94"/>
      <c r="C26" s="95"/>
    </row>
    <row r="27" spans="1:3">
      <c r="A27" s="93"/>
      <c r="B27" s="94"/>
      <c r="C27" s="95"/>
    </row>
    <row r="28" spans="1:3">
      <c r="A28" s="93"/>
      <c r="B28" s="94"/>
      <c r="C28" s="95"/>
    </row>
    <row r="29" spans="1:3">
      <c r="A29" s="93"/>
      <c r="B29" s="94"/>
      <c r="C29" s="95"/>
    </row>
    <row r="30" spans="1:3">
      <c r="A30" s="93"/>
      <c r="B30" s="94"/>
      <c r="C30" s="95"/>
    </row>
    <row r="31" spans="1:3">
      <c r="A31" s="93"/>
      <c r="B31" s="94"/>
      <c r="C31" s="95"/>
    </row>
  </sheetData>
  <sheetProtection formatCells="0" formatColumns="0" formatRows="0" insertColumns="0" insertRows="0" insertHyperlinks="0" deleteColumns="0" deleteRows="0" sort="0" autoFilter="0" pivotTables="0"/>
  <mergeCells count="2">
    <mergeCell ref="B1:C1"/>
    <mergeCell ref="A3:C3"/>
  </mergeCells>
  <pageMargins left="0.51180555555555496" right="0.51180555555555496" top="0.78749999999999998" bottom="0.78749999999999998" header="0.51180555555555496" footer="0.51180555555555496"/>
  <pageSetup paperSize="9" firstPageNumber="0" orientation="portrait" horizontalDpi="300" verticalDpi="300"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558ED5"/>
  </sheetPr>
  <dimension ref="A1:C8"/>
  <sheetViews>
    <sheetView zoomScaleNormal="100" workbookViewId="0"/>
  </sheetViews>
  <sheetFormatPr defaultColWidth="11.54296875" defaultRowHeight="12.5"/>
  <cols>
    <col min="1" max="1" width="35.453125" customWidth="1"/>
    <col min="2" max="2" width="71.08984375" style="192" customWidth="1"/>
    <col min="3" max="3" width="9.54296875" customWidth="1"/>
    <col min="4" max="64" width="8.54296875" customWidth="1"/>
  </cols>
  <sheetData>
    <row r="1" spans="1:3" ht="13">
      <c r="A1" s="193" t="s">
        <v>251</v>
      </c>
      <c r="B1" s="194" t="s">
        <v>252</v>
      </c>
      <c r="C1" s="193" t="s">
        <v>253</v>
      </c>
    </row>
    <row r="2" spans="1:3">
      <c r="A2" s="178" t="s">
        <v>254</v>
      </c>
      <c r="B2" s="185" t="s">
        <v>255</v>
      </c>
      <c r="C2" s="195">
        <v>0.33</v>
      </c>
    </row>
    <row r="3" spans="1:3" ht="25">
      <c r="A3" s="185" t="s">
        <v>256</v>
      </c>
      <c r="B3" s="185"/>
      <c r="C3" s="184">
        <v>0.35</v>
      </c>
    </row>
    <row r="4" spans="1:3" ht="25">
      <c r="A4" s="178" t="s">
        <v>107</v>
      </c>
      <c r="B4" s="185" t="s">
        <v>257</v>
      </c>
      <c r="C4" s="184">
        <v>0.36</v>
      </c>
    </row>
    <row r="5" spans="1:3">
      <c r="A5" s="185" t="s">
        <v>258</v>
      </c>
      <c r="B5" s="185" t="s">
        <v>259</v>
      </c>
      <c r="C5" s="184">
        <v>0.37</v>
      </c>
    </row>
    <row r="6" spans="1:3">
      <c r="A6" s="185" t="s">
        <v>260</v>
      </c>
      <c r="B6" s="185" t="s">
        <v>261</v>
      </c>
      <c r="C6" s="184">
        <v>0.39</v>
      </c>
    </row>
    <row r="7" spans="1:3" ht="25">
      <c r="A7" s="185" t="s">
        <v>262</v>
      </c>
      <c r="B7" s="185"/>
      <c r="C7" s="184">
        <v>0.4</v>
      </c>
    </row>
    <row r="8" spans="1:3">
      <c r="A8" s="178" t="s">
        <v>263</v>
      </c>
      <c r="B8" s="185"/>
      <c r="C8" s="184">
        <v>0.45</v>
      </c>
    </row>
  </sheetData>
  <pageMargins left="0.51180555555555496" right="0.51180555555555496" top="0.78749999999999998" bottom="0.78749999999999998" header="0.51180555555555496" footer="0.51180555555555496"/>
  <pageSetup paperSize="9" firstPageNumber="0"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139</TotalTime>
  <Application>Microsoft Excel</Application>
  <DocSecurity>0</DocSecurity>
  <ScaleCrop>false</ScaleCrop>
  <HeadingPairs>
    <vt:vector size="4" baseType="variant">
      <vt:variant>
        <vt:lpstr>Planilhas</vt:lpstr>
      </vt:variant>
      <vt:variant>
        <vt:i4>13</vt:i4>
      </vt:variant>
      <vt:variant>
        <vt:lpstr>Intervalos Nomeados</vt:lpstr>
      </vt:variant>
      <vt:variant>
        <vt:i4>58</vt:i4>
      </vt:variant>
    </vt:vector>
  </HeadingPairs>
  <TitlesOfParts>
    <vt:vector size="71" baseType="lpstr">
      <vt:lpstr>Instrução de Uso</vt:lpstr>
      <vt:lpstr>Resumo</vt:lpstr>
      <vt:lpstr>AFP - Detalhada</vt:lpstr>
      <vt:lpstr>INM - Detalhada</vt:lpstr>
      <vt:lpstr>AFP - Estimativa</vt:lpstr>
      <vt:lpstr>UST</vt:lpstr>
      <vt:lpstr>INM - Estimativa</vt:lpstr>
      <vt:lpstr>AFP - Indicativa</vt:lpstr>
      <vt:lpstr>Redução de Prazo</vt:lpstr>
      <vt:lpstr>Esforço</vt:lpstr>
      <vt:lpstr>Tipo Projeto</vt:lpstr>
      <vt:lpstr>Funcionalidade</vt:lpstr>
      <vt:lpstr>Tipo Sistema</vt:lpstr>
      <vt:lpstr>'AFP - Detalhada'!_FiltrarBancodeDados</vt:lpstr>
      <vt:lpstr>'AFP - Estimativa'!_FiltrarBancodeDados</vt:lpstr>
      <vt:lpstr>'AFP - Indicativa'!_FiltrarBancodeDados</vt:lpstr>
      <vt:lpstr>'INM - Detalhada'!_FiltrarBancodeDados</vt:lpstr>
      <vt:lpstr>'INM - Estimativa'!_FiltrarBancodeDados</vt:lpstr>
      <vt:lpstr>UST!_FiltrarBancodeDados</vt:lpstr>
      <vt:lpstr>Deflatores</vt:lpstr>
      <vt:lpstr>Matriz_INM</vt:lpstr>
      <vt:lpstr>Matriz_UST</vt:lpstr>
      <vt:lpstr>'AFP - Estimativa'!PF_INM</vt:lpstr>
      <vt:lpstr>PF_INM</vt:lpstr>
      <vt:lpstr>PF_UST</vt:lpstr>
      <vt:lpstr>'AFP - Detalhada'!Print_Titles_0</vt:lpstr>
      <vt:lpstr>'AFP - Estimativa'!Print_Titles_0</vt:lpstr>
      <vt:lpstr>'AFP - Indicativa'!Print_Titles_0</vt:lpstr>
      <vt:lpstr>'INM - Detalhada'!Print_Titles_0</vt:lpstr>
      <vt:lpstr>'INM - Estimativa'!Print_Titles_0</vt:lpstr>
      <vt:lpstr>UST!Print_Titles_0</vt:lpstr>
      <vt:lpstr>'AFP - Detalhada'!Print_Titles_0_0</vt:lpstr>
      <vt:lpstr>'AFP - Estimativa'!Print_Titles_0_0</vt:lpstr>
      <vt:lpstr>'AFP - Indicativa'!Print_Titles_0_0</vt:lpstr>
      <vt:lpstr>'INM - Detalhada'!Print_Titles_0_0</vt:lpstr>
      <vt:lpstr>'INM - Estimativa'!Print_Titles_0_0</vt:lpstr>
      <vt:lpstr>UST!Print_Titles_0_0</vt:lpstr>
      <vt:lpstr>'AFP - Detalhada'!Print_Titles_0_0_0</vt:lpstr>
      <vt:lpstr>'AFP - Estimativa'!Print_Titles_0_0_0</vt:lpstr>
      <vt:lpstr>'AFP - Indicativa'!Print_Titles_0_0_0</vt:lpstr>
      <vt:lpstr>'INM - Detalhada'!Print_Titles_0_0_0</vt:lpstr>
      <vt:lpstr>'INM - Estimativa'!Print_Titles_0_0_0</vt:lpstr>
      <vt:lpstr>UST!Print_Titles_0_0_0</vt:lpstr>
      <vt:lpstr>'AFP - Detalhada'!Print_Titles_0_0_0_0</vt:lpstr>
      <vt:lpstr>'AFP - Estimativa'!Print_Titles_0_0_0_0</vt:lpstr>
      <vt:lpstr>'AFP - Indicativa'!Print_Titles_0_0_0_0</vt:lpstr>
      <vt:lpstr>'INM - Detalhada'!Print_Titles_0_0_0_0</vt:lpstr>
      <vt:lpstr>'INM - Estimativa'!Print_Titles_0_0_0_0</vt:lpstr>
      <vt:lpstr>UST!Print_Titles_0_0_0_0</vt:lpstr>
      <vt:lpstr>'AFP - Detalhada'!Print_Titles_0_0_0_0_0</vt:lpstr>
      <vt:lpstr>'AFP - Estimativa'!Print_Titles_0_0_0_0_0</vt:lpstr>
      <vt:lpstr>'AFP - Indicativa'!Print_Titles_0_0_0_0_0</vt:lpstr>
      <vt:lpstr>'INM - Detalhada'!Print_Titles_0_0_0_0_0</vt:lpstr>
      <vt:lpstr>'INM - Estimativa'!Print_Titles_0_0_0_0_0</vt:lpstr>
      <vt:lpstr>UST!Print_Titles_0_0_0_0_0</vt:lpstr>
      <vt:lpstr>'AFP - Detalhada'!Print_Titles_0_0_0_0_0_0</vt:lpstr>
      <vt:lpstr>'AFP - Estimativa'!Print_Titles_0_0_0_0_0_0</vt:lpstr>
      <vt:lpstr>'AFP - Indicativa'!Print_Titles_0_0_0_0_0_0</vt:lpstr>
      <vt:lpstr>'INM - Detalhada'!Print_Titles_0_0_0_0_0_0</vt:lpstr>
      <vt:lpstr>'INM - Estimativa'!Print_Titles_0_0_0_0_0_0</vt:lpstr>
      <vt:lpstr>UST!Print_Titles_0_0_0_0_0_0</vt:lpstr>
      <vt:lpstr>Tipo_Contagem</vt:lpstr>
      <vt:lpstr>TipoProjeto</vt:lpstr>
      <vt:lpstr>TipoSistema</vt:lpstr>
      <vt:lpstr>'AFP - Detalhada'!Titulos_de_impressao</vt:lpstr>
      <vt:lpstr>'AFP - Estimativa'!Titulos_de_impressao</vt:lpstr>
      <vt:lpstr>'AFP - Indicativa'!Titulos_de_impressao</vt:lpstr>
      <vt:lpstr>'INM - Detalhada'!Titulos_de_impressao</vt:lpstr>
      <vt:lpstr>'INM - Estimativa'!Titulos_de_impressao</vt:lpstr>
      <vt:lpstr>UST!Titulos_de_impressao</vt:lpstr>
      <vt:lpstr>UST</vt:lpstr>
    </vt:vector>
  </TitlesOfParts>
  <Company>Basis Tecnologia da Informação S.A.</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Indicação de Tamanho e Esforço de Software</dc:title>
  <dc:subject/>
  <dc:creator/>
  <dc:description/>
  <cp:lastModifiedBy>Wilson</cp:lastModifiedBy>
  <cp:revision>37</cp:revision>
  <cp:lastPrinted>2012-02-01T18:39:25Z</cp:lastPrinted>
  <dcterms:created xsi:type="dcterms:W3CDTF">2018-01-04T16:24:08Z</dcterms:created>
  <dcterms:modified xsi:type="dcterms:W3CDTF">2022-02-04T17:41:51Z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y fmtid="{D5CDD505-2E9C-101B-9397-08002B2CF9AE}" pid="3" name="Company">
    <vt:lpwstr>Basis Tecnologia da Informação S.A.</vt:lpwstr>
  </property>
  <property fmtid="{D5CDD505-2E9C-101B-9397-08002B2CF9AE}" pid="4" name="DocSecurity">
    <vt:i4>0</vt:i4>
  </property>
  <property fmtid="{D5CDD505-2E9C-101B-9397-08002B2CF9AE}" pid="5" name="HyperlinksChanged">
    <vt:bool>false</vt:bool>
  </property>
  <property fmtid="{D5CDD505-2E9C-101B-9397-08002B2CF9AE}" pid="6" name="LinksUpToDate">
    <vt:bool>false</vt:bool>
  </property>
  <property fmtid="{D5CDD505-2E9C-101B-9397-08002B2CF9AE}" pid="7" name="ScaleCrop">
    <vt:bool>false</vt:bool>
  </property>
  <property fmtid="{D5CDD505-2E9C-101B-9397-08002B2CF9AE}" pid="8" name="ShareDoc">
    <vt:bool>false</vt:bool>
  </property>
</Properties>
</file>