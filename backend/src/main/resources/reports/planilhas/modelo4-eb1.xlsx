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ate1904="1" defaultThemeVersion="166925"/>
  <mc:AlternateContent xmlns:mc="http://schemas.openxmlformats.org/markup-compatibility/2006">
    <mc:Choice Requires="x15">
      <x15ac:absPath xmlns:x15ac="http://schemas.microsoft.com/office/spreadsheetml/2010/11/ac" url="C:\Users\psantos8\Downloads\"/>
    </mc:Choice>
  </mc:AlternateContent>
  <xr:revisionPtr revIDLastSave="0" documentId="13_ncr:1_{CD043AC1-E6D6-4DDD-91FF-AC8CFB26793F}" xr6:coauthVersionLast="46" xr6:coauthVersionMax="46" xr10:uidLastSave="{00000000-0000-0000-0000-000000000000}"/>
  <bookViews>
    <workbookView xWindow="-110" yWindow="-110" windowWidth="19420" windowHeight="10420" tabRatio="500" firstSheet="1" activeTab="1" xr2:uid="{00000000-000D-0000-FFFF-FFFF00000000}"/>
  </bookViews>
  <sheets>
    <sheet name="Instrução de Uso" sheetId="1" r:id="rId1"/>
    <sheet name="Resumo" sheetId="2" r:id="rId2"/>
    <sheet name="AFP - Detalhada" sheetId="3" r:id="rId3"/>
    <sheet name="INM - Detalhada" sheetId="4" r:id="rId4"/>
    <sheet name="AFP - Estimativa" sheetId="5" r:id="rId5"/>
    <sheet name="UST" sheetId="6" state="hidden" r:id="rId6"/>
    <sheet name="INM - Estimativa" sheetId="7" r:id="rId7"/>
    <sheet name="AFP - Indicativa" sheetId="8" r:id="rId8"/>
    <sheet name="Fundamentação" sheetId="9" r:id="rId9"/>
    <sheet name="Redução de Prazo" sheetId="10" r:id="rId10"/>
    <sheet name="Esforço" sheetId="11" r:id="rId11"/>
    <sheet name="Tipo Projeto" sheetId="12" r:id="rId12"/>
    <sheet name="Tipo Sistema" sheetId="13" state="hidden" r:id="rId13"/>
    <sheet name="PF por Funcionalidade" sheetId="14" r:id="rId14"/>
  </sheets>
  <definedNames>
    <definedName name="_xlnm._FilterDatabase" localSheetId="2">'AFP - Detalhada'!$C$8:$S$383</definedName>
    <definedName name="_xlnm._FilterDatabase" localSheetId="4">'AFP - Estimativa'!$C$8:$K$383</definedName>
    <definedName name="_xlnm._FilterDatabase" localSheetId="7">'AFP - Indicativa'!$B$9:$I$109</definedName>
    <definedName name="_xlnm._FilterDatabase" localSheetId="3">'INM - Detalhada'!$C$10:$I$27</definedName>
    <definedName name="_xlnm._FilterDatabase" localSheetId="6">'INM - Estimativa'!$D$9:$K$26</definedName>
    <definedName name="_xlnm._FilterDatabase" localSheetId="5">UST!$C$9:$K$403</definedName>
    <definedName name="Deflatores">'Tipo Projeto'!$J$3:$J$71</definedName>
    <definedName name="Matriz_INM">'Tipo Projeto'!$J$3:$L$71</definedName>
    <definedName name="Matriz_UST">'Tipo Projeto'!$D$2:$H$56</definedName>
    <definedName name="PF_INM" localSheetId="4">'AFP - Estimativa'!$K$384</definedName>
    <definedName name="PF_INM">'AFP - Detalhada'!$S$384</definedName>
    <definedName name="PF_UST">UST!$D$5</definedName>
    <definedName name="Print_Titles_0" localSheetId="2">'AFP - Detalhada'!$1:$8</definedName>
    <definedName name="Print_Titles_0" localSheetId="4">'AFP - Estimativa'!$1:$8</definedName>
    <definedName name="Print_Titles_0" localSheetId="7">'AFP - Indicativa'!$1:$9</definedName>
    <definedName name="Print_Titles_0" localSheetId="3">'INM - Detalhada'!$1:$10</definedName>
    <definedName name="Print_Titles_0" localSheetId="6">'INM - Estimativa'!$1:$9</definedName>
    <definedName name="Print_Titles_0" localSheetId="5">UST!$1:$9</definedName>
    <definedName name="Print_Titles_0_0" localSheetId="2">'AFP - Detalhada'!$1:$8</definedName>
    <definedName name="Print_Titles_0_0" localSheetId="4">'AFP - Estimativa'!$1:$8</definedName>
    <definedName name="Print_Titles_0_0" localSheetId="7">'AFP - Indicativa'!$1:$9</definedName>
    <definedName name="Print_Titles_0_0" localSheetId="3">'INM - Detalhada'!$1:$10</definedName>
    <definedName name="Print_Titles_0_0" localSheetId="6">'INM - Estimativa'!$1:$9</definedName>
    <definedName name="Print_Titles_0_0" localSheetId="5">UST!$1:$9</definedName>
    <definedName name="Print_Titles_0_0_0" localSheetId="2">'AFP - Detalhada'!$1:$8</definedName>
    <definedName name="Print_Titles_0_0_0" localSheetId="4">'AFP - Estimativa'!$1:$8</definedName>
    <definedName name="Print_Titles_0_0_0" localSheetId="7">'AFP - Indicativa'!$1:$9</definedName>
    <definedName name="Print_Titles_0_0_0" localSheetId="3">'INM - Detalhada'!$1:$10</definedName>
    <definedName name="Print_Titles_0_0_0" localSheetId="6">'INM - Estimativa'!$1:$9</definedName>
    <definedName name="Print_Titles_0_0_0" localSheetId="5">UST!$1:$9</definedName>
    <definedName name="Print_Titles_0_0_0_0" localSheetId="2">'AFP - Detalhada'!$1:$8</definedName>
    <definedName name="Print_Titles_0_0_0_0" localSheetId="4">'AFP - Estimativa'!$1:$8</definedName>
    <definedName name="Print_Titles_0_0_0_0" localSheetId="7">'AFP - Indicativa'!$1:$9</definedName>
    <definedName name="Print_Titles_0_0_0_0" localSheetId="3">'INM - Detalhada'!$1:$10</definedName>
    <definedName name="Print_Titles_0_0_0_0" localSheetId="6">'INM - Estimativa'!$1:$9</definedName>
    <definedName name="Print_Titles_0_0_0_0" localSheetId="5">UST!$1:$9</definedName>
    <definedName name="Print_Titles_0_0_0_0_0" localSheetId="2">'AFP - Detalhada'!$1:$8</definedName>
    <definedName name="Print_Titles_0_0_0_0_0" localSheetId="4">'AFP - Estimativa'!$1:$8</definedName>
    <definedName name="Print_Titles_0_0_0_0_0" localSheetId="7">'AFP - Indicativa'!$1:$9</definedName>
    <definedName name="Print_Titles_0_0_0_0_0" localSheetId="3">'INM - Detalhada'!$1:$10</definedName>
    <definedName name="Print_Titles_0_0_0_0_0" localSheetId="6">'INM - Estimativa'!$1:$9</definedName>
    <definedName name="Print_Titles_0_0_0_0_0" localSheetId="5">UST!$1:$9</definedName>
    <definedName name="Print_Titles_0_0_0_0_0_0" localSheetId="2">'AFP - Detalhada'!$1:$8</definedName>
    <definedName name="Print_Titles_0_0_0_0_0_0" localSheetId="4">'AFP - Estimativa'!$1:$8</definedName>
    <definedName name="Print_Titles_0_0_0_0_0_0" localSheetId="7">'AFP - Indicativa'!$1:$9</definedName>
    <definedName name="Print_Titles_0_0_0_0_0_0" localSheetId="3">'INM - Detalhada'!$1:$10</definedName>
    <definedName name="Print_Titles_0_0_0_0_0_0" localSheetId="6">'INM - Estimativa'!$1:$9</definedName>
    <definedName name="Print_Titles_0_0_0_0_0_0" localSheetId="5">UST!$1:$9</definedName>
    <definedName name="Tipo_Contagem">Resumo!$B$5</definedName>
    <definedName name="TipoProjeto">'Tipo Projeto'!$A$3:$A$37</definedName>
    <definedName name="TipoSistema">'Tipo Sistema'!$A$2:$A$8</definedName>
    <definedName name="_xlnm.Print_Titles" localSheetId="2">'AFP - Detalhada'!$1:$8</definedName>
    <definedName name="_xlnm.Print_Titles" localSheetId="4">'AFP - Estimativa'!$1:$8</definedName>
    <definedName name="_xlnm.Print_Titles" localSheetId="7">'AFP - Indicativa'!$1:$9</definedName>
    <definedName name="_xlnm.Print_Titles" localSheetId="3">'INM - Detalhada'!$1:$10</definedName>
    <definedName name="_xlnm.Print_Titles" localSheetId="6">'INM - Estimativa'!$1:$9</definedName>
    <definedName name="_xlnm.Print_Titles" localSheetId="5">UST!$1:$9</definedName>
    <definedName name="UST">'Tipo Projeto'!$D$2:$D$56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95" i="12" l="1"/>
  <c r="D194" i="12"/>
  <c r="D193" i="12"/>
  <c r="D192" i="12"/>
  <c r="D191" i="12"/>
  <c r="D190" i="12"/>
  <c r="D189" i="12"/>
  <c r="D188" i="12"/>
  <c r="D187" i="12"/>
  <c r="D186" i="12"/>
  <c r="D185" i="12"/>
  <c r="D184" i="12"/>
  <c r="D183" i="12"/>
  <c r="D182" i="12"/>
  <c r="D181" i="12"/>
  <c r="D180" i="12"/>
  <c r="D179" i="12"/>
  <c r="D178" i="12"/>
  <c r="D177" i="12"/>
  <c r="D176" i="12"/>
  <c r="D175" i="12"/>
  <c r="D174" i="12"/>
  <c r="D173" i="12"/>
  <c r="B22" i="11"/>
  <c r="C22" i="11" s="1"/>
  <c r="I21" i="11"/>
  <c r="E21" i="11"/>
  <c r="D21" i="11"/>
  <c r="C21" i="11"/>
  <c r="H21" i="11" s="1"/>
  <c r="B21" i="11"/>
  <c r="C20" i="11"/>
  <c r="B20" i="11"/>
  <c r="C19" i="11"/>
  <c r="B19" i="11"/>
  <c r="I18" i="11"/>
  <c r="D18" i="11"/>
  <c r="C18" i="11"/>
  <c r="B18" i="11"/>
  <c r="C17" i="11"/>
  <c r="B17" i="11"/>
  <c r="B16" i="11"/>
  <c r="C16" i="11" s="1"/>
  <c r="I15" i="11"/>
  <c r="E15" i="11"/>
  <c r="D15" i="11"/>
  <c r="C15" i="11"/>
  <c r="B15" i="11"/>
  <c r="F14" i="11"/>
  <c r="C14" i="11"/>
  <c r="B14" i="11"/>
  <c r="B13" i="11"/>
  <c r="C13" i="11" s="1"/>
  <c r="I12" i="11"/>
  <c r="E12" i="11"/>
  <c r="D12" i="11"/>
  <c r="C12" i="11"/>
  <c r="B12" i="11"/>
  <c r="C11" i="11"/>
  <c r="B11" i="11"/>
  <c r="B10" i="11"/>
  <c r="C10" i="11" s="1"/>
  <c r="I9" i="11"/>
  <c r="D9" i="11"/>
  <c r="C9" i="11"/>
  <c r="B9" i="11"/>
  <c r="C8" i="11"/>
  <c r="B8" i="11"/>
  <c r="I7" i="11"/>
  <c r="C7" i="11"/>
  <c r="B7" i="11"/>
  <c r="I6" i="11"/>
  <c r="E6" i="11"/>
  <c r="D6" i="11"/>
  <c r="C6" i="11"/>
  <c r="B6" i="11"/>
  <c r="I5" i="11"/>
  <c r="H5" i="11"/>
  <c r="H14" i="11" s="1"/>
  <c r="G5" i="11"/>
  <c r="F5" i="11"/>
  <c r="E5" i="11"/>
  <c r="E18" i="11" s="1"/>
  <c r="D5" i="11"/>
  <c r="A1" i="11"/>
  <c r="R115" i="10"/>
  <c r="Q115" i="10"/>
  <c r="R114" i="10"/>
  <c r="Q114" i="10"/>
  <c r="R113" i="10"/>
  <c r="Q113" i="10"/>
  <c r="R112" i="10"/>
  <c r="Q112" i="10"/>
  <c r="R111" i="10"/>
  <c r="Q111" i="10"/>
  <c r="R110" i="10"/>
  <c r="Q110" i="10"/>
  <c r="R109" i="10"/>
  <c r="Q109" i="10"/>
  <c r="R108" i="10"/>
  <c r="Q108" i="10"/>
  <c r="R107" i="10"/>
  <c r="Q107" i="10"/>
  <c r="R106" i="10"/>
  <c r="Q106" i="10"/>
  <c r="R105" i="10"/>
  <c r="Q105" i="10"/>
  <c r="R104" i="10"/>
  <c r="Q104" i="10"/>
  <c r="R103" i="10"/>
  <c r="Q103" i="10"/>
  <c r="R102" i="10"/>
  <c r="Q102" i="10"/>
  <c r="R101" i="10"/>
  <c r="Q101" i="10"/>
  <c r="R100" i="10"/>
  <c r="Q100" i="10"/>
  <c r="R99" i="10"/>
  <c r="Q99" i="10"/>
  <c r="R98" i="10"/>
  <c r="Q98" i="10"/>
  <c r="R97" i="10"/>
  <c r="Q97" i="10"/>
  <c r="R96" i="10"/>
  <c r="Q96" i="10"/>
  <c r="R95" i="10"/>
  <c r="Q95" i="10"/>
  <c r="R94" i="10"/>
  <c r="Q94" i="10"/>
  <c r="R93" i="10"/>
  <c r="Q93" i="10"/>
  <c r="R92" i="10"/>
  <c r="Q92" i="10"/>
  <c r="R91" i="10"/>
  <c r="Q91" i="10"/>
  <c r="R90" i="10"/>
  <c r="Q90" i="10"/>
  <c r="R89" i="10"/>
  <c r="Q89" i="10"/>
  <c r="R88" i="10"/>
  <c r="Q88" i="10"/>
  <c r="R87" i="10"/>
  <c r="Q87" i="10"/>
  <c r="R86" i="10"/>
  <c r="Q86" i="10"/>
  <c r="R85" i="10"/>
  <c r="Q85" i="10"/>
  <c r="R84" i="10"/>
  <c r="Q84" i="10"/>
  <c r="R83" i="10"/>
  <c r="Q83" i="10"/>
  <c r="R82" i="10"/>
  <c r="Q82" i="10"/>
  <c r="R81" i="10"/>
  <c r="Q81" i="10"/>
  <c r="R80" i="10"/>
  <c r="Q80" i="10"/>
  <c r="R79" i="10"/>
  <c r="Q79" i="10"/>
  <c r="R78" i="10"/>
  <c r="Q78" i="10"/>
  <c r="R77" i="10"/>
  <c r="Q77" i="10"/>
  <c r="R76" i="10"/>
  <c r="Q76" i="10"/>
  <c r="R75" i="10"/>
  <c r="Q75" i="10"/>
  <c r="R74" i="10"/>
  <c r="Q74" i="10"/>
  <c r="R73" i="10"/>
  <c r="Q73" i="10"/>
  <c r="R72" i="10"/>
  <c r="Q72" i="10"/>
  <c r="R71" i="10"/>
  <c r="Q71" i="10"/>
  <c r="R70" i="10"/>
  <c r="Q70" i="10"/>
  <c r="R69" i="10"/>
  <c r="Q69" i="10"/>
  <c r="R68" i="10"/>
  <c r="Q68" i="10"/>
  <c r="R67" i="10"/>
  <c r="Q67" i="10"/>
  <c r="R66" i="10"/>
  <c r="Q66" i="10"/>
  <c r="R65" i="10"/>
  <c r="Q65" i="10"/>
  <c r="R64" i="10"/>
  <c r="Q64" i="10"/>
  <c r="R63" i="10"/>
  <c r="Q63" i="10"/>
  <c r="R62" i="10"/>
  <c r="Q62" i="10"/>
  <c r="R61" i="10"/>
  <c r="Q61" i="10"/>
  <c r="R60" i="10"/>
  <c r="Q60" i="10"/>
  <c r="R59" i="10"/>
  <c r="Q59" i="10"/>
  <c r="R58" i="10"/>
  <c r="Q58" i="10"/>
  <c r="R57" i="10"/>
  <c r="Q57" i="10"/>
  <c r="R56" i="10"/>
  <c r="Q56" i="10"/>
  <c r="R55" i="10"/>
  <c r="Q55" i="10"/>
  <c r="R54" i="10"/>
  <c r="Q54" i="10"/>
  <c r="R53" i="10"/>
  <c r="Q53" i="10"/>
  <c r="R52" i="10"/>
  <c r="Q52" i="10"/>
  <c r="R51" i="10"/>
  <c r="R50" i="10"/>
  <c r="Q50" i="10"/>
  <c r="R49" i="10"/>
  <c r="Q49" i="10"/>
  <c r="R48" i="10"/>
  <c r="Q48" i="10"/>
  <c r="R47" i="10"/>
  <c r="Q47" i="10"/>
  <c r="R46" i="10"/>
  <c r="R45" i="10"/>
  <c r="Q45" i="10"/>
  <c r="R44" i="10"/>
  <c r="Q44" i="10"/>
  <c r="R43" i="10"/>
  <c r="Q43" i="10"/>
  <c r="R42" i="10"/>
  <c r="Q42" i="10"/>
  <c r="R41" i="10"/>
  <c r="Q41" i="10"/>
  <c r="R40" i="10"/>
  <c r="Q40" i="10"/>
  <c r="R39" i="10"/>
  <c r="Q39" i="10"/>
  <c r="R38" i="10"/>
  <c r="Q38" i="10"/>
  <c r="R37" i="10"/>
  <c r="Q37" i="10"/>
  <c r="R36" i="10"/>
  <c r="Q36" i="10"/>
  <c r="R35" i="10"/>
  <c r="Q35" i="10"/>
  <c r="R34" i="10"/>
  <c r="Q34" i="10"/>
  <c r="R33" i="10"/>
  <c r="Q33" i="10"/>
  <c r="R32" i="10"/>
  <c r="Q32" i="10"/>
  <c r="R31" i="10"/>
  <c r="Q31" i="10"/>
  <c r="R30" i="10"/>
  <c r="Q30" i="10"/>
  <c r="R29" i="10"/>
  <c r="Q29" i="10"/>
  <c r="R28" i="10"/>
  <c r="Q28" i="10"/>
  <c r="R27" i="10"/>
  <c r="Q27" i="10"/>
  <c r="N18" i="10"/>
  <c r="N17" i="10"/>
  <c r="O16" i="10"/>
  <c r="N16" i="10"/>
  <c r="E16" i="10"/>
  <c r="B16" i="10"/>
  <c r="O15" i="10"/>
  <c r="N15" i="10"/>
  <c r="F15" i="10"/>
  <c r="P14" i="10"/>
  <c r="Q14" i="10" s="1"/>
  <c r="P15" i="10" s="1"/>
  <c r="Q15" i="10" s="1"/>
  <c r="P16" i="10" s="1"/>
  <c r="Q16" i="10" s="1"/>
  <c r="P17" i="10" s="1"/>
  <c r="Q17" i="10" s="1"/>
  <c r="P18" i="10" s="1"/>
  <c r="Q18" i="10" s="1"/>
  <c r="O14" i="10"/>
  <c r="N14" i="10"/>
  <c r="G14" i="10"/>
  <c r="H14" i="10" s="1"/>
  <c r="G15" i="10" s="1"/>
  <c r="H15" i="10" s="1"/>
  <c r="F14" i="10"/>
  <c r="Q13" i="10"/>
  <c r="P13" i="10"/>
  <c r="O13" i="10"/>
  <c r="N13" i="10"/>
  <c r="F13" i="10"/>
  <c r="G12" i="10"/>
  <c r="H12" i="10" s="1"/>
  <c r="G13" i="10" s="1"/>
  <c r="H13" i="10" s="1"/>
  <c r="F12" i="10"/>
  <c r="H11" i="10"/>
  <c r="G11" i="10"/>
  <c r="F11" i="10"/>
  <c r="F16" i="10" s="1"/>
  <c r="Q10" i="10"/>
  <c r="P10" i="10"/>
  <c r="H10" i="10"/>
  <c r="F10" i="10"/>
  <c r="P9" i="10"/>
  <c r="P8" i="10"/>
  <c r="P6" i="10"/>
  <c r="P5" i="10"/>
  <c r="O18" i="10" s="1"/>
  <c r="H5" i="10"/>
  <c r="A1" i="9"/>
  <c r="I108" i="8"/>
  <c r="I107" i="8"/>
  <c r="I106" i="8"/>
  <c r="I105" i="8"/>
  <c r="I104" i="8"/>
  <c r="I103" i="8"/>
  <c r="I102" i="8"/>
  <c r="I101" i="8"/>
  <c r="I100" i="8"/>
  <c r="I99" i="8"/>
  <c r="I98" i="8"/>
  <c r="I97" i="8"/>
  <c r="I96" i="8"/>
  <c r="I95" i="8"/>
  <c r="I94" i="8"/>
  <c r="I93" i="8"/>
  <c r="I92" i="8"/>
  <c r="I91" i="8"/>
  <c r="I90" i="8"/>
  <c r="I89" i="8"/>
  <c r="I88" i="8"/>
  <c r="I87" i="8"/>
  <c r="I86" i="8"/>
  <c r="I85" i="8"/>
  <c r="I84" i="8"/>
  <c r="I83" i="8"/>
  <c r="I82" i="8"/>
  <c r="I81" i="8"/>
  <c r="I80" i="8"/>
  <c r="I79" i="8"/>
  <c r="I78" i="8"/>
  <c r="I77" i="8"/>
  <c r="I76" i="8"/>
  <c r="I75" i="8"/>
  <c r="I74" i="8"/>
  <c r="I73" i="8"/>
  <c r="I72" i="8"/>
  <c r="I71" i="8"/>
  <c r="I70" i="8"/>
  <c r="I69" i="8"/>
  <c r="I68" i="8"/>
  <c r="I67" i="8"/>
  <c r="I66" i="8"/>
  <c r="I65" i="8"/>
  <c r="I64" i="8"/>
  <c r="I63" i="8"/>
  <c r="I62" i="8"/>
  <c r="I61" i="8"/>
  <c r="I60" i="8"/>
  <c r="I59" i="8"/>
  <c r="I58" i="8"/>
  <c r="I57" i="8"/>
  <c r="I56" i="8"/>
  <c r="I55" i="8"/>
  <c r="I54" i="8"/>
  <c r="I53" i="8"/>
  <c r="I52" i="8"/>
  <c r="I51" i="8"/>
  <c r="I50" i="8"/>
  <c r="I49" i="8"/>
  <c r="I48" i="8"/>
  <c r="I47" i="8"/>
  <c r="I46" i="8"/>
  <c r="I45" i="8"/>
  <c r="I44" i="8"/>
  <c r="I43" i="8"/>
  <c r="I42" i="8"/>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I12" i="8"/>
  <c r="I110" i="8" s="1"/>
  <c r="E5" i="8" s="1"/>
  <c r="I11" i="8"/>
  <c r="J24" i="7"/>
  <c r="I24" i="7"/>
  <c r="K24" i="7" s="1"/>
  <c r="C24" i="7"/>
  <c r="K23" i="7"/>
  <c r="I23" i="7"/>
  <c r="J23" i="7" s="1"/>
  <c r="C23" i="7"/>
  <c r="I22" i="7"/>
  <c r="J22" i="7" s="1"/>
  <c r="C22" i="7"/>
  <c r="K22" i="7" s="1"/>
  <c r="K21" i="7"/>
  <c r="J21" i="7"/>
  <c r="I21" i="7"/>
  <c r="C21" i="7"/>
  <c r="I20" i="7"/>
  <c r="C20" i="7"/>
  <c r="I19" i="7"/>
  <c r="J19" i="7" s="1"/>
  <c r="C19" i="7"/>
  <c r="K19" i="7" s="1"/>
  <c r="K18" i="7"/>
  <c r="J18" i="7"/>
  <c r="I18" i="7"/>
  <c r="C18" i="7"/>
  <c r="I17" i="7"/>
  <c r="J17" i="7" s="1"/>
  <c r="C17" i="7"/>
  <c r="K16" i="7"/>
  <c r="I16" i="7"/>
  <c r="J16" i="7" s="1"/>
  <c r="C16" i="7"/>
  <c r="K15" i="7"/>
  <c r="I15" i="7"/>
  <c r="J15" i="7" s="1"/>
  <c r="C15" i="7"/>
  <c r="I14" i="7"/>
  <c r="J14" i="7" s="1"/>
  <c r="C14" i="7"/>
  <c r="I13" i="7"/>
  <c r="J13" i="7" s="1"/>
  <c r="C13" i="7"/>
  <c r="K13" i="7" s="1"/>
  <c r="I12" i="7"/>
  <c r="J12" i="7" s="1"/>
  <c r="C12" i="7"/>
  <c r="K11" i="7"/>
  <c r="I11" i="7"/>
  <c r="J11" i="7" s="1"/>
  <c r="C11" i="7"/>
  <c r="J402" i="6"/>
  <c r="K402" i="6" s="1"/>
  <c r="J401" i="6"/>
  <c r="K401" i="6" s="1"/>
  <c r="J400" i="6"/>
  <c r="K400" i="6" s="1"/>
  <c r="J399" i="6"/>
  <c r="K399" i="6" s="1"/>
  <c r="J398" i="6"/>
  <c r="K398" i="6" s="1"/>
  <c r="J397" i="6"/>
  <c r="K397" i="6" s="1"/>
  <c r="K396" i="6"/>
  <c r="J396" i="6"/>
  <c r="K395" i="6"/>
  <c r="J395" i="6"/>
  <c r="J394" i="6"/>
  <c r="K394" i="6" s="1"/>
  <c r="J393" i="6"/>
  <c r="K393" i="6" s="1"/>
  <c r="J392" i="6"/>
  <c r="K392" i="6" s="1"/>
  <c r="J391" i="6"/>
  <c r="K391" i="6" s="1"/>
  <c r="J390" i="6"/>
  <c r="K390" i="6" s="1"/>
  <c r="J389" i="6"/>
  <c r="K389" i="6" s="1"/>
  <c r="J388" i="6"/>
  <c r="K388" i="6" s="1"/>
  <c r="J387" i="6"/>
  <c r="K387" i="6" s="1"/>
  <c r="J386" i="6"/>
  <c r="K386" i="6" s="1"/>
  <c r="J385" i="6"/>
  <c r="K385" i="6" s="1"/>
  <c r="K384" i="6"/>
  <c r="J384" i="6"/>
  <c r="J383" i="6"/>
  <c r="K383" i="6" s="1"/>
  <c r="J382" i="6"/>
  <c r="K382" i="6" s="1"/>
  <c r="J381" i="6"/>
  <c r="K381" i="6" s="1"/>
  <c r="K380" i="6"/>
  <c r="J380" i="6"/>
  <c r="J379" i="6"/>
  <c r="K379" i="6" s="1"/>
  <c r="J378" i="6"/>
  <c r="K378" i="6" s="1"/>
  <c r="J377" i="6"/>
  <c r="K377" i="6" s="1"/>
  <c r="J376" i="6"/>
  <c r="K376" i="6" s="1"/>
  <c r="J375" i="6"/>
  <c r="K375" i="6" s="1"/>
  <c r="K374" i="6"/>
  <c r="J374" i="6"/>
  <c r="J373" i="6"/>
  <c r="K373" i="6" s="1"/>
  <c r="K372" i="6"/>
  <c r="J372" i="6"/>
  <c r="K371" i="6"/>
  <c r="J371" i="6"/>
  <c r="J370" i="6"/>
  <c r="K370" i="6" s="1"/>
  <c r="J369" i="6"/>
  <c r="K369" i="6" s="1"/>
  <c r="K368" i="6"/>
  <c r="J368" i="6"/>
  <c r="J367" i="6"/>
  <c r="K367" i="6" s="1"/>
  <c r="K366" i="6"/>
  <c r="J366" i="6"/>
  <c r="J365" i="6"/>
  <c r="K365" i="6" s="1"/>
  <c r="J364" i="6"/>
  <c r="K364" i="6" s="1"/>
  <c r="J363" i="6"/>
  <c r="K363" i="6" s="1"/>
  <c r="J362" i="6"/>
  <c r="K362" i="6" s="1"/>
  <c r="J361" i="6"/>
  <c r="K361" i="6" s="1"/>
  <c r="J360" i="6"/>
  <c r="K360" i="6" s="1"/>
  <c r="J359" i="6"/>
  <c r="K359" i="6" s="1"/>
  <c r="J358" i="6"/>
  <c r="K358" i="6" s="1"/>
  <c r="J357" i="6"/>
  <c r="K357" i="6" s="1"/>
  <c r="K356" i="6"/>
  <c r="J356" i="6"/>
  <c r="J355" i="6"/>
  <c r="K355" i="6" s="1"/>
  <c r="J354" i="6"/>
  <c r="K354" i="6" s="1"/>
  <c r="J353" i="6"/>
  <c r="K353" i="6" s="1"/>
  <c r="J352" i="6"/>
  <c r="K352" i="6" s="1"/>
  <c r="J351" i="6"/>
  <c r="K351" i="6" s="1"/>
  <c r="J350" i="6"/>
  <c r="K350" i="6" s="1"/>
  <c r="J349" i="6"/>
  <c r="K349" i="6" s="1"/>
  <c r="K348" i="6"/>
  <c r="J348" i="6"/>
  <c r="K347" i="6"/>
  <c r="J347" i="6"/>
  <c r="J346" i="6"/>
  <c r="K346" i="6" s="1"/>
  <c r="J345" i="6"/>
  <c r="K345" i="6" s="1"/>
  <c r="J344" i="6"/>
  <c r="K344" i="6" s="1"/>
  <c r="J343" i="6"/>
  <c r="K343" i="6" s="1"/>
  <c r="J342" i="6"/>
  <c r="K342" i="6" s="1"/>
  <c r="K341" i="6"/>
  <c r="J341" i="6"/>
  <c r="J340" i="6"/>
  <c r="K340" i="6" s="1"/>
  <c r="J339" i="6"/>
  <c r="K339" i="6" s="1"/>
  <c r="J338" i="6"/>
  <c r="K338" i="6" s="1"/>
  <c r="J337" i="6"/>
  <c r="K337" i="6" s="1"/>
  <c r="J336" i="6"/>
  <c r="K336" i="6" s="1"/>
  <c r="J335" i="6"/>
  <c r="K335" i="6" s="1"/>
  <c r="J334" i="6"/>
  <c r="K334" i="6" s="1"/>
  <c r="J333" i="6"/>
  <c r="K333" i="6" s="1"/>
  <c r="K332" i="6"/>
  <c r="J332" i="6"/>
  <c r="J331" i="6"/>
  <c r="K331" i="6" s="1"/>
  <c r="J330" i="6"/>
  <c r="K330" i="6" s="1"/>
  <c r="J329" i="6"/>
  <c r="K329" i="6" s="1"/>
  <c r="J328" i="6"/>
  <c r="K328" i="6" s="1"/>
  <c r="J327" i="6"/>
  <c r="K327" i="6" s="1"/>
  <c r="J326" i="6"/>
  <c r="K326" i="6" s="1"/>
  <c r="J325" i="6"/>
  <c r="K325" i="6" s="1"/>
  <c r="K324" i="6"/>
  <c r="J324" i="6"/>
  <c r="K323" i="6"/>
  <c r="J323" i="6"/>
  <c r="J322" i="6"/>
  <c r="K322" i="6" s="1"/>
  <c r="J321" i="6"/>
  <c r="K321" i="6" s="1"/>
  <c r="J320" i="6"/>
  <c r="K320" i="6" s="1"/>
  <c r="J319" i="6"/>
  <c r="K319" i="6" s="1"/>
  <c r="J318" i="6"/>
  <c r="K318" i="6" s="1"/>
  <c r="K317" i="6"/>
  <c r="J317" i="6"/>
  <c r="J316" i="6"/>
  <c r="K316" i="6" s="1"/>
  <c r="J315" i="6"/>
  <c r="K315" i="6" s="1"/>
  <c r="J314" i="6"/>
  <c r="K314" i="6" s="1"/>
  <c r="J313" i="6"/>
  <c r="K313" i="6" s="1"/>
  <c r="K312" i="6"/>
  <c r="J312" i="6"/>
  <c r="J311" i="6"/>
  <c r="K311" i="6" s="1"/>
  <c r="J310" i="6"/>
  <c r="K310" i="6" s="1"/>
  <c r="J309" i="6"/>
  <c r="K309" i="6" s="1"/>
  <c r="K308" i="6"/>
  <c r="J308" i="6"/>
  <c r="J307" i="6"/>
  <c r="K307" i="6" s="1"/>
  <c r="J306" i="6"/>
  <c r="K306" i="6" s="1"/>
  <c r="J305" i="6"/>
  <c r="K305" i="6" s="1"/>
  <c r="J304" i="6"/>
  <c r="K304" i="6" s="1"/>
  <c r="J303" i="6"/>
  <c r="K303" i="6" s="1"/>
  <c r="K302" i="6"/>
  <c r="J302" i="6"/>
  <c r="J301" i="6"/>
  <c r="K301" i="6" s="1"/>
  <c r="K300" i="6"/>
  <c r="J300" i="6"/>
  <c r="K299" i="6"/>
  <c r="J299" i="6"/>
  <c r="J298" i="6"/>
  <c r="K298" i="6" s="1"/>
  <c r="J297" i="6"/>
  <c r="K297" i="6" s="1"/>
  <c r="K296" i="6"/>
  <c r="J296" i="6"/>
  <c r="J295" i="6"/>
  <c r="K295" i="6" s="1"/>
  <c r="K294" i="6"/>
  <c r="J294" i="6"/>
  <c r="J293" i="6"/>
  <c r="K293" i="6" s="1"/>
  <c r="J292" i="6"/>
  <c r="K292" i="6" s="1"/>
  <c r="J291" i="6"/>
  <c r="K291" i="6" s="1"/>
  <c r="J290" i="6"/>
  <c r="K290" i="6" s="1"/>
  <c r="J289" i="6"/>
  <c r="K289" i="6" s="1"/>
  <c r="J288" i="6"/>
  <c r="K288" i="6" s="1"/>
  <c r="J287" i="6"/>
  <c r="K287" i="6" s="1"/>
  <c r="J286" i="6"/>
  <c r="K286" i="6" s="1"/>
  <c r="J285" i="6"/>
  <c r="K285" i="6" s="1"/>
  <c r="K284" i="6"/>
  <c r="J284" i="6"/>
  <c r="J283" i="6"/>
  <c r="K283" i="6" s="1"/>
  <c r="J282" i="6"/>
  <c r="K282" i="6" s="1"/>
  <c r="J281" i="6"/>
  <c r="K281" i="6" s="1"/>
  <c r="J280" i="6"/>
  <c r="K280" i="6" s="1"/>
  <c r="J279" i="6"/>
  <c r="K279" i="6" s="1"/>
  <c r="J278" i="6"/>
  <c r="K278" i="6" s="1"/>
  <c r="J277" i="6"/>
  <c r="K277" i="6" s="1"/>
  <c r="K276" i="6"/>
  <c r="J276" i="6"/>
  <c r="K275" i="6"/>
  <c r="J275" i="6"/>
  <c r="J274" i="6"/>
  <c r="K274" i="6" s="1"/>
  <c r="J273" i="6"/>
  <c r="K273" i="6" s="1"/>
  <c r="J272" i="6"/>
  <c r="K272" i="6" s="1"/>
  <c r="J271" i="6"/>
  <c r="K271" i="6" s="1"/>
  <c r="K270" i="6"/>
  <c r="J270" i="6"/>
  <c r="K269" i="6"/>
  <c r="J269" i="6"/>
  <c r="J268" i="6"/>
  <c r="K268" i="6" s="1"/>
  <c r="J267" i="6"/>
  <c r="K267" i="6" s="1"/>
  <c r="J266" i="6"/>
  <c r="K266" i="6" s="1"/>
  <c r="J265" i="6"/>
  <c r="K265" i="6" s="1"/>
  <c r="J264" i="6"/>
  <c r="K264" i="6" s="1"/>
  <c r="J263" i="6"/>
  <c r="K263" i="6" s="1"/>
  <c r="J262" i="6"/>
  <c r="K262" i="6" s="1"/>
  <c r="J261" i="6"/>
  <c r="K261" i="6" s="1"/>
  <c r="K260" i="6"/>
  <c r="J260" i="6"/>
  <c r="J259" i="6"/>
  <c r="K259" i="6" s="1"/>
  <c r="J258" i="6"/>
  <c r="K258" i="6" s="1"/>
  <c r="J257" i="6"/>
  <c r="K257" i="6" s="1"/>
  <c r="J256" i="6"/>
  <c r="K256" i="6" s="1"/>
  <c r="J255" i="6"/>
  <c r="K255" i="6" s="1"/>
  <c r="J254" i="6"/>
  <c r="K254" i="6" s="1"/>
  <c r="J253" i="6"/>
  <c r="K253" i="6" s="1"/>
  <c r="K252" i="6"/>
  <c r="J252" i="6"/>
  <c r="K251" i="6"/>
  <c r="J251" i="6"/>
  <c r="J250" i="6"/>
  <c r="K250" i="6" s="1"/>
  <c r="J249" i="6"/>
  <c r="K249" i="6" s="1"/>
  <c r="J248" i="6"/>
  <c r="K248" i="6" s="1"/>
  <c r="J247" i="6"/>
  <c r="K247" i="6" s="1"/>
  <c r="K246" i="6"/>
  <c r="J246" i="6"/>
  <c r="J245" i="6"/>
  <c r="K245" i="6" s="1"/>
  <c r="J244" i="6"/>
  <c r="K244" i="6" s="1"/>
  <c r="J243" i="6"/>
  <c r="K243" i="6" s="1"/>
  <c r="J242" i="6"/>
  <c r="K242" i="6" s="1"/>
  <c r="J241" i="6"/>
  <c r="K241" i="6" s="1"/>
  <c r="K240" i="6"/>
  <c r="J240" i="6"/>
  <c r="J239" i="6"/>
  <c r="K239" i="6" s="1"/>
  <c r="J238" i="6"/>
  <c r="K238" i="6" s="1"/>
  <c r="J237" i="6"/>
  <c r="K237" i="6" s="1"/>
  <c r="K236" i="6"/>
  <c r="J236" i="6"/>
  <c r="J235" i="6"/>
  <c r="K235" i="6" s="1"/>
  <c r="J234" i="6"/>
  <c r="K234" i="6" s="1"/>
  <c r="J233" i="6"/>
  <c r="K233" i="6" s="1"/>
  <c r="J232" i="6"/>
  <c r="K232" i="6" s="1"/>
  <c r="J231" i="6"/>
  <c r="K231" i="6" s="1"/>
  <c r="K230" i="6"/>
  <c r="J230" i="6"/>
  <c r="J229" i="6"/>
  <c r="K229" i="6" s="1"/>
  <c r="K228" i="6"/>
  <c r="J228" i="6"/>
  <c r="K227" i="6"/>
  <c r="J227" i="6"/>
  <c r="J226" i="6"/>
  <c r="K226" i="6" s="1"/>
  <c r="J225" i="6"/>
  <c r="K225" i="6" s="1"/>
  <c r="K224" i="6"/>
  <c r="J224" i="6"/>
  <c r="J223" i="6"/>
  <c r="K223" i="6" s="1"/>
  <c r="K222" i="6"/>
  <c r="J222" i="6"/>
  <c r="J221" i="6"/>
  <c r="K221" i="6" s="1"/>
  <c r="J220" i="6"/>
  <c r="K220" i="6" s="1"/>
  <c r="J219" i="6"/>
  <c r="K219" i="6" s="1"/>
  <c r="J218" i="6"/>
  <c r="K218" i="6" s="1"/>
  <c r="J217" i="6"/>
  <c r="K217" i="6" s="1"/>
  <c r="J216" i="6"/>
  <c r="K216" i="6" s="1"/>
  <c r="J215" i="6"/>
  <c r="K215" i="6" s="1"/>
  <c r="J214" i="6"/>
  <c r="K214" i="6" s="1"/>
  <c r="J213" i="6"/>
  <c r="K213" i="6" s="1"/>
  <c r="K212" i="6"/>
  <c r="J212" i="6"/>
  <c r="J211" i="6"/>
  <c r="K211" i="6" s="1"/>
  <c r="J210" i="6"/>
  <c r="K210" i="6" s="1"/>
  <c r="J209" i="6"/>
  <c r="K209" i="6" s="1"/>
  <c r="J208" i="6"/>
  <c r="K208" i="6" s="1"/>
  <c r="J207" i="6"/>
  <c r="K207" i="6" s="1"/>
  <c r="J206" i="6"/>
  <c r="K206" i="6" s="1"/>
  <c r="J205" i="6"/>
  <c r="K205" i="6" s="1"/>
  <c r="K204" i="6"/>
  <c r="J204" i="6"/>
  <c r="K203" i="6"/>
  <c r="J203" i="6"/>
  <c r="J202" i="6"/>
  <c r="K202" i="6" s="1"/>
  <c r="J201" i="6"/>
  <c r="K201" i="6" s="1"/>
  <c r="K200" i="6"/>
  <c r="J200" i="6"/>
  <c r="J199" i="6"/>
  <c r="K199" i="6" s="1"/>
  <c r="J198" i="6"/>
  <c r="K198" i="6" s="1"/>
  <c r="K197" i="6"/>
  <c r="J197" i="6"/>
  <c r="J196" i="6"/>
  <c r="K196" i="6" s="1"/>
  <c r="J195" i="6"/>
  <c r="K195" i="6" s="1"/>
  <c r="J194" i="6"/>
  <c r="K194" i="6" s="1"/>
  <c r="J193" i="6"/>
  <c r="K193" i="6" s="1"/>
  <c r="J192" i="6"/>
  <c r="K192" i="6" s="1"/>
  <c r="J191" i="6"/>
  <c r="K191" i="6" s="1"/>
  <c r="J190" i="6"/>
  <c r="K190" i="6" s="1"/>
  <c r="J189" i="6"/>
  <c r="K189" i="6" s="1"/>
  <c r="K188" i="6"/>
  <c r="J188" i="6"/>
  <c r="J187" i="6"/>
  <c r="K187" i="6" s="1"/>
  <c r="J186" i="6"/>
  <c r="K186" i="6" s="1"/>
  <c r="J185" i="6"/>
  <c r="K185" i="6" s="1"/>
  <c r="J184" i="6"/>
  <c r="K184" i="6" s="1"/>
  <c r="J183" i="6"/>
  <c r="K183" i="6" s="1"/>
  <c r="J182" i="6"/>
  <c r="K182" i="6" s="1"/>
  <c r="J181" i="6"/>
  <c r="K181" i="6" s="1"/>
  <c r="K180" i="6"/>
  <c r="J180" i="6"/>
  <c r="K179" i="6"/>
  <c r="J179" i="6"/>
  <c r="J178" i="6"/>
  <c r="K178" i="6" s="1"/>
  <c r="J177" i="6"/>
  <c r="K177" i="6" s="1"/>
  <c r="J176" i="6"/>
  <c r="K176" i="6" s="1"/>
  <c r="J175" i="6"/>
  <c r="K175" i="6" s="1"/>
  <c r="K174" i="6"/>
  <c r="J174" i="6"/>
  <c r="K173" i="6"/>
  <c r="J173" i="6"/>
  <c r="J172" i="6"/>
  <c r="K172" i="6" s="1"/>
  <c r="J171" i="6"/>
  <c r="K171" i="6" s="1"/>
  <c r="J170" i="6"/>
  <c r="K170" i="6" s="1"/>
  <c r="J169" i="6"/>
  <c r="K169" i="6" s="1"/>
  <c r="K168" i="6"/>
  <c r="J168" i="6"/>
  <c r="J167" i="6"/>
  <c r="K167" i="6" s="1"/>
  <c r="J166" i="6"/>
  <c r="K166" i="6" s="1"/>
  <c r="J165" i="6"/>
  <c r="K165" i="6" s="1"/>
  <c r="K164" i="6"/>
  <c r="J164" i="6"/>
  <c r="J163" i="6"/>
  <c r="K163" i="6" s="1"/>
  <c r="J162" i="6"/>
  <c r="K162" i="6" s="1"/>
  <c r="J161" i="6"/>
  <c r="K161" i="6" s="1"/>
  <c r="J160" i="6"/>
  <c r="K160" i="6" s="1"/>
  <c r="J159" i="6"/>
  <c r="K159" i="6" s="1"/>
  <c r="K158" i="6"/>
  <c r="J158" i="6"/>
  <c r="J157" i="6"/>
  <c r="K157" i="6" s="1"/>
  <c r="K156" i="6"/>
  <c r="J156" i="6"/>
  <c r="K155" i="6"/>
  <c r="J155" i="6"/>
  <c r="J154" i="6"/>
  <c r="K154" i="6" s="1"/>
  <c r="J153" i="6"/>
  <c r="K153" i="6" s="1"/>
  <c r="K152" i="6"/>
  <c r="J152" i="6"/>
  <c r="J151" i="6"/>
  <c r="K151" i="6" s="1"/>
  <c r="K150" i="6"/>
  <c r="J150" i="6"/>
  <c r="J149" i="6"/>
  <c r="K149" i="6" s="1"/>
  <c r="J148" i="6"/>
  <c r="K148" i="6" s="1"/>
  <c r="J147" i="6"/>
  <c r="K147" i="6" s="1"/>
  <c r="J146" i="6"/>
  <c r="K146" i="6" s="1"/>
  <c r="J145" i="6"/>
  <c r="K145" i="6" s="1"/>
  <c r="K144" i="6"/>
  <c r="J144" i="6"/>
  <c r="J143" i="6"/>
  <c r="K143" i="6" s="1"/>
  <c r="J142" i="6"/>
  <c r="K142" i="6" s="1"/>
  <c r="J141" i="6"/>
  <c r="K141" i="6" s="1"/>
  <c r="K140" i="6"/>
  <c r="J140" i="6"/>
  <c r="J139" i="6"/>
  <c r="K139" i="6" s="1"/>
  <c r="J138" i="6"/>
  <c r="K138" i="6" s="1"/>
  <c r="J137" i="6"/>
  <c r="K137" i="6" s="1"/>
  <c r="J136" i="6"/>
  <c r="K136" i="6" s="1"/>
  <c r="J135" i="6"/>
  <c r="K135" i="6" s="1"/>
  <c r="K134" i="6"/>
  <c r="J134" i="6"/>
  <c r="J133" i="6"/>
  <c r="K133" i="6" s="1"/>
  <c r="K132" i="6"/>
  <c r="J132" i="6"/>
  <c r="K131" i="6"/>
  <c r="J131" i="6"/>
  <c r="J130" i="6"/>
  <c r="K130" i="6" s="1"/>
  <c r="J129" i="6"/>
  <c r="K129" i="6" s="1"/>
  <c r="K128" i="6"/>
  <c r="J128" i="6"/>
  <c r="J127" i="6"/>
  <c r="K127" i="6" s="1"/>
  <c r="K126" i="6"/>
  <c r="J126" i="6"/>
  <c r="K125" i="6"/>
  <c r="J125" i="6"/>
  <c r="J124" i="6"/>
  <c r="K124" i="6" s="1"/>
  <c r="J123" i="6"/>
  <c r="K123" i="6" s="1"/>
  <c r="J122" i="6"/>
  <c r="K122" i="6" s="1"/>
  <c r="J121" i="6"/>
  <c r="K121" i="6" s="1"/>
  <c r="K120" i="6"/>
  <c r="J120" i="6"/>
  <c r="J119" i="6"/>
  <c r="K119" i="6" s="1"/>
  <c r="J118" i="6"/>
  <c r="K118" i="6" s="1"/>
  <c r="J117" i="6"/>
  <c r="K117" i="6" s="1"/>
  <c r="K116" i="6"/>
  <c r="J116" i="6"/>
  <c r="J115" i="6"/>
  <c r="K115" i="6" s="1"/>
  <c r="J114" i="6"/>
  <c r="K114" i="6" s="1"/>
  <c r="J113" i="6"/>
  <c r="K113" i="6" s="1"/>
  <c r="J112" i="6"/>
  <c r="K112" i="6" s="1"/>
  <c r="J111" i="6"/>
  <c r="K111" i="6" s="1"/>
  <c r="K110" i="6"/>
  <c r="J110" i="6"/>
  <c r="J109" i="6"/>
  <c r="K109" i="6" s="1"/>
  <c r="K108" i="6"/>
  <c r="J108" i="6"/>
  <c r="K107" i="6"/>
  <c r="J107" i="6"/>
  <c r="J106" i="6"/>
  <c r="K106" i="6" s="1"/>
  <c r="J105" i="6"/>
  <c r="K105" i="6" s="1"/>
  <c r="J104" i="6"/>
  <c r="K104" i="6" s="1"/>
  <c r="J103" i="6"/>
  <c r="K103" i="6" s="1"/>
  <c r="J102" i="6"/>
  <c r="K102" i="6" s="1"/>
  <c r="K101" i="6"/>
  <c r="J101" i="6"/>
  <c r="J100" i="6"/>
  <c r="K100" i="6" s="1"/>
  <c r="J99" i="6"/>
  <c r="K99" i="6" s="1"/>
  <c r="J98" i="6"/>
  <c r="K98" i="6" s="1"/>
  <c r="J97" i="6"/>
  <c r="K97" i="6" s="1"/>
  <c r="K96" i="6"/>
  <c r="J96" i="6"/>
  <c r="J95" i="6"/>
  <c r="K95" i="6" s="1"/>
  <c r="J94" i="6"/>
  <c r="K94" i="6" s="1"/>
  <c r="J93" i="6"/>
  <c r="K93" i="6" s="1"/>
  <c r="K92" i="6"/>
  <c r="J92" i="6"/>
  <c r="J91" i="6"/>
  <c r="K91" i="6" s="1"/>
  <c r="J90" i="6"/>
  <c r="K90" i="6" s="1"/>
  <c r="J89" i="6"/>
  <c r="K89" i="6" s="1"/>
  <c r="J88" i="6"/>
  <c r="K88" i="6" s="1"/>
  <c r="J87" i="6"/>
  <c r="K87" i="6" s="1"/>
  <c r="K86" i="6"/>
  <c r="J86" i="6"/>
  <c r="J85" i="6"/>
  <c r="K85" i="6" s="1"/>
  <c r="K84" i="6"/>
  <c r="J84" i="6"/>
  <c r="K83" i="6"/>
  <c r="J83" i="6"/>
  <c r="J82" i="6"/>
  <c r="K82" i="6" s="1"/>
  <c r="J81" i="6"/>
  <c r="K81" i="6" s="1"/>
  <c r="K80" i="6"/>
  <c r="J80" i="6"/>
  <c r="J79" i="6"/>
  <c r="K79" i="6" s="1"/>
  <c r="K78" i="6"/>
  <c r="J78" i="6"/>
  <c r="J77" i="6"/>
  <c r="K77" i="6" s="1"/>
  <c r="J76" i="6"/>
  <c r="K76" i="6" s="1"/>
  <c r="J75" i="6"/>
  <c r="K75" i="6" s="1"/>
  <c r="J74" i="6"/>
  <c r="K74" i="6" s="1"/>
  <c r="J73" i="6"/>
  <c r="K73" i="6" s="1"/>
  <c r="J72" i="6"/>
  <c r="K72" i="6" s="1"/>
  <c r="J71" i="6"/>
  <c r="K71" i="6" s="1"/>
  <c r="J70" i="6"/>
  <c r="K70" i="6" s="1"/>
  <c r="J69" i="6"/>
  <c r="K69" i="6" s="1"/>
  <c r="K68" i="6"/>
  <c r="J68" i="6"/>
  <c r="J67" i="6"/>
  <c r="K67" i="6" s="1"/>
  <c r="J66" i="6"/>
  <c r="K66" i="6" s="1"/>
  <c r="J65" i="6"/>
  <c r="K65" i="6" s="1"/>
  <c r="J64" i="6"/>
  <c r="K64" i="6" s="1"/>
  <c r="J63" i="6"/>
  <c r="K63" i="6" s="1"/>
  <c r="J62" i="6"/>
  <c r="K62" i="6" s="1"/>
  <c r="J61" i="6"/>
  <c r="K61" i="6" s="1"/>
  <c r="K60" i="6"/>
  <c r="J60" i="6"/>
  <c r="K59" i="6"/>
  <c r="J59" i="6"/>
  <c r="J58" i="6"/>
  <c r="K58" i="6" s="1"/>
  <c r="J57" i="6"/>
  <c r="K57" i="6" s="1"/>
  <c r="J56" i="6"/>
  <c r="K56" i="6" s="1"/>
  <c r="J55" i="6"/>
  <c r="K55" i="6" s="1"/>
  <c r="J54" i="6"/>
  <c r="K54" i="6" s="1"/>
  <c r="K53" i="6"/>
  <c r="J53" i="6"/>
  <c r="J52" i="6"/>
  <c r="K52" i="6" s="1"/>
  <c r="J51" i="6"/>
  <c r="K51" i="6" s="1"/>
  <c r="J50" i="6"/>
  <c r="K50" i="6" s="1"/>
  <c r="J49" i="6"/>
  <c r="K49" i="6" s="1"/>
  <c r="K48" i="6"/>
  <c r="J48" i="6"/>
  <c r="J47" i="6"/>
  <c r="K47" i="6" s="1"/>
  <c r="J46" i="6"/>
  <c r="K46" i="6" s="1"/>
  <c r="J45" i="6"/>
  <c r="K45" i="6" s="1"/>
  <c r="K44" i="6"/>
  <c r="J44" i="6"/>
  <c r="J43" i="6"/>
  <c r="K43" i="6" s="1"/>
  <c r="J42" i="6"/>
  <c r="K42" i="6" s="1"/>
  <c r="J41" i="6"/>
  <c r="K41" i="6" s="1"/>
  <c r="J40" i="6"/>
  <c r="K40" i="6" s="1"/>
  <c r="J39" i="6"/>
  <c r="K39" i="6" s="1"/>
  <c r="K38" i="6"/>
  <c r="J38" i="6"/>
  <c r="J37" i="6"/>
  <c r="K37" i="6" s="1"/>
  <c r="K36" i="6"/>
  <c r="J36" i="6"/>
  <c r="K35" i="6"/>
  <c r="J35" i="6"/>
  <c r="J34" i="6"/>
  <c r="K34" i="6" s="1"/>
  <c r="J33" i="6"/>
  <c r="K33" i="6" s="1"/>
  <c r="J32" i="6"/>
  <c r="K32" i="6" s="1"/>
  <c r="J31" i="6"/>
  <c r="K31" i="6" s="1"/>
  <c r="K30" i="6"/>
  <c r="J30" i="6"/>
  <c r="J29" i="6"/>
  <c r="K29" i="6" s="1"/>
  <c r="J28" i="6"/>
  <c r="K28" i="6" s="1"/>
  <c r="J27" i="6"/>
  <c r="K27" i="6" s="1"/>
  <c r="J26" i="6"/>
  <c r="K26" i="6" s="1"/>
  <c r="J25" i="6"/>
  <c r="K25" i="6" s="1"/>
  <c r="K24" i="6"/>
  <c r="J24" i="6"/>
  <c r="J23" i="6"/>
  <c r="K23" i="6" s="1"/>
  <c r="J22" i="6"/>
  <c r="K22" i="6" s="1"/>
  <c r="J21" i="6"/>
  <c r="K21" i="6" s="1"/>
  <c r="K20" i="6"/>
  <c r="J20" i="6"/>
  <c r="J19" i="6"/>
  <c r="K19" i="6" s="1"/>
  <c r="J18" i="6"/>
  <c r="K18" i="6" s="1"/>
  <c r="J17" i="6"/>
  <c r="K17" i="6" s="1"/>
  <c r="J16" i="6"/>
  <c r="K16" i="6" s="1"/>
  <c r="J15" i="6"/>
  <c r="K15" i="6" s="1"/>
  <c r="K14" i="6"/>
  <c r="J14" i="6"/>
  <c r="J13" i="6"/>
  <c r="K13" i="6" s="1"/>
  <c r="K12" i="6"/>
  <c r="J12" i="6"/>
  <c r="K11" i="6"/>
  <c r="J11" i="6"/>
  <c r="M382" i="5"/>
  <c r="K382" i="5"/>
  <c r="C382" i="5"/>
  <c r="M381" i="5"/>
  <c r="C381" i="5"/>
  <c r="M380" i="5"/>
  <c r="C380" i="5"/>
  <c r="K380" i="5" s="1"/>
  <c r="M379" i="5"/>
  <c r="K379" i="5"/>
  <c r="C379" i="5"/>
  <c r="M378" i="5"/>
  <c r="C378" i="5"/>
  <c r="M377" i="5"/>
  <c r="K377" i="5" s="1"/>
  <c r="C377" i="5"/>
  <c r="M376" i="5"/>
  <c r="K376" i="5"/>
  <c r="C376" i="5"/>
  <c r="M375" i="5"/>
  <c r="K375" i="5"/>
  <c r="C375" i="5"/>
  <c r="M374" i="5"/>
  <c r="K374" i="5"/>
  <c r="C374" i="5"/>
  <c r="M373" i="5"/>
  <c r="K373" i="5" s="1"/>
  <c r="C373" i="5"/>
  <c r="M372" i="5"/>
  <c r="C372" i="5"/>
  <c r="K372" i="5" s="1"/>
  <c r="M371" i="5"/>
  <c r="K371" i="5"/>
  <c r="C371" i="5"/>
  <c r="M370" i="5"/>
  <c r="C370" i="5"/>
  <c r="M369" i="5"/>
  <c r="C369" i="5"/>
  <c r="M368" i="5"/>
  <c r="C368" i="5"/>
  <c r="M367" i="5"/>
  <c r="K367" i="5"/>
  <c r="C367" i="5"/>
  <c r="M366" i="5"/>
  <c r="K366" i="5"/>
  <c r="C366" i="5"/>
  <c r="M365" i="5"/>
  <c r="K365" i="5" s="1"/>
  <c r="C365" i="5"/>
  <c r="M364" i="5"/>
  <c r="K364" i="5" s="1"/>
  <c r="C364" i="5"/>
  <c r="M363" i="5"/>
  <c r="K363" i="5"/>
  <c r="C363" i="5"/>
  <c r="M362" i="5"/>
  <c r="K362" i="5" s="1"/>
  <c r="C362" i="5"/>
  <c r="M361" i="5"/>
  <c r="C361" i="5"/>
  <c r="M360" i="5"/>
  <c r="C360" i="5"/>
  <c r="K360" i="5" s="1"/>
  <c r="M359" i="5"/>
  <c r="K359" i="5"/>
  <c r="C359" i="5"/>
  <c r="M358" i="5"/>
  <c r="K358" i="5" s="1"/>
  <c r="C358" i="5"/>
  <c r="M357" i="5"/>
  <c r="K357" i="5" s="1"/>
  <c r="C357" i="5"/>
  <c r="M356" i="5"/>
  <c r="C356" i="5"/>
  <c r="M355" i="5"/>
  <c r="K355" i="5" s="1"/>
  <c r="C355" i="5"/>
  <c r="M354" i="5"/>
  <c r="K354" i="5" s="1"/>
  <c r="C354" i="5"/>
  <c r="M353" i="5"/>
  <c r="C353" i="5"/>
  <c r="M352" i="5"/>
  <c r="K352" i="5"/>
  <c r="C352" i="5"/>
  <c r="M351" i="5"/>
  <c r="K351" i="5"/>
  <c r="C351" i="5"/>
  <c r="M350" i="5"/>
  <c r="K350" i="5"/>
  <c r="C350" i="5"/>
  <c r="M349" i="5"/>
  <c r="K349" i="5" s="1"/>
  <c r="C349" i="5"/>
  <c r="M348" i="5"/>
  <c r="C348" i="5"/>
  <c r="M347" i="5"/>
  <c r="K347" i="5"/>
  <c r="C347" i="5"/>
  <c r="M346" i="5"/>
  <c r="C346" i="5"/>
  <c r="K346" i="5" s="1"/>
  <c r="M345" i="5"/>
  <c r="K345" i="5" s="1"/>
  <c r="C345" i="5"/>
  <c r="M344" i="5"/>
  <c r="K344" i="5"/>
  <c r="C344" i="5"/>
  <c r="M343" i="5"/>
  <c r="K343" i="5" s="1"/>
  <c r="C343" i="5"/>
  <c r="M342" i="5"/>
  <c r="C342" i="5"/>
  <c r="K342" i="5" s="1"/>
  <c r="M341" i="5"/>
  <c r="C341" i="5"/>
  <c r="M340" i="5"/>
  <c r="K340" i="5"/>
  <c r="C340" i="5"/>
  <c r="M339" i="5"/>
  <c r="K339" i="5"/>
  <c r="C339" i="5"/>
  <c r="M338" i="5"/>
  <c r="C338" i="5"/>
  <c r="K338" i="5" s="1"/>
  <c r="M337" i="5"/>
  <c r="K337" i="5" s="1"/>
  <c r="C337" i="5"/>
  <c r="M336" i="5"/>
  <c r="C336" i="5"/>
  <c r="K336" i="5" s="1"/>
  <c r="M335" i="5"/>
  <c r="K335" i="5" s="1"/>
  <c r="C335" i="5"/>
  <c r="M334" i="5"/>
  <c r="K334" i="5"/>
  <c r="C334" i="5"/>
  <c r="M333" i="5"/>
  <c r="C333" i="5"/>
  <c r="M332" i="5"/>
  <c r="K332" i="5" s="1"/>
  <c r="C332" i="5"/>
  <c r="M331" i="5"/>
  <c r="K331" i="5" s="1"/>
  <c r="C331" i="5"/>
  <c r="M330" i="5"/>
  <c r="K330" i="5" s="1"/>
  <c r="C330" i="5"/>
  <c r="M329" i="5"/>
  <c r="K329" i="5" s="1"/>
  <c r="C329" i="5"/>
  <c r="M328" i="5"/>
  <c r="C328" i="5"/>
  <c r="K328" i="5" s="1"/>
  <c r="M327" i="5"/>
  <c r="K327" i="5" s="1"/>
  <c r="C327" i="5"/>
  <c r="M326" i="5"/>
  <c r="K326" i="5"/>
  <c r="C326" i="5"/>
  <c r="M325" i="5"/>
  <c r="C325" i="5"/>
  <c r="M324" i="5"/>
  <c r="C324" i="5"/>
  <c r="K324" i="5" s="1"/>
  <c r="M323" i="5"/>
  <c r="K323" i="5"/>
  <c r="C323" i="5"/>
  <c r="M322" i="5"/>
  <c r="C322" i="5"/>
  <c r="M321" i="5"/>
  <c r="C321" i="5"/>
  <c r="M320" i="5"/>
  <c r="K320" i="5"/>
  <c r="C320" i="5"/>
  <c r="M319" i="5"/>
  <c r="K319" i="5"/>
  <c r="C319" i="5"/>
  <c r="M318" i="5"/>
  <c r="K318" i="5"/>
  <c r="C318" i="5"/>
  <c r="M317" i="5"/>
  <c r="K317" i="5" s="1"/>
  <c r="C317" i="5"/>
  <c r="M316" i="5"/>
  <c r="K316" i="5" s="1"/>
  <c r="C316" i="5"/>
  <c r="M315" i="5"/>
  <c r="K315" i="5"/>
  <c r="C315" i="5"/>
  <c r="M314" i="5"/>
  <c r="K314" i="5" s="1"/>
  <c r="C314" i="5"/>
  <c r="M313" i="5"/>
  <c r="C313" i="5"/>
  <c r="M312" i="5"/>
  <c r="K312" i="5"/>
  <c r="C312" i="5"/>
  <c r="M311" i="5"/>
  <c r="K311" i="5" s="1"/>
  <c r="C311" i="5"/>
  <c r="M310" i="5"/>
  <c r="K310" i="5"/>
  <c r="C310" i="5"/>
  <c r="M309" i="5"/>
  <c r="K309" i="5" s="1"/>
  <c r="C309" i="5"/>
  <c r="M308" i="5"/>
  <c r="K308" i="5" s="1"/>
  <c r="C308" i="5"/>
  <c r="M307" i="5"/>
  <c r="K307" i="5" s="1"/>
  <c r="C307" i="5"/>
  <c r="M306" i="5"/>
  <c r="C306" i="5"/>
  <c r="K306" i="5" s="1"/>
  <c r="M305" i="5"/>
  <c r="C305" i="5"/>
  <c r="M304" i="5"/>
  <c r="K304" i="5"/>
  <c r="C304" i="5"/>
  <c r="M303" i="5"/>
  <c r="K303" i="5" s="1"/>
  <c r="C303" i="5"/>
  <c r="M302" i="5"/>
  <c r="K302" i="5" s="1"/>
  <c r="C302" i="5"/>
  <c r="M301" i="5"/>
  <c r="C301" i="5"/>
  <c r="M300" i="5"/>
  <c r="K300" i="5" s="1"/>
  <c r="C300" i="5"/>
  <c r="M299" i="5"/>
  <c r="K299" i="5"/>
  <c r="C299" i="5"/>
  <c r="M298" i="5"/>
  <c r="K298" i="5" s="1"/>
  <c r="C298" i="5"/>
  <c r="M297" i="5"/>
  <c r="C297" i="5"/>
  <c r="M296" i="5"/>
  <c r="K296" i="5"/>
  <c r="C296" i="5"/>
  <c r="M295" i="5"/>
  <c r="K295" i="5" s="1"/>
  <c r="C295" i="5"/>
  <c r="M294" i="5"/>
  <c r="K294" i="5"/>
  <c r="C294" i="5"/>
  <c r="M293" i="5"/>
  <c r="C293" i="5"/>
  <c r="M292" i="5"/>
  <c r="C292" i="5"/>
  <c r="K292" i="5" s="1"/>
  <c r="M291" i="5"/>
  <c r="K291" i="5"/>
  <c r="C291" i="5"/>
  <c r="M290" i="5"/>
  <c r="K290" i="5" s="1"/>
  <c r="C290" i="5"/>
  <c r="M289" i="5"/>
  <c r="K289" i="5" s="1"/>
  <c r="C289" i="5"/>
  <c r="M288" i="5"/>
  <c r="K288" i="5" s="1"/>
  <c r="C288" i="5"/>
  <c r="M287" i="5"/>
  <c r="K287" i="5" s="1"/>
  <c r="C287" i="5"/>
  <c r="M286" i="5"/>
  <c r="K286" i="5"/>
  <c r="C286" i="5"/>
  <c r="M285" i="5"/>
  <c r="K285" i="5" s="1"/>
  <c r="C285" i="5"/>
  <c r="M284" i="5"/>
  <c r="K284" i="5" s="1"/>
  <c r="C284" i="5"/>
  <c r="M283" i="5"/>
  <c r="K283" i="5"/>
  <c r="C283" i="5"/>
  <c r="M282" i="5"/>
  <c r="K282" i="5" s="1"/>
  <c r="C282" i="5"/>
  <c r="M281" i="5"/>
  <c r="C281" i="5"/>
  <c r="M280" i="5"/>
  <c r="K280" i="5"/>
  <c r="C280" i="5"/>
  <c r="M279" i="5"/>
  <c r="K279" i="5"/>
  <c r="C279" i="5"/>
  <c r="M278" i="5"/>
  <c r="K278" i="5"/>
  <c r="C278" i="5"/>
  <c r="M277" i="5"/>
  <c r="C277" i="5"/>
  <c r="M276" i="5"/>
  <c r="C276" i="5"/>
  <c r="M275" i="5"/>
  <c r="K275" i="5" s="1"/>
  <c r="C275" i="5"/>
  <c r="M274" i="5"/>
  <c r="C274" i="5"/>
  <c r="M273" i="5"/>
  <c r="C273" i="5"/>
  <c r="M272" i="5"/>
  <c r="K272" i="5" s="1"/>
  <c r="C272" i="5"/>
  <c r="M271" i="5"/>
  <c r="K271" i="5" s="1"/>
  <c r="C271" i="5"/>
  <c r="M270" i="5"/>
  <c r="K270" i="5"/>
  <c r="C270" i="5"/>
  <c r="M269" i="5"/>
  <c r="K269" i="5" s="1"/>
  <c r="C269" i="5"/>
  <c r="M268" i="5"/>
  <c r="K268" i="5"/>
  <c r="C268" i="5"/>
  <c r="M267" i="5"/>
  <c r="K267" i="5"/>
  <c r="C267" i="5"/>
  <c r="M266" i="5"/>
  <c r="K266" i="5" s="1"/>
  <c r="C266" i="5"/>
  <c r="M265" i="5"/>
  <c r="C265" i="5"/>
  <c r="M264" i="5"/>
  <c r="C264" i="5"/>
  <c r="K264" i="5" s="1"/>
  <c r="M263" i="5"/>
  <c r="K263" i="5" s="1"/>
  <c r="C263" i="5"/>
  <c r="M262" i="5"/>
  <c r="K262" i="5"/>
  <c r="C262" i="5"/>
  <c r="M261" i="5"/>
  <c r="K261" i="5" s="1"/>
  <c r="C261" i="5"/>
  <c r="M260" i="5"/>
  <c r="C260" i="5"/>
  <c r="M259" i="5"/>
  <c r="K259" i="5"/>
  <c r="C259" i="5"/>
  <c r="M258" i="5"/>
  <c r="C258" i="5"/>
  <c r="K258" i="5" s="1"/>
  <c r="M257" i="5"/>
  <c r="K257" i="5" s="1"/>
  <c r="C257" i="5"/>
  <c r="M256" i="5"/>
  <c r="K256" i="5"/>
  <c r="C256" i="5"/>
  <c r="M255" i="5"/>
  <c r="K255" i="5"/>
  <c r="C255" i="5"/>
  <c r="M254" i="5"/>
  <c r="K254" i="5" s="1"/>
  <c r="C254" i="5"/>
  <c r="M253" i="5"/>
  <c r="K253" i="5" s="1"/>
  <c r="C253" i="5"/>
  <c r="M252" i="5"/>
  <c r="C252" i="5"/>
  <c r="M251" i="5"/>
  <c r="K251" i="5"/>
  <c r="C251" i="5"/>
  <c r="M250" i="5"/>
  <c r="C250" i="5"/>
  <c r="K250" i="5" s="1"/>
  <c r="M249" i="5"/>
  <c r="C249" i="5"/>
  <c r="M248" i="5"/>
  <c r="K248" i="5"/>
  <c r="C248" i="5"/>
  <c r="M247" i="5"/>
  <c r="K247" i="5" s="1"/>
  <c r="C247" i="5"/>
  <c r="M246" i="5"/>
  <c r="C246" i="5"/>
  <c r="K246" i="5" s="1"/>
  <c r="M245" i="5"/>
  <c r="C245" i="5"/>
  <c r="M244" i="5"/>
  <c r="K244" i="5" s="1"/>
  <c r="C244" i="5"/>
  <c r="M243" i="5"/>
  <c r="K243" i="5"/>
  <c r="C243" i="5"/>
  <c r="M242" i="5"/>
  <c r="C242" i="5"/>
  <c r="K242" i="5" s="1"/>
  <c r="M241" i="5"/>
  <c r="K241" i="5" s="1"/>
  <c r="C241" i="5"/>
  <c r="M240" i="5"/>
  <c r="C240" i="5"/>
  <c r="K240" i="5" s="1"/>
  <c r="M239" i="5"/>
  <c r="K239" i="5" s="1"/>
  <c r="C239" i="5"/>
  <c r="M238" i="5"/>
  <c r="K238" i="5"/>
  <c r="C238" i="5"/>
  <c r="M237" i="5"/>
  <c r="C237" i="5"/>
  <c r="M236" i="5"/>
  <c r="K236" i="5" s="1"/>
  <c r="C236" i="5"/>
  <c r="M235" i="5"/>
  <c r="K235" i="5"/>
  <c r="C235" i="5"/>
  <c r="M234" i="5"/>
  <c r="K234" i="5" s="1"/>
  <c r="C234" i="5"/>
  <c r="M233" i="5"/>
  <c r="K233" i="5" s="1"/>
  <c r="C233" i="5"/>
  <c r="M232" i="5"/>
  <c r="C232" i="5"/>
  <c r="K232" i="5" s="1"/>
  <c r="M231" i="5"/>
  <c r="K231" i="5" s="1"/>
  <c r="C231" i="5"/>
  <c r="M230" i="5"/>
  <c r="K230" i="5"/>
  <c r="C230" i="5"/>
  <c r="M229" i="5"/>
  <c r="C229" i="5"/>
  <c r="M228" i="5"/>
  <c r="C228" i="5"/>
  <c r="K228" i="5" s="1"/>
  <c r="M227" i="5"/>
  <c r="K227" i="5" s="1"/>
  <c r="C227" i="5"/>
  <c r="M226" i="5"/>
  <c r="K226" i="5" s="1"/>
  <c r="C226" i="5"/>
  <c r="M225" i="5"/>
  <c r="C225" i="5"/>
  <c r="M224" i="5"/>
  <c r="K224" i="5"/>
  <c r="C224" i="5"/>
  <c r="M223" i="5"/>
  <c r="K223" i="5"/>
  <c r="C223" i="5"/>
  <c r="M222" i="5"/>
  <c r="K222" i="5"/>
  <c r="C222" i="5"/>
  <c r="M221" i="5"/>
  <c r="K221" i="5" s="1"/>
  <c r="C221" i="5"/>
  <c r="M220" i="5"/>
  <c r="K220" i="5" s="1"/>
  <c r="C220" i="5"/>
  <c r="M219" i="5"/>
  <c r="K219" i="5"/>
  <c r="C219" i="5"/>
  <c r="M218" i="5"/>
  <c r="K218" i="5" s="1"/>
  <c r="C218" i="5"/>
  <c r="M217" i="5"/>
  <c r="C217" i="5"/>
  <c r="M216" i="5"/>
  <c r="K216" i="5"/>
  <c r="C216" i="5"/>
  <c r="M215" i="5"/>
  <c r="K215" i="5" s="1"/>
  <c r="C215" i="5"/>
  <c r="M214" i="5"/>
  <c r="C214" i="5"/>
  <c r="K214" i="5" s="1"/>
  <c r="M213" i="5"/>
  <c r="K213" i="5" s="1"/>
  <c r="C213" i="5"/>
  <c r="M212" i="5"/>
  <c r="K212" i="5" s="1"/>
  <c r="C212" i="5"/>
  <c r="M211" i="5"/>
  <c r="K211" i="5"/>
  <c r="C211" i="5"/>
  <c r="M210" i="5"/>
  <c r="C210" i="5"/>
  <c r="K210" i="5" s="1"/>
  <c r="M209" i="5"/>
  <c r="C209" i="5"/>
  <c r="M208" i="5"/>
  <c r="K208" i="5"/>
  <c r="C208" i="5"/>
  <c r="M207" i="5"/>
  <c r="K207" i="5" s="1"/>
  <c r="C207" i="5"/>
  <c r="M206" i="5"/>
  <c r="C206" i="5"/>
  <c r="K206" i="5" s="1"/>
  <c r="M205" i="5"/>
  <c r="C205" i="5"/>
  <c r="M204" i="5"/>
  <c r="C204" i="5"/>
  <c r="M203" i="5"/>
  <c r="K203" i="5"/>
  <c r="C203" i="5"/>
  <c r="M202" i="5"/>
  <c r="K202" i="5"/>
  <c r="C202" i="5"/>
  <c r="M201" i="5"/>
  <c r="C201" i="5"/>
  <c r="M200" i="5"/>
  <c r="K200" i="5"/>
  <c r="C200" i="5"/>
  <c r="M199" i="5"/>
  <c r="K199" i="5"/>
  <c r="C199" i="5"/>
  <c r="M198" i="5"/>
  <c r="K198" i="5" s="1"/>
  <c r="C198" i="5"/>
  <c r="M197" i="5"/>
  <c r="C197" i="5"/>
  <c r="M196" i="5"/>
  <c r="K196" i="5"/>
  <c r="C196" i="5"/>
  <c r="M195" i="5"/>
  <c r="K195" i="5"/>
  <c r="C195" i="5"/>
  <c r="M194" i="5"/>
  <c r="K194" i="5"/>
  <c r="C194" i="5"/>
  <c r="M193" i="5"/>
  <c r="K193" i="5" s="1"/>
  <c r="C193" i="5"/>
  <c r="M192" i="5"/>
  <c r="C192" i="5"/>
  <c r="K192" i="5" s="1"/>
  <c r="M191" i="5"/>
  <c r="K191" i="5" s="1"/>
  <c r="C191" i="5"/>
  <c r="M190" i="5"/>
  <c r="C190" i="5"/>
  <c r="K190" i="5" s="1"/>
  <c r="M189" i="5"/>
  <c r="K189" i="5" s="1"/>
  <c r="C189" i="5"/>
  <c r="M188" i="5"/>
  <c r="K188" i="5" s="1"/>
  <c r="C188" i="5"/>
  <c r="M187" i="5"/>
  <c r="K187" i="5"/>
  <c r="C187" i="5"/>
  <c r="M186" i="5"/>
  <c r="K186" i="5" s="1"/>
  <c r="C186" i="5"/>
  <c r="M185" i="5"/>
  <c r="K185" i="5" s="1"/>
  <c r="C185" i="5"/>
  <c r="M184" i="5"/>
  <c r="K184" i="5"/>
  <c r="C184" i="5"/>
  <c r="M183" i="5"/>
  <c r="K183" i="5"/>
  <c r="C183" i="5"/>
  <c r="M182" i="5"/>
  <c r="K182" i="5"/>
  <c r="C182" i="5"/>
  <c r="M181" i="5"/>
  <c r="C181" i="5"/>
  <c r="M180" i="5"/>
  <c r="K180" i="5" s="1"/>
  <c r="C180" i="5"/>
  <c r="M179" i="5"/>
  <c r="K179" i="5"/>
  <c r="C179" i="5"/>
  <c r="M178" i="5"/>
  <c r="K178" i="5" s="1"/>
  <c r="C178" i="5"/>
  <c r="M177" i="5"/>
  <c r="C177" i="5"/>
  <c r="M176" i="5"/>
  <c r="C176" i="5"/>
  <c r="K176" i="5" s="1"/>
  <c r="M175" i="5"/>
  <c r="K175" i="5"/>
  <c r="C175" i="5"/>
  <c r="M174" i="5"/>
  <c r="K174" i="5" s="1"/>
  <c r="C174" i="5"/>
  <c r="M173" i="5"/>
  <c r="K173" i="5" s="1"/>
  <c r="C173" i="5"/>
  <c r="M172" i="5"/>
  <c r="K172" i="5"/>
  <c r="C172" i="5"/>
  <c r="M171" i="5"/>
  <c r="K171" i="5" s="1"/>
  <c r="C171" i="5"/>
  <c r="M170" i="5"/>
  <c r="K170" i="5"/>
  <c r="C170" i="5"/>
  <c r="M169" i="5"/>
  <c r="C169" i="5"/>
  <c r="M168" i="5"/>
  <c r="K168" i="5" s="1"/>
  <c r="C168" i="5"/>
  <c r="M167" i="5"/>
  <c r="K167" i="5" s="1"/>
  <c r="C167" i="5"/>
  <c r="M166" i="5"/>
  <c r="K166" i="5" s="1"/>
  <c r="C166" i="5"/>
  <c r="M165" i="5"/>
  <c r="K165" i="5" s="1"/>
  <c r="C165" i="5"/>
  <c r="M164" i="5"/>
  <c r="K164" i="5"/>
  <c r="C164" i="5"/>
  <c r="M163" i="5"/>
  <c r="K163" i="5"/>
  <c r="C163" i="5"/>
  <c r="M162" i="5"/>
  <c r="K162" i="5"/>
  <c r="C162" i="5"/>
  <c r="M161" i="5"/>
  <c r="K161" i="5" s="1"/>
  <c r="C161" i="5"/>
  <c r="M160" i="5"/>
  <c r="C160" i="5"/>
  <c r="K160" i="5" s="1"/>
  <c r="M159" i="5"/>
  <c r="K159" i="5" s="1"/>
  <c r="C159" i="5"/>
  <c r="M158" i="5"/>
  <c r="K158" i="5" s="1"/>
  <c r="C158" i="5"/>
  <c r="M157" i="5"/>
  <c r="C157" i="5"/>
  <c r="M156" i="5"/>
  <c r="C156" i="5"/>
  <c r="M155" i="5"/>
  <c r="K155" i="5" s="1"/>
  <c r="C155" i="5"/>
  <c r="M154" i="5"/>
  <c r="K154" i="5" s="1"/>
  <c r="C154" i="5"/>
  <c r="M153" i="5"/>
  <c r="C153" i="5"/>
  <c r="M152" i="5"/>
  <c r="K152" i="5"/>
  <c r="C152" i="5"/>
  <c r="M151" i="5"/>
  <c r="K151" i="5" s="1"/>
  <c r="C151" i="5"/>
  <c r="M150" i="5"/>
  <c r="K150" i="5" s="1"/>
  <c r="C150" i="5"/>
  <c r="M149" i="5"/>
  <c r="K149" i="5" s="1"/>
  <c r="C149" i="5"/>
  <c r="M148" i="5"/>
  <c r="K148" i="5" s="1"/>
  <c r="C148" i="5"/>
  <c r="M147" i="5"/>
  <c r="K147" i="5"/>
  <c r="C147" i="5"/>
  <c r="M146" i="5"/>
  <c r="C146" i="5"/>
  <c r="M145" i="5"/>
  <c r="K145" i="5" s="1"/>
  <c r="C145" i="5"/>
  <c r="M144" i="5"/>
  <c r="K144" i="5"/>
  <c r="C144" i="5"/>
  <c r="M143" i="5"/>
  <c r="K143" i="5" s="1"/>
  <c r="C143" i="5"/>
  <c r="M142" i="5"/>
  <c r="K142" i="5" s="1"/>
  <c r="C142" i="5"/>
  <c r="M141" i="5"/>
  <c r="C141" i="5"/>
  <c r="M140" i="5"/>
  <c r="K140" i="5" s="1"/>
  <c r="C140" i="5"/>
  <c r="M139" i="5"/>
  <c r="K139" i="5" s="1"/>
  <c r="C139" i="5"/>
  <c r="M138" i="5"/>
  <c r="K138" i="5"/>
  <c r="C138" i="5"/>
  <c r="M137" i="5"/>
  <c r="K137" i="5" s="1"/>
  <c r="C137" i="5"/>
  <c r="M136" i="5"/>
  <c r="K136" i="5" s="1"/>
  <c r="C136" i="5"/>
  <c r="M135" i="5"/>
  <c r="K135" i="5"/>
  <c r="C135" i="5"/>
  <c r="M134" i="5"/>
  <c r="C134" i="5"/>
  <c r="K134" i="5" s="1"/>
  <c r="M133" i="5"/>
  <c r="K133" i="5" s="1"/>
  <c r="C133" i="5"/>
  <c r="M132" i="5"/>
  <c r="K132" i="5" s="1"/>
  <c r="C132" i="5"/>
  <c r="M131" i="5"/>
  <c r="K131" i="5" s="1"/>
  <c r="C131" i="5"/>
  <c r="M130" i="5"/>
  <c r="C130" i="5"/>
  <c r="M129" i="5"/>
  <c r="C129" i="5"/>
  <c r="M128" i="5"/>
  <c r="K128" i="5"/>
  <c r="C128" i="5"/>
  <c r="M127" i="5"/>
  <c r="K127" i="5" s="1"/>
  <c r="C127" i="5"/>
  <c r="M126" i="5"/>
  <c r="K126" i="5"/>
  <c r="C126" i="5"/>
  <c r="M125" i="5"/>
  <c r="K125" i="5" s="1"/>
  <c r="C125" i="5"/>
  <c r="M124" i="5"/>
  <c r="C124" i="5"/>
  <c r="K124" i="5" s="1"/>
  <c r="M123" i="5"/>
  <c r="K123" i="5" s="1"/>
  <c r="C123" i="5"/>
  <c r="M122" i="5"/>
  <c r="K122" i="5" s="1"/>
  <c r="C122" i="5"/>
  <c r="M121" i="5"/>
  <c r="C121" i="5"/>
  <c r="M120" i="5"/>
  <c r="K120" i="5"/>
  <c r="C120" i="5"/>
  <c r="M119" i="5"/>
  <c r="K119" i="5"/>
  <c r="C119" i="5"/>
  <c r="M118" i="5"/>
  <c r="K118" i="5"/>
  <c r="C118" i="5"/>
  <c r="M117" i="5"/>
  <c r="K117" i="5" s="1"/>
  <c r="C117" i="5"/>
  <c r="M116" i="5"/>
  <c r="C116" i="5"/>
  <c r="M115" i="5"/>
  <c r="K115" i="5" s="1"/>
  <c r="C115" i="5"/>
  <c r="M114" i="5"/>
  <c r="C114" i="5"/>
  <c r="K114" i="5" s="1"/>
  <c r="M113" i="5"/>
  <c r="C113" i="5"/>
  <c r="M112" i="5"/>
  <c r="K112" i="5"/>
  <c r="C112" i="5"/>
  <c r="M111" i="5"/>
  <c r="K111" i="5"/>
  <c r="C111" i="5"/>
  <c r="M110" i="5"/>
  <c r="C110" i="5"/>
  <c r="K110" i="5" s="1"/>
  <c r="M109" i="5"/>
  <c r="K109" i="5" s="1"/>
  <c r="C109" i="5"/>
  <c r="M108" i="5"/>
  <c r="K108" i="5" s="1"/>
  <c r="C108" i="5"/>
  <c r="M107" i="5"/>
  <c r="K107" i="5" s="1"/>
  <c r="C107" i="5"/>
  <c r="M106" i="5"/>
  <c r="K106" i="5"/>
  <c r="C106" i="5"/>
  <c r="M105" i="5"/>
  <c r="C105" i="5"/>
  <c r="K105" i="5" s="1"/>
  <c r="M104" i="5"/>
  <c r="C104" i="5"/>
  <c r="M103" i="5"/>
  <c r="K103" i="5"/>
  <c r="C103" i="5"/>
  <c r="M102" i="5"/>
  <c r="C102" i="5"/>
  <c r="K102" i="5" s="1"/>
  <c r="M101" i="5"/>
  <c r="C101" i="5"/>
  <c r="K101" i="5" s="1"/>
  <c r="M100" i="5"/>
  <c r="K100" i="5" s="1"/>
  <c r="C100" i="5"/>
  <c r="M99" i="5"/>
  <c r="K99" i="5" s="1"/>
  <c r="C99" i="5"/>
  <c r="M98" i="5"/>
  <c r="K98" i="5"/>
  <c r="C98" i="5"/>
  <c r="M97" i="5"/>
  <c r="K97" i="5"/>
  <c r="C97" i="5"/>
  <c r="M96" i="5"/>
  <c r="C96" i="5"/>
  <c r="M95" i="5"/>
  <c r="K95" i="5"/>
  <c r="C95" i="5"/>
  <c r="M94" i="5"/>
  <c r="K94" i="5" s="1"/>
  <c r="C94" i="5"/>
  <c r="M93" i="5"/>
  <c r="K93" i="5" s="1"/>
  <c r="C93" i="5"/>
  <c r="M92" i="5"/>
  <c r="K92" i="5" s="1"/>
  <c r="C92" i="5"/>
  <c r="M91" i="5"/>
  <c r="K91" i="5" s="1"/>
  <c r="C91" i="5"/>
  <c r="M90" i="5"/>
  <c r="K90" i="5"/>
  <c r="C90" i="5"/>
  <c r="M89" i="5"/>
  <c r="K89" i="5"/>
  <c r="C89" i="5"/>
  <c r="M88" i="5"/>
  <c r="C88" i="5"/>
  <c r="M87" i="5"/>
  <c r="K87" i="5" s="1"/>
  <c r="C87" i="5"/>
  <c r="M86" i="5"/>
  <c r="K86" i="5" s="1"/>
  <c r="C86" i="5"/>
  <c r="M85" i="5"/>
  <c r="C85" i="5"/>
  <c r="K85" i="5" s="1"/>
  <c r="M84" i="5"/>
  <c r="K84" i="5" s="1"/>
  <c r="C84" i="5"/>
  <c r="M83" i="5"/>
  <c r="K83" i="5"/>
  <c r="C83" i="5"/>
  <c r="M82" i="5"/>
  <c r="K82" i="5"/>
  <c r="C82" i="5"/>
  <c r="M81" i="5"/>
  <c r="K81" i="5" s="1"/>
  <c r="C81" i="5"/>
  <c r="M80" i="5"/>
  <c r="C80" i="5"/>
  <c r="M79" i="5"/>
  <c r="K79" i="5" s="1"/>
  <c r="C79" i="5"/>
  <c r="M78" i="5"/>
  <c r="K78" i="5" s="1"/>
  <c r="C78" i="5"/>
  <c r="M77" i="5"/>
  <c r="K77" i="5"/>
  <c r="C77" i="5"/>
  <c r="M76" i="5"/>
  <c r="C76" i="5"/>
  <c r="M75" i="5"/>
  <c r="K75" i="5"/>
  <c r="C75" i="5"/>
  <c r="M74" i="5"/>
  <c r="K74" i="5" s="1"/>
  <c r="C74" i="5"/>
  <c r="M73" i="5"/>
  <c r="K73" i="5" s="1"/>
  <c r="C73" i="5"/>
  <c r="M72" i="5"/>
  <c r="C72" i="5"/>
  <c r="M71" i="5"/>
  <c r="K71" i="5"/>
  <c r="C71" i="5"/>
  <c r="M70" i="5"/>
  <c r="K70" i="5"/>
  <c r="C70" i="5"/>
  <c r="M69" i="5"/>
  <c r="K69" i="5"/>
  <c r="C69" i="5"/>
  <c r="M68" i="5"/>
  <c r="K68" i="5" s="1"/>
  <c r="C68" i="5"/>
  <c r="M67" i="5"/>
  <c r="K67" i="5" s="1"/>
  <c r="C67" i="5"/>
  <c r="M66" i="5"/>
  <c r="C66" i="5"/>
  <c r="M65" i="5"/>
  <c r="K65" i="5" s="1"/>
  <c r="C65" i="5"/>
  <c r="M64" i="5"/>
  <c r="C64" i="5"/>
  <c r="M63" i="5"/>
  <c r="K63" i="5"/>
  <c r="C63" i="5"/>
  <c r="M62" i="5"/>
  <c r="K62" i="5"/>
  <c r="C62" i="5"/>
  <c r="M61" i="5"/>
  <c r="K61" i="5"/>
  <c r="C61" i="5"/>
  <c r="M60" i="5"/>
  <c r="K60" i="5" s="1"/>
  <c r="C60" i="5"/>
  <c r="M59" i="5"/>
  <c r="K59" i="5" s="1"/>
  <c r="C59" i="5"/>
  <c r="M58" i="5"/>
  <c r="C58" i="5"/>
  <c r="K58" i="5" s="1"/>
  <c r="M57" i="5"/>
  <c r="K57" i="5" s="1"/>
  <c r="C57" i="5"/>
  <c r="M56" i="5"/>
  <c r="C56" i="5"/>
  <c r="M55" i="5"/>
  <c r="K55" i="5"/>
  <c r="C55" i="5"/>
  <c r="M54" i="5"/>
  <c r="C54" i="5"/>
  <c r="K54" i="5" s="1"/>
  <c r="M53" i="5"/>
  <c r="C53" i="5"/>
  <c r="M52" i="5"/>
  <c r="K52" i="5" s="1"/>
  <c r="C52" i="5"/>
  <c r="M51" i="5"/>
  <c r="K51" i="5" s="1"/>
  <c r="C51" i="5"/>
  <c r="M50" i="5"/>
  <c r="K50" i="5"/>
  <c r="C50" i="5"/>
  <c r="M49" i="5"/>
  <c r="C49" i="5"/>
  <c r="K49" i="5" s="1"/>
  <c r="M48" i="5"/>
  <c r="C48" i="5"/>
  <c r="M47" i="5"/>
  <c r="K47" i="5"/>
  <c r="C47" i="5"/>
  <c r="M46" i="5"/>
  <c r="C46" i="5"/>
  <c r="M45" i="5"/>
  <c r="K45" i="5" s="1"/>
  <c r="C45" i="5"/>
  <c r="M44" i="5"/>
  <c r="K44" i="5" s="1"/>
  <c r="C44" i="5"/>
  <c r="M43" i="5"/>
  <c r="K43" i="5" s="1"/>
  <c r="C43" i="5"/>
  <c r="M42" i="5"/>
  <c r="K42" i="5"/>
  <c r="C42" i="5"/>
  <c r="M41" i="5"/>
  <c r="C41" i="5"/>
  <c r="K41" i="5" s="1"/>
  <c r="M40" i="5"/>
  <c r="C40" i="5"/>
  <c r="M39" i="5"/>
  <c r="K39" i="5"/>
  <c r="C39" i="5"/>
  <c r="M38" i="5"/>
  <c r="K38" i="5" s="1"/>
  <c r="C38" i="5"/>
  <c r="M37" i="5"/>
  <c r="K37" i="5" s="1"/>
  <c r="C37" i="5"/>
  <c r="M36" i="5"/>
  <c r="C36" i="5"/>
  <c r="M35" i="5"/>
  <c r="C35" i="5"/>
  <c r="K35" i="5" s="1"/>
  <c r="M34" i="5"/>
  <c r="K34" i="5"/>
  <c r="C34" i="5"/>
  <c r="M33" i="5"/>
  <c r="K33" i="5"/>
  <c r="C33" i="5"/>
  <c r="M32" i="5"/>
  <c r="C32" i="5"/>
  <c r="M31" i="5"/>
  <c r="K31" i="5" s="1"/>
  <c r="C31" i="5"/>
  <c r="M30" i="5"/>
  <c r="K30" i="5" s="1"/>
  <c r="C30" i="5"/>
  <c r="M29" i="5"/>
  <c r="C29" i="5"/>
  <c r="K29" i="5" s="1"/>
  <c r="M28" i="5"/>
  <c r="K28" i="5" s="1"/>
  <c r="C28" i="5"/>
  <c r="M27" i="5"/>
  <c r="C27" i="5"/>
  <c r="K27" i="5" s="1"/>
  <c r="M26" i="5"/>
  <c r="K26" i="5" s="1"/>
  <c r="C26" i="5"/>
  <c r="M25" i="5"/>
  <c r="K25" i="5" s="1"/>
  <c r="C25" i="5"/>
  <c r="M24" i="5"/>
  <c r="K24" i="5"/>
  <c r="C24" i="5"/>
  <c r="M23" i="5"/>
  <c r="K23" i="5" s="1"/>
  <c r="C23" i="5"/>
  <c r="M22" i="5"/>
  <c r="K22" i="5" s="1"/>
  <c r="C22" i="5"/>
  <c r="M21" i="5"/>
  <c r="K21" i="5" s="1"/>
  <c r="C21" i="5"/>
  <c r="M20" i="5"/>
  <c r="K20" i="5"/>
  <c r="C20" i="5"/>
  <c r="M19" i="5"/>
  <c r="K19" i="5" s="1"/>
  <c r="C19" i="5"/>
  <c r="M18" i="5"/>
  <c r="K18" i="5"/>
  <c r="C18" i="5"/>
  <c r="M17" i="5"/>
  <c r="C17" i="5"/>
  <c r="M16" i="5"/>
  <c r="K16" i="5" s="1"/>
  <c r="C16" i="5"/>
  <c r="M15" i="5"/>
  <c r="K15" i="5" s="1"/>
  <c r="C15" i="5"/>
  <c r="M14" i="5"/>
  <c r="K14" i="5"/>
  <c r="C14" i="5"/>
  <c r="M13" i="5"/>
  <c r="K13" i="5" s="1"/>
  <c r="C13" i="5"/>
  <c r="M12" i="5"/>
  <c r="C12" i="5"/>
  <c r="K12" i="5" s="1"/>
  <c r="M11" i="5"/>
  <c r="K11" i="5"/>
  <c r="C11" i="5"/>
  <c r="M10" i="5"/>
  <c r="K10" i="5" s="1"/>
  <c r="C10" i="5"/>
  <c r="A1" i="5"/>
  <c r="M25" i="4"/>
  <c r="L25" i="4"/>
  <c r="H25" i="4"/>
  <c r="I25" i="4" s="1"/>
  <c r="N25" i="4" s="1"/>
  <c r="L24" i="4"/>
  <c r="M24" i="4" s="1"/>
  <c r="H24" i="4"/>
  <c r="I24" i="4" s="1"/>
  <c r="N24" i="4" s="1"/>
  <c r="N23" i="4"/>
  <c r="P23" i="4" s="1"/>
  <c r="M23" i="4"/>
  <c r="O23" i="4" s="1"/>
  <c r="L23" i="4"/>
  <c r="I23" i="4"/>
  <c r="H23" i="4"/>
  <c r="M22" i="4"/>
  <c r="L22" i="4"/>
  <c r="H22" i="4"/>
  <c r="I22" i="4" s="1"/>
  <c r="N22" i="4" s="1"/>
  <c r="N21" i="4"/>
  <c r="P21" i="4" s="1"/>
  <c r="M21" i="4"/>
  <c r="O21" i="4" s="1"/>
  <c r="L21" i="4"/>
  <c r="I21" i="4"/>
  <c r="H21" i="4"/>
  <c r="L20" i="4"/>
  <c r="M20" i="4" s="1"/>
  <c r="H20" i="4"/>
  <c r="I20" i="4" s="1"/>
  <c r="N20" i="4" s="1"/>
  <c r="M19" i="4"/>
  <c r="L19" i="4"/>
  <c r="I19" i="4"/>
  <c r="H19" i="4"/>
  <c r="M18" i="4"/>
  <c r="L18" i="4"/>
  <c r="H18" i="4"/>
  <c r="I18" i="4" s="1"/>
  <c r="N18" i="4" s="1"/>
  <c r="L17" i="4"/>
  <c r="M17" i="4" s="1"/>
  <c r="O17" i="4" s="1"/>
  <c r="H17" i="4"/>
  <c r="I17" i="4" s="1"/>
  <c r="N17" i="4" s="1"/>
  <c r="M16" i="4"/>
  <c r="O16" i="4" s="1"/>
  <c r="L16" i="4"/>
  <c r="H16" i="4"/>
  <c r="I16" i="4" s="1"/>
  <c r="N16" i="4" s="1"/>
  <c r="P16" i="4" s="1"/>
  <c r="M15" i="4"/>
  <c r="L15" i="4"/>
  <c r="I15" i="4"/>
  <c r="N15" i="4" s="1"/>
  <c r="H15" i="4"/>
  <c r="L14" i="4"/>
  <c r="M14" i="4" s="1"/>
  <c r="O14" i="4" s="1"/>
  <c r="H14" i="4"/>
  <c r="I14" i="4" s="1"/>
  <c r="N14" i="4" s="1"/>
  <c r="L13" i="4"/>
  <c r="M13" i="4" s="1"/>
  <c r="O13" i="4" s="1"/>
  <c r="H13" i="4"/>
  <c r="I13" i="4" s="1"/>
  <c r="N13" i="4" s="1"/>
  <c r="L12" i="4"/>
  <c r="M12" i="4" s="1"/>
  <c r="I12" i="4"/>
  <c r="N12" i="4" s="1"/>
  <c r="H12" i="4"/>
  <c r="R384" i="3"/>
  <c r="S382" i="3"/>
  <c r="O382" i="3"/>
  <c r="R382" i="3" s="1"/>
  <c r="N382" i="3"/>
  <c r="M382" i="3"/>
  <c r="C382" i="3"/>
  <c r="O381" i="3"/>
  <c r="R381" i="3" s="1"/>
  <c r="N381" i="3"/>
  <c r="M381" i="3"/>
  <c r="S381" i="3" s="1"/>
  <c r="C381" i="3"/>
  <c r="S380" i="3"/>
  <c r="O380" i="3"/>
  <c r="R380" i="3" s="1"/>
  <c r="N380" i="3"/>
  <c r="P380" i="3" s="1"/>
  <c r="Q380" i="3" s="1"/>
  <c r="M380" i="3"/>
  <c r="C380" i="3"/>
  <c r="S379" i="3"/>
  <c r="O379" i="3"/>
  <c r="R379" i="3" s="1"/>
  <c r="N379" i="3"/>
  <c r="M379" i="3"/>
  <c r="C379" i="3"/>
  <c r="O378" i="3"/>
  <c r="R378" i="3" s="1"/>
  <c r="N378" i="3"/>
  <c r="P378" i="3" s="1"/>
  <c r="Q378" i="3" s="1"/>
  <c r="M378" i="3"/>
  <c r="S378" i="3" s="1"/>
  <c r="C378" i="3"/>
  <c r="S377" i="3"/>
  <c r="P377" i="3"/>
  <c r="Q377" i="3" s="1"/>
  <c r="O377" i="3"/>
  <c r="R377" i="3" s="1"/>
  <c r="N377" i="3"/>
  <c r="M377" i="3"/>
  <c r="C377" i="3"/>
  <c r="O376" i="3"/>
  <c r="R376" i="3" s="1"/>
  <c r="N376" i="3"/>
  <c r="P376" i="3" s="1"/>
  <c r="Q376" i="3" s="1"/>
  <c r="M376" i="3"/>
  <c r="C376" i="3"/>
  <c r="S375" i="3"/>
  <c r="O375" i="3"/>
  <c r="R375" i="3" s="1"/>
  <c r="N375" i="3"/>
  <c r="P375" i="3" s="1"/>
  <c r="Q375" i="3" s="1"/>
  <c r="M375" i="3"/>
  <c r="C375" i="3"/>
  <c r="S374" i="3"/>
  <c r="O374" i="3"/>
  <c r="R374" i="3" s="1"/>
  <c r="N374" i="3"/>
  <c r="P374" i="3" s="1"/>
  <c r="Q374" i="3" s="1"/>
  <c r="M374" i="3"/>
  <c r="C374" i="3"/>
  <c r="R373" i="3"/>
  <c r="O373" i="3"/>
  <c r="N373" i="3"/>
  <c r="P373" i="3" s="1"/>
  <c r="Q373" i="3" s="1"/>
  <c r="M373" i="3"/>
  <c r="C373" i="3"/>
  <c r="S372" i="3"/>
  <c r="R372" i="3"/>
  <c r="O372" i="3"/>
  <c r="N372" i="3"/>
  <c r="P372" i="3" s="1"/>
  <c r="Q372" i="3" s="1"/>
  <c r="M372" i="3"/>
  <c r="C372" i="3"/>
  <c r="O371" i="3"/>
  <c r="R371" i="3" s="1"/>
  <c r="N371" i="3"/>
  <c r="P371" i="3" s="1"/>
  <c r="Q371" i="3" s="1"/>
  <c r="M371" i="3"/>
  <c r="C371" i="3"/>
  <c r="O370" i="3"/>
  <c r="R370" i="3" s="1"/>
  <c r="N370" i="3"/>
  <c r="M370" i="3"/>
  <c r="C370" i="3"/>
  <c r="S369" i="3"/>
  <c r="O369" i="3"/>
  <c r="P369" i="3" s="1"/>
  <c r="Q369" i="3" s="1"/>
  <c r="N369" i="3"/>
  <c r="M369" i="3"/>
  <c r="C369" i="3"/>
  <c r="O368" i="3"/>
  <c r="R368" i="3" s="1"/>
  <c r="N368" i="3"/>
  <c r="P368" i="3" s="1"/>
  <c r="Q368" i="3" s="1"/>
  <c r="M368" i="3"/>
  <c r="C368" i="3"/>
  <c r="S367" i="3"/>
  <c r="R367" i="3"/>
  <c r="O367" i="3"/>
  <c r="N367" i="3"/>
  <c r="P367" i="3" s="1"/>
  <c r="Q367" i="3" s="1"/>
  <c r="M367" i="3"/>
  <c r="C367" i="3"/>
  <c r="R366" i="3"/>
  <c r="O366" i="3"/>
  <c r="N366" i="3"/>
  <c r="P366" i="3" s="1"/>
  <c r="Q366" i="3" s="1"/>
  <c r="M366" i="3"/>
  <c r="S366" i="3" s="1"/>
  <c r="C366" i="3"/>
  <c r="P365" i="3"/>
  <c r="Q365" i="3" s="1"/>
  <c r="O365" i="3"/>
  <c r="R365" i="3" s="1"/>
  <c r="N365" i="3"/>
  <c r="M365" i="3"/>
  <c r="C365" i="3"/>
  <c r="S364" i="3"/>
  <c r="R364" i="3"/>
  <c r="O364" i="3"/>
  <c r="N364" i="3"/>
  <c r="M364" i="3"/>
  <c r="C364" i="3"/>
  <c r="O363" i="3"/>
  <c r="R363" i="3" s="1"/>
  <c r="N363" i="3"/>
  <c r="M363" i="3"/>
  <c r="S363" i="3" s="1"/>
  <c r="C363" i="3"/>
  <c r="S362" i="3"/>
  <c r="O362" i="3"/>
  <c r="R362" i="3" s="1"/>
  <c r="N362" i="3"/>
  <c r="P362" i="3" s="1"/>
  <c r="Q362" i="3" s="1"/>
  <c r="M362" i="3"/>
  <c r="C362" i="3"/>
  <c r="O361" i="3"/>
  <c r="R361" i="3" s="1"/>
  <c r="N361" i="3"/>
  <c r="M361" i="3"/>
  <c r="S361" i="3" s="1"/>
  <c r="C361" i="3"/>
  <c r="O360" i="3"/>
  <c r="R360" i="3" s="1"/>
  <c r="N360" i="3"/>
  <c r="P360" i="3" s="1"/>
  <c r="Q360" i="3" s="1"/>
  <c r="M360" i="3"/>
  <c r="S360" i="3" s="1"/>
  <c r="C360" i="3"/>
  <c r="S359" i="3"/>
  <c r="Q359" i="3"/>
  <c r="P359" i="3"/>
  <c r="O359" i="3"/>
  <c r="R359" i="3" s="1"/>
  <c r="N359" i="3"/>
  <c r="M359" i="3"/>
  <c r="C359" i="3"/>
  <c r="O358" i="3"/>
  <c r="R358" i="3" s="1"/>
  <c r="N358" i="3"/>
  <c r="M358" i="3"/>
  <c r="C358" i="3"/>
  <c r="S357" i="3"/>
  <c r="O357" i="3"/>
  <c r="R357" i="3" s="1"/>
  <c r="N357" i="3"/>
  <c r="P357" i="3" s="1"/>
  <c r="Q357" i="3" s="1"/>
  <c r="M357" i="3"/>
  <c r="C357" i="3"/>
  <c r="S356" i="3"/>
  <c r="Q356" i="3"/>
  <c r="P356" i="3"/>
  <c r="O356" i="3"/>
  <c r="R356" i="3" s="1"/>
  <c r="N356" i="3"/>
  <c r="M356" i="3"/>
  <c r="C356" i="3"/>
  <c r="R355" i="3"/>
  <c r="O355" i="3"/>
  <c r="N355" i="3"/>
  <c r="P355" i="3" s="1"/>
  <c r="Q355" i="3" s="1"/>
  <c r="M355" i="3"/>
  <c r="C355" i="3"/>
  <c r="S354" i="3"/>
  <c r="R354" i="3"/>
  <c r="Q354" i="3"/>
  <c r="O354" i="3"/>
  <c r="N354" i="3"/>
  <c r="P354" i="3" s="1"/>
  <c r="M354" i="3"/>
  <c r="C354" i="3"/>
  <c r="O353" i="3"/>
  <c r="R353" i="3" s="1"/>
  <c r="N353" i="3"/>
  <c r="P353" i="3" s="1"/>
  <c r="Q353" i="3" s="1"/>
  <c r="M353" i="3"/>
  <c r="S353" i="3" s="1"/>
  <c r="C353" i="3"/>
  <c r="O352" i="3"/>
  <c r="R352" i="3" s="1"/>
  <c r="N352" i="3"/>
  <c r="M352" i="3"/>
  <c r="S352" i="3" s="1"/>
  <c r="C352" i="3"/>
  <c r="S351" i="3"/>
  <c r="O351" i="3"/>
  <c r="R351" i="3" s="1"/>
  <c r="N351" i="3"/>
  <c r="M351" i="3"/>
  <c r="C351" i="3"/>
  <c r="O350" i="3"/>
  <c r="R350" i="3" s="1"/>
  <c r="N350" i="3"/>
  <c r="P350" i="3" s="1"/>
  <c r="Q350" i="3" s="1"/>
  <c r="M350" i="3"/>
  <c r="C350" i="3"/>
  <c r="S349" i="3"/>
  <c r="R349" i="3"/>
  <c r="O349" i="3"/>
  <c r="N349" i="3"/>
  <c r="P349" i="3" s="1"/>
  <c r="Q349" i="3" s="1"/>
  <c r="M349" i="3"/>
  <c r="C349" i="3"/>
  <c r="R348" i="3"/>
  <c r="O348" i="3"/>
  <c r="N348" i="3"/>
  <c r="P348" i="3" s="1"/>
  <c r="Q348" i="3" s="1"/>
  <c r="M348" i="3"/>
  <c r="S348" i="3" s="1"/>
  <c r="C348" i="3"/>
  <c r="O347" i="3"/>
  <c r="R347" i="3" s="1"/>
  <c r="N347" i="3"/>
  <c r="P347" i="3" s="1"/>
  <c r="Q347" i="3" s="1"/>
  <c r="M347" i="3"/>
  <c r="S347" i="3" s="1"/>
  <c r="C347" i="3"/>
  <c r="S346" i="3"/>
  <c r="R346" i="3"/>
  <c r="O346" i="3"/>
  <c r="N346" i="3"/>
  <c r="M346" i="3"/>
  <c r="C346" i="3"/>
  <c r="O345" i="3"/>
  <c r="R345" i="3" s="1"/>
  <c r="N345" i="3"/>
  <c r="P345" i="3" s="1"/>
  <c r="Q345" i="3" s="1"/>
  <c r="M345" i="3"/>
  <c r="S345" i="3" s="1"/>
  <c r="C345" i="3"/>
  <c r="P344" i="3"/>
  <c r="Q344" i="3" s="1"/>
  <c r="O344" i="3"/>
  <c r="R344" i="3" s="1"/>
  <c r="N344" i="3"/>
  <c r="M344" i="3"/>
  <c r="C344" i="3"/>
  <c r="S343" i="3"/>
  <c r="O343" i="3"/>
  <c r="R343" i="3" s="1"/>
  <c r="N343" i="3"/>
  <c r="M343" i="3"/>
  <c r="C343" i="3"/>
  <c r="P342" i="3"/>
  <c r="Q342" i="3" s="1"/>
  <c r="O342" i="3"/>
  <c r="R342" i="3" s="1"/>
  <c r="N342" i="3"/>
  <c r="M342" i="3"/>
  <c r="S342" i="3" s="1"/>
  <c r="C342" i="3"/>
  <c r="S341" i="3"/>
  <c r="O341" i="3"/>
  <c r="R341" i="3" s="1"/>
  <c r="N341" i="3"/>
  <c r="M341" i="3"/>
  <c r="C341" i="3"/>
  <c r="S340" i="3"/>
  <c r="R340" i="3"/>
  <c r="Q340" i="3"/>
  <c r="O340" i="3"/>
  <c r="N340" i="3"/>
  <c r="P340" i="3" s="1"/>
  <c r="M340" i="3"/>
  <c r="C340" i="3"/>
  <c r="O339" i="3"/>
  <c r="R339" i="3" s="1"/>
  <c r="N339" i="3"/>
  <c r="M339" i="3"/>
  <c r="S339" i="3" s="1"/>
  <c r="C339" i="3"/>
  <c r="S338" i="3"/>
  <c r="R338" i="3"/>
  <c r="O338" i="3"/>
  <c r="N338" i="3"/>
  <c r="P338" i="3" s="1"/>
  <c r="Q338" i="3" s="1"/>
  <c r="M338" i="3"/>
  <c r="C338" i="3"/>
  <c r="S337" i="3"/>
  <c r="R337" i="3"/>
  <c r="Q337" i="3"/>
  <c r="O337" i="3"/>
  <c r="N337" i="3"/>
  <c r="P337" i="3" s="1"/>
  <c r="M337" i="3"/>
  <c r="C337" i="3"/>
  <c r="O336" i="3"/>
  <c r="R336" i="3" s="1"/>
  <c r="N336" i="3"/>
  <c r="P336" i="3" s="1"/>
  <c r="Q336" i="3" s="1"/>
  <c r="M336" i="3"/>
  <c r="S336" i="3" s="1"/>
  <c r="C336" i="3"/>
  <c r="S335" i="3"/>
  <c r="R335" i="3"/>
  <c r="Q335" i="3"/>
  <c r="O335" i="3"/>
  <c r="N335" i="3"/>
  <c r="P335" i="3" s="1"/>
  <c r="M335" i="3"/>
  <c r="C335" i="3"/>
  <c r="O334" i="3"/>
  <c r="R334" i="3" s="1"/>
  <c r="N334" i="3"/>
  <c r="P334" i="3" s="1"/>
  <c r="Q334" i="3" s="1"/>
  <c r="M334" i="3"/>
  <c r="C334" i="3"/>
  <c r="P333" i="3"/>
  <c r="Q333" i="3" s="1"/>
  <c r="O333" i="3"/>
  <c r="R333" i="3" s="1"/>
  <c r="N333" i="3"/>
  <c r="M333" i="3"/>
  <c r="S333" i="3" s="1"/>
  <c r="C333" i="3"/>
  <c r="S332" i="3"/>
  <c r="R332" i="3"/>
  <c r="P332" i="3"/>
  <c r="Q332" i="3" s="1"/>
  <c r="O332" i="3"/>
  <c r="N332" i="3"/>
  <c r="M332" i="3"/>
  <c r="C332" i="3"/>
  <c r="O331" i="3"/>
  <c r="R331" i="3" s="1"/>
  <c r="N331" i="3"/>
  <c r="M331" i="3"/>
  <c r="S331" i="3" s="1"/>
  <c r="C331" i="3"/>
  <c r="S330" i="3"/>
  <c r="O330" i="3"/>
  <c r="R330" i="3" s="1"/>
  <c r="N330" i="3"/>
  <c r="P330" i="3" s="1"/>
  <c r="Q330" i="3" s="1"/>
  <c r="M330" i="3"/>
  <c r="C330" i="3"/>
  <c r="S329" i="3"/>
  <c r="R329" i="3"/>
  <c r="P329" i="3"/>
  <c r="Q329" i="3" s="1"/>
  <c r="O329" i="3"/>
  <c r="N329" i="3"/>
  <c r="M329" i="3"/>
  <c r="C329" i="3"/>
  <c r="O328" i="3"/>
  <c r="R328" i="3" s="1"/>
  <c r="N328" i="3"/>
  <c r="P328" i="3" s="1"/>
  <c r="Q328" i="3" s="1"/>
  <c r="M328" i="3"/>
  <c r="S328" i="3" s="1"/>
  <c r="C328" i="3"/>
  <c r="S327" i="3"/>
  <c r="R327" i="3"/>
  <c r="O327" i="3"/>
  <c r="N327" i="3"/>
  <c r="P327" i="3" s="1"/>
  <c r="Q327" i="3" s="1"/>
  <c r="M327" i="3"/>
  <c r="C327" i="3"/>
  <c r="S326" i="3"/>
  <c r="O326" i="3"/>
  <c r="R326" i="3" s="1"/>
  <c r="N326" i="3"/>
  <c r="M326" i="3"/>
  <c r="C326" i="3"/>
  <c r="R325" i="3"/>
  <c r="O325" i="3"/>
  <c r="N325" i="3"/>
  <c r="P325" i="3" s="1"/>
  <c r="Q325" i="3" s="1"/>
  <c r="M325" i="3"/>
  <c r="S325" i="3" s="1"/>
  <c r="C325" i="3"/>
  <c r="S324" i="3"/>
  <c r="R324" i="3"/>
  <c r="Q324" i="3"/>
  <c r="O324" i="3"/>
  <c r="N324" i="3"/>
  <c r="P324" i="3" s="1"/>
  <c r="M324" i="3"/>
  <c r="C324" i="3"/>
  <c r="R323" i="3"/>
  <c r="Q323" i="3"/>
  <c r="O323" i="3"/>
  <c r="N323" i="3"/>
  <c r="P323" i="3" s="1"/>
  <c r="M323" i="3"/>
  <c r="S323" i="3" s="1"/>
  <c r="C323" i="3"/>
  <c r="Q322" i="3"/>
  <c r="O322" i="3"/>
  <c r="R322" i="3" s="1"/>
  <c r="N322" i="3"/>
  <c r="P322" i="3" s="1"/>
  <c r="M322" i="3"/>
  <c r="C322" i="3"/>
  <c r="S321" i="3"/>
  <c r="R321" i="3"/>
  <c r="P321" i="3"/>
  <c r="Q321" i="3" s="1"/>
  <c r="O321" i="3"/>
  <c r="N321" i="3"/>
  <c r="M321" i="3"/>
  <c r="C321" i="3"/>
  <c r="O320" i="3"/>
  <c r="R320" i="3" s="1"/>
  <c r="N320" i="3"/>
  <c r="P320" i="3" s="1"/>
  <c r="Q320" i="3" s="1"/>
  <c r="M320" i="3"/>
  <c r="C320" i="3"/>
  <c r="O319" i="3"/>
  <c r="R319" i="3" s="1"/>
  <c r="N319" i="3"/>
  <c r="M319" i="3"/>
  <c r="C319" i="3"/>
  <c r="S318" i="3"/>
  <c r="O318" i="3"/>
  <c r="P318" i="3" s="1"/>
  <c r="Q318" i="3" s="1"/>
  <c r="N318" i="3"/>
  <c r="M318" i="3"/>
  <c r="C318" i="3"/>
  <c r="O317" i="3"/>
  <c r="R317" i="3" s="1"/>
  <c r="N317" i="3"/>
  <c r="P317" i="3" s="1"/>
  <c r="Q317" i="3" s="1"/>
  <c r="M317" i="3"/>
  <c r="C317" i="3"/>
  <c r="S316" i="3"/>
  <c r="O316" i="3"/>
  <c r="R316" i="3" s="1"/>
  <c r="N316" i="3"/>
  <c r="P316" i="3" s="1"/>
  <c r="Q316" i="3" s="1"/>
  <c r="M316" i="3"/>
  <c r="C316" i="3"/>
  <c r="S315" i="3"/>
  <c r="R315" i="3"/>
  <c r="O315" i="3"/>
  <c r="N315" i="3"/>
  <c r="P315" i="3" s="1"/>
  <c r="Q315" i="3" s="1"/>
  <c r="M315" i="3"/>
  <c r="C315" i="3"/>
  <c r="O314" i="3"/>
  <c r="R314" i="3" s="1"/>
  <c r="N314" i="3"/>
  <c r="M314" i="3"/>
  <c r="S314" i="3" s="1"/>
  <c r="C314" i="3"/>
  <c r="S313" i="3"/>
  <c r="R313" i="3"/>
  <c r="O313" i="3"/>
  <c r="N313" i="3"/>
  <c r="P313" i="3" s="1"/>
  <c r="Q313" i="3" s="1"/>
  <c r="M313" i="3"/>
  <c r="C313" i="3"/>
  <c r="R312" i="3"/>
  <c r="O312" i="3"/>
  <c r="N312" i="3"/>
  <c r="P312" i="3" s="1"/>
  <c r="Q312" i="3" s="1"/>
  <c r="M312" i="3"/>
  <c r="S312" i="3" s="1"/>
  <c r="C312" i="3"/>
  <c r="O311" i="3"/>
  <c r="R311" i="3" s="1"/>
  <c r="N311" i="3"/>
  <c r="P311" i="3" s="1"/>
  <c r="Q311" i="3" s="1"/>
  <c r="M311" i="3"/>
  <c r="S311" i="3" s="1"/>
  <c r="C311" i="3"/>
  <c r="S310" i="3"/>
  <c r="R310" i="3"/>
  <c r="O310" i="3"/>
  <c r="N310" i="3"/>
  <c r="M310" i="3"/>
  <c r="C310" i="3"/>
  <c r="P309" i="3"/>
  <c r="Q309" i="3" s="1"/>
  <c r="O309" i="3"/>
  <c r="R309" i="3" s="1"/>
  <c r="N309" i="3"/>
  <c r="M309" i="3"/>
  <c r="S309" i="3" s="1"/>
  <c r="C309" i="3"/>
  <c r="P308" i="3"/>
  <c r="Q308" i="3" s="1"/>
  <c r="O308" i="3"/>
  <c r="R308" i="3" s="1"/>
  <c r="N308" i="3"/>
  <c r="M308" i="3"/>
  <c r="C308" i="3"/>
  <c r="S307" i="3"/>
  <c r="R307" i="3"/>
  <c r="O307" i="3"/>
  <c r="N307" i="3"/>
  <c r="M307" i="3"/>
  <c r="C307" i="3"/>
  <c r="O306" i="3"/>
  <c r="R306" i="3" s="1"/>
  <c r="N306" i="3"/>
  <c r="P306" i="3" s="1"/>
  <c r="Q306" i="3" s="1"/>
  <c r="M306" i="3"/>
  <c r="S306" i="3" s="1"/>
  <c r="C306" i="3"/>
  <c r="S305" i="3"/>
  <c r="O305" i="3"/>
  <c r="R305" i="3" s="1"/>
  <c r="N305" i="3"/>
  <c r="P305" i="3" s="1"/>
  <c r="Q305" i="3" s="1"/>
  <c r="M305" i="3"/>
  <c r="C305" i="3"/>
  <c r="S304" i="3"/>
  <c r="O304" i="3"/>
  <c r="R304" i="3" s="1"/>
  <c r="N304" i="3"/>
  <c r="P304" i="3" s="1"/>
  <c r="Q304" i="3" s="1"/>
  <c r="M304" i="3"/>
  <c r="C304" i="3"/>
  <c r="O303" i="3"/>
  <c r="R303" i="3" s="1"/>
  <c r="N303" i="3"/>
  <c r="P303" i="3" s="1"/>
  <c r="Q303" i="3" s="1"/>
  <c r="M303" i="3"/>
  <c r="S303" i="3" s="1"/>
  <c r="C303" i="3"/>
  <c r="S302" i="3"/>
  <c r="R302" i="3"/>
  <c r="O302" i="3"/>
  <c r="N302" i="3"/>
  <c r="P302" i="3" s="1"/>
  <c r="Q302" i="3" s="1"/>
  <c r="M302" i="3"/>
  <c r="C302" i="3"/>
  <c r="O301" i="3"/>
  <c r="R301" i="3" s="1"/>
  <c r="N301" i="3"/>
  <c r="P301" i="3" s="1"/>
  <c r="Q301" i="3" s="1"/>
  <c r="M301" i="3"/>
  <c r="S301" i="3" s="1"/>
  <c r="C301" i="3"/>
  <c r="O300" i="3"/>
  <c r="R300" i="3" s="1"/>
  <c r="N300" i="3"/>
  <c r="P300" i="3" s="1"/>
  <c r="Q300" i="3" s="1"/>
  <c r="M300" i="3"/>
  <c r="S300" i="3" s="1"/>
  <c r="C300" i="3"/>
  <c r="S299" i="3"/>
  <c r="R299" i="3"/>
  <c r="O299" i="3"/>
  <c r="N299" i="3"/>
  <c r="P299" i="3" s="1"/>
  <c r="Q299" i="3" s="1"/>
  <c r="M299" i="3"/>
  <c r="C299" i="3"/>
  <c r="O298" i="3"/>
  <c r="R298" i="3" s="1"/>
  <c r="N298" i="3"/>
  <c r="P298" i="3" s="1"/>
  <c r="Q298" i="3" s="1"/>
  <c r="M298" i="3"/>
  <c r="C298" i="3"/>
  <c r="P297" i="3"/>
  <c r="Q297" i="3" s="1"/>
  <c r="O297" i="3"/>
  <c r="R297" i="3" s="1"/>
  <c r="N297" i="3"/>
  <c r="M297" i="3"/>
  <c r="S297" i="3" s="1"/>
  <c r="C297" i="3"/>
  <c r="S296" i="3"/>
  <c r="R296" i="3"/>
  <c r="P296" i="3"/>
  <c r="Q296" i="3" s="1"/>
  <c r="O296" i="3"/>
  <c r="N296" i="3"/>
  <c r="M296" i="3"/>
  <c r="C296" i="3"/>
  <c r="O295" i="3"/>
  <c r="R295" i="3" s="1"/>
  <c r="N295" i="3"/>
  <c r="P295" i="3" s="1"/>
  <c r="Q295" i="3" s="1"/>
  <c r="M295" i="3"/>
  <c r="S295" i="3" s="1"/>
  <c r="C295" i="3"/>
  <c r="S294" i="3"/>
  <c r="O294" i="3"/>
  <c r="R294" i="3" s="1"/>
  <c r="N294" i="3"/>
  <c r="P294" i="3" s="1"/>
  <c r="Q294" i="3" s="1"/>
  <c r="M294" i="3"/>
  <c r="C294" i="3"/>
  <c r="S293" i="3"/>
  <c r="P293" i="3"/>
  <c r="Q293" i="3" s="1"/>
  <c r="O293" i="3"/>
  <c r="R293" i="3" s="1"/>
  <c r="N293" i="3"/>
  <c r="M293" i="3"/>
  <c r="C293" i="3"/>
  <c r="O292" i="3"/>
  <c r="R292" i="3" s="1"/>
  <c r="N292" i="3"/>
  <c r="P292" i="3" s="1"/>
  <c r="Q292" i="3" s="1"/>
  <c r="M292" i="3"/>
  <c r="C292" i="3"/>
  <c r="S291" i="3"/>
  <c r="R291" i="3"/>
  <c r="O291" i="3"/>
  <c r="N291" i="3"/>
  <c r="P291" i="3" s="1"/>
  <c r="Q291" i="3" s="1"/>
  <c r="M291" i="3"/>
  <c r="C291" i="3"/>
  <c r="S290" i="3"/>
  <c r="O290" i="3"/>
  <c r="R290" i="3" s="1"/>
  <c r="N290" i="3"/>
  <c r="P290" i="3" s="1"/>
  <c r="Q290" i="3" s="1"/>
  <c r="M290" i="3"/>
  <c r="C290" i="3"/>
  <c r="R289" i="3"/>
  <c r="O289" i="3"/>
  <c r="N289" i="3"/>
  <c r="P289" i="3" s="1"/>
  <c r="Q289" i="3" s="1"/>
  <c r="M289" i="3"/>
  <c r="S289" i="3" s="1"/>
  <c r="C289" i="3"/>
  <c r="S288" i="3"/>
  <c r="R288" i="3"/>
  <c r="O288" i="3"/>
  <c r="N288" i="3"/>
  <c r="P288" i="3" s="1"/>
  <c r="Q288" i="3" s="1"/>
  <c r="M288" i="3"/>
  <c r="C288" i="3"/>
  <c r="R287" i="3"/>
  <c r="O287" i="3"/>
  <c r="P287" i="3" s="1"/>
  <c r="Q287" i="3" s="1"/>
  <c r="N287" i="3"/>
  <c r="M287" i="3"/>
  <c r="S287" i="3" s="1"/>
  <c r="C287" i="3"/>
  <c r="Q286" i="3"/>
  <c r="O286" i="3"/>
  <c r="R286" i="3" s="1"/>
  <c r="N286" i="3"/>
  <c r="P286" i="3" s="1"/>
  <c r="M286" i="3"/>
  <c r="S286" i="3" s="1"/>
  <c r="C286" i="3"/>
  <c r="S285" i="3"/>
  <c r="R285" i="3"/>
  <c r="P285" i="3"/>
  <c r="Q285" i="3" s="1"/>
  <c r="O285" i="3"/>
  <c r="N285" i="3"/>
  <c r="M285" i="3"/>
  <c r="C285" i="3"/>
  <c r="O284" i="3"/>
  <c r="R284" i="3" s="1"/>
  <c r="N284" i="3"/>
  <c r="M284" i="3"/>
  <c r="S284" i="3" s="1"/>
  <c r="C284" i="3"/>
  <c r="O283" i="3"/>
  <c r="R283" i="3" s="1"/>
  <c r="N283" i="3"/>
  <c r="M283" i="3"/>
  <c r="C283" i="3"/>
  <c r="S282" i="3"/>
  <c r="O282" i="3"/>
  <c r="R282" i="3" s="1"/>
  <c r="N282" i="3"/>
  <c r="M282" i="3"/>
  <c r="C282" i="3"/>
  <c r="S281" i="3"/>
  <c r="P281" i="3"/>
  <c r="Q281" i="3" s="1"/>
  <c r="O281" i="3"/>
  <c r="R281" i="3" s="1"/>
  <c r="N281" i="3"/>
  <c r="M281" i="3"/>
  <c r="C281" i="3"/>
  <c r="S280" i="3"/>
  <c r="O280" i="3"/>
  <c r="R280" i="3" s="1"/>
  <c r="N280" i="3"/>
  <c r="P280" i="3" s="1"/>
  <c r="Q280" i="3" s="1"/>
  <c r="M280" i="3"/>
  <c r="C280" i="3"/>
  <c r="S279" i="3"/>
  <c r="R279" i="3"/>
  <c r="Q279" i="3"/>
  <c r="O279" i="3"/>
  <c r="N279" i="3"/>
  <c r="P279" i="3" s="1"/>
  <c r="M279" i="3"/>
  <c r="C279" i="3"/>
  <c r="R278" i="3"/>
  <c r="O278" i="3"/>
  <c r="N278" i="3"/>
  <c r="M278" i="3"/>
  <c r="C278" i="3"/>
  <c r="S277" i="3"/>
  <c r="R277" i="3"/>
  <c r="O277" i="3"/>
  <c r="N277" i="3"/>
  <c r="P277" i="3" s="1"/>
  <c r="Q277" i="3" s="1"/>
  <c r="M277" i="3"/>
  <c r="C277" i="3"/>
  <c r="R276" i="3"/>
  <c r="O276" i="3"/>
  <c r="N276" i="3"/>
  <c r="P276" i="3" s="1"/>
  <c r="Q276" i="3" s="1"/>
  <c r="M276" i="3"/>
  <c r="S276" i="3" s="1"/>
  <c r="C276" i="3"/>
  <c r="Q275" i="3"/>
  <c r="O275" i="3"/>
  <c r="R275" i="3" s="1"/>
  <c r="N275" i="3"/>
  <c r="P275" i="3" s="1"/>
  <c r="M275" i="3"/>
  <c r="C275" i="3"/>
  <c r="R274" i="3"/>
  <c r="O274" i="3"/>
  <c r="N274" i="3"/>
  <c r="M274" i="3"/>
  <c r="C274" i="3"/>
  <c r="S274" i="3" s="1"/>
  <c r="O273" i="3"/>
  <c r="R273" i="3" s="1"/>
  <c r="N273" i="3"/>
  <c r="P273" i="3" s="1"/>
  <c r="Q273" i="3" s="1"/>
  <c r="M273" i="3"/>
  <c r="S273" i="3" s="1"/>
  <c r="C273" i="3"/>
  <c r="P272" i="3"/>
  <c r="Q272" i="3" s="1"/>
  <c r="O272" i="3"/>
  <c r="R272" i="3" s="1"/>
  <c r="N272" i="3"/>
  <c r="M272" i="3"/>
  <c r="C272" i="3"/>
  <c r="S271" i="3"/>
  <c r="R271" i="3"/>
  <c r="O271" i="3"/>
  <c r="N271" i="3"/>
  <c r="M271" i="3"/>
  <c r="C271" i="3"/>
  <c r="O270" i="3"/>
  <c r="R270" i="3" s="1"/>
  <c r="N270" i="3"/>
  <c r="P270" i="3" s="1"/>
  <c r="Q270" i="3" s="1"/>
  <c r="M270" i="3"/>
  <c r="S270" i="3" s="1"/>
  <c r="C270" i="3"/>
  <c r="S269" i="3"/>
  <c r="O269" i="3"/>
  <c r="R269" i="3" s="1"/>
  <c r="N269" i="3"/>
  <c r="P269" i="3" s="1"/>
  <c r="Q269" i="3" s="1"/>
  <c r="M269" i="3"/>
  <c r="C269" i="3"/>
  <c r="S268" i="3"/>
  <c r="R268" i="3"/>
  <c r="O268" i="3"/>
  <c r="N268" i="3"/>
  <c r="P268" i="3" s="1"/>
  <c r="Q268" i="3" s="1"/>
  <c r="M268" i="3"/>
  <c r="C268" i="3"/>
  <c r="R267" i="3"/>
  <c r="O267" i="3"/>
  <c r="N267" i="3"/>
  <c r="P267" i="3" s="1"/>
  <c r="Q267" i="3" s="1"/>
  <c r="M267" i="3"/>
  <c r="S267" i="3" s="1"/>
  <c r="C267" i="3"/>
  <c r="S266" i="3"/>
  <c r="R266" i="3"/>
  <c r="O266" i="3"/>
  <c r="N266" i="3"/>
  <c r="P266" i="3" s="1"/>
  <c r="Q266" i="3" s="1"/>
  <c r="M266" i="3"/>
  <c r="C266" i="3"/>
  <c r="S265" i="3"/>
  <c r="R265" i="3"/>
  <c r="O265" i="3"/>
  <c r="N265" i="3"/>
  <c r="M265" i="3"/>
  <c r="C265" i="3"/>
  <c r="Q264" i="3"/>
  <c r="O264" i="3"/>
  <c r="R264" i="3" s="1"/>
  <c r="N264" i="3"/>
  <c r="P264" i="3" s="1"/>
  <c r="M264" i="3"/>
  <c r="S264" i="3" s="1"/>
  <c r="C264" i="3"/>
  <c r="S263" i="3"/>
  <c r="R263" i="3"/>
  <c r="O263" i="3"/>
  <c r="N263" i="3"/>
  <c r="P263" i="3" s="1"/>
  <c r="Q263" i="3" s="1"/>
  <c r="M263" i="3"/>
  <c r="C263" i="3"/>
  <c r="R262" i="3"/>
  <c r="O262" i="3"/>
  <c r="N262" i="3"/>
  <c r="P262" i="3" s="1"/>
  <c r="Q262" i="3" s="1"/>
  <c r="M262" i="3"/>
  <c r="C262" i="3"/>
  <c r="P261" i="3"/>
  <c r="Q261" i="3" s="1"/>
  <c r="O261" i="3"/>
  <c r="R261" i="3" s="1"/>
  <c r="N261" i="3"/>
  <c r="M261" i="3"/>
  <c r="S261" i="3" s="1"/>
  <c r="C261" i="3"/>
  <c r="R260" i="3"/>
  <c r="Q260" i="3"/>
  <c r="P260" i="3"/>
  <c r="O260" i="3"/>
  <c r="N260" i="3"/>
  <c r="M260" i="3"/>
  <c r="C260" i="3"/>
  <c r="S260" i="3" s="1"/>
  <c r="O259" i="3"/>
  <c r="R259" i="3" s="1"/>
  <c r="N259" i="3"/>
  <c r="P259" i="3" s="1"/>
  <c r="Q259" i="3" s="1"/>
  <c r="M259" i="3"/>
  <c r="S259" i="3" s="1"/>
  <c r="C259" i="3"/>
  <c r="S258" i="3"/>
  <c r="O258" i="3"/>
  <c r="R258" i="3" s="1"/>
  <c r="N258" i="3"/>
  <c r="M258" i="3"/>
  <c r="C258" i="3"/>
  <c r="S257" i="3"/>
  <c r="R257" i="3"/>
  <c r="O257" i="3"/>
  <c r="P257" i="3" s="1"/>
  <c r="Q257" i="3" s="1"/>
  <c r="N257" i="3"/>
  <c r="M257" i="3"/>
  <c r="C257" i="3"/>
  <c r="O256" i="3"/>
  <c r="R256" i="3" s="1"/>
  <c r="N256" i="3"/>
  <c r="P256" i="3" s="1"/>
  <c r="Q256" i="3" s="1"/>
  <c r="M256" i="3"/>
  <c r="S256" i="3" s="1"/>
  <c r="C256" i="3"/>
  <c r="S255" i="3"/>
  <c r="R255" i="3"/>
  <c r="O255" i="3"/>
  <c r="N255" i="3"/>
  <c r="P255" i="3" s="1"/>
  <c r="Q255" i="3" s="1"/>
  <c r="M255" i="3"/>
  <c r="C255" i="3"/>
  <c r="S254" i="3"/>
  <c r="O254" i="3"/>
  <c r="R254" i="3" s="1"/>
  <c r="N254" i="3"/>
  <c r="P254" i="3" s="1"/>
  <c r="Q254" i="3" s="1"/>
  <c r="M254" i="3"/>
  <c r="C254" i="3"/>
  <c r="R253" i="3"/>
  <c r="O253" i="3"/>
  <c r="N253" i="3"/>
  <c r="P253" i="3" s="1"/>
  <c r="Q253" i="3" s="1"/>
  <c r="M253" i="3"/>
  <c r="C253" i="3"/>
  <c r="S252" i="3"/>
  <c r="R252" i="3"/>
  <c r="O252" i="3"/>
  <c r="N252" i="3"/>
  <c r="P252" i="3" s="1"/>
  <c r="Q252" i="3" s="1"/>
  <c r="M252" i="3"/>
  <c r="C252" i="3"/>
  <c r="O251" i="3"/>
  <c r="R251" i="3" s="1"/>
  <c r="N251" i="3"/>
  <c r="P251" i="3" s="1"/>
  <c r="Q251" i="3" s="1"/>
  <c r="M251" i="3"/>
  <c r="S251" i="3" s="1"/>
  <c r="C251" i="3"/>
  <c r="Q250" i="3"/>
  <c r="O250" i="3"/>
  <c r="R250" i="3" s="1"/>
  <c r="N250" i="3"/>
  <c r="P250" i="3" s="1"/>
  <c r="M250" i="3"/>
  <c r="S250" i="3" s="1"/>
  <c r="C250" i="3"/>
  <c r="S249" i="3"/>
  <c r="R249" i="3"/>
  <c r="Q249" i="3"/>
  <c r="P249" i="3"/>
  <c r="O249" i="3"/>
  <c r="N249" i="3"/>
  <c r="M249" i="3"/>
  <c r="C249" i="3"/>
  <c r="R248" i="3"/>
  <c r="P248" i="3"/>
  <c r="Q248" i="3" s="1"/>
  <c r="O248" i="3"/>
  <c r="N248" i="3"/>
  <c r="M248" i="3"/>
  <c r="C248" i="3"/>
  <c r="O247" i="3"/>
  <c r="R247" i="3" s="1"/>
  <c r="N247" i="3"/>
  <c r="M247" i="3"/>
  <c r="S247" i="3" s="1"/>
  <c r="C247" i="3"/>
  <c r="S246" i="3"/>
  <c r="R246" i="3"/>
  <c r="P246" i="3"/>
  <c r="Q246" i="3" s="1"/>
  <c r="O246" i="3"/>
  <c r="N246" i="3"/>
  <c r="M246" i="3"/>
  <c r="C246" i="3"/>
  <c r="P245" i="3"/>
  <c r="Q245" i="3" s="1"/>
  <c r="O245" i="3"/>
  <c r="R245" i="3" s="1"/>
  <c r="N245" i="3"/>
  <c r="M245" i="3"/>
  <c r="C245" i="3"/>
  <c r="S244" i="3"/>
  <c r="O244" i="3"/>
  <c r="R244" i="3" s="1"/>
  <c r="N244" i="3"/>
  <c r="P244" i="3" s="1"/>
  <c r="Q244" i="3" s="1"/>
  <c r="M244" i="3"/>
  <c r="C244" i="3"/>
  <c r="S243" i="3"/>
  <c r="O243" i="3"/>
  <c r="P243" i="3" s="1"/>
  <c r="Q243" i="3" s="1"/>
  <c r="N243" i="3"/>
  <c r="M243" i="3"/>
  <c r="C243" i="3"/>
  <c r="O242" i="3"/>
  <c r="R242" i="3" s="1"/>
  <c r="N242" i="3"/>
  <c r="P242" i="3" s="1"/>
  <c r="Q242" i="3" s="1"/>
  <c r="M242" i="3"/>
  <c r="S242" i="3" s="1"/>
  <c r="C242" i="3"/>
  <c r="O241" i="3"/>
  <c r="R241" i="3" s="1"/>
  <c r="N241" i="3"/>
  <c r="P241" i="3" s="1"/>
  <c r="Q241" i="3" s="1"/>
  <c r="M241" i="3"/>
  <c r="S241" i="3" s="1"/>
  <c r="C241" i="3"/>
  <c r="S240" i="3"/>
  <c r="O240" i="3"/>
  <c r="N240" i="3"/>
  <c r="M240" i="3"/>
  <c r="C240" i="3"/>
  <c r="S239" i="3"/>
  <c r="R239" i="3"/>
  <c r="O239" i="3"/>
  <c r="N239" i="3"/>
  <c r="P239" i="3" s="1"/>
  <c r="Q239" i="3" s="1"/>
  <c r="M239" i="3"/>
  <c r="C239" i="3"/>
  <c r="O238" i="3"/>
  <c r="R238" i="3" s="1"/>
  <c r="N238" i="3"/>
  <c r="M238" i="3"/>
  <c r="C238" i="3"/>
  <c r="S237" i="3"/>
  <c r="R237" i="3"/>
  <c r="O237" i="3"/>
  <c r="P237" i="3" s="1"/>
  <c r="Q237" i="3" s="1"/>
  <c r="N237" i="3"/>
  <c r="M237" i="3"/>
  <c r="C237" i="3"/>
  <c r="S236" i="3"/>
  <c r="O236" i="3"/>
  <c r="R236" i="3" s="1"/>
  <c r="N236" i="3"/>
  <c r="M236" i="3"/>
  <c r="C236" i="3"/>
  <c r="O235" i="3"/>
  <c r="R235" i="3" s="1"/>
  <c r="N235" i="3"/>
  <c r="M235" i="3"/>
  <c r="C235" i="3"/>
  <c r="S234" i="3"/>
  <c r="O234" i="3"/>
  <c r="N234" i="3"/>
  <c r="M234" i="3"/>
  <c r="C234" i="3"/>
  <c r="R233" i="3"/>
  <c r="O233" i="3"/>
  <c r="N233" i="3"/>
  <c r="P233" i="3" s="1"/>
  <c r="Q233" i="3" s="1"/>
  <c r="M233" i="3"/>
  <c r="S233" i="3" s="1"/>
  <c r="C233" i="3"/>
  <c r="S232" i="3"/>
  <c r="O232" i="3"/>
  <c r="R232" i="3" s="1"/>
  <c r="N232" i="3"/>
  <c r="P232" i="3" s="1"/>
  <c r="Q232" i="3" s="1"/>
  <c r="M232" i="3"/>
  <c r="C232" i="3"/>
  <c r="R231" i="3"/>
  <c r="O231" i="3"/>
  <c r="P231" i="3" s="1"/>
  <c r="Q231" i="3" s="1"/>
  <c r="N231" i="3"/>
  <c r="M231" i="3"/>
  <c r="C231" i="3"/>
  <c r="S231" i="3" s="1"/>
  <c r="O230" i="3"/>
  <c r="R230" i="3" s="1"/>
  <c r="N230" i="3"/>
  <c r="P230" i="3" s="1"/>
  <c r="Q230" i="3" s="1"/>
  <c r="M230" i="3"/>
  <c r="S230" i="3" s="1"/>
  <c r="C230" i="3"/>
  <c r="S229" i="3"/>
  <c r="O229" i="3"/>
  <c r="R229" i="3" s="1"/>
  <c r="N229" i="3"/>
  <c r="M229" i="3"/>
  <c r="C229" i="3"/>
  <c r="O228" i="3"/>
  <c r="R228" i="3" s="1"/>
  <c r="N228" i="3"/>
  <c r="M228" i="3"/>
  <c r="C228" i="3"/>
  <c r="S228" i="3" s="1"/>
  <c r="S227" i="3"/>
  <c r="R227" i="3"/>
  <c r="O227" i="3"/>
  <c r="N227" i="3"/>
  <c r="P227" i="3" s="1"/>
  <c r="Q227" i="3" s="1"/>
  <c r="M227" i="3"/>
  <c r="C227" i="3"/>
  <c r="O226" i="3"/>
  <c r="R226" i="3" s="1"/>
  <c r="N226" i="3"/>
  <c r="P226" i="3" s="1"/>
  <c r="Q226" i="3" s="1"/>
  <c r="M226" i="3"/>
  <c r="S226" i="3" s="1"/>
  <c r="C226" i="3"/>
  <c r="S225" i="3"/>
  <c r="P225" i="3"/>
  <c r="Q225" i="3" s="1"/>
  <c r="O225" i="3"/>
  <c r="R225" i="3" s="1"/>
  <c r="N225" i="3"/>
  <c r="M225" i="3"/>
  <c r="C225" i="3"/>
  <c r="S224" i="3"/>
  <c r="R224" i="3"/>
  <c r="P224" i="3"/>
  <c r="Q224" i="3" s="1"/>
  <c r="O224" i="3"/>
  <c r="N224" i="3"/>
  <c r="M224" i="3"/>
  <c r="C224" i="3"/>
  <c r="P223" i="3"/>
  <c r="Q223" i="3" s="1"/>
  <c r="O223" i="3"/>
  <c r="R223" i="3" s="1"/>
  <c r="N223" i="3"/>
  <c r="M223" i="3"/>
  <c r="S223" i="3" s="1"/>
  <c r="C223" i="3"/>
  <c r="R222" i="3"/>
  <c r="O222" i="3"/>
  <c r="P222" i="3" s="1"/>
  <c r="Q222" i="3" s="1"/>
  <c r="N222" i="3"/>
  <c r="M222" i="3"/>
  <c r="C222" i="3"/>
  <c r="S222" i="3" s="1"/>
  <c r="S221" i="3"/>
  <c r="P221" i="3"/>
  <c r="Q221" i="3" s="1"/>
  <c r="O221" i="3"/>
  <c r="R221" i="3" s="1"/>
  <c r="N221" i="3"/>
  <c r="M221" i="3"/>
  <c r="C221" i="3"/>
  <c r="O220" i="3"/>
  <c r="R220" i="3" s="1"/>
  <c r="N220" i="3"/>
  <c r="P220" i="3" s="1"/>
  <c r="Q220" i="3" s="1"/>
  <c r="M220" i="3"/>
  <c r="S220" i="3" s="1"/>
  <c r="C220" i="3"/>
  <c r="S219" i="3"/>
  <c r="R219" i="3"/>
  <c r="P219" i="3"/>
  <c r="Q219" i="3" s="1"/>
  <c r="O219" i="3"/>
  <c r="N219" i="3"/>
  <c r="M219" i="3"/>
  <c r="C219" i="3"/>
  <c r="R218" i="3"/>
  <c r="O218" i="3"/>
  <c r="N218" i="3"/>
  <c r="P218" i="3" s="1"/>
  <c r="Q218" i="3" s="1"/>
  <c r="M218" i="3"/>
  <c r="C218" i="3"/>
  <c r="O217" i="3"/>
  <c r="R217" i="3" s="1"/>
  <c r="N217" i="3"/>
  <c r="P217" i="3" s="1"/>
  <c r="Q217" i="3" s="1"/>
  <c r="M217" i="3"/>
  <c r="S217" i="3" s="1"/>
  <c r="C217" i="3"/>
  <c r="S216" i="3"/>
  <c r="O216" i="3"/>
  <c r="R216" i="3" s="1"/>
  <c r="N216" i="3"/>
  <c r="M216" i="3"/>
  <c r="C216" i="3"/>
  <c r="P215" i="3"/>
  <c r="Q215" i="3" s="1"/>
  <c r="O215" i="3"/>
  <c r="R215" i="3" s="1"/>
  <c r="N215" i="3"/>
  <c r="M215" i="3"/>
  <c r="S215" i="3" s="1"/>
  <c r="C215" i="3"/>
  <c r="S214" i="3"/>
  <c r="P214" i="3"/>
  <c r="Q214" i="3" s="1"/>
  <c r="O214" i="3"/>
  <c r="R214" i="3" s="1"/>
  <c r="N214" i="3"/>
  <c r="M214" i="3"/>
  <c r="C214" i="3"/>
  <c r="R213" i="3"/>
  <c r="Q213" i="3"/>
  <c r="O213" i="3"/>
  <c r="P213" i="3" s="1"/>
  <c r="N213" i="3"/>
  <c r="M213" i="3"/>
  <c r="C213" i="3"/>
  <c r="S213" i="3" s="1"/>
  <c r="O212" i="3"/>
  <c r="R212" i="3" s="1"/>
  <c r="N212" i="3"/>
  <c r="P212" i="3" s="1"/>
  <c r="Q212" i="3" s="1"/>
  <c r="M212" i="3"/>
  <c r="S212" i="3" s="1"/>
  <c r="C212" i="3"/>
  <c r="S211" i="3"/>
  <c r="O211" i="3"/>
  <c r="R211" i="3" s="1"/>
  <c r="N211" i="3"/>
  <c r="P211" i="3" s="1"/>
  <c r="Q211" i="3" s="1"/>
  <c r="M211" i="3"/>
  <c r="C211" i="3"/>
  <c r="P210" i="3"/>
  <c r="Q210" i="3" s="1"/>
  <c r="O210" i="3"/>
  <c r="R210" i="3" s="1"/>
  <c r="N210" i="3"/>
  <c r="M210" i="3"/>
  <c r="C210" i="3"/>
  <c r="S210" i="3" s="1"/>
  <c r="R209" i="3"/>
  <c r="O209" i="3"/>
  <c r="N209" i="3"/>
  <c r="P209" i="3" s="1"/>
  <c r="Q209" i="3" s="1"/>
  <c r="M209" i="3"/>
  <c r="C209" i="3"/>
  <c r="S209" i="3" s="1"/>
  <c r="S208" i="3"/>
  <c r="O208" i="3"/>
  <c r="R208" i="3" s="1"/>
  <c r="N208" i="3"/>
  <c r="M208" i="3"/>
  <c r="C208" i="3"/>
  <c r="S207" i="3"/>
  <c r="O207" i="3"/>
  <c r="R207" i="3" s="1"/>
  <c r="N207" i="3"/>
  <c r="M207" i="3"/>
  <c r="C207" i="3"/>
  <c r="S206" i="3"/>
  <c r="R206" i="3"/>
  <c r="Q206" i="3"/>
  <c r="P206" i="3"/>
  <c r="O206" i="3"/>
  <c r="N206" i="3"/>
  <c r="M206" i="3"/>
  <c r="C206" i="3"/>
  <c r="P205" i="3"/>
  <c r="Q205" i="3" s="1"/>
  <c r="O205" i="3"/>
  <c r="R205" i="3" s="1"/>
  <c r="N205" i="3"/>
  <c r="M205" i="3"/>
  <c r="C205" i="3"/>
  <c r="S204" i="3"/>
  <c r="R204" i="3"/>
  <c r="O204" i="3"/>
  <c r="P204" i="3" s="1"/>
  <c r="Q204" i="3" s="1"/>
  <c r="N204" i="3"/>
  <c r="M204" i="3"/>
  <c r="C204" i="3"/>
  <c r="S203" i="3"/>
  <c r="O203" i="3"/>
  <c r="R203" i="3" s="1"/>
  <c r="N203" i="3"/>
  <c r="P203" i="3" s="1"/>
  <c r="Q203" i="3" s="1"/>
  <c r="M203" i="3"/>
  <c r="C203" i="3"/>
  <c r="O202" i="3"/>
  <c r="R202" i="3" s="1"/>
  <c r="N202" i="3"/>
  <c r="P202" i="3" s="1"/>
  <c r="Q202" i="3" s="1"/>
  <c r="M202" i="3"/>
  <c r="C202" i="3"/>
  <c r="S202" i="3" s="1"/>
  <c r="S201" i="3"/>
  <c r="R201" i="3"/>
  <c r="Q201" i="3"/>
  <c r="O201" i="3"/>
  <c r="P201" i="3" s="1"/>
  <c r="N201" i="3"/>
  <c r="M201" i="3"/>
  <c r="C201" i="3"/>
  <c r="S200" i="3"/>
  <c r="R200" i="3"/>
  <c r="P200" i="3"/>
  <c r="Q200" i="3" s="1"/>
  <c r="O200" i="3"/>
  <c r="N200" i="3"/>
  <c r="M200" i="3"/>
  <c r="C200" i="3"/>
  <c r="O199" i="3"/>
  <c r="R199" i="3" s="1"/>
  <c r="N199" i="3"/>
  <c r="P199" i="3" s="1"/>
  <c r="Q199" i="3" s="1"/>
  <c r="M199" i="3"/>
  <c r="S199" i="3" s="1"/>
  <c r="C199" i="3"/>
  <c r="S198" i="3"/>
  <c r="R198" i="3"/>
  <c r="P198" i="3"/>
  <c r="Q198" i="3" s="1"/>
  <c r="O198" i="3"/>
  <c r="N198" i="3"/>
  <c r="M198" i="3"/>
  <c r="C198" i="3"/>
  <c r="O197" i="3"/>
  <c r="R197" i="3" s="1"/>
  <c r="N197" i="3"/>
  <c r="P197" i="3" s="1"/>
  <c r="Q197" i="3" s="1"/>
  <c r="M197" i="3"/>
  <c r="C197" i="3"/>
  <c r="P196" i="3"/>
  <c r="Q196" i="3" s="1"/>
  <c r="O196" i="3"/>
  <c r="R196" i="3" s="1"/>
  <c r="N196" i="3"/>
  <c r="M196" i="3"/>
  <c r="C196" i="3"/>
  <c r="O195" i="3"/>
  <c r="R195" i="3" s="1"/>
  <c r="N195" i="3"/>
  <c r="M195" i="3"/>
  <c r="S195" i="3" s="1"/>
  <c r="C195" i="3"/>
  <c r="R194" i="3"/>
  <c r="O194" i="3"/>
  <c r="N194" i="3"/>
  <c r="P194" i="3" s="1"/>
  <c r="Q194" i="3" s="1"/>
  <c r="M194" i="3"/>
  <c r="C194" i="3"/>
  <c r="O193" i="3"/>
  <c r="R193" i="3" s="1"/>
  <c r="N193" i="3"/>
  <c r="P193" i="3" s="1"/>
  <c r="Q193" i="3" s="1"/>
  <c r="M193" i="3"/>
  <c r="C193" i="3"/>
  <c r="S193" i="3" s="1"/>
  <c r="S192" i="3"/>
  <c r="O192" i="3"/>
  <c r="R192" i="3" s="1"/>
  <c r="N192" i="3"/>
  <c r="M192" i="3"/>
  <c r="C192" i="3"/>
  <c r="O191" i="3"/>
  <c r="R191" i="3" s="1"/>
  <c r="N191" i="3"/>
  <c r="M191" i="3"/>
  <c r="C191" i="3"/>
  <c r="S190" i="3"/>
  <c r="Q190" i="3"/>
  <c r="O190" i="3"/>
  <c r="R190" i="3" s="1"/>
  <c r="N190" i="3"/>
  <c r="P190" i="3" s="1"/>
  <c r="M190" i="3"/>
  <c r="C190" i="3"/>
  <c r="O189" i="3"/>
  <c r="N189" i="3"/>
  <c r="M189" i="3"/>
  <c r="S189" i="3" s="1"/>
  <c r="C189" i="3"/>
  <c r="R188" i="3"/>
  <c r="O188" i="3"/>
  <c r="N188" i="3"/>
  <c r="P188" i="3" s="1"/>
  <c r="Q188" i="3" s="1"/>
  <c r="M188" i="3"/>
  <c r="C188" i="3"/>
  <c r="S188" i="3" s="1"/>
  <c r="P187" i="3"/>
  <c r="Q187" i="3" s="1"/>
  <c r="O187" i="3"/>
  <c r="R187" i="3" s="1"/>
  <c r="N187" i="3"/>
  <c r="M187" i="3"/>
  <c r="S187" i="3" s="1"/>
  <c r="C187" i="3"/>
  <c r="R186" i="3"/>
  <c r="O186" i="3"/>
  <c r="P186" i="3" s="1"/>
  <c r="Q186" i="3" s="1"/>
  <c r="N186" i="3"/>
  <c r="M186" i="3"/>
  <c r="C186" i="3"/>
  <c r="O185" i="3"/>
  <c r="R185" i="3" s="1"/>
  <c r="N185" i="3"/>
  <c r="P185" i="3" s="1"/>
  <c r="Q185" i="3" s="1"/>
  <c r="M185" i="3"/>
  <c r="S185" i="3" s="1"/>
  <c r="C185" i="3"/>
  <c r="S184" i="3"/>
  <c r="P184" i="3"/>
  <c r="Q184" i="3" s="1"/>
  <c r="O184" i="3"/>
  <c r="R184" i="3" s="1"/>
  <c r="N184" i="3"/>
  <c r="M184" i="3"/>
  <c r="C184" i="3"/>
  <c r="S183" i="3"/>
  <c r="R183" i="3"/>
  <c r="P183" i="3"/>
  <c r="Q183" i="3" s="1"/>
  <c r="O183" i="3"/>
  <c r="N183" i="3"/>
  <c r="M183" i="3"/>
  <c r="C183" i="3"/>
  <c r="O182" i="3"/>
  <c r="R182" i="3" s="1"/>
  <c r="N182" i="3"/>
  <c r="M182" i="3"/>
  <c r="C182" i="3"/>
  <c r="O181" i="3"/>
  <c r="R181" i="3" s="1"/>
  <c r="N181" i="3"/>
  <c r="P181" i="3" s="1"/>
  <c r="Q181" i="3" s="1"/>
  <c r="M181" i="3"/>
  <c r="S181" i="3" s="1"/>
  <c r="C181" i="3"/>
  <c r="O180" i="3"/>
  <c r="R180" i="3" s="1"/>
  <c r="N180" i="3"/>
  <c r="M180" i="3"/>
  <c r="C180" i="3"/>
  <c r="S179" i="3"/>
  <c r="R179" i="3"/>
  <c r="O179" i="3"/>
  <c r="N179" i="3"/>
  <c r="P179" i="3" s="1"/>
  <c r="Q179" i="3" s="1"/>
  <c r="M179" i="3"/>
  <c r="C179" i="3"/>
  <c r="O178" i="3"/>
  <c r="R178" i="3" s="1"/>
  <c r="N178" i="3"/>
  <c r="P178" i="3" s="1"/>
  <c r="Q178" i="3" s="1"/>
  <c r="M178" i="3"/>
  <c r="S178" i="3" s="1"/>
  <c r="C178" i="3"/>
  <c r="R177" i="3"/>
  <c r="O177" i="3"/>
  <c r="P177" i="3" s="1"/>
  <c r="Q177" i="3" s="1"/>
  <c r="N177" i="3"/>
  <c r="M177" i="3"/>
  <c r="C177" i="3"/>
  <c r="S177" i="3" s="1"/>
  <c r="R176" i="3"/>
  <c r="O176" i="3"/>
  <c r="N176" i="3"/>
  <c r="P176" i="3" s="1"/>
  <c r="Q176" i="3" s="1"/>
  <c r="M176" i="3"/>
  <c r="C176" i="3"/>
  <c r="O175" i="3"/>
  <c r="R175" i="3" s="1"/>
  <c r="N175" i="3"/>
  <c r="P175" i="3" s="1"/>
  <c r="Q175" i="3" s="1"/>
  <c r="M175" i="3"/>
  <c r="S175" i="3" s="1"/>
  <c r="C175" i="3"/>
  <c r="P174" i="3"/>
  <c r="Q174" i="3" s="1"/>
  <c r="O174" i="3"/>
  <c r="R174" i="3" s="1"/>
  <c r="N174" i="3"/>
  <c r="M174" i="3"/>
  <c r="S174" i="3" s="1"/>
  <c r="C174" i="3"/>
  <c r="R173" i="3"/>
  <c r="P173" i="3"/>
  <c r="Q173" i="3" s="1"/>
  <c r="O173" i="3"/>
  <c r="N173" i="3"/>
  <c r="M173" i="3"/>
  <c r="C173" i="3"/>
  <c r="S172" i="3"/>
  <c r="R172" i="3"/>
  <c r="O172" i="3"/>
  <c r="N172" i="3"/>
  <c r="M172" i="3"/>
  <c r="C172" i="3"/>
  <c r="O171" i="3"/>
  <c r="R171" i="3" s="1"/>
  <c r="N171" i="3"/>
  <c r="P171" i="3" s="1"/>
  <c r="Q171" i="3" s="1"/>
  <c r="M171" i="3"/>
  <c r="S171" i="3" s="1"/>
  <c r="C171" i="3"/>
  <c r="S170" i="3"/>
  <c r="R170" i="3"/>
  <c r="Q170" i="3"/>
  <c r="P170" i="3"/>
  <c r="O170" i="3"/>
  <c r="N170" i="3"/>
  <c r="M170" i="3"/>
  <c r="C170" i="3"/>
  <c r="O169" i="3"/>
  <c r="R169" i="3" s="1"/>
  <c r="N169" i="3"/>
  <c r="M169" i="3"/>
  <c r="C169" i="3"/>
  <c r="O168" i="3"/>
  <c r="R168" i="3" s="1"/>
  <c r="N168" i="3"/>
  <c r="P168" i="3" s="1"/>
  <c r="Q168" i="3" s="1"/>
  <c r="M168" i="3"/>
  <c r="S168" i="3" s="1"/>
  <c r="C168" i="3"/>
  <c r="S167" i="3"/>
  <c r="R167" i="3"/>
  <c r="Q167" i="3"/>
  <c r="P167" i="3"/>
  <c r="O167" i="3"/>
  <c r="N167" i="3"/>
  <c r="M167" i="3"/>
  <c r="C167" i="3"/>
  <c r="R166" i="3"/>
  <c r="O166" i="3"/>
  <c r="N166" i="3"/>
  <c r="P166" i="3" s="1"/>
  <c r="Q166" i="3" s="1"/>
  <c r="M166" i="3"/>
  <c r="C166" i="3"/>
  <c r="P165" i="3"/>
  <c r="Q165" i="3" s="1"/>
  <c r="O165" i="3"/>
  <c r="R165" i="3" s="1"/>
  <c r="N165" i="3"/>
  <c r="M165" i="3"/>
  <c r="S165" i="3" s="1"/>
  <c r="C165" i="3"/>
  <c r="R164" i="3"/>
  <c r="P164" i="3"/>
  <c r="Q164" i="3" s="1"/>
  <c r="O164" i="3"/>
  <c r="N164" i="3"/>
  <c r="M164" i="3"/>
  <c r="C164" i="3"/>
  <c r="S163" i="3"/>
  <c r="O163" i="3"/>
  <c r="R163" i="3" s="1"/>
  <c r="N163" i="3"/>
  <c r="P163" i="3" s="1"/>
  <c r="Q163" i="3" s="1"/>
  <c r="M163" i="3"/>
  <c r="C163" i="3"/>
  <c r="O162" i="3"/>
  <c r="R162" i="3" s="1"/>
  <c r="N162" i="3"/>
  <c r="P162" i="3" s="1"/>
  <c r="Q162" i="3" s="1"/>
  <c r="M162" i="3"/>
  <c r="S162" i="3" s="1"/>
  <c r="C162" i="3"/>
  <c r="R161" i="3"/>
  <c r="P161" i="3"/>
  <c r="Q161" i="3" s="1"/>
  <c r="O161" i="3"/>
  <c r="N161" i="3"/>
  <c r="M161" i="3"/>
  <c r="C161" i="3"/>
  <c r="S160" i="3"/>
  <c r="O160" i="3"/>
  <c r="R160" i="3" s="1"/>
  <c r="N160" i="3"/>
  <c r="M160" i="3"/>
  <c r="C160" i="3"/>
  <c r="O159" i="3"/>
  <c r="R159" i="3" s="1"/>
  <c r="N159" i="3"/>
  <c r="P159" i="3" s="1"/>
  <c r="Q159" i="3" s="1"/>
  <c r="M159" i="3"/>
  <c r="S159" i="3" s="1"/>
  <c r="C159" i="3"/>
  <c r="S158" i="3"/>
  <c r="R158" i="3"/>
  <c r="Q158" i="3"/>
  <c r="P158" i="3"/>
  <c r="O158" i="3"/>
  <c r="N158" i="3"/>
  <c r="M158" i="3"/>
  <c r="C158" i="3"/>
  <c r="O157" i="3"/>
  <c r="R157" i="3" s="1"/>
  <c r="N157" i="3"/>
  <c r="P157" i="3" s="1"/>
  <c r="Q157" i="3" s="1"/>
  <c r="M157" i="3"/>
  <c r="C157" i="3"/>
  <c r="O156" i="3"/>
  <c r="R156" i="3" s="1"/>
  <c r="N156" i="3"/>
  <c r="P156" i="3" s="1"/>
  <c r="Q156" i="3" s="1"/>
  <c r="M156" i="3"/>
  <c r="S156" i="3" s="1"/>
  <c r="C156" i="3"/>
  <c r="S155" i="3"/>
  <c r="R155" i="3"/>
  <c r="P155" i="3"/>
  <c r="Q155" i="3" s="1"/>
  <c r="O155" i="3"/>
  <c r="N155" i="3"/>
  <c r="M155" i="3"/>
  <c r="C155" i="3"/>
  <c r="R154" i="3"/>
  <c r="O154" i="3"/>
  <c r="N154" i="3"/>
  <c r="P154" i="3" s="1"/>
  <c r="Q154" i="3" s="1"/>
  <c r="M154" i="3"/>
  <c r="C154" i="3"/>
  <c r="R153" i="3"/>
  <c r="P153" i="3"/>
  <c r="Q153" i="3" s="1"/>
  <c r="O153" i="3"/>
  <c r="N153" i="3"/>
  <c r="M153" i="3"/>
  <c r="S153" i="3" s="1"/>
  <c r="C153" i="3"/>
  <c r="R152" i="3"/>
  <c r="O152" i="3"/>
  <c r="N152" i="3"/>
  <c r="P152" i="3" s="1"/>
  <c r="Q152" i="3" s="1"/>
  <c r="M152" i="3"/>
  <c r="S152" i="3" s="1"/>
  <c r="C152" i="3"/>
  <c r="O151" i="3"/>
  <c r="R151" i="3" s="1"/>
  <c r="N151" i="3"/>
  <c r="P151" i="3" s="1"/>
  <c r="Q151" i="3" s="1"/>
  <c r="M151" i="3"/>
  <c r="S151" i="3" s="1"/>
  <c r="C151" i="3"/>
  <c r="O150" i="3"/>
  <c r="R150" i="3" s="1"/>
  <c r="N150" i="3"/>
  <c r="P150" i="3" s="1"/>
  <c r="Q150" i="3" s="1"/>
  <c r="M150" i="3"/>
  <c r="S150" i="3" s="1"/>
  <c r="C150" i="3"/>
  <c r="R149" i="3"/>
  <c r="O149" i="3"/>
  <c r="N149" i="3"/>
  <c r="P149" i="3" s="1"/>
  <c r="Q149" i="3" s="1"/>
  <c r="M149" i="3"/>
  <c r="C149" i="3"/>
  <c r="S148" i="3"/>
  <c r="R148" i="3"/>
  <c r="O148" i="3"/>
  <c r="N148" i="3"/>
  <c r="M148" i="3"/>
  <c r="C148" i="3"/>
  <c r="P147" i="3"/>
  <c r="Q147" i="3" s="1"/>
  <c r="O147" i="3"/>
  <c r="R147" i="3" s="1"/>
  <c r="N147" i="3"/>
  <c r="M147" i="3"/>
  <c r="S147" i="3" s="1"/>
  <c r="C147" i="3"/>
  <c r="R146" i="3"/>
  <c r="P146" i="3"/>
  <c r="Q146" i="3" s="1"/>
  <c r="O146" i="3"/>
  <c r="N146" i="3"/>
  <c r="M146" i="3"/>
  <c r="C146" i="3"/>
  <c r="S145" i="3"/>
  <c r="R145" i="3"/>
  <c r="O145" i="3"/>
  <c r="N145" i="3"/>
  <c r="M145" i="3"/>
  <c r="C145" i="3"/>
  <c r="O144" i="3"/>
  <c r="R144" i="3" s="1"/>
  <c r="N144" i="3"/>
  <c r="P144" i="3" s="1"/>
  <c r="Q144" i="3" s="1"/>
  <c r="M144" i="3"/>
  <c r="S144" i="3" s="1"/>
  <c r="C144" i="3"/>
  <c r="S143" i="3"/>
  <c r="R143" i="3"/>
  <c r="O143" i="3"/>
  <c r="N143" i="3"/>
  <c r="P143" i="3" s="1"/>
  <c r="Q143" i="3" s="1"/>
  <c r="M143" i="3"/>
  <c r="C143" i="3"/>
  <c r="R142" i="3"/>
  <c r="Q142" i="3"/>
  <c r="O142" i="3"/>
  <c r="N142" i="3"/>
  <c r="P142" i="3" s="1"/>
  <c r="M142" i="3"/>
  <c r="S142" i="3" s="1"/>
  <c r="C142" i="3"/>
  <c r="O141" i="3"/>
  <c r="R141" i="3" s="1"/>
  <c r="N141" i="3"/>
  <c r="M141" i="3"/>
  <c r="S141" i="3" s="1"/>
  <c r="C141" i="3"/>
  <c r="S140" i="3"/>
  <c r="R140" i="3"/>
  <c r="P140" i="3"/>
  <c r="Q140" i="3" s="1"/>
  <c r="O140" i="3"/>
  <c r="N140" i="3"/>
  <c r="M140" i="3"/>
  <c r="C140" i="3"/>
  <c r="O139" i="3"/>
  <c r="R139" i="3" s="1"/>
  <c r="N139" i="3"/>
  <c r="P139" i="3" s="1"/>
  <c r="Q139" i="3" s="1"/>
  <c r="M139" i="3"/>
  <c r="S139" i="3" s="1"/>
  <c r="C139" i="3"/>
  <c r="R138" i="3"/>
  <c r="O138" i="3"/>
  <c r="N138" i="3"/>
  <c r="P138" i="3" s="1"/>
  <c r="Q138" i="3" s="1"/>
  <c r="M138" i="3"/>
  <c r="S138" i="3" s="1"/>
  <c r="C138" i="3"/>
  <c r="S137" i="3"/>
  <c r="R137" i="3"/>
  <c r="O137" i="3"/>
  <c r="N137" i="3"/>
  <c r="P137" i="3" s="1"/>
  <c r="Q137" i="3" s="1"/>
  <c r="M137" i="3"/>
  <c r="C137" i="3"/>
  <c r="R136" i="3"/>
  <c r="O136" i="3"/>
  <c r="N136" i="3"/>
  <c r="P136" i="3" s="1"/>
  <c r="Q136" i="3" s="1"/>
  <c r="M136" i="3"/>
  <c r="C136" i="3"/>
  <c r="R135" i="3"/>
  <c r="P135" i="3"/>
  <c r="Q135" i="3" s="1"/>
  <c r="O135" i="3"/>
  <c r="N135" i="3"/>
  <c r="M135" i="3"/>
  <c r="S135" i="3" s="1"/>
  <c r="C135" i="3"/>
  <c r="R134" i="3"/>
  <c r="P134" i="3"/>
  <c r="Q134" i="3" s="1"/>
  <c r="O134" i="3"/>
  <c r="N134" i="3"/>
  <c r="M134" i="3"/>
  <c r="C134" i="3"/>
  <c r="O133" i="3"/>
  <c r="R133" i="3" s="1"/>
  <c r="N133" i="3"/>
  <c r="P133" i="3" s="1"/>
  <c r="Q133" i="3" s="1"/>
  <c r="M133" i="3"/>
  <c r="S133" i="3" s="1"/>
  <c r="C133" i="3"/>
  <c r="O132" i="3"/>
  <c r="P132" i="3" s="1"/>
  <c r="Q132" i="3" s="1"/>
  <c r="N132" i="3"/>
  <c r="M132" i="3"/>
  <c r="S132" i="3" s="1"/>
  <c r="C132" i="3"/>
  <c r="R131" i="3"/>
  <c r="O131" i="3"/>
  <c r="N131" i="3"/>
  <c r="P131" i="3" s="1"/>
  <c r="Q131" i="3" s="1"/>
  <c r="M131" i="3"/>
  <c r="S131" i="3" s="1"/>
  <c r="C131" i="3"/>
  <c r="S130" i="3"/>
  <c r="R130" i="3"/>
  <c r="O130" i="3"/>
  <c r="N130" i="3"/>
  <c r="M130" i="3"/>
  <c r="C130" i="3"/>
  <c r="O129" i="3"/>
  <c r="R129" i="3" s="1"/>
  <c r="N129" i="3"/>
  <c r="P129" i="3" s="1"/>
  <c r="Q129" i="3" s="1"/>
  <c r="M129" i="3"/>
  <c r="S129" i="3" s="1"/>
  <c r="C129" i="3"/>
  <c r="R128" i="3"/>
  <c r="P128" i="3"/>
  <c r="Q128" i="3" s="1"/>
  <c r="O128" i="3"/>
  <c r="N128" i="3"/>
  <c r="M128" i="3"/>
  <c r="C128" i="3"/>
  <c r="S127" i="3"/>
  <c r="O127" i="3"/>
  <c r="R127" i="3" s="1"/>
  <c r="N127" i="3"/>
  <c r="M127" i="3"/>
  <c r="C127" i="3"/>
  <c r="O126" i="3"/>
  <c r="R126" i="3" s="1"/>
  <c r="N126" i="3"/>
  <c r="P126" i="3" s="1"/>
  <c r="Q126" i="3" s="1"/>
  <c r="M126" i="3"/>
  <c r="S126" i="3" s="1"/>
  <c r="C126" i="3"/>
  <c r="S125" i="3"/>
  <c r="R125" i="3"/>
  <c r="O125" i="3"/>
  <c r="N125" i="3"/>
  <c r="P125" i="3" s="1"/>
  <c r="Q125" i="3" s="1"/>
  <c r="M125" i="3"/>
  <c r="C125" i="3"/>
  <c r="S124" i="3"/>
  <c r="O124" i="3"/>
  <c r="R124" i="3" s="1"/>
  <c r="N124" i="3"/>
  <c r="P124" i="3" s="1"/>
  <c r="Q124" i="3" s="1"/>
  <c r="M124" i="3"/>
  <c r="C124" i="3"/>
  <c r="O123" i="3"/>
  <c r="R123" i="3" s="1"/>
  <c r="N123" i="3"/>
  <c r="M123" i="3"/>
  <c r="S123" i="3" s="1"/>
  <c r="C123" i="3"/>
  <c r="S122" i="3"/>
  <c r="R122" i="3"/>
  <c r="P122" i="3"/>
  <c r="Q122" i="3" s="1"/>
  <c r="O122" i="3"/>
  <c r="N122" i="3"/>
  <c r="M122" i="3"/>
  <c r="C122" i="3"/>
  <c r="O121" i="3"/>
  <c r="R121" i="3" s="1"/>
  <c r="N121" i="3"/>
  <c r="P121" i="3" s="1"/>
  <c r="Q121" i="3" s="1"/>
  <c r="M121" i="3"/>
  <c r="C121" i="3"/>
  <c r="R120" i="3"/>
  <c r="O120" i="3"/>
  <c r="N120" i="3"/>
  <c r="P120" i="3" s="1"/>
  <c r="Q120" i="3" s="1"/>
  <c r="M120" i="3"/>
  <c r="S120" i="3" s="1"/>
  <c r="C120" i="3"/>
  <c r="S119" i="3"/>
  <c r="R119" i="3"/>
  <c r="O119" i="3"/>
  <c r="N119" i="3"/>
  <c r="P119" i="3" s="1"/>
  <c r="Q119" i="3" s="1"/>
  <c r="M119" i="3"/>
  <c r="C119" i="3"/>
  <c r="R118" i="3"/>
  <c r="O118" i="3"/>
  <c r="N118" i="3"/>
  <c r="P118" i="3" s="1"/>
  <c r="Q118" i="3" s="1"/>
  <c r="M118" i="3"/>
  <c r="S118" i="3" s="1"/>
  <c r="C118" i="3"/>
  <c r="R117" i="3"/>
  <c r="P117" i="3"/>
  <c r="Q117" i="3" s="1"/>
  <c r="O117" i="3"/>
  <c r="N117" i="3"/>
  <c r="M117" i="3"/>
  <c r="S117" i="3" s="1"/>
  <c r="C117" i="3"/>
  <c r="R116" i="3"/>
  <c r="P116" i="3"/>
  <c r="Q116" i="3" s="1"/>
  <c r="O116" i="3"/>
  <c r="N116" i="3"/>
  <c r="M116" i="3"/>
  <c r="S116" i="3" s="1"/>
  <c r="C116" i="3"/>
  <c r="O115" i="3"/>
  <c r="R115" i="3" s="1"/>
  <c r="N115" i="3"/>
  <c r="P115" i="3" s="1"/>
  <c r="Q115" i="3" s="1"/>
  <c r="M115" i="3"/>
  <c r="C115" i="3"/>
  <c r="O114" i="3"/>
  <c r="R114" i="3" s="1"/>
  <c r="N114" i="3"/>
  <c r="P114" i="3" s="1"/>
  <c r="Q114" i="3" s="1"/>
  <c r="M114" i="3"/>
  <c r="S114" i="3" s="1"/>
  <c r="C114" i="3"/>
  <c r="R113" i="3"/>
  <c r="O113" i="3"/>
  <c r="N113" i="3"/>
  <c r="P113" i="3" s="1"/>
  <c r="Q113" i="3" s="1"/>
  <c r="M113" i="3"/>
  <c r="C113" i="3"/>
  <c r="S112" i="3"/>
  <c r="R112" i="3"/>
  <c r="O112" i="3"/>
  <c r="N112" i="3"/>
  <c r="M112" i="3"/>
  <c r="C112" i="3"/>
  <c r="O111" i="3"/>
  <c r="R111" i="3" s="1"/>
  <c r="N111" i="3"/>
  <c r="P111" i="3" s="1"/>
  <c r="Q111" i="3" s="1"/>
  <c r="M111" i="3"/>
  <c r="S111" i="3" s="1"/>
  <c r="C111" i="3"/>
  <c r="R110" i="3"/>
  <c r="P110" i="3"/>
  <c r="Q110" i="3" s="1"/>
  <c r="O110" i="3"/>
  <c r="N110" i="3"/>
  <c r="M110" i="3"/>
  <c r="S110" i="3" s="1"/>
  <c r="C110" i="3"/>
  <c r="S109" i="3"/>
  <c r="O109" i="3"/>
  <c r="R109" i="3" s="1"/>
  <c r="N109" i="3"/>
  <c r="M109" i="3"/>
  <c r="C109" i="3"/>
  <c r="O108" i="3"/>
  <c r="R108" i="3" s="1"/>
  <c r="N108" i="3"/>
  <c r="P108" i="3" s="1"/>
  <c r="Q108" i="3" s="1"/>
  <c r="M108" i="3"/>
  <c r="S108" i="3" s="1"/>
  <c r="C108" i="3"/>
  <c r="S107" i="3"/>
  <c r="R107" i="3"/>
  <c r="O107" i="3"/>
  <c r="N107" i="3"/>
  <c r="P107" i="3" s="1"/>
  <c r="Q107" i="3" s="1"/>
  <c r="M107" i="3"/>
  <c r="C107" i="3"/>
  <c r="O106" i="3"/>
  <c r="R106" i="3" s="1"/>
  <c r="N106" i="3"/>
  <c r="P106" i="3" s="1"/>
  <c r="Q106" i="3" s="1"/>
  <c r="M106" i="3"/>
  <c r="S106" i="3" s="1"/>
  <c r="C106" i="3"/>
  <c r="O105" i="3"/>
  <c r="R105" i="3" s="1"/>
  <c r="N105" i="3"/>
  <c r="M105" i="3"/>
  <c r="S105" i="3" s="1"/>
  <c r="C105" i="3"/>
  <c r="S104" i="3"/>
  <c r="R104" i="3"/>
  <c r="P104" i="3"/>
  <c r="Q104" i="3" s="1"/>
  <c r="O104" i="3"/>
  <c r="N104" i="3"/>
  <c r="M104" i="3"/>
  <c r="C104" i="3"/>
  <c r="Q103" i="3"/>
  <c r="O103" i="3"/>
  <c r="R103" i="3" s="1"/>
  <c r="N103" i="3"/>
  <c r="P103" i="3" s="1"/>
  <c r="M103" i="3"/>
  <c r="C103" i="3"/>
  <c r="R102" i="3"/>
  <c r="O102" i="3"/>
  <c r="N102" i="3"/>
  <c r="P102" i="3" s="1"/>
  <c r="Q102" i="3" s="1"/>
  <c r="M102" i="3"/>
  <c r="S102" i="3" s="1"/>
  <c r="C102" i="3"/>
  <c r="S101" i="3"/>
  <c r="R101" i="3"/>
  <c r="O101" i="3"/>
  <c r="N101" i="3"/>
  <c r="P101" i="3" s="1"/>
  <c r="Q101" i="3" s="1"/>
  <c r="M101" i="3"/>
  <c r="C101" i="3"/>
  <c r="R100" i="3"/>
  <c r="O100" i="3"/>
  <c r="N100" i="3"/>
  <c r="P100" i="3" s="1"/>
  <c r="Q100" i="3" s="1"/>
  <c r="M100" i="3"/>
  <c r="C100" i="3"/>
  <c r="R99" i="3"/>
  <c r="Q99" i="3"/>
  <c r="P99" i="3"/>
  <c r="O99" i="3"/>
  <c r="N99" i="3"/>
  <c r="M99" i="3"/>
  <c r="S99" i="3" s="1"/>
  <c r="C99" i="3"/>
  <c r="R98" i="3"/>
  <c r="O98" i="3"/>
  <c r="N98" i="3"/>
  <c r="P98" i="3" s="1"/>
  <c r="Q98" i="3" s="1"/>
  <c r="M98" i="3"/>
  <c r="C98" i="3"/>
  <c r="O97" i="3"/>
  <c r="R97" i="3" s="1"/>
  <c r="N97" i="3"/>
  <c r="P97" i="3" s="1"/>
  <c r="Q97" i="3" s="1"/>
  <c r="M97" i="3"/>
  <c r="C97" i="3"/>
  <c r="O96" i="3"/>
  <c r="R96" i="3" s="1"/>
  <c r="N96" i="3"/>
  <c r="P96" i="3" s="1"/>
  <c r="Q96" i="3" s="1"/>
  <c r="M96" i="3"/>
  <c r="S96" i="3" s="1"/>
  <c r="C96" i="3"/>
  <c r="O95" i="3"/>
  <c r="R95" i="3" s="1"/>
  <c r="N95" i="3"/>
  <c r="M95" i="3"/>
  <c r="C95" i="3"/>
  <c r="S94" i="3"/>
  <c r="R94" i="3"/>
  <c r="O94" i="3"/>
  <c r="N94" i="3"/>
  <c r="M94" i="3"/>
  <c r="C94" i="3"/>
  <c r="R93" i="3"/>
  <c r="P93" i="3"/>
  <c r="Q93" i="3" s="1"/>
  <c r="O93" i="3"/>
  <c r="N93" i="3"/>
  <c r="M93" i="3"/>
  <c r="S93" i="3" s="1"/>
  <c r="C93" i="3"/>
  <c r="O92" i="3"/>
  <c r="R92" i="3" s="1"/>
  <c r="N92" i="3"/>
  <c r="P92" i="3" s="1"/>
  <c r="Q92" i="3" s="1"/>
  <c r="M92" i="3"/>
  <c r="C92" i="3"/>
  <c r="S91" i="3"/>
  <c r="R91" i="3"/>
  <c r="Q91" i="3"/>
  <c r="O91" i="3"/>
  <c r="N91" i="3"/>
  <c r="P91" i="3" s="1"/>
  <c r="M91" i="3"/>
  <c r="C91" i="3"/>
  <c r="P90" i="3"/>
  <c r="Q90" i="3" s="1"/>
  <c r="O90" i="3"/>
  <c r="R90" i="3" s="1"/>
  <c r="N90" i="3"/>
  <c r="M90" i="3"/>
  <c r="S90" i="3" s="1"/>
  <c r="C90" i="3"/>
  <c r="O89" i="3"/>
  <c r="R89" i="3" s="1"/>
  <c r="N89" i="3"/>
  <c r="M89" i="3"/>
  <c r="S89" i="3" s="1"/>
  <c r="C89" i="3"/>
  <c r="S88" i="3"/>
  <c r="O88" i="3"/>
  <c r="R88" i="3" s="1"/>
  <c r="N88" i="3"/>
  <c r="M88" i="3"/>
  <c r="C88" i="3"/>
  <c r="O87" i="3"/>
  <c r="R87" i="3" s="1"/>
  <c r="N87" i="3"/>
  <c r="M87" i="3"/>
  <c r="S87" i="3" s="1"/>
  <c r="C87" i="3"/>
  <c r="O86" i="3"/>
  <c r="R86" i="3" s="1"/>
  <c r="N86" i="3"/>
  <c r="P86" i="3" s="1"/>
  <c r="Q86" i="3" s="1"/>
  <c r="M86" i="3"/>
  <c r="C86" i="3"/>
  <c r="S86" i="3" s="1"/>
  <c r="S85" i="3"/>
  <c r="O85" i="3"/>
  <c r="R85" i="3" s="1"/>
  <c r="N85" i="3"/>
  <c r="M85" i="3"/>
  <c r="C85" i="3"/>
  <c r="O84" i="3"/>
  <c r="R84" i="3" s="1"/>
  <c r="N84" i="3"/>
  <c r="P84" i="3" s="1"/>
  <c r="Q84" i="3" s="1"/>
  <c r="M84" i="3"/>
  <c r="S84" i="3" s="1"/>
  <c r="C84" i="3"/>
  <c r="S83" i="3"/>
  <c r="R83" i="3"/>
  <c r="O83" i="3"/>
  <c r="N83" i="3"/>
  <c r="P83" i="3" s="1"/>
  <c r="Q83" i="3" s="1"/>
  <c r="M83" i="3"/>
  <c r="C83" i="3"/>
  <c r="O82" i="3"/>
  <c r="R82" i="3" s="1"/>
  <c r="N82" i="3"/>
  <c r="P82" i="3" s="1"/>
  <c r="Q82" i="3" s="1"/>
  <c r="M82" i="3"/>
  <c r="S82" i="3" s="1"/>
  <c r="C82" i="3"/>
  <c r="O81" i="3"/>
  <c r="R81" i="3" s="1"/>
  <c r="N81" i="3"/>
  <c r="P81" i="3" s="1"/>
  <c r="Q81" i="3" s="1"/>
  <c r="M81" i="3"/>
  <c r="S81" i="3" s="1"/>
  <c r="C81" i="3"/>
  <c r="S80" i="3"/>
  <c r="R80" i="3"/>
  <c r="O80" i="3"/>
  <c r="N80" i="3"/>
  <c r="P80" i="3" s="1"/>
  <c r="Q80" i="3" s="1"/>
  <c r="M80" i="3"/>
  <c r="C80" i="3"/>
  <c r="O79" i="3"/>
  <c r="R79" i="3" s="1"/>
  <c r="N79" i="3"/>
  <c r="P79" i="3" s="1"/>
  <c r="Q79" i="3" s="1"/>
  <c r="M79" i="3"/>
  <c r="S79" i="3" s="1"/>
  <c r="C79" i="3"/>
  <c r="O78" i="3"/>
  <c r="R78" i="3" s="1"/>
  <c r="N78" i="3"/>
  <c r="M78" i="3"/>
  <c r="S78" i="3" s="1"/>
  <c r="C78" i="3"/>
  <c r="S77" i="3"/>
  <c r="R77" i="3"/>
  <c r="P77" i="3"/>
  <c r="Q77" i="3" s="1"/>
  <c r="O77" i="3"/>
  <c r="N77" i="3"/>
  <c r="M77" i="3"/>
  <c r="C77" i="3"/>
  <c r="Q76" i="3"/>
  <c r="O76" i="3"/>
  <c r="R76" i="3" s="1"/>
  <c r="N76" i="3"/>
  <c r="P76" i="3" s="1"/>
  <c r="M76" i="3"/>
  <c r="C76" i="3"/>
  <c r="S75" i="3"/>
  <c r="O75" i="3"/>
  <c r="R75" i="3" s="1"/>
  <c r="N75" i="3"/>
  <c r="P75" i="3" s="1"/>
  <c r="Q75" i="3" s="1"/>
  <c r="M75" i="3"/>
  <c r="C75" i="3"/>
  <c r="S74" i="3"/>
  <c r="O74" i="3"/>
  <c r="R74" i="3" s="1"/>
  <c r="N74" i="3"/>
  <c r="M74" i="3"/>
  <c r="C74" i="3"/>
  <c r="O73" i="3"/>
  <c r="R73" i="3" s="1"/>
  <c r="N73" i="3"/>
  <c r="P73" i="3" s="1"/>
  <c r="Q73" i="3" s="1"/>
  <c r="M73" i="3"/>
  <c r="C73" i="3"/>
  <c r="S72" i="3"/>
  <c r="R72" i="3"/>
  <c r="O72" i="3"/>
  <c r="N72" i="3"/>
  <c r="P72" i="3" s="1"/>
  <c r="Q72" i="3" s="1"/>
  <c r="M72" i="3"/>
  <c r="C72" i="3"/>
  <c r="S71" i="3"/>
  <c r="O71" i="3"/>
  <c r="R71" i="3" s="1"/>
  <c r="N71" i="3"/>
  <c r="P71" i="3" s="1"/>
  <c r="Q71" i="3" s="1"/>
  <c r="M71" i="3"/>
  <c r="C71" i="3"/>
  <c r="R70" i="3"/>
  <c r="O70" i="3"/>
  <c r="N70" i="3"/>
  <c r="P70" i="3" s="1"/>
  <c r="Q70" i="3" s="1"/>
  <c r="M70" i="3"/>
  <c r="C70" i="3"/>
  <c r="S69" i="3"/>
  <c r="R69" i="3"/>
  <c r="O69" i="3"/>
  <c r="N69" i="3"/>
  <c r="P69" i="3" s="1"/>
  <c r="Q69" i="3" s="1"/>
  <c r="M69" i="3"/>
  <c r="C69" i="3"/>
  <c r="O68" i="3"/>
  <c r="R68" i="3" s="1"/>
  <c r="N68" i="3"/>
  <c r="P68" i="3" s="1"/>
  <c r="Q68" i="3" s="1"/>
  <c r="M68" i="3"/>
  <c r="S68" i="3" s="1"/>
  <c r="C68" i="3"/>
  <c r="O67" i="3"/>
  <c r="R67" i="3" s="1"/>
  <c r="N67" i="3"/>
  <c r="M67" i="3"/>
  <c r="C67" i="3"/>
  <c r="S66" i="3"/>
  <c r="R66" i="3"/>
  <c r="P66" i="3"/>
  <c r="Q66" i="3" s="1"/>
  <c r="O66" i="3"/>
  <c r="N66" i="3"/>
  <c r="M66" i="3"/>
  <c r="C66" i="3"/>
  <c r="O65" i="3"/>
  <c r="R65" i="3" s="1"/>
  <c r="N65" i="3"/>
  <c r="P65" i="3" s="1"/>
  <c r="Q65" i="3" s="1"/>
  <c r="M65" i="3"/>
  <c r="C65" i="3"/>
  <c r="O64" i="3"/>
  <c r="R64" i="3" s="1"/>
  <c r="N64" i="3"/>
  <c r="P64" i="3" s="1"/>
  <c r="Q64" i="3" s="1"/>
  <c r="M64" i="3"/>
  <c r="C64" i="3"/>
  <c r="S63" i="3"/>
  <c r="O63" i="3"/>
  <c r="P63" i="3" s="1"/>
  <c r="Q63" i="3" s="1"/>
  <c r="N63" i="3"/>
  <c r="M63" i="3"/>
  <c r="C63" i="3"/>
  <c r="O62" i="3"/>
  <c r="R62" i="3" s="1"/>
  <c r="N62" i="3"/>
  <c r="P62" i="3" s="1"/>
  <c r="Q62" i="3" s="1"/>
  <c r="M62" i="3"/>
  <c r="C62" i="3"/>
  <c r="S61" i="3"/>
  <c r="O61" i="3"/>
  <c r="R61" i="3" s="1"/>
  <c r="N61" i="3"/>
  <c r="P61" i="3" s="1"/>
  <c r="Q61" i="3" s="1"/>
  <c r="M61" i="3"/>
  <c r="C61" i="3"/>
  <c r="S60" i="3"/>
  <c r="O60" i="3"/>
  <c r="R60" i="3" s="1"/>
  <c r="N60" i="3"/>
  <c r="P60" i="3" s="1"/>
  <c r="Q60" i="3" s="1"/>
  <c r="M60" i="3"/>
  <c r="C60" i="3"/>
  <c r="O59" i="3"/>
  <c r="R59" i="3" s="1"/>
  <c r="N59" i="3"/>
  <c r="P59" i="3" s="1"/>
  <c r="Q59" i="3" s="1"/>
  <c r="M59" i="3"/>
  <c r="C59" i="3"/>
  <c r="S58" i="3"/>
  <c r="R58" i="3"/>
  <c r="O58" i="3"/>
  <c r="N58" i="3"/>
  <c r="M58" i="3"/>
  <c r="C58" i="3"/>
  <c r="O57" i="3"/>
  <c r="R57" i="3" s="1"/>
  <c r="N57" i="3"/>
  <c r="P57" i="3" s="1"/>
  <c r="Q57" i="3" s="1"/>
  <c r="M57" i="3"/>
  <c r="S57" i="3" s="1"/>
  <c r="C57" i="3"/>
  <c r="O56" i="3"/>
  <c r="R56" i="3" s="1"/>
  <c r="N56" i="3"/>
  <c r="P56" i="3" s="1"/>
  <c r="Q56" i="3" s="1"/>
  <c r="M56" i="3"/>
  <c r="C56" i="3"/>
  <c r="S55" i="3"/>
  <c r="R55" i="3"/>
  <c r="Q55" i="3"/>
  <c r="O55" i="3"/>
  <c r="N55" i="3"/>
  <c r="P55" i="3" s="1"/>
  <c r="M55" i="3"/>
  <c r="C55" i="3"/>
  <c r="P54" i="3"/>
  <c r="Q54" i="3" s="1"/>
  <c r="O54" i="3"/>
  <c r="R54" i="3" s="1"/>
  <c r="N54" i="3"/>
  <c r="M54" i="3"/>
  <c r="S54" i="3" s="1"/>
  <c r="C54" i="3"/>
  <c r="O53" i="3"/>
  <c r="R53" i="3" s="1"/>
  <c r="N53" i="3"/>
  <c r="M53" i="3"/>
  <c r="C53" i="3"/>
  <c r="S52" i="3"/>
  <c r="R52" i="3"/>
  <c r="O52" i="3"/>
  <c r="N52" i="3"/>
  <c r="M52" i="3"/>
  <c r="C52" i="3"/>
  <c r="O51" i="3"/>
  <c r="R51" i="3" s="1"/>
  <c r="N51" i="3"/>
  <c r="M51" i="3"/>
  <c r="S51" i="3" s="1"/>
  <c r="C51" i="3"/>
  <c r="S50" i="3"/>
  <c r="O50" i="3"/>
  <c r="R50" i="3" s="1"/>
  <c r="N50" i="3"/>
  <c r="P50" i="3" s="1"/>
  <c r="Q50" i="3" s="1"/>
  <c r="M50" i="3"/>
  <c r="C50" i="3"/>
  <c r="S49" i="3"/>
  <c r="O49" i="3"/>
  <c r="R49" i="3" s="1"/>
  <c r="N49" i="3"/>
  <c r="M49" i="3"/>
  <c r="C49" i="3"/>
  <c r="O48" i="3"/>
  <c r="R48" i="3" s="1"/>
  <c r="N48" i="3"/>
  <c r="P48" i="3" s="1"/>
  <c r="Q48" i="3" s="1"/>
  <c r="M48" i="3"/>
  <c r="C48" i="3"/>
  <c r="S47" i="3"/>
  <c r="R47" i="3"/>
  <c r="O47" i="3"/>
  <c r="N47" i="3"/>
  <c r="P47" i="3" s="1"/>
  <c r="Q47" i="3" s="1"/>
  <c r="M47" i="3"/>
  <c r="C47" i="3"/>
  <c r="S46" i="3"/>
  <c r="R46" i="3"/>
  <c r="P46" i="3"/>
  <c r="Q46" i="3" s="1"/>
  <c r="O46" i="3"/>
  <c r="N46" i="3"/>
  <c r="M46" i="3"/>
  <c r="C46" i="3"/>
  <c r="O45" i="3"/>
  <c r="R45" i="3" s="1"/>
  <c r="N45" i="3"/>
  <c r="P45" i="3" s="1"/>
  <c r="Q45" i="3" s="1"/>
  <c r="M45" i="3"/>
  <c r="S45" i="3" s="1"/>
  <c r="C45" i="3"/>
  <c r="S44" i="3"/>
  <c r="R44" i="3"/>
  <c r="O44" i="3"/>
  <c r="N44" i="3"/>
  <c r="P44" i="3" s="1"/>
  <c r="Q44" i="3" s="1"/>
  <c r="M44" i="3"/>
  <c r="C44" i="3"/>
  <c r="S43" i="3"/>
  <c r="O43" i="3"/>
  <c r="R43" i="3" s="1"/>
  <c r="N43" i="3"/>
  <c r="M43" i="3"/>
  <c r="C43" i="3"/>
  <c r="O42" i="3"/>
  <c r="R42" i="3" s="1"/>
  <c r="N42" i="3"/>
  <c r="P42" i="3" s="1"/>
  <c r="Q42" i="3" s="1"/>
  <c r="M42" i="3"/>
  <c r="C42" i="3"/>
  <c r="S41" i="3"/>
  <c r="R41" i="3"/>
  <c r="O41" i="3"/>
  <c r="N41" i="3"/>
  <c r="P41" i="3" s="1"/>
  <c r="Q41" i="3" s="1"/>
  <c r="M41" i="3"/>
  <c r="C41" i="3"/>
  <c r="S40" i="3"/>
  <c r="R40" i="3"/>
  <c r="P40" i="3"/>
  <c r="Q40" i="3" s="1"/>
  <c r="O40" i="3"/>
  <c r="N40" i="3"/>
  <c r="M40" i="3"/>
  <c r="C40" i="3"/>
  <c r="O39" i="3"/>
  <c r="R39" i="3" s="1"/>
  <c r="N39" i="3"/>
  <c r="P39" i="3" s="1"/>
  <c r="Q39" i="3" s="1"/>
  <c r="M39" i="3"/>
  <c r="S39" i="3" s="1"/>
  <c r="C39" i="3"/>
  <c r="S38" i="3"/>
  <c r="R38" i="3"/>
  <c r="O38" i="3"/>
  <c r="N38" i="3"/>
  <c r="P38" i="3" s="1"/>
  <c r="Q38" i="3" s="1"/>
  <c r="M38" i="3"/>
  <c r="C38" i="3"/>
  <c r="S37" i="3"/>
  <c r="O37" i="3"/>
  <c r="P37" i="3" s="1"/>
  <c r="Q37" i="3" s="1"/>
  <c r="N37" i="3"/>
  <c r="M37" i="3"/>
  <c r="C37" i="3"/>
  <c r="O36" i="3"/>
  <c r="R36" i="3" s="1"/>
  <c r="N36" i="3"/>
  <c r="P36" i="3" s="1"/>
  <c r="Q36" i="3" s="1"/>
  <c r="M36" i="3"/>
  <c r="C36" i="3"/>
  <c r="S35" i="3"/>
  <c r="R35" i="3"/>
  <c r="O35" i="3"/>
  <c r="N35" i="3"/>
  <c r="P35" i="3" s="1"/>
  <c r="Q35" i="3" s="1"/>
  <c r="M35" i="3"/>
  <c r="C35" i="3"/>
  <c r="S34" i="3"/>
  <c r="R34" i="3"/>
  <c r="P34" i="3"/>
  <c r="Q34" i="3" s="1"/>
  <c r="O34" i="3"/>
  <c r="N34" i="3"/>
  <c r="M34" i="3"/>
  <c r="C34" i="3"/>
  <c r="O33" i="3"/>
  <c r="R33" i="3" s="1"/>
  <c r="N33" i="3"/>
  <c r="P33" i="3" s="1"/>
  <c r="Q33" i="3" s="1"/>
  <c r="M33" i="3"/>
  <c r="S33" i="3" s="1"/>
  <c r="C33" i="3"/>
  <c r="S32" i="3"/>
  <c r="R32" i="3"/>
  <c r="O32" i="3"/>
  <c r="N32" i="3"/>
  <c r="P32" i="3" s="1"/>
  <c r="Q32" i="3" s="1"/>
  <c r="M32" i="3"/>
  <c r="C32" i="3"/>
  <c r="S31" i="3"/>
  <c r="O31" i="3"/>
  <c r="R31" i="3" s="1"/>
  <c r="N31" i="3"/>
  <c r="M31" i="3"/>
  <c r="C31" i="3"/>
  <c r="O30" i="3"/>
  <c r="R30" i="3" s="1"/>
  <c r="N30" i="3"/>
  <c r="P30" i="3" s="1"/>
  <c r="Q30" i="3" s="1"/>
  <c r="M30" i="3"/>
  <c r="C30" i="3"/>
  <c r="S29" i="3"/>
  <c r="R29" i="3"/>
  <c r="O29" i="3"/>
  <c r="N29" i="3"/>
  <c r="P29" i="3" s="1"/>
  <c r="Q29" i="3" s="1"/>
  <c r="M29" i="3"/>
  <c r="C29" i="3"/>
  <c r="S28" i="3"/>
  <c r="R28" i="3"/>
  <c r="P28" i="3"/>
  <c r="Q28" i="3" s="1"/>
  <c r="O28" i="3"/>
  <c r="N28" i="3"/>
  <c r="M28" i="3"/>
  <c r="C28" i="3"/>
  <c r="O27" i="3"/>
  <c r="R27" i="3" s="1"/>
  <c r="N27" i="3"/>
  <c r="P27" i="3" s="1"/>
  <c r="Q27" i="3" s="1"/>
  <c r="M27" i="3"/>
  <c r="S27" i="3" s="1"/>
  <c r="C27" i="3"/>
  <c r="S26" i="3"/>
  <c r="R26" i="3"/>
  <c r="O26" i="3"/>
  <c r="N26" i="3"/>
  <c r="P26" i="3" s="1"/>
  <c r="Q26" i="3" s="1"/>
  <c r="M26" i="3"/>
  <c r="C26" i="3"/>
  <c r="S25" i="3"/>
  <c r="O25" i="3"/>
  <c r="P25" i="3" s="1"/>
  <c r="Q25" i="3" s="1"/>
  <c r="N25" i="3"/>
  <c r="M25" i="3"/>
  <c r="C25" i="3"/>
  <c r="O24" i="3"/>
  <c r="R24" i="3" s="1"/>
  <c r="N24" i="3"/>
  <c r="P24" i="3" s="1"/>
  <c r="Q24" i="3" s="1"/>
  <c r="M24" i="3"/>
  <c r="C24" i="3"/>
  <c r="S23" i="3"/>
  <c r="R23" i="3"/>
  <c r="O23" i="3"/>
  <c r="N23" i="3"/>
  <c r="P23" i="3" s="1"/>
  <c r="Q23" i="3" s="1"/>
  <c r="M23" i="3"/>
  <c r="C23" i="3"/>
  <c r="S22" i="3"/>
  <c r="R22" i="3"/>
  <c r="P22" i="3"/>
  <c r="Q22" i="3" s="1"/>
  <c r="O22" i="3"/>
  <c r="N22" i="3"/>
  <c r="M22" i="3"/>
  <c r="C22" i="3"/>
  <c r="O21" i="3"/>
  <c r="R21" i="3" s="1"/>
  <c r="N21" i="3"/>
  <c r="P21" i="3" s="1"/>
  <c r="Q21" i="3" s="1"/>
  <c r="M21" i="3"/>
  <c r="S21" i="3" s="1"/>
  <c r="C21" i="3"/>
  <c r="S20" i="3"/>
  <c r="R20" i="3"/>
  <c r="O20" i="3"/>
  <c r="N20" i="3"/>
  <c r="P20" i="3" s="1"/>
  <c r="Q20" i="3" s="1"/>
  <c r="M20" i="3"/>
  <c r="C20" i="3"/>
  <c r="S19" i="3"/>
  <c r="O19" i="3"/>
  <c r="R19" i="3" s="1"/>
  <c r="N19" i="3"/>
  <c r="M19" i="3"/>
  <c r="C19" i="3"/>
  <c r="O18" i="3"/>
  <c r="R18" i="3" s="1"/>
  <c r="N18" i="3"/>
  <c r="P18" i="3" s="1"/>
  <c r="Q18" i="3" s="1"/>
  <c r="M18" i="3"/>
  <c r="C18" i="3"/>
  <c r="S17" i="3"/>
  <c r="R17" i="3"/>
  <c r="O17" i="3"/>
  <c r="N17" i="3"/>
  <c r="P17" i="3" s="1"/>
  <c r="Q17" i="3" s="1"/>
  <c r="M17" i="3"/>
  <c r="C17" i="3"/>
  <c r="S16" i="3"/>
  <c r="R16" i="3"/>
  <c r="P16" i="3"/>
  <c r="Q16" i="3" s="1"/>
  <c r="O16" i="3"/>
  <c r="N16" i="3"/>
  <c r="M16" i="3"/>
  <c r="C16" i="3"/>
  <c r="O15" i="3"/>
  <c r="R15" i="3" s="1"/>
  <c r="N15" i="3"/>
  <c r="P15" i="3" s="1"/>
  <c r="Q15" i="3" s="1"/>
  <c r="M15" i="3"/>
  <c r="S15" i="3" s="1"/>
  <c r="C15" i="3"/>
  <c r="S14" i="3"/>
  <c r="R14" i="3"/>
  <c r="O14" i="3"/>
  <c r="N14" i="3"/>
  <c r="P14" i="3" s="1"/>
  <c r="Q14" i="3" s="1"/>
  <c r="M14" i="3"/>
  <c r="C14" i="3"/>
  <c r="S13" i="3"/>
  <c r="O13" i="3"/>
  <c r="R13" i="3" s="1"/>
  <c r="N13" i="3"/>
  <c r="M13" i="3"/>
  <c r="C13" i="3"/>
  <c r="O12" i="3"/>
  <c r="R12" i="3" s="1"/>
  <c r="N12" i="3"/>
  <c r="P12" i="3" s="1"/>
  <c r="Q12" i="3" s="1"/>
  <c r="M12" i="3"/>
  <c r="C12" i="3"/>
  <c r="S11" i="3"/>
  <c r="R11" i="3"/>
  <c r="O11" i="3"/>
  <c r="N11" i="3"/>
  <c r="P11" i="3" s="1"/>
  <c r="Q11" i="3" s="1"/>
  <c r="M11" i="3"/>
  <c r="C11" i="3"/>
  <c r="S10" i="3"/>
  <c r="R10" i="3"/>
  <c r="P10" i="3"/>
  <c r="Q10" i="3" s="1"/>
  <c r="O10" i="3"/>
  <c r="N10" i="3"/>
  <c r="M10" i="3"/>
  <c r="C10" i="3"/>
  <c r="A1" i="3"/>
  <c r="E26" i="2"/>
  <c r="C26" i="2"/>
  <c r="G24" i="2"/>
  <c r="C22" i="2"/>
  <c r="C21" i="2"/>
  <c r="C23" i="2" s="1"/>
  <c r="G26" i="2" s="1"/>
  <c r="G28" i="2" s="1"/>
  <c r="C20" i="2"/>
  <c r="C19" i="2"/>
  <c r="C18" i="2"/>
  <c r="C17" i="2"/>
  <c r="C16" i="2"/>
  <c r="A10" i="2"/>
  <c r="F7" i="2"/>
  <c r="B7" i="2"/>
  <c r="H19" i="11" l="1"/>
  <c r="G19" i="11"/>
  <c r="F19" i="11"/>
  <c r="E19" i="11"/>
  <c r="I19" i="11"/>
  <c r="S92" i="3"/>
  <c r="R132" i="3"/>
  <c r="S164" i="3"/>
  <c r="S166" i="3"/>
  <c r="D19" i="11"/>
  <c r="P49" i="3"/>
  <c r="Q49" i="3" s="1"/>
  <c r="R63" i="3"/>
  <c r="S218" i="3"/>
  <c r="P236" i="3"/>
  <c r="Q236" i="3" s="1"/>
  <c r="P17" i="4"/>
  <c r="K53" i="5"/>
  <c r="S238" i="3"/>
  <c r="P31" i="3"/>
  <c r="Q31" i="3" s="1"/>
  <c r="P43" i="3"/>
  <c r="Q43" i="3" s="1"/>
  <c r="S76" i="3"/>
  <c r="S103" i="3"/>
  <c r="S182" i="3"/>
  <c r="K370" i="5"/>
  <c r="S67" i="3"/>
  <c r="P87" i="3"/>
  <c r="Q87" i="3" s="1"/>
  <c r="S355" i="3"/>
  <c r="S53" i="3"/>
  <c r="P13" i="3"/>
  <c r="Q13" i="3" s="1"/>
  <c r="S70" i="3"/>
  <c r="S97" i="3"/>
  <c r="R25" i="3"/>
  <c r="R37" i="3"/>
  <c r="S95" i="3"/>
  <c r="S146" i="3"/>
  <c r="S169" i="3"/>
  <c r="S173" i="3"/>
  <c r="S205" i="3"/>
  <c r="P229" i="3"/>
  <c r="Q229" i="3" s="1"/>
  <c r="P234" i="3"/>
  <c r="Q234" i="3" s="1"/>
  <c r="R234" i="3"/>
  <c r="S100" i="3"/>
  <c r="S149" i="3"/>
  <c r="S350" i="3"/>
  <c r="S278" i="3"/>
  <c r="P19" i="3"/>
  <c r="Q19" i="3" s="1"/>
  <c r="S62" i="3"/>
  <c r="S113" i="3"/>
  <c r="S115" i="3"/>
  <c r="S191" i="3"/>
  <c r="S64" i="3"/>
  <c r="S56" i="3"/>
  <c r="P74" i="3"/>
  <c r="Q74" i="3" s="1"/>
  <c r="P95" i="3"/>
  <c r="Q95" i="3" s="1"/>
  <c r="S134" i="3"/>
  <c r="P169" i="3"/>
  <c r="Q169" i="3" s="1"/>
  <c r="S180" i="3"/>
  <c r="S59" i="3"/>
  <c r="P51" i="3"/>
  <c r="Q51" i="3" s="1"/>
  <c r="S121" i="3"/>
  <c r="S154" i="3"/>
  <c r="R189" i="3"/>
  <c r="P189" i="3"/>
  <c r="Q189" i="3" s="1"/>
  <c r="P284" i="3"/>
  <c r="Q284" i="3" s="1"/>
  <c r="S73" i="3"/>
  <c r="P381" i="3"/>
  <c r="Q381" i="3" s="1"/>
  <c r="S12" i="3"/>
  <c r="S384" i="3" s="1"/>
  <c r="D5" i="3" s="1"/>
  <c r="S18" i="3"/>
  <c r="S24" i="3"/>
  <c r="S30" i="3"/>
  <c r="S36" i="3"/>
  <c r="S42" i="3"/>
  <c r="S48" i="3"/>
  <c r="S65" i="3"/>
  <c r="P85" i="3"/>
  <c r="Q85" i="3" s="1"/>
  <c r="S98" i="3"/>
  <c r="S128" i="3"/>
  <c r="S136" i="3"/>
  <c r="S157" i="3"/>
  <c r="S161" i="3"/>
  <c r="S176" i="3"/>
  <c r="S197" i="3"/>
  <c r="P363" i="3"/>
  <c r="Q363" i="3" s="1"/>
  <c r="S245" i="3"/>
  <c r="O18" i="4"/>
  <c r="P18" i="4" s="1"/>
  <c r="K146" i="5"/>
  <c r="H16" i="11"/>
  <c r="G16" i="11"/>
  <c r="F16" i="11"/>
  <c r="E16" i="11"/>
  <c r="D16" i="11"/>
  <c r="D20" i="11"/>
  <c r="I20" i="11"/>
  <c r="H20" i="11"/>
  <c r="G20" i="11"/>
  <c r="F20" i="11"/>
  <c r="E20" i="11"/>
  <c r="P67" i="3"/>
  <c r="Q67" i="3" s="1"/>
  <c r="P180" i="3"/>
  <c r="Q180" i="3" s="1"/>
  <c r="P191" i="3"/>
  <c r="Q191" i="3" s="1"/>
  <c r="P195" i="3"/>
  <c r="Q195" i="3" s="1"/>
  <c r="S272" i="3"/>
  <c r="P282" i="3"/>
  <c r="Q282" i="3" s="1"/>
  <c r="S320" i="3"/>
  <c r="S322" i="3"/>
  <c r="S371" i="3"/>
  <c r="K80" i="5"/>
  <c r="K305" i="5"/>
  <c r="I16" i="11"/>
  <c r="O15" i="4"/>
  <c r="P15" i="4" s="1"/>
  <c r="N19" i="4"/>
  <c r="O19" i="4"/>
  <c r="O25" i="4"/>
  <c r="P25" i="4" s="1"/>
  <c r="G18" i="11"/>
  <c r="G9" i="11"/>
  <c r="G15" i="11"/>
  <c r="G6" i="11"/>
  <c r="G12" i="11"/>
  <c r="G21" i="11"/>
  <c r="G14" i="11"/>
  <c r="D8" i="11"/>
  <c r="I8" i="11"/>
  <c r="I23" i="11" s="1"/>
  <c r="F8" i="11"/>
  <c r="H8" i="11"/>
  <c r="G8" i="11"/>
  <c r="E8" i="11"/>
  <c r="P53" i="3"/>
  <c r="Q53" i="3" s="1"/>
  <c r="P78" i="3"/>
  <c r="Q78" i="3" s="1"/>
  <c r="P89" i="3"/>
  <c r="Q89" i="3" s="1"/>
  <c r="P105" i="3"/>
  <c r="Q105" i="3" s="1"/>
  <c r="P123" i="3"/>
  <c r="Q123" i="3" s="1"/>
  <c r="P141" i="3"/>
  <c r="Q141" i="3" s="1"/>
  <c r="P182" i="3"/>
  <c r="Q182" i="3" s="1"/>
  <c r="S186" i="3"/>
  <c r="S194" i="3"/>
  <c r="P216" i="3"/>
  <c r="Q216" i="3" s="1"/>
  <c r="P228" i="3"/>
  <c r="Q228" i="3" s="1"/>
  <c r="S262" i="3"/>
  <c r="P326" i="3"/>
  <c r="Q326" i="3" s="1"/>
  <c r="H13" i="11"/>
  <c r="G13" i="11"/>
  <c r="F13" i="11"/>
  <c r="E13" i="11"/>
  <c r="I13" i="11"/>
  <c r="D13" i="11"/>
  <c r="R240" i="3"/>
  <c r="P240" i="3"/>
  <c r="Q240" i="3" s="1"/>
  <c r="S373" i="3"/>
  <c r="P58" i="3"/>
  <c r="Q58" i="3" s="1"/>
  <c r="P94" i="3"/>
  <c r="Q94" i="3" s="1"/>
  <c r="P112" i="3"/>
  <c r="Q112" i="3" s="1"/>
  <c r="P130" i="3"/>
  <c r="Q130" i="3" s="1"/>
  <c r="P148" i="3"/>
  <c r="Q148" i="3" s="1"/>
  <c r="R243" i="3"/>
  <c r="S298" i="3"/>
  <c r="S344" i="3"/>
  <c r="K66" i="5"/>
  <c r="K76" i="5"/>
  <c r="K209" i="5"/>
  <c r="K276" i="5"/>
  <c r="S196" i="3"/>
  <c r="S235" i="3"/>
  <c r="P358" i="3"/>
  <c r="Q358" i="3" s="1"/>
  <c r="S365" i="3"/>
  <c r="P52" i="3"/>
  <c r="Q52" i="3" s="1"/>
  <c r="P88" i="3"/>
  <c r="Q88" i="3" s="1"/>
  <c r="P109" i="3"/>
  <c r="Q109" i="3" s="1"/>
  <c r="P127" i="3"/>
  <c r="Q127" i="3" s="1"/>
  <c r="P145" i="3"/>
  <c r="Q145" i="3" s="1"/>
  <c r="P160" i="3"/>
  <c r="Q160" i="3" s="1"/>
  <c r="P172" i="3"/>
  <c r="Q172" i="3" s="1"/>
  <c r="P192" i="3"/>
  <c r="Q192" i="3" s="1"/>
  <c r="P208" i="3"/>
  <c r="Q208" i="3" s="1"/>
  <c r="R318" i="3"/>
  <c r="R369" i="3"/>
  <c r="P379" i="3"/>
  <c r="Q379" i="3" s="1"/>
  <c r="P13" i="4"/>
  <c r="P238" i="3"/>
  <c r="Q238" i="3" s="1"/>
  <c r="P258" i="3"/>
  <c r="Q258" i="3" s="1"/>
  <c r="P278" i="3"/>
  <c r="Q278" i="3" s="1"/>
  <c r="S308" i="3"/>
  <c r="P314" i="3"/>
  <c r="Q314" i="3" s="1"/>
  <c r="S334" i="3"/>
  <c r="P361" i="3"/>
  <c r="Q361" i="3" s="1"/>
  <c r="K204" i="5"/>
  <c r="P235" i="3"/>
  <c r="Q235" i="3" s="1"/>
  <c r="S253" i="3"/>
  <c r="S292" i="3"/>
  <c r="S376" i="3"/>
  <c r="K48" i="5"/>
  <c r="K141" i="5"/>
  <c r="P207" i="3"/>
  <c r="Q207" i="3" s="1"/>
  <c r="S317" i="3"/>
  <c r="P351" i="3"/>
  <c r="Q351" i="3" s="1"/>
  <c r="K12" i="7"/>
  <c r="K26" i="7" s="1"/>
  <c r="D5" i="7" s="1"/>
  <c r="S248" i="3"/>
  <c r="P265" i="3"/>
  <c r="Q265" i="3" s="1"/>
  <c r="S275" i="3"/>
  <c r="S319" i="3"/>
  <c r="S368" i="3"/>
  <c r="S370" i="3"/>
  <c r="P14" i="4"/>
  <c r="K368" i="5"/>
  <c r="K378" i="5"/>
  <c r="S283" i="3"/>
  <c r="P331" i="3"/>
  <c r="Q331" i="3" s="1"/>
  <c r="P339" i="3"/>
  <c r="Q339" i="3" s="1"/>
  <c r="S358" i="3"/>
  <c r="O20" i="4"/>
  <c r="P20" i="4" s="1"/>
  <c r="K404" i="6"/>
  <c r="D5" i="6" s="1"/>
  <c r="H10" i="11"/>
  <c r="G10" i="11"/>
  <c r="F10" i="11"/>
  <c r="E10" i="11"/>
  <c r="I10" i="11"/>
  <c r="D10" i="11"/>
  <c r="K17" i="5"/>
  <c r="K384" i="5" s="1"/>
  <c r="D5" i="5" s="1"/>
  <c r="K96" i="5"/>
  <c r="K181" i="5"/>
  <c r="K281" i="5"/>
  <c r="K341" i="5"/>
  <c r="D17" i="11"/>
  <c r="I17" i="11"/>
  <c r="F17" i="11"/>
  <c r="H17" i="11"/>
  <c r="P247" i="3"/>
  <c r="Q247" i="3" s="1"/>
  <c r="P283" i="3"/>
  <c r="Q283" i="3" s="1"/>
  <c r="P319" i="3"/>
  <c r="Q319" i="3" s="1"/>
  <c r="P352" i="3"/>
  <c r="Q352" i="3" s="1"/>
  <c r="P370" i="3"/>
  <c r="Q370" i="3" s="1"/>
  <c r="K40" i="5"/>
  <c r="K205" i="5"/>
  <c r="K249" i="5"/>
  <c r="K277" i="5"/>
  <c r="K322" i="5"/>
  <c r="E17" i="11"/>
  <c r="G17" i="11"/>
  <c r="P341" i="3"/>
  <c r="Q341" i="3" s="1"/>
  <c r="O12" i="4"/>
  <c r="P12" i="4" s="1"/>
  <c r="K36" i="5"/>
  <c r="K177" i="5"/>
  <c r="P274" i="3"/>
  <c r="Q274" i="3" s="1"/>
  <c r="P310" i="3"/>
  <c r="Q310" i="3" s="1"/>
  <c r="P346" i="3"/>
  <c r="Q346" i="3" s="1"/>
  <c r="O24" i="4"/>
  <c r="P24" i="4" s="1"/>
  <c r="K32" i="5"/>
  <c r="K46" i="5"/>
  <c r="K88" i="5"/>
  <c r="K116" i="5"/>
  <c r="K245" i="5"/>
  <c r="J20" i="7"/>
  <c r="K20" i="7"/>
  <c r="D11" i="11"/>
  <c r="I11" i="11"/>
  <c r="H11" i="11"/>
  <c r="G11" i="11"/>
  <c r="F11" i="11"/>
  <c r="E11" i="11"/>
  <c r="P271" i="3"/>
  <c r="Q271" i="3" s="1"/>
  <c r="P307" i="3"/>
  <c r="Q307" i="3" s="1"/>
  <c r="P343" i="3"/>
  <c r="Q343" i="3" s="1"/>
  <c r="P364" i="3"/>
  <c r="Q364" i="3" s="1"/>
  <c r="P382" i="3"/>
  <c r="Q382" i="3" s="1"/>
  <c r="O22" i="4"/>
  <c r="P22" i="4" s="1"/>
  <c r="H22" i="11"/>
  <c r="G22" i="11"/>
  <c r="F22" i="11"/>
  <c r="E22" i="11"/>
  <c r="I22" i="11"/>
  <c r="D22" i="11"/>
  <c r="K72" i="5"/>
  <c r="K129" i="5"/>
  <c r="K156" i="5"/>
  <c r="K301" i="5"/>
  <c r="K356" i="5"/>
  <c r="K201" i="5"/>
  <c r="K237" i="5"/>
  <c r="K260" i="5"/>
  <c r="K333" i="5"/>
  <c r="H12" i="11"/>
  <c r="K64" i="5"/>
  <c r="K130" i="5"/>
  <c r="K157" i="5"/>
  <c r="K197" i="5"/>
  <c r="K274" i="5"/>
  <c r="K297" i="5"/>
  <c r="B23" i="11"/>
  <c r="K56" i="5"/>
  <c r="K104" i="5"/>
  <c r="K113" i="5"/>
  <c r="K153" i="5"/>
  <c r="K229" i="5"/>
  <c r="K252" i="5"/>
  <c r="K293" i="5"/>
  <c r="K325" i="5"/>
  <c r="K348" i="5"/>
  <c r="K381" i="5"/>
  <c r="H6" i="11"/>
  <c r="H15" i="11"/>
  <c r="K225" i="5"/>
  <c r="K273" i="5"/>
  <c r="K321" i="5"/>
  <c r="K369" i="5"/>
  <c r="Q8" i="10"/>
  <c r="O17" i="10"/>
  <c r="H9" i="11"/>
  <c r="H18" i="11"/>
  <c r="K121" i="5"/>
  <c r="K169" i="5"/>
  <c r="K217" i="5"/>
  <c r="K265" i="5"/>
  <c r="K313" i="5"/>
  <c r="K361" i="5"/>
  <c r="J404" i="6"/>
  <c r="D3" i="6" s="1"/>
  <c r="K17" i="7"/>
  <c r="Q9" i="10"/>
  <c r="H7" i="11"/>
  <c r="G7" i="11"/>
  <c r="F7" i="11"/>
  <c r="E7" i="11"/>
  <c r="E9" i="11"/>
  <c r="D14" i="11"/>
  <c r="I14" i="11"/>
  <c r="K353" i="5"/>
  <c r="K14" i="7"/>
  <c r="D7" i="11"/>
  <c r="D23" i="11" s="1"/>
  <c r="E14" i="11"/>
  <c r="F6" i="11"/>
  <c r="F9" i="11"/>
  <c r="F12" i="11"/>
  <c r="F15" i="11"/>
  <c r="F18" i="11"/>
  <c r="F21" i="11"/>
  <c r="C23" i="11"/>
  <c r="E23" i="11" s="1"/>
  <c r="P19" i="4" l="1"/>
  <c r="P27" i="4" s="1"/>
  <c r="C5" i="4" s="1"/>
  <c r="F23" i="11"/>
  <c r="G23" i="11"/>
  <c r="H23"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6" authorId="0" shapeId="0" xr:uid="{00000000-0006-0000-0100-000001000000}">
      <text>
        <r>
          <rPr>
            <sz val="10"/>
            <rFont val="Arial"/>
            <charset val="1"/>
          </rPr>
          <t>Scope Creep é a variação dos valores estimados/indicados nas contagens inicias. Variando em 35% para estimada e 50% para indicativa</t>
        </r>
      </text>
    </comment>
    <comment ref="E27" authorId="0" shapeId="0" xr:uid="{00000000-0006-0000-0100-000002000000}">
      <text>
        <r>
          <rPr>
            <b/>
            <sz val="9"/>
            <color rgb="FF000000"/>
            <rFont val="Tahoma"/>
            <family val="2"/>
            <charset val="1"/>
          </rPr>
          <t xml:space="preserve">6.4 Fator de Criticidade de Solicitação de Serviço (SISP)
</t>
        </r>
        <r>
          <rPr>
            <sz val="9"/>
            <color rgb="FF000000"/>
            <rFont val="Tahoma"/>
            <family val="2"/>
            <charset val="1"/>
          </rPr>
          <t>Em função da criticidade e da necessidade de alocação de recursos extras para
atendimento da demanda no prazo estipulado pelo cliente, será adotado um Fator de
Criticidade de 1,35 (um vírgula trinta e cinco), que deverá ser multiplicado pelo tamanho
funcional da demanda considerada crítica, de modo a remunerar adequadamente o
aumento do esforço de atendimento. Este fator é considerado para demandas que devem
ser atendidas em finais de semana, feriados e fora do horário comercial. Entende-se
como horário comercial o horário de 08:00 às 18:00 h, horário de Brasília.</t>
        </r>
      </text>
    </comment>
    <comment ref="G27" authorId="0" shapeId="0" xr:uid="{00000000-0006-0000-0100-000003000000}">
      <text>
        <r>
          <rPr>
            <b/>
            <sz val="9"/>
            <color rgb="FF000000"/>
            <rFont val="Tahoma"/>
            <family val="2"/>
            <charset val="1"/>
          </rPr>
          <t>Variação: 1 a 1,35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200-000001000000}">
      <text>
        <r>
          <rPr>
            <sz val="9"/>
            <color rgb="FF000000"/>
            <rFont val="Tahoma"/>
            <family val="2"/>
            <charset val="1"/>
          </rPr>
          <t>Número sequencial do item da contagem.</t>
        </r>
      </text>
    </comment>
    <comment ref="T8" authorId="0" shapeId="0" xr:uid="{00000000-0006-0000-0200-000002000000}">
      <text>
        <r>
          <rPr>
            <sz val="9"/>
            <color rgb="FF000000"/>
            <rFont val="Tahoma"/>
            <family val="2"/>
            <charset val="1"/>
          </rPr>
          <t>Item (Fundamentação) na qual a contagem se baseou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0300-000001000000}">
      <text>
        <r>
          <rPr>
            <sz val="9"/>
            <color rgb="FF000000"/>
            <rFont val="Tahoma"/>
            <family val="2"/>
            <charset val="1"/>
          </rPr>
          <t>Número sequencial do item da contagem.</t>
        </r>
      </text>
    </comment>
    <comment ref="B10" authorId="0" shapeId="0" xr:uid="{00000000-0006-0000-0300-000002000000}">
      <text>
        <r>
          <rPr>
            <sz val="9"/>
            <color rgb="FF000000"/>
            <rFont val="Tahoma"/>
            <family val="2"/>
            <charset val="1"/>
          </rPr>
          <t>Verificar a descrição sobre os tipos de manutenção na aba Tipo Projeto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500-000001000000}">
      <text>
        <r>
          <rPr>
            <sz val="9"/>
            <color rgb="FF000000"/>
            <rFont val="Tahoma"/>
            <family val="2"/>
            <charset val="1"/>
          </rPr>
          <t>Número sequencial do item da contagem.</t>
        </r>
      </text>
    </comment>
    <comment ref="L8" authorId="0" shapeId="0" xr:uid="{00000000-0006-0000-0500-000002000000}">
      <text>
        <r>
          <rPr>
            <sz val="9"/>
            <color rgb="FF000000"/>
            <rFont val="Tahoma"/>
            <family val="2"/>
            <charset val="1"/>
          </rPr>
          <t>Item (Fundamentação) na qual a contagem se baseou</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600-000001000000}">
      <text>
        <r>
          <rPr>
            <sz val="9"/>
            <color rgb="FF000000"/>
            <rFont val="Tahoma"/>
            <family val="2"/>
            <charset val="1"/>
          </rPr>
          <t>Número sequencial do item da contagem.</t>
        </r>
      </text>
    </comment>
    <comment ref="B9" authorId="0" shapeId="0" xr:uid="{00000000-0006-0000-0600-000002000000}">
      <text>
        <r>
          <rPr>
            <sz val="9"/>
            <color rgb="FF000000"/>
            <rFont val="Tahoma"/>
            <family val="2"/>
            <charset val="1"/>
          </rPr>
          <t>Verificar a descrição sobre os tipos de manutenção na aba Tipo Projeto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700-000001000000}">
      <text>
        <r>
          <rPr>
            <sz val="9"/>
            <color rgb="FF000000"/>
            <rFont val="Tahoma"/>
            <family val="2"/>
            <charset val="1"/>
          </rPr>
          <t>Número sequencial do item da contagem.</t>
        </r>
      </text>
    </comment>
    <comment ref="J8" authorId="0" shapeId="0" xr:uid="{00000000-0006-0000-0700-000002000000}">
      <text>
        <r>
          <rPr>
            <sz val="9"/>
            <color rgb="FF000000"/>
            <rFont val="Tahoma"/>
            <family val="2"/>
            <charset val="1"/>
          </rPr>
          <t>Item (Fundamentação) na qual a contagem se baseou</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B00-000001000000}">
      <text>
        <r>
          <rPr>
            <b/>
            <sz val="9"/>
            <color rgb="FF000000"/>
            <rFont val="Tahoma"/>
            <family val="2"/>
            <charset val="1"/>
          </rPr>
          <t xml:space="preserve">Aplicação
</t>
        </r>
        <r>
          <rPr>
            <sz val="9"/>
            <color rgb="FF000000"/>
            <rFont val="Tahoma"/>
            <family val="2"/>
            <charset val="1"/>
          </rPr>
          <t xml:space="preserve">Utilizar esta contagem quando for necessário realizar a medição do tamanho da aplicação. Esta contagem é tipicamente utilizando quando se quer fazer uma medição para aplicação do % de esforço por disciplina (Ex.: projetos de redoc, testes, implantação, etc.)
</t>
        </r>
      </text>
    </comment>
    <comment ref="A4" authorId="0" shapeId="0" xr:uid="{00000000-0006-0000-0B00-000002000000}">
      <text>
        <r>
          <rPr>
            <b/>
            <sz val="9"/>
            <color rgb="FF000000"/>
            <rFont val="Tahoma"/>
            <family val="2"/>
            <charset val="1"/>
          </rPr>
          <t xml:space="preserve">Novo sistema
</t>
        </r>
        <r>
          <rPr>
            <sz val="9"/>
            <color rgb="FF000000"/>
            <rFont val="Tahoma"/>
            <family val="2"/>
            <charset val="1"/>
          </rPr>
          <t>Desenvolvimento de novo sistema.</t>
        </r>
      </text>
    </comment>
    <comment ref="A5" authorId="0" shapeId="0" xr:uid="{00000000-0006-0000-0B00-000003000000}">
      <text>
        <r>
          <rPr>
            <b/>
            <sz val="9"/>
            <color rgb="FF000000"/>
            <rFont val="Tahoma"/>
            <family val="2"/>
            <charset val="1"/>
          </rPr>
          <t xml:space="preserve">Melhoria - Nova
</t>
        </r>
        <r>
          <rPr>
            <sz val="9"/>
            <color rgb="FF000000"/>
            <rFont val="Tahoma"/>
            <family val="2"/>
            <charset val="1"/>
          </rPr>
          <t>Criação de novas funcionalidades (grupos de dados ou
processos elementares) em uma aplicação existente implantada em produção (PF_INCLUIDO).
PF_INCLUÍDO = Pontos de Função associados às novas funcionalidades que farão parte da aplicação.</t>
        </r>
      </text>
    </comment>
    <comment ref="A6" authorId="0" shapeId="0" xr:uid="{00000000-0006-0000-0B00-000004000000}">
      <text>
        <r>
          <rPr>
            <b/>
            <sz val="9"/>
            <color rgb="FF000000"/>
            <rFont val="Tahoma"/>
            <family val="2"/>
            <charset val="1"/>
          </rPr>
          <t xml:space="preserve">Melhoria - Alterada - Basis
</t>
        </r>
        <r>
          <rPr>
            <sz val="9"/>
            <color rgb="FF000000"/>
            <rFont val="Tahoma"/>
            <family val="2"/>
            <charset val="1"/>
          </rPr>
          <t xml:space="preserve">
Alteração de funcionalidades (grupos de dados
ou processos elementares) em uma aplicação existente implantada em produção (PF_ALTERADO).
PF_ALTERADO = Pontos de Função associados às funcionalidades existentes na aplicação que serão alteradas no projeto de manutenção.
Fator de impacto: 
Funcionalidade de sistema desenvolvida ou mantida por meio de um projeto de melhoria pela empresa contratada (Basis): </t>
        </r>
        <r>
          <rPr>
            <b/>
            <sz val="9"/>
            <color rgb="FF000000"/>
            <rFont val="Tahoma"/>
            <family val="2"/>
            <charset val="1"/>
          </rPr>
          <t xml:space="preserve">FI = 50%
</t>
        </r>
        <r>
          <rPr>
            <sz val="9"/>
            <color rgb="FF000000"/>
            <rFont val="Tahoma"/>
            <family val="2"/>
            <charset val="1"/>
          </rPr>
          <t xml:space="preserve">
</t>
        </r>
      </text>
    </comment>
    <comment ref="A7" authorId="0" shapeId="0" xr:uid="{00000000-0006-0000-0B00-000005000000}">
      <text>
        <r>
          <rPr>
            <b/>
            <sz val="9"/>
            <color rgb="FF000000"/>
            <rFont val="Tahoma"/>
            <family val="2"/>
            <charset val="1"/>
          </rPr>
          <t xml:space="preserve">Melhoria – Alterada - não Basis (sem redocumentação)
</t>
        </r>
        <r>
          <rPr>
            <sz val="9"/>
            <color rgb="FF000000"/>
            <rFont val="Tahoma"/>
            <family val="2"/>
            <charset val="1"/>
          </rPr>
          <t xml:space="preserve">Alteração de novas funcionalidades (grupos de dados
ou processos elementares) em uma aplicação existente implantada em produção (PF_ALTERADO).
PF_ALTERADO = Pontos de Função associados às funcionalidades existentes na aplicação que serão alteradas no projeto de manutenção.
Fator de impacto: 
Funcionalidade de sistema não desenvolvida ou mantida por meio de um projeto de melhoria pela empresa contratada (Basis) e sem necessidade de redocumentação da funcionalidade: </t>
        </r>
        <r>
          <rPr>
            <b/>
            <sz val="9"/>
            <color rgb="FF000000"/>
            <rFont val="Tahoma"/>
            <family val="2"/>
            <charset val="1"/>
          </rPr>
          <t>FI = 75%</t>
        </r>
        <r>
          <rPr>
            <sz val="9"/>
            <color rgb="FF000000"/>
            <rFont val="Tahoma"/>
            <family val="2"/>
            <charset val="1"/>
          </rPr>
          <t xml:space="preserve"> </t>
        </r>
      </text>
    </comment>
    <comment ref="A8" authorId="0" shapeId="0" xr:uid="{00000000-0006-0000-0B00-000006000000}">
      <text>
        <r>
          <rPr>
            <b/>
            <sz val="9"/>
            <color rgb="FF000000"/>
            <rFont val="Tahoma"/>
            <family val="2"/>
            <charset val="1"/>
          </rPr>
          <t xml:space="preserve">Melhoria – Alterada - não Basis (com redocumentação)
</t>
        </r>
        <r>
          <rPr>
            <sz val="9"/>
            <color rgb="FF000000"/>
            <rFont val="Tahoma"/>
            <family val="2"/>
            <charset val="1"/>
          </rPr>
          <t xml:space="preserve">Alteração de novas funcionalidades (grupos de dados
ou processos elementares) em uma aplicação existente implantada em produção (PF_ALTERADO).
PF_ALTERADO = Pontos de Função associados às funcionalidades existentes na aplicação que serão alteradas no projeto de manutenção.
Fator de impacto: 
Funcionalidade de sistema não desenvolvida ou mantida por
meio de um projeto de melhoria pela empresa contratada e com necessidade de redocumentação da funcionalidade: </t>
        </r>
        <r>
          <rPr>
            <b/>
            <sz val="9"/>
            <color rgb="FF000000"/>
            <rFont val="Tahoma"/>
            <family val="2"/>
            <charset val="1"/>
          </rPr>
          <t>FI =90%</t>
        </r>
        <r>
          <rPr>
            <sz val="9"/>
            <color rgb="FF000000"/>
            <rFont val="Tahoma"/>
            <family val="2"/>
            <charset val="1"/>
          </rPr>
          <t>.
FI = 90% representa a adição de 15% como fator de redocumentação ao Fator de Impacto anterior (75%). Nesse caso, a contratada deve redocumentar a funcionalidade mantida, gerando a documentação completa da mesma, aderente ao processo de software da contratante. Se houver uma nova demanda de projeto de melhoria na funcionalidade em questão, será considerado que a contratada desenvolveu a funcionalidade. Observe que o percentual de 90% apenas será considerado na primeira demanda de projeto de melhoria em cada funcionalidade.</t>
        </r>
      </text>
    </comment>
    <comment ref="A9" authorId="0" shapeId="0" xr:uid="{00000000-0006-0000-0B00-000007000000}">
      <text>
        <r>
          <rPr>
            <b/>
            <sz val="9"/>
            <color rgb="FF000000"/>
            <rFont val="Tahoma"/>
            <family val="2"/>
            <charset val="1"/>
          </rPr>
          <t xml:space="preserve">Melhoria - Excluída
</t>
        </r>
        <r>
          <rPr>
            <sz val="9"/>
            <color rgb="FF000000"/>
            <rFont val="Tahoma"/>
            <family val="2"/>
            <charset val="1"/>
          </rPr>
          <t>Exclusão de funcionalidades (grupos de dados ou processos elementares) em uma aplicação existente implantada em produção (PF_EXCLUÍDO).
PF_EXCLUÍDO = Pontos de Função associados às funcionalidades existentes na aplicação que serão excluídas no projeto de manutenção.</t>
        </r>
      </text>
    </comment>
    <comment ref="A10" authorId="0" shapeId="0" xr:uid="{00000000-0006-0000-0B00-000008000000}">
      <text>
        <r>
          <rPr>
            <b/>
            <sz val="9"/>
            <color rgb="FF000000"/>
            <rFont val="Tahoma"/>
            <family val="2"/>
            <charset val="1"/>
          </rPr>
          <t xml:space="preserve">Migração de Dados
</t>
        </r>
        <r>
          <rPr>
            <sz val="9"/>
            <color rgb="FF000000"/>
            <rFont val="Tahoma"/>
            <family val="2"/>
            <charset val="1"/>
          </rPr>
          <t xml:space="preserve">
Os projetos de migração de dados devem ser contados como um novo projeto de desenvolvimento de um sistema, contemplando minimamente: os ALIs mantidos pela migração, Entradas Externas – considerando as cargas de dados nos ALIs e caso seja
solicitado pelo usuário relatórios gerenciais das cargas, estes serão contados como Saídas Externas. Todas as contagens de PF devem ser realizadas com base nas funcionalidades requisitadas e recebidas pelo usuário.</t>
        </r>
      </text>
    </comment>
    <comment ref="A11" authorId="0" shapeId="0" xr:uid="{00000000-0006-0000-0B00-000009000000}">
      <text>
        <r>
          <rPr>
            <b/>
            <sz val="9"/>
            <color rgb="FF000000"/>
            <rFont val="Tahoma"/>
            <family val="2"/>
            <charset val="1"/>
          </rPr>
          <t xml:space="preserve">Corretiva - Garantia
</t>
        </r>
        <r>
          <rPr>
            <sz val="9"/>
            <color rgb="FF000000"/>
            <rFont val="Tahoma"/>
            <family val="2"/>
            <charset val="1"/>
          </rPr>
          <t xml:space="preserve">
Quando o sistema em produção tiver sido desenvolvido pela contratada, a
manutenção corretiva será do tipo Garantia, conforme prazos e demais cláusulas do
contrato em questão. Caso não exista cláusula contratual de Garantia, deve ser
considerada a garantia de seis meses, preconizada por lei (Código do Consumidor).
</t>
        </r>
        <r>
          <rPr>
            <b/>
            <sz val="9"/>
            <color rgb="FF000000"/>
            <rFont val="Tahoma"/>
            <family val="2"/>
            <charset val="1"/>
          </rPr>
          <t>No presente contrato a garantia é de 1 ano.</t>
        </r>
      </text>
    </comment>
    <comment ref="A12" authorId="0" shapeId="0" xr:uid="{00000000-0006-0000-0B00-00000A000000}">
      <text>
        <r>
          <rPr>
            <b/>
            <sz val="9"/>
            <color rgb="FF000000"/>
            <rFont val="Tahoma"/>
            <family val="2"/>
            <charset val="1"/>
          </rPr>
          <t xml:space="preserve">Corretiva - Fora da garantia
</t>
        </r>
        <r>
          <rPr>
            <sz val="9"/>
            <color rgb="FF000000"/>
            <rFont val="Tahoma"/>
            <family val="2"/>
            <charset val="1"/>
          </rPr>
          <t xml:space="preserve">
Quando o sistema estiver fora da garantia ou não tenha sido desenvolvido pela empresa contratada, deverá ser estimado e calculado o tamanho do projeto de manutenção corretiva. Nestes casos, a aferição do tamanho em pontos de função da funcionalidade ou das funcionalidades corrigidas deve considerar um fator de impacto (FI) sobre o PF_ALTERADO.
PF_CORRETIVA = FI x PF_ALTERADO
</t>
        </r>
        <r>
          <rPr>
            <b/>
            <sz val="9"/>
            <color rgb="FF000000"/>
            <rFont val="Tahoma"/>
            <family val="2"/>
            <charset val="1"/>
          </rPr>
          <t>FI = 50%</t>
        </r>
        <r>
          <rPr>
            <sz val="9"/>
            <color rgb="FF000000"/>
            <rFont val="Tahoma"/>
            <family val="2"/>
            <charset val="1"/>
          </rPr>
          <t xml:space="preserve"> quando estiver fora da garantia e a correção for feita pela mesma empresa que desenvolveu a funcionalidade.</t>
        </r>
      </text>
    </comment>
    <comment ref="A13" authorId="0" shapeId="0" xr:uid="{00000000-0006-0000-0B00-00000B000000}">
      <text>
        <r>
          <rPr>
            <b/>
            <sz val="9"/>
            <color rgb="FF000000"/>
            <rFont val="Tahoma"/>
            <family val="2"/>
            <charset val="1"/>
          </rPr>
          <t xml:space="preserve">Corretiva - Fora da garantia com redocumentação
</t>
        </r>
        <r>
          <rPr>
            <sz val="9"/>
            <color rgb="FF000000"/>
            <rFont val="Tahoma"/>
            <family val="2"/>
            <charset val="1"/>
          </rPr>
          <t xml:space="preserve">
Quando o sistema estiver fora da garantia ou não tenha sido desenvolvido pela empresa contratada, deverá ser estimado e calculado o tamanho do projeto de manutenção corretiva. Nestes casos, a aferição do tamanho em pontos de função da funcionalidade ou das funcionalidades corrigidas deve considerar um fator de impacto (FI) sobre o PF_ALTERADO.
PF_CORRETIVA = FI x PF_ALTERADO
</t>
        </r>
        <r>
          <rPr>
            <b/>
            <sz val="9"/>
            <color rgb="FF000000"/>
            <rFont val="Tahoma"/>
            <family val="2"/>
            <charset val="1"/>
          </rPr>
          <t>FI = 50%</t>
        </r>
        <r>
          <rPr>
            <sz val="9"/>
            <color rgb="FF000000"/>
            <rFont val="Tahoma"/>
            <family val="2"/>
            <charset val="1"/>
          </rPr>
          <t xml:space="preserve"> quando estiver fora da garantia e a correção for feita pela mesma empresa que desenvolveu a funcionalidade.
Caso seja demandada a redocumentação da funcionalidade corrigida, porque a documentação não existe ou está desatualizada, deve-se adicionar ao FI um fator de redocumentação de </t>
        </r>
        <r>
          <rPr>
            <b/>
            <sz val="9"/>
            <color rgb="FF000000"/>
            <rFont val="Tahoma"/>
            <family val="2"/>
            <charset val="1"/>
          </rPr>
          <t>15%</t>
        </r>
        <r>
          <rPr>
            <sz val="9"/>
            <color rgb="FF000000"/>
            <rFont val="Tahoma"/>
            <family val="2"/>
            <charset val="1"/>
          </rPr>
          <t xml:space="preserve">, conforme descrito na seção 4.2.
</t>
        </r>
        <r>
          <rPr>
            <b/>
            <sz val="9"/>
            <color rgb="FF000000"/>
            <rFont val="Tahoma"/>
            <family val="2"/>
            <charset val="1"/>
          </rPr>
          <t>FI = 50% + 15%</t>
        </r>
      </text>
    </comment>
    <comment ref="A14" authorId="0" shapeId="0" xr:uid="{00000000-0006-0000-0B00-00000C000000}">
      <text>
        <r>
          <rPr>
            <b/>
            <sz val="9"/>
            <color rgb="FF000000"/>
            <rFont val="Tahoma"/>
            <family val="2"/>
            <charset val="1"/>
          </rPr>
          <t xml:space="preserve">Corretiva - Não Basis
</t>
        </r>
        <r>
          <rPr>
            <sz val="9"/>
            <color rgb="FF000000"/>
            <rFont val="Tahoma"/>
            <family val="2"/>
            <charset val="1"/>
          </rPr>
          <t xml:space="preserve">Quando o sistema estiver fora da garantia ou não tenha sido desenvolvido pela empresa contratada, deverá ser estimado e calculado o tamanho do projeto de manutenção corretiva. Nestes casos, a aferição do tamanho em pontos de função da funcionalidade ou das funcionalidades corrigidas deve considerar um fator de impacto (FI) sobre o PF_ALTERADO.
PF_CORRETIVA = FI x PF_ALTERADO
</t>
        </r>
        <r>
          <rPr>
            <b/>
            <sz val="9"/>
            <color rgb="FF000000"/>
            <rFont val="Tahoma"/>
            <family val="2"/>
            <charset val="1"/>
          </rPr>
          <t>FI = 75%</t>
        </r>
        <r>
          <rPr>
            <sz val="9"/>
            <color rgb="FF000000"/>
            <rFont val="Tahoma"/>
            <family val="2"/>
            <charset val="1"/>
          </rPr>
          <t xml:space="preserve"> quando estiver fora da garantia e a correção for feita por empresa diferente daquela que desenvolveu a funcionalidade.
</t>
        </r>
      </text>
    </comment>
    <comment ref="A15" authorId="0" shapeId="0" xr:uid="{00000000-0006-0000-0B00-00000D000000}">
      <text>
        <r>
          <rPr>
            <b/>
            <sz val="9"/>
            <color rgb="FF000000"/>
            <rFont val="Tahoma"/>
            <family val="2"/>
            <charset val="1"/>
          </rPr>
          <t xml:space="preserve">Corretiva - Não Basis com redocumentação
</t>
        </r>
        <r>
          <rPr>
            <sz val="9"/>
            <color rgb="FF000000"/>
            <rFont val="Tahoma"/>
            <family val="2"/>
            <charset val="1"/>
          </rPr>
          <t xml:space="preserve">Quando o sistema estiver fora da garantia ou não tenha sido desenvolvido pela empresa contratada, deverá ser estimado e calculado o tamanho do projeto de manutenção corretiva. Nestes casos, a aferição do tamanho em pontos de função da funcionalidade ou das funcionalidades corrigidas deve considerar um fator de impacto (FI) sobre o PF_ALTERADO.
PF_CORRETIVA = FI x PF_ALTERADO
</t>
        </r>
        <r>
          <rPr>
            <b/>
            <sz val="9"/>
            <color rgb="FF000000"/>
            <rFont val="Tahoma"/>
            <family val="2"/>
            <charset val="1"/>
          </rPr>
          <t xml:space="preserve">FI = 75% </t>
        </r>
        <r>
          <rPr>
            <sz val="9"/>
            <color rgb="FF000000"/>
            <rFont val="Tahoma"/>
            <family val="2"/>
            <charset val="1"/>
          </rPr>
          <t xml:space="preserve">quando estiver fora da garantia e a correção for feita por empresa diferente daquela que desenvolveu a funcionalidade.
Caso seja demandada a redocumentação da funcionalidade corrigida, porque a documentação não existe ou está desatualizada, deve-se adicionar ao FI um fator de redocumentação de </t>
        </r>
        <r>
          <rPr>
            <b/>
            <sz val="9"/>
            <color rgb="FF000000"/>
            <rFont val="Tahoma"/>
            <family val="2"/>
            <charset val="1"/>
          </rPr>
          <t>15%</t>
        </r>
        <r>
          <rPr>
            <sz val="9"/>
            <color rgb="FF000000"/>
            <rFont val="Tahoma"/>
            <family val="2"/>
            <charset val="1"/>
          </rPr>
          <t xml:space="preserve">, conforme descrito na seção 4.2.
</t>
        </r>
        <r>
          <rPr>
            <b/>
            <sz val="9"/>
            <color rgb="FF000000"/>
            <rFont val="Tahoma"/>
            <family val="2"/>
            <charset val="1"/>
          </rPr>
          <t xml:space="preserve">
FI = 75% + 15%</t>
        </r>
      </text>
    </comment>
    <comment ref="A16" authorId="0" shapeId="0" xr:uid="{00000000-0006-0000-0B00-00000E000000}">
      <text>
        <r>
          <rPr>
            <b/>
            <sz val="9"/>
            <color rgb="FF000000"/>
            <rFont val="Tahoma"/>
            <family val="2"/>
            <charset val="1"/>
          </rPr>
          <t xml:space="preserve">Mudança de Plataforma - Linguagem de Programação
</t>
        </r>
        <r>
          <rPr>
            <sz val="9"/>
            <color rgb="FF000000"/>
            <rFont val="Tahoma"/>
            <family val="2"/>
            <charset val="1"/>
          </rPr>
          <t xml:space="preserve">Nesta categoria encontram-se as demandas de redesenvolvimento de sistemas em outra linguagem de programação. Como os projetos legados, frequentemente, não
possuem documentação, devem ser considerados como novos projetos de desenvolvimento. Assim, será utilizada a fórmula de projetos de desenvolvimento do CPM 4.3.
Observe que caso não exista mudança nas funções de dados, ou seja, o banco de dados da aplicação seja mantido, as funções de dados não devem ser contadas. No entanto, nesse caso, deve ser realizada a contagem das funções de dados a fim de compor a documentação da contagem final do projeto.
Outro ponto a ser observado são as fases contratadas. Caso o projeto já possua documentação de requisitos, a fase de requisitos não será contratada. Deve-se considerar
apenas os percentuais das fases contratadas.
PF_REDESENVOLVIMENTO_LINGUAGEM = PF_INCLUÍDO + PF_CONVERSÃO
Este roteiro recomenda a supressão do PF_CONVERSÃO da fórmula de contagem de pontos de função de projetos de redesenvolvimento quando for caracterizado um esforço relativamente maior dessa atividade, conforme descrito na seção 3.3.
</t>
        </r>
      </text>
    </comment>
    <comment ref="A17" authorId="0" shapeId="0" xr:uid="{00000000-0006-0000-0B00-00000F000000}">
      <text>
        <r>
          <rPr>
            <b/>
            <sz val="9"/>
            <color rgb="FF000000"/>
            <rFont val="Tahoma"/>
            <family val="2"/>
            <charset val="1"/>
          </rPr>
          <t xml:space="preserve">Mudança de Plataforma - Banco de Dados Hierárquico
</t>
        </r>
        <r>
          <rPr>
            <sz val="9"/>
            <color rgb="FF000000"/>
            <rFont val="Tahoma"/>
            <family val="2"/>
            <charset val="1"/>
          </rPr>
          <t xml:space="preserve">
Nesta categoria encontram-se as demandas de redesenvolvimento de sistemas para utilizar um outro sistema gerenciador de banco de dados.
Observe que caso não exista mudança nas funções de dados, ou seja, o banco de dados da aplicação seja mantido, então as funções de dados não devem ser contadas. No entanto, nesse caso, deve ser realizada a contagem das funções de dados a fim de compor a documentação da contagem final do projeto.
Em casos de mudança de banco hierárquico para relacional, em sistemas sem documentação, devido às mudanças envolvidas, deve-se considerar como um novo projeto de desenvolvimento, ou seja, as funções de dados e funções transacionais devem
ser contadas. Assim, será utilizada a fórmula de projeto de desenvolvimento do CPM 4.3, conforme fórmula abaixo:
PF_REDESENVOLVIMENTO_BD_HIERÁRQUICO = PF_INCLUÍDO + PF_CONVERSÃO
</t>
        </r>
      </text>
    </comment>
    <comment ref="A18" authorId="0" shapeId="0" xr:uid="{00000000-0006-0000-0B00-000010000000}">
      <text>
        <r>
          <rPr>
            <b/>
            <sz val="9"/>
            <color rgb="FF000000"/>
            <rFont val="Tahoma"/>
            <family val="2"/>
            <charset val="1"/>
          </rPr>
          <t xml:space="preserve">Mudança de Plataforma - Banco de Dados Relacional
</t>
        </r>
        <r>
          <rPr>
            <sz val="9"/>
            <color rgb="FF000000"/>
            <rFont val="Tahoma"/>
            <family val="2"/>
            <charset val="1"/>
          </rPr>
          <t>Nesta categoria encontram-se as demandas de redesenvolvimento de sistemas para utilizar um outro sistema gerenciador de banco de dados.
Observe que caso não exista mudança nas funções de dados, ou seja, o banco de dados da aplicação seja mantido, então as funções de dados não devem ser contadas. No entanto, nesse caso, deve ser realizada a contagem das funções de dados a fim de compor a documentação da contagem final do projeto.
Nos projetos de redesenvolvimento de banco de dados hierárquico para relacional, recomenda-se a supressão do PF_CONVERSÃO da fórmula acima, conforme descrito na seção 3.3.
Caso o projeto já possua documentação de requisitos, então a fase de requisitos não deve ser contratada. É importante destacar que isso se aplica a qualquer fase que não se deseja contratar. Deve-se considerar apenas os percentuais das fases contratadas.
Caso a demanda de redesenvolvimento seja de um sistema gerenciador de banco de dados relacional para outro relacional, deve ser utilizada a seguinte fórmula:
PF_REDESENVOLVIMENTO_BD_RELACIONAL = (PF_ALTERADO X 0,30) + PF_CONVERSÃO</t>
        </r>
      </text>
    </comment>
    <comment ref="A19" authorId="0" shapeId="0" xr:uid="{00000000-0006-0000-0B00-000011000000}">
      <text>
        <r>
          <rPr>
            <b/>
            <sz val="9"/>
            <color rgb="FF000000"/>
            <rFont val="Tahoma"/>
            <family val="2"/>
            <charset val="1"/>
          </rPr>
          <t xml:space="preserve">Atualização de Versão – Linguagem de Programação
</t>
        </r>
        <r>
          <rPr>
            <sz val="9"/>
            <color rgb="FF000000"/>
            <rFont val="Tahoma"/>
            <family val="2"/>
            <charset val="1"/>
          </rPr>
          <t xml:space="preserve">
Nesta categoria encontram-se as demandas de atualização de versão de linguagem de programação de sistemas. As funções de dados não devem ser contadas.
Estas demandas devem ser dimensionadas de acordo com a fórmula abaixo.
PF_ATUALIZAÇÃO_VERSÃO_LINGUAGEM = PF_ALTERADO x 0,30
O PF_ALTERADO deve considerar apenas as funcionalidades impactadas. As funcionalidades que possuem apenas demandas de testes, devem ser contadas usando o percentual da fase de testes (ver Tabela 7).
Cabe ressaltar que o redutor depende da linguagem da programação utilizada, considerando o grau de complexidade de implementação da mudança de versão no sistema em questão. Desta forma, recomenda-se fortemente a análise do percentual
redutor da fórmula de contagem pelo órgão.</t>
        </r>
      </text>
    </comment>
    <comment ref="A20" authorId="0" shapeId="0" xr:uid="{00000000-0006-0000-0B00-000012000000}">
      <text>
        <r>
          <rPr>
            <b/>
            <sz val="9"/>
            <color rgb="FF000000"/>
            <rFont val="Tahoma"/>
            <family val="2"/>
            <charset val="1"/>
          </rPr>
          <t xml:space="preserve">Atualização de Versão – Browser
</t>
        </r>
        <r>
          <rPr>
            <sz val="9"/>
            <color rgb="FF000000"/>
            <rFont val="Tahoma"/>
            <family val="2"/>
            <charset val="1"/>
          </rPr>
          <t xml:space="preserve">
Nesta categoria encontram-se as demandas de atualização de aplicações Web para executar em novas versões de um mesmo browser e para suportar a execução em mais de um browser. É importante destacar que este tipo de procedimento usualmente é realizado quando é necessário resolver algum problema de incompatibilidade. As funções
de dados não devem ser contadas. Estas demandas devem ser dimensionadas de acordo com a fórmula abaixo.
PF_ATUALIZAÇÃO_VERSÃO_BROWSER = PF_ALTERADO x 0,30
O PF_ALTERADO deve considerar apenas as funcionalidades impactadas. As funcionalidades que possuem apenas demandas de testes, devem ser contadas usando o percentual da fase de testes.
Essas atualizações podem implicar em manutenções em componentes específicos da plataforma utilizada. Nesse caso, a demanda deve ser contada como componente interno reusável, descrita na seção 4.15 deste roteiro.
Recomenda-se enfaticamente a realização da análise de impacto das mudanças propostas para efeito de determinação do percentual adequado. Por exemplo, para sistemas que já atendem ao padrão W3C (World Wide Web Consortium) o esforço é menor, podendo usar, neste caso, um percentual diferente do citado acima. É importante ressaltar que os sistemas Web devem seguir o padrão W3C, como recomendado na e-Ping. Caso seja necessário fazer a adequação do sistema para atendimento ao padrão W3C, pode-se usar a fórmula acima.</t>
        </r>
      </text>
    </comment>
    <comment ref="A21" authorId="0" shapeId="0" xr:uid="{00000000-0006-0000-0B00-000013000000}">
      <text>
        <r>
          <rPr>
            <b/>
            <sz val="9"/>
            <color rgb="FF000000"/>
            <rFont val="Tahoma"/>
            <family val="2"/>
            <charset val="1"/>
          </rPr>
          <t xml:space="preserve">Atualização de Versão – Banco de Dados
</t>
        </r>
        <r>
          <rPr>
            <sz val="9"/>
            <color rgb="FF000000"/>
            <rFont val="Tahoma"/>
            <family val="2"/>
            <charset val="1"/>
          </rPr>
          <t xml:space="preserve">
Nesta categoria encontram-se as demandas de atualização de versão do sistema gerenciador de banco de dados. As funções de dados não devem ser contadas. Estas demandas devem ser dimensionadas de acordo com a fórmula abaixo.
PF_ ATUALIZAÇÃO_VERSÃO_BD = PF_ALTERADO x 0,30
O PF_ALTERADO deve considerar apenas as funcionalidades impactadas. As funcionalidades que possuem apenas demandas de testes, devem ser contadas usando o percentual da fase de testes (ver Tabela 7).</t>
        </r>
      </text>
    </comment>
    <comment ref="A22" authorId="0" shapeId="0" xr:uid="{00000000-0006-0000-0B00-000014000000}">
      <text>
        <r>
          <rPr>
            <b/>
            <sz val="9"/>
            <color rgb="FF000000"/>
            <rFont val="Tahoma"/>
            <family val="2"/>
            <charset val="1"/>
          </rPr>
          <t xml:space="preserve">Manutenção em Interface
</t>
        </r>
        <r>
          <rPr>
            <sz val="9"/>
            <color rgb="FF000000"/>
            <rFont val="Tahoma"/>
            <family val="2"/>
            <charset val="1"/>
          </rPr>
          <t xml:space="preserve">
A manutenção em interface, denominada na literatura de manutenção cosmética, é associada às demandas de alterações de interface, por exemplo: fonte de letra, cores de telas, logotipos, mudança de botões na tela, mudança de posição de campos ou texto na tela. Também se enquadram nessa categoria as seguintes manutenções:
– Mudanças de texto em mensagens de erro, validação, aviso, alerta, confirmação de cadastro ou conclusão de processamento;
– Mudança em texto estático de e-mail enviado para o usuário em uma funcionalidade de cadastro. A demanda deve ser contada como manutenção em interface na funcionalidade de cadastro;
– Alteração de título de um relatório;
– Alteração de labels de uma tela de consulta.
Nestes casos, a aferição do tamanho em pontos de função das funções transacionais impactadas será realizada com a aplicação de um fator de redução de modo a considerar 20% da contagem de uma função transacional de mais baixa complexidade
(3 PF), ou seja 0,6 PF, independentemente da complexidade da funcionalidade alterada.
Neste tipo de manutenção não são contadas funções de dados.
PF_INTERFACE = 0,6 PF x QUANTIDADE DE FUNÇÕES TRANSACIONAIS IMPACTADAS
Está contemplada a atualização da documentação das funcionalidades da aplicação impactadas pela manutenção nas demandas desta categoria. Assim, a documentação (documento de requisitos, documento de interface, protótipo, entre outros)
das funcionalidades alteradas deve ser atualizada. Caso não exista documentação para as funcionalidades alteradas, não será contemplada a redocumentação das funcionalidades da aplicação impactadas pela manutenção nas demandas desta
categoria.
Observação 1 – Help: As demandas de projetos de desenvolvimento de sistemas ou de manutenção de funcionalidades contemplam o desenvolvimento ou atualização do help da funcionalidade em questão, sendo tratada como uma atividade de documentação no processo de software. No caso de demandas específicas de desenvolvimento ou atualização de help estático de funcionalidades, estas podem ser enquadradas nesta seção e poderá ser usado um valor de multiplicação inferior a 0,6 PF conforme análise de impacto das mudanças propostas. Em caso de requisitos de usuário para o desenvolvimento de funcionalidades de manutenção de help, deve-se contar a função de dados de help e as funcionalidades de manutenção de help (por exemplo: incluir help de tela, consultar help de campo) de acordo com o CPM 4.3.
O percentual de multiplicação é estimado, podendo ser reajustado conforme avaliação da base histórica dos serviços realizados no órgão ou entidade.</t>
        </r>
      </text>
    </comment>
    <comment ref="A23" authorId="0" shapeId="0" xr:uid="{00000000-0006-0000-0B00-000015000000}">
      <text>
        <r>
          <rPr>
            <b/>
            <sz val="9"/>
            <color rgb="FF000000"/>
            <rFont val="Tahoma"/>
            <family val="2"/>
            <charset val="1"/>
          </rPr>
          <t xml:space="preserve">Adaptação em Funcionalidades - Basis
</t>
        </r>
        <r>
          <rPr>
            <sz val="9"/>
            <color rgb="FF000000"/>
            <rFont val="Tahoma"/>
            <family val="2"/>
            <charset val="1"/>
          </rPr>
          <t xml:space="preserve">
São consideradas nesta categoria as demandas de manutenção adaptativa associadas a solicitações que envolvem aspectos não funcionais, sem alteração em requisitos funcionais. Seguem alguns exemplos:
– Aumentar a quantidade de linhas por página em um relatório;
– Colocar paginação em um relatório;
– Limitar a quantidade de linhas por página em uma consulta existente;
– Permitir exclusões múltiplas em uma funcionalidade que antes só possibilitava a exclusão de um item;
– Adaptação de uma funcionalidade para possibilitar a chamada por um webservice ou para outro tipo de integração com outros sistemas;
– Replicação de funcionalidade: chamar uma consulta existente em outra tela da aplicação;
– Alteração na aplicação para adaptação às alterações realizadas na interface com rotinas de integração com outros softwares, por exemplo, alteração em sub-rotinas chamadas por este software;
– Modificar o servidor a ser acessado em uma funcionalidade de download de arquivo;
– Adequar mensagem do sistema que em algumas telas apresenta “Usuário Não está Habilitado a ver esta Página”, para que passe a enviar uma mensagem mais adequada ao fato do usuário não possuir mais uma sessão ativa e ainda estar navegando no sistema. A demanda deve ser contada como manutenção adaptativa considerando as funcionalidades impactadas. Observe que trata-se de mudança em validação com regra de negócio não funcional.
Nestes casos, a aferição do tamanho em pontos de função da funcionalidade ou das funcionalidades que sofreram impacto deve considerar um fator de impacto (FI) sobre o PF_ALTERADO, seguindo os conceitos do CPM 4.3, apresentados na seção 4.2.
PF_ADAPTATIVA = FI x PF_ALTERADO
</t>
        </r>
        <r>
          <rPr>
            <b/>
            <sz val="9"/>
            <color rgb="FF000000"/>
            <rFont val="Tahoma"/>
            <family val="2"/>
            <charset val="1"/>
          </rPr>
          <t>FI = 50%</t>
        </r>
        <r>
          <rPr>
            <sz val="9"/>
            <color rgb="FF000000"/>
            <rFont val="Tahoma"/>
            <family val="2"/>
            <charset val="1"/>
          </rPr>
          <t xml:space="preserve"> para funcionalidade de sistema desenvolvida ou mantida por meio de um projeto de melhoria pela empresa contratada.</t>
        </r>
      </text>
    </comment>
    <comment ref="A24" authorId="0" shapeId="0" xr:uid="{00000000-0006-0000-0B00-000016000000}">
      <text>
        <r>
          <rPr>
            <b/>
            <sz val="9"/>
            <color rgb="FF000000"/>
            <rFont val="Tahoma"/>
            <family val="2"/>
            <charset val="1"/>
          </rPr>
          <t xml:space="preserve">Adaptação em Funcionalidades - Basis com redocumentação
</t>
        </r>
        <r>
          <rPr>
            <sz val="9"/>
            <color rgb="FF000000"/>
            <rFont val="Tahoma"/>
            <family val="2"/>
            <charset val="1"/>
          </rPr>
          <t xml:space="preserve">
São consideradas nesta categoria as demandas de manutenção adaptativa associadas a solicitações que envolvem aspectos não funcionais, sem alteração em requisitos funcionais. Seguem alguns exemplos:
– Aumentar a quantidade de linhas por página em um relatório;
– Colocar paginação em um relatório;
– Limitar a quantidade de linhas por página em uma consulta existente;
– Permitir exclusões múltiplas em uma funcionalidade que antes só possibilitava a exclusão de um item;
– Adaptação de uma funcionalidade para possibilitar a chamada por um webservice ou para outro tipo de integração com outros sistemas;
– Replicação de funcionalidade: chamar uma consulta existente em outra tela da aplicação;
– Alteração na aplicação para adaptação às alterações realizadas na interface com rotinas de integração com outros softwares, por exemplo, alteração em sub-rotinas chamadas por este software;
– Modificar o servidor a ser acessado em uma funcionalidade de download de arquivo;
– Adequar mensagem do sistema que em algumas telas apresenta “Usuário Não está Habilitado a ver esta Página”, para que passe a enviar uma mensagem mais adequada ao fato do usuário não possuir mais uma sessão ativa e ainda estar navegando no sistema. A demanda deve ser contada como manutenção adaptativa considerando as funcionalidades impactadas. Observe que trata-se de mudança em validação com regra de negócio não funcional.
Nestes casos, a aferição do tamanho em pontos de função da funcionalidade ou das funcionalidades que sofreram impacto deve considerar um fator de impacto (FI) sobre o PF_ALTERADO, seguindo os conceitos do CPM 4.3, apresentados na seção 4.2.
PF_ADAPTATIVA = FI x PF_ALTERADO
</t>
        </r>
        <r>
          <rPr>
            <b/>
            <sz val="9"/>
            <color rgb="FF000000"/>
            <rFont val="Tahoma"/>
            <family val="2"/>
            <charset val="1"/>
          </rPr>
          <t>FI = 50%</t>
        </r>
        <r>
          <rPr>
            <sz val="9"/>
            <color rgb="FF000000"/>
            <rFont val="Tahoma"/>
            <family val="2"/>
            <charset val="1"/>
          </rPr>
          <t xml:space="preserve"> para funcionalidade de sistema desenvolvida ou mantida por meio de um projeto de melhoria pela empresa contratada.
Deve-se destacar que além da adequação das funcionalidades em questão, a
documentação do projeto de manutenção adaptativa deve ser realizada. Além disso, caso exista a documentação das funcionalidades impactadas, estas deverão ser atualizadas, caso contrário, se for demandada a redocumentação dessas funcionalidades, deve-se adicionar ao FI um fator de redocumentação de </t>
        </r>
        <r>
          <rPr>
            <b/>
            <sz val="9"/>
            <color rgb="FF000000"/>
            <rFont val="Tahoma"/>
            <family val="2"/>
            <charset val="1"/>
          </rPr>
          <t>15%</t>
        </r>
        <r>
          <rPr>
            <sz val="9"/>
            <color rgb="FF000000"/>
            <rFont val="Tahoma"/>
            <family val="2"/>
            <charset val="1"/>
          </rPr>
          <t>, conforme descrito na seção 4.2.</t>
        </r>
      </text>
    </comment>
    <comment ref="A25" authorId="0" shapeId="0" xr:uid="{00000000-0006-0000-0B00-000017000000}">
      <text>
        <r>
          <rPr>
            <b/>
            <sz val="9"/>
            <color rgb="FF000000"/>
            <rFont val="Tahoma"/>
            <family val="2"/>
            <charset val="1"/>
          </rPr>
          <t xml:space="preserve">Adaptação em Funcionalidades - Não Basis
</t>
        </r>
        <r>
          <rPr>
            <sz val="9"/>
            <color rgb="FF000000"/>
            <rFont val="Tahoma"/>
            <family val="2"/>
            <charset val="1"/>
          </rPr>
          <t xml:space="preserve">
São consideradas nesta categoria as demandas de manutenção adaptativa associadas a solicitações que envolvem aspectos não funcionais, sem alteração em requisitos funcionais. Seguem alguns exemplos:
– Aumentar a quantidade de linhas por página em um relatório;
– Colocar paginação em um relatório;
– Limitar a quantidade de linhas por página em uma consulta existente;
– Permitir exclusões múltiplas em uma funcionalidade que antes só possibilitava a exclusão de um item;
– Adaptação de uma funcionalidade para possibilitar a chamada por um webservice ou para outro tipo de integração com outros sistemas;
– Replicação de funcionalidade: chamar uma consulta existente em outra tela da aplicação;
– Alteração na aplicação para adaptação às alterações realizadas na interface com rotinas de integração com outros softwares, por exemplo, alteração em sub-rotinas chamadas por este software;
– Modificar o servidor a ser acessado em uma funcionalidade de download de arquivo;
– Adequar mensagem do sistema que em algumas telas apresenta “Usuário Não está Habilitado a ver esta Página”, para que passe a enviar uma mensagem mais adequada ao fato do usuário não possuir mais uma sessão ativa e ainda estar navegando no sistema. A demanda deve ser contada como manutenção adaptativa considerando as funcionalidades impactadas. Observe que trata-se de mudança em validação com regra de negócio não funcional.
Nestes casos, a aferição do tamanho em pontos de função da funcionalidade ou das funcionalidades que sofreram impacto deve considerar um fator de impacto (FI) sobre o PF_ALTERADO, seguindo os conceitos do CPM 4.3, apresentados na seção 4.2.
PF_ADAPTATIVA = FI x PF_ALTERADO
</t>
        </r>
        <r>
          <rPr>
            <b/>
            <sz val="9"/>
            <color rgb="FF000000"/>
            <rFont val="Tahoma"/>
            <family val="2"/>
            <charset val="1"/>
          </rPr>
          <t>FI = 75%</t>
        </r>
        <r>
          <rPr>
            <sz val="9"/>
            <color rgb="FF000000"/>
            <rFont val="Tahoma"/>
            <family val="2"/>
            <charset val="1"/>
          </rPr>
          <t xml:space="preserve"> para funcionalidade de sistema não desenvolvida ou mantida por meio de um projeto de melhoria pela empresa contratada.</t>
        </r>
      </text>
    </comment>
    <comment ref="A26" authorId="0" shapeId="0" xr:uid="{00000000-0006-0000-0B00-000018000000}">
      <text>
        <r>
          <rPr>
            <b/>
            <sz val="9"/>
            <color rgb="FF000000"/>
            <rFont val="Tahoma"/>
            <family val="2"/>
            <charset val="1"/>
          </rPr>
          <t xml:space="preserve">Adaptação em Funcionalidades - Não Basis com redocumentação
</t>
        </r>
        <r>
          <rPr>
            <sz val="9"/>
            <color rgb="FF000000"/>
            <rFont val="Tahoma"/>
            <family val="2"/>
            <charset val="1"/>
          </rPr>
          <t xml:space="preserve">
São consideradas nesta categoria as demandas de manutenção adaptativa associadas a solicitações que envolvem aspectos não funcionais, sem alteração em requisitos funcionais. Seguem alguns exemplos:
– Aumentar a quantidade de linhas por página em um relatório;
– Colocar paginação em um relatório;
– Limitar a quantidade de linhas por página em uma consulta existente;
– Permitir exclusões múltiplas em uma funcionalidade que antes só possibilitava a exclusão de um item;
– Adaptação de uma funcionalidade para possibilitar a chamada por um webservice ou para outro tipo de integração com outros sistemas;
– Replicação de funcionalidade: chamar uma consulta existente em outra tela da aplicação;
– Alteração na aplicação para adaptação às alterações realizadas na interface com rotinas de integração com outros softwares, por exemplo, alteração em sub-rotinas chamadas por este software;
– Modificar o servidor a ser acessado em uma funcionalidade de download de arquivo;
– Adequar mensagem do sistema que em algumas telas apresenta “Usuário Não está Habilitado a ver esta Página”, para que passe a enviar uma mensagem mais adequada ao fato do usuário não possuir mais uma sessão ativa e ainda estar navegando no sistema. A demanda deve ser contada como manutenção adaptativa considerando as funcionalidades impactadas. Observe que trata-se de mudança em validação com regra de negócio não funcional.
Nestes casos, a aferição do tamanho em pontos de função da funcionalidade ou das funcionalidades que sofreram impacto deve considerar um fator de impacto (FI) sobre o PF_ALTERADO, seguindo os conceitos do CPM 4.3, apresentados na seção 4.2.
PF_ADAPTATIVA = FI x PF_ALTERADO
</t>
        </r>
        <r>
          <rPr>
            <b/>
            <sz val="9"/>
            <color rgb="FF000000"/>
            <rFont val="Tahoma"/>
            <family val="2"/>
            <charset val="1"/>
          </rPr>
          <t>FI = 75%</t>
        </r>
        <r>
          <rPr>
            <sz val="9"/>
            <color rgb="FF000000"/>
            <rFont val="Tahoma"/>
            <family val="2"/>
            <charset val="1"/>
          </rPr>
          <t xml:space="preserve"> para funcionalidade de sistema não desenvolvida ou mantida por meio de um projeto de melhoria pela empresa contratada.
Deve-se destacar que além da adequação das funcionalidades em questão, a
documentação do projeto de manutenção adaptativa deve ser realizada. Além disso, caso exista a documentação das funcionalidades impactadas, estas deverão ser atualizadas, caso contrário, se for demandada a redocumentação dessas funcionalidades, deve-se adicionar ao FI um fator de redocumentação de </t>
        </r>
        <r>
          <rPr>
            <b/>
            <sz val="9"/>
            <color rgb="FF000000"/>
            <rFont val="Tahoma"/>
            <family val="2"/>
            <charset val="1"/>
          </rPr>
          <t>15%</t>
        </r>
        <r>
          <rPr>
            <sz val="9"/>
            <color rgb="FF000000"/>
            <rFont val="Tahoma"/>
            <family val="2"/>
            <charset val="1"/>
          </rPr>
          <t>, conforme descrito na seção 4.2.</t>
        </r>
      </text>
    </comment>
    <comment ref="A27" authorId="0" shapeId="0" xr:uid="{00000000-0006-0000-0B00-000019000000}">
      <text>
        <r>
          <rPr>
            <b/>
            <sz val="9"/>
            <color rgb="FF000000"/>
            <rFont val="Tahoma"/>
            <family val="2"/>
            <charset val="1"/>
          </rPr>
          <t xml:space="preserve">Apuração Especial – Base de Dados - Sem consulta prévia
</t>
        </r>
        <r>
          <rPr>
            <sz val="9"/>
            <color rgb="FF000000"/>
            <rFont val="Tahoma"/>
            <family val="2"/>
            <charset val="1"/>
          </rPr>
          <t xml:space="preserve"> 
Este tipo de apuração especial é um projeto que inclui a geração de procedimentos para atualização da base de dados. Deve-se destacar que estas funções são executadas apenas uma vez, não fazendo parte da aplicação, visando a correção de dados incorretos na base de dados da aplicação ou atualização em função de modificação da estrutura de dados, por exemplo inclusão de valor “sim” ou “não” no campo “indicador de matriz” referente ao CNPJ. Normalmente, nesse tipo de atualização são afetados múltiplos registros. Nestes casos, considera-se a contagem de pontos de função das
funcionalidades desenvolvidas. Geralmente, estas funcionalidades são classificadas como Entradas Externas. Nesse caso, como artefato de homologação da demanda, deve ser gerado um relatório para validação do usuário. 
É importante ressaltar que as funções de dados associadas aos dados atualizados
não devem ser contadas, considerando que não há mudanças nas estruturas dos
Arquivos Lógicos Internos.
a) Atualização de Dados sem Consulta Prévia
PF_APURAÇÃO_BD = PF_INCLUÍDO</t>
        </r>
      </text>
    </comment>
    <comment ref="A28" authorId="0" shapeId="0" xr:uid="{00000000-0006-0000-0B00-00001A000000}">
      <text>
        <r>
          <rPr>
            <b/>
            <sz val="9"/>
            <color rgb="FF000000"/>
            <rFont val="Tahoma"/>
            <family val="2"/>
            <charset val="1"/>
          </rPr>
          <t xml:space="preserve">Apuração Especial – Base de Dados - Consulta prévia
</t>
        </r>
        <r>
          <rPr>
            <sz val="9"/>
            <color rgb="FF000000"/>
            <rFont val="Tahoma"/>
            <family val="2"/>
            <charset val="1"/>
          </rPr>
          <t xml:space="preserve">
Este tipo de apuração especial é um projeto que inclui a geração de procedimentos para atualização da base de dados. Deve-se destacar que estas funções são executadas apenas uma vez, não fazendo parte da aplicação, visando a correção de dados incorretos na base de dados da aplicação ou atualização em função de modificação da estrutura de dados, por exemplo inclusão de valor “sim” ou “não” no campo “indicador de matriz” referente ao CNPJ. Normalmente, nesse tipo de atualização são afetados múltiplos registros. Nestes casos, considera-se a contagem de pontos de função das
funcionalidades desenvolvidas. Geralmente, estas funcionalidades são classificadas como Entradas Externas. Nesse caso, como artefato de homologação da demanda, deve ser gerado um relatório para validação do usuário. 
É importante ressaltar que as funções de dados associadas aos dados atualizados
não devem ser contadas, considerando que não há mudanças nas estruturas dos
Arquivos Lógicos Internos.
b) Consulta Prévia sem Atualização
Em alguns casos de Apuração Especial – Base de Dados, o usuário solicita uma consulta prévia das informações. Deve-se ressaltar que essa consulta deve ser realizada antes da construção da funcionalidade, não se trata de homologação. A consulta prévia não é definida pela empresa contratada, obrigatoriamente essa deve ser solicitada pelo órgão contratante para a avaliação da viabilidade de implementar a Apuração Especial - Base de Dados. De fato, é uma prática interessante para evitar informações errôneas na base de produção dos sistemas. Esta consulta prévia, classificada como Consulta Externa
ou Saída Externa deve ser dimensionada considerando-se o tamanho da funcionalidade em questão, conforme a fórmula abaixo:
PF _CONSULTA_PRÉVIA = PF_INCLUÍDO</t>
        </r>
      </text>
    </comment>
    <comment ref="A29" authorId="0" shapeId="0" xr:uid="{00000000-0006-0000-0B00-00001B000000}">
      <text>
        <r>
          <rPr>
            <b/>
            <sz val="9"/>
            <color rgb="FF000000"/>
            <rFont val="Tahoma"/>
            <family val="2"/>
            <charset val="1"/>
          </rPr>
          <t xml:space="preserve">Apuração Especial – Base de Dados - Com consulta prévia
</t>
        </r>
        <r>
          <rPr>
            <sz val="9"/>
            <color rgb="FF000000"/>
            <rFont val="Tahoma"/>
            <family val="2"/>
            <charset val="1"/>
          </rPr>
          <t xml:space="preserve">
Este tipo de apuração especial é um projeto que inclui a geração de procedimentos para atualização da base de dados. Deve-se destacar que estas funções são executadas apenas uma vez, não fazendo parte da aplicação, visando a correção de dados incorretos na base de dados da aplicação ou atualização em função de modificação da estrutura de dados, por exemplo inclusão de valor “sim” ou “não” no campo “indicador de matriz” referente ao CNPJ. Normalmente, nesse tipo de atualização são afetados múltiplos registros. Nestes casos, considera-se a contagem de pontos de função das
funcionalidades desenvolvidas. Geralmente, estas funcionalidades são classificadas como Entradas Externas. Nesse caso, como artefato de homologação da demanda, deve ser gerado um relatório para validação do usuário. 
É importante ressaltar que as funções de dados associadas aos dados atualizados
não devem ser contadas, considerando que não há mudanças nas estruturas dos
Arquivos Lógicos Internos.
c) Atualização de Dados com Consulta Prévia
Caso a Apuração Especial - Base de Dados seja solicitada após uma demanda de consulta prévia, deve-se aplicar um fator de 60% na fórmula de contagem da Apuração Especial - Base de Dados, seguindo a fórmula abaixo.
PF_APURAÇÃO_BD_PÓS_CONSULTA_PRÉVIA = PF_INCLUÍDO x 0,60</t>
        </r>
      </text>
    </comment>
    <comment ref="A30" authorId="0" shapeId="0" xr:uid="{00000000-0006-0000-0B00-00001C000000}">
      <text>
        <r>
          <rPr>
            <b/>
            <sz val="9"/>
            <color rgb="FF000000"/>
            <rFont val="Tahoma"/>
            <family val="2"/>
            <charset val="1"/>
          </rPr>
          <t xml:space="preserve">Apuração Especial – Geração de Relatórios
</t>
        </r>
        <r>
          <rPr>
            <sz val="9"/>
            <color rgb="FF000000"/>
            <rFont val="Tahoma"/>
            <family val="2"/>
            <charset val="1"/>
          </rPr>
          <t xml:space="preserve">
Este tipo de apuração especial é um projeto que inclui a geração de relatórios em uma ou mais mídias para o usuário. Em alguns casos, são solicitadas extrações de dados e envio dos dados para outros sistemas. Caso, neste envio de dados, sejam requisitadas atualizações no sistema de origem, então essas funções transacionais são Saídas Externas, devido à atualização do Arquivo Lógico Interno.
Deve-se destacar que essas funções são executadas apenas uma vez, não fazendo parte da aplicação. Nestes casos, considera-se contagem de pontos de função das funcionalidades desenvolvidas. Frequentemente, estas funcionalidades são classificadas como Saídas Externas. Também podem ser classificadas como Consultas
Externas, caso não possuam cálculos ou criação de dados derivados.
É importante ressaltar que as funções de dados associadas aos dados atualizados não devem ser contadas, considerando que não há mudanças nas estruturas dos Arquivos Lógicos.
PF_APURAÇÃO_RELATÓRIOS = PF_INCLUÍDO</t>
        </r>
      </text>
    </comment>
    <comment ref="A31" authorId="0" shapeId="0" xr:uid="{00000000-0006-0000-0B00-00001D000000}">
      <text>
        <r>
          <rPr>
            <b/>
            <sz val="9"/>
            <color rgb="FF000000"/>
            <rFont val="Tahoma"/>
            <family val="2"/>
            <charset val="1"/>
          </rPr>
          <t xml:space="preserve">Apuração Especial – Reexecução
</t>
        </r>
        <r>
          <rPr>
            <sz val="9"/>
            <color rgb="FF000000"/>
            <rFont val="Tahoma"/>
            <family val="2"/>
            <charset val="1"/>
          </rPr>
          <t xml:space="preserve">
Em alguns casos a empresa contratante pode ter interesse em executar uma apuração especial mais de uma vez. Nestes casos, ela deve solicitar formalmente à
contratada o armazenamento do script executado. Desta forma, se for solicitada a reexecução de uma apuração especial, esta deve ser dimensionada com aplicação de um
fator considerando 10% na contagem de Pontos de Função da apuração especial em questão, da seguinte maneira:
PF = PF_NÃO_AJUSTADO x 0,10</t>
        </r>
      </text>
    </comment>
    <comment ref="A32" authorId="0" shapeId="0" xr:uid="{00000000-0006-0000-0B00-00001E000000}">
      <text>
        <r>
          <rPr>
            <b/>
            <sz val="9"/>
            <color rgb="FF000000"/>
            <rFont val="Tahoma"/>
            <family val="2"/>
            <charset val="1"/>
          </rPr>
          <t xml:space="preserve">Atualização de Dados
</t>
        </r>
        <r>
          <rPr>
            <sz val="9"/>
            <color rgb="FF000000"/>
            <rFont val="Tahoma"/>
            <family val="2"/>
            <charset val="1"/>
          </rPr>
          <t xml:space="preserve">
Em alguns casos, as demandas de correção de problemas em base de dados estão associadas a atualizações em um único registro. Por exemplo, atualização do nome de um Fornecedor cadastrado erradamente.
Nestes casos, a aferição do tamanho em Pontos de Função deve considerar 10% do PF_ALTERADO de uma Entrada Externa, os Tipos de Dados da Entrada Externa são os campos atualizados.
PF = PF_NÃO_AJUSTADO x 0,10</t>
        </r>
      </text>
    </comment>
    <comment ref="A33" authorId="0" shapeId="0" xr:uid="{00000000-0006-0000-0B00-00001F000000}">
      <text>
        <r>
          <rPr>
            <b/>
            <sz val="9"/>
            <color rgb="FF000000"/>
            <rFont val="Tahoma"/>
            <family val="2"/>
            <charset val="1"/>
          </rPr>
          <t xml:space="preserve">Desenvolvimento, Manutenção e Publicação de Páginas Estáticas de Intranet, Internet ou Portal
</t>
        </r>
        <r>
          <rPr>
            <sz val="9"/>
            <color rgb="FF000000"/>
            <rFont val="Tahoma"/>
            <family val="2"/>
            <charset val="1"/>
          </rPr>
          <t xml:space="preserve">
Nesta seção são tratados desenvolvimentos e manutenções específicas em páginas estáticas de portais, intranets ou websites. As demandas desta seção abrangem a publicação de páginas Web com conteúdo estático. Por exemplo: criação de página HTML, atualização de menu estático, atualização de texto ou banner estáticos em páginas HTML existentes.
Caso o desenvolvimento de páginas estáticas esteja contido em um projeto de desenvolvimento, então elas serão contabilizadas no projeto de desenvolvimento e não devem ser mensuradas em separado. Ou seja, esta seção 4.11 se aplica quando ocorrer a demanda exclusivamente para o desenvolvimento ou manutenção de páginas estáticas.
Estas demandas são consideradas como desenvolvimento de consultas. Nestes casos, considera-se 20% dos pontos de função das consultas desenvolvidas. Cada página é contada como uma consulta. As consultas são consideradas consultas externas simples (3 PF). Ou seja, 0,6 PF por cada página desenvolvida ou mantida, de acordo com a fórmula abaixo:
PF_PUBLICAÇÃO = 0,6 PF x Quantidade de Páginas Alteradas ou Incluídas
As demandas de criação de logomarcas ou identidade visual, além de outras demandas de criação de arte, associadas à área de Comunicação Social, não são enquadradas nessa categoria. Tais demandas não se referem a contratos de prestação de serviços de desenvolvimento e manutenção de sistemas, portanto não são consideradas neste roteiro.
É recomendada a construção de portais com ferramentas que apoiem a construção de conteúdo pelo usuário, os chamados Gerenciadores de Conteúdo, de modo a minimizar as demandas de criação de páginas estáticas.
O percentual de multiplicação proposto acima é estimado, podendo ser reajustado conforme avaliação da base histórica dos serviços realizados no órgão ou entidade.</t>
        </r>
      </text>
    </comment>
    <comment ref="A34" authorId="0" shapeId="0" xr:uid="{00000000-0006-0000-0B00-000020000000}">
      <text>
        <r>
          <rPr>
            <b/>
            <sz val="9"/>
            <color rgb="FF000000"/>
            <rFont val="Tahoma"/>
            <family val="2"/>
            <charset val="1"/>
          </rPr>
          <t xml:space="preserve">Verificação Erros (documentação de teste inexistente)
</t>
        </r>
        <r>
          <rPr>
            <sz val="9"/>
            <color rgb="FF000000"/>
            <rFont val="Tahoma"/>
            <family val="2"/>
            <charset val="1"/>
          </rPr>
          <t xml:space="preserve">
As verificações de erro ou análise e solução de problemas são as demandas referentes a todo comportamento anormal ou indevido apontado pelo cliente nos sistemas aplicativos. Neste caso, a equipe de desenvolvimento da contratada se mobilizará para encontrar as causas do problema  ocorrido. Se for constatado algum erro de sistema, a demanda será atendida como manutenção corretiva (seção 4.4).
Entretanto, uma vez não constatado o problema apontado pelo cliente ou o mesmo for decorrente de regras de negócio implementadas ou utilização incorreta das funcionalidades, será realizada a aferição do tamanho em pontos de função das funcionalidades verificadas que o cliente reportou erro. Caso não exista documentação de testes disponível dessas funcionalidades verificadas, será considerado 20% do tamanho funcional dessas funcionalidades com solicitação de análise pelo órgão contratante,
segundo a fórmula abaixo:
PF_VERIFICAÇÃO = PF_Funcionalidade_Reportada_Com_Erro x 0,20</t>
        </r>
      </text>
    </comment>
    <comment ref="A35" authorId="0" shapeId="0" xr:uid="{00000000-0006-0000-0B00-000021000000}">
      <text>
        <r>
          <rPr>
            <b/>
            <sz val="9"/>
            <color rgb="FF000000"/>
            <rFont val="Tahoma"/>
            <family val="2"/>
            <charset val="1"/>
          </rPr>
          <t xml:space="preserve">Verificação Erros (documentação de teste existente)
</t>
        </r>
        <r>
          <rPr>
            <sz val="9"/>
            <color rgb="FF000000"/>
            <rFont val="Tahoma"/>
            <family val="2"/>
            <charset val="1"/>
          </rPr>
          <t xml:space="preserve">
As verificações de erro ou análise e solução de problemas são as demandas referentes a todo comportamento anormal ou indevido apontado pelo cliente nos sistemas aplicativos. Neste caso, a equipe de desenvolvimento da contratada se mobilizará para encontrar as causas do problema ocorrido. Se for constatado algum erro de sistema, a demanda será atendida como manutenção corretiva (seção 4.4).
Entretanto, uma vez não constatado o problema apontado pelo cliente ou o mesmo for decorrente de regras de negócio implementadas ou utilização incorreta das funcionalidades, será realizada a aferição do tamanho em pontos de função das funcionalidades verificadas que o cliente reportou erro. 
Caso exista documentação de testes das funcionalidades verificadas, então será considerado 15% (mesmo percentual da fase de Testes, conforme Tabela 7) do tamanho funcional das funcionalidades analisadas, segundo a fórmula abaixo:
PF_VERIFICAÇÃO = PF_Funcionalidade_Reportada_Com_Erro x 0,15
</t>
        </r>
      </text>
    </comment>
    <comment ref="A36" authorId="0" shapeId="0" xr:uid="{00000000-0006-0000-0B00-000022000000}">
      <text>
        <r>
          <rPr>
            <b/>
            <sz val="9"/>
            <color rgb="FF000000"/>
            <rFont val="Tahoma"/>
            <family val="2"/>
            <charset val="1"/>
          </rPr>
          <t xml:space="preserve">Pontos de Função de Teste
</t>
        </r>
        <r>
          <rPr>
            <sz val="9"/>
            <color rgb="FF000000"/>
            <rFont val="Tahoma"/>
            <family val="2"/>
            <charset val="1"/>
          </rPr>
          <t xml:space="preserve">
Muitas vezes, em projetos de manutenção, o conjunto de funções transacionais a serem testadas é maior do que a quantidade de funções a serem implementadas, isto é, além das funcionalidades que são afetadas diretamente pelo projeto de manutenção, outras precisam ser testadas [NESMA, 2009]. O tamanho das funções a serem apenas testadas deve ser aferido em Pontos de Função de Teste (PFT). Não considerar as funcionalidades incluídas, alteradas ou excluídas do projeto de manutenção na contagem de Pontos de Função de Teste.
A contagem de PFT será o somatório dos tamanhos em pontos de função das funções transacionais envolvidas no teste:
PFT = Somatório dos Tamanhos das Funções Transacionais Testadas
A conversão do PFT em ponto de função deve ser feita de acordo com a fórmula abaixo:
PF_TESTES = PFT x 0,15
É importante ressaltar que no caso de uma função ser testada várias vezes, com cenários diferentes, a função só pode ser contada uma vez. Outra observação é que as funções testadas, consideradas no PFT, devem ser documentadas pela contratada considerando-se a documentação de testes definida no processo de desenvolvimento da contratante. Observe que estas funções farão parte do escopo do projeto de manutenção.</t>
        </r>
      </text>
    </comment>
    <comment ref="A37" authorId="0" shapeId="0" xr:uid="{00000000-0006-0000-0B00-000023000000}">
      <text>
        <r>
          <rPr>
            <b/>
            <sz val="9"/>
            <color rgb="FF000000"/>
            <rFont val="Tahoma"/>
            <family val="2"/>
            <charset val="1"/>
          </rPr>
          <t xml:space="preserve">Componente Interno Reusável
</t>
        </r>
        <r>
          <rPr>
            <sz val="9"/>
            <color rgb="FF000000"/>
            <rFont val="Tahoma"/>
            <family val="2"/>
            <charset val="1"/>
          </rPr>
          <t>Em alguns casos são demandadas manutenções em componentes específicos de uma aplicação e estes são reusados por várias funcionalidades da aplicação. Por exemplo, uma mudança em uma rotina de validação de um CPF usada em várias funcionalidades de cadastro. Se considerarmos o método de contagem de projetos de melhoria do CPM, seriam contadas todas as funcionalidades impactadas por essa mudança.
No entanto, este roteiro propõe que o componente, o qual deverá ser testado, seja considerado como um processo elementar independente e contado como uma funcionalidade. Além disso, as funcionalidades da aplicação que necessitem de teste devem ser requisitadas pela contratante e dimensionadas por meio da métrica Pontos de Função de Teste proposta na seção 4.14.
PF_COMPONENTE = PF_NÃO_AJUSTADO
Seguem alguns exemplos de manutenção de componentes:
• Alteração de valores de elementos internos de configuração que afetem o comportamento ou a apresentação do sistema de forma geral, tais como páginas de estilos (arquivos CSS de sistemas Web), arquivos com mensagens de erro, arquivos de configuração de sistema, arquivos de internacionalização;
• Mudança em tópico de um menu de um sistema em PHP que aparece em todas as telas da aplicação. A contagem pode ser realizada considerando o componente “Apresentar Menu”.</t>
        </r>
      </text>
    </comment>
  </commentList>
</comments>
</file>

<file path=xl/sharedStrings.xml><?xml version="1.0" encoding="utf-8"?>
<sst xmlns="http://schemas.openxmlformats.org/spreadsheetml/2006/main" count="557" uniqueCount="271">
  <si>
    <t>Template V.1.6</t>
  </si>
  <si>
    <t>Contagem de Pontos de Função</t>
  </si>
  <si>
    <t>Identificação</t>
  </si>
  <si>
    <t>O.S.:</t>
  </si>
  <si>
    <t>Tipo de Atividade:</t>
  </si>
  <si>
    <t>Desenvolvimento ou Manutenção</t>
  </si>
  <si>
    <t>Tipo de Contagem:</t>
  </si>
  <si>
    <t>Aplicação:</t>
  </si>
  <si>
    <t>Elaborador da contagem:</t>
  </si>
  <si>
    <t>Data da Contagem:</t>
  </si>
  <si>
    <t>Revisor da contagem:</t>
  </si>
  <si>
    <t>Data da Revisão:</t>
  </si>
  <si>
    <t>Propósito da Contagem</t>
  </si>
  <si>
    <t>Escopo da Contagem</t>
  </si>
  <si>
    <t>Quadro Resumo</t>
  </si>
  <si>
    <t>Projeto de Desenvolvimento e Manutenção</t>
  </si>
  <si>
    <t>Arquivo de Interface Externa (AIE)</t>
  </si>
  <si>
    <t>Distribuição de Esforço por Fase do Projeto 
(conforme item 6.1.2.1 do SISP 2.0)</t>
  </si>
  <si>
    <t xml:space="preserve">Arquivo Lógico Interno (ALI) </t>
  </si>
  <si>
    <t>Consulta Externa (CE)</t>
  </si>
  <si>
    <t>Engenharia de Requisitos</t>
  </si>
  <si>
    <t>Entrada Externa (EE)</t>
  </si>
  <si>
    <t>Design e Arquitetura</t>
  </si>
  <si>
    <t>Saída Externa (SE)</t>
  </si>
  <si>
    <t>Implementação</t>
  </si>
  <si>
    <t>INM</t>
  </si>
  <si>
    <t>Testes</t>
  </si>
  <si>
    <t>INM – Serviço</t>
  </si>
  <si>
    <t>Homologação</t>
  </si>
  <si>
    <t>Total (A)</t>
  </si>
  <si>
    <t>Implantação</t>
  </si>
  <si>
    <t>Percentual de Esforço (E)</t>
  </si>
  <si>
    <t xml:space="preserve">Total Scope Creep </t>
  </si>
  <si>
    <t>Fator de criticidade</t>
  </si>
  <si>
    <t>Quantidade Final Ajustada</t>
  </si>
  <si>
    <t>Contagem de Pontos de Função
Contagem Detalhada</t>
  </si>
  <si>
    <t>Quantidade de Pontos de Função:</t>
  </si>
  <si>
    <t>ID</t>
  </si>
  <si>
    <t>Tipo Projeto</t>
  </si>
  <si>
    <t>Fator Ajuste</t>
  </si>
  <si>
    <t>Item PT</t>
  </si>
  <si>
    <t>Release</t>
  </si>
  <si>
    <t>Módulo</t>
  </si>
  <si>
    <t>Requisito</t>
  </si>
  <si>
    <t>Processos elementares</t>
  </si>
  <si>
    <t>Qtd</t>
  </si>
  <si>
    <t>Tipo</t>
  </si>
  <si>
    <t>DER</t>
  </si>
  <si>
    <t>RL/AR</t>
  </si>
  <si>
    <t>Tipo (Q/%)</t>
  </si>
  <si>
    <t>C_T</t>
  </si>
  <si>
    <t>C_D</t>
  </si>
  <si>
    <t>Complexidade</t>
  </si>
  <si>
    <t>PF_T</t>
  </si>
  <si>
    <t>PF_D</t>
  </si>
  <si>
    <t>PF</t>
  </si>
  <si>
    <t>Fund.</t>
  </si>
  <si>
    <t>Só inserir linhas depois desta.</t>
  </si>
  <si>
    <t>Só inserir linhas antes desta.</t>
  </si>
  <si>
    <t>Tamanho Funcional</t>
  </si>
  <si>
    <t xml:space="preserve">
Serviços – Itens Não Mensuráveis – 8.7 TR
Detalhada</t>
  </si>
  <si>
    <t>Estimado</t>
  </si>
  <si>
    <t>Executado</t>
  </si>
  <si>
    <t>Valor Final</t>
  </si>
  <si>
    <t>Tipo Serviço</t>
  </si>
  <si>
    <t>Descrição Serviço</t>
  </si>
  <si>
    <t xml:space="preserve">Tam. Equipe (TEp) </t>
  </si>
  <si>
    <t>Horas/Mês Execut. p/ Recurso (HrM)</t>
  </si>
  <si>
    <t>Produtividade (PHRp)</t>
  </si>
  <si>
    <t xml:space="preserve">PF Previsto (PFp) </t>
  </si>
  <si>
    <t xml:space="preserve">Tam. Equipe (TEe)  </t>
  </si>
  <si>
    <t>Produtividade (PHRe)</t>
  </si>
  <si>
    <t xml:space="preserve">PF Executado (PFe)  </t>
  </si>
  <si>
    <t>Índice (Ia/Id/Ig)</t>
  </si>
  <si>
    <t xml:space="preserve">Índice Prod. (IPr) </t>
  </si>
  <si>
    <t>Valor Final (VF)</t>
  </si>
  <si>
    <t>PF Total</t>
  </si>
  <si>
    <t>Contagem de Pontos de Função
Contagem Estimada</t>
  </si>
  <si>
    <t>Contagem de Unidade de Serviço Técnico - UST</t>
  </si>
  <si>
    <t>Quantidade de UST:</t>
  </si>
  <si>
    <t>Quantidade UST em PF:</t>
  </si>
  <si>
    <t>Item Catálogo</t>
  </si>
  <si>
    <t>Horas</t>
  </si>
  <si>
    <t>Descrição do Serviço Técnico / Atividade</t>
  </si>
  <si>
    <t>Desenvolvimento</t>
  </si>
  <si>
    <t>UST</t>
  </si>
  <si>
    <t xml:space="preserve"> </t>
  </si>
  <si>
    <t>Tamanho Total UST:</t>
  </si>
  <si>
    <t>Tamnho UST em PF:</t>
  </si>
  <si>
    <t xml:space="preserve">
Serviços – Itens Não Mensuráveis – 8.7 TR
Estimada</t>
  </si>
  <si>
    <t>Deflator</t>
  </si>
  <si>
    <t>PF Ajustado</t>
  </si>
  <si>
    <t>Template V.1.1</t>
  </si>
  <si>
    <t>Contagem de Pontos de Função
Contagem Indicativa</t>
  </si>
  <si>
    <t>Arquivos Lógicos</t>
  </si>
  <si>
    <t>Tamanho Funcional Indicativo:</t>
  </si>
  <si>
    <t>Contagem de Pontos de Função
Fundamentação</t>
  </si>
  <si>
    <t>Fundamentação da Contagem</t>
  </si>
  <si>
    <t>Título</t>
  </si>
  <si>
    <t>Imagem Tela / Link documentação / Justificativa</t>
  </si>
  <si>
    <t>Contagem de Pontos de Função - SISP 2.0
Distribuição de Esforço/ Redução de Prazo</t>
  </si>
  <si>
    <t>DISTRIBUIÇÃO DE PRAZO DE PROJETO</t>
  </si>
  <si>
    <t>Prazo até 99 PF</t>
  </si>
  <si>
    <t>REDUÇÃO DE PRAZO</t>
  </si>
  <si>
    <t>P1 - Informe o tipo de Prazo (Úteis/Corridos):</t>
  </si>
  <si>
    <t>Úteis</t>
  </si>
  <si>
    <t>Tamanho do Projeto</t>
  </si>
  <si>
    <t>Dias Úteis</t>
  </si>
  <si>
    <t>DESCRIÇÃO</t>
  </si>
  <si>
    <t>VALORES</t>
  </si>
  <si>
    <t>P3 - Informe Tipo do Sistema:</t>
  </si>
  <si>
    <t>Sistema OO</t>
  </si>
  <si>
    <t>Expoente t para o Tipo:</t>
  </si>
  <si>
    <t>Data limite desejada</t>
  </si>
  <si>
    <t>Complex.
Baixa</t>
  </si>
  <si>
    <t>Prazo desejado p/conclusão (dias)</t>
  </si>
  <si>
    <t>P4 - Informe a complexidade do projeto:</t>
  </si>
  <si>
    <t>Projetos com até 99 PF</t>
  </si>
  <si>
    <t>Até 10 PF</t>
  </si>
  <si>
    <t>Taxa de redução do prazo-projeto</t>
  </si>
  <si>
    <t>P5 - Informe o tamanho do Projeto em PF:</t>
  </si>
  <si>
    <t>De 11 PF a 20 PF</t>
  </si>
  <si>
    <t>SISP</t>
  </si>
  <si>
    <t>LINEAR</t>
  </si>
  <si>
    <t>Fases do Projeto</t>
  </si>
  <si>
    <t>% SISP</t>
  </si>
  <si>
    <t>% OS</t>
  </si>
  <si>
    <t>Dias</t>
  </si>
  <si>
    <t>Cronograma</t>
  </si>
  <si>
    <t>De 21 PF a 30 PF</t>
  </si>
  <si>
    <t>Taxa de aumento de esforço</t>
  </si>
  <si>
    <t>Início</t>
  </si>
  <si>
    <t>Fim</t>
  </si>
  <si>
    <t>De 31 PF a 40 PF</t>
  </si>
  <si>
    <t>Índice multiplicador de esforço</t>
  </si>
  <si>
    <t>De 41 PF a 50 PF</t>
  </si>
  <si>
    <t>Novo Tamanho Funcional (PF)</t>
  </si>
  <si>
    <t>Arquitetura &amp; Design</t>
  </si>
  <si>
    <t>De 51 PF a 60 PF</t>
  </si>
  <si>
    <t>CRONOGRAMA COM REDUÇÃO DE PRAZO</t>
  </si>
  <si>
    <t>De 61 PF a 70 PF</t>
  </si>
  <si>
    <t>Data Início</t>
  </si>
  <si>
    <t>Data Fim</t>
  </si>
  <si>
    <t>De 71 PF a 85 PF</t>
  </si>
  <si>
    <t>De 86 PF a 99 PF</t>
  </si>
  <si>
    <t>+ de 99 PF</t>
  </si>
  <si>
    <r>
      <rPr>
        <sz val="10"/>
        <rFont val="Calibri"/>
        <family val="2"/>
        <charset val="1"/>
      </rPr>
      <t xml:space="preserve">Cálculo pela fórmula de Capers Jones: 
</t>
    </r>
    <r>
      <rPr>
        <b/>
        <sz val="10"/>
        <color rgb="FF000000"/>
        <rFont val="Calibri"/>
        <family val="2"/>
        <charset val="1"/>
      </rPr>
      <t>Td = V^t</t>
    </r>
  </si>
  <si>
    <t>TOTAL</t>
  </si>
  <si>
    <t>Redução 
do prazo</t>
  </si>
  <si>
    <t>Aumento
no esforço</t>
  </si>
  <si>
    <t>Redução do prazo</t>
  </si>
  <si>
    <t>Curva
Linear</t>
  </si>
  <si>
    <t>Contagem de Pontos de Função
Esforço</t>
  </si>
  <si>
    <t>Produtividade (h/PFs) -----------&gt;</t>
  </si>
  <si>
    <t>Quant. PF</t>
  </si>
  <si>
    <t>Total</t>
  </si>
  <si>
    <t>Identificação da Manutenção</t>
  </si>
  <si>
    <t>Serviço e Produto UST</t>
  </si>
  <si>
    <t>INM Tabela 2 TR</t>
  </si>
  <si>
    <t>Fator de Ajuste</t>
  </si>
  <si>
    <t>1 - Registro de Necessidades</t>
  </si>
  <si>
    <t>Básica</t>
  </si>
  <si>
    <t>Intermediária</t>
  </si>
  <si>
    <t>Mediana</t>
  </si>
  <si>
    <t>Alta</t>
  </si>
  <si>
    <t>Item</t>
  </si>
  <si>
    <t xml:space="preserve">PF </t>
  </si>
  <si>
    <t xml:space="preserve">Especificidade </t>
  </si>
  <si>
    <t>Descrição</t>
  </si>
  <si>
    <t>Aplicação</t>
  </si>
  <si>
    <t>2 - Atualização dos dados de necessidade ou demandas</t>
  </si>
  <si>
    <t>Novo sistema</t>
  </si>
  <si>
    <t>3 - Geração de relatórios</t>
  </si>
  <si>
    <t>Melhoria – Nova</t>
  </si>
  <si>
    <t>4 - Atualização de relatórios</t>
  </si>
  <si>
    <t>Melhoria – Alterada - Basis</t>
  </si>
  <si>
    <t>5 - Levantamento de Necessidades de Informação</t>
  </si>
  <si>
    <t>Melhoria – Alterada - não Basis (sem redocumentação)</t>
  </si>
  <si>
    <t>6 - Parecer sobre necessidade</t>
  </si>
  <si>
    <t>Melhoria – Alterada - não Basis (com redocumentação)</t>
  </si>
  <si>
    <t>7 - Estimativa de esforço
HST</t>
  </si>
  <si>
    <t>Melhoria – Excluída</t>
  </si>
  <si>
    <t>8 - Necessidade de
usuário</t>
  </si>
  <si>
    <t>Migração de Dados</t>
  </si>
  <si>
    <t>9 - Caso de uso</t>
  </si>
  <si>
    <t>Corretiva – Basis (na garantia)</t>
  </si>
  <si>
    <t>10 - Protótipo de solução</t>
  </si>
  <si>
    <t>Corretiva – Basis (fora da garantia)</t>
  </si>
  <si>
    <t>11 - Regras de negócio</t>
  </si>
  <si>
    <t>Corretiva – Basis (fora da garantia com redocumentação)</t>
  </si>
  <si>
    <t>12 - Documento de Visão</t>
  </si>
  <si>
    <t>Corretiva – Não Basis</t>
  </si>
  <si>
    <t>13 - Modelo de arquitetura de Desenvolvimento</t>
  </si>
  <si>
    <t>Corretiva – Não Basis com redocumentação</t>
  </si>
  <si>
    <t>14 - Desenho de Solução
(UML)</t>
  </si>
  <si>
    <t>Mudança de Plataforma - Linguagem de Programação</t>
  </si>
  <si>
    <t>15 - Dicionário de dados</t>
  </si>
  <si>
    <t>Mudança de Plataforma - Banco de Dados Hierárquico</t>
  </si>
  <si>
    <t>16 - Estimativas</t>
  </si>
  <si>
    <t>Mudança de Plataforma - Banco de Dados Relacional</t>
  </si>
  <si>
    <t>17 - Análise de viabilidade de soluções</t>
  </si>
  <si>
    <t>Atualização de Versão – Linguagem de Programação</t>
  </si>
  <si>
    <t>18 - Definição de arquitetura de referência</t>
  </si>
  <si>
    <t>Atualização de Versão – Browser</t>
  </si>
  <si>
    <t>19 - Documentação da arquitetura existente</t>
  </si>
  <si>
    <t>Atualização de Versão – Banco de Dados</t>
  </si>
  <si>
    <t>20 - Planejamento de projeto</t>
  </si>
  <si>
    <t>Manutenção em interface</t>
  </si>
  <si>
    <t>21 - Relatório de Situação de Projeto</t>
  </si>
  <si>
    <t>Adaptação em Funcionalidades - Basis</t>
  </si>
  <si>
    <t>22 - Suporte a Projetos</t>
  </si>
  <si>
    <t>Adaptação em Funcionalidades - Basis com redoc.</t>
  </si>
  <si>
    <t>23 - Apoio ao Controle de Projetos</t>
  </si>
  <si>
    <t>Adaptação em Funcionalidades - Não Basis</t>
  </si>
  <si>
    <t>24 - Apoio ao Gerenciamento de Projetos</t>
  </si>
  <si>
    <t>Adaptação em Funcionalidades - Não Basis com redoc.</t>
  </si>
  <si>
    <t>25 - Controle de Portfolio de Projetos</t>
  </si>
  <si>
    <t>Apuração Especial – Base Dados - sem Consulta Prévia</t>
  </si>
  <si>
    <t>26 - Controle de Portfolio de Serviços</t>
  </si>
  <si>
    <t>Apuração Especial – Base Dados – Consulta Prévia</t>
  </si>
  <si>
    <t>27 - Indicadores de desempenho</t>
  </si>
  <si>
    <t>Apuração Especial – Base Dados – com Consulta Prévia</t>
  </si>
  <si>
    <t>28 - Níveis de serviço</t>
  </si>
  <si>
    <t>Apuração Especial – Geração de Relatórios</t>
  </si>
  <si>
    <t>29 - Validação de qualidade</t>
  </si>
  <si>
    <t>Apuração Especial – Reexecução</t>
  </si>
  <si>
    <t>30 - Riscos</t>
  </si>
  <si>
    <t>Atualização Dados</t>
  </si>
  <si>
    <t>31 - Planejamento de Metodologia</t>
  </si>
  <si>
    <t>Desenv., Manutenção e Publicação de Páginas Estáticas</t>
  </si>
  <si>
    <t>32 - Adequação metodológica</t>
  </si>
  <si>
    <t>Verificação Erros (documentação de teste inexistente)</t>
  </si>
  <si>
    <t>33 - Validação de aplicação de metodologia</t>
  </si>
  <si>
    <t>Verificação Erros (documentação de teste existente)</t>
  </si>
  <si>
    <t>34 - Apostila</t>
  </si>
  <si>
    <t>Pontos Função Teste</t>
  </si>
  <si>
    <t>35 - Manual</t>
  </si>
  <si>
    <t>Manutenção de Componente Interno Reusável</t>
  </si>
  <si>
    <t>36 - Documentação do Sistema</t>
  </si>
  <si>
    <t>37 - Curso presencial</t>
  </si>
  <si>
    <t>38 - Workshop</t>
  </si>
  <si>
    <t>39 - Treinamento automatizado</t>
  </si>
  <si>
    <t>40 - Treinamento áudio visual</t>
  </si>
  <si>
    <t>41 - Apoio para atendimento de usuários '</t>
  </si>
  <si>
    <t>42 - Resultado de pesquisa</t>
  </si>
  <si>
    <t>43 - Levantamento de processos</t>
  </si>
  <si>
    <t>44 - Documentação de Processos</t>
  </si>
  <si>
    <t>45 - Melhoria de Processos</t>
  </si>
  <si>
    <t>46 - Análise e Controle de Processos</t>
  </si>
  <si>
    <t>47 - Automação de processos</t>
  </si>
  <si>
    <t>48 - Elaboração de artefatos ou instrumentos de suporte para processo por campo</t>
  </si>
  <si>
    <t>49 - Teste de processo automatizado</t>
  </si>
  <si>
    <t>50 - Triagem de Demandas</t>
  </si>
  <si>
    <t>51 - Painel de demandas</t>
  </si>
  <si>
    <t>52 - Priorização de Demandas</t>
  </si>
  <si>
    <t>Tipo de Sistema</t>
  </si>
  <si>
    <t>Observação</t>
  </si>
  <si>
    <t>Expoente</t>
  </si>
  <si>
    <t>Sistema Comum – Mainframe</t>
  </si>
  <si>
    <t>Desenvolvimento de sistema com alto grau de reuso ou manutenção evolutiva</t>
  </si>
  <si>
    <t>Sistema Comum – WEB ou Cliente Servidor</t>
  </si>
  <si>
    <t>Se o projeto OO não for novidade para equipe, não tiver o desenvolvimento de componentes reusáveis, considerar sistema comum</t>
  </si>
  <si>
    <t>Sistema Cliente/Servidor</t>
  </si>
  <si>
    <t>Com alta complexidade arquitetural e integração com outros sistemas</t>
  </si>
  <si>
    <t>Sistemas Gerenciais complexos</t>
  </si>
  <si>
    <t>Com muitas integrações, Datawarehousing, Geoprocessamento, Workflow</t>
  </si>
  <si>
    <t>Software Básico, Frameworks, Sistemas Comerciais</t>
  </si>
  <si>
    <t>Software Militar</t>
  </si>
  <si>
    <t>Nº</t>
  </si>
  <si>
    <t>Funcionalidade</t>
  </si>
  <si>
    <t>PF Ajust.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</si>
</sst>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yyyy"/>
    <numFmt numFmtId="165" formatCode="&quot; R$ &quot;* #,##0.00\ ;&quot;-R$ &quot;* #,##0.00\ ;&quot; R$ &quot;* \-#\ ;@\ "/>
    <numFmt numFmtId="166" formatCode="#,##0.000"/>
    <numFmt numFmtId="167" formatCode="0.000"/>
    <numFmt numFmtId="168" formatCode="* #,##0\ ;\-* #,##0\ ;* \-#\ ;@\ "/>
    <numFmt numFmtId="169" formatCode="* #,##0.00\ ;\-* #,##0.00\ ;* \-#\ ;@\ "/>
    <numFmt numFmtId="170" formatCode="0.0"/>
  </numFmts>
  <fonts count="30">
    <font>
      <sz val="10"/>
      <name val="Arial"/>
      <charset val="1"/>
    </font>
    <font>
      <sz val="11"/>
      <name val="Calibri"/>
      <family val="2"/>
      <charset val="1"/>
    </font>
    <font>
      <i/>
      <sz val="10"/>
      <name val="Verdana"/>
      <family val="2"/>
      <charset val="1"/>
    </font>
    <font>
      <b/>
      <sz val="18"/>
      <name val="Verdana"/>
      <family val="2"/>
      <charset val="1"/>
    </font>
    <font>
      <sz val="10"/>
      <name val="Verdana"/>
      <family val="2"/>
      <charset val="1"/>
    </font>
    <font>
      <b/>
      <sz val="12"/>
      <name val="Calibri"/>
      <family val="2"/>
      <charset val="1"/>
    </font>
    <font>
      <b/>
      <sz val="11"/>
      <name val="Calibri"/>
      <family val="2"/>
      <charset val="1"/>
    </font>
    <font>
      <b/>
      <sz val="9"/>
      <color rgb="FF000000"/>
      <name val="Tahoma"/>
      <family val="2"/>
      <charset val="1"/>
    </font>
    <font>
      <sz val="9"/>
      <color rgb="FF000000"/>
      <name val="Tahoma"/>
      <family val="2"/>
      <charset val="1"/>
    </font>
    <font>
      <sz val="10"/>
      <name val="Arial"/>
      <family val="2"/>
      <charset val="1"/>
    </font>
    <font>
      <b/>
      <sz val="10"/>
      <name val="Verdana"/>
      <family val="2"/>
      <charset val="1"/>
    </font>
    <font>
      <b/>
      <sz val="16"/>
      <name val="Verdana"/>
      <family val="2"/>
      <charset val="1"/>
    </font>
    <font>
      <b/>
      <sz val="11"/>
      <name val="Verdana"/>
      <family val="2"/>
      <charset val="1"/>
    </font>
    <font>
      <b/>
      <sz val="10"/>
      <name val="Arial"/>
      <family val="2"/>
      <charset val="1"/>
    </font>
    <font>
      <b/>
      <sz val="12"/>
      <name val="Arial"/>
      <family val="2"/>
      <charset val="1"/>
    </font>
    <font>
      <sz val="11"/>
      <name val="Arial"/>
      <family val="2"/>
      <charset val="1"/>
    </font>
    <font>
      <b/>
      <sz val="11"/>
      <color rgb="FF000000"/>
      <name val="Calibri"/>
      <family val="2"/>
      <charset val="1"/>
    </font>
    <font>
      <b/>
      <sz val="10"/>
      <color rgb="FF000000"/>
      <name val="Calibri"/>
      <family val="2"/>
      <charset val="1"/>
    </font>
    <font>
      <b/>
      <sz val="10"/>
      <name val="Calibri"/>
      <family val="2"/>
      <charset val="1"/>
    </font>
    <font>
      <sz val="11"/>
      <color rgb="FF000000"/>
      <name val="Calibri"/>
      <family val="2"/>
      <charset val="1"/>
    </font>
    <font>
      <b/>
      <sz val="14"/>
      <color rgb="FF000000"/>
      <name val="Calibri"/>
      <family val="2"/>
      <charset val="1"/>
    </font>
    <font>
      <sz val="12"/>
      <name val="Calibri"/>
      <family val="2"/>
      <charset val="1"/>
    </font>
    <font>
      <sz val="10"/>
      <name val="Calibri"/>
      <family val="2"/>
      <charset val="1"/>
    </font>
    <font>
      <b/>
      <sz val="11"/>
      <color rgb="FFBFBFBF"/>
      <name val="Calibri"/>
      <family val="2"/>
      <charset val="1"/>
    </font>
    <font>
      <b/>
      <sz val="7"/>
      <color rgb="FF231F20"/>
      <name val="TimesNewRomanPS-BoldMT"/>
      <charset val="1"/>
    </font>
    <font>
      <sz val="7"/>
      <color rgb="FF231F20"/>
      <name val="Times New Roman"/>
      <family val="1"/>
      <charset val="1"/>
    </font>
    <font>
      <sz val="18"/>
      <name val="Arial"/>
      <charset val="1"/>
    </font>
    <font>
      <sz val="10"/>
      <name val="Arial"/>
      <charset val="1"/>
    </font>
    <font>
      <u/>
      <sz val="10"/>
      <name val="Arial"/>
      <family val="2"/>
    </font>
    <font>
      <u/>
      <sz val="11"/>
      <name val="Calibri"/>
      <family val="2"/>
      <charset val="1"/>
    </font>
  </fonts>
  <fills count="13">
    <fill>
      <patternFill patternType="none"/>
    </fill>
    <fill>
      <patternFill patternType="gray125"/>
    </fill>
    <fill>
      <patternFill patternType="solid">
        <fgColor rgb="FFD9D9D9"/>
        <bgColor rgb="FFDDDDDD"/>
      </patternFill>
    </fill>
    <fill>
      <patternFill patternType="solid">
        <fgColor rgb="FFF2F2F2"/>
        <bgColor rgb="FFEEEEEE"/>
      </patternFill>
    </fill>
    <fill>
      <patternFill patternType="solid">
        <fgColor rgb="FFCCCCCC"/>
        <bgColor rgb="FFBFBFBF"/>
      </patternFill>
    </fill>
    <fill>
      <patternFill patternType="solid">
        <fgColor rgb="FFFFFF00"/>
        <bgColor rgb="FFFFFF00"/>
      </patternFill>
    </fill>
    <fill>
      <patternFill patternType="solid">
        <fgColor rgb="FFFFFFFF"/>
        <bgColor rgb="FFF2F2F2"/>
      </patternFill>
    </fill>
    <fill>
      <patternFill patternType="solid">
        <fgColor rgb="FFDDDDDD"/>
        <bgColor rgb="FFD9D9D9"/>
      </patternFill>
    </fill>
    <fill>
      <patternFill patternType="solid">
        <fgColor rgb="FFB2B2B2"/>
        <bgColor rgb="FFA6A6A6"/>
      </patternFill>
    </fill>
    <fill>
      <patternFill patternType="solid">
        <fgColor rgb="FFEEEEEE"/>
        <bgColor rgb="FFF2F2F2"/>
      </patternFill>
    </fill>
    <fill>
      <patternFill patternType="solid">
        <fgColor rgb="FFBFBFBF"/>
        <bgColor rgb="FFCCCCCC"/>
      </patternFill>
    </fill>
    <fill>
      <patternFill patternType="solid">
        <fgColor rgb="FFC4BD97"/>
        <bgColor rgb="FFBFBFBF"/>
      </patternFill>
    </fill>
    <fill>
      <patternFill patternType="solid">
        <fgColor rgb="FFA6A6A6"/>
        <bgColor rgb="FFB2B2B2"/>
      </patternFill>
    </fill>
  </fills>
  <borders count="45">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hair">
        <color auto="1"/>
      </left>
      <right style="hair">
        <color auto="1"/>
      </right>
      <top style="hair">
        <color auto="1"/>
      </top>
      <bottom style="hair">
        <color auto="1"/>
      </bottom>
      <diagonal/>
    </border>
    <border>
      <left style="thin">
        <color auto="1"/>
      </left>
      <right/>
      <top/>
      <bottom/>
      <diagonal/>
    </border>
    <border>
      <left/>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bottom style="medium">
        <color auto="1"/>
      </bottom>
      <diagonal/>
    </border>
  </borders>
  <cellStyleXfs count="4">
    <xf numFmtId="0" fontId="0" fillId="0" borderId="0"/>
    <xf numFmtId="169" fontId="27" fillId="0" borderId="0" applyBorder="0" applyProtection="0"/>
    <xf numFmtId="165" fontId="27" fillId="0" borderId="0" applyBorder="0" applyProtection="0"/>
    <xf numFmtId="9" fontId="27" fillId="0" borderId="0" applyBorder="0" applyProtection="0"/>
  </cellStyleXfs>
  <cellXfs count="270">
    <xf numFmtId="0" fontId="0" fillId="0" borderId="0" xfId="0"/>
    <xf numFmtId="0" fontId="1" fillId="0" borderId="0" xfId="0" applyFont="1" applyAlignment="1" applyProtection="1">
      <alignment vertical="center"/>
      <protection locked="0"/>
    </xf>
    <xf numFmtId="0" fontId="2" fillId="0" borderId="1" xfId="0" applyFont="1" applyBorder="1" applyAlignment="1" applyProtection="1">
      <alignment horizontal="left" indent="1"/>
      <protection hidden="1"/>
    </xf>
    <xf numFmtId="0" fontId="4" fillId="0" borderId="0" xfId="0" applyFont="1" applyAlignment="1" applyProtection="1">
      <protection locked="0"/>
    </xf>
    <xf numFmtId="0" fontId="4" fillId="0" borderId="0" xfId="0" applyFont="1" applyProtection="1">
      <protection locked="0" hidden="1"/>
    </xf>
    <xf numFmtId="0" fontId="6" fillId="0" borderId="2" xfId="0" applyFont="1" applyBorder="1" applyAlignment="1" applyProtection="1">
      <alignment horizontal="left" vertical="center"/>
      <protection locked="0"/>
    </xf>
    <xf numFmtId="0" fontId="6" fillId="0" borderId="0" xfId="0" applyFont="1" applyAlignment="1" applyProtection="1">
      <alignment vertical="center"/>
      <protection locked="0"/>
    </xf>
    <xf numFmtId="0" fontId="1" fillId="3" borderId="2" xfId="0" applyFont="1" applyFill="1" applyBorder="1" applyAlignment="1" applyProtection="1">
      <alignment horizontal="center" vertical="center"/>
    </xf>
    <xf numFmtId="9" fontId="1" fillId="0" borderId="3" xfId="3" applyFont="1" applyBorder="1" applyAlignment="1" applyProtection="1">
      <alignment horizontal="center" vertical="center"/>
      <protection locked="0"/>
    </xf>
    <xf numFmtId="9" fontId="1" fillId="0" borderId="2" xfId="3" applyFont="1" applyBorder="1" applyAlignment="1" applyProtection="1">
      <alignment horizontal="center" vertical="center"/>
      <protection locked="0"/>
    </xf>
    <xf numFmtId="2" fontId="1" fillId="3" borderId="2" xfId="0" applyNumberFormat="1" applyFont="1" applyFill="1" applyBorder="1" applyAlignment="1" applyProtection="1">
      <alignment horizontal="center" vertical="center"/>
    </xf>
    <xf numFmtId="2" fontId="1" fillId="0" borderId="2" xfId="0" applyNumberFormat="1" applyFont="1" applyBorder="1" applyAlignment="1" applyProtection="1">
      <alignment horizontal="center" vertical="center"/>
    </xf>
    <xf numFmtId="2" fontId="5" fillId="3" borderId="2" xfId="0" applyNumberFormat="1" applyFont="1" applyFill="1" applyBorder="1" applyAlignment="1" applyProtection="1">
      <alignment horizontal="center" vertical="center"/>
    </xf>
    <xf numFmtId="9" fontId="5" fillId="3" borderId="2" xfId="3" applyFont="1" applyFill="1" applyBorder="1" applyAlignment="1" applyProtection="1">
      <alignment horizontal="center" vertical="center"/>
    </xf>
    <xf numFmtId="0" fontId="5" fillId="0" borderId="0" xfId="0" applyFont="1" applyBorder="1" applyAlignment="1" applyProtection="1">
      <alignment horizontal="right" vertical="center"/>
      <protection locked="0"/>
    </xf>
    <xf numFmtId="9" fontId="5" fillId="0" borderId="0" xfId="3" applyFont="1" applyBorder="1" applyAlignment="1" applyProtection="1">
      <alignment horizontal="center" vertical="center"/>
      <protection locked="0"/>
    </xf>
    <xf numFmtId="2" fontId="5" fillId="4" borderId="2" xfId="0" applyNumberFormat="1" applyFont="1" applyFill="1" applyBorder="1" applyAlignment="1" applyProtection="1">
      <alignment horizontal="center" vertical="center"/>
    </xf>
    <xf numFmtId="2" fontId="5" fillId="0" borderId="2" xfId="0" applyNumberFormat="1" applyFont="1"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0" fillId="0" borderId="0" xfId="0" applyAlignment="1" applyProtection="1">
      <alignment horizontal="center" vertical="center" wrapText="1"/>
      <protection locked="0"/>
    </xf>
    <xf numFmtId="0" fontId="9" fillId="0" borderId="0" xfId="0" applyFont="1" applyAlignment="1" applyProtection="1">
      <alignment vertical="center" wrapText="1"/>
      <protection locked="0"/>
    </xf>
    <xf numFmtId="0" fontId="2" fillId="0" borderId="1" xfId="0" applyFont="1" applyBorder="1" applyAlignment="1" applyProtection="1">
      <alignment horizontal="left" indent="1"/>
      <protection locked="0" hidden="1"/>
    </xf>
    <xf numFmtId="0" fontId="3" fillId="0" borderId="1" xfId="0" applyFont="1" applyBorder="1" applyAlignment="1" applyProtection="1">
      <alignment horizontal="right" vertical="center" wrapText="1"/>
      <protection locked="0"/>
    </xf>
    <xf numFmtId="0" fontId="2" fillId="0" borderId="0" xfId="0" applyFont="1" applyBorder="1" applyAlignment="1" applyProtection="1">
      <alignment horizontal="left" vertical="center" indent="15"/>
      <protection locked="0"/>
    </xf>
    <xf numFmtId="0" fontId="3" fillId="0" borderId="0" xfId="0" applyFont="1" applyBorder="1" applyAlignment="1" applyProtection="1">
      <alignment horizontal="center" vertical="center"/>
      <protection locked="0"/>
    </xf>
    <xf numFmtId="49" fontId="3" fillId="0" borderId="0" xfId="0" applyNumberFormat="1" applyFont="1" applyBorder="1" applyAlignment="1" applyProtection="1">
      <alignment horizontal="center" vertical="center"/>
      <protection locked="0"/>
    </xf>
    <xf numFmtId="0" fontId="3" fillId="5" borderId="2" xfId="0" applyFont="1" applyFill="1" applyBorder="1" applyAlignment="1" applyProtection="1">
      <alignment horizontal="center" vertical="center"/>
      <protection locked="0"/>
    </xf>
    <xf numFmtId="0" fontId="12" fillId="0" borderId="4"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3" fillId="2" borderId="3" xfId="0" applyFont="1" applyFill="1" applyBorder="1" applyAlignment="1" applyProtection="1">
      <alignment horizontal="center" vertical="center"/>
      <protection locked="0"/>
    </xf>
    <xf numFmtId="0" fontId="13" fillId="2" borderId="3" xfId="0" applyFont="1" applyFill="1" applyBorder="1" applyAlignment="1" applyProtection="1">
      <alignment horizontal="center" vertical="center" wrapText="1"/>
      <protection locked="0"/>
    </xf>
    <xf numFmtId="0" fontId="13" fillId="2" borderId="5" xfId="0" applyFont="1" applyFill="1" applyBorder="1" applyAlignment="1" applyProtection="1">
      <alignment horizontal="center" vertical="center" wrapText="1"/>
      <protection locked="0"/>
    </xf>
    <xf numFmtId="0" fontId="13" fillId="2" borderId="2" xfId="0" applyFont="1" applyFill="1" applyBorder="1" applyAlignment="1" applyProtection="1">
      <alignment horizontal="center" vertical="center" wrapText="1"/>
      <protection locked="0"/>
    </xf>
    <xf numFmtId="0" fontId="13" fillId="2" borderId="2" xfId="0" applyFont="1" applyFill="1" applyBorder="1" applyAlignment="1" applyProtection="1">
      <alignment horizontal="center" vertical="center"/>
      <protection locked="0"/>
    </xf>
    <xf numFmtId="0" fontId="14" fillId="0" borderId="0" xfId="0" applyFont="1" applyAlignment="1" applyProtection="1">
      <alignment horizontal="center" vertical="center"/>
      <protection locked="0"/>
    </xf>
    <xf numFmtId="0" fontId="15" fillId="0" borderId="0" xfId="0" applyFont="1" applyAlignment="1" applyProtection="1">
      <alignment vertical="center"/>
      <protection locked="0"/>
    </xf>
    <xf numFmtId="0" fontId="9" fillId="0" borderId="2" xfId="0" applyFont="1" applyBorder="1" applyAlignment="1" applyProtection="1">
      <alignment horizontal="center" vertical="center"/>
      <protection locked="0"/>
    </xf>
    <xf numFmtId="0" fontId="9" fillId="0" borderId="2" xfId="0" applyFont="1" applyBorder="1" applyAlignment="1" applyProtection="1">
      <alignment horizontal="left" vertical="center"/>
      <protection locked="0"/>
    </xf>
    <xf numFmtId="0" fontId="9" fillId="3" borderId="2" xfId="0" applyFont="1" applyFill="1" applyBorder="1" applyAlignment="1" applyProtection="1">
      <alignment horizontal="center" vertical="center"/>
    </xf>
    <xf numFmtId="0" fontId="9" fillId="6" borderId="2" xfId="0" applyFont="1" applyFill="1" applyBorder="1" applyAlignment="1" applyProtection="1">
      <alignment horizontal="center" vertical="center" wrapText="1"/>
      <protection locked="0"/>
    </xf>
    <xf numFmtId="0" fontId="9" fillId="6" borderId="2" xfId="0" applyFont="1" applyFill="1" applyBorder="1" applyAlignment="1" applyProtection="1">
      <alignment vertical="center" wrapText="1"/>
      <protection locked="0"/>
    </xf>
    <xf numFmtId="0" fontId="9" fillId="6" borderId="2" xfId="0" applyFont="1" applyFill="1" applyBorder="1" applyAlignment="1" applyProtection="1">
      <alignment horizontal="center" vertical="center"/>
      <protection locked="0"/>
    </xf>
    <xf numFmtId="0" fontId="9" fillId="6" borderId="2" xfId="0" applyFont="1" applyFill="1" applyBorder="1" applyAlignment="1" applyProtection="1">
      <alignment horizontal="center" vertical="center"/>
    </xf>
    <xf numFmtId="0" fontId="9" fillId="3" borderId="2" xfId="0" applyFont="1" applyFill="1" applyBorder="1" applyAlignment="1" applyProtection="1">
      <alignment horizontal="center" vertical="center" wrapText="1"/>
    </xf>
    <xf numFmtId="0" fontId="9" fillId="6" borderId="2" xfId="0" applyFont="1" applyFill="1" applyBorder="1" applyAlignment="1" applyProtection="1">
      <alignment vertical="center" wrapText="1"/>
    </xf>
    <xf numFmtId="0" fontId="13" fillId="6" borderId="2" xfId="0" applyFont="1" applyFill="1" applyBorder="1" applyAlignment="1" applyProtection="1">
      <alignment horizontal="center" vertical="center" wrapText="1"/>
      <protection locked="0"/>
    </xf>
    <xf numFmtId="165" fontId="15" fillId="0" borderId="0" xfId="2" applyFont="1" applyBorder="1" applyAlignment="1" applyProtection="1">
      <alignmen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0" fontId="9" fillId="0" borderId="0" xfId="0" applyFont="1" applyAlignment="1" applyProtection="1">
      <alignment horizontal="center" vertical="center" wrapText="1"/>
      <protection locked="0"/>
    </xf>
    <xf numFmtId="0" fontId="13" fillId="3" borderId="3" xfId="0" applyFont="1" applyFill="1" applyBorder="1" applyAlignment="1" applyProtection="1">
      <alignment horizontal="center" vertical="center" wrapText="1"/>
      <protection locked="0"/>
    </xf>
    <xf numFmtId="0" fontId="13" fillId="3" borderId="3" xfId="0" applyFont="1" applyFill="1" applyBorder="1" applyAlignment="1" applyProtection="1">
      <alignment horizontal="center" vertical="center"/>
    </xf>
    <xf numFmtId="0" fontId="13" fillId="0" borderId="3" xfId="0" applyFont="1" applyBorder="1" applyAlignment="1" applyProtection="1">
      <alignment horizontal="center" vertical="center"/>
      <protection locked="0"/>
    </xf>
    <xf numFmtId="0" fontId="0" fillId="0" borderId="0" xfId="0" applyAlignment="1" applyProtection="1">
      <alignment horizontal="center"/>
      <protection locked="0"/>
    </xf>
    <xf numFmtId="0" fontId="0" fillId="0" borderId="0" xfId="0" applyAlignment="1" applyProtection="1">
      <protection locked="0"/>
    </xf>
    <xf numFmtId="0" fontId="0" fillId="0" borderId="0" xfId="0" applyAlignment="1" applyProtection="1">
      <alignment horizontal="center" wrapText="1"/>
      <protection locked="0"/>
    </xf>
    <xf numFmtId="0" fontId="0" fillId="0" borderId="0" xfId="0" applyFont="1" applyAlignment="1" applyProtection="1">
      <alignment wrapText="1"/>
      <protection locked="0"/>
    </xf>
    <xf numFmtId="0" fontId="12" fillId="0" borderId="1" xfId="0" applyFont="1" applyBorder="1" applyAlignment="1" applyProtection="1">
      <alignment horizontal="center" vertical="center"/>
      <protection locked="0"/>
    </xf>
    <xf numFmtId="0" fontId="13" fillId="2" borderId="6" xfId="0" applyFont="1" applyFill="1" applyBorder="1" applyAlignment="1" applyProtection="1">
      <alignment horizontal="center" vertical="center"/>
      <protection locked="0"/>
    </xf>
    <xf numFmtId="0" fontId="13" fillId="2" borderId="6" xfId="0" applyFont="1" applyFill="1" applyBorder="1" applyAlignment="1" applyProtection="1">
      <alignment horizontal="center" vertical="center" wrapText="1"/>
      <protection locked="0"/>
    </xf>
    <xf numFmtId="0" fontId="14" fillId="0" borderId="0" xfId="0" applyFont="1" applyAlignment="1" applyProtection="1">
      <alignment vertical="center"/>
      <protection locked="0"/>
    </xf>
    <xf numFmtId="4" fontId="9" fillId="6" borderId="2" xfId="0" applyNumberFormat="1" applyFont="1" applyFill="1" applyBorder="1" applyAlignment="1" applyProtection="1">
      <alignment horizontal="center" vertical="center" wrapText="1"/>
      <protection locked="0"/>
    </xf>
    <xf numFmtId="4" fontId="9" fillId="7" borderId="2" xfId="0" applyNumberFormat="1" applyFont="1" applyFill="1" applyBorder="1" applyAlignment="1" applyProtection="1">
      <alignment horizontal="center" vertical="center"/>
      <protection locked="0"/>
    </xf>
    <xf numFmtId="4" fontId="9" fillId="7" borderId="2" xfId="0" applyNumberFormat="1" applyFont="1" applyFill="1" applyBorder="1" applyAlignment="1" applyProtection="1">
      <alignment horizontal="center" vertical="center" wrapText="1"/>
      <protection locked="0"/>
    </xf>
    <xf numFmtId="166" fontId="13" fillId="7" borderId="2" xfId="0" applyNumberFormat="1" applyFont="1" applyFill="1" applyBorder="1" applyAlignment="1" applyProtection="1">
      <alignment horizontal="center" vertical="center" wrapText="1"/>
      <protection locked="0"/>
    </xf>
    <xf numFmtId="0" fontId="14" fillId="0" borderId="0" xfId="0" applyFont="1" applyAlignment="1" applyProtection="1">
      <alignment horizontal="right" vertical="center"/>
      <protection locked="0"/>
    </xf>
    <xf numFmtId="167" fontId="14" fillId="7" borderId="2" xfId="0" applyNumberFormat="1" applyFont="1" applyFill="1" applyBorder="1" applyAlignment="1" applyProtection="1">
      <alignment horizontal="center" vertical="center"/>
      <protection locked="0"/>
    </xf>
    <xf numFmtId="0" fontId="3" fillId="0" borderId="0" xfId="0" applyFont="1" applyBorder="1" applyAlignment="1" applyProtection="1">
      <alignment horizontal="right" vertical="center" wrapText="1"/>
      <protection locked="0"/>
    </xf>
    <xf numFmtId="0" fontId="9" fillId="5" borderId="0" xfId="0" applyFont="1" applyFill="1" applyBorder="1" applyAlignment="1" applyProtection="1">
      <alignment horizontal="center" vertical="center"/>
      <protection locked="0"/>
    </xf>
    <xf numFmtId="0" fontId="0" fillId="0" borderId="1" xfId="0" applyBorder="1" applyAlignment="1" applyProtection="1">
      <alignment vertical="center"/>
      <protection locked="0"/>
    </xf>
    <xf numFmtId="0" fontId="3" fillId="0" borderId="0" xfId="0" applyFont="1" applyBorder="1" applyAlignment="1" applyProtection="1">
      <alignment vertical="center" wrapText="1"/>
      <protection locked="0"/>
    </xf>
    <xf numFmtId="0" fontId="3" fillId="0" borderId="0" xfId="0" applyFont="1" applyBorder="1" applyAlignment="1" applyProtection="1">
      <alignment vertical="center"/>
      <protection locked="0"/>
    </xf>
    <xf numFmtId="0" fontId="0" fillId="0" borderId="0" xfId="0" applyBorder="1" applyAlignment="1" applyProtection="1">
      <alignment vertical="center"/>
      <protection locked="0"/>
    </xf>
    <xf numFmtId="0" fontId="2" fillId="0" borderId="7" xfId="0" applyFont="1" applyBorder="1" applyAlignment="1" applyProtection="1">
      <alignment horizontal="left" vertical="center" indent="15"/>
      <protection locked="0"/>
    </xf>
    <xf numFmtId="0" fontId="12" fillId="0" borderId="0" xfId="0" applyFont="1" applyBorder="1" applyAlignment="1" applyProtection="1">
      <alignment vertical="center"/>
      <protection locked="0"/>
    </xf>
    <xf numFmtId="0" fontId="12" fillId="3" borderId="2" xfId="0" applyFont="1" applyFill="1" applyBorder="1" applyAlignment="1" applyProtection="1">
      <alignment horizontal="right" vertical="center"/>
      <protection locked="0"/>
    </xf>
    <xf numFmtId="0" fontId="0" fillId="0" borderId="8" xfId="0" applyBorder="1" applyAlignment="1" applyProtection="1">
      <alignment vertical="center"/>
      <protection locked="0"/>
    </xf>
    <xf numFmtId="0" fontId="12" fillId="0" borderId="8" xfId="0" applyFont="1" applyBorder="1" applyAlignment="1" applyProtection="1">
      <alignment horizontal="center" vertical="center"/>
      <protection locked="0"/>
    </xf>
    <xf numFmtId="0" fontId="9" fillId="6" borderId="10" xfId="0" applyFont="1" applyFill="1" applyBorder="1" applyAlignment="1" applyProtection="1">
      <alignment horizontal="center" vertical="center" wrapText="1"/>
      <protection locked="0"/>
    </xf>
    <xf numFmtId="2" fontId="9" fillId="3" borderId="2" xfId="0" applyNumberFormat="1" applyFont="1" applyFill="1" applyBorder="1" applyAlignment="1" applyProtection="1">
      <alignment horizontal="center" vertical="center" wrapText="1"/>
    </xf>
    <xf numFmtId="0" fontId="9" fillId="0" borderId="2" xfId="0" applyFont="1" applyBorder="1" applyAlignment="1" applyProtection="1">
      <alignment vertical="center" wrapText="1"/>
      <protection locked="0"/>
    </xf>
    <xf numFmtId="0" fontId="13" fillId="3" borderId="2" xfId="0" applyFont="1" applyFill="1" applyBorder="1" applyAlignment="1" applyProtection="1">
      <alignment horizontal="right" vertical="center"/>
      <protection locked="0"/>
    </xf>
    <xf numFmtId="0" fontId="13" fillId="3" borderId="2" xfId="0" applyFont="1" applyFill="1" applyBorder="1" applyAlignment="1" applyProtection="1">
      <alignment vertical="center"/>
    </xf>
    <xf numFmtId="0" fontId="13" fillId="4" borderId="6" xfId="0" applyFont="1" applyFill="1" applyBorder="1" applyAlignment="1" applyProtection="1">
      <alignment horizontal="center" vertical="center" wrapText="1"/>
      <protection locked="0"/>
    </xf>
    <xf numFmtId="0" fontId="13" fillId="8" borderId="6" xfId="0" applyFont="1" applyFill="1" applyBorder="1" applyAlignment="1" applyProtection="1">
      <alignment horizontal="center" vertical="center" wrapText="1"/>
      <protection locked="0"/>
    </xf>
    <xf numFmtId="0" fontId="9" fillId="9" borderId="2" xfId="0" applyFont="1" applyFill="1" applyBorder="1" applyAlignment="1" applyProtection="1">
      <alignment horizontal="center" vertical="center" wrapText="1"/>
      <protection locked="0"/>
    </xf>
    <xf numFmtId="166" fontId="9" fillId="7" borderId="2" xfId="0" applyNumberFormat="1" applyFont="1" applyFill="1" applyBorder="1" applyAlignment="1" applyProtection="1">
      <alignment horizontal="center" vertical="center"/>
    </xf>
    <xf numFmtId="166" fontId="13" fillId="8" borderId="2" xfId="0" applyNumberFormat="1" applyFont="1" applyFill="1" applyBorder="1" applyAlignment="1" applyProtection="1">
      <alignment horizontal="center" vertical="center"/>
    </xf>
    <xf numFmtId="166" fontId="13" fillId="8" borderId="2" xfId="0" applyNumberFormat="1" applyFont="1" applyFill="1" applyBorder="1" applyAlignment="1" applyProtection="1">
      <alignment horizontal="center" vertical="center"/>
      <protection locked="0"/>
    </xf>
    <xf numFmtId="0" fontId="2" fillId="0" borderId="0" xfId="0" applyFont="1" applyBorder="1" applyAlignment="1" applyProtection="1">
      <alignment horizontal="left" vertical="center"/>
      <protection locked="0"/>
    </xf>
    <xf numFmtId="164" fontId="11" fillId="0" borderId="0" xfId="0" applyNumberFormat="1" applyFont="1" applyBorder="1" applyAlignment="1" applyProtection="1">
      <alignment horizontal="center" vertical="center"/>
      <protection locked="0"/>
    </xf>
    <xf numFmtId="0" fontId="9" fillId="3" borderId="2" xfId="0" applyFont="1" applyFill="1" applyBorder="1" applyAlignment="1" applyProtection="1">
      <alignment horizontal="center" vertical="center" wrapText="1"/>
      <protection locked="0"/>
    </xf>
    <xf numFmtId="0" fontId="13" fillId="3" borderId="3" xfId="0"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2" fontId="0" fillId="0" borderId="2" xfId="0" applyNumberFormat="1" applyBorder="1" applyAlignment="1" applyProtection="1">
      <alignment horizontal="center" vertical="center"/>
      <protection locked="0"/>
    </xf>
    <xf numFmtId="0" fontId="9" fillId="0" borderId="2" xfId="0" applyFont="1" applyBorder="1" applyAlignment="1" applyProtection="1">
      <alignment horizontal="center" vertical="center" wrapText="1"/>
      <protection locked="0"/>
    </xf>
    <xf numFmtId="0" fontId="0" fillId="0" borderId="0" xfId="0" applyProtection="1">
      <protection locked="0"/>
    </xf>
    <xf numFmtId="0" fontId="2" fillId="0" borderId="0" xfId="0" applyFont="1" applyProtection="1">
      <protection locked="0"/>
    </xf>
    <xf numFmtId="0" fontId="1" fillId="0" borderId="0" xfId="0" applyFont="1" applyProtection="1"/>
    <xf numFmtId="0" fontId="16" fillId="11" borderId="17" xfId="0" applyFont="1" applyFill="1" applyBorder="1" applyAlignment="1" applyProtection="1">
      <alignment horizontal="center" vertical="center" wrapText="1"/>
    </xf>
    <xf numFmtId="0" fontId="16" fillId="10" borderId="18" xfId="0" applyFont="1" applyFill="1" applyBorder="1" applyAlignment="1" applyProtection="1">
      <alignment horizontal="center" vertical="center"/>
    </xf>
    <xf numFmtId="0" fontId="16" fillId="11" borderId="20" xfId="0" applyFont="1" applyFill="1" applyBorder="1" applyAlignment="1" applyProtection="1">
      <alignment horizontal="center" vertical="center" wrapText="1"/>
    </xf>
    <xf numFmtId="0" fontId="18" fillId="10" borderId="2" xfId="0" applyFont="1" applyFill="1" applyBorder="1" applyAlignment="1" applyProtection="1">
      <alignment horizontal="center" vertical="center" wrapText="1"/>
    </xf>
    <xf numFmtId="0" fontId="6" fillId="12" borderId="25" xfId="0" applyFont="1" applyFill="1" applyBorder="1" applyAlignment="1" applyProtection="1">
      <alignment horizontal="center"/>
    </xf>
    <xf numFmtId="0" fontId="6" fillId="12" borderId="26" xfId="0" applyFont="1" applyFill="1" applyBorder="1" applyAlignment="1" applyProtection="1">
      <alignment horizontal="center"/>
    </xf>
    <xf numFmtId="1" fontId="1" fillId="3" borderId="14" xfId="0" applyNumberFormat="1" applyFont="1" applyFill="1" applyBorder="1" applyAlignment="1" applyProtection="1">
      <alignment horizontal="right" vertical="center"/>
    </xf>
    <xf numFmtId="1" fontId="1" fillId="3" borderId="15" xfId="0" applyNumberFormat="1" applyFont="1" applyFill="1" applyBorder="1" applyAlignment="1" applyProtection="1">
      <alignment horizontal="right" vertical="center"/>
    </xf>
    <xf numFmtId="0" fontId="6" fillId="10" borderId="2" xfId="0" applyFont="1" applyFill="1" applyBorder="1" applyAlignment="1" applyProtection="1">
      <alignment horizontal="center" vertical="center"/>
    </xf>
    <xf numFmtId="0" fontId="6" fillId="10" borderId="19" xfId="0" applyFont="1" applyFill="1" applyBorder="1" applyAlignment="1" applyProtection="1">
      <alignment horizontal="center" vertical="center"/>
    </xf>
    <xf numFmtId="2" fontId="1" fillId="3" borderId="30" xfId="0" applyNumberFormat="1" applyFont="1" applyFill="1" applyBorder="1" applyAlignment="1" applyProtection="1">
      <alignment horizontal="right" vertical="center"/>
    </xf>
    <xf numFmtId="2" fontId="1" fillId="3" borderId="31" xfId="0" applyNumberFormat="1" applyFont="1" applyFill="1" applyBorder="1" applyAlignment="1" applyProtection="1">
      <alignment horizontal="right" vertical="center"/>
    </xf>
    <xf numFmtId="0" fontId="6" fillId="10" borderId="18" xfId="0" applyFont="1" applyFill="1" applyBorder="1" applyAlignment="1" applyProtection="1">
      <alignment horizontal="center" vertical="center"/>
    </xf>
    <xf numFmtId="9" fontId="1" fillId="3" borderId="2" xfId="3" applyFont="1" applyFill="1" applyBorder="1" applyAlignment="1" applyProtection="1">
      <alignment horizontal="center" vertical="center"/>
    </xf>
    <xf numFmtId="9" fontId="1" fillId="5" borderId="2" xfId="3" applyFont="1" applyFill="1" applyBorder="1" applyAlignment="1" applyProtection="1">
      <alignment horizontal="center" vertical="center"/>
      <protection locked="0"/>
    </xf>
    <xf numFmtId="168" fontId="1" fillId="3" borderId="2" xfId="1" applyNumberFormat="1" applyFont="1" applyFill="1" applyBorder="1" applyAlignment="1" applyProtection="1">
      <alignment horizontal="left" vertical="center"/>
    </xf>
    <xf numFmtId="164" fontId="1" fillId="5" borderId="2" xfId="0" applyNumberFormat="1" applyFont="1" applyFill="1" applyBorder="1" applyAlignment="1" applyProtection="1">
      <alignment horizontal="center"/>
      <protection locked="0"/>
    </xf>
    <xf numFmtId="164" fontId="1" fillId="3" borderId="19" xfId="0" applyNumberFormat="1" applyFont="1" applyFill="1" applyBorder="1" applyAlignment="1" applyProtection="1">
      <alignment horizontal="center"/>
    </xf>
    <xf numFmtId="168" fontId="21" fillId="11" borderId="21" xfId="0" applyNumberFormat="1" applyFont="1" applyFill="1" applyBorder="1" applyAlignment="1" applyProtection="1">
      <alignment horizontal="center" vertical="center"/>
    </xf>
    <xf numFmtId="170" fontId="21" fillId="11" borderId="22" xfId="0" applyNumberFormat="1" applyFont="1" applyFill="1" applyBorder="1" applyAlignment="1" applyProtection="1">
      <alignment vertical="center"/>
    </xf>
    <xf numFmtId="9" fontId="19" fillId="10" borderId="2" xfId="3" applyFont="1" applyFill="1" applyBorder="1" applyAlignment="1" applyProtection="1">
      <alignment horizontal="center" vertical="center"/>
    </xf>
    <xf numFmtId="164" fontId="1" fillId="3" borderId="2" xfId="0" applyNumberFormat="1" applyFont="1" applyFill="1" applyBorder="1" applyAlignment="1" applyProtection="1">
      <alignment horizontal="center"/>
    </xf>
    <xf numFmtId="0" fontId="6" fillId="10" borderId="33" xfId="0" applyFont="1" applyFill="1" applyBorder="1" applyAlignment="1" applyProtection="1">
      <alignment horizontal="center"/>
    </xf>
    <xf numFmtId="0" fontId="6" fillId="10" borderId="34" xfId="0" applyFont="1" applyFill="1" applyBorder="1" applyAlignment="1" applyProtection="1">
      <alignment horizontal="center"/>
    </xf>
    <xf numFmtId="0" fontId="6" fillId="10" borderId="35" xfId="0" applyFont="1" applyFill="1" applyBorder="1" applyAlignment="1" applyProtection="1">
      <alignment horizontal="center"/>
    </xf>
    <xf numFmtId="0" fontId="6" fillId="10" borderId="36" xfId="0" applyFont="1" applyFill="1" applyBorder="1" applyAlignment="1" applyProtection="1">
      <alignment horizontal="center"/>
    </xf>
    <xf numFmtId="0" fontId="6" fillId="10" borderId="30" xfId="0" applyFont="1" applyFill="1" applyBorder="1" applyAlignment="1" applyProtection="1">
      <alignment horizontal="center"/>
    </xf>
    <xf numFmtId="9" fontId="6" fillId="10" borderId="37" xfId="0" applyNumberFormat="1" applyFont="1" applyFill="1" applyBorder="1" applyAlignment="1" applyProtection="1">
      <alignment horizontal="center"/>
    </xf>
    <xf numFmtId="168" fontId="6" fillId="3" borderId="37" xfId="0" applyNumberFormat="1" applyFont="1" applyFill="1" applyBorder="1" applyAlignment="1" applyProtection="1">
      <alignment horizontal="center"/>
    </xf>
    <xf numFmtId="164" fontId="1" fillId="3" borderId="3" xfId="0" applyNumberFormat="1" applyFont="1" applyFill="1" applyBorder="1" applyAlignment="1" applyProtection="1">
      <alignment horizontal="center"/>
    </xf>
    <xf numFmtId="164" fontId="1" fillId="3" borderId="31" xfId="0" applyNumberFormat="1" applyFont="1" applyFill="1" applyBorder="1" applyAlignment="1" applyProtection="1">
      <alignment horizontal="center"/>
    </xf>
    <xf numFmtId="9" fontId="6" fillId="10" borderId="38" xfId="0" applyNumberFormat="1" applyFont="1" applyFill="1" applyBorder="1" applyAlignment="1" applyProtection="1">
      <alignment horizontal="center"/>
    </xf>
    <xf numFmtId="168" fontId="6" fillId="3" borderId="38" xfId="0" applyNumberFormat="1" applyFont="1" applyFill="1" applyBorder="1" applyAlignment="1" applyProtection="1">
      <alignment horizontal="center"/>
    </xf>
    <xf numFmtId="164" fontId="1" fillId="3" borderId="2" xfId="0" applyNumberFormat="1" applyFont="1" applyFill="1" applyBorder="1" applyAlignment="1" applyProtection="1">
      <alignment horizontal="center" vertical="center"/>
    </xf>
    <xf numFmtId="168" fontId="23" fillId="10" borderId="21" xfId="3" applyNumberFormat="1" applyFont="1" applyFill="1" applyBorder="1" applyAlignment="1" applyProtection="1">
      <alignment horizontal="left" vertical="center"/>
    </xf>
    <xf numFmtId="0" fontId="16" fillId="10" borderId="40" xfId="0" applyFont="1" applyFill="1" applyBorder="1" applyAlignment="1" applyProtection="1">
      <alignment horizontal="right"/>
    </xf>
    <xf numFmtId="9" fontId="6" fillId="3" borderId="40" xfId="3" applyFont="1" applyFill="1" applyBorder="1" applyAlignment="1" applyProtection="1">
      <alignment horizontal="center" vertical="center"/>
    </xf>
    <xf numFmtId="0" fontId="1" fillId="0" borderId="0" xfId="0" applyFont="1"/>
    <xf numFmtId="168" fontId="1" fillId="0" borderId="0" xfId="0" applyNumberFormat="1" applyFont="1"/>
    <xf numFmtId="0" fontId="1" fillId="0" borderId="0" xfId="0" applyFont="1" applyProtection="1">
      <protection locked="0"/>
    </xf>
    <xf numFmtId="0" fontId="1" fillId="0" borderId="0" xfId="0" applyFont="1" applyAlignment="1" applyProtection="1">
      <alignment horizontal="center"/>
      <protection locked="0"/>
    </xf>
    <xf numFmtId="0" fontId="6" fillId="10" borderId="21" xfId="0" applyFont="1" applyFill="1" applyBorder="1" applyAlignment="1" applyProtection="1">
      <alignment horizontal="center" vertical="center"/>
    </xf>
    <xf numFmtId="9" fontId="6" fillId="10" borderId="41" xfId="0" applyNumberFormat="1" applyFont="1" applyFill="1" applyBorder="1" applyAlignment="1" applyProtection="1">
      <alignment horizontal="center"/>
    </xf>
    <xf numFmtId="168" fontId="6" fillId="3" borderId="41" xfId="0" applyNumberFormat="1" applyFont="1" applyFill="1" applyBorder="1" applyAlignment="1" applyProtection="1">
      <alignment horizontal="center"/>
    </xf>
    <xf numFmtId="164" fontId="1" fillId="3" borderId="40" xfId="0" applyNumberFormat="1" applyFont="1" applyFill="1" applyBorder="1" applyAlignment="1" applyProtection="1">
      <alignment horizontal="center" vertical="center"/>
    </xf>
    <xf numFmtId="164" fontId="1" fillId="3" borderId="22" xfId="0" applyNumberFormat="1" applyFont="1" applyFill="1" applyBorder="1" applyAlignment="1" applyProtection="1">
      <alignment horizontal="center"/>
    </xf>
    <xf numFmtId="0" fontId="6" fillId="10" borderId="14" xfId="0" applyFont="1" applyFill="1" applyBorder="1" applyAlignment="1" applyProtection="1">
      <alignment horizontal="center" wrapText="1"/>
    </xf>
    <xf numFmtId="0" fontId="6" fillId="10" borderId="15" xfId="0" applyFont="1" applyFill="1" applyBorder="1" applyAlignment="1" applyProtection="1">
      <alignment horizontal="center" wrapText="1"/>
    </xf>
    <xf numFmtId="0" fontId="0" fillId="0" borderId="0" xfId="0" applyProtection="1"/>
    <xf numFmtId="0" fontId="19" fillId="2" borderId="18" xfId="0" applyFont="1" applyFill="1" applyBorder="1" applyAlignment="1" applyProtection="1"/>
    <xf numFmtId="168" fontId="19" fillId="2" borderId="19" xfId="0" applyNumberFormat="1" applyFont="1" applyFill="1" applyBorder="1" applyAlignment="1" applyProtection="1"/>
    <xf numFmtId="0" fontId="19" fillId="2" borderId="21" xfId="0" applyFont="1" applyFill="1" applyBorder="1" applyAlignment="1" applyProtection="1"/>
    <xf numFmtId="168" fontId="19" fillId="2" borderId="22" xfId="0" applyNumberFormat="1" applyFont="1" applyFill="1" applyBorder="1" applyAlignment="1" applyProtection="1"/>
    <xf numFmtId="0" fontId="13" fillId="12" borderId="14" xfId="0" applyFont="1" applyFill="1" applyBorder="1" applyAlignment="1" applyProtection="1">
      <alignment horizontal="center" vertical="center" wrapText="1"/>
    </xf>
    <xf numFmtId="0" fontId="13" fillId="12" borderId="27" xfId="0" applyFont="1" applyFill="1" applyBorder="1" applyAlignment="1" applyProtection="1">
      <alignment horizontal="center" vertical="center" wrapText="1"/>
    </xf>
    <xf numFmtId="0" fontId="13" fillId="12" borderId="15" xfId="0" applyFont="1" applyFill="1" applyBorder="1" applyAlignment="1" applyProtection="1">
      <alignment horizontal="center" vertical="center" wrapText="1"/>
    </xf>
    <xf numFmtId="0" fontId="0" fillId="3" borderId="18" xfId="0" applyFont="1" applyFill="1" applyBorder="1" applyAlignment="1" applyProtection="1"/>
    <xf numFmtId="168" fontId="0" fillId="3" borderId="2" xfId="1" applyNumberFormat="1" applyFont="1" applyFill="1" applyBorder="1" applyAlignment="1" applyProtection="1"/>
    <xf numFmtId="168" fontId="0" fillId="3" borderId="19" xfId="1" applyNumberFormat="1" applyFont="1" applyFill="1" applyBorder="1" applyAlignment="1" applyProtection="1"/>
    <xf numFmtId="168" fontId="0" fillId="11" borderId="2" xfId="1" applyNumberFormat="1" applyFont="1" applyFill="1" applyBorder="1" applyAlignment="1" applyProtection="1"/>
    <xf numFmtId="168" fontId="0" fillId="11" borderId="19" xfId="1" applyNumberFormat="1" applyFont="1" applyFill="1" applyBorder="1" applyAlignment="1" applyProtection="1"/>
    <xf numFmtId="0" fontId="0" fillId="3" borderId="21" xfId="0" applyFont="1" applyFill="1" applyBorder="1" applyAlignment="1" applyProtection="1"/>
    <xf numFmtId="168" fontId="0" fillId="3" borderId="40" xfId="1" applyNumberFormat="1" applyFont="1" applyFill="1" applyBorder="1" applyAlignment="1" applyProtection="1"/>
    <xf numFmtId="168" fontId="0" fillId="3" borderId="22" xfId="1" applyNumberFormat="1" applyFont="1" applyFill="1" applyBorder="1" applyAlignment="1" applyProtection="1"/>
    <xf numFmtId="0" fontId="3" fillId="0" borderId="0" xfId="0" applyFont="1" applyBorder="1" applyAlignment="1">
      <alignment vertical="center"/>
    </xf>
    <xf numFmtId="0" fontId="0" fillId="0" borderId="0" xfId="0" applyAlignment="1">
      <alignment vertical="center"/>
    </xf>
    <xf numFmtId="0" fontId="13" fillId="0" borderId="0" xfId="0" applyFont="1"/>
    <xf numFmtId="0" fontId="0" fillId="5" borderId="0" xfId="0" applyFill="1" applyAlignment="1">
      <alignment horizontal="center"/>
    </xf>
    <xf numFmtId="0" fontId="6" fillId="2" borderId="2" xfId="0" applyFont="1" applyFill="1" applyBorder="1" applyAlignment="1">
      <alignment horizontal="center" vertical="center" wrapText="1"/>
    </xf>
    <xf numFmtId="0" fontId="13" fillId="2" borderId="2" xfId="0" applyFont="1" applyFill="1" applyBorder="1" applyAlignment="1">
      <alignment horizontal="center"/>
    </xf>
    <xf numFmtId="0" fontId="6" fillId="2" borderId="2" xfId="0" applyFont="1" applyFill="1" applyBorder="1" applyAlignment="1">
      <alignment horizontal="center" vertical="center"/>
    </xf>
    <xf numFmtId="9" fontId="9" fillId="2" borderId="2" xfId="3" applyFont="1" applyFill="1" applyBorder="1" applyAlignment="1" applyProtection="1"/>
    <xf numFmtId="0" fontId="9" fillId="6" borderId="2" xfId="0" applyFont="1" applyFill="1" applyBorder="1" applyAlignment="1">
      <alignment horizontal="center" vertical="center" wrapText="1"/>
    </xf>
    <xf numFmtId="0" fontId="0" fillId="0" borderId="2" xfId="0" applyBorder="1"/>
    <xf numFmtId="0" fontId="13" fillId="6" borderId="2" xfId="0" applyFont="1" applyFill="1" applyBorder="1" applyAlignment="1">
      <alignment horizontal="center" vertical="center" wrapText="1"/>
    </xf>
    <xf numFmtId="0" fontId="13" fillId="0" borderId="2" xfId="0" applyFont="1" applyBorder="1"/>
    <xf numFmtId="0" fontId="0" fillId="0" borderId="0" xfId="0" applyAlignment="1">
      <alignment horizontal="left"/>
    </xf>
    <xf numFmtId="170" fontId="0" fillId="0" borderId="0" xfId="0" applyNumberFormat="1" applyAlignment="1">
      <alignment horizontal="center"/>
    </xf>
    <xf numFmtId="0" fontId="0" fillId="0" borderId="0" xfId="0" applyAlignment="1">
      <alignment horizontal="center"/>
    </xf>
    <xf numFmtId="0" fontId="9" fillId="0" borderId="2" xfId="0" applyFont="1" applyBorder="1"/>
    <xf numFmtId="0" fontId="9" fillId="0" borderId="2" xfId="0" applyFont="1" applyBorder="1" applyAlignment="1">
      <alignment horizontal="center"/>
    </xf>
    <xf numFmtId="0" fontId="24" fillId="2" borderId="42"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24" fillId="2" borderId="43" xfId="0" applyFont="1" applyFill="1" applyBorder="1" applyAlignment="1">
      <alignment horizontal="center" vertical="center" wrapText="1"/>
    </xf>
    <xf numFmtId="2" fontId="0" fillId="0" borderId="2" xfId="0" applyNumberFormat="1" applyBorder="1" applyAlignment="1">
      <alignment horizontal="center"/>
    </xf>
    <xf numFmtId="0" fontId="0" fillId="0" borderId="2" xfId="0" applyBorder="1" applyAlignment="1">
      <alignment horizontal="center"/>
    </xf>
    <xf numFmtId="0" fontId="9" fillId="0" borderId="2" xfId="0" applyFont="1" applyBorder="1" applyAlignment="1">
      <alignment wrapText="1"/>
    </xf>
    <xf numFmtId="0" fontId="0" fillId="0" borderId="2" xfId="0" applyBorder="1" applyProtection="1">
      <protection locked="0"/>
    </xf>
    <xf numFmtId="0" fontId="0" fillId="0" borderId="2" xfId="0" applyBorder="1" applyAlignment="1">
      <alignment wrapText="1"/>
    </xf>
    <xf numFmtId="0" fontId="9" fillId="0" borderId="0" xfId="0" applyFont="1"/>
    <xf numFmtId="0" fontId="25" fillId="0" borderId="20" xfId="0" applyFont="1" applyBorder="1" applyAlignment="1">
      <alignment vertical="center" wrapText="1"/>
    </xf>
    <xf numFmtId="0" fontId="25" fillId="0" borderId="44" xfId="0" applyFont="1" applyBorder="1" applyAlignment="1">
      <alignment horizontal="center" vertical="center" wrapText="1"/>
    </xf>
    <xf numFmtId="0" fontId="25" fillId="0" borderId="44" xfId="0" applyFont="1" applyBorder="1" applyAlignment="1">
      <alignment vertical="center" wrapText="1"/>
    </xf>
    <xf numFmtId="0" fontId="0" fillId="0" borderId="0" xfId="0" applyAlignment="1">
      <alignment wrapText="1"/>
    </xf>
    <xf numFmtId="0" fontId="13" fillId="10" borderId="2" xfId="0" applyFont="1" applyFill="1" applyBorder="1" applyAlignment="1">
      <alignment horizontal="center" vertical="center"/>
    </xf>
    <xf numFmtId="0" fontId="13" fillId="10" borderId="2" xfId="0" applyFont="1" applyFill="1" applyBorder="1" applyAlignment="1">
      <alignment horizontal="center" vertical="center" wrapText="1"/>
    </xf>
    <xf numFmtId="0" fontId="0" fillId="0" borderId="2" xfId="0" applyBorder="1" applyAlignment="1" applyProtection="1">
      <alignment horizontal="center"/>
      <protection locked="0"/>
    </xf>
    <xf numFmtId="0" fontId="26" fillId="0" borderId="6" xfId="0" applyFont="1" applyBorder="1" applyAlignment="1">
      <alignment horizontal="center" vertical="center"/>
    </xf>
    <xf numFmtId="0" fontId="28" fillId="0" borderId="0" xfId="0" applyFont="1"/>
    <xf numFmtId="0" fontId="5" fillId="4" borderId="2" xfId="0" applyFont="1" applyFill="1" applyBorder="1" applyAlignment="1" applyProtection="1">
      <alignment horizontal="center" vertical="center"/>
      <protection locked="0"/>
    </xf>
    <xf numFmtId="0" fontId="5" fillId="3" borderId="2" xfId="0" applyFont="1" applyFill="1" applyBorder="1" applyAlignment="1" applyProtection="1">
      <alignment vertical="center"/>
    </xf>
    <xf numFmtId="0" fontId="5" fillId="3" borderId="2" xfId="0" applyFont="1" applyFill="1" applyBorder="1" applyAlignment="1" applyProtection="1">
      <alignment vertical="center"/>
      <protection locked="0"/>
    </xf>
    <xf numFmtId="0" fontId="5" fillId="3" borderId="2" xfId="0" applyFont="1" applyFill="1" applyBorder="1" applyAlignment="1" applyProtection="1">
      <alignment horizontal="left" vertical="center"/>
      <protection locked="0"/>
    </xf>
    <xf numFmtId="0" fontId="6" fillId="0" borderId="2" xfId="0" applyFont="1" applyBorder="1" applyAlignment="1" applyProtection="1">
      <alignment horizontal="left" vertical="center"/>
      <protection locked="0"/>
    </xf>
    <xf numFmtId="0" fontId="6" fillId="0" borderId="2" xfId="0" applyFont="1" applyBorder="1" applyAlignment="1" applyProtection="1">
      <alignment vertical="center"/>
      <protection locked="0"/>
    </xf>
    <xf numFmtId="0" fontId="5" fillId="3" borderId="2" xfId="0" applyFont="1" applyFill="1" applyBorder="1" applyAlignment="1" applyProtection="1">
      <alignment horizontal="center" vertical="center"/>
      <protection locked="0"/>
    </xf>
    <xf numFmtId="0" fontId="5" fillId="3" borderId="2" xfId="0" applyFont="1" applyFill="1" applyBorder="1" applyAlignment="1" applyProtection="1">
      <alignment horizontal="right" vertical="center"/>
      <protection locked="0"/>
    </xf>
    <xf numFmtId="0" fontId="6" fillId="3" borderId="2" xfId="0" applyFont="1" applyFill="1" applyBorder="1" applyAlignment="1" applyProtection="1">
      <alignment horizontal="center" vertical="center" wrapText="1"/>
      <protection locked="0"/>
    </xf>
    <xf numFmtId="0" fontId="1" fillId="0" borderId="2" xfId="0" applyFont="1" applyBorder="1" applyAlignment="1" applyProtection="1">
      <alignment horizontal="left" vertical="top"/>
      <protection locked="0"/>
    </xf>
    <xf numFmtId="0" fontId="5" fillId="2" borderId="2" xfId="0" applyFont="1" applyFill="1" applyBorder="1" applyAlignment="1" applyProtection="1">
      <alignment horizontal="center" vertical="center"/>
      <protection locked="0"/>
    </xf>
    <xf numFmtId="0" fontId="1" fillId="3" borderId="2" xfId="0" applyFont="1" applyFill="1" applyBorder="1" applyAlignment="1" applyProtection="1">
      <alignment horizontal="left" vertical="center"/>
    </xf>
    <xf numFmtId="164" fontId="1" fillId="3" borderId="2" xfId="0" applyNumberFormat="1" applyFont="1" applyFill="1" applyBorder="1" applyAlignment="1" applyProtection="1">
      <alignment horizontal="left" vertical="center"/>
    </xf>
    <xf numFmtId="0" fontId="3" fillId="0" borderId="1" xfId="0" applyFont="1" applyBorder="1" applyAlignment="1" applyProtection="1">
      <alignment horizontal="center" vertical="center" wrapText="1"/>
      <protection locked="0" hidden="1"/>
    </xf>
    <xf numFmtId="0" fontId="1" fillId="0" borderId="2" xfId="0" applyFont="1" applyBorder="1" applyAlignment="1" applyProtection="1">
      <alignment horizontal="left" vertical="center"/>
      <protection locked="0"/>
    </xf>
    <xf numFmtId="0" fontId="9" fillId="5" borderId="2" xfId="0" applyFont="1" applyFill="1" applyBorder="1" applyAlignment="1" applyProtection="1">
      <alignment horizontal="center" vertical="center"/>
      <protection locked="0"/>
    </xf>
    <xf numFmtId="0" fontId="10" fillId="3" borderId="2" xfId="0" applyFont="1" applyFill="1" applyBorder="1" applyAlignment="1" applyProtection="1">
      <alignment horizontal="right" vertical="center"/>
      <protection locked="0"/>
    </xf>
    <xf numFmtId="164" fontId="11" fillId="5" borderId="2" xfId="0" applyNumberFormat="1" applyFont="1" applyFill="1" applyBorder="1" applyAlignment="1" applyProtection="1">
      <alignment horizontal="center" vertical="center"/>
    </xf>
    <xf numFmtId="49" fontId="6" fillId="5" borderId="2" xfId="0" applyNumberFormat="1" applyFont="1" applyFill="1" applyBorder="1" applyAlignment="1" applyProtection="1">
      <alignment horizontal="center" vertical="center"/>
      <protection locked="0"/>
    </xf>
    <xf numFmtId="164" fontId="6" fillId="5" borderId="2" xfId="0" applyNumberFormat="1" applyFont="1" applyFill="1" applyBorder="1" applyAlignment="1" applyProtection="1">
      <alignment horizontal="center" vertical="center"/>
      <protection locked="0"/>
    </xf>
    <xf numFmtId="0" fontId="3" fillId="0" borderId="1" xfId="0" applyFont="1" applyBorder="1" applyAlignment="1" applyProtection="1">
      <alignment horizontal="right" vertical="center" wrapText="1"/>
      <protection locked="0"/>
    </xf>
    <xf numFmtId="0" fontId="12" fillId="0" borderId="0"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10" fillId="3" borderId="2" xfId="0" applyFont="1" applyFill="1" applyBorder="1" applyAlignment="1" applyProtection="1">
      <alignment horizontal="right" vertical="center" wrapText="1"/>
      <protection locked="0"/>
    </xf>
    <xf numFmtId="0" fontId="10" fillId="3" borderId="2" xfId="0" applyFont="1" applyFill="1" applyBorder="1" applyAlignment="1" applyProtection="1">
      <alignment horizontal="center" vertical="center"/>
      <protection locked="0"/>
    </xf>
    <xf numFmtId="0" fontId="9" fillId="6" borderId="2" xfId="0" applyFont="1" applyFill="1" applyBorder="1" applyAlignment="1" applyProtection="1">
      <alignment horizontal="center" vertical="center" wrapText="1"/>
      <protection locked="0"/>
    </xf>
    <xf numFmtId="2" fontId="13" fillId="3" borderId="2" xfId="0" applyNumberFormat="1" applyFont="1" applyFill="1" applyBorder="1" applyAlignment="1" applyProtection="1">
      <alignment horizontal="center" vertical="center" wrapText="1"/>
    </xf>
    <xf numFmtId="0" fontId="13" fillId="3" borderId="2" xfId="0" applyFont="1" applyFill="1" applyBorder="1" applyAlignment="1" applyProtection="1">
      <alignment horizontal="right" vertical="center"/>
      <protection locked="0"/>
    </xf>
    <xf numFmtId="0" fontId="13" fillId="2" borderId="9" xfId="0" applyFont="1" applyFill="1" applyBorder="1" applyAlignment="1" applyProtection="1">
      <alignment horizontal="center" vertical="center"/>
      <protection locked="0"/>
    </xf>
    <xf numFmtId="0" fontId="13" fillId="2" borderId="3" xfId="0" applyFont="1" applyFill="1" applyBorder="1" applyAlignment="1" applyProtection="1">
      <alignment horizontal="center" vertical="center" wrapText="1"/>
      <protection locked="0"/>
    </xf>
    <xf numFmtId="0" fontId="13" fillId="2" borderId="2" xfId="0" applyFont="1" applyFill="1" applyBorder="1" applyAlignment="1" applyProtection="1">
      <alignment horizontal="center" vertical="center" wrapText="1"/>
      <protection locked="0"/>
    </xf>
    <xf numFmtId="0" fontId="13" fillId="2" borderId="9" xfId="0" applyFont="1" applyFill="1" applyBorder="1" applyAlignment="1" applyProtection="1">
      <alignment horizontal="center" vertical="center" wrapText="1"/>
      <protection locked="0"/>
    </xf>
    <xf numFmtId="0" fontId="13" fillId="2" borderId="3" xfId="0" applyFont="1" applyFill="1" applyBorder="1" applyAlignment="1" applyProtection="1">
      <alignment horizontal="center" vertical="center"/>
      <protection locked="0"/>
    </xf>
    <xf numFmtId="0" fontId="11" fillId="5" borderId="2" xfId="0" applyFont="1" applyFill="1" applyBorder="1" applyAlignment="1" applyProtection="1">
      <alignment horizontal="center" vertical="center"/>
    </xf>
    <xf numFmtId="0" fontId="13" fillId="3" borderId="2" xfId="0" applyFont="1" applyFill="1" applyBorder="1" applyAlignment="1" applyProtection="1">
      <alignment horizontal="right" vertical="center" wrapText="1"/>
      <protection locked="0"/>
    </xf>
    <xf numFmtId="0" fontId="13" fillId="2" borderId="1" xfId="0" applyFont="1" applyFill="1" applyBorder="1" applyAlignment="1" applyProtection="1">
      <alignment horizontal="center" vertical="center"/>
      <protection locked="0"/>
    </xf>
    <xf numFmtId="0" fontId="22" fillId="3" borderId="39" xfId="0" applyFont="1" applyFill="1" applyBorder="1" applyAlignment="1" applyProtection="1">
      <alignment horizontal="center" vertical="center" wrapText="1"/>
    </xf>
    <xf numFmtId="0" fontId="6" fillId="11" borderId="22" xfId="3" applyNumberFormat="1" applyFont="1" applyFill="1" applyBorder="1" applyAlignment="1" applyProtection="1">
      <alignment horizontal="left" vertical="center"/>
    </xf>
    <xf numFmtId="0" fontId="6" fillId="10" borderId="18" xfId="0" applyFont="1" applyFill="1" applyBorder="1" applyAlignment="1" applyProtection="1">
      <alignment horizontal="center" vertical="center"/>
    </xf>
    <xf numFmtId="0" fontId="16" fillId="10" borderId="32" xfId="0" applyFont="1" applyFill="1" applyBorder="1" applyAlignment="1" applyProtection="1">
      <alignment horizontal="center" vertical="center"/>
    </xf>
    <xf numFmtId="0" fontId="6" fillId="12" borderId="28" xfId="0" applyFont="1" applyFill="1" applyBorder="1" applyAlignment="1" applyProtection="1">
      <alignment horizontal="center" vertical="center"/>
    </xf>
    <xf numFmtId="0" fontId="6" fillId="12" borderId="29" xfId="0" applyFont="1" applyFill="1" applyBorder="1" applyAlignment="1" applyProtection="1">
      <alignment horizontal="center" vertical="center"/>
    </xf>
    <xf numFmtId="0" fontId="5" fillId="11" borderId="32" xfId="0" applyFont="1" applyFill="1" applyBorder="1" applyAlignment="1" applyProtection="1">
      <alignment horizontal="center" vertical="center"/>
    </xf>
    <xf numFmtId="0" fontId="16" fillId="10" borderId="20" xfId="0" applyFont="1" applyFill="1" applyBorder="1" applyAlignment="1" applyProtection="1">
      <alignment horizontal="center" vertical="center"/>
    </xf>
    <xf numFmtId="0" fontId="6" fillId="10" borderId="14" xfId="0" applyFont="1" applyFill="1" applyBorder="1" applyAlignment="1" applyProtection="1">
      <alignment horizontal="center" vertical="center" wrapText="1"/>
    </xf>
    <xf numFmtId="0" fontId="6" fillId="10" borderId="27" xfId="0" applyFont="1" applyFill="1" applyBorder="1" applyAlignment="1" applyProtection="1">
      <alignment horizontal="center" vertical="center" wrapText="1"/>
    </xf>
    <xf numFmtId="0" fontId="6" fillId="10" borderId="27" xfId="0" applyFont="1" applyFill="1" applyBorder="1" applyAlignment="1" applyProtection="1">
      <alignment horizontal="center" vertical="center"/>
    </xf>
    <xf numFmtId="0" fontId="6" fillId="10" borderId="15" xfId="0" applyFont="1" applyFill="1" applyBorder="1" applyAlignment="1" applyProtection="1">
      <alignment horizontal="center" vertical="center"/>
    </xf>
    <xf numFmtId="0" fontId="16" fillId="10" borderId="12" xfId="0" applyFont="1" applyFill="1" applyBorder="1" applyAlignment="1" applyProtection="1">
      <alignment horizontal="right" vertical="center"/>
    </xf>
    <xf numFmtId="0" fontId="17" fillId="5" borderId="13" xfId="0" applyFont="1" applyFill="1" applyBorder="1" applyAlignment="1" applyProtection="1">
      <alignment horizontal="center" vertical="center" wrapText="1"/>
      <protection locked="0"/>
    </xf>
    <xf numFmtId="0" fontId="16" fillId="10" borderId="21" xfId="0" applyFont="1" applyFill="1" applyBorder="1" applyAlignment="1" applyProtection="1">
      <alignment horizontal="center" vertical="center"/>
    </xf>
    <xf numFmtId="0" fontId="19" fillId="3" borderId="22" xfId="0" applyFont="1" applyFill="1" applyBorder="1" applyAlignment="1" applyProtection="1">
      <alignment horizontal="center" vertical="center"/>
    </xf>
    <xf numFmtId="0" fontId="16" fillId="10" borderId="23" xfId="0" applyFont="1" applyFill="1" applyBorder="1" applyAlignment="1" applyProtection="1">
      <alignment horizontal="right" vertical="center"/>
    </xf>
    <xf numFmtId="0" fontId="20" fillId="5" borderId="24" xfId="0" applyFont="1" applyFill="1" applyBorder="1" applyAlignment="1" applyProtection="1">
      <alignment horizontal="center" vertical="center"/>
      <protection locked="0"/>
    </xf>
    <xf numFmtId="0" fontId="1" fillId="0" borderId="0" xfId="0" applyFont="1" applyBorder="1" applyAlignment="1" applyProtection="1">
      <alignment horizontal="center"/>
    </xf>
    <xf numFmtId="0" fontId="3" fillId="0" borderId="0" xfId="0" applyFont="1" applyBorder="1" applyAlignment="1" applyProtection="1">
      <alignment horizontal="right" vertical="center" wrapText="1"/>
      <protection locked="0"/>
    </xf>
    <xf numFmtId="0" fontId="5" fillId="6" borderId="11" xfId="0" applyFont="1" applyFill="1" applyBorder="1" applyAlignment="1" applyProtection="1">
      <alignment horizontal="center"/>
    </xf>
    <xf numFmtId="0" fontId="5" fillId="6" borderId="11" xfId="0" applyFont="1" applyFill="1" applyBorder="1" applyAlignment="1" applyProtection="1">
      <alignment horizontal="center" vertical="center"/>
    </xf>
    <xf numFmtId="0" fontId="16" fillId="5" borderId="13" xfId="0" applyFont="1" applyFill="1" applyBorder="1" applyAlignment="1" applyProtection="1">
      <alignment horizontal="center" vertical="center"/>
      <protection locked="0"/>
    </xf>
    <xf numFmtId="0" fontId="16" fillId="10" borderId="14" xfId="0" applyFont="1" applyFill="1" applyBorder="1" applyAlignment="1" applyProtection="1">
      <alignment horizontal="center" vertical="center"/>
    </xf>
    <xf numFmtId="0" fontId="16" fillId="10" borderId="15" xfId="0" applyFont="1" applyFill="1" applyBorder="1" applyAlignment="1" applyProtection="1">
      <alignment horizontal="center" vertical="center" wrapText="1"/>
    </xf>
    <xf numFmtId="0" fontId="16" fillId="10" borderId="15" xfId="0" applyFont="1" applyFill="1" applyBorder="1" applyAlignment="1" applyProtection="1">
      <alignment horizontal="center" vertical="center"/>
    </xf>
    <xf numFmtId="0" fontId="16" fillId="10" borderId="12" xfId="0" applyFont="1" applyFill="1" applyBorder="1" applyAlignment="1" applyProtection="1">
      <alignment horizontal="center" vertical="center" wrapText="1"/>
    </xf>
    <xf numFmtId="0" fontId="17" fillId="5" borderId="16" xfId="0" applyFont="1" applyFill="1" applyBorder="1" applyAlignment="1" applyProtection="1">
      <alignment horizontal="center" vertical="center" wrapText="1"/>
      <protection locked="0"/>
    </xf>
    <xf numFmtId="0" fontId="16" fillId="10" borderId="18" xfId="0" applyFont="1" applyFill="1" applyBorder="1" applyAlignment="1" applyProtection="1">
      <alignment horizontal="center" vertical="center"/>
    </xf>
    <xf numFmtId="164" fontId="6" fillId="5" borderId="19" xfId="0" applyNumberFormat="1" applyFont="1" applyFill="1" applyBorder="1" applyAlignment="1" applyProtection="1">
      <alignment horizontal="center" vertical="center"/>
      <protection locked="0"/>
    </xf>
    <xf numFmtId="168" fontId="16" fillId="3" borderId="19" xfId="0" applyNumberFormat="1" applyFont="1" applyFill="1" applyBorder="1" applyAlignment="1" applyProtection="1">
      <alignment horizontal="center" vertical="center"/>
    </xf>
    <xf numFmtId="0" fontId="13" fillId="2" borderId="2" xfId="0" applyFont="1" applyFill="1" applyBorder="1" applyAlignment="1">
      <alignment horizontal="center"/>
    </xf>
    <xf numFmtId="0" fontId="13" fillId="2" borderId="11" xfId="0" applyFont="1" applyFill="1" applyBorder="1" applyAlignment="1">
      <alignment horizontal="center"/>
    </xf>
    <xf numFmtId="0" fontId="29" fillId="3" borderId="2" xfId="0" applyFont="1" applyFill="1" applyBorder="1" applyAlignment="1" applyProtection="1">
      <alignment horizontal="left" vertical="center"/>
    </xf>
  </cellXfs>
  <cellStyles count="4">
    <cellStyle name="Moeda" xfId="2" builtinId="4"/>
    <cellStyle name="Normal" xfId="0" builtinId="0"/>
    <cellStyle name="Porcentagem" xfId="3" builtinId="5"/>
    <cellStyle name="Vírgula" xfId="1" builtinId="3"/>
  </cellStyles>
  <dxfs count="45">
    <dxf>
      <font>
        <name val="Arial"/>
        <charset val="1"/>
      </font>
      <fill>
        <patternFill>
          <bgColor rgb="FFE6B9B8"/>
        </patternFill>
      </fill>
    </dxf>
    <dxf>
      <font>
        <name val="Arial"/>
        <charset val="1"/>
      </font>
      <fill>
        <patternFill>
          <bgColor rgb="FFE6B9B8"/>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7F7F80"/>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7F7F80"/>
        </patternFill>
      </fill>
    </dxf>
    <dxf>
      <font>
        <name val="Arial"/>
        <charset val="1"/>
      </font>
      <fill>
        <patternFill>
          <bgColor rgb="FFE6B9B8"/>
        </patternFill>
      </fill>
    </dxf>
    <dxf>
      <font>
        <name val="Arial"/>
        <charset val="1"/>
      </font>
      <fill>
        <patternFill>
          <bgColor rgb="FFE6B9B8"/>
        </patternFill>
      </fill>
    </dxf>
    <dxf>
      <font>
        <name val="Arial"/>
        <charset val="1"/>
      </font>
      <fill>
        <patternFill>
          <bgColor rgb="FFE6B9B8"/>
        </patternFill>
      </fill>
    </dxf>
    <dxf>
      <font>
        <name val="Arial"/>
        <charset val="1"/>
      </font>
      <fill>
        <patternFill>
          <bgColor rgb="FFE6B9B8"/>
        </patternFill>
      </fill>
    </dxf>
    <dxf>
      <font>
        <name val="Arial"/>
        <charset val="1"/>
      </font>
      <fill>
        <patternFill>
          <bgColor rgb="FFE6B9B8"/>
        </patternFill>
      </fill>
    </dxf>
    <dxf>
      <font>
        <name val="Arial"/>
        <charset val="1"/>
      </font>
      <fill>
        <patternFill>
          <bgColor rgb="FF7F7F80"/>
        </patternFill>
      </fill>
    </dxf>
    <dxf>
      <font>
        <name val="Arial"/>
        <charset val="1"/>
      </font>
      <fill>
        <patternFill>
          <bgColor rgb="FF7F7F8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80"/>
      <rgbColor rgb="FFA6A6A6"/>
      <rgbColor rgb="FFBE4B48"/>
      <rgbColor rgb="FFF2F2F2"/>
      <rgbColor rgb="FFEEEEEE"/>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D9D9D9"/>
      <rgbColor rgb="FFDDDDDD"/>
      <rgbColor rgb="FFFFFF99"/>
      <rgbColor rgb="FFC4BD97"/>
      <rgbColor rgb="FFFF99CC"/>
      <rgbColor rgb="FFB2B2B2"/>
      <rgbColor rgb="FFE6B9B8"/>
      <rgbColor rgb="FF558ED5"/>
      <rgbColor rgb="FF33CCCC"/>
      <rgbColor rgb="FF98B855"/>
      <rgbColor rgb="FFFFCC00"/>
      <rgbColor rgb="FFFF9900"/>
      <rgbColor rgb="FFE46C0A"/>
      <rgbColor rgb="FF4F81BD"/>
      <rgbColor rgb="FF878787"/>
      <rgbColor rgb="FF003366"/>
      <rgbColor rgb="FF339966"/>
      <rgbColor rgb="FF003300"/>
      <rgbColor rgb="FF333300"/>
      <rgbColor rgb="FF993300"/>
      <rgbColor rgb="FF993366"/>
      <rgbColor rgb="FF333399"/>
      <rgbColor rgb="FF231F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pt-BR"/>
  <c:roundedCorners val="0"/>
  <c:style val="2"/>
  <c:chart>
    <c:autoTitleDeleted val="1"/>
    <c:plotArea>
      <c:layout>
        <c:manualLayout>
          <c:layoutTarget val="inner"/>
          <c:xMode val="edge"/>
          <c:yMode val="edge"/>
          <c:x val="2.2461461425659E-2"/>
          <c:y val="4.9790759245025198E-2"/>
          <c:w val="0.90943882113094199"/>
          <c:h val="0.77436160218635197"/>
        </c:manualLayout>
      </c:layout>
      <c:lineChart>
        <c:grouping val="standard"/>
        <c:varyColors val="0"/>
        <c:ser>
          <c:idx val="0"/>
          <c:order val="0"/>
          <c:tx>
            <c:strRef>
              <c:f>'Redução de Prazo'!$Q$26</c:f>
              <c:strCache>
                <c:ptCount val="1"/>
                <c:pt idx="0">
                  <c:v>SISP</c:v>
                </c:pt>
              </c:strCache>
            </c:strRef>
          </c:tx>
          <c:spPr>
            <a:ln w="19080">
              <a:solidFill>
                <a:srgbClr val="BE4B48"/>
              </a:solidFill>
              <a:round/>
            </a:ln>
          </c:spPr>
          <c:marker>
            <c:symbol val="none"/>
          </c:marker>
          <c:dLbls>
            <c:spPr>
              <a:noFill/>
              <a:ln>
                <a:noFill/>
              </a:ln>
              <a:effectLst/>
            </c:spPr>
            <c:dLblPos val="t"/>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numRef>
              <c:f>'Redução de Prazo'!$P$27:$P$86</c:f>
              <c:numCache>
                <c:formatCode>General</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Prazo'!$Q$27:$Q$86</c:f>
              <c:numCache>
                <c:formatCode>* #,##0\ ;\-* #,##0\ ;* \-#\ ;@\ </c:formatCode>
                <c:ptCount val="60"/>
                <c:pt idx="0">
                  <c:v>9.4974870513428584</c:v>
                </c:pt>
                <c:pt idx="1">
                  <c:v>10.336729939663668</c:v>
                </c:pt>
                <c:pt idx="2">
                  <c:v>11.25013230004161</c:v>
                </c:pt>
                <c:pt idx="3">
                  <c:v>12.244247214274969</c:v>
                </c:pt>
                <c:pt idx="4">
                  <c:v>13.32620682547225</c:v>
                </c:pt>
                <c:pt idx="5">
                  <c:v>14.503773506649086</c:v>
                </c:pt>
                <c:pt idx="6">
                  <c:v>15.785395550824445</c:v>
                </c:pt>
                <c:pt idx="7">
                  <c:v>17.180267782157173</c:v>
                </c:pt>
                <c:pt idx="8">
                  <c:v>18.69839752296939</c:v>
                </c:pt>
                <c:pt idx="9">
                  <c:v>20.350676389928065</c:v>
                </c:pt>
                <c:pt idx="10">
                  <c:v>22.148958434476945</c:v>
                </c:pt>
                <c:pt idx="11">
                  <c:v>24.106145188126657</c:v>
                </c:pt>
                <c:pt idx="12">
                  <c:v>26.236278222749089</c:v>
                </c:pt>
                <c:pt idx="13">
                  <c:v>28.554639889937153</c:v>
                </c:pt>
                <c:pt idx="14">
                  <c:v>31.077862962171093</c:v>
                </c:pt>
                <c:pt idx="15">
                  <c:v>33.824049962396906</c:v>
                </c:pt>
                <c:pt idx="16">
                  <c:v>36.812903038130841</c:v>
                </c:pt>
                <c:pt idx="17">
                  <c:v>40.065865311854225</c:v>
                </c:pt>
                <c:pt idx="18">
                  <c:v>43.606274721797959</c:v>
                </c:pt>
                <c:pt idx="19">
                  <c:v>50</c:v>
                </c:pt>
                <c:pt idx="20">
                  <c:v>51.653280186659927</c:v>
                </c:pt>
                <c:pt idx="21">
                  <c:v>56.217608394821809</c:v>
                </c:pt>
                <c:pt idx="22">
                  <c:v>61.18526223722295</c:v>
                </c:pt>
                <c:pt idx="23">
                  <c:v>66.591881475032011</c:v>
                </c:pt>
                <c:pt idx="24">
                  <c:v>70</c:v>
                </c:pt>
                <c:pt idx="25">
                  <c:v>78.880599957951503</c:v>
                </c:pt>
                <c:pt idx="26">
                  <c:v>85.850862953132875</c:v>
                </c:pt>
                <c:pt idx="27">
                  <c:v>93.437051362774795</c:v>
                </c:pt>
                <c:pt idx="28">
                  <c:v>101.69359127043245</c:v>
                </c:pt>
                <c:pt idx="29">
                  <c:v>110.67971810589327</c:v>
                </c:pt>
                <c:pt idx="30">
                  <c:v>120.45990162176226</c:v>
                </c:pt>
                <c:pt idx="31">
                  <c:v>131.10430842299021</c:v>
                </c:pt>
                <c:pt idx="32">
                  <c:v>142.68930536769835</c:v>
                </c:pt>
                <c:pt idx="33">
                  <c:v>155.29800745088212</c:v>
                </c:pt>
                <c:pt idx="34">
                  <c:v>169.02087410171018</c:v>
                </c:pt>
                <c:pt idx="35">
                  <c:v>183.95635817247503</c:v>
                </c:pt>
                <c:pt idx="36">
                  <c:v>200.21161227527659</c:v>
                </c:pt>
                <c:pt idx="37">
                  <c:v>217.903257533957</c:v>
                </c:pt>
                <c:pt idx="38">
                  <c:v>237.15822026659424</c:v>
                </c:pt>
                <c:pt idx="39">
                  <c:v>258.11464260121767</c:v>
                </c:pt>
                <c:pt idx="40">
                  <c:v>280.92287355783799</c:v>
                </c:pt>
                <c:pt idx="41">
                  <c:v>305.74654770717279</c:v>
                </c:pt>
                <c:pt idx="42">
                  <c:v>332.76375914476068</c:v>
                </c:pt>
                <c:pt idx="43">
                  <c:v>362.16833920298285</c:v>
                </c:pt>
                <c:pt idx="44">
                  <c:v>394.17124706776224</c:v>
                </c:pt>
                <c:pt idx="45">
                  <c:v>429.00208327673522</c:v>
                </c:pt>
                <c:pt idx="46">
                  <c:v>466.91073695727931</c:v>
                </c:pt>
                <c:pt idx="47">
                  <c:v>508.16917862228996</c:v>
                </c:pt>
                <c:pt idx="48">
                  <c:v>553.0734113858698</c:v>
                </c:pt>
                <c:pt idx="49">
                  <c:v>601.94559459766924</c:v>
                </c:pt>
                <c:pt idx="50">
                  <c:v>655.13635513160523</c:v>
                </c:pt>
                <c:pt idx="51">
                  <c:v>713.02730291098419</c:v>
                </c:pt>
                <c:pt idx="52">
                  <c:v>776.03376871732564</c:v>
                </c:pt>
                <c:pt idx="53">
                  <c:v>844.60778392493023</c:v>
                </c:pt>
                <c:pt idx="54">
                  <c:v>919.24132353888274</c:v>
                </c:pt>
                <c:pt idx="55">
                  <c:v>1000.4698358032441</c:v>
                </c:pt>
                <c:pt idx="56">
                  <c:v>1088.8760837021161</c:v>
                </c:pt>
                <c:pt idx="57">
                  <c:v>1185.0943259139242</c:v>
                </c:pt>
                <c:pt idx="58">
                  <c:v>1289.8148672145812</c:v>
                </c:pt>
                <c:pt idx="59">
                  <c:v>1403.7890109758237</c:v>
                </c:pt>
              </c:numCache>
            </c:numRef>
          </c:val>
          <c:smooth val="0"/>
          <c:extLst>
            <c:ext xmlns:c16="http://schemas.microsoft.com/office/drawing/2014/chart" uri="{C3380CC4-5D6E-409C-BE32-E72D297353CC}">
              <c16:uniqueId val="{00000000-CCCD-496F-B5D5-9DC2B9589150}"/>
            </c:ext>
          </c:extLst>
        </c:ser>
        <c:ser>
          <c:idx val="1"/>
          <c:order val="1"/>
          <c:tx>
            <c:strRef>
              <c:f>'Redução de Prazo'!$R$26</c:f>
              <c:strCache>
                <c:ptCount val="1"/>
                <c:pt idx="0">
                  <c:v>Curva
Linear</c:v>
                </c:pt>
              </c:strCache>
            </c:strRef>
          </c:tx>
          <c:spPr>
            <a:ln w="19080">
              <a:solidFill>
                <a:srgbClr val="98B855"/>
              </a:solidFill>
              <a:round/>
            </a:ln>
          </c:spPr>
          <c:marker>
            <c:symbol val="none"/>
          </c:marker>
          <c:dLbls>
            <c:spPr>
              <a:noFill/>
              <a:ln>
                <a:noFill/>
              </a:ln>
              <a:effectLst/>
            </c:sp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'Redução de Prazo'!$P$27:$P$86</c:f>
              <c:numCache>
                <c:formatCode>General</c:formatCode>
                <c:ptCount val="6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pt idx="20">
                  <c:v>-0.21</c:v>
                </c:pt>
                <c:pt idx="21">
                  <c:v>-0.22</c:v>
                </c:pt>
                <c:pt idx="22">
                  <c:v>-0.23</c:v>
                </c:pt>
                <c:pt idx="23">
                  <c:v>-0.24</c:v>
                </c:pt>
                <c:pt idx="24">
                  <c:v>-0.25</c:v>
                </c:pt>
                <c:pt idx="25">
                  <c:v>-0.26</c:v>
                </c:pt>
                <c:pt idx="26">
                  <c:v>-0.27</c:v>
                </c:pt>
                <c:pt idx="27">
                  <c:v>-0.28000000000000003</c:v>
                </c:pt>
                <c:pt idx="28">
                  <c:v>-0.28999999999999998</c:v>
                </c:pt>
                <c:pt idx="29">
                  <c:v>-0.3</c:v>
                </c:pt>
                <c:pt idx="30">
                  <c:v>-0.31</c:v>
                </c:pt>
                <c:pt idx="31">
                  <c:v>-0.32</c:v>
                </c:pt>
                <c:pt idx="32">
                  <c:v>-0.33</c:v>
                </c:pt>
                <c:pt idx="33">
                  <c:v>-0.34</c:v>
                </c:pt>
                <c:pt idx="34">
                  <c:v>-0.35</c:v>
                </c:pt>
                <c:pt idx="35">
                  <c:v>-0.36</c:v>
                </c:pt>
                <c:pt idx="36">
                  <c:v>-0.37</c:v>
                </c:pt>
                <c:pt idx="37">
                  <c:v>-0.38</c:v>
                </c:pt>
                <c:pt idx="38">
                  <c:v>-0.39</c:v>
                </c:pt>
                <c:pt idx="39">
                  <c:v>-0.4</c:v>
                </c:pt>
                <c:pt idx="40">
                  <c:v>-0.41</c:v>
                </c:pt>
                <c:pt idx="41">
                  <c:v>-0.42</c:v>
                </c:pt>
                <c:pt idx="42">
                  <c:v>-0.43</c:v>
                </c:pt>
                <c:pt idx="43">
                  <c:v>-0.44</c:v>
                </c:pt>
                <c:pt idx="44">
                  <c:v>-0.45</c:v>
                </c:pt>
                <c:pt idx="45">
                  <c:v>-0.46</c:v>
                </c:pt>
                <c:pt idx="46">
                  <c:v>-0.47</c:v>
                </c:pt>
                <c:pt idx="47">
                  <c:v>-0.48</c:v>
                </c:pt>
                <c:pt idx="48">
                  <c:v>-0.49</c:v>
                </c:pt>
                <c:pt idx="49">
                  <c:v>-0.5</c:v>
                </c:pt>
                <c:pt idx="50">
                  <c:v>-0.51</c:v>
                </c:pt>
                <c:pt idx="51">
                  <c:v>-0.52</c:v>
                </c:pt>
                <c:pt idx="52">
                  <c:v>-0.53</c:v>
                </c:pt>
                <c:pt idx="53">
                  <c:v>-0.54</c:v>
                </c:pt>
                <c:pt idx="54">
                  <c:v>-0.55000000000000004</c:v>
                </c:pt>
                <c:pt idx="55">
                  <c:v>-0.56000000000000005</c:v>
                </c:pt>
                <c:pt idx="56">
                  <c:v>-0.56999999999999995</c:v>
                </c:pt>
                <c:pt idx="57">
                  <c:v>-0.57999999999999996</c:v>
                </c:pt>
                <c:pt idx="58">
                  <c:v>-0.59</c:v>
                </c:pt>
                <c:pt idx="59">
                  <c:v>-0.6</c:v>
                </c:pt>
              </c:numCache>
            </c:numRef>
          </c:cat>
          <c:val>
            <c:numRef>
              <c:f>'Redução de Prazo'!$R$27:$R$86</c:f>
              <c:numCache>
                <c:formatCode>* #,##0\ ;\-* #,##0\ ;* \-#\ ;@\ </c:formatCode>
                <c:ptCount val="60"/>
                <c:pt idx="0">
                  <c:v>2.6222222222222218</c:v>
                </c:pt>
                <c:pt idx="1">
                  <c:v>5.2444444444444436</c:v>
                </c:pt>
                <c:pt idx="2">
                  <c:v>7.8666666666666645</c:v>
                </c:pt>
                <c:pt idx="3">
                  <c:v>10.488888888888887</c:v>
                </c:pt>
                <c:pt idx="4">
                  <c:v>13.111111111111109</c:v>
                </c:pt>
                <c:pt idx="5">
                  <c:v>15.733333333333329</c:v>
                </c:pt>
                <c:pt idx="6">
                  <c:v>18.355555555555554</c:v>
                </c:pt>
                <c:pt idx="7">
                  <c:v>20.977777777777774</c:v>
                </c:pt>
                <c:pt idx="8">
                  <c:v>23.599999999999994</c:v>
                </c:pt>
                <c:pt idx="9">
                  <c:v>26.222222222222218</c:v>
                </c:pt>
                <c:pt idx="10">
                  <c:v>28.844444444444438</c:v>
                </c:pt>
                <c:pt idx="11">
                  <c:v>31.466666666666658</c:v>
                </c:pt>
                <c:pt idx="12">
                  <c:v>34.088888888888881</c:v>
                </c:pt>
                <c:pt idx="13">
                  <c:v>36.711111111111109</c:v>
                </c:pt>
                <c:pt idx="14">
                  <c:v>39.333333333333321</c:v>
                </c:pt>
                <c:pt idx="15">
                  <c:v>41.955555555555549</c:v>
                </c:pt>
                <c:pt idx="16">
                  <c:v>44.577777777777776</c:v>
                </c:pt>
                <c:pt idx="17">
                  <c:v>47.199999999999989</c:v>
                </c:pt>
                <c:pt idx="18">
                  <c:v>49.822222222222216</c:v>
                </c:pt>
                <c:pt idx="19">
                  <c:v>52.444444444444436</c:v>
                </c:pt>
                <c:pt idx="20">
                  <c:v>55.066666666666656</c:v>
                </c:pt>
                <c:pt idx="21">
                  <c:v>57.688888888888876</c:v>
                </c:pt>
                <c:pt idx="22">
                  <c:v>60.311111111111103</c:v>
                </c:pt>
                <c:pt idx="23">
                  <c:v>62.933333333333316</c:v>
                </c:pt>
                <c:pt idx="24">
                  <c:v>65.555555555555543</c:v>
                </c:pt>
                <c:pt idx="25">
                  <c:v>68.177777777777763</c:v>
                </c:pt>
                <c:pt idx="26">
                  <c:v>70.8</c:v>
                </c:pt>
                <c:pt idx="27">
                  <c:v>73.422222222222217</c:v>
                </c:pt>
                <c:pt idx="28">
                  <c:v>76.044444444444423</c:v>
                </c:pt>
                <c:pt idx="29">
                  <c:v>78.666666666666643</c:v>
                </c:pt>
                <c:pt idx="30">
                  <c:v>81.288888888888877</c:v>
                </c:pt>
                <c:pt idx="31">
                  <c:v>83.911111111111097</c:v>
                </c:pt>
                <c:pt idx="32">
                  <c:v>86.533333333333317</c:v>
                </c:pt>
                <c:pt idx="33">
                  <c:v>89.155555555555551</c:v>
                </c:pt>
                <c:pt idx="34">
                  <c:v>91.777777777777757</c:v>
                </c:pt>
                <c:pt idx="35">
                  <c:v>94.399999999999977</c:v>
                </c:pt>
                <c:pt idx="36">
                  <c:v>97.022222222222197</c:v>
                </c:pt>
                <c:pt idx="37">
                  <c:v>99.644444444444431</c:v>
                </c:pt>
                <c:pt idx="38">
                  <c:v>102.26666666666665</c:v>
                </c:pt>
                <c:pt idx="39">
                  <c:v>104.88888888888887</c:v>
                </c:pt>
                <c:pt idx="40">
                  <c:v>107.51111111111108</c:v>
                </c:pt>
                <c:pt idx="41">
                  <c:v>110.13333333333331</c:v>
                </c:pt>
                <c:pt idx="42">
                  <c:v>112.75555555555553</c:v>
                </c:pt>
                <c:pt idx="43">
                  <c:v>115.37777777777775</c:v>
                </c:pt>
                <c:pt idx="44">
                  <c:v>117.99999999999999</c:v>
                </c:pt>
                <c:pt idx="45">
                  <c:v>120.62222222222221</c:v>
                </c:pt>
                <c:pt idx="46">
                  <c:v>123.24444444444441</c:v>
                </c:pt>
                <c:pt idx="47">
                  <c:v>125.86666666666663</c:v>
                </c:pt>
                <c:pt idx="48">
                  <c:v>128.48888888888885</c:v>
                </c:pt>
                <c:pt idx="49">
                  <c:v>131.11111111111109</c:v>
                </c:pt>
                <c:pt idx="50">
                  <c:v>133.73333333333332</c:v>
                </c:pt>
                <c:pt idx="51">
                  <c:v>136.35555555555553</c:v>
                </c:pt>
                <c:pt idx="52">
                  <c:v>138.97777777777776</c:v>
                </c:pt>
                <c:pt idx="53">
                  <c:v>141.6</c:v>
                </c:pt>
                <c:pt idx="54">
                  <c:v>144.2222222222222</c:v>
                </c:pt>
                <c:pt idx="55">
                  <c:v>146.84444444444443</c:v>
                </c:pt>
                <c:pt idx="56">
                  <c:v>149.46666666666661</c:v>
                </c:pt>
                <c:pt idx="57">
                  <c:v>152.08888888888885</c:v>
                </c:pt>
                <c:pt idx="58">
                  <c:v>154.71111111111108</c:v>
                </c:pt>
                <c:pt idx="59">
                  <c:v>157.33333333333329</c:v>
                </c:pt>
              </c:numCache>
            </c:numRef>
          </c:val>
          <c:smooth val="0"/>
          <c:extLst>
            <c:ext xmlns:c16="http://schemas.microsoft.com/office/drawing/2014/chart" uri="{C3380CC4-5D6E-409C-BE32-E72D297353CC}">
              <c16:uniqueId val="{00000001-CCCD-496F-B5D5-9DC2B9589150}"/>
            </c:ext>
          </c:extLst>
        </c:ser>
        <c:dLbls>
          <c:showLegendKey val="0"/>
          <c:showVal val="0"/>
          <c:showCatName val="0"/>
          <c:showSerName val="0"/>
          <c:showPercent val="0"/>
          <c:showBubbleSize val="0"/>
        </c:dLbls>
        <c:hiLowLines>
          <c:spPr>
            <a:ln>
              <a:noFill/>
            </a:ln>
          </c:spPr>
        </c:hiLowLines>
        <c:smooth val="0"/>
        <c:axId val="59813905"/>
        <c:axId val="82989334"/>
      </c:lineChart>
      <c:catAx>
        <c:axId val="59813905"/>
        <c:scaling>
          <c:orientation val="minMax"/>
        </c:scaling>
        <c:delete val="0"/>
        <c:axPos val="b"/>
        <c:majorGridlines>
          <c:spPr>
            <a:ln w="648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Redução do Prazo</a:t>
                </a:r>
              </a:p>
            </c:rich>
          </c:tx>
          <c:overlay val="0"/>
          <c:spPr>
            <a:noFill/>
            <a:ln>
              <a:noFill/>
            </a:ln>
          </c:spPr>
        </c:title>
        <c:numFmt formatCode="General" sourceLinked="1"/>
        <c:majorTickMark val="none"/>
        <c:minorTickMark val="none"/>
        <c:tickLblPos val="nextTo"/>
        <c:spPr>
          <a:ln w="6480">
            <a:solidFill>
              <a:srgbClr val="878787"/>
            </a:solidFill>
            <a:round/>
          </a:ln>
        </c:spPr>
        <c:txPr>
          <a:bodyPr rot="-5400000"/>
          <a:lstStyle/>
          <a:p>
            <a:pPr>
              <a:defRPr sz="700" b="0" strike="noStrike" spc="-1">
                <a:solidFill>
                  <a:srgbClr val="000000"/>
                </a:solidFill>
                <a:latin typeface="Calibri"/>
              </a:defRPr>
            </a:pPr>
            <a:endParaRPr lang="pt-BR"/>
          </a:p>
        </c:txPr>
        <c:crossAx val="82989334"/>
        <c:crosses val="autoZero"/>
        <c:auto val="1"/>
        <c:lblAlgn val="ctr"/>
        <c:lblOffset val="100"/>
        <c:noMultiLvlLbl val="1"/>
      </c:catAx>
      <c:valAx>
        <c:axId val="82989334"/>
        <c:scaling>
          <c:orientation val="minMax"/>
        </c:scaling>
        <c:delete val="1"/>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Aumento na contagem</a:t>
                </a:r>
              </a:p>
            </c:rich>
          </c:tx>
          <c:overlay val="0"/>
          <c:spPr>
            <a:noFill/>
            <a:ln>
              <a:noFill/>
            </a:ln>
          </c:spPr>
        </c:title>
        <c:numFmt formatCode="* #,##0\ ;\-* #,##0\ ;* \-#\ ;@\ " sourceLinked="0"/>
        <c:majorTickMark val="out"/>
        <c:minorTickMark val="none"/>
        <c:tickLblPos val="nextTo"/>
        <c:crossAx val="59813905"/>
        <c:crosses val="autoZero"/>
        <c:crossBetween val="midCat"/>
      </c:valAx>
      <c:spPr>
        <a:solidFill>
          <a:srgbClr val="FFFFFF"/>
        </a:solidFill>
        <a:ln>
          <a:solidFill>
            <a:srgbClr val="000000"/>
          </a:solidFill>
        </a:ln>
      </c:spPr>
    </c:plotArea>
    <c:legend>
      <c:legendPos val="r"/>
      <c:layout>
        <c:manualLayout>
          <c:xMode val="edge"/>
          <c:yMode val="edge"/>
          <c:x val="0.92873481057898499"/>
          <c:y val="0.33108281343474899"/>
          <c:w val="6.9909575038421698E-2"/>
          <c:h val="0.183589743589744"/>
        </c:manualLayout>
      </c:layout>
      <c:overlay val="1"/>
      <c:spPr>
        <a:noFill/>
        <a:ln>
          <a:noFill/>
        </a:ln>
      </c:spPr>
      <c:txPr>
        <a:bodyPr/>
        <a:lstStyle/>
        <a:p>
          <a:pPr>
            <a:defRPr sz="1000" b="0" strike="noStrike" spc="-1">
              <a:solidFill>
                <a:srgbClr val="000000"/>
              </a:solidFill>
              <a:latin typeface="Calibri"/>
            </a:defRPr>
          </a:pPr>
          <a:endParaRPr lang="pt-BR"/>
        </a:p>
      </c:txPr>
    </c:legend>
    <c:plotVisOnly val="1"/>
    <c:dispBlanksAs val="gap"/>
    <c:showDLblsOverMax val="1"/>
  </c:chart>
  <c:spPr>
    <a:solidFill>
      <a:srgbClr val="FFFFFF"/>
    </a:solidFill>
    <a:ln>
      <a:noFill/>
    </a:ln>
  </c:spPr>
  <c:printSettings>
    <c:headerFooter/>
    <c:pageMargins b="0.78740157499999996" l="0.511811024" r="0.511811024" t="0.78740157499999996" header="0.31496062000000002" footer="0.31496062000000002"/>
    <c:pageSetup/>
  </c:printSettings>
</c:chartSpace>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13680</xdr:colOff>
      <xdr:row>0</xdr:row>
      <xdr:rowOff>123840</xdr:rowOff>
    </xdr:from>
    <xdr:to>
      <xdr:col>16</xdr:col>
      <xdr:colOff>521640</xdr:colOff>
      <xdr:row>40</xdr:row>
      <xdr:rowOff>130320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1218600" y="123840"/>
          <a:ext cx="8944560" cy="6508800"/>
        </a:xfrm>
        <a:prstGeom prst="rect">
          <a:avLst/>
        </a:prstGeom>
        <a:solidFill>
          <a:srgbClr val="FFFFFF"/>
        </a:solidFill>
        <a:ln w="9360">
          <a:solidFill>
            <a:srgbClr val="BCBCBC"/>
          </a:solidFill>
          <a:round/>
        </a:ln>
      </xdr:spPr>
      <xdr:style>
        <a:lnRef idx="0">
          <a:scrgbClr r="0" g="0" b="0"/>
        </a:lnRef>
        <a:fillRef idx="0">
          <a:scrgbClr r="0" g="0" b="0"/>
        </a:fillRef>
        <a:effectRef idx="0">
          <a:scrgbClr r="0" g="0" b="0"/>
        </a:effectRef>
        <a:fontRef idx="minor"/>
      </xdr:style>
      <xdr:txBody>
        <a:bodyPr lIns="90000" tIns="45000" rIns="90000" bIns="45000"/>
        <a:lstStyle/>
        <a:p>
          <a:pPr>
            <a:lnSpc>
              <a:spcPct val="100000"/>
            </a:lnSpc>
          </a:pPr>
          <a:endParaRPr lang="pt-BR" sz="1200" b="0" strike="noStrike" spc="-1">
            <a:latin typeface="Times New Roman"/>
          </a:endParaRPr>
        </a:p>
        <a:p>
          <a:pPr algn="ctr">
            <a:lnSpc>
              <a:spcPct val="100000"/>
            </a:lnSpc>
          </a:pPr>
          <a:r>
            <a:rPr lang="pt-BR" sz="1100" b="1" strike="noStrike" spc="-1">
              <a:solidFill>
                <a:srgbClr val="000000"/>
              </a:solidFill>
              <a:latin typeface="Calibri"/>
            </a:rPr>
            <a:t>Instrução para utilização da Planilha de Contagem</a:t>
          </a:r>
          <a:endParaRPr lang="pt-BR" sz="1100" b="0" strike="noStrike" spc="-1">
            <a:latin typeface="Times New Roman"/>
          </a:endParaRPr>
        </a:p>
        <a:p>
          <a:pPr>
            <a:lnSpc>
              <a:spcPct val="100000"/>
            </a:lnSpc>
          </a:pPr>
          <a:endParaRPr lang="pt-BR" sz="1100" b="0" strike="noStrike" spc="-1">
            <a:latin typeface="Times New Roman"/>
          </a:endParaRPr>
        </a:p>
        <a:p>
          <a:pPr>
            <a:lnSpc>
              <a:spcPct val="100000"/>
            </a:lnSpc>
          </a:pPr>
          <a:r>
            <a:rPr lang="pt-BR" sz="1100" b="0" strike="noStrike" spc="-1">
              <a:solidFill>
                <a:srgbClr val="000000"/>
              </a:solidFill>
              <a:latin typeface="Calibri"/>
            </a:rPr>
            <a:t>1) Na aba "Resumo" indicar o tipo de contagem e o tipo de atividade a ser realizada através das opções pré listadas. Utilize as respectivas abas "AFP - Detalhada", "AFP - Estimativa" ou "Indicativa" dependendo da contagem. </a:t>
          </a:r>
          <a:endParaRPr lang="pt-BR" sz="1100" b="0" strike="noStrike" spc="-1">
            <a:latin typeface="Times New Roman"/>
          </a:endParaRPr>
        </a:p>
        <a:p>
          <a:pPr>
            <a:lnSpc>
              <a:spcPct val="100000"/>
            </a:lnSpc>
          </a:pPr>
          <a:r>
            <a:rPr lang="pt-BR" sz="1100" b="0" strike="noStrike" spc="-1">
              <a:solidFill>
                <a:srgbClr val="000000"/>
              </a:solidFill>
              <a:latin typeface="Calibri"/>
            </a:rPr>
            <a:t>- O tipo de atividade define qual a tabela de distribuição de esforço será utilizada no cálculo final.</a:t>
          </a:r>
          <a:endParaRPr lang="pt-BR" sz="1100" b="0" strike="noStrike" spc="-1">
            <a:latin typeface="Times New Roman"/>
          </a:endParaRPr>
        </a:p>
        <a:p>
          <a:pPr>
            <a:lnSpc>
              <a:spcPct val="100000"/>
            </a:lnSpc>
          </a:pPr>
          <a:r>
            <a:rPr lang="pt-BR" sz="1100" b="0" strike="noStrike" spc="-1">
              <a:solidFill>
                <a:srgbClr val="000000"/>
              </a:solidFill>
              <a:latin typeface="Calibri"/>
            </a:rPr>
            <a:t>- Propósito da Contagem:</a:t>
          </a:r>
          <a:endParaRPr lang="pt-BR" sz="1100" b="0" strike="noStrike" spc="-1">
            <a:latin typeface="Times New Roman"/>
          </a:endParaRPr>
        </a:p>
        <a:p>
          <a:pPr>
            <a:lnSpc>
              <a:spcPct val="100000"/>
            </a:lnSpc>
          </a:pPr>
          <a:r>
            <a:rPr lang="pt-BR" sz="1100" b="0" strike="noStrike" spc="-1">
              <a:solidFill>
                <a:srgbClr val="000000"/>
              </a:solidFill>
              <a:latin typeface="Calibri"/>
            </a:rPr>
            <a:t>Uma medição de tamanho funcional é feita para fornecer uma resposta a um problema do negócio, e é o problema de negócio que determina o propósito.</a:t>
          </a:r>
          <a:endParaRPr lang="pt-BR" sz="1100" b="0" strike="noStrike" spc="-1">
            <a:latin typeface="Times New Roman"/>
          </a:endParaRPr>
        </a:p>
        <a:p>
          <a:pPr>
            <a:lnSpc>
              <a:spcPct val="100000"/>
            </a:lnSpc>
          </a:pPr>
          <a:r>
            <a:rPr lang="pt-BR" sz="1100" b="0" strike="noStrike" spc="-1">
              <a:solidFill>
                <a:srgbClr val="000000"/>
              </a:solidFill>
              <a:latin typeface="Calibri"/>
            </a:rPr>
            <a:t>O propósito é o objetivo pelo qual a contagem é realizada. Determina o tipo de contagem de ponto de função e o escopo da contagem necessária para obter a resposta ao problema de negócios sob investigação.</a:t>
          </a:r>
          <a:endParaRPr lang="pt-BR" sz="1100" b="0" strike="noStrike" spc="-1">
            <a:latin typeface="Times New Roman"/>
          </a:endParaRPr>
        </a:p>
        <a:p>
          <a:pPr>
            <a:lnSpc>
              <a:spcPct val="100000"/>
            </a:lnSpc>
          </a:pPr>
          <a:r>
            <a:rPr lang="pt-BR" sz="1100" b="0" strike="noStrike" spc="-1">
              <a:solidFill>
                <a:srgbClr val="000000"/>
              </a:solidFill>
              <a:latin typeface="Calibri"/>
            </a:rPr>
            <a:t>- Escopo da Contagem:</a:t>
          </a:r>
          <a:endParaRPr lang="pt-BR" sz="1100" b="0" strike="noStrike" spc="-1">
            <a:latin typeface="Times New Roman"/>
          </a:endParaRPr>
        </a:p>
        <a:p>
          <a:pPr marL="457200">
            <a:lnSpc>
              <a:spcPct val="100000"/>
            </a:lnSpc>
          </a:pPr>
          <a:r>
            <a:rPr lang="pt-BR" sz="1100" b="0" strike="noStrike" spc="-1">
              <a:solidFill>
                <a:srgbClr val="000000"/>
              </a:solidFill>
              <a:latin typeface="Calibri"/>
            </a:rPr>
            <a:t>O escopo da contagem define o conjunto dos Requisitos Funcionais do Usuário que serão incluídos na contagem de pontos de função. Deve ser informado quais funcionalidades, requisitos ou casos de uso que serão incluídas na contagem de pontos de função.</a:t>
          </a:r>
          <a:endParaRPr lang="pt-BR" sz="1100" b="0" strike="noStrike" spc="-1">
            <a:latin typeface="Times New Roman"/>
          </a:endParaRPr>
        </a:p>
        <a:p>
          <a:pPr marL="457200">
            <a:lnSpc>
              <a:spcPct val="100000"/>
            </a:lnSpc>
          </a:pPr>
          <a:endParaRPr lang="pt-BR" sz="1100" b="0" strike="noStrike" spc="-1">
            <a:latin typeface="Times New Roman"/>
          </a:endParaRPr>
        </a:p>
        <a:p>
          <a:pPr marL="457200">
            <a:lnSpc>
              <a:spcPct val="100000"/>
            </a:lnSpc>
          </a:pPr>
          <a:r>
            <a:rPr lang="pt-BR" sz="1100" b="0" strike="noStrike" spc="-1">
              <a:solidFill>
                <a:srgbClr val="000000"/>
              </a:solidFill>
              <a:latin typeface="Calibri"/>
            </a:rPr>
            <a:t>2) Nas abas "AFP - Detalhada", "AFP - Estimativa" e "AFP - Indicativa", devem ser preenchidos os campos:</a:t>
          </a:r>
          <a:endParaRPr lang="pt-BR" sz="1100" b="0" strike="noStrike" spc="-1">
            <a:latin typeface="Times New Roman"/>
          </a:endParaRPr>
        </a:p>
        <a:p>
          <a:pPr marL="457200">
            <a:lnSpc>
              <a:spcPct val="100000"/>
            </a:lnSpc>
          </a:pPr>
          <a:r>
            <a:rPr lang="pt-BR" sz="1100" b="0" strike="noStrike" spc="-1">
              <a:solidFill>
                <a:srgbClr val="000000"/>
              </a:solidFill>
              <a:latin typeface="Calibri"/>
            </a:rPr>
            <a:t> - Release com o respectivo número da release correspondente ao Requisito; na coluna "Release"</a:t>
          </a:r>
          <a:endParaRPr lang="pt-BR" sz="1100" b="0" strike="noStrike" spc="-1">
            <a:latin typeface="Times New Roman"/>
          </a:endParaRPr>
        </a:p>
        <a:p>
          <a:pPr marL="457200">
            <a:lnSpc>
              <a:spcPct val="100000"/>
            </a:lnSpc>
          </a:pPr>
          <a:r>
            <a:rPr lang="pt-BR" sz="1100" b="0" strike="noStrike" spc="-1">
              <a:solidFill>
                <a:srgbClr val="000000"/>
              </a:solidFill>
              <a:latin typeface="Calibri"/>
            </a:rPr>
            <a:t> - Módulo com o respectivo número do módulo correspondente ao Requisito ; na coluna "Módulo"</a:t>
          </a:r>
          <a:endParaRPr lang="pt-BR" sz="1100" b="0" strike="noStrike" spc="-1">
            <a:latin typeface="Times New Roman"/>
          </a:endParaRPr>
        </a:p>
        <a:p>
          <a:pPr marL="457200">
            <a:lnSpc>
              <a:spcPct val="100000"/>
            </a:lnSpc>
          </a:pPr>
          <a:r>
            <a:rPr lang="pt-BR" sz="1100" b="0" strike="noStrike" spc="-1">
              <a:solidFill>
                <a:srgbClr val="000000"/>
              </a:solidFill>
              <a:latin typeface="Calibri"/>
            </a:rPr>
            <a:t> - O número do Requisito Ex: "UC01"; na coluna "Requisito"</a:t>
          </a:r>
          <a:endParaRPr lang="pt-BR" sz="1100" b="0" strike="noStrike" spc="-1">
            <a:latin typeface="Times New Roman"/>
          </a:endParaRPr>
        </a:p>
        <a:p>
          <a:pPr marL="457200">
            <a:lnSpc>
              <a:spcPct val="100000"/>
            </a:lnSpc>
          </a:pPr>
          <a:r>
            <a:rPr lang="pt-BR" sz="1100" b="0" strike="noStrike" spc="-1">
              <a:solidFill>
                <a:srgbClr val="000000"/>
              </a:solidFill>
              <a:latin typeface="Calibri"/>
            </a:rPr>
            <a:t> - O detalhamento das ações do requisito; na coluna "Processos Elementares"</a:t>
          </a:r>
          <a:endParaRPr lang="pt-BR" sz="1100" b="0" strike="noStrike" spc="-1">
            <a:latin typeface="Times New Roman"/>
          </a:endParaRPr>
        </a:p>
        <a:p>
          <a:pPr marL="457200">
            <a:lnSpc>
              <a:spcPct val="100000"/>
            </a:lnSpc>
          </a:pPr>
          <a:r>
            <a:rPr lang="pt-BR" sz="1100" b="0" strike="noStrike" spc="-1">
              <a:solidFill>
                <a:srgbClr val="000000"/>
              </a:solidFill>
              <a:latin typeface="Calibri"/>
            </a:rPr>
            <a:t> * Selecionar o "tipo" entre a seleção pré listada</a:t>
          </a:r>
          <a:endParaRPr lang="pt-BR" sz="1100" b="0" strike="noStrike" spc="-1">
            <a:latin typeface="Times New Roman"/>
          </a:endParaRPr>
        </a:p>
        <a:p>
          <a:pPr marL="457200">
            <a:lnSpc>
              <a:spcPct val="100000"/>
            </a:lnSpc>
          </a:pPr>
          <a:endParaRPr lang="pt-BR" sz="1100" b="0" strike="noStrike" spc="-1">
            <a:latin typeface="Times New Roman"/>
          </a:endParaRPr>
        </a:p>
        <a:p>
          <a:pPr marL="457200">
            <a:lnSpc>
              <a:spcPts val="1199"/>
            </a:lnSpc>
          </a:pPr>
          <a:r>
            <a:rPr lang="pt-BR" sz="1100" b="0" strike="noStrike" spc="-1">
              <a:solidFill>
                <a:srgbClr val="000000"/>
              </a:solidFill>
              <a:latin typeface="Calibri"/>
            </a:rPr>
            <a:t>3) Na aba "AFP - Detalhada" deverá ser selecionado o "tipo do  projeto", além da informação dos dados elementares (coluna "DER") e dos registros lógicos, para as funções de dados, ou dos arquivos referenciados, para as funções de transação (coluna "RL/AR").</a:t>
          </a:r>
          <a:endParaRPr lang="pt-BR" sz="1100" b="0" strike="noStrike" spc="-1">
            <a:latin typeface="Times New Roman"/>
          </a:endParaRPr>
        </a:p>
        <a:p>
          <a:pPr marL="457200">
            <a:lnSpc>
              <a:spcPts val="1199"/>
            </a:lnSpc>
          </a:pPr>
          <a:r>
            <a:rPr lang="pt-BR" sz="1100" b="0" strike="noStrike" spc="-1">
              <a:solidFill>
                <a:srgbClr val="000000"/>
              </a:solidFill>
              <a:latin typeface="Calibri"/>
            </a:rPr>
            <a:t>* preenchido os campos:</a:t>
          </a:r>
          <a:endParaRPr lang="pt-BR" sz="1100" b="0" strike="noStrike" spc="-1">
            <a:latin typeface="Times New Roman"/>
          </a:endParaRPr>
        </a:p>
        <a:p>
          <a:pPr marL="457200">
            <a:lnSpc>
              <a:spcPts val="1199"/>
            </a:lnSpc>
          </a:pPr>
          <a:r>
            <a:rPr lang="pt-BR" sz="1100" b="0" strike="noStrike" spc="-1">
              <a:solidFill>
                <a:srgbClr val="000000"/>
              </a:solidFill>
              <a:latin typeface="Calibri"/>
            </a:rPr>
            <a:t> - Preechimento após contagem da colunas "DER" e "AR/TR" com os respectivos valores</a:t>
          </a:r>
          <a:endParaRPr lang="pt-BR" sz="1100" b="0" strike="noStrike" spc="-1">
            <a:latin typeface="Times New Roman"/>
          </a:endParaRPr>
        </a:p>
        <a:p>
          <a:pPr marL="457200">
            <a:lnSpc>
              <a:spcPts val="1199"/>
            </a:lnSpc>
          </a:pPr>
          <a:endParaRPr lang="pt-BR" sz="1100" b="0" strike="noStrike" spc="-1">
            <a:latin typeface="Times New Roman"/>
          </a:endParaRPr>
        </a:p>
        <a:p>
          <a:pPr marL="457200">
            <a:lnSpc>
              <a:spcPct val="100000"/>
            </a:lnSpc>
          </a:pPr>
          <a:r>
            <a:rPr lang="pt-BR" sz="1100" b="0" strike="noStrike" spc="-1">
              <a:solidFill>
                <a:srgbClr val="000000"/>
              </a:solidFill>
              <a:latin typeface="Calibri"/>
            </a:rPr>
            <a:t>4) Na aba Redução de Prazo será apresentada a distribuição do esforço em dias por fases, dado um prazo obtido pelo tamanho funcional. Necessário informar versão do Roteiro de Métricas SISP, Tipo do Prazo (Dias úteis ou corridos), Tipo do Projeto,  Complexidade do projeto, Tamanho em PF e Data de início. Ainda nesta aba, caso exista a necessidade de redução do prazo, informar os dados já mencionados e também a Data Limite para conclusão. A partir desta informação serão apresentados a nova distribuição do esforço e o  novo tamanho funcional considerando a porcentagem de redução desejada.</a:t>
          </a:r>
          <a:endParaRPr lang="pt-BR" sz="1100" b="0" strike="noStrike" spc="-1">
            <a:latin typeface="Times New Roman"/>
          </a:endParaRPr>
        </a:p>
        <a:p>
          <a:pPr marL="457200">
            <a:lnSpc>
              <a:spcPct val="100000"/>
            </a:lnSpc>
          </a:pPr>
          <a:endParaRPr lang="pt-BR" sz="1100" b="0" strike="noStrike" spc="-1">
            <a:latin typeface="Times New Roman"/>
          </a:endParaRPr>
        </a:p>
        <a:p>
          <a:pPr marL="457200">
            <a:lnSpc>
              <a:spcPct val="100000"/>
            </a:lnSpc>
          </a:pPr>
          <a:r>
            <a:rPr lang="pt-BR" sz="1100" b="0" strike="noStrike" spc="-1">
              <a:solidFill>
                <a:srgbClr val="000000"/>
              </a:solidFill>
              <a:latin typeface="Calibri"/>
            </a:rPr>
            <a:t>5) Na aba "Fundamentação" será fundamentada a contagem a partir do link das telas, quando couber justificativa</a:t>
          </a:r>
          <a:endParaRPr lang="pt-BR" sz="1100" b="0" strike="noStrike" spc="-1">
            <a:latin typeface="Times New Roman"/>
          </a:endParaRPr>
        </a:p>
        <a:p>
          <a:pPr marL="457200">
            <a:lnSpc>
              <a:spcPct val="100000"/>
            </a:lnSpc>
          </a:pPr>
          <a:endParaRPr lang="pt-BR" sz="1100" b="0" strike="noStrike" spc="-1">
            <a:latin typeface="Times New Roman"/>
          </a:endParaRPr>
        </a:p>
        <a:p>
          <a:pPr marL="457200">
            <a:lnSpc>
              <a:spcPct val="100000"/>
            </a:lnSpc>
          </a:pPr>
          <a:r>
            <a:rPr lang="pt-BR" sz="1100" b="0" strike="noStrike" spc="-1">
              <a:solidFill>
                <a:srgbClr val="000000"/>
              </a:solidFill>
              <a:latin typeface="Calibri"/>
            </a:rPr>
            <a:t>6) Na aba " Esforço" será preenchido da coluna "A" "Requisitos" os mesmos UC's relacionados na coluna "Requisito" da aba utilizada na contagem Ex: UC01</a:t>
          </a:r>
          <a:endParaRPr lang="pt-BR" sz="1100" b="0" strike="noStrike" spc="-1">
            <a:latin typeface="Times New Roman"/>
          </a:endParaRPr>
        </a:p>
        <a:p>
          <a:pPr marL="457200">
            <a:lnSpc>
              <a:spcPts val="1199"/>
            </a:lnSpc>
          </a:pPr>
          <a:endParaRPr lang="pt-BR" sz="1100" b="0" strike="noStrike" spc="-1">
            <a:latin typeface="Times New Roman"/>
          </a:endParaRPr>
        </a:p>
        <a:p>
          <a:pPr marL="457200">
            <a:lnSpc>
              <a:spcPts val="1199"/>
            </a:lnSpc>
          </a:pPr>
          <a:r>
            <a:rPr lang="pt-BR" sz="1100" b="0" strike="noStrike" spc="-1">
              <a:solidFill>
                <a:srgbClr val="000000"/>
              </a:solidFill>
              <a:latin typeface="Calibri"/>
            </a:rPr>
            <a:t> </a:t>
          </a:r>
          <a:endParaRPr lang="pt-BR" sz="1100" b="0" strike="noStrike" spc="-1">
            <a:latin typeface="Times New Roman"/>
          </a:endParaRPr>
        </a:p>
        <a:p>
          <a:pPr marL="457200">
            <a:lnSpc>
              <a:spcPts val="1100"/>
            </a:lnSpc>
          </a:pPr>
          <a:endParaRPr lang="pt-BR" sz="11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104760</xdr:colOff>
      <xdr:row>0</xdr:row>
      <xdr:rowOff>85680</xdr:rowOff>
    </xdr:from>
    <xdr:to>
      <xdr:col>0</xdr:col>
      <xdr:colOff>1578240</xdr:colOff>
      <xdr:row>0</xdr:row>
      <xdr:rowOff>721080</xdr:rowOff>
    </xdr:to>
    <xdr:pic>
      <xdr:nvPicPr>
        <xdr:cNvPr id="2" name="Imagem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760" y="85680"/>
          <a:ext cx="1473480" cy="635400"/>
        </a:xfrm>
        <a:prstGeom prst="rect">
          <a:avLst/>
        </a:prstGeom>
        <a:ln>
          <a:noFill/>
        </a:ln>
      </xdr:spPr>
    </xdr:pic>
    <xdr:clientData/>
  </xdr:twoCellAnchor>
  <xdr:twoCellAnchor>
    <xdr:from>
      <xdr:col>0</xdr:col>
      <xdr:colOff>0</xdr:colOff>
      <xdr:row>0</xdr:row>
      <xdr:rowOff>0</xdr:rowOff>
    </xdr:from>
    <xdr:to>
      <xdr:col>5</xdr:col>
      <xdr:colOff>520700</xdr:colOff>
      <xdr:row>26</xdr:row>
      <xdr:rowOff>82550</xdr:rowOff>
    </xdr:to>
    <xdr:sp macro="" textlink="">
      <xdr:nvSpPr>
        <xdr:cNvPr id="2054" name="shapetype_202" hidden="1">
          <a:extLst>
            <a:ext uri="{FF2B5EF4-FFF2-40B4-BE49-F238E27FC236}">
              <a16:creationId xmlns:a16="http://schemas.microsoft.com/office/drawing/2014/main" id="{00000000-0008-0000-0100-00000608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520700</xdr:colOff>
      <xdr:row>26</xdr:row>
      <xdr:rowOff>82550</xdr:rowOff>
    </xdr:to>
    <xdr:sp macro="" textlink="">
      <xdr:nvSpPr>
        <xdr:cNvPr id="2052" name="shapetype_202" hidden="1">
          <a:extLst>
            <a:ext uri="{FF2B5EF4-FFF2-40B4-BE49-F238E27FC236}">
              <a16:creationId xmlns:a16="http://schemas.microsoft.com/office/drawing/2014/main" id="{00000000-0008-0000-0100-00000408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520700</xdr:colOff>
      <xdr:row>26</xdr:row>
      <xdr:rowOff>82550</xdr:rowOff>
    </xdr:to>
    <xdr:sp macro="" textlink="">
      <xdr:nvSpPr>
        <xdr:cNvPr id="2050" name="shapetype_202" hidden="1">
          <a:extLst>
            <a:ext uri="{FF2B5EF4-FFF2-40B4-BE49-F238E27FC236}">
              <a16:creationId xmlns:a16="http://schemas.microsoft.com/office/drawing/2014/main" id="{00000000-0008-0000-0100-00000208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104760</xdr:colOff>
      <xdr:row>0</xdr:row>
      <xdr:rowOff>85680</xdr:rowOff>
    </xdr:from>
    <xdr:to>
      <xdr:col>1</xdr:col>
      <xdr:colOff>1206720</xdr:colOff>
      <xdr:row>0</xdr:row>
      <xdr:rowOff>721080</xdr:rowOff>
    </xdr:to>
    <xdr:pic>
      <xdr:nvPicPr>
        <xdr:cNvPr id="2" name="Imagem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04760" y="85680"/>
          <a:ext cx="1493640" cy="635400"/>
        </a:xfrm>
        <a:prstGeom prst="rect">
          <a:avLst/>
        </a:prstGeom>
        <a:ln>
          <a:noFill/>
        </a:ln>
      </xdr:spPr>
    </xdr:pic>
    <xdr:clientData/>
  </xdr:twoCellAnchor>
  <xdr:twoCellAnchor>
    <xdr:from>
      <xdr:col>0</xdr:col>
      <xdr:colOff>0</xdr:colOff>
      <xdr:row>0</xdr:row>
      <xdr:rowOff>0</xdr:rowOff>
    </xdr:from>
    <xdr:to>
      <xdr:col>6</xdr:col>
      <xdr:colOff>673100</xdr:colOff>
      <xdr:row>30</xdr:row>
      <xdr:rowOff>44450</xdr:rowOff>
    </xdr:to>
    <xdr:sp macro="" textlink="">
      <xdr:nvSpPr>
        <xdr:cNvPr id="3076" name="shapetype_202" hidden="1">
          <a:extLst>
            <a:ext uri="{FF2B5EF4-FFF2-40B4-BE49-F238E27FC236}">
              <a16:creationId xmlns:a16="http://schemas.microsoft.com/office/drawing/2014/main" id="{00000000-0008-0000-0200-0000040C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673100</xdr:colOff>
      <xdr:row>30</xdr:row>
      <xdr:rowOff>44450</xdr:rowOff>
    </xdr:to>
    <xdr:sp macro="" textlink="">
      <xdr:nvSpPr>
        <xdr:cNvPr id="3074" name="shapetype_202" hidden="1">
          <a:extLst>
            <a:ext uri="{FF2B5EF4-FFF2-40B4-BE49-F238E27FC236}">
              <a16:creationId xmlns:a16="http://schemas.microsoft.com/office/drawing/2014/main" id="{00000000-0008-0000-0200-0000020C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84240</xdr:colOff>
      <xdr:row>0</xdr:row>
      <xdr:rowOff>55080</xdr:rowOff>
    </xdr:from>
    <xdr:to>
      <xdr:col>1</xdr:col>
      <xdr:colOff>1186200</xdr:colOff>
      <xdr:row>0</xdr:row>
      <xdr:rowOff>690480</xdr:rowOff>
    </xdr:to>
    <xdr:pic>
      <xdr:nvPicPr>
        <xdr:cNvPr id="3" name="Imagem 1">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84240" y="55080"/>
          <a:ext cx="1482840" cy="635400"/>
        </a:xfrm>
        <a:prstGeom prst="rect">
          <a:avLst/>
        </a:prstGeom>
        <a:ln>
          <a:noFill/>
        </a:ln>
      </xdr:spPr>
    </xdr:pic>
    <xdr:clientData/>
  </xdr:twoCellAnchor>
  <xdr:twoCellAnchor>
    <xdr:from>
      <xdr:col>0</xdr:col>
      <xdr:colOff>0</xdr:colOff>
      <xdr:row>0</xdr:row>
      <xdr:rowOff>0</xdr:rowOff>
    </xdr:from>
    <xdr:to>
      <xdr:col>6</xdr:col>
      <xdr:colOff>209550</xdr:colOff>
      <xdr:row>30</xdr:row>
      <xdr:rowOff>146050</xdr:rowOff>
    </xdr:to>
    <xdr:sp macro="" textlink="">
      <xdr:nvSpPr>
        <xdr:cNvPr id="4100" name="shapetype_202" hidden="1">
          <a:extLst>
            <a:ext uri="{FF2B5EF4-FFF2-40B4-BE49-F238E27FC236}">
              <a16:creationId xmlns:a16="http://schemas.microsoft.com/office/drawing/2014/main" id="{00000000-0008-0000-0300-0000041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209550</xdr:colOff>
      <xdr:row>30</xdr:row>
      <xdr:rowOff>146050</xdr:rowOff>
    </xdr:to>
    <xdr:sp macro="" textlink="">
      <xdr:nvSpPr>
        <xdr:cNvPr id="4098" name="shapetype_202" hidden="1">
          <a:extLst>
            <a:ext uri="{FF2B5EF4-FFF2-40B4-BE49-F238E27FC236}">
              <a16:creationId xmlns:a16="http://schemas.microsoft.com/office/drawing/2014/main" id="{00000000-0008-0000-0300-0000021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115560</xdr:colOff>
      <xdr:row>0</xdr:row>
      <xdr:rowOff>54000</xdr:rowOff>
    </xdr:from>
    <xdr:to>
      <xdr:col>1</xdr:col>
      <xdr:colOff>1217520</xdr:colOff>
      <xdr:row>0</xdr:row>
      <xdr:rowOff>689400</xdr:rowOff>
    </xdr:to>
    <xdr:pic>
      <xdr:nvPicPr>
        <xdr:cNvPr id="4" name="Imagem 1">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a:xfrm>
          <a:off x="115560" y="54000"/>
          <a:ext cx="1493640" cy="635400"/>
        </a:xfrm>
        <a:prstGeom prst="rect">
          <a:avLst/>
        </a:prstGeom>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1257300</xdr:colOff>
      <xdr:row>29</xdr:row>
      <xdr:rowOff>101600</xdr:rowOff>
    </xdr:to>
    <xdr:sp macro="" textlink="">
      <xdr:nvSpPr>
        <xdr:cNvPr id="6148" name="shapetype_202" hidden="1">
          <a:extLst>
            <a:ext uri="{FF2B5EF4-FFF2-40B4-BE49-F238E27FC236}">
              <a16:creationId xmlns:a16="http://schemas.microsoft.com/office/drawing/2014/main" id="{00000000-0008-0000-0500-00000418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7</xdr:col>
      <xdr:colOff>1257300</xdr:colOff>
      <xdr:row>29</xdr:row>
      <xdr:rowOff>101600</xdr:rowOff>
    </xdr:to>
    <xdr:sp macro="" textlink="">
      <xdr:nvSpPr>
        <xdr:cNvPr id="6146" name="shapetype_202" hidden="1">
          <a:extLst>
            <a:ext uri="{FF2B5EF4-FFF2-40B4-BE49-F238E27FC236}">
              <a16:creationId xmlns:a16="http://schemas.microsoft.com/office/drawing/2014/main" id="{00000000-0008-0000-0500-00000218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84240</xdr:colOff>
      <xdr:row>0</xdr:row>
      <xdr:rowOff>55080</xdr:rowOff>
    </xdr:from>
    <xdr:to>
      <xdr:col>1</xdr:col>
      <xdr:colOff>1186200</xdr:colOff>
      <xdr:row>0</xdr:row>
      <xdr:rowOff>690480</xdr:rowOff>
    </xdr:to>
    <xdr:pic>
      <xdr:nvPicPr>
        <xdr:cNvPr id="5" name="Imagem 1">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1"/>
        <a:stretch/>
      </xdr:blipFill>
      <xdr:spPr>
        <a:xfrm>
          <a:off x="84240" y="55080"/>
          <a:ext cx="1482840" cy="635400"/>
        </a:xfrm>
        <a:prstGeom prst="rect">
          <a:avLst/>
        </a:prstGeom>
        <a:ln>
          <a:noFill/>
        </a:ln>
      </xdr:spPr>
    </xdr:pic>
    <xdr:clientData/>
  </xdr:twoCellAnchor>
  <xdr:twoCellAnchor>
    <xdr:from>
      <xdr:col>0</xdr:col>
      <xdr:colOff>0</xdr:colOff>
      <xdr:row>0</xdr:row>
      <xdr:rowOff>0</xdr:rowOff>
    </xdr:from>
    <xdr:to>
      <xdr:col>5</xdr:col>
      <xdr:colOff>1543050</xdr:colOff>
      <xdr:row>31</xdr:row>
      <xdr:rowOff>44450</xdr:rowOff>
    </xdr:to>
    <xdr:sp macro="" textlink="">
      <xdr:nvSpPr>
        <xdr:cNvPr id="7172" name="shapetype_202" hidden="1">
          <a:extLst>
            <a:ext uri="{FF2B5EF4-FFF2-40B4-BE49-F238E27FC236}">
              <a16:creationId xmlns:a16="http://schemas.microsoft.com/office/drawing/2014/main" id="{00000000-0008-0000-0600-0000041C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1543050</xdr:colOff>
      <xdr:row>31</xdr:row>
      <xdr:rowOff>44450</xdr:rowOff>
    </xdr:to>
    <xdr:sp macro="" textlink="">
      <xdr:nvSpPr>
        <xdr:cNvPr id="7170" name="shapetype_202" hidden="1">
          <a:extLst>
            <a:ext uri="{FF2B5EF4-FFF2-40B4-BE49-F238E27FC236}">
              <a16:creationId xmlns:a16="http://schemas.microsoft.com/office/drawing/2014/main" id="{00000000-0008-0000-0600-0000021C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104760</xdr:colOff>
      <xdr:row>0</xdr:row>
      <xdr:rowOff>85680</xdr:rowOff>
    </xdr:from>
    <xdr:to>
      <xdr:col>2</xdr:col>
      <xdr:colOff>569160</xdr:colOff>
      <xdr:row>0</xdr:row>
      <xdr:rowOff>721080</xdr:rowOff>
    </xdr:to>
    <xdr:pic>
      <xdr:nvPicPr>
        <xdr:cNvPr id="6" name="Imagem 1">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1"/>
        <a:stretch/>
      </xdr:blipFill>
      <xdr:spPr>
        <a:xfrm>
          <a:off x="104760" y="85680"/>
          <a:ext cx="1530360" cy="635400"/>
        </a:xfrm>
        <a:prstGeom prst="rect">
          <a:avLst/>
        </a:prstGeom>
        <a:ln>
          <a:noFill/>
        </a:ln>
      </xdr:spPr>
    </xdr:pic>
    <xdr:clientData/>
  </xdr:twoCellAnchor>
  <xdr:twoCellAnchor>
    <xdr:from>
      <xdr:col>0</xdr:col>
      <xdr:colOff>0</xdr:colOff>
      <xdr:row>0</xdr:row>
      <xdr:rowOff>0</xdr:rowOff>
    </xdr:from>
    <xdr:to>
      <xdr:col>6</xdr:col>
      <xdr:colOff>533400</xdr:colOff>
      <xdr:row>30</xdr:row>
      <xdr:rowOff>44450</xdr:rowOff>
    </xdr:to>
    <xdr:sp macro="" textlink="">
      <xdr:nvSpPr>
        <xdr:cNvPr id="8196" name="shapetype_202" hidden="1">
          <a:extLst>
            <a:ext uri="{FF2B5EF4-FFF2-40B4-BE49-F238E27FC236}">
              <a16:creationId xmlns:a16="http://schemas.microsoft.com/office/drawing/2014/main" id="{00000000-0008-0000-0700-0000042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533400</xdr:colOff>
      <xdr:row>30</xdr:row>
      <xdr:rowOff>44450</xdr:rowOff>
    </xdr:to>
    <xdr:sp macro="" textlink="">
      <xdr:nvSpPr>
        <xdr:cNvPr id="8194" name="shapetype_202" hidden="1">
          <a:extLst>
            <a:ext uri="{FF2B5EF4-FFF2-40B4-BE49-F238E27FC236}">
              <a16:creationId xmlns:a16="http://schemas.microsoft.com/office/drawing/2014/main" id="{00000000-0008-0000-0700-0000022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136800</xdr:colOff>
      <xdr:row>0</xdr:row>
      <xdr:rowOff>34920</xdr:rowOff>
    </xdr:from>
    <xdr:to>
      <xdr:col>1</xdr:col>
      <xdr:colOff>1004040</xdr:colOff>
      <xdr:row>0</xdr:row>
      <xdr:rowOff>670320</xdr:rowOff>
    </xdr:to>
    <xdr:pic>
      <xdr:nvPicPr>
        <xdr:cNvPr id="7" name="Imagem 1">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1"/>
        <a:stretch/>
      </xdr:blipFill>
      <xdr:spPr>
        <a:xfrm>
          <a:off x="136800" y="34920"/>
          <a:ext cx="1494360" cy="635400"/>
        </a:xfrm>
        <a:prstGeom prst="rect">
          <a:avLst/>
        </a:prstGeom>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272520</xdr:colOff>
      <xdr:row>18</xdr:row>
      <xdr:rowOff>138960</xdr:rowOff>
    </xdr:from>
    <xdr:to>
      <xdr:col>14</xdr:col>
      <xdr:colOff>185760</xdr:colOff>
      <xdr:row>42</xdr:row>
      <xdr:rowOff>108000</xdr:rowOff>
    </xdr:to>
    <xdr:graphicFrame macro="">
      <xdr:nvGraphicFramePr>
        <xdr:cNvPr id="8" name="Gráfico 1">
          <a:extLst>
            <a:ext uri="{FF2B5EF4-FFF2-40B4-BE49-F238E27FC236}">
              <a16:creationId xmlns:a16="http://schemas.microsoft.com/office/drawing/2014/main" id="{00000000-0008-0000-09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100080</xdr:colOff>
      <xdr:row>0</xdr:row>
      <xdr:rowOff>38520</xdr:rowOff>
    </xdr:from>
    <xdr:to>
      <xdr:col>2</xdr:col>
      <xdr:colOff>668520</xdr:colOff>
      <xdr:row>0</xdr:row>
      <xdr:rowOff>673920</xdr:rowOff>
    </xdr:to>
    <xdr:pic>
      <xdr:nvPicPr>
        <xdr:cNvPr id="9" name="Imagem 1">
          <a:extLst>
            <a:ext uri="{FF2B5EF4-FFF2-40B4-BE49-F238E27FC236}">
              <a16:creationId xmlns:a16="http://schemas.microsoft.com/office/drawing/2014/main" id="{00000000-0008-0000-0900-000009000000}"/>
            </a:ext>
          </a:extLst>
        </xdr:cNvPr>
        <xdr:cNvPicPr/>
      </xdr:nvPicPr>
      <xdr:blipFill>
        <a:blip xmlns:r="http://schemas.openxmlformats.org/officeDocument/2006/relationships" r:embed="rId2"/>
        <a:stretch/>
      </xdr:blipFill>
      <xdr:spPr>
        <a:xfrm>
          <a:off x="100080" y="38520"/>
          <a:ext cx="1482840" cy="635400"/>
        </a:xfrm>
        <a:prstGeom prst="rect">
          <a:avLst/>
        </a:prstGeom>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104760</xdr:colOff>
      <xdr:row>0</xdr:row>
      <xdr:rowOff>85680</xdr:rowOff>
    </xdr:from>
    <xdr:to>
      <xdr:col>1</xdr:col>
      <xdr:colOff>36000</xdr:colOff>
      <xdr:row>0</xdr:row>
      <xdr:rowOff>721080</xdr:rowOff>
    </xdr:to>
    <xdr:pic>
      <xdr:nvPicPr>
        <xdr:cNvPr id="10" name="Imagem 1">
          <a:extLst>
            <a:ext uri="{FF2B5EF4-FFF2-40B4-BE49-F238E27FC236}">
              <a16:creationId xmlns:a16="http://schemas.microsoft.com/office/drawing/2014/main" id="{00000000-0008-0000-0A00-00000A000000}"/>
            </a:ext>
          </a:extLst>
        </xdr:cNvPr>
        <xdr:cNvPicPr/>
      </xdr:nvPicPr>
      <xdr:blipFill>
        <a:blip xmlns:r="http://schemas.openxmlformats.org/officeDocument/2006/relationships" r:embed="rId1"/>
        <a:stretch/>
      </xdr:blipFill>
      <xdr:spPr>
        <a:xfrm>
          <a:off x="104760" y="85680"/>
          <a:ext cx="1561680" cy="635400"/>
        </a:xfrm>
        <a:prstGeom prst="rect">
          <a:avLst/>
        </a:prstGeom>
        <a:ln>
          <a:noFill/>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419100</xdr:colOff>
      <xdr:row>37</xdr:row>
      <xdr:rowOff>152400</xdr:rowOff>
    </xdr:to>
    <xdr:sp macro="" textlink="">
      <xdr:nvSpPr>
        <xdr:cNvPr id="12358" name="shapetype_202" hidden="1">
          <a:extLst>
            <a:ext uri="{FF2B5EF4-FFF2-40B4-BE49-F238E27FC236}">
              <a16:creationId xmlns:a16="http://schemas.microsoft.com/office/drawing/2014/main" id="{00000000-0008-0000-0B00-000046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56" name="shapetype_202" hidden="1">
          <a:extLst>
            <a:ext uri="{FF2B5EF4-FFF2-40B4-BE49-F238E27FC236}">
              <a16:creationId xmlns:a16="http://schemas.microsoft.com/office/drawing/2014/main" id="{00000000-0008-0000-0B00-000044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54" name="shapetype_202" hidden="1">
          <a:extLst>
            <a:ext uri="{FF2B5EF4-FFF2-40B4-BE49-F238E27FC236}">
              <a16:creationId xmlns:a16="http://schemas.microsoft.com/office/drawing/2014/main" id="{00000000-0008-0000-0B00-000042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52" name="shapetype_202" hidden="1">
          <a:extLst>
            <a:ext uri="{FF2B5EF4-FFF2-40B4-BE49-F238E27FC236}">
              <a16:creationId xmlns:a16="http://schemas.microsoft.com/office/drawing/2014/main" id="{00000000-0008-0000-0B00-000040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50" name="shapetype_202" hidden="1">
          <a:extLst>
            <a:ext uri="{FF2B5EF4-FFF2-40B4-BE49-F238E27FC236}">
              <a16:creationId xmlns:a16="http://schemas.microsoft.com/office/drawing/2014/main" id="{00000000-0008-0000-0B00-00003E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48" name="shapetype_202" hidden="1">
          <a:extLst>
            <a:ext uri="{FF2B5EF4-FFF2-40B4-BE49-F238E27FC236}">
              <a16:creationId xmlns:a16="http://schemas.microsoft.com/office/drawing/2014/main" id="{00000000-0008-0000-0B00-00003C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46" name="shapetype_202" hidden="1">
          <a:extLst>
            <a:ext uri="{FF2B5EF4-FFF2-40B4-BE49-F238E27FC236}">
              <a16:creationId xmlns:a16="http://schemas.microsoft.com/office/drawing/2014/main" id="{00000000-0008-0000-0B00-00003A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44" name="shapetype_202" hidden="1">
          <a:extLst>
            <a:ext uri="{FF2B5EF4-FFF2-40B4-BE49-F238E27FC236}">
              <a16:creationId xmlns:a16="http://schemas.microsoft.com/office/drawing/2014/main" id="{00000000-0008-0000-0B00-000038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42" name="shapetype_202" hidden="1">
          <a:extLst>
            <a:ext uri="{FF2B5EF4-FFF2-40B4-BE49-F238E27FC236}">
              <a16:creationId xmlns:a16="http://schemas.microsoft.com/office/drawing/2014/main" id="{00000000-0008-0000-0B00-000036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40" name="shapetype_202" hidden="1">
          <a:extLst>
            <a:ext uri="{FF2B5EF4-FFF2-40B4-BE49-F238E27FC236}">
              <a16:creationId xmlns:a16="http://schemas.microsoft.com/office/drawing/2014/main" id="{00000000-0008-0000-0B00-000034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38" name="shapetype_202" hidden="1">
          <a:extLst>
            <a:ext uri="{FF2B5EF4-FFF2-40B4-BE49-F238E27FC236}">
              <a16:creationId xmlns:a16="http://schemas.microsoft.com/office/drawing/2014/main" id="{00000000-0008-0000-0B00-000032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36" name="shapetype_202" hidden="1">
          <a:extLst>
            <a:ext uri="{FF2B5EF4-FFF2-40B4-BE49-F238E27FC236}">
              <a16:creationId xmlns:a16="http://schemas.microsoft.com/office/drawing/2014/main" id="{00000000-0008-0000-0B00-000030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34" name="shapetype_202" hidden="1">
          <a:extLst>
            <a:ext uri="{FF2B5EF4-FFF2-40B4-BE49-F238E27FC236}">
              <a16:creationId xmlns:a16="http://schemas.microsoft.com/office/drawing/2014/main" id="{00000000-0008-0000-0B00-00002E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32" name="shapetype_202" hidden="1">
          <a:extLst>
            <a:ext uri="{FF2B5EF4-FFF2-40B4-BE49-F238E27FC236}">
              <a16:creationId xmlns:a16="http://schemas.microsoft.com/office/drawing/2014/main" id="{00000000-0008-0000-0B00-00002C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30" name="shapetype_202" hidden="1">
          <a:extLst>
            <a:ext uri="{FF2B5EF4-FFF2-40B4-BE49-F238E27FC236}">
              <a16:creationId xmlns:a16="http://schemas.microsoft.com/office/drawing/2014/main" id="{00000000-0008-0000-0B00-00002A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28" name="shapetype_202" hidden="1">
          <a:extLst>
            <a:ext uri="{FF2B5EF4-FFF2-40B4-BE49-F238E27FC236}">
              <a16:creationId xmlns:a16="http://schemas.microsoft.com/office/drawing/2014/main" id="{00000000-0008-0000-0B00-000028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26" name="shapetype_202" hidden="1">
          <a:extLst>
            <a:ext uri="{FF2B5EF4-FFF2-40B4-BE49-F238E27FC236}">
              <a16:creationId xmlns:a16="http://schemas.microsoft.com/office/drawing/2014/main" id="{00000000-0008-0000-0B00-000026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24" name="shapetype_202" hidden="1">
          <a:extLst>
            <a:ext uri="{FF2B5EF4-FFF2-40B4-BE49-F238E27FC236}">
              <a16:creationId xmlns:a16="http://schemas.microsoft.com/office/drawing/2014/main" id="{00000000-0008-0000-0B00-000024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22" name="shapetype_202" hidden="1">
          <a:extLst>
            <a:ext uri="{FF2B5EF4-FFF2-40B4-BE49-F238E27FC236}">
              <a16:creationId xmlns:a16="http://schemas.microsoft.com/office/drawing/2014/main" id="{00000000-0008-0000-0B00-000022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20" name="shapetype_202" hidden="1">
          <a:extLst>
            <a:ext uri="{FF2B5EF4-FFF2-40B4-BE49-F238E27FC236}">
              <a16:creationId xmlns:a16="http://schemas.microsoft.com/office/drawing/2014/main" id="{00000000-0008-0000-0B00-000020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18" name="shapetype_202" hidden="1">
          <a:extLst>
            <a:ext uri="{FF2B5EF4-FFF2-40B4-BE49-F238E27FC236}">
              <a16:creationId xmlns:a16="http://schemas.microsoft.com/office/drawing/2014/main" id="{00000000-0008-0000-0B00-00001E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16" name="shapetype_202" hidden="1">
          <a:extLst>
            <a:ext uri="{FF2B5EF4-FFF2-40B4-BE49-F238E27FC236}">
              <a16:creationId xmlns:a16="http://schemas.microsoft.com/office/drawing/2014/main" id="{00000000-0008-0000-0B00-00001C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14" name="shapetype_202" hidden="1">
          <a:extLst>
            <a:ext uri="{FF2B5EF4-FFF2-40B4-BE49-F238E27FC236}">
              <a16:creationId xmlns:a16="http://schemas.microsoft.com/office/drawing/2014/main" id="{00000000-0008-0000-0B00-00001A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12" name="shapetype_202" hidden="1">
          <a:extLst>
            <a:ext uri="{FF2B5EF4-FFF2-40B4-BE49-F238E27FC236}">
              <a16:creationId xmlns:a16="http://schemas.microsoft.com/office/drawing/2014/main" id="{00000000-0008-0000-0B00-000018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10" name="shapetype_202" hidden="1">
          <a:extLst>
            <a:ext uri="{FF2B5EF4-FFF2-40B4-BE49-F238E27FC236}">
              <a16:creationId xmlns:a16="http://schemas.microsoft.com/office/drawing/2014/main" id="{00000000-0008-0000-0B00-000016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08" name="shapetype_202" hidden="1">
          <a:extLst>
            <a:ext uri="{FF2B5EF4-FFF2-40B4-BE49-F238E27FC236}">
              <a16:creationId xmlns:a16="http://schemas.microsoft.com/office/drawing/2014/main" id="{00000000-0008-0000-0B00-000014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06" name="shapetype_202" hidden="1">
          <a:extLst>
            <a:ext uri="{FF2B5EF4-FFF2-40B4-BE49-F238E27FC236}">
              <a16:creationId xmlns:a16="http://schemas.microsoft.com/office/drawing/2014/main" id="{00000000-0008-0000-0B00-000012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04" name="shapetype_202" hidden="1">
          <a:extLst>
            <a:ext uri="{FF2B5EF4-FFF2-40B4-BE49-F238E27FC236}">
              <a16:creationId xmlns:a16="http://schemas.microsoft.com/office/drawing/2014/main" id="{00000000-0008-0000-0B00-000010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02" name="shapetype_202" hidden="1">
          <a:extLst>
            <a:ext uri="{FF2B5EF4-FFF2-40B4-BE49-F238E27FC236}">
              <a16:creationId xmlns:a16="http://schemas.microsoft.com/office/drawing/2014/main" id="{00000000-0008-0000-0B00-00000E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300" name="shapetype_202" hidden="1">
          <a:extLst>
            <a:ext uri="{FF2B5EF4-FFF2-40B4-BE49-F238E27FC236}">
              <a16:creationId xmlns:a16="http://schemas.microsoft.com/office/drawing/2014/main" id="{00000000-0008-0000-0B00-00000C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298" name="shapetype_202" hidden="1">
          <a:extLst>
            <a:ext uri="{FF2B5EF4-FFF2-40B4-BE49-F238E27FC236}">
              <a16:creationId xmlns:a16="http://schemas.microsoft.com/office/drawing/2014/main" id="{00000000-0008-0000-0B00-00000A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296" name="shapetype_202" hidden="1">
          <a:extLst>
            <a:ext uri="{FF2B5EF4-FFF2-40B4-BE49-F238E27FC236}">
              <a16:creationId xmlns:a16="http://schemas.microsoft.com/office/drawing/2014/main" id="{00000000-0008-0000-0B00-000008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294" name="shapetype_202" hidden="1">
          <a:extLst>
            <a:ext uri="{FF2B5EF4-FFF2-40B4-BE49-F238E27FC236}">
              <a16:creationId xmlns:a16="http://schemas.microsoft.com/office/drawing/2014/main" id="{00000000-0008-0000-0B00-000006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292" name="shapetype_202" hidden="1">
          <a:extLst>
            <a:ext uri="{FF2B5EF4-FFF2-40B4-BE49-F238E27FC236}">
              <a16:creationId xmlns:a16="http://schemas.microsoft.com/office/drawing/2014/main" id="{00000000-0008-0000-0B00-000004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419100</xdr:colOff>
      <xdr:row>37</xdr:row>
      <xdr:rowOff>152400</xdr:rowOff>
    </xdr:to>
    <xdr:sp macro="" textlink="">
      <xdr:nvSpPr>
        <xdr:cNvPr id="12290" name="shapetype_202" hidden="1">
          <a:extLst>
            <a:ext uri="{FF2B5EF4-FFF2-40B4-BE49-F238E27FC236}">
              <a16:creationId xmlns:a16="http://schemas.microsoft.com/office/drawing/2014/main" id="{00000000-0008-0000-0B00-000002300000}"/>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sheetPr>
  <dimension ref="A1"/>
  <sheetViews>
    <sheetView zoomScaleNormal="100" workbookViewId="0"/>
  </sheetViews>
  <sheetFormatPr defaultRowHeight="12.5"/>
  <cols>
    <col min="1" max="64" width="8.54296875" customWidth="1"/>
    <col min="65" max="1025" width="11.54296875"/>
  </cols>
  <sheetData/>
  <pageMargins left="0.51180555555555496" right="0.51180555555555496" top="0.78749999999999998" bottom="0.78749999999999998"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28"/>
  <sheetViews>
    <sheetView tabSelected="1" zoomScaleNormal="100" workbookViewId="0">
      <selection activeCell="B7" sqref="B7:D7"/>
    </sheetView>
  </sheetViews>
  <sheetFormatPr defaultRowHeight="14.5"/>
  <cols>
    <col min="1" max="1" width="25.453125" style="1" customWidth="1"/>
    <col min="2" max="2" width="10" style="1" customWidth="1"/>
    <col min="3" max="3" width="14.36328125" style="1" customWidth="1"/>
    <col min="4" max="4" width="6.6328125" style="1" customWidth="1"/>
    <col min="5" max="5" width="27" style="1" customWidth="1"/>
    <col min="6" max="6" width="8.36328125" style="1" customWidth="1"/>
    <col min="7" max="7" width="23.54296875" style="1" customWidth="1"/>
    <col min="8" max="64" width="8.90625" style="1" customWidth="1"/>
    <col min="65" max="1025" width="8.90625" customWidth="1"/>
  </cols>
  <sheetData>
    <row r="1" spans="1:64" ht="69" customHeight="1">
      <c r="A1" s="2" t="s">
        <v>0</v>
      </c>
      <c r="B1" s="213" t="s">
        <v>1</v>
      </c>
      <c r="C1" s="213"/>
      <c r="D1" s="213"/>
      <c r="E1" s="213"/>
      <c r="F1" s="213"/>
      <c r="G1" s="213"/>
      <c r="H1" s="3"/>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row>
    <row r="2" spans="1:64" ht="9" customHeight="1"/>
    <row r="3" spans="1:64" ht="15.5">
      <c r="A3" s="210" t="s">
        <v>2</v>
      </c>
      <c r="B3" s="210"/>
      <c r="C3" s="210"/>
      <c r="D3" s="210"/>
      <c r="E3" s="210"/>
      <c r="F3" s="210"/>
      <c r="G3" s="210"/>
    </row>
    <row r="4" spans="1:64">
      <c r="A4" s="5" t="s">
        <v>3</v>
      </c>
      <c r="B4" s="214"/>
      <c r="C4" s="214"/>
      <c r="D4" s="214"/>
      <c r="E4" s="5" t="s">
        <v>4</v>
      </c>
      <c r="F4" s="214" t="s">
        <v>5</v>
      </c>
      <c r="G4" s="214"/>
    </row>
    <row r="5" spans="1:64">
      <c r="A5" s="5" t="s">
        <v>6</v>
      </c>
      <c r="B5" s="214"/>
      <c r="C5" s="214"/>
      <c r="D5" s="214"/>
      <c r="E5" s="5" t="s">
        <v>7</v>
      </c>
      <c r="F5" s="214"/>
      <c r="G5" s="214"/>
    </row>
    <row r="6" spans="1:64">
      <c r="A6" s="5" t="s">
        <v>8</v>
      </c>
      <c r="B6" s="211"/>
      <c r="C6" s="211"/>
      <c r="D6" s="211"/>
      <c r="E6" s="5" t="s">
        <v>9</v>
      </c>
      <c r="F6" s="212"/>
      <c r="G6" s="212"/>
    </row>
    <row r="7" spans="1:64">
      <c r="A7" s="5" t="s">
        <v>10</v>
      </c>
      <c r="B7" s="269" t="str">
        <f>IF($B$5="Detalhada",IF('AFP - Detalhada'!P5&lt;&gt;"",'AFP - Detalhada'!P5,""),IF($B$5="Estimativa",IF('AFP - Estimativa'!K5&lt;&gt;"",'AFP - Estimativa'!K5,""),IF($B$5="Indicativa",IF('AFP - Indicativa'!H5&lt;&gt;"",'AFP - Indicativa'!H5,""),"")))</f>
        <v/>
      </c>
      <c r="C7" s="269"/>
      <c r="D7" s="269"/>
      <c r="E7" s="5" t="s">
        <v>11</v>
      </c>
      <c r="F7" s="212" t="str">
        <f>IF($B$5="Detalhada",IF('AFP - Detalhada'!P6&lt;&gt;"",'AFP - Detalhada'!P6,""),IF($B$5="Estimativa",IF('AFP - Estimativa'!K6&lt;&gt;"",'AFP - Estimativa'!K6,""),IF($B$5="Indicativa",IF('AFP - Indicativa'!H6&lt;&gt;"",'AFP - Indicativa'!H6,""),"")))</f>
        <v/>
      </c>
      <c r="G7" s="212"/>
    </row>
    <row r="9" spans="1:64" ht="15.5">
      <c r="A9" s="210" t="s">
        <v>12</v>
      </c>
      <c r="B9" s="210"/>
      <c r="C9" s="210"/>
      <c r="D9" s="210"/>
      <c r="E9" s="210"/>
      <c r="F9" s="210"/>
      <c r="G9" s="210"/>
      <c r="J9" s="6"/>
    </row>
    <row r="10" spans="1:64" ht="42.65" customHeight="1">
      <c r="A10" s="209" t="str">
        <f>IF(Tipo_Contagem&lt;&gt;"","Obtenção do tamanho funcional (APF) "&amp;IF(Tipo_Contagem="Estimativa","Estimado", IF(Tipo_Contagem="Indicativa", "Indicativo", "Detalhado"))&amp;" das funcionalidades solicitadas/entregues na OS "&amp;IF(B4&lt;&gt;"",B4,"em questão"),"")</f>
        <v/>
      </c>
      <c r="B10" s="209"/>
      <c r="C10" s="209"/>
      <c r="D10" s="209"/>
      <c r="E10" s="209"/>
      <c r="F10" s="209"/>
      <c r="G10" s="209"/>
    </row>
    <row r="12" spans="1:64" ht="15.5">
      <c r="A12" s="210" t="s">
        <v>13</v>
      </c>
      <c r="B12" s="210"/>
      <c r="C12" s="210"/>
      <c r="D12" s="210"/>
      <c r="E12" s="210"/>
      <c r="F12" s="210"/>
      <c r="G12" s="210"/>
    </row>
    <row r="13" spans="1:64" ht="46.75" customHeight="1">
      <c r="A13" s="209"/>
      <c r="B13" s="209"/>
      <c r="C13" s="209"/>
      <c r="D13" s="209"/>
      <c r="E13" s="209"/>
      <c r="F13" s="209"/>
      <c r="G13" s="209"/>
    </row>
    <row r="15" spans="1:64" ht="15.5">
      <c r="A15" s="210" t="s">
        <v>14</v>
      </c>
      <c r="B15" s="210"/>
      <c r="C15" s="210"/>
      <c r="E15" s="210" t="s">
        <v>15</v>
      </c>
      <c r="F15" s="210"/>
      <c r="G15" s="210"/>
    </row>
    <row r="16" spans="1:64" ht="13.75" customHeight="1">
      <c r="A16" s="204" t="s">
        <v>16</v>
      </c>
      <c r="B16" s="204"/>
      <c r="C16" s="7" t="str">
        <f>IF((IF($B$5="Detalhada",SUMIF('AFP - Detalhada'!$J$10:$J382,"AIE",'AFP - Detalhada'!$S$10:$S382),IF($B$5="Estimativa",SUMIF('AFP - Estimativa'!$J$10:$J382,"AIE",'AFP - Estimativa'!$K$10:$K382)*(1+'AFP - Estimativa'!$D$6),IF($B$5="Indicativa",SUMIF('AFP - Indicativa'!$H$10:$H$109,"AIE",'AFP - Indicativa'!$I$10:$I$109)*(1+'AFP - Indicativa'!$F$6))))),(IF($B$5="Detalhada",SUMIF('AFP - Detalhada'!$J$10:$J382,"AIE",'AFP - Detalhada'!$S$10:$S382),IF($B$5="Estimativa",SUMIF('AFP - Estimativa'!$J$10:$J382,"AIE",'AFP - Estimativa'!$K$10:$K382)*(1+'AFP - Estimativa'!$D$6),IF($B$5="Indicativa",SUMIF('AFP - Indicativa'!$H$10:$H$109,"AIE",'AFP - Indicativa'!$I$10:$I$109)*(1+'AFP - Indicativa'!$F$6))))),"")</f>
        <v/>
      </c>
      <c r="E16" s="208" t="s">
        <v>17</v>
      </c>
      <c r="F16" s="208"/>
      <c r="G16" s="208"/>
    </row>
    <row r="17" spans="1:10" ht="15" customHeight="1">
      <c r="A17" s="204" t="s">
        <v>18</v>
      </c>
      <c r="B17" s="204"/>
      <c r="C17" s="7" t="str">
        <f>IF((IF($B$5="Detalhada",SUMIF('AFP - Detalhada'!$J$10:$J382,"ALI",'AFP - Detalhada'!$S$10:$S382),IF($B$5="Estimativa",SUMIF('AFP - Estimativa'!$J$10:$J382,"ALI",'AFP - Estimativa'!$K$10:$K382)*(1+'AFP - Estimativa'!$D$6),IF($B$5="Indicativa",SUMIF('AFP - Indicativa'!$H$10:$H$109,"ALI",'AFP - Indicativa'!$I$10:$I$109)*(1+'AFP - Indicativa'!$F$6))))),IF($B$5="Detalhada",SUMIF('AFP - Detalhada'!$J$10:$J382,"ALI",'AFP - Detalhada'!$S$10:$S382),IF($B$5="Estimativa",SUMIF('AFP - Estimativa'!$J$10:$J382,"ALI",'AFP - Estimativa'!$K$10:$K382)*(1+'AFP - Estimativa'!$D$6),IF($B$5="Indicativa",SUMIF('AFP - Indicativa'!$H$10:$H$109,"ALI",'AFP - Indicativa'!$I$10:$I$109)*(1+'AFP - Indicativa'!$F$6)))),"")</f>
        <v/>
      </c>
      <c r="E17" s="208"/>
      <c r="F17" s="208"/>
      <c r="G17" s="208"/>
    </row>
    <row r="18" spans="1:10">
      <c r="A18" s="204" t="s">
        <v>19</v>
      </c>
      <c r="B18" s="204"/>
      <c r="C18" s="7" t="str">
        <f>IF($B$5="Detalhada",SUMIF('AFP - Detalhada'!$J$10:$J382,"CE",'AFP - Detalhada'!$S$10:$S382),IF($B$5="Estimativa",SUMIF('AFP - Estimativa'!$J$10:$J382,"CE",'AFP - Estimativa'!$K$10:$K382)*(1+'AFP - Estimativa'!$D$6),""))</f>
        <v/>
      </c>
      <c r="E18" s="205" t="s">
        <v>20</v>
      </c>
      <c r="F18" s="205"/>
      <c r="G18" s="8">
        <v>0.25</v>
      </c>
    </row>
    <row r="19" spans="1:10">
      <c r="A19" s="204" t="s">
        <v>21</v>
      </c>
      <c r="B19" s="204"/>
      <c r="C19" s="7" t="str">
        <f>IF($B$5="Detalhada",SUMIF('AFP - Detalhada'!$J$10:$J382,"EE",'AFP - Detalhada'!$S$10:$S382),IF($B$5="Estimativa",SUMIF('AFP - Estimativa'!$J$10:$J382,"EE",'AFP - Estimativa'!$K$10:$K382)*(1+'AFP - Estimativa'!$D$6),""))</f>
        <v/>
      </c>
      <c r="E19" s="205" t="s">
        <v>22</v>
      </c>
      <c r="F19" s="205"/>
      <c r="G19" s="9">
        <v>0.1</v>
      </c>
    </row>
    <row r="20" spans="1:10">
      <c r="A20" s="204" t="s">
        <v>23</v>
      </c>
      <c r="B20" s="204"/>
      <c r="C20" s="7" t="str">
        <f>IF($B$5="Detalhada",SUMIF('AFP - Detalhada'!$J$10:$J382,"SE",'AFP - Detalhada'!$S$10:$S382),IF($B$5="Estimativa",SUMIF('AFP - Estimativa'!$J$10:$J382,"SE",'AFP - Estimativa'!$K$10:$K382)*(1+'AFP - Estimativa'!$D$6),""))</f>
        <v/>
      </c>
      <c r="E20" s="205" t="s">
        <v>24</v>
      </c>
      <c r="F20" s="205"/>
      <c r="G20" s="9">
        <v>0.4</v>
      </c>
    </row>
    <row r="21" spans="1:10">
      <c r="A21" s="204" t="s">
        <v>25</v>
      </c>
      <c r="B21" s="204"/>
      <c r="C21" s="10" t="str">
        <f>IF($B$5="Detalhada",SUMIF('AFP - Detalhada'!$J$10:$J382,"INM",'AFP - Detalhada'!$S$10:$S382),IF($B$5="Estimativa",SUMIF('AFP - Estimativa'!$J$10:$J382,"INM",'AFP - Estimativa'!$K$10:$K382)*(1+'AFP - Estimativa'!$D$6),""))</f>
        <v/>
      </c>
      <c r="E21" s="205" t="s">
        <v>26</v>
      </c>
      <c r="F21" s="205"/>
      <c r="G21" s="9">
        <v>0.15</v>
      </c>
    </row>
    <row r="22" spans="1:10">
      <c r="A22" s="204" t="s">
        <v>27</v>
      </c>
      <c r="B22" s="204"/>
      <c r="C22" s="11" t="str">
        <f>IF(B5="Estimativa",'INM - Estimativa'!K26,(IF(B5="Detalhada",'INM - Detalhada'!P27,"")))</f>
        <v/>
      </c>
      <c r="E22" s="205" t="s">
        <v>28</v>
      </c>
      <c r="F22" s="205"/>
      <c r="G22" s="9">
        <v>0.05</v>
      </c>
    </row>
    <row r="23" spans="1:10" ht="15.5">
      <c r="A23" s="206" t="s">
        <v>29</v>
      </c>
      <c r="B23" s="206"/>
      <c r="C23" s="12">
        <f>SUM(C16:C22)</f>
        <v>0</v>
      </c>
      <c r="E23" s="205" t="s">
        <v>30</v>
      </c>
      <c r="F23" s="205"/>
      <c r="G23" s="9">
        <v>0.05</v>
      </c>
    </row>
    <row r="24" spans="1:10" ht="15.75" customHeight="1">
      <c r="A24"/>
      <c r="B24"/>
      <c r="C24"/>
      <c r="E24" s="207" t="s">
        <v>31</v>
      </c>
      <c r="F24" s="207"/>
      <c r="G24" s="13">
        <f>SUM(G18:G23)</f>
        <v>1</v>
      </c>
      <c r="J24" s="6"/>
    </row>
    <row r="25" spans="1:10" ht="15.75" customHeight="1">
      <c r="E25" s="14"/>
      <c r="F25" s="14"/>
      <c r="G25" s="15"/>
    </row>
    <row r="26" spans="1:10" ht="15.5">
      <c r="A26" s="200" t="s">
        <v>32</v>
      </c>
      <c r="B26" s="200"/>
      <c r="C26" s="16" t="str">
        <f>IF($B$5="Estimativa",$C$23+($C$23*0.35),IF($B$5="Indicativa",$C$23+($C$23*0.5),"------"))</f>
        <v>------</v>
      </c>
      <c r="E26" s="201" t="str">
        <f>CONCATENATE("Quantidade Final (A) x ",IF(F4&lt;&gt;"",IF(F4="Desenvolvimento ou manutenção","(E1)","(E2)"),""))</f>
        <v>Quantidade Final (A) x (E1)</v>
      </c>
      <c r="F26" s="201"/>
      <c r="G26" s="12">
        <f>C23*IF(F4&lt;&gt;"",IF(F4="Desenvolvimento ou manutenção",G24,C30),0)</f>
        <v>0</v>
      </c>
    </row>
    <row r="27" spans="1:10" ht="15.65" customHeight="1">
      <c r="E27" s="202" t="s">
        <v>33</v>
      </c>
      <c r="F27" s="202"/>
      <c r="G27" s="17">
        <v>1</v>
      </c>
    </row>
    <row r="28" spans="1:10" ht="15.5">
      <c r="E28" s="203" t="s">
        <v>34</v>
      </c>
      <c r="F28" s="203"/>
      <c r="G28" s="12">
        <f>G26*G27</f>
        <v>0</v>
      </c>
    </row>
  </sheetData>
  <mergeCells count="36">
    <mergeCell ref="B1:G1"/>
    <mergeCell ref="A3:G3"/>
    <mergeCell ref="B4:D4"/>
    <mergeCell ref="F4:G4"/>
    <mergeCell ref="B5:D5"/>
    <mergeCell ref="F5:G5"/>
    <mergeCell ref="B6:D6"/>
    <mergeCell ref="F6:G6"/>
    <mergeCell ref="B7:D7"/>
    <mergeCell ref="F7:G7"/>
    <mergeCell ref="A9:G9"/>
    <mergeCell ref="A10:G10"/>
    <mergeCell ref="A12:G12"/>
    <mergeCell ref="A13:G13"/>
    <mergeCell ref="A15:C15"/>
    <mergeCell ref="E15:G15"/>
    <mergeCell ref="A16:B16"/>
    <mergeCell ref="E16:G17"/>
    <mergeCell ref="A17:B17"/>
    <mergeCell ref="A18:B18"/>
    <mergeCell ref="E18:F18"/>
    <mergeCell ref="A19:B19"/>
    <mergeCell ref="E19:F19"/>
    <mergeCell ref="A20:B20"/>
    <mergeCell ref="E20:F20"/>
    <mergeCell ref="A21:B21"/>
    <mergeCell ref="E21:F21"/>
    <mergeCell ref="A26:B26"/>
    <mergeCell ref="E26:F26"/>
    <mergeCell ref="E27:F27"/>
    <mergeCell ref="E28:F28"/>
    <mergeCell ref="A22:B22"/>
    <mergeCell ref="E22:F22"/>
    <mergeCell ref="A23:B23"/>
    <mergeCell ref="E23:F23"/>
    <mergeCell ref="E24:F24"/>
  </mergeCells>
  <dataValidations count="2">
    <dataValidation type="list" operator="equal" allowBlank="1" showInputMessage="1" showErrorMessage="1" sqref="F4:G4" xr:uid="{00000000-0002-0000-0100-000000000000}">
      <formula1>"Desenvolvimento ou Manutenção,Redocumentação"</formula1>
      <formula2>0</formula2>
    </dataValidation>
    <dataValidation type="list" operator="equal" allowBlank="1" showInputMessage="1" showErrorMessage="1" sqref="B5:D5" xr:uid="{00000000-0002-0000-0100-000001000000}">
      <formula1>"Indicativa,Estimativa,Detalhada"</formula1>
      <formula2>0</formula2>
    </dataValidation>
  </dataValidations>
  <pageMargins left="0.51180555555555496" right="0.51180555555555496" top="0.78749999999999998" bottom="0.78749999999999998" header="0.51180555555555496" footer="0.51180555555555496"/>
  <pageSetup paperSize="9" firstPageNumber="0"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L384"/>
  <sheetViews>
    <sheetView zoomScaleNormal="100" workbookViewId="0"/>
  </sheetViews>
  <sheetFormatPr defaultRowHeight="12.5"/>
  <cols>
    <col min="1" max="1" width="5.54296875" style="18" customWidth="1"/>
    <col min="2" max="2" width="38.6328125" style="19" customWidth="1"/>
    <col min="3" max="3" width="8.36328125" style="19" customWidth="1"/>
    <col min="4" max="4" width="7.54296875" style="20" customWidth="1"/>
    <col min="5" max="5" width="9.6328125" style="20" customWidth="1"/>
    <col min="6" max="6" width="11.54296875" style="20"/>
    <col min="7" max="7" width="16.453125" style="20" customWidth="1"/>
    <col min="8" max="8" width="38.36328125" style="21" customWidth="1"/>
    <col min="9" max="9" width="8.08984375" style="18" customWidth="1"/>
    <col min="10" max="10" width="12.36328125" style="18" customWidth="1"/>
    <col min="11" max="11" width="8.08984375" style="18" customWidth="1"/>
    <col min="12" max="12" width="7.90625" style="18" customWidth="1"/>
    <col min="13" max="13" width="6.1796875" style="18" hidden="1" customWidth="1"/>
    <col min="14" max="14" width="5" style="19" hidden="1" customWidth="1"/>
    <col min="15" max="15" width="6.6328125" style="19" hidden="1" customWidth="1"/>
    <col min="16" max="16" width="15.08984375" style="18" customWidth="1"/>
    <col min="17" max="17" width="6.08984375" style="19" hidden="1" customWidth="1"/>
    <col min="18" max="18" width="7.90625" style="19" hidden="1" customWidth="1"/>
    <col min="19" max="20" width="8.36328125" style="19" customWidth="1"/>
    <col min="21" max="22" width="9.08984375" style="19" customWidth="1"/>
    <col min="23" max="23" width="9.6328125" style="19" customWidth="1"/>
    <col min="24" max="32" width="9.08984375" style="19" customWidth="1"/>
    <col min="33" max="64" width="8.90625" style="19" customWidth="1"/>
    <col min="65" max="1025" width="8.90625" customWidth="1"/>
  </cols>
  <sheetData>
    <row r="1" spans="1:64" ht="69" customHeight="1">
      <c r="A1" s="2" t="str">
        <f>Resumo!A1</f>
        <v>Template V.1.6</v>
      </c>
      <c r="B1" s="22"/>
      <c r="C1" s="220" t="s">
        <v>35</v>
      </c>
      <c r="D1" s="220"/>
      <c r="E1" s="220"/>
      <c r="F1" s="220"/>
      <c r="G1" s="220"/>
      <c r="H1" s="220"/>
      <c r="I1" s="220"/>
      <c r="J1" s="220"/>
      <c r="K1" s="220"/>
      <c r="L1" s="220"/>
      <c r="M1" s="220"/>
      <c r="N1" s="220"/>
      <c r="O1" s="220"/>
      <c r="P1" s="220"/>
      <c r="Q1" s="220"/>
      <c r="R1" s="220"/>
      <c r="S1" s="220"/>
      <c r="T1" s="220"/>
    </row>
    <row r="2" spans="1:64" ht="9" customHeight="1">
      <c r="A2" s="24"/>
      <c r="B2" s="24"/>
      <c r="C2" s="25"/>
      <c r="D2" s="25"/>
      <c r="E2" s="25"/>
      <c r="F2" s="25"/>
      <c r="G2" s="25"/>
      <c r="H2" s="25"/>
      <c r="I2" s="25"/>
      <c r="J2" s="25"/>
      <c r="K2" s="25"/>
      <c r="L2" s="25"/>
      <c r="M2" s="25"/>
      <c r="N2" s="25"/>
      <c r="O2" s="25"/>
      <c r="P2" s="25"/>
      <c r="Q2" s="25"/>
      <c r="R2" s="25"/>
      <c r="S2" s="25"/>
      <c r="T2" s="25"/>
    </row>
    <row r="3" spans="1:64" ht="18.649999999999999" customHeight="1">
      <c r="A3" s="19"/>
      <c r="B3" s="26"/>
      <c r="C3" s="25"/>
      <c r="D3" s="25"/>
      <c r="E3" s="25"/>
      <c r="F3" s="25"/>
      <c r="G3" s="25"/>
      <c r="H3" s="25"/>
      <c r="I3" s="25"/>
      <c r="J3" s="216" t="s">
        <v>8</v>
      </c>
      <c r="K3" s="216"/>
      <c r="L3" s="216"/>
      <c r="M3" s="25"/>
      <c r="N3" s="27"/>
      <c r="O3" s="27"/>
      <c r="P3" s="218"/>
      <c r="Q3" s="218"/>
      <c r="R3" s="218"/>
      <c r="S3" s="218"/>
      <c r="T3" s="218"/>
    </row>
    <row r="4" spans="1:64" ht="18.649999999999999" customHeight="1">
      <c r="A4" s="19"/>
      <c r="B4" s="26"/>
      <c r="C4" s="25"/>
      <c r="D4" s="25"/>
      <c r="E4" s="25"/>
      <c r="F4" s="25"/>
      <c r="G4" s="25"/>
      <c r="H4" s="25"/>
      <c r="I4" s="25"/>
      <c r="J4" s="216" t="s">
        <v>9</v>
      </c>
      <c r="K4" s="216"/>
      <c r="L4" s="216"/>
      <c r="M4" s="25"/>
      <c r="N4" s="27"/>
      <c r="O4" s="27"/>
      <c r="P4" s="219"/>
      <c r="Q4" s="219"/>
      <c r="R4" s="219"/>
      <c r="S4" s="219"/>
      <c r="T4" s="219"/>
    </row>
    <row r="5" spans="1:64" ht="18.649999999999999" customHeight="1">
      <c r="A5" s="216" t="s">
        <v>36</v>
      </c>
      <c r="B5" s="216"/>
      <c r="C5" s="216"/>
      <c r="D5" s="217" t="str">
        <f>TEXT(S384,"#.##0,0#")</f>
        <v>0,0</v>
      </c>
      <c r="E5" s="217"/>
      <c r="F5" s="25"/>
      <c r="G5" s="25"/>
      <c r="H5" s="25"/>
      <c r="I5" s="25"/>
      <c r="J5" s="216" t="s">
        <v>10</v>
      </c>
      <c r="K5" s="216"/>
      <c r="L5" s="216"/>
      <c r="M5" s="25"/>
      <c r="N5" s="27"/>
      <c r="O5" s="27"/>
      <c r="P5" s="218"/>
      <c r="Q5" s="218"/>
      <c r="R5" s="218"/>
      <c r="S5" s="218"/>
      <c r="T5" s="218"/>
    </row>
    <row r="6" spans="1:64" ht="18.649999999999999" customHeight="1">
      <c r="A6" s="216"/>
      <c r="B6" s="216"/>
      <c r="C6" s="216"/>
      <c r="D6" s="217"/>
      <c r="E6" s="217"/>
      <c r="F6" s="25"/>
      <c r="G6" s="25"/>
      <c r="H6" s="25"/>
      <c r="I6" s="25"/>
      <c r="J6" s="216" t="s">
        <v>11</v>
      </c>
      <c r="K6" s="216"/>
      <c r="L6" s="216"/>
      <c r="M6" s="25"/>
      <c r="N6" s="27"/>
      <c r="O6" s="27"/>
      <c r="P6" s="219"/>
      <c r="Q6" s="219"/>
      <c r="R6" s="219"/>
      <c r="S6" s="219"/>
      <c r="T6" s="219"/>
    </row>
    <row r="7" spans="1:64" ht="9" customHeight="1">
      <c r="A7" s="28"/>
      <c r="B7" s="29"/>
      <c r="C7" s="29"/>
      <c r="D7" s="29"/>
      <c r="E7" s="29"/>
      <c r="F7" s="29"/>
      <c r="G7" s="29"/>
      <c r="H7" s="29"/>
      <c r="I7" s="29"/>
      <c r="J7" s="29"/>
      <c r="K7" s="29"/>
      <c r="L7" s="29"/>
      <c r="M7" s="29"/>
      <c r="N7" s="29"/>
      <c r="O7" s="29"/>
      <c r="P7" s="29"/>
      <c r="Q7" s="29"/>
      <c r="R7" s="29"/>
      <c r="S7" s="29"/>
      <c r="T7" s="29"/>
    </row>
    <row r="8" spans="1:64" ht="27.65" customHeight="1">
      <c r="A8" s="30" t="s">
        <v>37</v>
      </c>
      <c r="B8" s="31" t="s">
        <v>38</v>
      </c>
      <c r="C8" s="31" t="s">
        <v>39</v>
      </c>
      <c r="D8" s="31" t="s">
        <v>40</v>
      </c>
      <c r="E8" s="31" t="s">
        <v>41</v>
      </c>
      <c r="F8" s="31" t="s">
        <v>42</v>
      </c>
      <c r="G8" s="31" t="s">
        <v>43</v>
      </c>
      <c r="H8" s="32" t="s">
        <v>44</v>
      </c>
      <c r="I8" s="33" t="s">
        <v>45</v>
      </c>
      <c r="J8" s="34" t="s">
        <v>46</v>
      </c>
      <c r="K8" s="33" t="s">
        <v>47</v>
      </c>
      <c r="L8" s="33" t="s">
        <v>48</v>
      </c>
      <c r="M8" s="33" t="s">
        <v>49</v>
      </c>
      <c r="N8" s="34" t="s">
        <v>50</v>
      </c>
      <c r="O8" s="34" t="s">
        <v>51</v>
      </c>
      <c r="P8" s="34" t="s">
        <v>52</v>
      </c>
      <c r="Q8" s="34" t="s">
        <v>53</v>
      </c>
      <c r="R8" s="34" t="s">
        <v>54</v>
      </c>
      <c r="S8" s="34" t="s">
        <v>55</v>
      </c>
      <c r="T8" s="34" t="s">
        <v>56</v>
      </c>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row>
    <row r="9" spans="1:64" ht="14">
      <c r="A9" s="215" t="s">
        <v>57</v>
      </c>
      <c r="B9" s="215"/>
      <c r="C9" s="215"/>
      <c r="D9" s="215"/>
      <c r="E9" s="215"/>
      <c r="F9" s="215"/>
      <c r="G9" s="215"/>
      <c r="H9" s="215"/>
      <c r="I9" s="215"/>
      <c r="J9" s="215"/>
      <c r="K9" s="215"/>
      <c r="L9" s="215"/>
      <c r="M9" s="215"/>
      <c r="N9" s="215"/>
      <c r="O9" s="215"/>
      <c r="P9" s="215"/>
      <c r="Q9" s="215"/>
      <c r="R9" s="215"/>
      <c r="S9" s="215"/>
      <c r="T9" s="215"/>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row>
    <row r="10" spans="1:64" ht="14">
      <c r="A10" s="37"/>
      <c r="B10" s="38"/>
      <c r="C10" s="39">
        <f t="shared" ref="C10:C73" si="0">IF($B10&lt;&gt;"",VLOOKUP($B10,Matriz_INM,2,0),0)</f>
        <v>0</v>
      </c>
      <c r="D10" s="40"/>
      <c r="E10" s="40"/>
      <c r="F10" s="40"/>
      <c r="G10" s="40"/>
      <c r="H10" s="41"/>
      <c r="I10" s="42"/>
      <c r="J10" s="40"/>
      <c r="K10" s="42"/>
      <c r="L10" s="42"/>
      <c r="M10" s="43" t="str">
        <f t="shared" ref="M10:M73" si="1">IFERROR(VLOOKUP($B10,Matriz_INM,3,0),"")</f>
        <v/>
      </c>
      <c r="N10" s="41" t="str">
        <f t="shared" ref="N10:N73" si="2">IF(J10="EE",IF(OR(AND(OR(L10=1,L10=0),K10&gt;0,K10&lt;5),AND(OR(L10=1,L10=0),K10&gt;4,K10&lt;16),AND(L10=2,K10&gt;0,K10&lt;5)),"Simples",IF(OR(AND(OR(L10=1,L10=0),K10&gt;15),AND(L10=2,K10&gt;4,K10&lt;16),AND(L10&gt;2,K10&gt;0,K10&lt;5)),"Médio",IF(OR(AND(L10=2,K10&gt;15),AND(L10&gt;2,K10&gt;4,K10&lt;16),AND(L10&gt;2,K10&gt;15)),"Complexo",""))), IF(OR(J10="CE",J10="SE"),IF(OR(AND(OR(L10=1,L10=0),K10&gt;0,K10&lt;6),AND(OR(L10=1,L10=0),K10&gt;5,K10&lt;20),AND(L10&gt;1,L10&lt;4,K10&gt;0,K10&lt;6)),"Simples",IF(OR(AND(OR(L10=1,L10=0),K10&gt;19),AND(L10&gt;1,L10&lt;4,K10&gt;5,K10&lt;20),AND(L10&gt;3,K10&gt;0,K10&lt;6)),"Médio",IF(OR(AND(L10&gt;1,L10&lt;4,K10&gt;19),AND(L10&gt;3,K10&gt;5,K10&lt;20),AND(L10&gt;3,K10&gt;19)),"Complexo",""))),""))</f>
        <v/>
      </c>
      <c r="O10" s="41" t="str">
        <f t="shared" ref="O10:O73" si="3">IF(J10="ALI",IF(OR(AND(OR(L10=1,L10=0),K10&gt;0,K10&lt;20),AND(OR(L10=1,L10=0),K10&gt;19,K10&lt;51),AND(L10&gt;1,L10&lt;6,K10&gt;0,K10&lt;20)),"Simples",IF(OR(AND(OR(L10=1,L10=0),K10&gt;50),AND(L10&gt;1,L10&lt;6,K10&gt;19,K10&lt;51),AND(L10&gt;5,K10&gt;0,K10&lt;20)),"Médio",IF(OR(AND(L10&gt;1,L10&lt;6,K10&gt;50),AND(L10&gt;5,K10&gt;19,K10&lt;51),AND(L10&gt;5,K10&gt;50)),"Complexo",""))), IF(J10="AIE",IF(OR(AND(OR(L10=1, L10=0),K10&gt;0,K10&lt;20),AND(OR(L10=1, L10=0),K10&gt;19,K10&lt;51),AND(L10&gt;1,L10&lt;6,K10&gt;0,K10&lt;20)),"Simples",IF(OR(AND(OR(L10=1, L10=0),K10&gt;50),AND(L10&gt;1,L10&lt;6,K10&gt;19,K10&lt;51),AND(L10&gt;5,K10&gt;0,K10&lt;20)),"Médio",IF(OR(AND(L10&gt;1,L10&lt;6,K10&gt;50),AND(L10&gt;5,K10&gt;19,K10&lt;51),AND(L10&gt;5,K10&gt;50)),"Complexo",""))),""))</f>
        <v/>
      </c>
      <c r="P10" s="44" t="str">
        <f t="shared" ref="P10:P73" si="4">IF(N10="",O10,IF(O10="",N10,""))</f>
        <v/>
      </c>
      <c r="Q10" s="45">
        <f t="shared" ref="Q10:Q73" si="5">IF(AND(OR(J10="EE",J10="CE"),P10="Simples"),3, IF(AND(OR(J10="EE",J10="CE"),P10="Médio"),4, IF(AND(OR(J10="EE",J10="CE"),P10="Complexo"),6, IF(AND(J10="SE",P10="Simples"),4, IF(AND(J10="SE",P10="Médio"),5, IF(AND(J10="SE",P10="Complexo"),7,0))))))</f>
        <v>0</v>
      </c>
      <c r="R10" s="45">
        <f t="shared" ref="R10:R73" si="6">IF(AND(J10="ALI",O10="Simples"),7, IF(AND(J10="ALI",O10="Médio"),10, IF(AND(J10="ALI",O10="Complexo"),15, IF(AND(J10="AIE",O10="Simples"),5, IF(AND(J10="AIE",O10="Médio"),7, IF(AND(J10="AIE",O10="Complexo"),10,0))))))</f>
        <v>0</v>
      </c>
      <c r="S10" s="44">
        <f t="shared" ref="S10:S73" si="7">IF($M10="%",($Q10+$R10)*$C10,$C10*$I10)</f>
        <v>0</v>
      </c>
      <c r="T10" s="40"/>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4" ht="14">
      <c r="A11" s="37"/>
      <c r="B11" s="38"/>
      <c r="C11" s="39">
        <f t="shared" si="0"/>
        <v>0</v>
      </c>
      <c r="D11" s="40"/>
      <c r="E11" s="40"/>
      <c r="F11" s="40"/>
      <c r="G11" s="40"/>
      <c r="H11" s="41"/>
      <c r="I11" s="42"/>
      <c r="J11" s="40"/>
      <c r="K11" s="42"/>
      <c r="L11" s="42"/>
      <c r="M11" s="43" t="str">
        <f t="shared" si="1"/>
        <v/>
      </c>
      <c r="N11" s="41" t="str">
        <f t="shared" si="2"/>
        <v/>
      </c>
      <c r="O11" s="41" t="str">
        <f t="shared" si="3"/>
        <v/>
      </c>
      <c r="P11" s="44" t="str">
        <f t="shared" si="4"/>
        <v/>
      </c>
      <c r="Q11" s="45">
        <f t="shared" si="5"/>
        <v>0</v>
      </c>
      <c r="R11" s="45">
        <f t="shared" si="6"/>
        <v>0</v>
      </c>
      <c r="S11" s="44">
        <f t="shared" si="7"/>
        <v>0</v>
      </c>
      <c r="T11" s="40"/>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row>
    <row r="12" spans="1:64" ht="14">
      <c r="A12" s="37"/>
      <c r="B12" s="38"/>
      <c r="C12" s="39">
        <f t="shared" si="0"/>
        <v>0</v>
      </c>
      <c r="D12" s="40"/>
      <c r="E12" s="40"/>
      <c r="F12" s="40"/>
      <c r="G12" s="40"/>
      <c r="H12" s="41"/>
      <c r="I12" s="42"/>
      <c r="J12" s="40"/>
      <c r="K12" s="42"/>
      <c r="L12" s="42"/>
      <c r="M12" s="43" t="str">
        <f t="shared" si="1"/>
        <v/>
      </c>
      <c r="N12" s="41" t="str">
        <f t="shared" si="2"/>
        <v/>
      </c>
      <c r="O12" s="41" t="str">
        <f t="shared" si="3"/>
        <v/>
      </c>
      <c r="P12" s="44" t="str">
        <f t="shared" si="4"/>
        <v/>
      </c>
      <c r="Q12" s="45">
        <f t="shared" si="5"/>
        <v>0</v>
      </c>
      <c r="R12" s="45">
        <f t="shared" si="6"/>
        <v>0</v>
      </c>
      <c r="S12" s="44">
        <f t="shared" si="7"/>
        <v>0</v>
      </c>
      <c r="T12" s="40"/>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row>
    <row r="13" spans="1:64" ht="14">
      <c r="A13" s="37"/>
      <c r="B13" s="38"/>
      <c r="C13" s="39">
        <f t="shared" si="0"/>
        <v>0</v>
      </c>
      <c r="D13" s="40"/>
      <c r="E13" s="40"/>
      <c r="F13" s="40"/>
      <c r="G13" s="40"/>
      <c r="H13" s="41"/>
      <c r="I13" s="42"/>
      <c r="J13" s="40"/>
      <c r="K13" s="42"/>
      <c r="L13" s="42"/>
      <c r="M13" s="43" t="str">
        <f t="shared" si="1"/>
        <v/>
      </c>
      <c r="N13" s="41" t="str">
        <f t="shared" si="2"/>
        <v/>
      </c>
      <c r="O13" s="41" t="str">
        <f t="shared" si="3"/>
        <v/>
      </c>
      <c r="P13" s="44" t="str">
        <f t="shared" si="4"/>
        <v/>
      </c>
      <c r="Q13" s="45">
        <f t="shared" si="5"/>
        <v>0</v>
      </c>
      <c r="R13" s="45">
        <f t="shared" si="6"/>
        <v>0</v>
      </c>
      <c r="S13" s="44">
        <f t="shared" si="7"/>
        <v>0</v>
      </c>
      <c r="T13" s="40"/>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row>
    <row r="14" spans="1:64" ht="14">
      <c r="A14" s="37"/>
      <c r="B14" s="38"/>
      <c r="C14" s="39">
        <f t="shared" si="0"/>
        <v>0</v>
      </c>
      <c r="D14" s="40"/>
      <c r="E14" s="40"/>
      <c r="F14" s="46"/>
      <c r="G14" s="40"/>
      <c r="H14" s="41"/>
      <c r="I14" s="42"/>
      <c r="J14" s="40"/>
      <c r="K14" s="42"/>
      <c r="L14" s="42"/>
      <c r="M14" s="43" t="str">
        <f t="shared" si="1"/>
        <v/>
      </c>
      <c r="N14" s="41" t="str">
        <f t="shared" si="2"/>
        <v/>
      </c>
      <c r="O14" s="41" t="str">
        <f t="shared" si="3"/>
        <v/>
      </c>
      <c r="P14" s="44" t="str">
        <f t="shared" si="4"/>
        <v/>
      </c>
      <c r="Q14" s="45">
        <f t="shared" si="5"/>
        <v>0</v>
      </c>
      <c r="R14" s="45">
        <f t="shared" si="6"/>
        <v>0</v>
      </c>
      <c r="S14" s="44">
        <f t="shared" si="7"/>
        <v>0</v>
      </c>
      <c r="T14" s="40"/>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row>
    <row r="15" spans="1:64" ht="14">
      <c r="A15" s="37"/>
      <c r="B15" s="38"/>
      <c r="C15" s="39">
        <f t="shared" si="0"/>
        <v>0</v>
      </c>
      <c r="D15" s="40"/>
      <c r="E15" s="40"/>
      <c r="F15" s="40"/>
      <c r="G15" s="40"/>
      <c r="H15" s="41"/>
      <c r="I15" s="42"/>
      <c r="J15" s="40"/>
      <c r="K15" s="42"/>
      <c r="L15" s="42"/>
      <c r="M15" s="43" t="str">
        <f t="shared" si="1"/>
        <v/>
      </c>
      <c r="N15" s="41" t="str">
        <f t="shared" si="2"/>
        <v/>
      </c>
      <c r="O15" s="41" t="str">
        <f t="shared" si="3"/>
        <v/>
      </c>
      <c r="P15" s="44" t="str">
        <f t="shared" si="4"/>
        <v/>
      </c>
      <c r="Q15" s="45">
        <f t="shared" si="5"/>
        <v>0</v>
      </c>
      <c r="R15" s="45">
        <f t="shared" si="6"/>
        <v>0</v>
      </c>
      <c r="S15" s="44">
        <f t="shared" si="7"/>
        <v>0</v>
      </c>
      <c r="T15" s="40"/>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row>
    <row r="16" spans="1:64" ht="14">
      <c r="A16" s="37"/>
      <c r="B16" s="38"/>
      <c r="C16" s="39">
        <f t="shared" si="0"/>
        <v>0</v>
      </c>
      <c r="D16" s="40"/>
      <c r="E16" s="40"/>
      <c r="F16" s="40"/>
      <c r="G16" s="40"/>
      <c r="H16" s="41"/>
      <c r="I16" s="42"/>
      <c r="J16" s="40"/>
      <c r="K16" s="42"/>
      <c r="L16" s="42"/>
      <c r="M16" s="43" t="str">
        <f t="shared" si="1"/>
        <v/>
      </c>
      <c r="N16" s="41" t="str">
        <f t="shared" si="2"/>
        <v/>
      </c>
      <c r="O16" s="41" t="str">
        <f t="shared" si="3"/>
        <v/>
      </c>
      <c r="P16" s="44" t="str">
        <f t="shared" si="4"/>
        <v/>
      </c>
      <c r="Q16" s="45">
        <f t="shared" si="5"/>
        <v>0</v>
      </c>
      <c r="R16" s="45">
        <f t="shared" si="6"/>
        <v>0</v>
      </c>
      <c r="S16" s="44">
        <f t="shared" si="7"/>
        <v>0</v>
      </c>
      <c r="T16" s="40"/>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row>
    <row r="17" spans="1:64" ht="14">
      <c r="A17" s="37"/>
      <c r="B17" s="38"/>
      <c r="C17" s="39">
        <f t="shared" si="0"/>
        <v>0</v>
      </c>
      <c r="D17" s="40"/>
      <c r="E17" s="40"/>
      <c r="F17" s="40"/>
      <c r="G17" s="40"/>
      <c r="H17" s="41"/>
      <c r="I17" s="42"/>
      <c r="J17" s="40"/>
      <c r="K17" s="42"/>
      <c r="L17" s="42"/>
      <c r="M17" s="43" t="str">
        <f t="shared" si="1"/>
        <v/>
      </c>
      <c r="N17" s="41" t="str">
        <f t="shared" si="2"/>
        <v/>
      </c>
      <c r="O17" s="41" t="str">
        <f t="shared" si="3"/>
        <v/>
      </c>
      <c r="P17" s="44" t="str">
        <f t="shared" si="4"/>
        <v/>
      </c>
      <c r="Q17" s="45">
        <f t="shared" si="5"/>
        <v>0</v>
      </c>
      <c r="R17" s="45">
        <f t="shared" si="6"/>
        <v>0</v>
      </c>
      <c r="S17" s="44">
        <f t="shared" si="7"/>
        <v>0</v>
      </c>
      <c r="T17" s="40"/>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row>
    <row r="18" spans="1:64" ht="14">
      <c r="A18" s="37"/>
      <c r="B18" s="38"/>
      <c r="C18" s="39">
        <f t="shared" si="0"/>
        <v>0</v>
      </c>
      <c r="D18" s="40"/>
      <c r="E18" s="40"/>
      <c r="F18" s="40"/>
      <c r="G18" s="40"/>
      <c r="H18" s="41"/>
      <c r="I18" s="42"/>
      <c r="J18" s="40"/>
      <c r="K18" s="42"/>
      <c r="L18" s="42"/>
      <c r="M18" s="43" t="str">
        <f t="shared" si="1"/>
        <v/>
      </c>
      <c r="N18" s="41" t="str">
        <f t="shared" si="2"/>
        <v/>
      </c>
      <c r="O18" s="41" t="str">
        <f t="shared" si="3"/>
        <v/>
      </c>
      <c r="P18" s="44" t="str">
        <f t="shared" si="4"/>
        <v/>
      </c>
      <c r="Q18" s="45">
        <f t="shared" si="5"/>
        <v>0</v>
      </c>
      <c r="R18" s="45">
        <f t="shared" si="6"/>
        <v>0</v>
      </c>
      <c r="S18" s="44">
        <f t="shared" si="7"/>
        <v>0</v>
      </c>
      <c r="T18" s="40"/>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row>
    <row r="19" spans="1:64" ht="14">
      <c r="A19" s="37"/>
      <c r="B19" s="38"/>
      <c r="C19" s="39">
        <f t="shared" si="0"/>
        <v>0</v>
      </c>
      <c r="D19" s="40"/>
      <c r="E19" s="40"/>
      <c r="F19" s="40"/>
      <c r="G19" s="40"/>
      <c r="H19" s="41"/>
      <c r="I19" s="42"/>
      <c r="J19" s="40"/>
      <c r="K19" s="42"/>
      <c r="L19" s="42"/>
      <c r="M19" s="43" t="str">
        <f t="shared" si="1"/>
        <v/>
      </c>
      <c r="N19" s="41" t="str">
        <f t="shared" si="2"/>
        <v/>
      </c>
      <c r="O19" s="41" t="str">
        <f t="shared" si="3"/>
        <v/>
      </c>
      <c r="P19" s="44" t="str">
        <f t="shared" si="4"/>
        <v/>
      </c>
      <c r="Q19" s="45">
        <f t="shared" si="5"/>
        <v>0</v>
      </c>
      <c r="R19" s="45">
        <f t="shared" si="6"/>
        <v>0</v>
      </c>
      <c r="S19" s="44">
        <f t="shared" si="7"/>
        <v>0</v>
      </c>
      <c r="T19" s="40"/>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row>
    <row r="20" spans="1:64" ht="14">
      <c r="A20" s="37"/>
      <c r="B20" s="38"/>
      <c r="C20" s="39">
        <f t="shared" si="0"/>
        <v>0</v>
      </c>
      <c r="D20" s="40"/>
      <c r="E20" s="40"/>
      <c r="F20" s="40"/>
      <c r="G20" s="40"/>
      <c r="H20" s="41"/>
      <c r="I20" s="42"/>
      <c r="J20" s="40"/>
      <c r="K20" s="42"/>
      <c r="L20" s="42"/>
      <c r="M20" s="43" t="str">
        <f t="shared" si="1"/>
        <v/>
      </c>
      <c r="N20" s="41" t="str">
        <f t="shared" si="2"/>
        <v/>
      </c>
      <c r="O20" s="41" t="str">
        <f t="shared" si="3"/>
        <v/>
      </c>
      <c r="P20" s="44" t="str">
        <f t="shared" si="4"/>
        <v/>
      </c>
      <c r="Q20" s="45">
        <f t="shared" si="5"/>
        <v>0</v>
      </c>
      <c r="R20" s="45">
        <f t="shared" si="6"/>
        <v>0</v>
      </c>
      <c r="S20" s="44">
        <f t="shared" si="7"/>
        <v>0</v>
      </c>
      <c r="T20" s="40"/>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row>
    <row r="21" spans="1:64" ht="14">
      <c r="A21" s="37"/>
      <c r="B21" s="38"/>
      <c r="C21" s="39">
        <f t="shared" si="0"/>
        <v>0</v>
      </c>
      <c r="D21" s="40"/>
      <c r="E21" s="40"/>
      <c r="F21" s="40"/>
      <c r="G21" s="40"/>
      <c r="H21" s="41"/>
      <c r="I21" s="42"/>
      <c r="J21" s="40"/>
      <c r="K21" s="42"/>
      <c r="L21" s="42"/>
      <c r="M21" s="43" t="str">
        <f t="shared" si="1"/>
        <v/>
      </c>
      <c r="N21" s="41" t="str">
        <f t="shared" si="2"/>
        <v/>
      </c>
      <c r="O21" s="41" t="str">
        <f t="shared" si="3"/>
        <v/>
      </c>
      <c r="P21" s="44" t="str">
        <f t="shared" si="4"/>
        <v/>
      </c>
      <c r="Q21" s="45">
        <f t="shared" si="5"/>
        <v>0</v>
      </c>
      <c r="R21" s="45">
        <f t="shared" si="6"/>
        <v>0</v>
      </c>
      <c r="S21" s="44">
        <f t="shared" si="7"/>
        <v>0</v>
      </c>
      <c r="T21" s="40"/>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row>
    <row r="22" spans="1:64" ht="14">
      <c r="A22" s="37"/>
      <c r="B22" s="38"/>
      <c r="C22" s="39">
        <f t="shared" si="0"/>
        <v>0</v>
      </c>
      <c r="D22" s="40"/>
      <c r="E22" s="40"/>
      <c r="F22" s="40"/>
      <c r="G22" s="40"/>
      <c r="H22" s="41"/>
      <c r="I22" s="42"/>
      <c r="J22" s="40"/>
      <c r="K22" s="42"/>
      <c r="L22" s="42"/>
      <c r="M22" s="43" t="str">
        <f t="shared" si="1"/>
        <v/>
      </c>
      <c r="N22" s="41" t="str">
        <f t="shared" si="2"/>
        <v/>
      </c>
      <c r="O22" s="41" t="str">
        <f t="shared" si="3"/>
        <v/>
      </c>
      <c r="P22" s="44" t="str">
        <f t="shared" si="4"/>
        <v/>
      </c>
      <c r="Q22" s="45">
        <f t="shared" si="5"/>
        <v>0</v>
      </c>
      <c r="R22" s="45">
        <f t="shared" si="6"/>
        <v>0</v>
      </c>
      <c r="S22" s="44">
        <f t="shared" si="7"/>
        <v>0</v>
      </c>
      <c r="T22" s="40"/>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row>
    <row r="23" spans="1:64" ht="14">
      <c r="A23" s="37"/>
      <c r="B23" s="38"/>
      <c r="C23" s="39">
        <f t="shared" si="0"/>
        <v>0</v>
      </c>
      <c r="D23" s="40"/>
      <c r="E23" s="40"/>
      <c r="F23" s="40"/>
      <c r="G23" s="40"/>
      <c r="H23" s="41"/>
      <c r="I23" s="42"/>
      <c r="J23" s="40"/>
      <c r="K23" s="42"/>
      <c r="L23" s="42"/>
      <c r="M23" s="43" t="str">
        <f t="shared" si="1"/>
        <v/>
      </c>
      <c r="N23" s="41" t="str">
        <f t="shared" si="2"/>
        <v/>
      </c>
      <c r="O23" s="41" t="str">
        <f t="shared" si="3"/>
        <v/>
      </c>
      <c r="P23" s="44" t="str">
        <f t="shared" si="4"/>
        <v/>
      </c>
      <c r="Q23" s="45">
        <f t="shared" si="5"/>
        <v>0</v>
      </c>
      <c r="R23" s="45">
        <f t="shared" si="6"/>
        <v>0</v>
      </c>
      <c r="S23" s="44">
        <f t="shared" si="7"/>
        <v>0</v>
      </c>
      <c r="T23" s="40"/>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row>
    <row r="24" spans="1:64" ht="14">
      <c r="A24" s="37"/>
      <c r="B24" s="38"/>
      <c r="C24" s="39">
        <f t="shared" si="0"/>
        <v>0</v>
      </c>
      <c r="D24" s="40"/>
      <c r="E24" s="40"/>
      <c r="F24" s="40"/>
      <c r="G24" s="40"/>
      <c r="H24" s="41"/>
      <c r="I24" s="42"/>
      <c r="J24" s="40"/>
      <c r="K24" s="42"/>
      <c r="L24" s="42"/>
      <c r="M24" s="43" t="str">
        <f t="shared" si="1"/>
        <v/>
      </c>
      <c r="N24" s="41" t="str">
        <f t="shared" si="2"/>
        <v/>
      </c>
      <c r="O24" s="41" t="str">
        <f t="shared" si="3"/>
        <v/>
      </c>
      <c r="P24" s="44" t="str">
        <f t="shared" si="4"/>
        <v/>
      </c>
      <c r="Q24" s="45">
        <f t="shared" si="5"/>
        <v>0</v>
      </c>
      <c r="R24" s="45">
        <f t="shared" si="6"/>
        <v>0</v>
      </c>
      <c r="S24" s="44">
        <f t="shared" si="7"/>
        <v>0</v>
      </c>
      <c r="T24" s="40"/>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row>
    <row r="25" spans="1:64" ht="14">
      <c r="A25" s="37"/>
      <c r="B25" s="38"/>
      <c r="C25" s="39">
        <f t="shared" si="0"/>
        <v>0</v>
      </c>
      <c r="D25" s="40"/>
      <c r="E25" s="40"/>
      <c r="F25" s="40"/>
      <c r="G25" s="40"/>
      <c r="H25" s="41"/>
      <c r="I25" s="42"/>
      <c r="J25" s="40"/>
      <c r="K25" s="42"/>
      <c r="L25" s="42"/>
      <c r="M25" s="43" t="str">
        <f t="shared" si="1"/>
        <v/>
      </c>
      <c r="N25" s="41" t="str">
        <f t="shared" si="2"/>
        <v/>
      </c>
      <c r="O25" s="41" t="str">
        <f t="shared" si="3"/>
        <v/>
      </c>
      <c r="P25" s="44" t="str">
        <f t="shared" si="4"/>
        <v/>
      </c>
      <c r="Q25" s="45">
        <f t="shared" si="5"/>
        <v>0</v>
      </c>
      <c r="R25" s="45">
        <f t="shared" si="6"/>
        <v>0</v>
      </c>
      <c r="S25" s="44">
        <f t="shared" si="7"/>
        <v>0</v>
      </c>
      <c r="T25" s="40"/>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row>
    <row r="26" spans="1:64" ht="14">
      <c r="A26" s="37"/>
      <c r="B26" s="38"/>
      <c r="C26" s="39">
        <f t="shared" si="0"/>
        <v>0</v>
      </c>
      <c r="D26" s="40"/>
      <c r="E26" s="40"/>
      <c r="F26" s="40"/>
      <c r="G26" s="40"/>
      <c r="H26" s="41"/>
      <c r="I26" s="42"/>
      <c r="J26" s="40"/>
      <c r="K26" s="42"/>
      <c r="L26" s="42"/>
      <c r="M26" s="43" t="str">
        <f t="shared" si="1"/>
        <v/>
      </c>
      <c r="N26" s="41" t="str">
        <f t="shared" si="2"/>
        <v/>
      </c>
      <c r="O26" s="41" t="str">
        <f t="shared" si="3"/>
        <v/>
      </c>
      <c r="P26" s="44" t="str">
        <f t="shared" si="4"/>
        <v/>
      </c>
      <c r="Q26" s="45">
        <f t="shared" si="5"/>
        <v>0</v>
      </c>
      <c r="R26" s="45">
        <f t="shared" si="6"/>
        <v>0</v>
      </c>
      <c r="S26" s="44">
        <f t="shared" si="7"/>
        <v>0</v>
      </c>
      <c r="T26" s="40"/>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row>
    <row r="27" spans="1:64" ht="14">
      <c r="A27" s="37"/>
      <c r="B27" s="38"/>
      <c r="C27" s="39">
        <f t="shared" si="0"/>
        <v>0</v>
      </c>
      <c r="D27" s="40"/>
      <c r="E27" s="40"/>
      <c r="F27" s="40"/>
      <c r="G27" s="40"/>
      <c r="H27" s="41"/>
      <c r="I27" s="42"/>
      <c r="J27" s="40"/>
      <c r="K27" s="42"/>
      <c r="L27" s="42"/>
      <c r="M27" s="43" t="str">
        <f t="shared" si="1"/>
        <v/>
      </c>
      <c r="N27" s="41" t="str">
        <f t="shared" si="2"/>
        <v/>
      </c>
      <c r="O27" s="41" t="str">
        <f t="shared" si="3"/>
        <v/>
      </c>
      <c r="P27" s="44" t="str">
        <f t="shared" si="4"/>
        <v/>
      </c>
      <c r="Q27" s="45">
        <f t="shared" si="5"/>
        <v>0</v>
      </c>
      <c r="R27" s="45">
        <f t="shared" si="6"/>
        <v>0</v>
      </c>
      <c r="S27" s="44">
        <f t="shared" si="7"/>
        <v>0</v>
      </c>
      <c r="T27" s="40"/>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row>
    <row r="28" spans="1:64" ht="14">
      <c r="A28" s="37"/>
      <c r="B28" s="38"/>
      <c r="C28" s="39">
        <f t="shared" si="0"/>
        <v>0</v>
      </c>
      <c r="D28" s="40"/>
      <c r="E28" s="40"/>
      <c r="F28" s="40"/>
      <c r="G28" s="40"/>
      <c r="H28" s="41"/>
      <c r="I28" s="42"/>
      <c r="J28" s="40"/>
      <c r="K28" s="42"/>
      <c r="L28" s="42"/>
      <c r="M28" s="43" t="str">
        <f t="shared" si="1"/>
        <v/>
      </c>
      <c r="N28" s="41" t="str">
        <f t="shared" si="2"/>
        <v/>
      </c>
      <c r="O28" s="41" t="str">
        <f t="shared" si="3"/>
        <v/>
      </c>
      <c r="P28" s="44" t="str">
        <f t="shared" si="4"/>
        <v/>
      </c>
      <c r="Q28" s="45">
        <f t="shared" si="5"/>
        <v>0</v>
      </c>
      <c r="R28" s="45">
        <f t="shared" si="6"/>
        <v>0</v>
      </c>
      <c r="S28" s="44">
        <f t="shared" si="7"/>
        <v>0</v>
      </c>
      <c r="T28" s="40"/>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row>
    <row r="29" spans="1:64" ht="14">
      <c r="A29" s="37"/>
      <c r="B29" s="38"/>
      <c r="C29" s="39">
        <f t="shared" si="0"/>
        <v>0</v>
      </c>
      <c r="D29" s="40"/>
      <c r="E29" s="40"/>
      <c r="F29" s="40"/>
      <c r="G29" s="40"/>
      <c r="H29" s="41"/>
      <c r="I29" s="42"/>
      <c r="J29" s="40"/>
      <c r="K29" s="42"/>
      <c r="L29" s="42"/>
      <c r="M29" s="43" t="str">
        <f t="shared" si="1"/>
        <v/>
      </c>
      <c r="N29" s="41" t="str">
        <f t="shared" si="2"/>
        <v/>
      </c>
      <c r="O29" s="41" t="str">
        <f t="shared" si="3"/>
        <v/>
      </c>
      <c r="P29" s="44" t="str">
        <f t="shared" si="4"/>
        <v/>
      </c>
      <c r="Q29" s="45">
        <f t="shared" si="5"/>
        <v>0</v>
      </c>
      <c r="R29" s="45">
        <f t="shared" si="6"/>
        <v>0</v>
      </c>
      <c r="S29" s="44">
        <f t="shared" si="7"/>
        <v>0</v>
      </c>
      <c r="T29" s="40"/>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row>
    <row r="30" spans="1:64" ht="14">
      <c r="A30" s="37"/>
      <c r="B30" s="38"/>
      <c r="C30" s="39">
        <f t="shared" si="0"/>
        <v>0</v>
      </c>
      <c r="D30" s="40"/>
      <c r="E30" s="40"/>
      <c r="F30" s="40"/>
      <c r="G30" s="40"/>
      <c r="H30" s="41"/>
      <c r="I30" s="42"/>
      <c r="J30" s="40"/>
      <c r="K30" s="42"/>
      <c r="L30" s="42"/>
      <c r="M30" s="43" t="str">
        <f t="shared" si="1"/>
        <v/>
      </c>
      <c r="N30" s="41" t="str">
        <f t="shared" si="2"/>
        <v/>
      </c>
      <c r="O30" s="41" t="str">
        <f t="shared" si="3"/>
        <v/>
      </c>
      <c r="P30" s="44" t="str">
        <f t="shared" si="4"/>
        <v/>
      </c>
      <c r="Q30" s="45">
        <f t="shared" si="5"/>
        <v>0</v>
      </c>
      <c r="R30" s="45">
        <f t="shared" si="6"/>
        <v>0</v>
      </c>
      <c r="S30" s="44">
        <f t="shared" si="7"/>
        <v>0</v>
      </c>
      <c r="T30" s="40"/>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row>
    <row r="31" spans="1:64" ht="14">
      <c r="A31" s="37"/>
      <c r="B31" s="38"/>
      <c r="C31" s="39">
        <f t="shared" si="0"/>
        <v>0</v>
      </c>
      <c r="D31" s="40"/>
      <c r="E31" s="40"/>
      <c r="F31" s="40"/>
      <c r="G31" s="40"/>
      <c r="H31" s="41"/>
      <c r="I31" s="42"/>
      <c r="J31" s="40"/>
      <c r="K31" s="42"/>
      <c r="L31" s="42"/>
      <c r="M31" s="43" t="str">
        <f t="shared" si="1"/>
        <v/>
      </c>
      <c r="N31" s="41" t="str">
        <f t="shared" si="2"/>
        <v/>
      </c>
      <c r="O31" s="41" t="str">
        <f t="shared" si="3"/>
        <v/>
      </c>
      <c r="P31" s="44" t="str">
        <f t="shared" si="4"/>
        <v/>
      </c>
      <c r="Q31" s="45">
        <f t="shared" si="5"/>
        <v>0</v>
      </c>
      <c r="R31" s="45">
        <f t="shared" si="6"/>
        <v>0</v>
      </c>
      <c r="S31" s="44">
        <f t="shared" si="7"/>
        <v>0</v>
      </c>
      <c r="T31" s="40"/>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row>
    <row r="32" spans="1:64" ht="14">
      <c r="A32" s="37"/>
      <c r="B32" s="38"/>
      <c r="C32" s="39">
        <f t="shared" si="0"/>
        <v>0</v>
      </c>
      <c r="D32" s="40"/>
      <c r="E32" s="40"/>
      <c r="F32" s="40"/>
      <c r="G32" s="40"/>
      <c r="H32" s="41"/>
      <c r="I32" s="42"/>
      <c r="J32" s="40"/>
      <c r="K32" s="42"/>
      <c r="L32" s="42"/>
      <c r="M32" s="43" t="str">
        <f t="shared" si="1"/>
        <v/>
      </c>
      <c r="N32" s="41" t="str">
        <f t="shared" si="2"/>
        <v/>
      </c>
      <c r="O32" s="41" t="str">
        <f t="shared" si="3"/>
        <v/>
      </c>
      <c r="P32" s="44" t="str">
        <f t="shared" si="4"/>
        <v/>
      </c>
      <c r="Q32" s="45">
        <f t="shared" si="5"/>
        <v>0</v>
      </c>
      <c r="R32" s="45">
        <f t="shared" si="6"/>
        <v>0</v>
      </c>
      <c r="S32" s="44">
        <f t="shared" si="7"/>
        <v>0</v>
      </c>
      <c r="T32" s="40"/>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row>
    <row r="33" spans="1:64" ht="14">
      <c r="A33" s="37"/>
      <c r="B33" s="38"/>
      <c r="C33" s="39">
        <f t="shared" si="0"/>
        <v>0</v>
      </c>
      <c r="D33" s="40"/>
      <c r="E33" s="40"/>
      <c r="F33" s="40"/>
      <c r="G33" s="40"/>
      <c r="H33" s="41"/>
      <c r="I33" s="42"/>
      <c r="J33" s="40"/>
      <c r="K33" s="42"/>
      <c r="L33" s="42"/>
      <c r="M33" s="43" t="str">
        <f t="shared" si="1"/>
        <v/>
      </c>
      <c r="N33" s="41" t="str">
        <f t="shared" si="2"/>
        <v/>
      </c>
      <c r="O33" s="41" t="str">
        <f t="shared" si="3"/>
        <v/>
      </c>
      <c r="P33" s="44" t="str">
        <f t="shared" si="4"/>
        <v/>
      </c>
      <c r="Q33" s="45">
        <f t="shared" si="5"/>
        <v>0</v>
      </c>
      <c r="R33" s="45">
        <f t="shared" si="6"/>
        <v>0</v>
      </c>
      <c r="S33" s="44">
        <f t="shared" si="7"/>
        <v>0</v>
      </c>
      <c r="T33" s="40"/>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row>
    <row r="34" spans="1:64" ht="14">
      <c r="A34" s="37"/>
      <c r="B34" s="38"/>
      <c r="C34" s="39">
        <f t="shared" si="0"/>
        <v>0</v>
      </c>
      <c r="D34" s="40"/>
      <c r="E34" s="40"/>
      <c r="F34" s="40"/>
      <c r="G34" s="40"/>
      <c r="H34" s="41"/>
      <c r="I34" s="42"/>
      <c r="J34" s="40"/>
      <c r="K34" s="42"/>
      <c r="L34" s="42"/>
      <c r="M34" s="43" t="str">
        <f t="shared" si="1"/>
        <v/>
      </c>
      <c r="N34" s="41" t="str">
        <f t="shared" si="2"/>
        <v/>
      </c>
      <c r="O34" s="41" t="str">
        <f t="shared" si="3"/>
        <v/>
      </c>
      <c r="P34" s="44" t="str">
        <f t="shared" si="4"/>
        <v/>
      </c>
      <c r="Q34" s="45">
        <f t="shared" si="5"/>
        <v>0</v>
      </c>
      <c r="R34" s="45">
        <f t="shared" si="6"/>
        <v>0</v>
      </c>
      <c r="S34" s="44">
        <f t="shared" si="7"/>
        <v>0</v>
      </c>
      <c r="T34" s="40"/>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row>
    <row r="35" spans="1:64" ht="14">
      <c r="A35" s="37"/>
      <c r="B35" s="38"/>
      <c r="C35" s="39">
        <f t="shared" si="0"/>
        <v>0</v>
      </c>
      <c r="D35" s="40"/>
      <c r="E35" s="40"/>
      <c r="F35" s="40"/>
      <c r="G35" s="40"/>
      <c r="H35" s="41"/>
      <c r="I35" s="42"/>
      <c r="J35" s="40"/>
      <c r="K35" s="42"/>
      <c r="L35" s="42"/>
      <c r="M35" s="43" t="str">
        <f t="shared" si="1"/>
        <v/>
      </c>
      <c r="N35" s="41" t="str">
        <f t="shared" si="2"/>
        <v/>
      </c>
      <c r="O35" s="41" t="str">
        <f t="shared" si="3"/>
        <v/>
      </c>
      <c r="P35" s="44" t="str">
        <f t="shared" si="4"/>
        <v/>
      </c>
      <c r="Q35" s="45">
        <f t="shared" si="5"/>
        <v>0</v>
      </c>
      <c r="R35" s="45">
        <f t="shared" si="6"/>
        <v>0</v>
      </c>
      <c r="S35" s="44">
        <f t="shared" si="7"/>
        <v>0</v>
      </c>
      <c r="T35" s="40"/>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row>
    <row r="36" spans="1:64" ht="14">
      <c r="A36" s="37"/>
      <c r="B36" s="38"/>
      <c r="C36" s="39">
        <f t="shared" si="0"/>
        <v>0</v>
      </c>
      <c r="D36" s="40"/>
      <c r="E36" s="40"/>
      <c r="F36" s="40"/>
      <c r="G36" s="40"/>
      <c r="H36" s="41"/>
      <c r="I36" s="42"/>
      <c r="J36" s="40"/>
      <c r="K36" s="42"/>
      <c r="L36" s="42"/>
      <c r="M36" s="43" t="str">
        <f t="shared" si="1"/>
        <v/>
      </c>
      <c r="N36" s="41" t="str">
        <f t="shared" si="2"/>
        <v/>
      </c>
      <c r="O36" s="41" t="str">
        <f t="shared" si="3"/>
        <v/>
      </c>
      <c r="P36" s="44" t="str">
        <f t="shared" si="4"/>
        <v/>
      </c>
      <c r="Q36" s="45">
        <f t="shared" si="5"/>
        <v>0</v>
      </c>
      <c r="R36" s="45">
        <f t="shared" si="6"/>
        <v>0</v>
      </c>
      <c r="S36" s="44">
        <f t="shared" si="7"/>
        <v>0</v>
      </c>
      <c r="T36" s="40"/>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row>
    <row r="37" spans="1:64" ht="14">
      <c r="A37" s="37"/>
      <c r="B37" s="38"/>
      <c r="C37" s="39">
        <f t="shared" si="0"/>
        <v>0</v>
      </c>
      <c r="D37" s="40"/>
      <c r="E37" s="40"/>
      <c r="F37" s="40"/>
      <c r="G37" s="40"/>
      <c r="H37" s="41"/>
      <c r="I37" s="42"/>
      <c r="J37" s="40"/>
      <c r="K37" s="42"/>
      <c r="L37" s="42"/>
      <c r="M37" s="43" t="str">
        <f t="shared" si="1"/>
        <v/>
      </c>
      <c r="N37" s="41" t="str">
        <f t="shared" si="2"/>
        <v/>
      </c>
      <c r="O37" s="41" t="str">
        <f t="shared" si="3"/>
        <v/>
      </c>
      <c r="P37" s="44" t="str">
        <f t="shared" si="4"/>
        <v/>
      </c>
      <c r="Q37" s="45">
        <f t="shared" si="5"/>
        <v>0</v>
      </c>
      <c r="R37" s="45">
        <f t="shared" si="6"/>
        <v>0</v>
      </c>
      <c r="S37" s="44">
        <f t="shared" si="7"/>
        <v>0</v>
      </c>
      <c r="T37" s="40"/>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row>
    <row r="38" spans="1:64" ht="14">
      <c r="A38" s="37"/>
      <c r="B38" s="38"/>
      <c r="C38" s="39">
        <f t="shared" si="0"/>
        <v>0</v>
      </c>
      <c r="D38" s="40"/>
      <c r="E38" s="40"/>
      <c r="F38" s="40"/>
      <c r="G38" s="40"/>
      <c r="H38" s="41"/>
      <c r="I38" s="42"/>
      <c r="J38" s="40"/>
      <c r="K38" s="42"/>
      <c r="L38" s="42"/>
      <c r="M38" s="43" t="str">
        <f t="shared" si="1"/>
        <v/>
      </c>
      <c r="N38" s="41" t="str">
        <f t="shared" si="2"/>
        <v/>
      </c>
      <c r="O38" s="41" t="str">
        <f t="shared" si="3"/>
        <v/>
      </c>
      <c r="P38" s="44" t="str">
        <f t="shared" si="4"/>
        <v/>
      </c>
      <c r="Q38" s="45">
        <f t="shared" si="5"/>
        <v>0</v>
      </c>
      <c r="R38" s="45">
        <f t="shared" si="6"/>
        <v>0</v>
      </c>
      <c r="S38" s="44">
        <f t="shared" si="7"/>
        <v>0</v>
      </c>
      <c r="T38" s="40"/>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row>
    <row r="39" spans="1:64" ht="14">
      <c r="A39" s="37"/>
      <c r="B39" s="38"/>
      <c r="C39" s="39">
        <f t="shared" si="0"/>
        <v>0</v>
      </c>
      <c r="D39" s="40"/>
      <c r="E39" s="40"/>
      <c r="F39" s="40"/>
      <c r="G39" s="40"/>
      <c r="H39" s="41"/>
      <c r="I39" s="42"/>
      <c r="J39" s="40"/>
      <c r="K39" s="42"/>
      <c r="L39" s="42"/>
      <c r="M39" s="43" t="str">
        <f t="shared" si="1"/>
        <v/>
      </c>
      <c r="N39" s="41" t="str">
        <f t="shared" si="2"/>
        <v/>
      </c>
      <c r="O39" s="41" t="str">
        <f t="shared" si="3"/>
        <v/>
      </c>
      <c r="P39" s="44" t="str">
        <f t="shared" si="4"/>
        <v/>
      </c>
      <c r="Q39" s="45">
        <f t="shared" si="5"/>
        <v>0</v>
      </c>
      <c r="R39" s="45">
        <f t="shared" si="6"/>
        <v>0</v>
      </c>
      <c r="S39" s="44">
        <f t="shared" si="7"/>
        <v>0</v>
      </c>
      <c r="T39" s="40"/>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row>
    <row r="40" spans="1:64" ht="14">
      <c r="A40" s="37"/>
      <c r="B40" s="38"/>
      <c r="C40" s="39">
        <f t="shared" si="0"/>
        <v>0</v>
      </c>
      <c r="D40" s="40"/>
      <c r="E40" s="40"/>
      <c r="F40" s="40"/>
      <c r="G40" s="40"/>
      <c r="H40" s="41"/>
      <c r="I40" s="42"/>
      <c r="J40" s="40"/>
      <c r="K40" s="42"/>
      <c r="L40" s="42"/>
      <c r="M40" s="43" t="str">
        <f t="shared" si="1"/>
        <v/>
      </c>
      <c r="N40" s="41" t="str">
        <f t="shared" si="2"/>
        <v/>
      </c>
      <c r="O40" s="41" t="str">
        <f t="shared" si="3"/>
        <v/>
      </c>
      <c r="P40" s="44" t="str">
        <f t="shared" si="4"/>
        <v/>
      </c>
      <c r="Q40" s="45">
        <f t="shared" si="5"/>
        <v>0</v>
      </c>
      <c r="R40" s="45">
        <f t="shared" si="6"/>
        <v>0</v>
      </c>
      <c r="S40" s="44">
        <f t="shared" si="7"/>
        <v>0</v>
      </c>
      <c r="T40" s="40"/>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row>
    <row r="41" spans="1:64" ht="14">
      <c r="A41" s="37"/>
      <c r="B41" s="38"/>
      <c r="C41" s="39">
        <f t="shared" si="0"/>
        <v>0</v>
      </c>
      <c r="D41" s="40"/>
      <c r="E41" s="40"/>
      <c r="F41" s="40"/>
      <c r="G41" s="40"/>
      <c r="H41" s="41"/>
      <c r="I41" s="42"/>
      <c r="J41" s="40"/>
      <c r="K41" s="42"/>
      <c r="L41" s="42"/>
      <c r="M41" s="43" t="str">
        <f t="shared" si="1"/>
        <v/>
      </c>
      <c r="N41" s="41" t="str">
        <f t="shared" si="2"/>
        <v/>
      </c>
      <c r="O41" s="41" t="str">
        <f t="shared" si="3"/>
        <v/>
      </c>
      <c r="P41" s="44" t="str">
        <f t="shared" si="4"/>
        <v/>
      </c>
      <c r="Q41" s="45">
        <f t="shared" si="5"/>
        <v>0</v>
      </c>
      <c r="R41" s="45">
        <f t="shared" si="6"/>
        <v>0</v>
      </c>
      <c r="S41" s="44">
        <f t="shared" si="7"/>
        <v>0</v>
      </c>
      <c r="T41" s="40"/>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row>
    <row r="42" spans="1:64" ht="14">
      <c r="A42" s="37"/>
      <c r="B42" s="38"/>
      <c r="C42" s="39">
        <f t="shared" si="0"/>
        <v>0</v>
      </c>
      <c r="D42" s="40"/>
      <c r="E42" s="40"/>
      <c r="F42" s="40"/>
      <c r="G42" s="40"/>
      <c r="H42" s="41"/>
      <c r="I42" s="42"/>
      <c r="J42" s="40"/>
      <c r="K42" s="42"/>
      <c r="L42" s="42"/>
      <c r="M42" s="43" t="str">
        <f t="shared" si="1"/>
        <v/>
      </c>
      <c r="N42" s="41" t="str">
        <f t="shared" si="2"/>
        <v/>
      </c>
      <c r="O42" s="41" t="str">
        <f t="shared" si="3"/>
        <v/>
      </c>
      <c r="P42" s="44" t="str">
        <f t="shared" si="4"/>
        <v/>
      </c>
      <c r="Q42" s="45">
        <f t="shared" si="5"/>
        <v>0</v>
      </c>
      <c r="R42" s="45">
        <f t="shared" si="6"/>
        <v>0</v>
      </c>
      <c r="S42" s="44">
        <f t="shared" si="7"/>
        <v>0</v>
      </c>
      <c r="T42" s="40"/>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row>
    <row r="43" spans="1:64" ht="14">
      <c r="A43" s="37"/>
      <c r="B43" s="38"/>
      <c r="C43" s="39">
        <f t="shared" si="0"/>
        <v>0</v>
      </c>
      <c r="D43" s="40"/>
      <c r="E43" s="40"/>
      <c r="F43" s="40"/>
      <c r="G43" s="40"/>
      <c r="H43" s="41"/>
      <c r="I43" s="42"/>
      <c r="J43" s="40"/>
      <c r="K43" s="42"/>
      <c r="L43" s="42"/>
      <c r="M43" s="43" t="str">
        <f t="shared" si="1"/>
        <v/>
      </c>
      <c r="N43" s="41" t="str">
        <f t="shared" si="2"/>
        <v/>
      </c>
      <c r="O43" s="41" t="str">
        <f t="shared" si="3"/>
        <v/>
      </c>
      <c r="P43" s="44" t="str">
        <f t="shared" si="4"/>
        <v/>
      </c>
      <c r="Q43" s="45">
        <f t="shared" si="5"/>
        <v>0</v>
      </c>
      <c r="R43" s="45">
        <f t="shared" si="6"/>
        <v>0</v>
      </c>
      <c r="S43" s="44">
        <f t="shared" si="7"/>
        <v>0</v>
      </c>
      <c r="T43" s="40"/>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row>
    <row r="44" spans="1:64" ht="14">
      <c r="A44" s="37"/>
      <c r="B44" s="38"/>
      <c r="C44" s="39">
        <f t="shared" si="0"/>
        <v>0</v>
      </c>
      <c r="D44" s="40"/>
      <c r="E44" s="40"/>
      <c r="F44" s="40"/>
      <c r="G44" s="40"/>
      <c r="H44" s="41"/>
      <c r="I44" s="42"/>
      <c r="J44" s="40"/>
      <c r="K44" s="42"/>
      <c r="L44" s="42"/>
      <c r="M44" s="43" t="str">
        <f t="shared" si="1"/>
        <v/>
      </c>
      <c r="N44" s="41" t="str">
        <f t="shared" si="2"/>
        <v/>
      </c>
      <c r="O44" s="41" t="str">
        <f t="shared" si="3"/>
        <v/>
      </c>
      <c r="P44" s="44" t="str">
        <f t="shared" si="4"/>
        <v/>
      </c>
      <c r="Q44" s="45">
        <f t="shared" si="5"/>
        <v>0</v>
      </c>
      <c r="R44" s="45">
        <f t="shared" si="6"/>
        <v>0</v>
      </c>
      <c r="S44" s="44">
        <f t="shared" si="7"/>
        <v>0</v>
      </c>
      <c r="T44" s="40"/>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row>
    <row r="45" spans="1:64" ht="14">
      <c r="A45" s="37"/>
      <c r="B45" s="38"/>
      <c r="C45" s="39">
        <f t="shared" si="0"/>
        <v>0</v>
      </c>
      <c r="D45" s="40"/>
      <c r="E45" s="40"/>
      <c r="F45" s="40"/>
      <c r="G45" s="40"/>
      <c r="H45" s="41"/>
      <c r="I45" s="42"/>
      <c r="J45" s="40"/>
      <c r="K45" s="42"/>
      <c r="L45" s="42"/>
      <c r="M45" s="43" t="str">
        <f t="shared" si="1"/>
        <v/>
      </c>
      <c r="N45" s="41" t="str">
        <f t="shared" si="2"/>
        <v/>
      </c>
      <c r="O45" s="41" t="str">
        <f t="shared" si="3"/>
        <v/>
      </c>
      <c r="P45" s="44" t="str">
        <f t="shared" si="4"/>
        <v/>
      </c>
      <c r="Q45" s="45">
        <f t="shared" si="5"/>
        <v>0</v>
      </c>
      <c r="R45" s="45">
        <f t="shared" si="6"/>
        <v>0</v>
      </c>
      <c r="S45" s="44">
        <f t="shared" si="7"/>
        <v>0</v>
      </c>
      <c r="T45" s="40"/>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row>
    <row r="46" spans="1:64" ht="14">
      <c r="A46" s="37"/>
      <c r="B46" s="38"/>
      <c r="C46" s="39">
        <f t="shared" si="0"/>
        <v>0</v>
      </c>
      <c r="D46" s="40"/>
      <c r="E46" s="40"/>
      <c r="F46" s="40"/>
      <c r="G46" s="40"/>
      <c r="H46" s="41"/>
      <c r="I46" s="42"/>
      <c r="J46" s="40"/>
      <c r="K46" s="42"/>
      <c r="L46" s="42"/>
      <c r="M46" s="43" t="str">
        <f t="shared" si="1"/>
        <v/>
      </c>
      <c r="N46" s="41" t="str">
        <f t="shared" si="2"/>
        <v/>
      </c>
      <c r="O46" s="41" t="str">
        <f t="shared" si="3"/>
        <v/>
      </c>
      <c r="P46" s="44" t="str">
        <f t="shared" si="4"/>
        <v/>
      </c>
      <c r="Q46" s="45">
        <f t="shared" si="5"/>
        <v>0</v>
      </c>
      <c r="R46" s="45">
        <f t="shared" si="6"/>
        <v>0</v>
      </c>
      <c r="S46" s="44">
        <f t="shared" si="7"/>
        <v>0</v>
      </c>
      <c r="T46" s="40"/>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row>
    <row r="47" spans="1:64" ht="14">
      <c r="A47" s="37"/>
      <c r="B47" s="38"/>
      <c r="C47" s="39">
        <f t="shared" si="0"/>
        <v>0</v>
      </c>
      <c r="D47" s="40"/>
      <c r="E47" s="40"/>
      <c r="F47" s="40"/>
      <c r="G47" s="40"/>
      <c r="H47" s="41"/>
      <c r="I47" s="42"/>
      <c r="J47" s="40"/>
      <c r="K47" s="42"/>
      <c r="L47" s="42"/>
      <c r="M47" s="43" t="str">
        <f t="shared" si="1"/>
        <v/>
      </c>
      <c r="N47" s="41" t="str">
        <f t="shared" si="2"/>
        <v/>
      </c>
      <c r="O47" s="41" t="str">
        <f t="shared" si="3"/>
        <v/>
      </c>
      <c r="P47" s="44" t="str">
        <f t="shared" si="4"/>
        <v/>
      </c>
      <c r="Q47" s="45">
        <f t="shared" si="5"/>
        <v>0</v>
      </c>
      <c r="R47" s="45">
        <f t="shared" si="6"/>
        <v>0</v>
      </c>
      <c r="S47" s="44">
        <f t="shared" si="7"/>
        <v>0</v>
      </c>
      <c r="T47" s="40"/>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row>
    <row r="48" spans="1:64" ht="14">
      <c r="A48" s="37"/>
      <c r="B48" s="38"/>
      <c r="C48" s="39">
        <f t="shared" si="0"/>
        <v>0</v>
      </c>
      <c r="D48" s="40"/>
      <c r="E48" s="40"/>
      <c r="F48" s="40"/>
      <c r="G48" s="40"/>
      <c r="H48" s="41"/>
      <c r="I48" s="42"/>
      <c r="J48" s="40"/>
      <c r="K48" s="42"/>
      <c r="L48" s="42"/>
      <c r="M48" s="43" t="str">
        <f t="shared" si="1"/>
        <v/>
      </c>
      <c r="N48" s="41" t="str">
        <f t="shared" si="2"/>
        <v/>
      </c>
      <c r="O48" s="41" t="str">
        <f t="shared" si="3"/>
        <v/>
      </c>
      <c r="P48" s="44" t="str">
        <f t="shared" si="4"/>
        <v/>
      </c>
      <c r="Q48" s="45">
        <f t="shared" si="5"/>
        <v>0</v>
      </c>
      <c r="R48" s="45">
        <f t="shared" si="6"/>
        <v>0</v>
      </c>
      <c r="S48" s="44">
        <f t="shared" si="7"/>
        <v>0</v>
      </c>
      <c r="T48" s="40"/>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row>
    <row r="49" spans="1:64" ht="14">
      <c r="A49" s="37"/>
      <c r="B49" s="38"/>
      <c r="C49" s="39">
        <f t="shared" si="0"/>
        <v>0</v>
      </c>
      <c r="D49" s="40"/>
      <c r="E49" s="40"/>
      <c r="F49" s="40"/>
      <c r="G49" s="40"/>
      <c r="H49" s="41"/>
      <c r="I49" s="42"/>
      <c r="J49" s="40"/>
      <c r="K49" s="42"/>
      <c r="L49" s="42"/>
      <c r="M49" s="43" t="str">
        <f t="shared" si="1"/>
        <v/>
      </c>
      <c r="N49" s="41" t="str">
        <f t="shared" si="2"/>
        <v/>
      </c>
      <c r="O49" s="41" t="str">
        <f t="shared" si="3"/>
        <v/>
      </c>
      <c r="P49" s="44" t="str">
        <f t="shared" si="4"/>
        <v/>
      </c>
      <c r="Q49" s="45">
        <f t="shared" si="5"/>
        <v>0</v>
      </c>
      <c r="R49" s="45">
        <f t="shared" si="6"/>
        <v>0</v>
      </c>
      <c r="S49" s="44">
        <f t="shared" si="7"/>
        <v>0</v>
      </c>
      <c r="T49" s="40"/>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row>
    <row r="50" spans="1:64" ht="14">
      <c r="A50" s="37"/>
      <c r="B50" s="38"/>
      <c r="C50" s="39">
        <f t="shared" si="0"/>
        <v>0</v>
      </c>
      <c r="D50" s="40"/>
      <c r="E50" s="40"/>
      <c r="F50" s="40"/>
      <c r="G50" s="40"/>
      <c r="H50" s="41"/>
      <c r="I50" s="42"/>
      <c r="J50" s="40"/>
      <c r="K50" s="42"/>
      <c r="L50" s="42"/>
      <c r="M50" s="43" t="str">
        <f t="shared" si="1"/>
        <v/>
      </c>
      <c r="N50" s="41" t="str">
        <f t="shared" si="2"/>
        <v/>
      </c>
      <c r="O50" s="41" t="str">
        <f t="shared" si="3"/>
        <v/>
      </c>
      <c r="P50" s="44" t="str">
        <f t="shared" si="4"/>
        <v/>
      </c>
      <c r="Q50" s="45">
        <f t="shared" si="5"/>
        <v>0</v>
      </c>
      <c r="R50" s="45">
        <f t="shared" si="6"/>
        <v>0</v>
      </c>
      <c r="S50" s="44">
        <f t="shared" si="7"/>
        <v>0</v>
      </c>
      <c r="T50" s="40"/>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row>
    <row r="51" spans="1:64" ht="14">
      <c r="A51" s="37"/>
      <c r="B51" s="38"/>
      <c r="C51" s="39">
        <f t="shared" si="0"/>
        <v>0</v>
      </c>
      <c r="D51" s="40"/>
      <c r="E51" s="40"/>
      <c r="F51" s="40"/>
      <c r="G51" s="40"/>
      <c r="H51" s="41"/>
      <c r="I51" s="42"/>
      <c r="J51" s="40"/>
      <c r="K51" s="42"/>
      <c r="L51" s="42"/>
      <c r="M51" s="43" t="str">
        <f t="shared" si="1"/>
        <v/>
      </c>
      <c r="N51" s="41" t="str">
        <f t="shared" si="2"/>
        <v/>
      </c>
      <c r="O51" s="41" t="str">
        <f t="shared" si="3"/>
        <v/>
      </c>
      <c r="P51" s="44" t="str">
        <f t="shared" si="4"/>
        <v/>
      </c>
      <c r="Q51" s="45">
        <f t="shared" si="5"/>
        <v>0</v>
      </c>
      <c r="R51" s="45">
        <f t="shared" si="6"/>
        <v>0</v>
      </c>
      <c r="S51" s="44">
        <f t="shared" si="7"/>
        <v>0</v>
      </c>
      <c r="T51" s="40"/>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row>
    <row r="52" spans="1:64" ht="14">
      <c r="A52" s="37"/>
      <c r="B52" s="38"/>
      <c r="C52" s="39">
        <f t="shared" si="0"/>
        <v>0</v>
      </c>
      <c r="D52" s="40"/>
      <c r="E52" s="40"/>
      <c r="F52" s="40"/>
      <c r="G52" s="40"/>
      <c r="H52" s="41"/>
      <c r="I52" s="42"/>
      <c r="J52" s="40"/>
      <c r="K52" s="42"/>
      <c r="L52" s="42"/>
      <c r="M52" s="43" t="str">
        <f t="shared" si="1"/>
        <v/>
      </c>
      <c r="N52" s="41" t="str">
        <f t="shared" si="2"/>
        <v/>
      </c>
      <c r="O52" s="41" t="str">
        <f t="shared" si="3"/>
        <v/>
      </c>
      <c r="P52" s="44" t="str">
        <f t="shared" si="4"/>
        <v/>
      </c>
      <c r="Q52" s="45">
        <f t="shared" si="5"/>
        <v>0</v>
      </c>
      <c r="R52" s="45">
        <f t="shared" si="6"/>
        <v>0</v>
      </c>
      <c r="S52" s="44">
        <f t="shared" si="7"/>
        <v>0</v>
      </c>
      <c r="T52" s="40"/>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row>
    <row r="53" spans="1:64" ht="14">
      <c r="A53" s="37"/>
      <c r="B53" s="38"/>
      <c r="C53" s="39">
        <f t="shared" si="0"/>
        <v>0</v>
      </c>
      <c r="D53" s="40"/>
      <c r="E53" s="40"/>
      <c r="F53" s="40"/>
      <c r="G53" s="40"/>
      <c r="H53" s="41"/>
      <c r="I53" s="42"/>
      <c r="J53" s="40"/>
      <c r="K53" s="42"/>
      <c r="L53" s="42"/>
      <c r="M53" s="43" t="str">
        <f t="shared" si="1"/>
        <v/>
      </c>
      <c r="N53" s="41" t="str">
        <f t="shared" si="2"/>
        <v/>
      </c>
      <c r="O53" s="41" t="str">
        <f t="shared" si="3"/>
        <v/>
      </c>
      <c r="P53" s="44" t="str">
        <f t="shared" si="4"/>
        <v/>
      </c>
      <c r="Q53" s="45">
        <f t="shared" si="5"/>
        <v>0</v>
      </c>
      <c r="R53" s="45">
        <f t="shared" si="6"/>
        <v>0</v>
      </c>
      <c r="S53" s="44">
        <f t="shared" si="7"/>
        <v>0</v>
      </c>
      <c r="T53" s="40"/>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row>
    <row r="54" spans="1:64" ht="14">
      <c r="A54" s="37"/>
      <c r="B54" s="38"/>
      <c r="C54" s="39">
        <f t="shared" si="0"/>
        <v>0</v>
      </c>
      <c r="D54" s="40"/>
      <c r="E54" s="40"/>
      <c r="F54" s="40"/>
      <c r="G54" s="40"/>
      <c r="H54" s="41"/>
      <c r="I54" s="42"/>
      <c r="J54" s="40"/>
      <c r="K54" s="42"/>
      <c r="L54" s="42"/>
      <c r="M54" s="43" t="str">
        <f t="shared" si="1"/>
        <v/>
      </c>
      <c r="N54" s="41" t="str">
        <f t="shared" si="2"/>
        <v/>
      </c>
      <c r="O54" s="41" t="str">
        <f t="shared" si="3"/>
        <v/>
      </c>
      <c r="P54" s="44" t="str">
        <f t="shared" si="4"/>
        <v/>
      </c>
      <c r="Q54" s="45">
        <f t="shared" si="5"/>
        <v>0</v>
      </c>
      <c r="R54" s="45">
        <f t="shared" si="6"/>
        <v>0</v>
      </c>
      <c r="S54" s="44">
        <f t="shared" si="7"/>
        <v>0</v>
      </c>
      <c r="T54" s="40"/>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row>
    <row r="55" spans="1:64" ht="14">
      <c r="A55" s="37"/>
      <c r="B55" s="38"/>
      <c r="C55" s="39">
        <f t="shared" si="0"/>
        <v>0</v>
      </c>
      <c r="D55" s="40"/>
      <c r="E55" s="40"/>
      <c r="F55" s="40"/>
      <c r="G55" s="40"/>
      <c r="H55" s="41"/>
      <c r="I55" s="42"/>
      <c r="J55" s="40"/>
      <c r="K55" s="42"/>
      <c r="L55" s="42"/>
      <c r="M55" s="43" t="str">
        <f t="shared" si="1"/>
        <v/>
      </c>
      <c r="N55" s="41" t="str">
        <f t="shared" si="2"/>
        <v/>
      </c>
      <c r="O55" s="41" t="str">
        <f t="shared" si="3"/>
        <v/>
      </c>
      <c r="P55" s="44" t="str">
        <f t="shared" si="4"/>
        <v/>
      </c>
      <c r="Q55" s="45">
        <f t="shared" si="5"/>
        <v>0</v>
      </c>
      <c r="R55" s="45">
        <f t="shared" si="6"/>
        <v>0</v>
      </c>
      <c r="S55" s="44">
        <f t="shared" si="7"/>
        <v>0</v>
      </c>
      <c r="T55" s="40"/>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row>
    <row r="56" spans="1:64" ht="14">
      <c r="A56" s="37"/>
      <c r="B56" s="38"/>
      <c r="C56" s="39">
        <f t="shared" si="0"/>
        <v>0</v>
      </c>
      <c r="D56" s="40"/>
      <c r="E56" s="40"/>
      <c r="F56" s="40"/>
      <c r="G56" s="40"/>
      <c r="H56" s="41"/>
      <c r="I56" s="42"/>
      <c r="J56" s="40"/>
      <c r="K56" s="42"/>
      <c r="L56" s="42"/>
      <c r="M56" s="43" t="str">
        <f t="shared" si="1"/>
        <v/>
      </c>
      <c r="N56" s="41" t="str">
        <f t="shared" si="2"/>
        <v/>
      </c>
      <c r="O56" s="41" t="str">
        <f t="shared" si="3"/>
        <v/>
      </c>
      <c r="P56" s="44" t="str">
        <f t="shared" si="4"/>
        <v/>
      </c>
      <c r="Q56" s="45">
        <f t="shared" si="5"/>
        <v>0</v>
      </c>
      <c r="R56" s="45">
        <f t="shared" si="6"/>
        <v>0</v>
      </c>
      <c r="S56" s="44">
        <f t="shared" si="7"/>
        <v>0</v>
      </c>
      <c r="T56" s="40"/>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row>
    <row r="57" spans="1:64" ht="14">
      <c r="A57" s="37"/>
      <c r="B57" s="38"/>
      <c r="C57" s="39">
        <f t="shared" si="0"/>
        <v>0</v>
      </c>
      <c r="D57" s="40"/>
      <c r="E57" s="40"/>
      <c r="F57" s="40"/>
      <c r="G57" s="40"/>
      <c r="H57" s="41"/>
      <c r="I57" s="42"/>
      <c r="J57" s="40"/>
      <c r="K57" s="42"/>
      <c r="L57" s="42"/>
      <c r="M57" s="43" t="str">
        <f t="shared" si="1"/>
        <v/>
      </c>
      <c r="N57" s="41" t="str">
        <f t="shared" si="2"/>
        <v/>
      </c>
      <c r="O57" s="41" t="str">
        <f t="shared" si="3"/>
        <v/>
      </c>
      <c r="P57" s="44" t="str">
        <f t="shared" si="4"/>
        <v/>
      </c>
      <c r="Q57" s="45">
        <f t="shared" si="5"/>
        <v>0</v>
      </c>
      <c r="R57" s="45">
        <f t="shared" si="6"/>
        <v>0</v>
      </c>
      <c r="S57" s="44">
        <f t="shared" si="7"/>
        <v>0</v>
      </c>
      <c r="T57" s="40"/>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row>
    <row r="58" spans="1:64" ht="14">
      <c r="A58" s="37"/>
      <c r="B58" s="38"/>
      <c r="C58" s="39">
        <f t="shared" si="0"/>
        <v>0</v>
      </c>
      <c r="D58" s="40"/>
      <c r="E58" s="40"/>
      <c r="F58" s="40"/>
      <c r="G58" s="40"/>
      <c r="H58" s="41"/>
      <c r="I58" s="42"/>
      <c r="J58" s="40"/>
      <c r="K58" s="42"/>
      <c r="L58" s="42"/>
      <c r="M58" s="43" t="str">
        <f t="shared" si="1"/>
        <v/>
      </c>
      <c r="N58" s="41" t="str">
        <f t="shared" si="2"/>
        <v/>
      </c>
      <c r="O58" s="41" t="str">
        <f t="shared" si="3"/>
        <v/>
      </c>
      <c r="P58" s="44" t="str">
        <f t="shared" si="4"/>
        <v/>
      </c>
      <c r="Q58" s="45">
        <f t="shared" si="5"/>
        <v>0</v>
      </c>
      <c r="R58" s="45">
        <f t="shared" si="6"/>
        <v>0</v>
      </c>
      <c r="S58" s="44">
        <f t="shared" si="7"/>
        <v>0</v>
      </c>
      <c r="T58" s="40"/>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row>
    <row r="59" spans="1:64" ht="14">
      <c r="A59" s="37"/>
      <c r="B59" s="38"/>
      <c r="C59" s="39">
        <f t="shared" si="0"/>
        <v>0</v>
      </c>
      <c r="D59" s="40"/>
      <c r="E59" s="40"/>
      <c r="F59" s="40"/>
      <c r="G59" s="40"/>
      <c r="H59" s="41"/>
      <c r="I59" s="42"/>
      <c r="J59" s="40"/>
      <c r="K59" s="42"/>
      <c r="L59" s="42"/>
      <c r="M59" s="43" t="str">
        <f t="shared" si="1"/>
        <v/>
      </c>
      <c r="N59" s="41" t="str">
        <f t="shared" si="2"/>
        <v/>
      </c>
      <c r="O59" s="41" t="str">
        <f t="shared" si="3"/>
        <v/>
      </c>
      <c r="P59" s="44" t="str">
        <f t="shared" si="4"/>
        <v/>
      </c>
      <c r="Q59" s="45">
        <f t="shared" si="5"/>
        <v>0</v>
      </c>
      <c r="R59" s="45">
        <f t="shared" si="6"/>
        <v>0</v>
      </c>
      <c r="S59" s="44">
        <f t="shared" si="7"/>
        <v>0</v>
      </c>
      <c r="T59" s="40"/>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row>
    <row r="60" spans="1:64" ht="14">
      <c r="A60" s="37"/>
      <c r="B60" s="38"/>
      <c r="C60" s="39">
        <f t="shared" si="0"/>
        <v>0</v>
      </c>
      <c r="D60" s="40"/>
      <c r="E60" s="40"/>
      <c r="F60" s="40"/>
      <c r="G60" s="40"/>
      <c r="H60" s="41"/>
      <c r="I60" s="42"/>
      <c r="J60" s="40"/>
      <c r="K60" s="42"/>
      <c r="L60" s="42"/>
      <c r="M60" s="43" t="str">
        <f t="shared" si="1"/>
        <v/>
      </c>
      <c r="N60" s="41" t="str">
        <f t="shared" si="2"/>
        <v/>
      </c>
      <c r="O60" s="41" t="str">
        <f t="shared" si="3"/>
        <v/>
      </c>
      <c r="P60" s="44" t="str">
        <f t="shared" si="4"/>
        <v/>
      </c>
      <c r="Q60" s="45">
        <f t="shared" si="5"/>
        <v>0</v>
      </c>
      <c r="R60" s="45">
        <f t="shared" si="6"/>
        <v>0</v>
      </c>
      <c r="S60" s="44">
        <f t="shared" si="7"/>
        <v>0</v>
      </c>
      <c r="T60" s="40"/>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row>
    <row r="61" spans="1:64" ht="14">
      <c r="A61" s="37"/>
      <c r="B61" s="38"/>
      <c r="C61" s="39">
        <f t="shared" si="0"/>
        <v>0</v>
      </c>
      <c r="D61" s="40"/>
      <c r="E61" s="40"/>
      <c r="F61" s="40"/>
      <c r="G61" s="40"/>
      <c r="H61" s="41"/>
      <c r="I61" s="42"/>
      <c r="J61" s="40"/>
      <c r="K61" s="42"/>
      <c r="L61" s="42"/>
      <c r="M61" s="43" t="str">
        <f t="shared" si="1"/>
        <v/>
      </c>
      <c r="N61" s="41" t="str">
        <f t="shared" si="2"/>
        <v/>
      </c>
      <c r="O61" s="41" t="str">
        <f t="shared" si="3"/>
        <v/>
      </c>
      <c r="P61" s="44" t="str">
        <f t="shared" si="4"/>
        <v/>
      </c>
      <c r="Q61" s="45">
        <f t="shared" si="5"/>
        <v>0</v>
      </c>
      <c r="R61" s="45">
        <f t="shared" si="6"/>
        <v>0</v>
      </c>
      <c r="S61" s="44">
        <f t="shared" si="7"/>
        <v>0</v>
      </c>
      <c r="T61" s="40"/>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row>
    <row r="62" spans="1:64" ht="14">
      <c r="A62" s="37"/>
      <c r="B62" s="38"/>
      <c r="C62" s="39">
        <f t="shared" si="0"/>
        <v>0</v>
      </c>
      <c r="D62" s="40"/>
      <c r="E62" s="40"/>
      <c r="F62" s="40"/>
      <c r="G62" s="40"/>
      <c r="H62" s="41"/>
      <c r="I62" s="42"/>
      <c r="J62" s="40"/>
      <c r="K62" s="42"/>
      <c r="L62" s="42"/>
      <c r="M62" s="43" t="str">
        <f t="shared" si="1"/>
        <v/>
      </c>
      <c r="N62" s="41" t="str">
        <f t="shared" si="2"/>
        <v/>
      </c>
      <c r="O62" s="41" t="str">
        <f t="shared" si="3"/>
        <v/>
      </c>
      <c r="P62" s="44" t="str">
        <f t="shared" si="4"/>
        <v/>
      </c>
      <c r="Q62" s="45">
        <f t="shared" si="5"/>
        <v>0</v>
      </c>
      <c r="R62" s="45">
        <f t="shared" si="6"/>
        <v>0</v>
      </c>
      <c r="S62" s="44">
        <f t="shared" si="7"/>
        <v>0</v>
      </c>
      <c r="T62" s="40"/>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row>
    <row r="63" spans="1:64" ht="14">
      <c r="A63" s="37"/>
      <c r="B63" s="38"/>
      <c r="C63" s="39">
        <f t="shared" si="0"/>
        <v>0</v>
      </c>
      <c r="D63" s="40"/>
      <c r="E63" s="40"/>
      <c r="F63" s="40"/>
      <c r="G63" s="40"/>
      <c r="H63" s="41"/>
      <c r="I63" s="42"/>
      <c r="J63" s="40"/>
      <c r="K63" s="42"/>
      <c r="L63" s="42"/>
      <c r="M63" s="43" t="str">
        <f t="shared" si="1"/>
        <v/>
      </c>
      <c r="N63" s="41" t="str">
        <f t="shared" si="2"/>
        <v/>
      </c>
      <c r="O63" s="41" t="str">
        <f t="shared" si="3"/>
        <v/>
      </c>
      <c r="P63" s="44" t="str">
        <f t="shared" si="4"/>
        <v/>
      </c>
      <c r="Q63" s="45">
        <f t="shared" si="5"/>
        <v>0</v>
      </c>
      <c r="R63" s="45">
        <f t="shared" si="6"/>
        <v>0</v>
      </c>
      <c r="S63" s="44">
        <f t="shared" si="7"/>
        <v>0</v>
      </c>
      <c r="T63" s="40"/>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row>
    <row r="64" spans="1:64" ht="14">
      <c r="A64" s="37"/>
      <c r="B64" s="38"/>
      <c r="C64" s="39">
        <f t="shared" si="0"/>
        <v>0</v>
      </c>
      <c r="D64" s="40"/>
      <c r="E64" s="40"/>
      <c r="F64" s="40"/>
      <c r="G64" s="40"/>
      <c r="H64" s="41"/>
      <c r="I64" s="42"/>
      <c r="J64" s="40"/>
      <c r="K64" s="42"/>
      <c r="L64" s="42"/>
      <c r="M64" s="43" t="str">
        <f t="shared" si="1"/>
        <v/>
      </c>
      <c r="N64" s="41" t="str">
        <f t="shared" si="2"/>
        <v/>
      </c>
      <c r="O64" s="41" t="str">
        <f t="shared" si="3"/>
        <v/>
      </c>
      <c r="P64" s="44" t="str">
        <f t="shared" si="4"/>
        <v/>
      </c>
      <c r="Q64" s="45">
        <f t="shared" si="5"/>
        <v>0</v>
      </c>
      <c r="R64" s="45">
        <f t="shared" si="6"/>
        <v>0</v>
      </c>
      <c r="S64" s="44">
        <f t="shared" si="7"/>
        <v>0</v>
      </c>
      <c r="T64" s="40"/>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row>
    <row r="65" spans="1:64" ht="14">
      <c r="A65" s="37"/>
      <c r="B65" s="38"/>
      <c r="C65" s="39">
        <f t="shared" si="0"/>
        <v>0</v>
      </c>
      <c r="D65" s="40"/>
      <c r="E65" s="40"/>
      <c r="F65" s="40"/>
      <c r="G65" s="40"/>
      <c r="H65" s="41"/>
      <c r="I65" s="42"/>
      <c r="J65" s="40"/>
      <c r="K65" s="42"/>
      <c r="L65" s="42"/>
      <c r="M65" s="43" t="str">
        <f t="shared" si="1"/>
        <v/>
      </c>
      <c r="N65" s="41" t="str">
        <f t="shared" si="2"/>
        <v/>
      </c>
      <c r="O65" s="41" t="str">
        <f t="shared" si="3"/>
        <v/>
      </c>
      <c r="P65" s="44" t="str">
        <f t="shared" si="4"/>
        <v/>
      </c>
      <c r="Q65" s="45">
        <f t="shared" si="5"/>
        <v>0</v>
      </c>
      <c r="R65" s="45">
        <f t="shared" si="6"/>
        <v>0</v>
      </c>
      <c r="S65" s="44">
        <f t="shared" si="7"/>
        <v>0</v>
      </c>
      <c r="T65" s="40"/>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row>
    <row r="66" spans="1:64" ht="14">
      <c r="A66" s="37"/>
      <c r="B66" s="38"/>
      <c r="C66" s="39">
        <f t="shared" si="0"/>
        <v>0</v>
      </c>
      <c r="D66" s="40"/>
      <c r="E66" s="40"/>
      <c r="F66" s="40"/>
      <c r="G66" s="40"/>
      <c r="H66" s="41"/>
      <c r="I66" s="42"/>
      <c r="J66" s="40"/>
      <c r="K66" s="42"/>
      <c r="L66" s="42"/>
      <c r="M66" s="43" t="str">
        <f t="shared" si="1"/>
        <v/>
      </c>
      <c r="N66" s="41" t="str">
        <f t="shared" si="2"/>
        <v/>
      </c>
      <c r="O66" s="41" t="str">
        <f t="shared" si="3"/>
        <v/>
      </c>
      <c r="P66" s="44" t="str">
        <f t="shared" si="4"/>
        <v/>
      </c>
      <c r="Q66" s="45">
        <f t="shared" si="5"/>
        <v>0</v>
      </c>
      <c r="R66" s="45">
        <f t="shared" si="6"/>
        <v>0</v>
      </c>
      <c r="S66" s="44">
        <f t="shared" si="7"/>
        <v>0</v>
      </c>
      <c r="T66" s="40"/>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row>
    <row r="67" spans="1:64" ht="14">
      <c r="A67" s="37"/>
      <c r="B67" s="38"/>
      <c r="C67" s="39">
        <f t="shared" si="0"/>
        <v>0</v>
      </c>
      <c r="D67" s="40"/>
      <c r="E67" s="40"/>
      <c r="F67" s="40"/>
      <c r="G67" s="40"/>
      <c r="H67" s="41"/>
      <c r="I67" s="42"/>
      <c r="J67" s="40"/>
      <c r="K67" s="42"/>
      <c r="L67" s="42"/>
      <c r="M67" s="43" t="str">
        <f t="shared" si="1"/>
        <v/>
      </c>
      <c r="N67" s="41" t="str">
        <f t="shared" si="2"/>
        <v/>
      </c>
      <c r="O67" s="41" t="str">
        <f t="shared" si="3"/>
        <v/>
      </c>
      <c r="P67" s="44" t="str">
        <f t="shared" si="4"/>
        <v/>
      </c>
      <c r="Q67" s="45">
        <f t="shared" si="5"/>
        <v>0</v>
      </c>
      <c r="R67" s="45">
        <f t="shared" si="6"/>
        <v>0</v>
      </c>
      <c r="S67" s="44">
        <f t="shared" si="7"/>
        <v>0</v>
      </c>
      <c r="T67" s="40"/>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row>
    <row r="68" spans="1:64" ht="14">
      <c r="A68" s="37"/>
      <c r="B68" s="38"/>
      <c r="C68" s="39">
        <f t="shared" si="0"/>
        <v>0</v>
      </c>
      <c r="D68" s="40"/>
      <c r="E68" s="40"/>
      <c r="F68" s="40"/>
      <c r="G68" s="40"/>
      <c r="H68" s="41"/>
      <c r="I68" s="42"/>
      <c r="J68" s="40"/>
      <c r="K68" s="42"/>
      <c r="L68" s="42"/>
      <c r="M68" s="43" t="str">
        <f t="shared" si="1"/>
        <v/>
      </c>
      <c r="N68" s="41" t="str">
        <f t="shared" si="2"/>
        <v/>
      </c>
      <c r="O68" s="41" t="str">
        <f t="shared" si="3"/>
        <v/>
      </c>
      <c r="P68" s="44" t="str">
        <f t="shared" si="4"/>
        <v/>
      </c>
      <c r="Q68" s="45">
        <f t="shared" si="5"/>
        <v>0</v>
      </c>
      <c r="R68" s="45">
        <f t="shared" si="6"/>
        <v>0</v>
      </c>
      <c r="S68" s="44">
        <f t="shared" si="7"/>
        <v>0</v>
      </c>
      <c r="T68" s="40"/>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row>
    <row r="69" spans="1:64" ht="14">
      <c r="A69" s="37"/>
      <c r="B69" s="38"/>
      <c r="C69" s="39">
        <f t="shared" si="0"/>
        <v>0</v>
      </c>
      <c r="D69" s="40"/>
      <c r="E69" s="40"/>
      <c r="F69" s="40"/>
      <c r="G69" s="40"/>
      <c r="H69" s="41"/>
      <c r="I69" s="42"/>
      <c r="J69" s="40"/>
      <c r="K69" s="42"/>
      <c r="L69" s="42"/>
      <c r="M69" s="43" t="str">
        <f t="shared" si="1"/>
        <v/>
      </c>
      <c r="N69" s="41" t="str">
        <f t="shared" si="2"/>
        <v/>
      </c>
      <c r="O69" s="41" t="str">
        <f t="shared" si="3"/>
        <v/>
      </c>
      <c r="P69" s="44" t="str">
        <f t="shared" si="4"/>
        <v/>
      </c>
      <c r="Q69" s="45">
        <f t="shared" si="5"/>
        <v>0</v>
      </c>
      <c r="R69" s="45">
        <f t="shared" si="6"/>
        <v>0</v>
      </c>
      <c r="S69" s="44">
        <f t="shared" si="7"/>
        <v>0</v>
      </c>
      <c r="T69" s="40"/>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row>
    <row r="70" spans="1:64" ht="14">
      <c r="A70" s="37"/>
      <c r="B70" s="38"/>
      <c r="C70" s="39">
        <f t="shared" si="0"/>
        <v>0</v>
      </c>
      <c r="D70" s="40"/>
      <c r="E70" s="40"/>
      <c r="F70" s="40"/>
      <c r="G70" s="40"/>
      <c r="H70" s="41"/>
      <c r="I70" s="42"/>
      <c r="J70" s="40"/>
      <c r="K70" s="42"/>
      <c r="L70" s="42"/>
      <c r="M70" s="43" t="str">
        <f t="shared" si="1"/>
        <v/>
      </c>
      <c r="N70" s="41" t="str">
        <f t="shared" si="2"/>
        <v/>
      </c>
      <c r="O70" s="41" t="str">
        <f t="shared" si="3"/>
        <v/>
      </c>
      <c r="P70" s="44" t="str">
        <f t="shared" si="4"/>
        <v/>
      </c>
      <c r="Q70" s="45">
        <f t="shared" si="5"/>
        <v>0</v>
      </c>
      <c r="R70" s="45">
        <f t="shared" si="6"/>
        <v>0</v>
      </c>
      <c r="S70" s="44">
        <f t="shared" si="7"/>
        <v>0</v>
      </c>
      <c r="T70" s="40"/>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row>
    <row r="71" spans="1:64" ht="14">
      <c r="A71" s="37"/>
      <c r="B71" s="38"/>
      <c r="C71" s="39">
        <f t="shared" si="0"/>
        <v>0</v>
      </c>
      <c r="D71" s="40"/>
      <c r="E71" s="40"/>
      <c r="F71" s="40"/>
      <c r="G71" s="40"/>
      <c r="H71" s="41"/>
      <c r="I71" s="42"/>
      <c r="J71" s="40"/>
      <c r="K71" s="42"/>
      <c r="L71" s="42"/>
      <c r="M71" s="43" t="str">
        <f t="shared" si="1"/>
        <v/>
      </c>
      <c r="N71" s="41" t="str">
        <f t="shared" si="2"/>
        <v/>
      </c>
      <c r="O71" s="41" t="str">
        <f t="shared" si="3"/>
        <v/>
      </c>
      <c r="P71" s="44" t="str">
        <f t="shared" si="4"/>
        <v/>
      </c>
      <c r="Q71" s="45">
        <f t="shared" si="5"/>
        <v>0</v>
      </c>
      <c r="R71" s="45">
        <f t="shared" si="6"/>
        <v>0</v>
      </c>
      <c r="S71" s="44">
        <f t="shared" si="7"/>
        <v>0</v>
      </c>
      <c r="T71" s="40"/>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row>
    <row r="72" spans="1:64" ht="14">
      <c r="A72" s="37"/>
      <c r="B72" s="38"/>
      <c r="C72" s="39">
        <f t="shared" si="0"/>
        <v>0</v>
      </c>
      <c r="D72" s="40"/>
      <c r="E72" s="40"/>
      <c r="F72" s="40"/>
      <c r="G72" s="40"/>
      <c r="H72" s="41"/>
      <c r="I72" s="42"/>
      <c r="J72" s="40"/>
      <c r="K72" s="42"/>
      <c r="L72" s="42"/>
      <c r="M72" s="43" t="str">
        <f t="shared" si="1"/>
        <v/>
      </c>
      <c r="N72" s="41" t="str">
        <f t="shared" si="2"/>
        <v/>
      </c>
      <c r="O72" s="41" t="str">
        <f t="shared" si="3"/>
        <v/>
      </c>
      <c r="P72" s="44" t="str">
        <f t="shared" si="4"/>
        <v/>
      </c>
      <c r="Q72" s="45">
        <f t="shared" si="5"/>
        <v>0</v>
      </c>
      <c r="R72" s="45">
        <f t="shared" si="6"/>
        <v>0</v>
      </c>
      <c r="S72" s="44">
        <f t="shared" si="7"/>
        <v>0</v>
      </c>
      <c r="T72" s="40"/>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row>
    <row r="73" spans="1:64" ht="14">
      <c r="A73" s="37"/>
      <c r="B73" s="38"/>
      <c r="C73" s="39">
        <f t="shared" si="0"/>
        <v>0</v>
      </c>
      <c r="D73" s="40"/>
      <c r="E73" s="40"/>
      <c r="F73" s="40"/>
      <c r="G73" s="40"/>
      <c r="H73" s="41"/>
      <c r="I73" s="42"/>
      <c r="J73" s="40"/>
      <c r="K73" s="42"/>
      <c r="L73" s="42"/>
      <c r="M73" s="43" t="str">
        <f t="shared" si="1"/>
        <v/>
      </c>
      <c r="N73" s="41" t="str">
        <f t="shared" si="2"/>
        <v/>
      </c>
      <c r="O73" s="41" t="str">
        <f t="shared" si="3"/>
        <v/>
      </c>
      <c r="P73" s="44" t="str">
        <f t="shared" si="4"/>
        <v/>
      </c>
      <c r="Q73" s="45">
        <f t="shared" si="5"/>
        <v>0</v>
      </c>
      <c r="R73" s="45">
        <f t="shared" si="6"/>
        <v>0</v>
      </c>
      <c r="S73" s="44">
        <f t="shared" si="7"/>
        <v>0</v>
      </c>
      <c r="T73" s="40"/>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row>
    <row r="74" spans="1:64" ht="14">
      <c r="A74" s="37"/>
      <c r="B74" s="38"/>
      <c r="C74" s="39">
        <f t="shared" ref="C74:C137" si="8">IF($B74&lt;&gt;"",VLOOKUP($B74,Matriz_INM,2,0),0)</f>
        <v>0</v>
      </c>
      <c r="D74" s="40"/>
      <c r="E74" s="40"/>
      <c r="F74" s="40"/>
      <c r="G74" s="40"/>
      <c r="H74" s="41"/>
      <c r="I74" s="42"/>
      <c r="J74" s="40"/>
      <c r="K74" s="42"/>
      <c r="L74" s="42"/>
      <c r="M74" s="43" t="str">
        <f t="shared" ref="M74:M137" si="9">IFERROR(VLOOKUP($B74,Matriz_INM,3,0),"")</f>
        <v/>
      </c>
      <c r="N74" s="41" t="str">
        <f t="shared" ref="N74:N137" si="10">IF(J74="EE",IF(OR(AND(OR(L74=1,L74=0),K74&gt;0,K74&lt;5),AND(OR(L74=1,L74=0),K74&gt;4,K74&lt;16),AND(L74=2,K74&gt;0,K74&lt;5)),"Simples",IF(OR(AND(OR(L74=1,L74=0),K74&gt;15),AND(L74=2,K74&gt;4,K74&lt;16),AND(L74&gt;2,K74&gt;0,K74&lt;5)),"Médio",IF(OR(AND(L74=2,K74&gt;15),AND(L74&gt;2,K74&gt;4,K74&lt;16),AND(L74&gt;2,K74&gt;15)),"Complexo",""))), IF(OR(J74="CE",J74="SE"),IF(OR(AND(OR(L74=1,L74=0),K74&gt;0,K74&lt;6),AND(OR(L74=1,L74=0),K74&gt;5,K74&lt;20),AND(L74&gt;1,L74&lt;4,K74&gt;0,K74&lt;6)),"Simples",IF(OR(AND(OR(L74=1,L74=0),K74&gt;19),AND(L74&gt;1,L74&lt;4,K74&gt;5,K74&lt;20),AND(L74&gt;3,K74&gt;0,K74&lt;6)),"Médio",IF(OR(AND(L74&gt;1,L74&lt;4,K74&gt;19),AND(L74&gt;3,K74&gt;5,K74&lt;20),AND(L74&gt;3,K74&gt;19)),"Complexo",""))),""))</f>
        <v/>
      </c>
      <c r="O74" s="41" t="str">
        <f t="shared" ref="O74:O137" si="11">IF(J74="ALI",IF(OR(AND(OR(L74=1,L74=0),K74&gt;0,K74&lt;20),AND(OR(L74=1,L74=0),K74&gt;19,K74&lt;51),AND(L74&gt;1,L74&lt;6,K74&gt;0,K74&lt;20)),"Simples",IF(OR(AND(OR(L74=1,L74=0),K74&gt;50),AND(L74&gt;1,L74&lt;6,K74&gt;19,K74&lt;51),AND(L74&gt;5,K74&gt;0,K74&lt;20)),"Médio",IF(OR(AND(L74&gt;1,L74&lt;6,K74&gt;50),AND(L74&gt;5,K74&gt;19,K74&lt;51),AND(L74&gt;5,K74&gt;50)),"Complexo",""))), IF(J74="AIE",IF(OR(AND(OR(L74=1, L74=0),K74&gt;0,K74&lt;20),AND(OR(L74=1, L74=0),K74&gt;19,K74&lt;51),AND(L74&gt;1,L74&lt;6,K74&gt;0,K74&lt;20)),"Simples",IF(OR(AND(OR(L74=1, L74=0),K74&gt;50),AND(L74&gt;1,L74&lt;6,K74&gt;19,K74&lt;51),AND(L74&gt;5,K74&gt;0,K74&lt;20)),"Médio",IF(OR(AND(L74&gt;1,L74&lt;6,K74&gt;50),AND(L74&gt;5,K74&gt;19,K74&lt;51),AND(L74&gt;5,K74&gt;50)),"Complexo",""))),""))</f>
        <v/>
      </c>
      <c r="P74" s="44" t="str">
        <f t="shared" ref="P74:P137" si="12">IF(N74="",O74,IF(O74="",N74,""))</f>
        <v/>
      </c>
      <c r="Q74" s="45">
        <f t="shared" ref="Q74:Q137" si="13">IF(AND(OR(J74="EE",J74="CE"),P74="Simples"),3, IF(AND(OR(J74="EE",J74="CE"),P74="Médio"),4, IF(AND(OR(J74="EE",J74="CE"),P74="Complexo"),6, IF(AND(J74="SE",P74="Simples"),4, IF(AND(J74="SE",P74="Médio"),5, IF(AND(J74="SE",P74="Complexo"),7,0))))))</f>
        <v>0</v>
      </c>
      <c r="R74" s="45">
        <f t="shared" ref="R74:R137" si="14">IF(AND(J74="ALI",O74="Simples"),7, IF(AND(J74="ALI",O74="Médio"),10, IF(AND(J74="ALI",O74="Complexo"),15, IF(AND(J74="AIE",O74="Simples"),5, IF(AND(J74="AIE",O74="Médio"),7, IF(AND(J74="AIE",O74="Complexo"),10,0))))))</f>
        <v>0</v>
      </c>
      <c r="S74" s="44">
        <f t="shared" ref="S74:S137" si="15">IF($M74="%",($Q74+$R74)*$C74,$C74*$I74)</f>
        <v>0</v>
      </c>
      <c r="T74" s="40"/>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row>
    <row r="75" spans="1:64" ht="14">
      <c r="A75" s="37"/>
      <c r="B75" s="38"/>
      <c r="C75" s="39">
        <f t="shared" si="8"/>
        <v>0</v>
      </c>
      <c r="D75" s="40"/>
      <c r="E75" s="40"/>
      <c r="F75" s="40"/>
      <c r="G75" s="40"/>
      <c r="H75" s="41"/>
      <c r="I75" s="42"/>
      <c r="J75" s="40"/>
      <c r="K75" s="42"/>
      <c r="L75" s="42"/>
      <c r="M75" s="43" t="str">
        <f t="shared" si="9"/>
        <v/>
      </c>
      <c r="N75" s="41" t="str">
        <f t="shared" si="10"/>
        <v/>
      </c>
      <c r="O75" s="41" t="str">
        <f t="shared" si="11"/>
        <v/>
      </c>
      <c r="P75" s="44" t="str">
        <f t="shared" si="12"/>
        <v/>
      </c>
      <c r="Q75" s="45">
        <f t="shared" si="13"/>
        <v>0</v>
      </c>
      <c r="R75" s="45">
        <f t="shared" si="14"/>
        <v>0</v>
      </c>
      <c r="S75" s="44">
        <f t="shared" si="15"/>
        <v>0</v>
      </c>
      <c r="T75" s="40"/>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row>
    <row r="76" spans="1:64" ht="14">
      <c r="A76" s="37"/>
      <c r="B76" s="38"/>
      <c r="C76" s="39">
        <f t="shared" si="8"/>
        <v>0</v>
      </c>
      <c r="D76" s="40"/>
      <c r="E76" s="40"/>
      <c r="F76" s="40"/>
      <c r="G76" s="40"/>
      <c r="H76" s="41"/>
      <c r="I76" s="42"/>
      <c r="J76" s="40"/>
      <c r="K76" s="42"/>
      <c r="L76" s="42"/>
      <c r="M76" s="43" t="str">
        <f t="shared" si="9"/>
        <v/>
      </c>
      <c r="N76" s="41" t="str">
        <f t="shared" si="10"/>
        <v/>
      </c>
      <c r="O76" s="41" t="str">
        <f t="shared" si="11"/>
        <v/>
      </c>
      <c r="P76" s="44" t="str">
        <f t="shared" si="12"/>
        <v/>
      </c>
      <c r="Q76" s="45">
        <f t="shared" si="13"/>
        <v>0</v>
      </c>
      <c r="R76" s="45">
        <f t="shared" si="14"/>
        <v>0</v>
      </c>
      <c r="S76" s="44">
        <f t="shared" si="15"/>
        <v>0</v>
      </c>
      <c r="T76" s="40"/>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row>
    <row r="77" spans="1:64" ht="14">
      <c r="A77" s="37"/>
      <c r="B77" s="38"/>
      <c r="C77" s="39">
        <f t="shared" si="8"/>
        <v>0</v>
      </c>
      <c r="D77" s="40"/>
      <c r="E77" s="40"/>
      <c r="F77" s="40"/>
      <c r="G77" s="40"/>
      <c r="H77" s="41"/>
      <c r="I77" s="42"/>
      <c r="J77" s="40"/>
      <c r="K77" s="42"/>
      <c r="L77" s="42"/>
      <c r="M77" s="43" t="str">
        <f t="shared" si="9"/>
        <v/>
      </c>
      <c r="N77" s="41" t="str">
        <f t="shared" si="10"/>
        <v/>
      </c>
      <c r="O77" s="41" t="str">
        <f t="shared" si="11"/>
        <v/>
      </c>
      <c r="P77" s="44" t="str">
        <f t="shared" si="12"/>
        <v/>
      </c>
      <c r="Q77" s="45">
        <f t="shared" si="13"/>
        <v>0</v>
      </c>
      <c r="R77" s="45">
        <f t="shared" si="14"/>
        <v>0</v>
      </c>
      <c r="S77" s="44">
        <f t="shared" si="15"/>
        <v>0</v>
      </c>
      <c r="T77" s="40"/>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row>
    <row r="78" spans="1:64" ht="14">
      <c r="A78" s="37"/>
      <c r="B78" s="38"/>
      <c r="C78" s="39">
        <f t="shared" si="8"/>
        <v>0</v>
      </c>
      <c r="D78" s="40"/>
      <c r="E78" s="40"/>
      <c r="F78" s="40"/>
      <c r="G78" s="40"/>
      <c r="H78" s="41"/>
      <c r="I78" s="42"/>
      <c r="J78" s="40"/>
      <c r="K78" s="42"/>
      <c r="L78" s="42"/>
      <c r="M78" s="43" t="str">
        <f t="shared" si="9"/>
        <v/>
      </c>
      <c r="N78" s="41" t="str">
        <f t="shared" si="10"/>
        <v/>
      </c>
      <c r="O78" s="41" t="str">
        <f t="shared" si="11"/>
        <v/>
      </c>
      <c r="P78" s="44" t="str">
        <f t="shared" si="12"/>
        <v/>
      </c>
      <c r="Q78" s="45">
        <f t="shared" si="13"/>
        <v>0</v>
      </c>
      <c r="R78" s="45">
        <f t="shared" si="14"/>
        <v>0</v>
      </c>
      <c r="S78" s="44">
        <f t="shared" si="15"/>
        <v>0</v>
      </c>
      <c r="T78" s="40"/>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row>
    <row r="79" spans="1:64" ht="14">
      <c r="A79" s="37"/>
      <c r="B79" s="38"/>
      <c r="C79" s="39">
        <f t="shared" si="8"/>
        <v>0</v>
      </c>
      <c r="D79" s="40"/>
      <c r="E79" s="40"/>
      <c r="F79" s="40"/>
      <c r="G79" s="40"/>
      <c r="H79" s="41"/>
      <c r="I79" s="42"/>
      <c r="J79" s="40"/>
      <c r="K79" s="42"/>
      <c r="L79" s="42"/>
      <c r="M79" s="43" t="str">
        <f t="shared" si="9"/>
        <v/>
      </c>
      <c r="N79" s="41" t="str">
        <f t="shared" si="10"/>
        <v/>
      </c>
      <c r="O79" s="41" t="str">
        <f t="shared" si="11"/>
        <v/>
      </c>
      <c r="P79" s="44" t="str">
        <f t="shared" si="12"/>
        <v/>
      </c>
      <c r="Q79" s="45">
        <f t="shared" si="13"/>
        <v>0</v>
      </c>
      <c r="R79" s="45">
        <f t="shared" si="14"/>
        <v>0</v>
      </c>
      <c r="S79" s="44">
        <f t="shared" si="15"/>
        <v>0</v>
      </c>
      <c r="T79" s="40"/>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row>
    <row r="80" spans="1:64" ht="14">
      <c r="A80" s="37"/>
      <c r="B80" s="38"/>
      <c r="C80" s="39">
        <f t="shared" si="8"/>
        <v>0</v>
      </c>
      <c r="D80" s="40"/>
      <c r="E80" s="40"/>
      <c r="F80" s="40"/>
      <c r="G80" s="40"/>
      <c r="H80" s="41"/>
      <c r="I80" s="42"/>
      <c r="J80" s="40"/>
      <c r="K80" s="42"/>
      <c r="L80" s="42"/>
      <c r="M80" s="43" t="str">
        <f t="shared" si="9"/>
        <v/>
      </c>
      <c r="N80" s="41" t="str">
        <f t="shared" si="10"/>
        <v/>
      </c>
      <c r="O80" s="41" t="str">
        <f t="shared" si="11"/>
        <v/>
      </c>
      <c r="P80" s="44" t="str">
        <f t="shared" si="12"/>
        <v/>
      </c>
      <c r="Q80" s="45">
        <f t="shared" si="13"/>
        <v>0</v>
      </c>
      <c r="R80" s="45">
        <f t="shared" si="14"/>
        <v>0</v>
      </c>
      <c r="S80" s="44">
        <f t="shared" si="15"/>
        <v>0</v>
      </c>
      <c r="T80" s="40"/>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row>
    <row r="81" spans="1:64" ht="14">
      <c r="A81" s="37"/>
      <c r="B81" s="38"/>
      <c r="C81" s="39">
        <f t="shared" si="8"/>
        <v>0</v>
      </c>
      <c r="D81" s="40"/>
      <c r="E81" s="40"/>
      <c r="F81" s="40"/>
      <c r="G81" s="40"/>
      <c r="H81" s="41"/>
      <c r="I81" s="42"/>
      <c r="J81" s="40"/>
      <c r="K81" s="42"/>
      <c r="L81" s="42"/>
      <c r="M81" s="43" t="str">
        <f t="shared" si="9"/>
        <v/>
      </c>
      <c r="N81" s="41" t="str">
        <f t="shared" si="10"/>
        <v/>
      </c>
      <c r="O81" s="41" t="str">
        <f t="shared" si="11"/>
        <v/>
      </c>
      <c r="P81" s="44" t="str">
        <f t="shared" si="12"/>
        <v/>
      </c>
      <c r="Q81" s="45">
        <f t="shared" si="13"/>
        <v>0</v>
      </c>
      <c r="R81" s="45">
        <f t="shared" si="14"/>
        <v>0</v>
      </c>
      <c r="S81" s="44">
        <f t="shared" si="15"/>
        <v>0</v>
      </c>
      <c r="T81" s="40"/>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row>
    <row r="82" spans="1:64" ht="14">
      <c r="A82" s="37"/>
      <c r="B82" s="38"/>
      <c r="C82" s="39">
        <f t="shared" si="8"/>
        <v>0</v>
      </c>
      <c r="D82" s="40"/>
      <c r="E82" s="40"/>
      <c r="F82" s="40"/>
      <c r="G82" s="40"/>
      <c r="H82" s="41"/>
      <c r="I82" s="42"/>
      <c r="J82" s="40"/>
      <c r="K82" s="42"/>
      <c r="L82" s="42"/>
      <c r="M82" s="43" t="str">
        <f t="shared" si="9"/>
        <v/>
      </c>
      <c r="N82" s="41" t="str">
        <f t="shared" si="10"/>
        <v/>
      </c>
      <c r="O82" s="41" t="str">
        <f t="shared" si="11"/>
        <v/>
      </c>
      <c r="P82" s="44" t="str">
        <f t="shared" si="12"/>
        <v/>
      </c>
      <c r="Q82" s="45">
        <f t="shared" si="13"/>
        <v>0</v>
      </c>
      <c r="R82" s="45">
        <f t="shared" si="14"/>
        <v>0</v>
      </c>
      <c r="S82" s="44">
        <f t="shared" si="15"/>
        <v>0</v>
      </c>
      <c r="T82" s="40"/>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row>
    <row r="83" spans="1:64" ht="14">
      <c r="A83" s="37"/>
      <c r="B83" s="38"/>
      <c r="C83" s="39">
        <f t="shared" si="8"/>
        <v>0</v>
      </c>
      <c r="D83" s="40"/>
      <c r="E83" s="40"/>
      <c r="F83" s="40"/>
      <c r="G83" s="40"/>
      <c r="H83" s="41"/>
      <c r="I83" s="42"/>
      <c r="J83" s="40"/>
      <c r="K83" s="42"/>
      <c r="L83" s="42"/>
      <c r="M83" s="43" t="str">
        <f t="shared" si="9"/>
        <v/>
      </c>
      <c r="N83" s="41" t="str">
        <f t="shared" si="10"/>
        <v/>
      </c>
      <c r="O83" s="41" t="str">
        <f t="shared" si="11"/>
        <v/>
      </c>
      <c r="P83" s="44" t="str">
        <f t="shared" si="12"/>
        <v/>
      </c>
      <c r="Q83" s="45">
        <f t="shared" si="13"/>
        <v>0</v>
      </c>
      <c r="R83" s="45">
        <f t="shared" si="14"/>
        <v>0</v>
      </c>
      <c r="S83" s="44">
        <f t="shared" si="15"/>
        <v>0</v>
      </c>
      <c r="T83" s="40"/>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row>
    <row r="84" spans="1:64" ht="14">
      <c r="A84" s="37"/>
      <c r="B84" s="38"/>
      <c r="C84" s="39">
        <f t="shared" si="8"/>
        <v>0</v>
      </c>
      <c r="D84" s="40"/>
      <c r="E84" s="40"/>
      <c r="F84" s="40"/>
      <c r="G84" s="40"/>
      <c r="H84" s="41"/>
      <c r="I84" s="42"/>
      <c r="J84" s="40"/>
      <c r="K84" s="42"/>
      <c r="L84" s="42"/>
      <c r="M84" s="43" t="str">
        <f t="shared" si="9"/>
        <v/>
      </c>
      <c r="N84" s="41" t="str">
        <f t="shared" si="10"/>
        <v/>
      </c>
      <c r="O84" s="41" t="str">
        <f t="shared" si="11"/>
        <v/>
      </c>
      <c r="P84" s="44" t="str">
        <f t="shared" si="12"/>
        <v/>
      </c>
      <c r="Q84" s="45">
        <f t="shared" si="13"/>
        <v>0</v>
      </c>
      <c r="R84" s="45">
        <f t="shared" si="14"/>
        <v>0</v>
      </c>
      <c r="S84" s="44">
        <f t="shared" si="15"/>
        <v>0</v>
      </c>
      <c r="T84" s="40"/>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row>
    <row r="85" spans="1:64" ht="14">
      <c r="A85" s="37"/>
      <c r="B85" s="38"/>
      <c r="C85" s="39">
        <f t="shared" si="8"/>
        <v>0</v>
      </c>
      <c r="D85" s="40"/>
      <c r="E85" s="40"/>
      <c r="F85" s="40"/>
      <c r="G85" s="40"/>
      <c r="H85" s="41"/>
      <c r="I85" s="42"/>
      <c r="J85" s="40"/>
      <c r="K85" s="42"/>
      <c r="L85" s="42"/>
      <c r="M85" s="43" t="str">
        <f t="shared" si="9"/>
        <v/>
      </c>
      <c r="N85" s="41" t="str">
        <f t="shared" si="10"/>
        <v/>
      </c>
      <c r="O85" s="41" t="str">
        <f t="shared" si="11"/>
        <v/>
      </c>
      <c r="P85" s="44" t="str">
        <f t="shared" si="12"/>
        <v/>
      </c>
      <c r="Q85" s="45">
        <f t="shared" si="13"/>
        <v>0</v>
      </c>
      <c r="R85" s="45">
        <f t="shared" si="14"/>
        <v>0</v>
      </c>
      <c r="S85" s="44">
        <f t="shared" si="15"/>
        <v>0</v>
      </c>
      <c r="T85" s="40"/>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row>
    <row r="86" spans="1:64" ht="14">
      <c r="A86" s="37"/>
      <c r="B86" s="38"/>
      <c r="C86" s="39">
        <f t="shared" si="8"/>
        <v>0</v>
      </c>
      <c r="D86" s="40"/>
      <c r="E86" s="40"/>
      <c r="F86" s="40"/>
      <c r="G86" s="40"/>
      <c r="H86" s="41"/>
      <c r="I86" s="42"/>
      <c r="J86" s="40"/>
      <c r="K86" s="42"/>
      <c r="L86" s="42"/>
      <c r="M86" s="43" t="str">
        <f t="shared" si="9"/>
        <v/>
      </c>
      <c r="N86" s="41" t="str">
        <f t="shared" si="10"/>
        <v/>
      </c>
      <c r="O86" s="41" t="str">
        <f t="shared" si="11"/>
        <v/>
      </c>
      <c r="P86" s="44" t="str">
        <f t="shared" si="12"/>
        <v/>
      </c>
      <c r="Q86" s="45">
        <f t="shared" si="13"/>
        <v>0</v>
      </c>
      <c r="R86" s="45">
        <f t="shared" si="14"/>
        <v>0</v>
      </c>
      <c r="S86" s="44">
        <f t="shared" si="15"/>
        <v>0</v>
      </c>
      <c r="T86" s="40"/>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row>
    <row r="87" spans="1:64" ht="14">
      <c r="A87" s="37"/>
      <c r="B87" s="38"/>
      <c r="C87" s="39">
        <f t="shared" si="8"/>
        <v>0</v>
      </c>
      <c r="D87" s="40"/>
      <c r="E87" s="40"/>
      <c r="F87" s="40"/>
      <c r="G87" s="40"/>
      <c r="H87" s="41"/>
      <c r="I87" s="42"/>
      <c r="J87" s="40"/>
      <c r="K87" s="42"/>
      <c r="L87" s="42"/>
      <c r="M87" s="43" t="str">
        <f t="shared" si="9"/>
        <v/>
      </c>
      <c r="N87" s="41" t="str">
        <f t="shared" si="10"/>
        <v/>
      </c>
      <c r="O87" s="41" t="str">
        <f t="shared" si="11"/>
        <v/>
      </c>
      <c r="P87" s="44" t="str">
        <f t="shared" si="12"/>
        <v/>
      </c>
      <c r="Q87" s="45">
        <f t="shared" si="13"/>
        <v>0</v>
      </c>
      <c r="R87" s="45">
        <f t="shared" si="14"/>
        <v>0</v>
      </c>
      <c r="S87" s="44">
        <f t="shared" si="15"/>
        <v>0</v>
      </c>
      <c r="T87" s="40"/>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row>
    <row r="88" spans="1:64" ht="14">
      <c r="A88" s="37"/>
      <c r="B88" s="38"/>
      <c r="C88" s="39">
        <f t="shared" si="8"/>
        <v>0</v>
      </c>
      <c r="D88" s="40"/>
      <c r="E88" s="40"/>
      <c r="F88" s="40"/>
      <c r="G88" s="40"/>
      <c r="H88" s="41"/>
      <c r="I88" s="42"/>
      <c r="J88" s="40"/>
      <c r="K88" s="42"/>
      <c r="L88" s="42"/>
      <c r="M88" s="43" t="str">
        <f t="shared" si="9"/>
        <v/>
      </c>
      <c r="N88" s="41" t="str">
        <f t="shared" si="10"/>
        <v/>
      </c>
      <c r="O88" s="41" t="str">
        <f t="shared" si="11"/>
        <v/>
      </c>
      <c r="P88" s="44" t="str">
        <f t="shared" si="12"/>
        <v/>
      </c>
      <c r="Q88" s="45">
        <f t="shared" si="13"/>
        <v>0</v>
      </c>
      <c r="R88" s="45">
        <f t="shared" si="14"/>
        <v>0</v>
      </c>
      <c r="S88" s="44">
        <f t="shared" si="15"/>
        <v>0</v>
      </c>
      <c r="T88" s="40"/>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row>
    <row r="89" spans="1:64" ht="14">
      <c r="A89" s="37"/>
      <c r="B89" s="38"/>
      <c r="C89" s="39">
        <f t="shared" si="8"/>
        <v>0</v>
      </c>
      <c r="D89" s="40"/>
      <c r="E89" s="40"/>
      <c r="F89" s="40"/>
      <c r="G89" s="40"/>
      <c r="H89" s="41"/>
      <c r="I89" s="42"/>
      <c r="J89" s="40"/>
      <c r="K89" s="42"/>
      <c r="L89" s="42"/>
      <c r="M89" s="43" t="str">
        <f t="shared" si="9"/>
        <v/>
      </c>
      <c r="N89" s="41" t="str">
        <f t="shared" si="10"/>
        <v/>
      </c>
      <c r="O89" s="41" t="str">
        <f t="shared" si="11"/>
        <v/>
      </c>
      <c r="P89" s="44" t="str">
        <f t="shared" si="12"/>
        <v/>
      </c>
      <c r="Q89" s="45">
        <f t="shared" si="13"/>
        <v>0</v>
      </c>
      <c r="R89" s="45">
        <f t="shared" si="14"/>
        <v>0</v>
      </c>
      <c r="S89" s="44">
        <f t="shared" si="15"/>
        <v>0</v>
      </c>
      <c r="T89" s="40"/>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row>
    <row r="90" spans="1:64" ht="14">
      <c r="A90" s="37"/>
      <c r="B90" s="38"/>
      <c r="C90" s="39">
        <f t="shared" si="8"/>
        <v>0</v>
      </c>
      <c r="D90" s="40"/>
      <c r="E90" s="40"/>
      <c r="F90" s="40"/>
      <c r="G90" s="40"/>
      <c r="H90" s="41"/>
      <c r="I90" s="42"/>
      <c r="J90" s="40"/>
      <c r="K90" s="42"/>
      <c r="L90" s="42"/>
      <c r="M90" s="43" t="str">
        <f t="shared" si="9"/>
        <v/>
      </c>
      <c r="N90" s="41" t="str">
        <f t="shared" si="10"/>
        <v/>
      </c>
      <c r="O90" s="41" t="str">
        <f t="shared" si="11"/>
        <v/>
      </c>
      <c r="P90" s="44" t="str">
        <f t="shared" si="12"/>
        <v/>
      </c>
      <c r="Q90" s="45">
        <f t="shared" si="13"/>
        <v>0</v>
      </c>
      <c r="R90" s="45">
        <f t="shared" si="14"/>
        <v>0</v>
      </c>
      <c r="S90" s="44">
        <f t="shared" si="15"/>
        <v>0</v>
      </c>
      <c r="T90" s="40"/>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row>
    <row r="91" spans="1:64" ht="14">
      <c r="A91" s="37"/>
      <c r="B91" s="38"/>
      <c r="C91" s="39">
        <f t="shared" si="8"/>
        <v>0</v>
      </c>
      <c r="D91" s="40"/>
      <c r="E91" s="40"/>
      <c r="F91" s="40"/>
      <c r="G91" s="40"/>
      <c r="H91" s="41"/>
      <c r="I91" s="42"/>
      <c r="J91" s="40"/>
      <c r="K91" s="42"/>
      <c r="L91" s="42"/>
      <c r="M91" s="43" t="str">
        <f t="shared" si="9"/>
        <v/>
      </c>
      <c r="N91" s="41" t="str">
        <f t="shared" si="10"/>
        <v/>
      </c>
      <c r="O91" s="41" t="str">
        <f t="shared" si="11"/>
        <v/>
      </c>
      <c r="P91" s="44" t="str">
        <f t="shared" si="12"/>
        <v/>
      </c>
      <c r="Q91" s="45">
        <f t="shared" si="13"/>
        <v>0</v>
      </c>
      <c r="R91" s="45">
        <f t="shared" si="14"/>
        <v>0</v>
      </c>
      <c r="S91" s="44">
        <f t="shared" si="15"/>
        <v>0</v>
      </c>
      <c r="T91" s="40"/>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row>
    <row r="92" spans="1:64" ht="14">
      <c r="A92" s="37"/>
      <c r="B92" s="38"/>
      <c r="C92" s="39">
        <f t="shared" si="8"/>
        <v>0</v>
      </c>
      <c r="D92" s="40"/>
      <c r="E92" s="40"/>
      <c r="F92" s="40"/>
      <c r="G92" s="40"/>
      <c r="H92" s="41"/>
      <c r="I92" s="42"/>
      <c r="J92" s="40"/>
      <c r="K92" s="42"/>
      <c r="L92" s="42"/>
      <c r="M92" s="43" t="str">
        <f t="shared" si="9"/>
        <v/>
      </c>
      <c r="N92" s="41" t="str">
        <f t="shared" si="10"/>
        <v/>
      </c>
      <c r="O92" s="41" t="str">
        <f t="shared" si="11"/>
        <v/>
      </c>
      <c r="P92" s="44" t="str">
        <f t="shared" si="12"/>
        <v/>
      </c>
      <c r="Q92" s="45">
        <f t="shared" si="13"/>
        <v>0</v>
      </c>
      <c r="R92" s="45">
        <f t="shared" si="14"/>
        <v>0</v>
      </c>
      <c r="S92" s="44">
        <f t="shared" si="15"/>
        <v>0</v>
      </c>
      <c r="T92" s="40"/>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row>
    <row r="93" spans="1:64" ht="14">
      <c r="A93" s="37"/>
      <c r="B93" s="38"/>
      <c r="C93" s="39">
        <f t="shared" si="8"/>
        <v>0</v>
      </c>
      <c r="D93" s="40"/>
      <c r="E93" s="40"/>
      <c r="F93" s="40"/>
      <c r="G93" s="40"/>
      <c r="H93" s="41"/>
      <c r="I93" s="42"/>
      <c r="J93" s="40"/>
      <c r="K93" s="42"/>
      <c r="L93" s="42"/>
      <c r="M93" s="43" t="str">
        <f t="shared" si="9"/>
        <v/>
      </c>
      <c r="N93" s="41" t="str">
        <f t="shared" si="10"/>
        <v/>
      </c>
      <c r="O93" s="41" t="str">
        <f t="shared" si="11"/>
        <v/>
      </c>
      <c r="P93" s="44" t="str">
        <f t="shared" si="12"/>
        <v/>
      </c>
      <c r="Q93" s="45">
        <f t="shared" si="13"/>
        <v>0</v>
      </c>
      <c r="R93" s="45">
        <f t="shared" si="14"/>
        <v>0</v>
      </c>
      <c r="S93" s="44">
        <f t="shared" si="15"/>
        <v>0</v>
      </c>
      <c r="T93" s="40"/>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row>
    <row r="94" spans="1:64" ht="14">
      <c r="A94" s="37"/>
      <c r="B94" s="38"/>
      <c r="C94" s="39">
        <f t="shared" si="8"/>
        <v>0</v>
      </c>
      <c r="D94" s="40"/>
      <c r="E94" s="40"/>
      <c r="F94" s="40"/>
      <c r="G94" s="40"/>
      <c r="H94" s="41"/>
      <c r="I94" s="42"/>
      <c r="J94" s="40"/>
      <c r="K94" s="42"/>
      <c r="L94" s="42"/>
      <c r="M94" s="43" t="str">
        <f t="shared" si="9"/>
        <v/>
      </c>
      <c r="N94" s="41" t="str">
        <f t="shared" si="10"/>
        <v/>
      </c>
      <c r="O94" s="41" t="str">
        <f t="shared" si="11"/>
        <v/>
      </c>
      <c r="P94" s="44" t="str">
        <f t="shared" si="12"/>
        <v/>
      </c>
      <c r="Q94" s="45">
        <f t="shared" si="13"/>
        <v>0</v>
      </c>
      <c r="R94" s="45">
        <f t="shared" si="14"/>
        <v>0</v>
      </c>
      <c r="S94" s="44">
        <f t="shared" si="15"/>
        <v>0</v>
      </c>
      <c r="T94" s="40"/>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row>
    <row r="95" spans="1:64" ht="14">
      <c r="A95" s="37"/>
      <c r="B95" s="38"/>
      <c r="C95" s="39">
        <f t="shared" si="8"/>
        <v>0</v>
      </c>
      <c r="D95" s="40"/>
      <c r="E95" s="40"/>
      <c r="F95" s="40"/>
      <c r="G95" s="40"/>
      <c r="H95" s="41"/>
      <c r="I95" s="42"/>
      <c r="J95" s="40"/>
      <c r="K95" s="42"/>
      <c r="L95" s="42"/>
      <c r="M95" s="43" t="str">
        <f t="shared" si="9"/>
        <v/>
      </c>
      <c r="N95" s="41" t="str">
        <f t="shared" si="10"/>
        <v/>
      </c>
      <c r="O95" s="41" t="str">
        <f t="shared" si="11"/>
        <v/>
      </c>
      <c r="P95" s="44" t="str">
        <f t="shared" si="12"/>
        <v/>
      </c>
      <c r="Q95" s="45">
        <f t="shared" si="13"/>
        <v>0</v>
      </c>
      <c r="R95" s="45">
        <f t="shared" si="14"/>
        <v>0</v>
      </c>
      <c r="S95" s="44">
        <f t="shared" si="15"/>
        <v>0</v>
      </c>
      <c r="T95" s="40"/>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row>
    <row r="96" spans="1:64" ht="14">
      <c r="A96" s="37"/>
      <c r="B96" s="38"/>
      <c r="C96" s="39">
        <f t="shared" si="8"/>
        <v>0</v>
      </c>
      <c r="D96" s="40"/>
      <c r="E96" s="40"/>
      <c r="F96" s="40"/>
      <c r="G96" s="40"/>
      <c r="H96" s="41"/>
      <c r="I96" s="42"/>
      <c r="J96" s="40"/>
      <c r="K96" s="42"/>
      <c r="L96" s="42"/>
      <c r="M96" s="43" t="str">
        <f t="shared" si="9"/>
        <v/>
      </c>
      <c r="N96" s="41" t="str">
        <f t="shared" si="10"/>
        <v/>
      </c>
      <c r="O96" s="41" t="str">
        <f t="shared" si="11"/>
        <v/>
      </c>
      <c r="P96" s="44" t="str">
        <f t="shared" si="12"/>
        <v/>
      </c>
      <c r="Q96" s="45">
        <f t="shared" si="13"/>
        <v>0</v>
      </c>
      <c r="R96" s="45">
        <f t="shared" si="14"/>
        <v>0</v>
      </c>
      <c r="S96" s="44">
        <f t="shared" si="15"/>
        <v>0</v>
      </c>
      <c r="T96" s="40"/>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row>
    <row r="97" spans="1:64" ht="14">
      <c r="A97" s="37"/>
      <c r="B97" s="38"/>
      <c r="C97" s="39">
        <f t="shared" si="8"/>
        <v>0</v>
      </c>
      <c r="D97" s="40"/>
      <c r="E97" s="40"/>
      <c r="F97" s="40"/>
      <c r="G97" s="40"/>
      <c r="H97" s="41"/>
      <c r="I97" s="42"/>
      <c r="J97" s="40"/>
      <c r="K97" s="42"/>
      <c r="L97" s="42"/>
      <c r="M97" s="43" t="str">
        <f t="shared" si="9"/>
        <v/>
      </c>
      <c r="N97" s="41" t="str">
        <f t="shared" si="10"/>
        <v/>
      </c>
      <c r="O97" s="41" t="str">
        <f t="shared" si="11"/>
        <v/>
      </c>
      <c r="P97" s="44" t="str">
        <f t="shared" si="12"/>
        <v/>
      </c>
      <c r="Q97" s="45">
        <f t="shared" si="13"/>
        <v>0</v>
      </c>
      <c r="R97" s="45">
        <f t="shared" si="14"/>
        <v>0</v>
      </c>
      <c r="S97" s="44">
        <f t="shared" si="15"/>
        <v>0</v>
      </c>
      <c r="T97" s="40"/>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row>
    <row r="98" spans="1:64" ht="14">
      <c r="A98" s="37"/>
      <c r="B98" s="38"/>
      <c r="C98" s="39">
        <f t="shared" si="8"/>
        <v>0</v>
      </c>
      <c r="D98" s="40"/>
      <c r="E98" s="40"/>
      <c r="F98" s="40"/>
      <c r="G98" s="40"/>
      <c r="H98" s="41"/>
      <c r="I98" s="42"/>
      <c r="J98" s="40"/>
      <c r="K98" s="42"/>
      <c r="L98" s="42"/>
      <c r="M98" s="43" t="str">
        <f t="shared" si="9"/>
        <v/>
      </c>
      <c r="N98" s="41" t="str">
        <f t="shared" si="10"/>
        <v/>
      </c>
      <c r="O98" s="41" t="str">
        <f t="shared" si="11"/>
        <v/>
      </c>
      <c r="P98" s="44" t="str">
        <f t="shared" si="12"/>
        <v/>
      </c>
      <c r="Q98" s="45">
        <f t="shared" si="13"/>
        <v>0</v>
      </c>
      <c r="R98" s="45">
        <f t="shared" si="14"/>
        <v>0</v>
      </c>
      <c r="S98" s="44">
        <f t="shared" si="15"/>
        <v>0</v>
      </c>
      <c r="T98" s="40"/>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row>
    <row r="99" spans="1:64" ht="14">
      <c r="A99" s="37"/>
      <c r="B99" s="38"/>
      <c r="C99" s="39">
        <f t="shared" si="8"/>
        <v>0</v>
      </c>
      <c r="D99" s="40"/>
      <c r="E99" s="40"/>
      <c r="F99" s="40"/>
      <c r="G99" s="40"/>
      <c r="H99" s="41"/>
      <c r="I99" s="42"/>
      <c r="J99" s="40"/>
      <c r="K99" s="42"/>
      <c r="L99" s="42"/>
      <c r="M99" s="43" t="str">
        <f t="shared" si="9"/>
        <v/>
      </c>
      <c r="N99" s="41" t="str">
        <f t="shared" si="10"/>
        <v/>
      </c>
      <c r="O99" s="41" t="str">
        <f t="shared" si="11"/>
        <v/>
      </c>
      <c r="P99" s="44" t="str">
        <f t="shared" si="12"/>
        <v/>
      </c>
      <c r="Q99" s="45">
        <f t="shared" si="13"/>
        <v>0</v>
      </c>
      <c r="R99" s="45">
        <f t="shared" si="14"/>
        <v>0</v>
      </c>
      <c r="S99" s="44">
        <f t="shared" si="15"/>
        <v>0</v>
      </c>
      <c r="T99" s="40"/>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row>
    <row r="100" spans="1:64" ht="14">
      <c r="A100" s="37"/>
      <c r="B100" s="38"/>
      <c r="C100" s="39">
        <f t="shared" si="8"/>
        <v>0</v>
      </c>
      <c r="D100" s="40"/>
      <c r="E100" s="40"/>
      <c r="F100" s="40"/>
      <c r="G100" s="40"/>
      <c r="H100" s="41"/>
      <c r="I100" s="42"/>
      <c r="J100" s="40"/>
      <c r="K100" s="42"/>
      <c r="L100" s="42"/>
      <c r="M100" s="43" t="str">
        <f t="shared" si="9"/>
        <v/>
      </c>
      <c r="N100" s="41" t="str">
        <f t="shared" si="10"/>
        <v/>
      </c>
      <c r="O100" s="41" t="str">
        <f t="shared" si="11"/>
        <v/>
      </c>
      <c r="P100" s="44" t="str">
        <f t="shared" si="12"/>
        <v/>
      </c>
      <c r="Q100" s="45">
        <f t="shared" si="13"/>
        <v>0</v>
      </c>
      <c r="R100" s="45">
        <f t="shared" si="14"/>
        <v>0</v>
      </c>
      <c r="S100" s="44">
        <f t="shared" si="15"/>
        <v>0</v>
      </c>
      <c r="T100" s="40"/>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row>
    <row r="101" spans="1:64" ht="14">
      <c r="A101" s="37"/>
      <c r="B101" s="38"/>
      <c r="C101" s="39">
        <f t="shared" si="8"/>
        <v>0</v>
      </c>
      <c r="D101" s="40"/>
      <c r="E101" s="40"/>
      <c r="F101" s="40"/>
      <c r="G101" s="40"/>
      <c r="H101" s="41"/>
      <c r="I101" s="42"/>
      <c r="J101" s="40"/>
      <c r="K101" s="42"/>
      <c r="L101" s="42"/>
      <c r="M101" s="43" t="str">
        <f t="shared" si="9"/>
        <v/>
      </c>
      <c r="N101" s="41" t="str">
        <f t="shared" si="10"/>
        <v/>
      </c>
      <c r="O101" s="41" t="str">
        <f t="shared" si="11"/>
        <v/>
      </c>
      <c r="P101" s="44" t="str">
        <f t="shared" si="12"/>
        <v/>
      </c>
      <c r="Q101" s="45">
        <f t="shared" si="13"/>
        <v>0</v>
      </c>
      <c r="R101" s="45">
        <f t="shared" si="14"/>
        <v>0</v>
      </c>
      <c r="S101" s="44">
        <f t="shared" si="15"/>
        <v>0</v>
      </c>
      <c r="T101" s="40"/>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row>
    <row r="102" spans="1:64" ht="14">
      <c r="A102" s="37"/>
      <c r="B102" s="38"/>
      <c r="C102" s="39">
        <f t="shared" si="8"/>
        <v>0</v>
      </c>
      <c r="D102" s="40"/>
      <c r="E102" s="40"/>
      <c r="F102" s="40"/>
      <c r="G102" s="40"/>
      <c r="H102" s="41"/>
      <c r="I102" s="42"/>
      <c r="J102" s="40"/>
      <c r="K102" s="42"/>
      <c r="L102" s="42"/>
      <c r="M102" s="43" t="str">
        <f t="shared" si="9"/>
        <v/>
      </c>
      <c r="N102" s="41" t="str">
        <f t="shared" si="10"/>
        <v/>
      </c>
      <c r="O102" s="41" t="str">
        <f t="shared" si="11"/>
        <v/>
      </c>
      <c r="P102" s="44" t="str">
        <f t="shared" si="12"/>
        <v/>
      </c>
      <c r="Q102" s="45">
        <f t="shared" si="13"/>
        <v>0</v>
      </c>
      <c r="R102" s="45">
        <f t="shared" si="14"/>
        <v>0</v>
      </c>
      <c r="S102" s="44">
        <f t="shared" si="15"/>
        <v>0</v>
      </c>
      <c r="T102" s="40"/>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row>
    <row r="103" spans="1:64" ht="14">
      <c r="A103" s="37"/>
      <c r="B103" s="38"/>
      <c r="C103" s="39">
        <f t="shared" si="8"/>
        <v>0</v>
      </c>
      <c r="D103" s="40"/>
      <c r="E103" s="40"/>
      <c r="F103" s="40"/>
      <c r="G103" s="40"/>
      <c r="H103" s="41"/>
      <c r="I103" s="42"/>
      <c r="J103" s="40"/>
      <c r="K103" s="42"/>
      <c r="L103" s="42"/>
      <c r="M103" s="43" t="str">
        <f t="shared" si="9"/>
        <v/>
      </c>
      <c r="N103" s="41" t="str">
        <f t="shared" si="10"/>
        <v/>
      </c>
      <c r="O103" s="41" t="str">
        <f t="shared" si="11"/>
        <v/>
      </c>
      <c r="P103" s="44" t="str">
        <f t="shared" si="12"/>
        <v/>
      </c>
      <c r="Q103" s="45">
        <f t="shared" si="13"/>
        <v>0</v>
      </c>
      <c r="R103" s="45">
        <f t="shared" si="14"/>
        <v>0</v>
      </c>
      <c r="S103" s="44">
        <f t="shared" si="15"/>
        <v>0</v>
      </c>
      <c r="T103" s="40"/>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row>
    <row r="104" spans="1:64" ht="14">
      <c r="A104" s="37"/>
      <c r="B104" s="38"/>
      <c r="C104" s="39">
        <f t="shared" si="8"/>
        <v>0</v>
      </c>
      <c r="D104" s="40"/>
      <c r="E104" s="40"/>
      <c r="F104" s="40"/>
      <c r="G104" s="40"/>
      <c r="H104" s="41"/>
      <c r="I104" s="42"/>
      <c r="J104" s="40"/>
      <c r="K104" s="42"/>
      <c r="L104" s="42"/>
      <c r="M104" s="43" t="str">
        <f t="shared" si="9"/>
        <v/>
      </c>
      <c r="N104" s="41" t="str">
        <f t="shared" si="10"/>
        <v/>
      </c>
      <c r="O104" s="41" t="str">
        <f t="shared" si="11"/>
        <v/>
      </c>
      <c r="P104" s="44" t="str">
        <f t="shared" si="12"/>
        <v/>
      </c>
      <c r="Q104" s="45">
        <f t="shared" si="13"/>
        <v>0</v>
      </c>
      <c r="R104" s="45">
        <f t="shared" si="14"/>
        <v>0</v>
      </c>
      <c r="S104" s="44">
        <f t="shared" si="15"/>
        <v>0</v>
      </c>
      <c r="T104" s="40"/>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row>
    <row r="105" spans="1:64" ht="14">
      <c r="A105" s="37"/>
      <c r="B105" s="38"/>
      <c r="C105" s="39">
        <f t="shared" si="8"/>
        <v>0</v>
      </c>
      <c r="D105" s="40"/>
      <c r="E105" s="40"/>
      <c r="F105" s="40"/>
      <c r="G105" s="40"/>
      <c r="H105" s="41"/>
      <c r="I105" s="42"/>
      <c r="J105" s="40"/>
      <c r="K105" s="42"/>
      <c r="L105" s="42"/>
      <c r="M105" s="43" t="str">
        <f t="shared" si="9"/>
        <v/>
      </c>
      <c r="N105" s="41" t="str">
        <f t="shared" si="10"/>
        <v/>
      </c>
      <c r="O105" s="41" t="str">
        <f t="shared" si="11"/>
        <v/>
      </c>
      <c r="P105" s="44" t="str">
        <f t="shared" si="12"/>
        <v/>
      </c>
      <c r="Q105" s="45">
        <f t="shared" si="13"/>
        <v>0</v>
      </c>
      <c r="R105" s="45">
        <f t="shared" si="14"/>
        <v>0</v>
      </c>
      <c r="S105" s="44">
        <f t="shared" si="15"/>
        <v>0</v>
      </c>
      <c r="T105" s="40"/>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row>
    <row r="106" spans="1:64" ht="14">
      <c r="A106" s="37"/>
      <c r="B106" s="38"/>
      <c r="C106" s="39">
        <f t="shared" si="8"/>
        <v>0</v>
      </c>
      <c r="D106" s="40"/>
      <c r="E106" s="40"/>
      <c r="F106" s="40"/>
      <c r="G106" s="40"/>
      <c r="H106" s="41"/>
      <c r="I106" s="42"/>
      <c r="J106" s="40"/>
      <c r="K106" s="42"/>
      <c r="L106" s="42"/>
      <c r="M106" s="43" t="str">
        <f t="shared" si="9"/>
        <v/>
      </c>
      <c r="N106" s="41" t="str">
        <f t="shared" si="10"/>
        <v/>
      </c>
      <c r="O106" s="41" t="str">
        <f t="shared" si="11"/>
        <v/>
      </c>
      <c r="P106" s="44" t="str">
        <f t="shared" si="12"/>
        <v/>
      </c>
      <c r="Q106" s="45">
        <f t="shared" si="13"/>
        <v>0</v>
      </c>
      <c r="R106" s="45">
        <f t="shared" si="14"/>
        <v>0</v>
      </c>
      <c r="S106" s="44">
        <f t="shared" si="15"/>
        <v>0</v>
      </c>
      <c r="T106" s="40"/>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row>
    <row r="107" spans="1:64" ht="14">
      <c r="A107" s="37"/>
      <c r="B107" s="38"/>
      <c r="C107" s="39">
        <f t="shared" si="8"/>
        <v>0</v>
      </c>
      <c r="D107" s="40"/>
      <c r="E107" s="40"/>
      <c r="F107" s="40"/>
      <c r="G107" s="40"/>
      <c r="H107" s="41"/>
      <c r="I107" s="42"/>
      <c r="J107" s="40"/>
      <c r="K107" s="42"/>
      <c r="L107" s="42"/>
      <c r="M107" s="43" t="str">
        <f t="shared" si="9"/>
        <v/>
      </c>
      <c r="N107" s="41" t="str">
        <f t="shared" si="10"/>
        <v/>
      </c>
      <c r="O107" s="41" t="str">
        <f t="shared" si="11"/>
        <v/>
      </c>
      <c r="P107" s="44" t="str">
        <f t="shared" si="12"/>
        <v/>
      </c>
      <c r="Q107" s="45">
        <f t="shared" si="13"/>
        <v>0</v>
      </c>
      <c r="R107" s="45">
        <f t="shared" si="14"/>
        <v>0</v>
      </c>
      <c r="S107" s="44">
        <f t="shared" si="15"/>
        <v>0</v>
      </c>
      <c r="T107" s="40"/>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row>
    <row r="108" spans="1:64" ht="14">
      <c r="A108" s="37"/>
      <c r="B108" s="38"/>
      <c r="C108" s="39">
        <f t="shared" si="8"/>
        <v>0</v>
      </c>
      <c r="D108" s="40"/>
      <c r="E108" s="40"/>
      <c r="F108" s="40"/>
      <c r="G108" s="40"/>
      <c r="H108" s="41"/>
      <c r="I108" s="42"/>
      <c r="J108" s="40"/>
      <c r="K108" s="42"/>
      <c r="L108" s="42"/>
      <c r="M108" s="43" t="str">
        <f t="shared" si="9"/>
        <v/>
      </c>
      <c r="N108" s="41" t="str">
        <f t="shared" si="10"/>
        <v/>
      </c>
      <c r="O108" s="41" t="str">
        <f t="shared" si="11"/>
        <v/>
      </c>
      <c r="P108" s="44" t="str">
        <f t="shared" si="12"/>
        <v/>
      </c>
      <c r="Q108" s="45">
        <f t="shared" si="13"/>
        <v>0</v>
      </c>
      <c r="R108" s="45">
        <f t="shared" si="14"/>
        <v>0</v>
      </c>
      <c r="S108" s="44">
        <f t="shared" si="15"/>
        <v>0</v>
      </c>
      <c r="T108" s="40"/>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row>
    <row r="109" spans="1:64" ht="14">
      <c r="A109" s="37"/>
      <c r="B109" s="38"/>
      <c r="C109" s="39">
        <f t="shared" si="8"/>
        <v>0</v>
      </c>
      <c r="D109" s="40"/>
      <c r="E109" s="40"/>
      <c r="F109" s="40"/>
      <c r="G109" s="40"/>
      <c r="H109" s="41"/>
      <c r="I109" s="42"/>
      <c r="J109" s="40"/>
      <c r="K109" s="42"/>
      <c r="L109" s="42"/>
      <c r="M109" s="43" t="str">
        <f t="shared" si="9"/>
        <v/>
      </c>
      <c r="N109" s="41" t="str">
        <f t="shared" si="10"/>
        <v/>
      </c>
      <c r="O109" s="41" t="str">
        <f t="shared" si="11"/>
        <v/>
      </c>
      <c r="P109" s="44" t="str">
        <f t="shared" si="12"/>
        <v/>
      </c>
      <c r="Q109" s="45">
        <f t="shared" si="13"/>
        <v>0</v>
      </c>
      <c r="R109" s="45">
        <f t="shared" si="14"/>
        <v>0</v>
      </c>
      <c r="S109" s="44">
        <f t="shared" si="15"/>
        <v>0</v>
      </c>
      <c r="T109" s="40"/>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row>
    <row r="110" spans="1:64" ht="14">
      <c r="A110" s="37"/>
      <c r="B110" s="38"/>
      <c r="C110" s="39">
        <f t="shared" si="8"/>
        <v>0</v>
      </c>
      <c r="D110" s="40"/>
      <c r="E110" s="40"/>
      <c r="F110" s="40"/>
      <c r="G110" s="40"/>
      <c r="H110" s="41"/>
      <c r="I110" s="42"/>
      <c r="J110" s="40"/>
      <c r="K110" s="42"/>
      <c r="L110" s="42"/>
      <c r="M110" s="43" t="str">
        <f t="shared" si="9"/>
        <v/>
      </c>
      <c r="N110" s="41" t="str">
        <f t="shared" si="10"/>
        <v/>
      </c>
      <c r="O110" s="41" t="str">
        <f t="shared" si="11"/>
        <v/>
      </c>
      <c r="P110" s="44" t="str">
        <f t="shared" si="12"/>
        <v/>
      </c>
      <c r="Q110" s="45">
        <f t="shared" si="13"/>
        <v>0</v>
      </c>
      <c r="R110" s="45">
        <f t="shared" si="14"/>
        <v>0</v>
      </c>
      <c r="S110" s="44">
        <f t="shared" si="15"/>
        <v>0</v>
      </c>
      <c r="T110" s="40"/>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row>
    <row r="111" spans="1:64" ht="14">
      <c r="A111" s="37"/>
      <c r="B111" s="38"/>
      <c r="C111" s="39">
        <f t="shared" si="8"/>
        <v>0</v>
      </c>
      <c r="D111" s="40"/>
      <c r="E111" s="40"/>
      <c r="F111" s="40"/>
      <c r="G111" s="40"/>
      <c r="H111" s="41"/>
      <c r="I111" s="42"/>
      <c r="J111" s="40"/>
      <c r="K111" s="42"/>
      <c r="L111" s="42"/>
      <c r="M111" s="43" t="str">
        <f t="shared" si="9"/>
        <v/>
      </c>
      <c r="N111" s="41" t="str">
        <f t="shared" si="10"/>
        <v/>
      </c>
      <c r="O111" s="41" t="str">
        <f t="shared" si="11"/>
        <v/>
      </c>
      <c r="P111" s="44" t="str">
        <f t="shared" si="12"/>
        <v/>
      </c>
      <c r="Q111" s="45">
        <f t="shared" si="13"/>
        <v>0</v>
      </c>
      <c r="R111" s="45">
        <f t="shared" si="14"/>
        <v>0</v>
      </c>
      <c r="S111" s="44">
        <f t="shared" si="15"/>
        <v>0</v>
      </c>
      <c r="T111" s="40"/>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row>
    <row r="112" spans="1:64" ht="14">
      <c r="A112" s="37"/>
      <c r="B112" s="38"/>
      <c r="C112" s="39">
        <f t="shared" si="8"/>
        <v>0</v>
      </c>
      <c r="D112" s="40"/>
      <c r="E112" s="40"/>
      <c r="F112" s="40"/>
      <c r="G112" s="40"/>
      <c r="H112" s="41"/>
      <c r="I112" s="42"/>
      <c r="J112" s="40"/>
      <c r="K112" s="42"/>
      <c r="L112" s="42"/>
      <c r="M112" s="43" t="str">
        <f t="shared" si="9"/>
        <v/>
      </c>
      <c r="N112" s="41" t="str">
        <f t="shared" si="10"/>
        <v/>
      </c>
      <c r="O112" s="41" t="str">
        <f t="shared" si="11"/>
        <v/>
      </c>
      <c r="P112" s="44" t="str">
        <f t="shared" si="12"/>
        <v/>
      </c>
      <c r="Q112" s="45">
        <f t="shared" si="13"/>
        <v>0</v>
      </c>
      <c r="R112" s="45">
        <f t="shared" si="14"/>
        <v>0</v>
      </c>
      <c r="S112" s="44">
        <f t="shared" si="15"/>
        <v>0</v>
      </c>
      <c r="T112" s="40"/>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row>
    <row r="113" spans="1:64" ht="14">
      <c r="A113" s="37"/>
      <c r="B113" s="38"/>
      <c r="C113" s="39">
        <f t="shared" si="8"/>
        <v>0</v>
      </c>
      <c r="D113" s="40"/>
      <c r="E113" s="40"/>
      <c r="F113" s="40"/>
      <c r="G113" s="40"/>
      <c r="H113" s="41"/>
      <c r="I113" s="42"/>
      <c r="J113" s="40"/>
      <c r="K113" s="42"/>
      <c r="L113" s="42"/>
      <c r="M113" s="43" t="str">
        <f t="shared" si="9"/>
        <v/>
      </c>
      <c r="N113" s="41" t="str">
        <f t="shared" si="10"/>
        <v/>
      </c>
      <c r="O113" s="41" t="str">
        <f t="shared" si="11"/>
        <v/>
      </c>
      <c r="P113" s="44" t="str">
        <f t="shared" si="12"/>
        <v/>
      </c>
      <c r="Q113" s="45">
        <f t="shared" si="13"/>
        <v>0</v>
      </c>
      <c r="R113" s="45">
        <f t="shared" si="14"/>
        <v>0</v>
      </c>
      <c r="S113" s="44">
        <f t="shared" si="15"/>
        <v>0</v>
      </c>
      <c r="T113" s="40"/>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row>
    <row r="114" spans="1:64" ht="14">
      <c r="A114" s="37"/>
      <c r="B114" s="38"/>
      <c r="C114" s="39">
        <f t="shared" si="8"/>
        <v>0</v>
      </c>
      <c r="D114" s="40"/>
      <c r="E114" s="40"/>
      <c r="F114" s="40"/>
      <c r="G114" s="40"/>
      <c r="H114" s="41"/>
      <c r="I114" s="42"/>
      <c r="J114" s="40"/>
      <c r="K114" s="42"/>
      <c r="L114" s="42"/>
      <c r="M114" s="43" t="str">
        <f t="shared" si="9"/>
        <v/>
      </c>
      <c r="N114" s="41" t="str">
        <f t="shared" si="10"/>
        <v/>
      </c>
      <c r="O114" s="41" t="str">
        <f t="shared" si="11"/>
        <v/>
      </c>
      <c r="P114" s="44" t="str">
        <f t="shared" si="12"/>
        <v/>
      </c>
      <c r="Q114" s="45">
        <f t="shared" si="13"/>
        <v>0</v>
      </c>
      <c r="R114" s="45">
        <f t="shared" si="14"/>
        <v>0</v>
      </c>
      <c r="S114" s="44">
        <f t="shared" si="15"/>
        <v>0</v>
      </c>
      <c r="T114" s="40"/>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row>
    <row r="115" spans="1:64" ht="14">
      <c r="A115" s="37"/>
      <c r="B115" s="38"/>
      <c r="C115" s="39">
        <f t="shared" si="8"/>
        <v>0</v>
      </c>
      <c r="D115" s="40"/>
      <c r="E115" s="40"/>
      <c r="F115" s="40"/>
      <c r="G115" s="40"/>
      <c r="H115" s="41"/>
      <c r="I115" s="42"/>
      <c r="J115" s="40"/>
      <c r="K115" s="42"/>
      <c r="L115" s="42"/>
      <c r="M115" s="43" t="str">
        <f t="shared" si="9"/>
        <v/>
      </c>
      <c r="N115" s="41" t="str">
        <f t="shared" si="10"/>
        <v/>
      </c>
      <c r="O115" s="41" t="str">
        <f t="shared" si="11"/>
        <v/>
      </c>
      <c r="P115" s="44" t="str">
        <f t="shared" si="12"/>
        <v/>
      </c>
      <c r="Q115" s="45">
        <f t="shared" si="13"/>
        <v>0</v>
      </c>
      <c r="R115" s="45">
        <f t="shared" si="14"/>
        <v>0</v>
      </c>
      <c r="S115" s="44">
        <f t="shared" si="15"/>
        <v>0</v>
      </c>
      <c r="T115" s="40"/>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row>
    <row r="116" spans="1:64" ht="14">
      <c r="A116" s="37"/>
      <c r="B116" s="38"/>
      <c r="C116" s="39">
        <f t="shared" si="8"/>
        <v>0</v>
      </c>
      <c r="D116" s="40"/>
      <c r="E116" s="40"/>
      <c r="F116" s="40"/>
      <c r="G116" s="40"/>
      <c r="H116" s="41"/>
      <c r="I116" s="42"/>
      <c r="J116" s="40"/>
      <c r="K116" s="42"/>
      <c r="L116" s="42"/>
      <c r="M116" s="43" t="str">
        <f t="shared" si="9"/>
        <v/>
      </c>
      <c r="N116" s="41" t="str">
        <f t="shared" si="10"/>
        <v/>
      </c>
      <c r="O116" s="41" t="str">
        <f t="shared" si="11"/>
        <v/>
      </c>
      <c r="P116" s="44" t="str">
        <f t="shared" si="12"/>
        <v/>
      </c>
      <c r="Q116" s="45">
        <f t="shared" si="13"/>
        <v>0</v>
      </c>
      <c r="R116" s="45">
        <f t="shared" si="14"/>
        <v>0</v>
      </c>
      <c r="S116" s="44">
        <f t="shared" si="15"/>
        <v>0</v>
      </c>
      <c r="T116" s="40"/>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row>
    <row r="117" spans="1:64" ht="14">
      <c r="A117" s="37"/>
      <c r="B117" s="38"/>
      <c r="C117" s="39">
        <f t="shared" si="8"/>
        <v>0</v>
      </c>
      <c r="D117" s="40"/>
      <c r="E117" s="40"/>
      <c r="F117" s="40"/>
      <c r="G117" s="40"/>
      <c r="H117" s="41"/>
      <c r="I117" s="42"/>
      <c r="J117" s="40"/>
      <c r="K117" s="42"/>
      <c r="L117" s="42"/>
      <c r="M117" s="43" t="str">
        <f t="shared" si="9"/>
        <v/>
      </c>
      <c r="N117" s="41" t="str">
        <f t="shared" si="10"/>
        <v/>
      </c>
      <c r="O117" s="41" t="str">
        <f t="shared" si="11"/>
        <v/>
      </c>
      <c r="P117" s="44" t="str">
        <f t="shared" si="12"/>
        <v/>
      </c>
      <c r="Q117" s="45">
        <f t="shared" si="13"/>
        <v>0</v>
      </c>
      <c r="R117" s="45">
        <f t="shared" si="14"/>
        <v>0</v>
      </c>
      <c r="S117" s="44">
        <f t="shared" si="15"/>
        <v>0</v>
      </c>
      <c r="T117" s="40"/>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row>
    <row r="118" spans="1:64" ht="14">
      <c r="A118" s="37"/>
      <c r="B118" s="38"/>
      <c r="C118" s="39">
        <f t="shared" si="8"/>
        <v>0</v>
      </c>
      <c r="D118" s="40"/>
      <c r="E118" s="40"/>
      <c r="F118" s="40"/>
      <c r="G118" s="40"/>
      <c r="H118" s="41"/>
      <c r="I118" s="42"/>
      <c r="J118" s="40"/>
      <c r="K118" s="42"/>
      <c r="L118" s="42"/>
      <c r="M118" s="43" t="str">
        <f t="shared" si="9"/>
        <v/>
      </c>
      <c r="N118" s="41" t="str">
        <f t="shared" si="10"/>
        <v/>
      </c>
      <c r="O118" s="41" t="str">
        <f t="shared" si="11"/>
        <v/>
      </c>
      <c r="P118" s="44" t="str">
        <f t="shared" si="12"/>
        <v/>
      </c>
      <c r="Q118" s="45">
        <f t="shared" si="13"/>
        <v>0</v>
      </c>
      <c r="R118" s="45">
        <f t="shared" si="14"/>
        <v>0</v>
      </c>
      <c r="S118" s="44">
        <f t="shared" si="15"/>
        <v>0</v>
      </c>
      <c r="T118" s="40"/>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row>
    <row r="119" spans="1:64" ht="14">
      <c r="A119" s="37"/>
      <c r="B119" s="38"/>
      <c r="C119" s="39">
        <f t="shared" si="8"/>
        <v>0</v>
      </c>
      <c r="D119" s="40"/>
      <c r="E119" s="40"/>
      <c r="F119" s="40"/>
      <c r="G119" s="40"/>
      <c r="H119" s="41"/>
      <c r="I119" s="42"/>
      <c r="J119" s="40"/>
      <c r="K119" s="42"/>
      <c r="L119" s="42"/>
      <c r="M119" s="43" t="str">
        <f t="shared" si="9"/>
        <v/>
      </c>
      <c r="N119" s="41" t="str">
        <f t="shared" si="10"/>
        <v/>
      </c>
      <c r="O119" s="41" t="str">
        <f t="shared" si="11"/>
        <v/>
      </c>
      <c r="P119" s="44" t="str">
        <f t="shared" si="12"/>
        <v/>
      </c>
      <c r="Q119" s="45">
        <f t="shared" si="13"/>
        <v>0</v>
      </c>
      <c r="R119" s="45">
        <f t="shared" si="14"/>
        <v>0</v>
      </c>
      <c r="S119" s="44">
        <f t="shared" si="15"/>
        <v>0</v>
      </c>
      <c r="T119" s="40"/>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row>
    <row r="120" spans="1:64" ht="14">
      <c r="A120" s="37"/>
      <c r="B120" s="38"/>
      <c r="C120" s="39">
        <f t="shared" si="8"/>
        <v>0</v>
      </c>
      <c r="D120" s="40"/>
      <c r="E120" s="40"/>
      <c r="F120" s="40"/>
      <c r="G120" s="40"/>
      <c r="H120" s="41"/>
      <c r="I120" s="42"/>
      <c r="J120" s="40"/>
      <c r="K120" s="42"/>
      <c r="L120" s="42"/>
      <c r="M120" s="43" t="str">
        <f t="shared" si="9"/>
        <v/>
      </c>
      <c r="N120" s="41" t="str">
        <f t="shared" si="10"/>
        <v/>
      </c>
      <c r="O120" s="41" t="str">
        <f t="shared" si="11"/>
        <v/>
      </c>
      <c r="P120" s="44" t="str">
        <f t="shared" si="12"/>
        <v/>
      </c>
      <c r="Q120" s="45">
        <f t="shared" si="13"/>
        <v>0</v>
      </c>
      <c r="R120" s="45">
        <f t="shared" si="14"/>
        <v>0</v>
      </c>
      <c r="S120" s="44">
        <f t="shared" si="15"/>
        <v>0</v>
      </c>
      <c r="T120" s="40"/>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row>
    <row r="121" spans="1:64" ht="14">
      <c r="A121" s="37"/>
      <c r="B121" s="38"/>
      <c r="C121" s="39">
        <f t="shared" si="8"/>
        <v>0</v>
      </c>
      <c r="D121" s="40"/>
      <c r="E121" s="40"/>
      <c r="F121" s="40"/>
      <c r="G121" s="40"/>
      <c r="H121" s="41"/>
      <c r="I121" s="42"/>
      <c r="J121" s="40"/>
      <c r="K121" s="42"/>
      <c r="L121" s="42"/>
      <c r="M121" s="43" t="str">
        <f t="shared" si="9"/>
        <v/>
      </c>
      <c r="N121" s="41" t="str">
        <f t="shared" si="10"/>
        <v/>
      </c>
      <c r="O121" s="41" t="str">
        <f t="shared" si="11"/>
        <v/>
      </c>
      <c r="P121" s="44" t="str">
        <f t="shared" si="12"/>
        <v/>
      </c>
      <c r="Q121" s="45">
        <f t="shared" si="13"/>
        <v>0</v>
      </c>
      <c r="R121" s="45">
        <f t="shared" si="14"/>
        <v>0</v>
      </c>
      <c r="S121" s="44">
        <f t="shared" si="15"/>
        <v>0</v>
      </c>
      <c r="T121" s="40"/>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row>
    <row r="122" spans="1:64" ht="14">
      <c r="A122" s="37"/>
      <c r="B122" s="38"/>
      <c r="C122" s="39">
        <f t="shared" si="8"/>
        <v>0</v>
      </c>
      <c r="D122" s="40"/>
      <c r="E122" s="40"/>
      <c r="F122" s="40"/>
      <c r="G122" s="40"/>
      <c r="H122" s="41"/>
      <c r="I122" s="42"/>
      <c r="J122" s="40"/>
      <c r="K122" s="42"/>
      <c r="L122" s="42"/>
      <c r="M122" s="43" t="str">
        <f t="shared" si="9"/>
        <v/>
      </c>
      <c r="N122" s="41" t="str">
        <f t="shared" si="10"/>
        <v/>
      </c>
      <c r="O122" s="41" t="str">
        <f t="shared" si="11"/>
        <v/>
      </c>
      <c r="P122" s="44" t="str">
        <f t="shared" si="12"/>
        <v/>
      </c>
      <c r="Q122" s="45">
        <f t="shared" si="13"/>
        <v>0</v>
      </c>
      <c r="R122" s="45">
        <f t="shared" si="14"/>
        <v>0</v>
      </c>
      <c r="S122" s="44">
        <f t="shared" si="15"/>
        <v>0</v>
      </c>
      <c r="T122" s="40"/>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row>
    <row r="123" spans="1:64" ht="14">
      <c r="A123" s="37"/>
      <c r="B123" s="38"/>
      <c r="C123" s="39">
        <f t="shared" si="8"/>
        <v>0</v>
      </c>
      <c r="D123" s="40"/>
      <c r="E123" s="40"/>
      <c r="F123" s="40"/>
      <c r="G123" s="40"/>
      <c r="H123" s="41"/>
      <c r="I123" s="42"/>
      <c r="J123" s="40"/>
      <c r="K123" s="42"/>
      <c r="L123" s="42"/>
      <c r="M123" s="43" t="str">
        <f t="shared" si="9"/>
        <v/>
      </c>
      <c r="N123" s="41" t="str">
        <f t="shared" si="10"/>
        <v/>
      </c>
      <c r="O123" s="41" t="str">
        <f t="shared" si="11"/>
        <v/>
      </c>
      <c r="P123" s="44" t="str">
        <f t="shared" si="12"/>
        <v/>
      </c>
      <c r="Q123" s="45">
        <f t="shared" si="13"/>
        <v>0</v>
      </c>
      <c r="R123" s="45">
        <f t="shared" si="14"/>
        <v>0</v>
      </c>
      <c r="S123" s="44">
        <f t="shared" si="15"/>
        <v>0</v>
      </c>
      <c r="T123" s="40"/>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row>
    <row r="124" spans="1:64" ht="14">
      <c r="A124" s="37"/>
      <c r="B124" s="38"/>
      <c r="C124" s="39">
        <f t="shared" si="8"/>
        <v>0</v>
      </c>
      <c r="D124" s="40"/>
      <c r="E124" s="40"/>
      <c r="F124" s="40"/>
      <c r="G124" s="40"/>
      <c r="H124" s="41"/>
      <c r="I124" s="42"/>
      <c r="J124" s="40"/>
      <c r="K124" s="42"/>
      <c r="L124" s="42"/>
      <c r="M124" s="43" t="str">
        <f t="shared" si="9"/>
        <v/>
      </c>
      <c r="N124" s="41" t="str">
        <f t="shared" si="10"/>
        <v/>
      </c>
      <c r="O124" s="41" t="str">
        <f t="shared" si="11"/>
        <v/>
      </c>
      <c r="P124" s="44" t="str">
        <f t="shared" si="12"/>
        <v/>
      </c>
      <c r="Q124" s="45">
        <f t="shared" si="13"/>
        <v>0</v>
      </c>
      <c r="R124" s="45">
        <f t="shared" si="14"/>
        <v>0</v>
      </c>
      <c r="S124" s="44">
        <f t="shared" si="15"/>
        <v>0</v>
      </c>
      <c r="T124" s="40"/>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row>
    <row r="125" spans="1:64" ht="14">
      <c r="A125" s="37"/>
      <c r="B125" s="38"/>
      <c r="C125" s="39">
        <f t="shared" si="8"/>
        <v>0</v>
      </c>
      <c r="D125" s="40"/>
      <c r="E125" s="40"/>
      <c r="F125" s="40"/>
      <c r="G125" s="40"/>
      <c r="H125" s="41"/>
      <c r="I125" s="42"/>
      <c r="J125" s="40"/>
      <c r="K125" s="42"/>
      <c r="L125" s="42"/>
      <c r="M125" s="43" t="str">
        <f t="shared" si="9"/>
        <v/>
      </c>
      <c r="N125" s="41" t="str">
        <f t="shared" si="10"/>
        <v/>
      </c>
      <c r="O125" s="41" t="str">
        <f t="shared" si="11"/>
        <v/>
      </c>
      <c r="P125" s="44" t="str">
        <f t="shared" si="12"/>
        <v/>
      </c>
      <c r="Q125" s="45">
        <f t="shared" si="13"/>
        <v>0</v>
      </c>
      <c r="R125" s="45">
        <f t="shared" si="14"/>
        <v>0</v>
      </c>
      <c r="S125" s="44">
        <f t="shared" si="15"/>
        <v>0</v>
      </c>
      <c r="T125" s="40"/>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row>
    <row r="126" spans="1:64" ht="14">
      <c r="A126" s="37"/>
      <c r="B126" s="38"/>
      <c r="C126" s="39">
        <f t="shared" si="8"/>
        <v>0</v>
      </c>
      <c r="D126" s="40"/>
      <c r="E126" s="40"/>
      <c r="F126" s="40"/>
      <c r="G126" s="40"/>
      <c r="H126" s="41"/>
      <c r="I126" s="42"/>
      <c r="J126" s="40"/>
      <c r="K126" s="42"/>
      <c r="L126" s="42"/>
      <c r="M126" s="43" t="str">
        <f t="shared" si="9"/>
        <v/>
      </c>
      <c r="N126" s="41" t="str">
        <f t="shared" si="10"/>
        <v/>
      </c>
      <c r="O126" s="41" t="str">
        <f t="shared" si="11"/>
        <v/>
      </c>
      <c r="P126" s="44" t="str">
        <f t="shared" si="12"/>
        <v/>
      </c>
      <c r="Q126" s="45">
        <f t="shared" si="13"/>
        <v>0</v>
      </c>
      <c r="R126" s="45">
        <f t="shared" si="14"/>
        <v>0</v>
      </c>
      <c r="S126" s="44">
        <f t="shared" si="15"/>
        <v>0</v>
      </c>
      <c r="T126" s="40"/>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row>
    <row r="127" spans="1:64" ht="14">
      <c r="A127" s="37"/>
      <c r="B127" s="38"/>
      <c r="C127" s="39">
        <f t="shared" si="8"/>
        <v>0</v>
      </c>
      <c r="D127" s="40"/>
      <c r="E127" s="40"/>
      <c r="F127" s="40"/>
      <c r="G127" s="40"/>
      <c r="H127" s="41"/>
      <c r="I127" s="42"/>
      <c r="J127" s="40"/>
      <c r="K127" s="42"/>
      <c r="L127" s="42"/>
      <c r="M127" s="43" t="str">
        <f t="shared" si="9"/>
        <v/>
      </c>
      <c r="N127" s="41" t="str">
        <f t="shared" si="10"/>
        <v/>
      </c>
      <c r="O127" s="41" t="str">
        <f t="shared" si="11"/>
        <v/>
      </c>
      <c r="P127" s="44" t="str">
        <f t="shared" si="12"/>
        <v/>
      </c>
      <c r="Q127" s="45">
        <f t="shared" si="13"/>
        <v>0</v>
      </c>
      <c r="R127" s="45">
        <f t="shared" si="14"/>
        <v>0</v>
      </c>
      <c r="S127" s="44">
        <f t="shared" si="15"/>
        <v>0</v>
      </c>
      <c r="T127" s="40"/>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row>
    <row r="128" spans="1:64" ht="14">
      <c r="A128" s="37"/>
      <c r="B128" s="38"/>
      <c r="C128" s="39">
        <f t="shared" si="8"/>
        <v>0</v>
      </c>
      <c r="D128" s="40"/>
      <c r="E128" s="40"/>
      <c r="F128" s="40"/>
      <c r="G128" s="40"/>
      <c r="H128" s="41"/>
      <c r="I128" s="42"/>
      <c r="J128" s="40"/>
      <c r="K128" s="42"/>
      <c r="L128" s="42"/>
      <c r="M128" s="43" t="str">
        <f t="shared" si="9"/>
        <v/>
      </c>
      <c r="N128" s="41" t="str">
        <f t="shared" si="10"/>
        <v/>
      </c>
      <c r="O128" s="41" t="str">
        <f t="shared" si="11"/>
        <v/>
      </c>
      <c r="P128" s="44" t="str">
        <f t="shared" si="12"/>
        <v/>
      </c>
      <c r="Q128" s="45">
        <f t="shared" si="13"/>
        <v>0</v>
      </c>
      <c r="R128" s="45">
        <f t="shared" si="14"/>
        <v>0</v>
      </c>
      <c r="S128" s="44">
        <f t="shared" si="15"/>
        <v>0</v>
      </c>
      <c r="T128" s="40"/>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row>
    <row r="129" spans="1:64" ht="14">
      <c r="A129" s="37"/>
      <c r="B129" s="38"/>
      <c r="C129" s="39">
        <f t="shared" si="8"/>
        <v>0</v>
      </c>
      <c r="D129" s="40"/>
      <c r="E129" s="40"/>
      <c r="F129" s="40"/>
      <c r="G129" s="40"/>
      <c r="H129" s="41"/>
      <c r="I129" s="42"/>
      <c r="J129" s="40"/>
      <c r="K129" s="42"/>
      <c r="L129" s="42"/>
      <c r="M129" s="43" t="str">
        <f t="shared" si="9"/>
        <v/>
      </c>
      <c r="N129" s="41" t="str">
        <f t="shared" si="10"/>
        <v/>
      </c>
      <c r="O129" s="41" t="str">
        <f t="shared" si="11"/>
        <v/>
      </c>
      <c r="P129" s="44" t="str">
        <f t="shared" si="12"/>
        <v/>
      </c>
      <c r="Q129" s="45">
        <f t="shared" si="13"/>
        <v>0</v>
      </c>
      <c r="R129" s="45">
        <f t="shared" si="14"/>
        <v>0</v>
      </c>
      <c r="S129" s="44">
        <f t="shared" si="15"/>
        <v>0</v>
      </c>
      <c r="T129" s="40"/>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row>
    <row r="130" spans="1:64" ht="14">
      <c r="A130" s="37"/>
      <c r="B130" s="38"/>
      <c r="C130" s="39">
        <f t="shared" si="8"/>
        <v>0</v>
      </c>
      <c r="D130" s="40"/>
      <c r="E130" s="40"/>
      <c r="F130" s="40"/>
      <c r="G130" s="40"/>
      <c r="H130" s="41"/>
      <c r="I130" s="42"/>
      <c r="J130" s="40"/>
      <c r="K130" s="42"/>
      <c r="L130" s="42"/>
      <c r="M130" s="43" t="str">
        <f t="shared" si="9"/>
        <v/>
      </c>
      <c r="N130" s="41" t="str">
        <f t="shared" si="10"/>
        <v/>
      </c>
      <c r="O130" s="41" t="str">
        <f t="shared" si="11"/>
        <v/>
      </c>
      <c r="P130" s="44" t="str">
        <f t="shared" si="12"/>
        <v/>
      </c>
      <c r="Q130" s="45">
        <f t="shared" si="13"/>
        <v>0</v>
      </c>
      <c r="R130" s="45">
        <f t="shared" si="14"/>
        <v>0</v>
      </c>
      <c r="S130" s="44">
        <f t="shared" si="15"/>
        <v>0</v>
      </c>
      <c r="T130" s="40"/>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row>
    <row r="131" spans="1:64" ht="14">
      <c r="A131" s="37"/>
      <c r="B131" s="38"/>
      <c r="C131" s="39">
        <f t="shared" si="8"/>
        <v>0</v>
      </c>
      <c r="D131" s="40"/>
      <c r="E131" s="40"/>
      <c r="F131" s="40"/>
      <c r="G131" s="40"/>
      <c r="H131" s="41"/>
      <c r="I131" s="42"/>
      <c r="J131" s="40"/>
      <c r="K131" s="42"/>
      <c r="L131" s="42"/>
      <c r="M131" s="43" t="str">
        <f t="shared" si="9"/>
        <v/>
      </c>
      <c r="N131" s="41" t="str">
        <f t="shared" si="10"/>
        <v/>
      </c>
      <c r="O131" s="41" t="str">
        <f t="shared" si="11"/>
        <v/>
      </c>
      <c r="P131" s="44" t="str">
        <f t="shared" si="12"/>
        <v/>
      </c>
      <c r="Q131" s="45">
        <f t="shared" si="13"/>
        <v>0</v>
      </c>
      <c r="R131" s="45">
        <f t="shared" si="14"/>
        <v>0</v>
      </c>
      <c r="S131" s="44">
        <f t="shared" si="15"/>
        <v>0</v>
      </c>
      <c r="T131" s="40"/>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row>
    <row r="132" spans="1:64" ht="14">
      <c r="A132" s="37"/>
      <c r="B132" s="38"/>
      <c r="C132" s="39">
        <f t="shared" si="8"/>
        <v>0</v>
      </c>
      <c r="D132" s="40"/>
      <c r="E132" s="40"/>
      <c r="F132" s="40"/>
      <c r="G132" s="40"/>
      <c r="H132" s="41"/>
      <c r="I132" s="42"/>
      <c r="J132" s="40"/>
      <c r="K132" s="42"/>
      <c r="L132" s="42"/>
      <c r="M132" s="43" t="str">
        <f t="shared" si="9"/>
        <v/>
      </c>
      <c r="N132" s="41" t="str">
        <f t="shared" si="10"/>
        <v/>
      </c>
      <c r="O132" s="41" t="str">
        <f t="shared" si="11"/>
        <v/>
      </c>
      <c r="P132" s="44" t="str">
        <f t="shared" si="12"/>
        <v/>
      </c>
      <c r="Q132" s="45">
        <f t="shared" si="13"/>
        <v>0</v>
      </c>
      <c r="R132" s="45">
        <f t="shared" si="14"/>
        <v>0</v>
      </c>
      <c r="S132" s="44">
        <f t="shared" si="15"/>
        <v>0</v>
      </c>
      <c r="T132" s="40"/>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row>
    <row r="133" spans="1:64" ht="14">
      <c r="A133" s="37"/>
      <c r="B133" s="38"/>
      <c r="C133" s="39">
        <f t="shared" si="8"/>
        <v>0</v>
      </c>
      <c r="D133" s="40"/>
      <c r="E133" s="40"/>
      <c r="F133" s="40"/>
      <c r="G133" s="40"/>
      <c r="H133" s="41"/>
      <c r="I133" s="42"/>
      <c r="J133" s="40"/>
      <c r="K133" s="42"/>
      <c r="L133" s="42"/>
      <c r="M133" s="43" t="str">
        <f t="shared" si="9"/>
        <v/>
      </c>
      <c r="N133" s="41" t="str">
        <f t="shared" si="10"/>
        <v/>
      </c>
      <c r="O133" s="41" t="str">
        <f t="shared" si="11"/>
        <v/>
      </c>
      <c r="P133" s="44" t="str">
        <f t="shared" si="12"/>
        <v/>
      </c>
      <c r="Q133" s="45">
        <f t="shared" si="13"/>
        <v>0</v>
      </c>
      <c r="R133" s="45">
        <f t="shared" si="14"/>
        <v>0</v>
      </c>
      <c r="S133" s="44">
        <f t="shared" si="15"/>
        <v>0</v>
      </c>
      <c r="T133" s="40"/>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row>
    <row r="134" spans="1:64" ht="14">
      <c r="A134" s="37"/>
      <c r="B134" s="38"/>
      <c r="C134" s="39">
        <f t="shared" si="8"/>
        <v>0</v>
      </c>
      <c r="D134" s="40"/>
      <c r="E134" s="40"/>
      <c r="F134" s="40"/>
      <c r="G134" s="40"/>
      <c r="H134" s="41"/>
      <c r="I134" s="42"/>
      <c r="J134" s="40"/>
      <c r="K134" s="42"/>
      <c r="L134" s="42"/>
      <c r="M134" s="43" t="str">
        <f t="shared" si="9"/>
        <v/>
      </c>
      <c r="N134" s="41" t="str">
        <f t="shared" si="10"/>
        <v/>
      </c>
      <c r="O134" s="41" t="str">
        <f t="shared" si="11"/>
        <v/>
      </c>
      <c r="P134" s="44" t="str">
        <f t="shared" si="12"/>
        <v/>
      </c>
      <c r="Q134" s="45">
        <f t="shared" si="13"/>
        <v>0</v>
      </c>
      <c r="R134" s="45">
        <f t="shared" si="14"/>
        <v>0</v>
      </c>
      <c r="S134" s="44">
        <f t="shared" si="15"/>
        <v>0</v>
      </c>
      <c r="T134" s="40"/>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row>
    <row r="135" spans="1:64" ht="14">
      <c r="A135" s="37"/>
      <c r="B135" s="38"/>
      <c r="C135" s="39">
        <f t="shared" si="8"/>
        <v>0</v>
      </c>
      <c r="D135" s="40"/>
      <c r="E135" s="40"/>
      <c r="F135" s="40"/>
      <c r="G135" s="40"/>
      <c r="H135" s="41"/>
      <c r="I135" s="42"/>
      <c r="J135" s="40"/>
      <c r="K135" s="42"/>
      <c r="L135" s="42"/>
      <c r="M135" s="43" t="str">
        <f t="shared" si="9"/>
        <v/>
      </c>
      <c r="N135" s="41" t="str">
        <f t="shared" si="10"/>
        <v/>
      </c>
      <c r="O135" s="41" t="str">
        <f t="shared" si="11"/>
        <v/>
      </c>
      <c r="P135" s="44" t="str">
        <f t="shared" si="12"/>
        <v/>
      </c>
      <c r="Q135" s="45">
        <f t="shared" si="13"/>
        <v>0</v>
      </c>
      <c r="R135" s="45">
        <f t="shared" si="14"/>
        <v>0</v>
      </c>
      <c r="S135" s="44">
        <f t="shared" si="15"/>
        <v>0</v>
      </c>
      <c r="T135" s="40"/>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row>
    <row r="136" spans="1:64" ht="14">
      <c r="A136" s="37"/>
      <c r="B136" s="38"/>
      <c r="C136" s="39">
        <f t="shared" si="8"/>
        <v>0</v>
      </c>
      <c r="D136" s="40"/>
      <c r="E136" s="40"/>
      <c r="F136" s="40"/>
      <c r="G136" s="40"/>
      <c r="H136" s="41"/>
      <c r="I136" s="42"/>
      <c r="J136" s="40"/>
      <c r="K136" s="42"/>
      <c r="L136" s="42"/>
      <c r="M136" s="43" t="str">
        <f t="shared" si="9"/>
        <v/>
      </c>
      <c r="N136" s="41" t="str">
        <f t="shared" si="10"/>
        <v/>
      </c>
      <c r="O136" s="41" t="str">
        <f t="shared" si="11"/>
        <v/>
      </c>
      <c r="P136" s="44" t="str">
        <f t="shared" si="12"/>
        <v/>
      </c>
      <c r="Q136" s="45">
        <f t="shared" si="13"/>
        <v>0</v>
      </c>
      <c r="R136" s="45">
        <f t="shared" si="14"/>
        <v>0</v>
      </c>
      <c r="S136" s="44">
        <f t="shared" si="15"/>
        <v>0</v>
      </c>
      <c r="T136" s="40"/>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row>
    <row r="137" spans="1:64" ht="14">
      <c r="A137" s="37"/>
      <c r="B137" s="38"/>
      <c r="C137" s="39">
        <f t="shared" si="8"/>
        <v>0</v>
      </c>
      <c r="D137" s="40"/>
      <c r="E137" s="40"/>
      <c r="F137" s="40"/>
      <c r="G137" s="40"/>
      <c r="H137" s="41"/>
      <c r="I137" s="42"/>
      <c r="J137" s="40"/>
      <c r="K137" s="42"/>
      <c r="L137" s="42"/>
      <c r="M137" s="43" t="str">
        <f t="shared" si="9"/>
        <v/>
      </c>
      <c r="N137" s="41" t="str">
        <f t="shared" si="10"/>
        <v/>
      </c>
      <c r="O137" s="41" t="str">
        <f t="shared" si="11"/>
        <v/>
      </c>
      <c r="P137" s="44" t="str">
        <f t="shared" si="12"/>
        <v/>
      </c>
      <c r="Q137" s="45">
        <f t="shared" si="13"/>
        <v>0</v>
      </c>
      <c r="R137" s="45">
        <f t="shared" si="14"/>
        <v>0</v>
      </c>
      <c r="S137" s="44">
        <f t="shared" si="15"/>
        <v>0</v>
      </c>
      <c r="T137" s="40"/>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row>
    <row r="138" spans="1:64" ht="14">
      <c r="A138" s="37"/>
      <c r="B138" s="38"/>
      <c r="C138" s="39">
        <f t="shared" ref="C138:C201" si="16">IF($B138&lt;&gt;"",VLOOKUP($B138,Matriz_INM,2,0),0)</f>
        <v>0</v>
      </c>
      <c r="D138" s="40"/>
      <c r="E138" s="40"/>
      <c r="F138" s="40"/>
      <c r="G138" s="40"/>
      <c r="H138" s="41"/>
      <c r="I138" s="42"/>
      <c r="J138" s="40"/>
      <c r="K138" s="42"/>
      <c r="L138" s="42"/>
      <c r="M138" s="43" t="str">
        <f t="shared" ref="M138:M201" si="17">IFERROR(VLOOKUP($B138,Matriz_INM,3,0),"")</f>
        <v/>
      </c>
      <c r="N138" s="41" t="str">
        <f t="shared" ref="N138:N201" si="18">IF(J138="EE",IF(OR(AND(OR(L138=1,L138=0),K138&gt;0,K138&lt;5),AND(OR(L138=1,L138=0),K138&gt;4,K138&lt;16),AND(L138=2,K138&gt;0,K138&lt;5)),"Simples",IF(OR(AND(OR(L138=1,L138=0),K138&gt;15),AND(L138=2,K138&gt;4,K138&lt;16),AND(L138&gt;2,K138&gt;0,K138&lt;5)),"Médio",IF(OR(AND(L138=2,K138&gt;15),AND(L138&gt;2,K138&gt;4,K138&lt;16),AND(L138&gt;2,K138&gt;15)),"Complexo",""))), IF(OR(J138="CE",J138="SE"),IF(OR(AND(OR(L138=1,L138=0),K138&gt;0,K138&lt;6),AND(OR(L138=1,L138=0),K138&gt;5,K138&lt;20),AND(L138&gt;1,L138&lt;4,K138&gt;0,K138&lt;6)),"Simples",IF(OR(AND(OR(L138=1,L138=0),K138&gt;19),AND(L138&gt;1,L138&lt;4,K138&gt;5,K138&lt;20),AND(L138&gt;3,K138&gt;0,K138&lt;6)),"Médio",IF(OR(AND(L138&gt;1,L138&lt;4,K138&gt;19),AND(L138&gt;3,K138&gt;5,K138&lt;20),AND(L138&gt;3,K138&gt;19)),"Complexo",""))),""))</f>
        <v/>
      </c>
      <c r="O138" s="41" t="str">
        <f t="shared" ref="O138:O201" si="19">IF(J138="ALI",IF(OR(AND(OR(L138=1,L138=0),K138&gt;0,K138&lt;20),AND(OR(L138=1,L138=0),K138&gt;19,K138&lt;51),AND(L138&gt;1,L138&lt;6,K138&gt;0,K138&lt;20)),"Simples",IF(OR(AND(OR(L138=1,L138=0),K138&gt;50),AND(L138&gt;1,L138&lt;6,K138&gt;19,K138&lt;51),AND(L138&gt;5,K138&gt;0,K138&lt;20)),"Médio",IF(OR(AND(L138&gt;1,L138&lt;6,K138&gt;50),AND(L138&gt;5,K138&gt;19,K138&lt;51),AND(L138&gt;5,K138&gt;50)),"Complexo",""))), IF(J138="AIE",IF(OR(AND(OR(L138=1, L138=0),K138&gt;0,K138&lt;20),AND(OR(L138=1, L138=0),K138&gt;19,K138&lt;51),AND(L138&gt;1,L138&lt;6,K138&gt;0,K138&lt;20)),"Simples",IF(OR(AND(OR(L138=1, L138=0),K138&gt;50),AND(L138&gt;1,L138&lt;6,K138&gt;19,K138&lt;51),AND(L138&gt;5,K138&gt;0,K138&lt;20)),"Médio",IF(OR(AND(L138&gt;1,L138&lt;6,K138&gt;50),AND(L138&gt;5,K138&gt;19,K138&lt;51),AND(L138&gt;5,K138&gt;50)),"Complexo",""))),""))</f>
        <v/>
      </c>
      <c r="P138" s="44" t="str">
        <f t="shared" ref="P138:P201" si="20">IF(N138="",O138,IF(O138="",N138,""))</f>
        <v/>
      </c>
      <c r="Q138" s="45">
        <f t="shared" ref="Q138:Q201" si="21">IF(AND(OR(J138="EE",J138="CE"),P138="Simples"),3, IF(AND(OR(J138="EE",J138="CE"),P138="Médio"),4, IF(AND(OR(J138="EE",J138="CE"),P138="Complexo"),6, IF(AND(J138="SE",P138="Simples"),4, IF(AND(J138="SE",P138="Médio"),5, IF(AND(J138="SE",P138="Complexo"),7,0))))))</f>
        <v>0</v>
      </c>
      <c r="R138" s="45">
        <f t="shared" ref="R138:R201" si="22">IF(AND(J138="ALI",O138="Simples"),7, IF(AND(J138="ALI",O138="Médio"),10, IF(AND(J138="ALI",O138="Complexo"),15, IF(AND(J138="AIE",O138="Simples"),5, IF(AND(J138="AIE",O138="Médio"),7, IF(AND(J138="AIE",O138="Complexo"),10,0))))))</f>
        <v>0</v>
      </c>
      <c r="S138" s="44">
        <f t="shared" ref="S138:S201" si="23">IF($M138="%",($Q138+$R138)*$C138,$C138*$I138)</f>
        <v>0</v>
      </c>
      <c r="T138" s="40"/>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row>
    <row r="139" spans="1:64" ht="14">
      <c r="A139" s="37"/>
      <c r="B139" s="38"/>
      <c r="C139" s="39">
        <f t="shared" si="16"/>
        <v>0</v>
      </c>
      <c r="D139" s="40"/>
      <c r="E139" s="40"/>
      <c r="F139" s="40"/>
      <c r="G139" s="40"/>
      <c r="H139" s="41"/>
      <c r="I139" s="42"/>
      <c r="J139" s="40"/>
      <c r="K139" s="42"/>
      <c r="L139" s="42"/>
      <c r="M139" s="43" t="str">
        <f t="shared" si="17"/>
        <v/>
      </c>
      <c r="N139" s="41" t="str">
        <f t="shared" si="18"/>
        <v/>
      </c>
      <c r="O139" s="41" t="str">
        <f t="shared" si="19"/>
        <v/>
      </c>
      <c r="P139" s="44" t="str">
        <f t="shared" si="20"/>
        <v/>
      </c>
      <c r="Q139" s="45">
        <f t="shared" si="21"/>
        <v>0</v>
      </c>
      <c r="R139" s="45">
        <f t="shared" si="22"/>
        <v>0</v>
      </c>
      <c r="S139" s="44">
        <f t="shared" si="23"/>
        <v>0</v>
      </c>
      <c r="T139" s="40"/>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row>
    <row r="140" spans="1:64" ht="14">
      <c r="A140" s="37"/>
      <c r="B140" s="38"/>
      <c r="C140" s="39">
        <f t="shared" si="16"/>
        <v>0</v>
      </c>
      <c r="D140" s="40"/>
      <c r="E140" s="40"/>
      <c r="F140" s="40"/>
      <c r="G140" s="40"/>
      <c r="H140" s="41"/>
      <c r="I140" s="42"/>
      <c r="J140" s="40"/>
      <c r="K140" s="42"/>
      <c r="L140" s="42"/>
      <c r="M140" s="43" t="str">
        <f t="shared" si="17"/>
        <v/>
      </c>
      <c r="N140" s="41" t="str">
        <f t="shared" si="18"/>
        <v/>
      </c>
      <c r="O140" s="41" t="str">
        <f t="shared" si="19"/>
        <v/>
      </c>
      <c r="P140" s="44" t="str">
        <f t="shared" si="20"/>
        <v/>
      </c>
      <c r="Q140" s="45">
        <f t="shared" si="21"/>
        <v>0</v>
      </c>
      <c r="R140" s="45">
        <f t="shared" si="22"/>
        <v>0</v>
      </c>
      <c r="S140" s="44">
        <f t="shared" si="23"/>
        <v>0</v>
      </c>
      <c r="T140" s="40"/>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row>
    <row r="141" spans="1:64" ht="14">
      <c r="A141" s="37"/>
      <c r="B141" s="38"/>
      <c r="C141" s="39">
        <f t="shared" si="16"/>
        <v>0</v>
      </c>
      <c r="D141" s="40"/>
      <c r="E141" s="40"/>
      <c r="F141" s="40"/>
      <c r="G141" s="40"/>
      <c r="H141" s="41"/>
      <c r="I141" s="42"/>
      <c r="J141" s="40"/>
      <c r="K141" s="42"/>
      <c r="L141" s="42"/>
      <c r="M141" s="43" t="str">
        <f t="shared" si="17"/>
        <v/>
      </c>
      <c r="N141" s="41" t="str">
        <f t="shared" si="18"/>
        <v/>
      </c>
      <c r="O141" s="41" t="str">
        <f t="shared" si="19"/>
        <v/>
      </c>
      <c r="P141" s="44" t="str">
        <f t="shared" si="20"/>
        <v/>
      </c>
      <c r="Q141" s="45">
        <f t="shared" si="21"/>
        <v>0</v>
      </c>
      <c r="R141" s="45">
        <f t="shared" si="22"/>
        <v>0</v>
      </c>
      <c r="S141" s="44">
        <f t="shared" si="23"/>
        <v>0</v>
      </c>
      <c r="T141" s="40"/>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row>
    <row r="142" spans="1:64" ht="14">
      <c r="A142" s="37"/>
      <c r="B142" s="38"/>
      <c r="C142" s="39">
        <f t="shared" si="16"/>
        <v>0</v>
      </c>
      <c r="D142" s="40"/>
      <c r="E142" s="40"/>
      <c r="F142" s="40"/>
      <c r="G142" s="40"/>
      <c r="H142" s="41"/>
      <c r="I142" s="42"/>
      <c r="J142" s="40"/>
      <c r="K142" s="42"/>
      <c r="L142" s="42"/>
      <c r="M142" s="43" t="str">
        <f t="shared" si="17"/>
        <v/>
      </c>
      <c r="N142" s="41" t="str">
        <f t="shared" si="18"/>
        <v/>
      </c>
      <c r="O142" s="41" t="str">
        <f t="shared" si="19"/>
        <v/>
      </c>
      <c r="P142" s="44" t="str">
        <f t="shared" si="20"/>
        <v/>
      </c>
      <c r="Q142" s="45">
        <f t="shared" si="21"/>
        <v>0</v>
      </c>
      <c r="R142" s="45">
        <f t="shared" si="22"/>
        <v>0</v>
      </c>
      <c r="S142" s="44">
        <f t="shared" si="23"/>
        <v>0</v>
      </c>
      <c r="T142" s="40"/>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row>
    <row r="143" spans="1:64" ht="14">
      <c r="A143" s="37"/>
      <c r="B143" s="38"/>
      <c r="C143" s="39">
        <f t="shared" si="16"/>
        <v>0</v>
      </c>
      <c r="D143" s="40"/>
      <c r="E143" s="40"/>
      <c r="F143" s="40"/>
      <c r="G143" s="40"/>
      <c r="H143" s="41"/>
      <c r="I143" s="42"/>
      <c r="J143" s="40"/>
      <c r="K143" s="42"/>
      <c r="L143" s="42"/>
      <c r="M143" s="43" t="str">
        <f t="shared" si="17"/>
        <v/>
      </c>
      <c r="N143" s="41" t="str">
        <f t="shared" si="18"/>
        <v/>
      </c>
      <c r="O143" s="41" t="str">
        <f t="shared" si="19"/>
        <v/>
      </c>
      <c r="P143" s="44" t="str">
        <f t="shared" si="20"/>
        <v/>
      </c>
      <c r="Q143" s="45">
        <f t="shared" si="21"/>
        <v>0</v>
      </c>
      <c r="R143" s="45">
        <f t="shared" si="22"/>
        <v>0</v>
      </c>
      <c r="S143" s="44">
        <f t="shared" si="23"/>
        <v>0</v>
      </c>
      <c r="T143" s="40"/>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row>
    <row r="144" spans="1:64" ht="14">
      <c r="A144" s="37"/>
      <c r="B144" s="38"/>
      <c r="C144" s="39">
        <f t="shared" si="16"/>
        <v>0</v>
      </c>
      <c r="D144" s="40"/>
      <c r="E144" s="40"/>
      <c r="F144" s="40"/>
      <c r="G144" s="40"/>
      <c r="H144" s="41"/>
      <c r="I144" s="42"/>
      <c r="J144" s="40"/>
      <c r="K144" s="42"/>
      <c r="L144" s="42"/>
      <c r="M144" s="43" t="str">
        <f t="shared" si="17"/>
        <v/>
      </c>
      <c r="N144" s="41" t="str">
        <f t="shared" si="18"/>
        <v/>
      </c>
      <c r="O144" s="41" t="str">
        <f t="shared" si="19"/>
        <v/>
      </c>
      <c r="P144" s="44" t="str">
        <f t="shared" si="20"/>
        <v/>
      </c>
      <c r="Q144" s="45">
        <f t="shared" si="21"/>
        <v>0</v>
      </c>
      <c r="R144" s="45">
        <f t="shared" si="22"/>
        <v>0</v>
      </c>
      <c r="S144" s="44">
        <f t="shared" si="23"/>
        <v>0</v>
      </c>
      <c r="T144" s="40"/>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row>
    <row r="145" spans="1:64" ht="14">
      <c r="A145" s="37"/>
      <c r="B145" s="38"/>
      <c r="C145" s="39">
        <f t="shared" si="16"/>
        <v>0</v>
      </c>
      <c r="D145" s="40"/>
      <c r="E145" s="40"/>
      <c r="F145" s="40"/>
      <c r="G145" s="40"/>
      <c r="H145" s="41"/>
      <c r="I145" s="42"/>
      <c r="J145" s="40"/>
      <c r="K145" s="42"/>
      <c r="L145" s="42"/>
      <c r="M145" s="43" t="str">
        <f t="shared" si="17"/>
        <v/>
      </c>
      <c r="N145" s="41" t="str">
        <f t="shared" si="18"/>
        <v/>
      </c>
      <c r="O145" s="41" t="str">
        <f t="shared" si="19"/>
        <v/>
      </c>
      <c r="P145" s="44" t="str">
        <f t="shared" si="20"/>
        <v/>
      </c>
      <c r="Q145" s="45">
        <f t="shared" si="21"/>
        <v>0</v>
      </c>
      <c r="R145" s="45">
        <f t="shared" si="22"/>
        <v>0</v>
      </c>
      <c r="S145" s="44">
        <f t="shared" si="23"/>
        <v>0</v>
      </c>
      <c r="T145" s="40"/>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row>
    <row r="146" spans="1:64" ht="14">
      <c r="A146" s="37"/>
      <c r="B146" s="38"/>
      <c r="C146" s="39">
        <f t="shared" si="16"/>
        <v>0</v>
      </c>
      <c r="D146" s="40"/>
      <c r="E146" s="40"/>
      <c r="F146" s="40"/>
      <c r="G146" s="40"/>
      <c r="H146" s="41"/>
      <c r="I146" s="42"/>
      <c r="J146" s="40"/>
      <c r="K146" s="42"/>
      <c r="L146" s="42"/>
      <c r="M146" s="43" t="str">
        <f t="shared" si="17"/>
        <v/>
      </c>
      <c r="N146" s="41" t="str">
        <f t="shared" si="18"/>
        <v/>
      </c>
      <c r="O146" s="41" t="str">
        <f t="shared" si="19"/>
        <v/>
      </c>
      <c r="P146" s="44" t="str">
        <f t="shared" si="20"/>
        <v/>
      </c>
      <c r="Q146" s="45">
        <f t="shared" si="21"/>
        <v>0</v>
      </c>
      <c r="R146" s="45">
        <f t="shared" si="22"/>
        <v>0</v>
      </c>
      <c r="S146" s="44">
        <f t="shared" si="23"/>
        <v>0</v>
      </c>
      <c r="T146" s="40"/>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row>
    <row r="147" spans="1:64" ht="14">
      <c r="A147" s="37"/>
      <c r="B147" s="38"/>
      <c r="C147" s="39">
        <f t="shared" si="16"/>
        <v>0</v>
      </c>
      <c r="D147" s="40"/>
      <c r="E147" s="40"/>
      <c r="F147" s="40"/>
      <c r="G147" s="40"/>
      <c r="H147" s="41"/>
      <c r="I147" s="42"/>
      <c r="J147" s="40"/>
      <c r="K147" s="42"/>
      <c r="L147" s="42"/>
      <c r="M147" s="43" t="str">
        <f t="shared" si="17"/>
        <v/>
      </c>
      <c r="N147" s="41" t="str">
        <f t="shared" si="18"/>
        <v/>
      </c>
      <c r="O147" s="41" t="str">
        <f t="shared" si="19"/>
        <v/>
      </c>
      <c r="P147" s="44" t="str">
        <f t="shared" si="20"/>
        <v/>
      </c>
      <c r="Q147" s="45">
        <f t="shared" si="21"/>
        <v>0</v>
      </c>
      <c r="R147" s="45">
        <f t="shared" si="22"/>
        <v>0</v>
      </c>
      <c r="S147" s="44">
        <f t="shared" si="23"/>
        <v>0</v>
      </c>
      <c r="T147" s="40"/>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row>
    <row r="148" spans="1:64" ht="14">
      <c r="A148" s="37"/>
      <c r="B148" s="38"/>
      <c r="C148" s="39">
        <f t="shared" si="16"/>
        <v>0</v>
      </c>
      <c r="D148" s="40"/>
      <c r="E148" s="40"/>
      <c r="F148" s="40"/>
      <c r="G148" s="40"/>
      <c r="H148" s="41"/>
      <c r="I148" s="42"/>
      <c r="J148" s="40"/>
      <c r="K148" s="42"/>
      <c r="L148" s="42"/>
      <c r="M148" s="43" t="str">
        <f t="shared" si="17"/>
        <v/>
      </c>
      <c r="N148" s="41" t="str">
        <f t="shared" si="18"/>
        <v/>
      </c>
      <c r="O148" s="41" t="str">
        <f t="shared" si="19"/>
        <v/>
      </c>
      <c r="P148" s="44" t="str">
        <f t="shared" si="20"/>
        <v/>
      </c>
      <c r="Q148" s="45">
        <f t="shared" si="21"/>
        <v>0</v>
      </c>
      <c r="R148" s="45">
        <f t="shared" si="22"/>
        <v>0</v>
      </c>
      <c r="S148" s="44">
        <f t="shared" si="23"/>
        <v>0</v>
      </c>
      <c r="T148" s="40"/>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row>
    <row r="149" spans="1:64" ht="14">
      <c r="A149" s="37"/>
      <c r="B149" s="38"/>
      <c r="C149" s="39">
        <f t="shared" si="16"/>
        <v>0</v>
      </c>
      <c r="D149" s="40"/>
      <c r="E149" s="40"/>
      <c r="F149" s="40"/>
      <c r="G149" s="40"/>
      <c r="H149" s="41"/>
      <c r="I149" s="42"/>
      <c r="J149" s="40"/>
      <c r="K149" s="42"/>
      <c r="L149" s="42"/>
      <c r="M149" s="43" t="str">
        <f t="shared" si="17"/>
        <v/>
      </c>
      <c r="N149" s="41" t="str">
        <f t="shared" si="18"/>
        <v/>
      </c>
      <c r="O149" s="41" t="str">
        <f t="shared" si="19"/>
        <v/>
      </c>
      <c r="P149" s="44" t="str">
        <f t="shared" si="20"/>
        <v/>
      </c>
      <c r="Q149" s="45">
        <f t="shared" si="21"/>
        <v>0</v>
      </c>
      <c r="R149" s="45">
        <f t="shared" si="22"/>
        <v>0</v>
      </c>
      <c r="S149" s="44">
        <f t="shared" si="23"/>
        <v>0</v>
      </c>
      <c r="T149" s="40"/>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row>
    <row r="150" spans="1:64" ht="14">
      <c r="A150" s="37"/>
      <c r="B150" s="38"/>
      <c r="C150" s="39">
        <f t="shared" si="16"/>
        <v>0</v>
      </c>
      <c r="D150" s="40"/>
      <c r="E150" s="40"/>
      <c r="F150" s="40"/>
      <c r="G150" s="40"/>
      <c r="H150" s="41"/>
      <c r="I150" s="42"/>
      <c r="J150" s="40"/>
      <c r="K150" s="42"/>
      <c r="L150" s="42"/>
      <c r="M150" s="43" t="str">
        <f t="shared" si="17"/>
        <v/>
      </c>
      <c r="N150" s="41" t="str">
        <f t="shared" si="18"/>
        <v/>
      </c>
      <c r="O150" s="41" t="str">
        <f t="shared" si="19"/>
        <v/>
      </c>
      <c r="P150" s="44" t="str">
        <f t="shared" si="20"/>
        <v/>
      </c>
      <c r="Q150" s="45">
        <f t="shared" si="21"/>
        <v>0</v>
      </c>
      <c r="R150" s="45">
        <f t="shared" si="22"/>
        <v>0</v>
      </c>
      <c r="S150" s="44">
        <f t="shared" si="23"/>
        <v>0</v>
      </c>
      <c r="T150" s="40"/>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row>
    <row r="151" spans="1:64" ht="14">
      <c r="A151" s="37"/>
      <c r="B151" s="38"/>
      <c r="C151" s="39">
        <f t="shared" si="16"/>
        <v>0</v>
      </c>
      <c r="D151" s="40"/>
      <c r="E151" s="40"/>
      <c r="F151" s="40"/>
      <c r="G151" s="40"/>
      <c r="H151" s="41"/>
      <c r="I151" s="42"/>
      <c r="J151" s="40"/>
      <c r="K151" s="42"/>
      <c r="L151" s="42"/>
      <c r="M151" s="43" t="str">
        <f t="shared" si="17"/>
        <v/>
      </c>
      <c r="N151" s="41" t="str">
        <f t="shared" si="18"/>
        <v/>
      </c>
      <c r="O151" s="41" t="str">
        <f t="shared" si="19"/>
        <v/>
      </c>
      <c r="P151" s="44" t="str">
        <f t="shared" si="20"/>
        <v/>
      </c>
      <c r="Q151" s="45">
        <f t="shared" si="21"/>
        <v>0</v>
      </c>
      <c r="R151" s="45">
        <f t="shared" si="22"/>
        <v>0</v>
      </c>
      <c r="S151" s="44">
        <f t="shared" si="23"/>
        <v>0</v>
      </c>
      <c r="T151" s="40"/>
      <c r="U151" s="36"/>
      <c r="V151" s="36"/>
      <c r="W151" s="47"/>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row>
    <row r="152" spans="1:64" ht="14">
      <c r="A152" s="37"/>
      <c r="B152" s="38"/>
      <c r="C152" s="39">
        <f t="shared" si="16"/>
        <v>0</v>
      </c>
      <c r="D152" s="40"/>
      <c r="E152" s="40"/>
      <c r="F152" s="40"/>
      <c r="G152" s="40"/>
      <c r="H152" s="41"/>
      <c r="I152" s="42"/>
      <c r="J152" s="40"/>
      <c r="K152" s="42"/>
      <c r="L152" s="42"/>
      <c r="M152" s="43" t="str">
        <f t="shared" si="17"/>
        <v/>
      </c>
      <c r="N152" s="41" t="str">
        <f t="shared" si="18"/>
        <v/>
      </c>
      <c r="O152" s="41" t="str">
        <f t="shared" si="19"/>
        <v/>
      </c>
      <c r="P152" s="44" t="str">
        <f t="shared" si="20"/>
        <v/>
      </c>
      <c r="Q152" s="45">
        <f t="shared" si="21"/>
        <v>0</v>
      </c>
      <c r="R152" s="45">
        <f t="shared" si="22"/>
        <v>0</v>
      </c>
      <c r="S152" s="44">
        <f t="shared" si="23"/>
        <v>0</v>
      </c>
      <c r="T152" s="40"/>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row>
    <row r="153" spans="1:64" ht="14">
      <c r="A153" s="37"/>
      <c r="B153" s="38"/>
      <c r="C153" s="39">
        <f t="shared" si="16"/>
        <v>0</v>
      </c>
      <c r="D153" s="40"/>
      <c r="E153" s="40"/>
      <c r="F153" s="40"/>
      <c r="G153" s="40"/>
      <c r="H153" s="41"/>
      <c r="I153" s="42"/>
      <c r="J153" s="40"/>
      <c r="K153" s="42"/>
      <c r="L153" s="42"/>
      <c r="M153" s="43" t="str">
        <f t="shared" si="17"/>
        <v/>
      </c>
      <c r="N153" s="41" t="str">
        <f t="shared" si="18"/>
        <v/>
      </c>
      <c r="O153" s="41" t="str">
        <f t="shared" si="19"/>
        <v/>
      </c>
      <c r="P153" s="44" t="str">
        <f t="shared" si="20"/>
        <v/>
      </c>
      <c r="Q153" s="45">
        <f t="shared" si="21"/>
        <v>0</v>
      </c>
      <c r="R153" s="45">
        <f t="shared" si="22"/>
        <v>0</v>
      </c>
      <c r="S153" s="44">
        <f t="shared" si="23"/>
        <v>0</v>
      </c>
      <c r="T153" s="40"/>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row>
    <row r="154" spans="1:64" ht="14">
      <c r="A154" s="37"/>
      <c r="B154" s="38"/>
      <c r="C154" s="39">
        <f t="shared" si="16"/>
        <v>0</v>
      </c>
      <c r="D154" s="40"/>
      <c r="E154" s="40"/>
      <c r="F154" s="40"/>
      <c r="G154" s="40"/>
      <c r="H154" s="41"/>
      <c r="I154" s="42"/>
      <c r="J154" s="40"/>
      <c r="K154" s="42"/>
      <c r="L154" s="42"/>
      <c r="M154" s="43" t="str">
        <f t="shared" si="17"/>
        <v/>
      </c>
      <c r="N154" s="41" t="str">
        <f t="shared" si="18"/>
        <v/>
      </c>
      <c r="O154" s="41" t="str">
        <f t="shared" si="19"/>
        <v/>
      </c>
      <c r="P154" s="44" t="str">
        <f t="shared" si="20"/>
        <v/>
      </c>
      <c r="Q154" s="45">
        <f t="shared" si="21"/>
        <v>0</v>
      </c>
      <c r="R154" s="45">
        <f t="shared" si="22"/>
        <v>0</v>
      </c>
      <c r="S154" s="44">
        <f t="shared" si="23"/>
        <v>0</v>
      </c>
      <c r="T154" s="40"/>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row>
    <row r="155" spans="1:64" ht="14">
      <c r="A155" s="37"/>
      <c r="B155" s="38"/>
      <c r="C155" s="39">
        <f t="shared" si="16"/>
        <v>0</v>
      </c>
      <c r="D155" s="40"/>
      <c r="E155" s="40"/>
      <c r="F155" s="40"/>
      <c r="G155" s="40"/>
      <c r="H155" s="41"/>
      <c r="I155" s="42"/>
      <c r="J155" s="40"/>
      <c r="K155" s="42"/>
      <c r="L155" s="42"/>
      <c r="M155" s="43" t="str">
        <f t="shared" si="17"/>
        <v/>
      </c>
      <c r="N155" s="41" t="str">
        <f t="shared" si="18"/>
        <v/>
      </c>
      <c r="O155" s="41" t="str">
        <f t="shared" si="19"/>
        <v/>
      </c>
      <c r="P155" s="44" t="str">
        <f t="shared" si="20"/>
        <v/>
      </c>
      <c r="Q155" s="45">
        <f t="shared" si="21"/>
        <v>0</v>
      </c>
      <c r="R155" s="45">
        <f t="shared" si="22"/>
        <v>0</v>
      </c>
      <c r="S155" s="44">
        <f t="shared" si="23"/>
        <v>0</v>
      </c>
      <c r="T155" s="40"/>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row>
    <row r="156" spans="1:64" ht="14">
      <c r="A156" s="37"/>
      <c r="B156" s="38"/>
      <c r="C156" s="39">
        <f t="shared" si="16"/>
        <v>0</v>
      </c>
      <c r="D156" s="40"/>
      <c r="E156" s="40"/>
      <c r="F156" s="40"/>
      <c r="G156" s="40"/>
      <c r="H156" s="41"/>
      <c r="I156" s="42"/>
      <c r="J156" s="40"/>
      <c r="K156" s="42"/>
      <c r="L156" s="42"/>
      <c r="M156" s="43" t="str">
        <f t="shared" si="17"/>
        <v/>
      </c>
      <c r="N156" s="41" t="str">
        <f t="shared" si="18"/>
        <v/>
      </c>
      <c r="O156" s="41" t="str">
        <f t="shared" si="19"/>
        <v/>
      </c>
      <c r="P156" s="44" t="str">
        <f t="shared" si="20"/>
        <v/>
      </c>
      <c r="Q156" s="45">
        <f t="shared" si="21"/>
        <v>0</v>
      </c>
      <c r="R156" s="45">
        <f t="shared" si="22"/>
        <v>0</v>
      </c>
      <c r="S156" s="44">
        <f t="shared" si="23"/>
        <v>0</v>
      </c>
      <c r="T156" s="40"/>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row>
    <row r="157" spans="1:64" ht="14">
      <c r="A157" s="37"/>
      <c r="B157" s="38"/>
      <c r="C157" s="39">
        <f t="shared" si="16"/>
        <v>0</v>
      </c>
      <c r="D157" s="40"/>
      <c r="E157" s="40"/>
      <c r="F157" s="40"/>
      <c r="G157" s="40"/>
      <c r="H157" s="41"/>
      <c r="I157" s="42"/>
      <c r="J157" s="40"/>
      <c r="K157" s="42"/>
      <c r="L157" s="42"/>
      <c r="M157" s="43" t="str">
        <f t="shared" si="17"/>
        <v/>
      </c>
      <c r="N157" s="41" t="str">
        <f t="shared" si="18"/>
        <v/>
      </c>
      <c r="O157" s="41" t="str">
        <f t="shared" si="19"/>
        <v/>
      </c>
      <c r="P157" s="44" t="str">
        <f t="shared" si="20"/>
        <v/>
      </c>
      <c r="Q157" s="45">
        <f t="shared" si="21"/>
        <v>0</v>
      </c>
      <c r="R157" s="45">
        <f t="shared" si="22"/>
        <v>0</v>
      </c>
      <c r="S157" s="44">
        <f t="shared" si="23"/>
        <v>0</v>
      </c>
      <c r="T157" s="40"/>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row>
    <row r="158" spans="1:64" ht="14">
      <c r="A158" s="37"/>
      <c r="B158" s="38"/>
      <c r="C158" s="39">
        <f t="shared" si="16"/>
        <v>0</v>
      </c>
      <c r="D158" s="40"/>
      <c r="E158" s="40"/>
      <c r="F158" s="40"/>
      <c r="G158" s="40"/>
      <c r="H158" s="41"/>
      <c r="I158" s="42"/>
      <c r="J158" s="40"/>
      <c r="K158" s="42"/>
      <c r="L158" s="42"/>
      <c r="M158" s="43" t="str">
        <f t="shared" si="17"/>
        <v/>
      </c>
      <c r="N158" s="41" t="str">
        <f t="shared" si="18"/>
        <v/>
      </c>
      <c r="O158" s="41" t="str">
        <f t="shared" si="19"/>
        <v/>
      </c>
      <c r="P158" s="44" t="str">
        <f t="shared" si="20"/>
        <v/>
      </c>
      <c r="Q158" s="45">
        <f t="shared" si="21"/>
        <v>0</v>
      </c>
      <c r="R158" s="45">
        <f t="shared" si="22"/>
        <v>0</v>
      </c>
      <c r="S158" s="44">
        <f t="shared" si="23"/>
        <v>0</v>
      </c>
      <c r="T158" s="40"/>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row>
    <row r="159" spans="1:64" ht="14">
      <c r="A159" s="37"/>
      <c r="B159" s="38"/>
      <c r="C159" s="39">
        <f t="shared" si="16"/>
        <v>0</v>
      </c>
      <c r="D159" s="40"/>
      <c r="E159" s="40"/>
      <c r="F159" s="40"/>
      <c r="G159" s="40"/>
      <c r="H159" s="41"/>
      <c r="I159" s="42"/>
      <c r="J159" s="40"/>
      <c r="K159" s="42"/>
      <c r="L159" s="42"/>
      <c r="M159" s="43" t="str">
        <f t="shared" si="17"/>
        <v/>
      </c>
      <c r="N159" s="41" t="str">
        <f t="shared" si="18"/>
        <v/>
      </c>
      <c r="O159" s="41" t="str">
        <f t="shared" si="19"/>
        <v/>
      </c>
      <c r="P159" s="44" t="str">
        <f t="shared" si="20"/>
        <v/>
      </c>
      <c r="Q159" s="45">
        <f t="shared" si="21"/>
        <v>0</v>
      </c>
      <c r="R159" s="45">
        <f t="shared" si="22"/>
        <v>0</v>
      </c>
      <c r="S159" s="44">
        <f t="shared" si="23"/>
        <v>0</v>
      </c>
      <c r="T159" s="40"/>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row>
    <row r="160" spans="1:64" ht="14">
      <c r="A160" s="37"/>
      <c r="B160" s="38"/>
      <c r="C160" s="39">
        <f t="shared" si="16"/>
        <v>0</v>
      </c>
      <c r="D160" s="40"/>
      <c r="E160" s="40"/>
      <c r="F160" s="40"/>
      <c r="G160" s="40"/>
      <c r="H160" s="41"/>
      <c r="I160" s="42"/>
      <c r="J160" s="40"/>
      <c r="K160" s="42"/>
      <c r="L160" s="42"/>
      <c r="M160" s="43" t="str">
        <f t="shared" si="17"/>
        <v/>
      </c>
      <c r="N160" s="41" t="str">
        <f t="shared" si="18"/>
        <v/>
      </c>
      <c r="O160" s="41" t="str">
        <f t="shared" si="19"/>
        <v/>
      </c>
      <c r="P160" s="44" t="str">
        <f t="shared" si="20"/>
        <v/>
      </c>
      <c r="Q160" s="45">
        <f t="shared" si="21"/>
        <v>0</v>
      </c>
      <c r="R160" s="45">
        <f t="shared" si="22"/>
        <v>0</v>
      </c>
      <c r="S160" s="44">
        <f t="shared" si="23"/>
        <v>0</v>
      </c>
      <c r="T160" s="40"/>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row>
    <row r="161" spans="1:64" ht="14">
      <c r="A161" s="37"/>
      <c r="B161" s="38"/>
      <c r="C161" s="39">
        <f t="shared" si="16"/>
        <v>0</v>
      </c>
      <c r="D161" s="40"/>
      <c r="E161" s="40"/>
      <c r="F161" s="40"/>
      <c r="G161" s="40"/>
      <c r="H161" s="41"/>
      <c r="I161" s="42"/>
      <c r="J161" s="40"/>
      <c r="K161" s="42"/>
      <c r="L161" s="42"/>
      <c r="M161" s="43" t="str">
        <f t="shared" si="17"/>
        <v/>
      </c>
      <c r="N161" s="41" t="str">
        <f t="shared" si="18"/>
        <v/>
      </c>
      <c r="O161" s="41" t="str">
        <f t="shared" si="19"/>
        <v/>
      </c>
      <c r="P161" s="44" t="str">
        <f t="shared" si="20"/>
        <v/>
      </c>
      <c r="Q161" s="45">
        <f t="shared" si="21"/>
        <v>0</v>
      </c>
      <c r="R161" s="45">
        <f t="shared" si="22"/>
        <v>0</v>
      </c>
      <c r="S161" s="44">
        <f t="shared" si="23"/>
        <v>0</v>
      </c>
      <c r="T161" s="40"/>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row>
    <row r="162" spans="1:64" ht="14">
      <c r="A162" s="37"/>
      <c r="B162" s="38"/>
      <c r="C162" s="39">
        <f t="shared" si="16"/>
        <v>0</v>
      </c>
      <c r="D162" s="40"/>
      <c r="E162" s="40"/>
      <c r="F162" s="40"/>
      <c r="G162" s="40"/>
      <c r="H162" s="41"/>
      <c r="I162" s="42"/>
      <c r="J162" s="40"/>
      <c r="K162" s="42"/>
      <c r="L162" s="42"/>
      <c r="M162" s="43" t="str">
        <f t="shared" si="17"/>
        <v/>
      </c>
      <c r="N162" s="41" t="str">
        <f t="shared" si="18"/>
        <v/>
      </c>
      <c r="O162" s="41" t="str">
        <f t="shared" si="19"/>
        <v/>
      </c>
      <c r="P162" s="44" t="str">
        <f t="shared" si="20"/>
        <v/>
      </c>
      <c r="Q162" s="45">
        <f t="shared" si="21"/>
        <v>0</v>
      </c>
      <c r="R162" s="45">
        <f t="shared" si="22"/>
        <v>0</v>
      </c>
      <c r="S162" s="44">
        <f t="shared" si="23"/>
        <v>0</v>
      </c>
      <c r="T162" s="40"/>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row>
    <row r="163" spans="1:64" ht="14">
      <c r="A163" s="37"/>
      <c r="B163" s="38"/>
      <c r="C163" s="39">
        <f t="shared" si="16"/>
        <v>0</v>
      </c>
      <c r="D163" s="40"/>
      <c r="E163" s="40"/>
      <c r="F163" s="40"/>
      <c r="G163" s="40"/>
      <c r="H163" s="41"/>
      <c r="I163" s="42"/>
      <c r="J163" s="40"/>
      <c r="K163" s="42"/>
      <c r="L163" s="42"/>
      <c r="M163" s="43" t="str">
        <f t="shared" si="17"/>
        <v/>
      </c>
      <c r="N163" s="41" t="str">
        <f t="shared" si="18"/>
        <v/>
      </c>
      <c r="O163" s="41" t="str">
        <f t="shared" si="19"/>
        <v/>
      </c>
      <c r="P163" s="44" t="str">
        <f t="shared" si="20"/>
        <v/>
      </c>
      <c r="Q163" s="45">
        <f t="shared" si="21"/>
        <v>0</v>
      </c>
      <c r="R163" s="45">
        <f t="shared" si="22"/>
        <v>0</v>
      </c>
      <c r="S163" s="44">
        <f t="shared" si="23"/>
        <v>0</v>
      </c>
      <c r="T163" s="40"/>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row>
    <row r="164" spans="1:64" ht="14">
      <c r="A164" s="37"/>
      <c r="B164" s="38"/>
      <c r="C164" s="39">
        <f t="shared" si="16"/>
        <v>0</v>
      </c>
      <c r="D164" s="40"/>
      <c r="E164" s="40"/>
      <c r="F164" s="40"/>
      <c r="G164" s="40"/>
      <c r="H164" s="41"/>
      <c r="I164" s="42"/>
      <c r="J164" s="40"/>
      <c r="K164" s="42"/>
      <c r="L164" s="42"/>
      <c r="M164" s="43" t="str">
        <f t="shared" si="17"/>
        <v/>
      </c>
      <c r="N164" s="41" t="str">
        <f t="shared" si="18"/>
        <v/>
      </c>
      <c r="O164" s="41" t="str">
        <f t="shared" si="19"/>
        <v/>
      </c>
      <c r="P164" s="44" t="str">
        <f t="shared" si="20"/>
        <v/>
      </c>
      <c r="Q164" s="45">
        <f t="shared" si="21"/>
        <v>0</v>
      </c>
      <c r="R164" s="45">
        <f t="shared" si="22"/>
        <v>0</v>
      </c>
      <c r="S164" s="44">
        <f t="shared" si="23"/>
        <v>0</v>
      </c>
      <c r="T164" s="40"/>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row>
    <row r="165" spans="1:64" ht="14">
      <c r="A165" s="37"/>
      <c r="B165" s="38"/>
      <c r="C165" s="39">
        <f t="shared" si="16"/>
        <v>0</v>
      </c>
      <c r="D165" s="40"/>
      <c r="E165" s="40"/>
      <c r="F165" s="40"/>
      <c r="G165" s="40"/>
      <c r="H165" s="41"/>
      <c r="I165" s="42"/>
      <c r="J165" s="40"/>
      <c r="K165" s="42"/>
      <c r="L165" s="42"/>
      <c r="M165" s="43" t="str">
        <f t="shared" si="17"/>
        <v/>
      </c>
      <c r="N165" s="41" t="str">
        <f t="shared" si="18"/>
        <v/>
      </c>
      <c r="O165" s="41" t="str">
        <f t="shared" si="19"/>
        <v/>
      </c>
      <c r="P165" s="44" t="str">
        <f t="shared" si="20"/>
        <v/>
      </c>
      <c r="Q165" s="45">
        <f t="shared" si="21"/>
        <v>0</v>
      </c>
      <c r="R165" s="45">
        <f t="shared" si="22"/>
        <v>0</v>
      </c>
      <c r="S165" s="44">
        <f t="shared" si="23"/>
        <v>0</v>
      </c>
      <c r="T165" s="40"/>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row>
    <row r="166" spans="1:64" ht="14">
      <c r="A166" s="37"/>
      <c r="B166" s="38"/>
      <c r="C166" s="39">
        <f t="shared" si="16"/>
        <v>0</v>
      </c>
      <c r="D166" s="40"/>
      <c r="E166" s="40"/>
      <c r="F166" s="40"/>
      <c r="G166" s="40"/>
      <c r="H166" s="41"/>
      <c r="I166" s="42"/>
      <c r="J166" s="40"/>
      <c r="K166" s="42"/>
      <c r="L166" s="42"/>
      <c r="M166" s="43" t="str">
        <f t="shared" si="17"/>
        <v/>
      </c>
      <c r="N166" s="41" t="str">
        <f t="shared" si="18"/>
        <v/>
      </c>
      <c r="O166" s="41" t="str">
        <f t="shared" si="19"/>
        <v/>
      </c>
      <c r="P166" s="44" t="str">
        <f t="shared" si="20"/>
        <v/>
      </c>
      <c r="Q166" s="45">
        <f t="shared" si="21"/>
        <v>0</v>
      </c>
      <c r="R166" s="45">
        <f t="shared" si="22"/>
        <v>0</v>
      </c>
      <c r="S166" s="44">
        <f t="shared" si="23"/>
        <v>0</v>
      </c>
      <c r="T166" s="40"/>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row>
    <row r="167" spans="1:64" ht="14">
      <c r="A167" s="37"/>
      <c r="B167" s="38"/>
      <c r="C167" s="39">
        <f t="shared" si="16"/>
        <v>0</v>
      </c>
      <c r="D167" s="40"/>
      <c r="E167" s="40"/>
      <c r="F167" s="40"/>
      <c r="G167" s="40"/>
      <c r="H167" s="41"/>
      <c r="I167" s="42"/>
      <c r="J167" s="40"/>
      <c r="K167" s="42"/>
      <c r="L167" s="42"/>
      <c r="M167" s="43" t="str">
        <f t="shared" si="17"/>
        <v/>
      </c>
      <c r="N167" s="41" t="str">
        <f t="shared" si="18"/>
        <v/>
      </c>
      <c r="O167" s="41" t="str">
        <f t="shared" si="19"/>
        <v/>
      </c>
      <c r="P167" s="44" t="str">
        <f t="shared" si="20"/>
        <v/>
      </c>
      <c r="Q167" s="45">
        <f t="shared" si="21"/>
        <v>0</v>
      </c>
      <c r="R167" s="45">
        <f t="shared" si="22"/>
        <v>0</v>
      </c>
      <c r="S167" s="44">
        <f t="shared" si="23"/>
        <v>0</v>
      </c>
      <c r="T167" s="40"/>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row>
    <row r="168" spans="1:64" ht="14">
      <c r="A168" s="37"/>
      <c r="B168" s="38"/>
      <c r="C168" s="39">
        <f t="shared" si="16"/>
        <v>0</v>
      </c>
      <c r="D168" s="40"/>
      <c r="E168" s="40"/>
      <c r="F168" s="40"/>
      <c r="G168" s="40"/>
      <c r="H168" s="41"/>
      <c r="I168" s="42"/>
      <c r="J168" s="40"/>
      <c r="K168" s="42"/>
      <c r="L168" s="42"/>
      <c r="M168" s="43" t="str">
        <f t="shared" si="17"/>
        <v/>
      </c>
      <c r="N168" s="41" t="str">
        <f t="shared" si="18"/>
        <v/>
      </c>
      <c r="O168" s="41" t="str">
        <f t="shared" si="19"/>
        <v/>
      </c>
      <c r="P168" s="44" t="str">
        <f t="shared" si="20"/>
        <v/>
      </c>
      <c r="Q168" s="45">
        <f t="shared" si="21"/>
        <v>0</v>
      </c>
      <c r="R168" s="45">
        <f t="shared" si="22"/>
        <v>0</v>
      </c>
      <c r="S168" s="44">
        <f t="shared" si="23"/>
        <v>0</v>
      </c>
      <c r="T168" s="40"/>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row>
    <row r="169" spans="1:64" ht="14">
      <c r="A169" s="37"/>
      <c r="B169" s="38"/>
      <c r="C169" s="39">
        <f t="shared" si="16"/>
        <v>0</v>
      </c>
      <c r="D169" s="40"/>
      <c r="E169" s="40"/>
      <c r="F169" s="40"/>
      <c r="G169" s="40"/>
      <c r="H169" s="41"/>
      <c r="I169" s="42"/>
      <c r="J169" s="40"/>
      <c r="K169" s="42"/>
      <c r="L169" s="42"/>
      <c r="M169" s="43" t="str">
        <f t="shared" si="17"/>
        <v/>
      </c>
      <c r="N169" s="41" t="str">
        <f t="shared" si="18"/>
        <v/>
      </c>
      <c r="O169" s="41" t="str">
        <f t="shared" si="19"/>
        <v/>
      </c>
      <c r="P169" s="44" t="str">
        <f t="shared" si="20"/>
        <v/>
      </c>
      <c r="Q169" s="45">
        <f t="shared" si="21"/>
        <v>0</v>
      </c>
      <c r="R169" s="45">
        <f t="shared" si="22"/>
        <v>0</v>
      </c>
      <c r="S169" s="44">
        <f t="shared" si="23"/>
        <v>0</v>
      </c>
      <c r="T169" s="40"/>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row>
    <row r="170" spans="1:64" ht="14">
      <c r="A170" s="37"/>
      <c r="B170" s="38"/>
      <c r="C170" s="39">
        <f t="shared" si="16"/>
        <v>0</v>
      </c>
      <c r="D170" s="40"/>
      <c r="E170" s="40"/>
      <c r="F170" s="40"/>
      <c r="G170" s="40"/>
      <c r="H170" s="41"/>
      <c r="I170" s="42"/>
      <c r="J170" s="40"/>
      <c r="K170" s="42"/>
      <c r="L170" s="42"/>
      <c r="M170" s="43" t="str">
        <f t="shared" si="17"/>
        <v/>
      </c>
      <c r="N170" s="41" t="str">
        <f t="shared" si="18"/>
        <v/>
      </c>
      <c r="O170" s="41" t="str">
        <f t="shared" si="19"/>
        <v/>
      </c>
      <c r="P170" s="44" t="str">
        <f t="shared" si="20"/>
        <v/>
      </c>
      <c r="Q170" s="45">
        <f t="shared" si="21"/>
        <v>0</v>
      </c>
      <c r="R170" s="45">
        <f t="shared" si="22"/>
        <v>0</v>
      </c>
      <c r="S170" s="44">
        <f t="shared" si="23"/>
        <v>0</v>
      </c>
      <c r="T170" s="40"/>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row>
    <row r="171" spans="1:64" ht="14">
      <c r="A171" s="37"/>
      <c r="B171" s="38"/>
      <c r="C171" s="39">
        <f t="shared" si="16"/>
        <v>0</v>
      </c>
      <c r="D171" s="40"/>
      <c r="E171" s="40"/>
      <c r="F171" s="40"/>
      <c r="G171" s="40"/>
      <c r="H171" s="41"/>
      <c r="I171" s="42"/>
      <c r="J171" s="40"/>
      <c r="K171" s="42"/>
      <c r="L171" s="42"/>
      <c r="M171" s="43" t="str">
        <f t="shared" si="17"/>
        <v/>
      </c>
      <c r="N171" s="41" t="str">
        <f t="shared" si="18"/>
        <v/>
      </c>
      <c r="O171" s="41" t="str">
        <f t="shared" si="19"/>
        <v/>
      </c>
      <c r="P171" s="44" t="str">
        <f t="shared" si="20"/>
        <v/>
      </c>
      <c r="Q171" s="45">
        <f t="shared" si="21"/>
        <v>0</v>
      </c>
      <c r="R171" s="45">
        <f t="shared" si="22"/>
        <v>0</v>
      </c>
      <c r="S171" s="44">
        <f t="shared" si="23"/>
        <v>0</v>
      </c>
      <c r="T171" s="40"/>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row>
    <row r="172" spans="1:64" ht="14">
      <c r="A172" s="37"/>
      <c r="B172" s="38"/>
      <c r="C172" s="39">
        <f t="shared" si="16"/>
        <v>0</v>
      </c>
      <c r="D172" s="40"/>
      <c r="E172" s="40"/>
      <c r="F172" s="40"/>
      <c r="G172" s="40"/>
      <c r="H172" s="41"/>
      <c r="I172" s="42"/>
      <c r="J172" s="40"/>
      <c r="K172" s="42"/>
      <c r="L172" s="42"/>
      <c r="M172" s="43" t="str">
        <f t="shared" si="17"/>
        <v/>
      </c>
      <c r="N172" s="41" t="str">
        <f t="shared" si="18"/>
        <v/>
      </c>
      <c r="O172" s="41" t="str">
        <f t="shared" si="19"/>
        <v/>
      </c>
      <c r="P172" s="44" t="str">
        <f t="shared" si="20"/>
        <v/>
      </c>
      <c r="Q172" s="45">
        <f t="shared" si="21"/>
        <v>0</v>
      </c>
      <c r="R172" s="45">
        <f t="shared" si="22"/>
        <v>0</v>
      </c>
      <c r="S172" s="44">
        <f t="shared" si="23"/>
        <v>0</v>
      </c>
      <c r="T172" s="40"/>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row>
    <row r="173" spans="1:64" ht="14">
      <c r="A173" s="37"/>
      <c r="B173" s="38"/>
      <c r="C173" s="39">
        <f t="shared" si="16"/>
        <v>0</v>
      </c>
      <c r="D173" s="40"/>
      <c r="E173" s="40"/>
      <c r="F173" s="40"/>
      <c r="G173" s="40"/>
      <c r="H173" s="41"/>
      <c r="I173" s="42"/>
      <c r="J173" s="40"/>
      <c r="K173" s="42"/>
      <c r="L173" s="42"/>
      <c r="M173" s="43" t="str">
        <f t="shared" si="17"/>
        <v/>
      </c>
      <c r="N173" s="41" t="str">
        <f t="shared" si="18"/>
        <v/>
      </c>
      <c r="O173" s="41" t="str">
        <f t="shared" si="19"/>
        <v/>
      </c>
      <c r="P173" s="44" t="str">
        <f t="shared" si="20"/>
        <v/>
      </c>
      <c r="Q173" s="45">
        <f t="shared" si="21"/>
        <v>0</v>
      </c>
      <c r="R173" s="45">
        <f t="shared" si="22"/>
        <v>0</v>
      </c>
      <c r="S173" s="44">
        <f t="shared" si="23"/>
        <v>0</v>
      </c>
      <c r="T173" s="40"/>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row>
    <row r="174" spans="1:64" ht="14">
      <c r="A174" s="37"/>
      <c r="B174" s="38"/>
      <c r="C174" s="39">
        <f t="shared" si="16"/>
        <v>0</v>
      </c>
      <c r="D174" s="40"/>
      <c r="E174" s="40"/>
      <c r="F174" s="40"/>
      <c r="G174" s="40"/>
      <c r="H174" s="41"/>
      <c r="I174" s="42"/>
      <c r="J174" s="40"/>
      <c r="K174" s="42"/>
      <c r="L174" s="42"/>
      <c r="M174" s="43" t="str">
        <f t="shared" si="17"/>
        <v/>
      </c>
      <c r="N174" s="41" t="str">
        <f t="shared" si="18"/>
        <v/>
      </c>
      <c r="O174" s="41" t="str">
        <f t="shared" si="19"/>
        <v/>
      </c>
      <c r="P174" s="44" t="str">
        <f t="shared" si="20"/>
        <v/>
      </c>
      <c r="Q174" s="45">
        <f t="shared" si="21"/>
        <v>0</v>
      </c>
      <c r="R174" s="45">
        <f t="shared" si="22"/>
        <v>0</v>
      </c>
      <c r="S174" s="44">
        <f t="shared" si="23"/>
        <v>0</v>
      </c>
      <c r="T174" s="40"/>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row>
    <row r="175" spans="1:64" ht="14">
      <c r="A175" s="37"/>
      <c r="B175" s="38"/>
      <c r="C175" s="39">
        <f t="shared" si="16"/>
        <v>0</v>
      </c>
      <c r="D175" s="40"/>
      <c r="E175" s="40"/>
      <c r="F175" s="40"/>
      <c r="G175" s="40"/>
      <c r="H175" s="41"/>
      <c r="I175" s="42"/>
      <c r="J175" s="40"/>
      <c r="K175" s="42"/>
      <c r="L175" s="42"/>
      <c r="M175" s="43" t="str">
        <f t="shared" si="17"/>
        <v/>
      </c>
      <c r="N175" s="41" t="str">
        <f t="shared" si="18"/>
        <v/>
      </c>
      <c r="O175" s="41" t="str">
        <f t="shared" si="19"/>
        <v/>
      </c>
      <c r="P175" s="44" t="str">
        <f t="shared" si="20"/>
        <v/>
      </c>
      <c r="Q175" s="45">
        <f t="shared" si="21"/>
        <v>0</v>
      </c>
      <c r="R175" s="45">
        <f t="shared" si="22"/>
        <v>0</v>
      </c>
      <c r="S175" s="44">
        <f t="shared" si="23"/>
        <v>0</v>
      </c>
      <c r="T175" s="40"/>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row>
    <row r="176" spans="1:64" ht="14">
      <c r="A176" s="37"/>
      <c r="B176" s="38"/>
      <c r="C176" s="39">
        <f t="shared" si="16"/>
        <v>0</v>
      </c>
      <c r="D176" s="40"/>
      <c r="E176" s="40"/>
      <c r="F176" s="40"/>
      <c r="G176" s="40"/>
      <c r="H176" s="41"/>
      <c r="I176" s="42"/>
      <c r="J176" s="40"/>
      <c r="K176" s="42"/>
      <c r="L176" s="42"/>
      <c r="M176" s="43" t="str">
        <f t="shared" si="17"/>
        <v/>
      </c>
      <c r="N176" s="41" t="str">
        <f t="shared" si="18"/>
        <v/>
      </c>
      <c r="O176" s="41" t="str">
        <f t="shared" si="19"/>
        <v/>
      </c>
      <c r="P176" s="44" t="str">
        <f t="shared" si="20"/>
        <v/>
      </c>
      <c r="Q176" s="45">
        <f t="shared" si="21"/>
        <v>0</v>
      </c>
      <c r="R176" s="45">
        <f t="shared" si="22"/>
        <v>0</v>
      </c>
      <c r="S176" s="44">
        <f t="shared" si="23"/>
        <v>0</v>
      </c>
      <c r="T176" s="40"/>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row>
    <row r="177" spans="1:64" ht="14">
      <c r="A177" s="37"/>
      <c r="B177" s="38"/>
      <c r="C177" s="39">
        <f t="shared" si="16"/>
        <v>0</v>
      </c>
      <c r="D177" s="40"/>
      <c r="E177" s="40"/>
      <c r="F177" s="40"/>
      <c r="G177" s="40"/>
      <c r="H177" s="41"/>
      <c r="I177" s="42"/>
      <c r="J177" s="40"/>
      <c r="K177" s="42"/>
      <c r="L177" s="42"/>
      <c r="M177" s="43" t="str">
        <f t="shared" si="17"/>
        <v/>
      </c>
      <c r="N177" s="41" t="str">
        <f t="shared" si="18"/>
        <v/>
      </c>
      <c r="O177" s="41" t="str">
        <f t="shared" si="19"/>
        <v/>
      </c>
      <c r="P177" s="44" t="str">
        <f t="shared" si="20"/>
        <v/>
      </c>
      <c r="Q177" s="45">
        <f t="shared" si="21"/>
        <v>0</v>
      </c>
      <c r="R177" s="45">
        <f t="shared" si="22"/>
        <v>0</v>
      </c>
      <c r="S177" s="44">
        <f t="shared" si="23"/>
        <v>0</v>
      </c>
      <c r="T177" s="40"/>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row>
    <row r="178" spans="1:64" ht="14">
      <c r="A178" s="37"/>
      <c r="B178" s="38"/>
      <c r="C178" s="39">
        <f t="shared" si="16"/>
        <v>0</v>
      </c>
      <c r="D178" s="40"/>
      <c r="E178" s="40"/>
      <c r="F178" s="40"/>
      <c r="G178" s="40"/>
      <c r="H178" s="41"/>
      <c r="I178" s="42"/>
      <c r="J178" s="40"/>
      <c r="K178" s="42"/>
      <c r="L178" s="42"/>
      <c r="M178" s="43" t="str">
        <f t="shared" si="17"/>
        <v/>
      </c>
      <c r="N178" s="41" t="str">
        <f t="shared" si="18"/>
        <v/>
      </c>
      <c r="O178" s="41" t="str">
        <f t="shared" si="19"/>
        <v/>
      </c>
      <c r="P178" s="44" t="str">
        <f t="shared" si="20"/>
        <v/>
      </c>
      <c r="Q178" s="45">
        <f t="shared" si="21"/>
        <v>0</v>
      </c>
      <c r="R178" s="45">
        <f t="shared" si="22"/>
        <v>0</v>
      </c>
      <c r="S178" s="44">
        <f t="shared" si="23"/>
        <v>0</v>
      </c>
      <c r="T178" s="40"/>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row>
    <row r="179" spans="1:64" ht="14">
      <c r="A179" s="37"/>
      <c r="B179" s="38"/>
      <c r="C179" s="39">
        <f t="shared" si="16"/>
        <v>0</v>
      </c>
      <c r="D179" s="40"/>
      <c r="E179" s="40"/>
      <c r="F179" s="40"/>
      <c r="G179" s="40"/>
      <c r="H179" s="41"/>
      <c r="I179" s="42"/>
      <c r="J179" s="40"/>
      <c r="K179" s="42"/>
      <c r="L179" s="42"/>
      <c r="M179" s="43" t="str">
        <f t="shared" si="17"/>
        <v/>
      </c>
      <c r="N179" s="41" t="str">
        <f t="shared" si="18"/>
        <v/>
      </c>
      <c r="O179" s="41" t="str">
        <f t="shared" si="19"/>
        <v/>
      </c>
      <c r="P179" s="44" t="str">
        <f t="shared" si="20"/>
        <v/>
      </c>
      <c r="Q179" s="45">
        <f t="shared" si="21"/>
        <v>0</v>
      </c>
      <c r="R179" s="45">
        <f t="shared" si="22"/>
        <v>0</v>
      </c>
      <c r="S179" s="44">
        <f t="shared" si="23"/>
        <v>0</v>
      </c>
      <c r="T179" s="40"/>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row>
    <row r="180" spans="1:64" ht="14">
      <c r="A180" s="37"/>
      <c r="B180" s="38"/>
      <c r="C180" s="39">
        <f t="shared" si="16"/>
        <v>0</v>
      </c>
      <c r="D180" s="40"/>
      <c r="E180" s="40"/>
      <c r="F180" s="40"/>
      <c r="G180" s="40"/>
      <c r="H180" s="41"/>
      <c r="I180" s="42"/>
      <c r="J180" s="40"/>
      <c r="K180" s="42"/>
      <c r="L180" s="42"/>
      <c r="M180" s="43" t="str">
        <f t="shared" si="17"/>
        <v/>
      </c>
      <c r="N180" s="41" t="str">
        <f t="shared" si="18"/>
        <v/>
      </c>
      <c r="O180" s="41" t="str">
        <f t="shared" si="19"/>
        <v/>
      </c>
      <c r="P180" s="44" t="str">
        <f t="shared" si="20"/>
        <v/>
      </c>
      <c r="Q180" s="45">
        <f t="shared" si="21"/>
        <v>0</v>
      </c>
      <c r="R180" s="45">
        <f t="shared" si="22"/>
        <v>0</v>
      </c>
      <c r="S180" s="44">
        <f t="shared" si="23"/>
        <v>0</v>
      </c>
      <c r="T180" s="40"/>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row>
    <row r="181" spans="1:64" ht="14">
      <c r="A181" s="37"/>
      <c r="B181" s="38"/>
      <c r="C181" s="39">
        <f t="shared" si="16"/>
        <v>0</v>
      </c>
      <c r="D181" s="40"/>
      <c r="E181" s="40"/>
      <c r="F181" s="40"/>
      <c r="G181" s="40"/>
      <c r="H181" s="41"/>
      <c r="I181" s="42"/>
      <c r="J181" s="40"/>
      <c r="K181" s="42"/>
      <c r="L181" s="42"/>
      <c r="M181" s="43" t="str">
        <f t="shared" si="17"/>
        <v/>
      </c>
      <c r="N181" s="41" t="str">
        <f t="shared" si="18"/>
        <v/>
      </c>
      <c r="O181" s="41" t="str">
        <f t="shared" si="19"/>
        <v/>
      </c>
      <c r="P181" s="44" t="str">
        <f t="shared" si="20"/>
        <v/>
      </c>
      <c r="Q181" s="45">
        <f t="shared" si="21"/>
        <v>0</v>
      </c>
      <c r="R181" s="45">
        <f t="shared" si="22"/>
        <v>0</v>
      </c>
      <c r="S181" s="44">
        <f t="shared" si="23"/>
        <v>0</v>
      </c>
      <c r="T181" s="40"/>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row>
    <row r="182" spans="1:64" ht="14">
      <c r="A182" s="37"/>
      <c r="B182" s="38"/>
      <c r="C182" s="39">
        <f t="shared" si="16"/>
        <v>0</v>
      </c>
      <c r="D182" s="40"/>
      <c r="E182" s="40"/>
      <c r="F182" s="40"/>
      <c r="G182" s="40"/>
      <c r="H182" s="41"/>
      <c r="I182" s="42"/>
      <c r="J182" s="40"/>
      <c r="K182" s="42"/>
      <c r="L182" s="42"/>
      <c r="M182" s="43" t="str">
        <f t="shared" si="17"/>
        <v/>
      </c>
      <c r="N182" s="41" t="str">
        <f t="shared" si="18"/>
        <v/>
      </c>
      <c r="O182" s="41" t="str">
        <f t="shared" si="19"/>
        <v/>
      </c>
      <c r="P182" s="44" t="str">
        <f t="shared" si="20"/>
        <v/>
      </c>
      <c r="Q182" s="45">
        <f t="shared" si="21"/>
        <v>0</v>
      </c>
      <c r="R182" s="45">
        <f t="shared" si="22"/>
        <v>0</v>
      </c>
      <c r="S182" s="44">
        <f t="shared" si="23"/>
        <v>0</v>
      </c>
      <c r="T182" s="40"/>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row>
    <row r="183" spans="1:64" ht="14">
      <c r="A183" s="37"/>
      <c r="B183" s="38"/>
      <c r="C183" s="39">
        <f t="shared" si="16"/>
        <v>0</v>
      </c>
      <c r="D183" s="40"/>
      <c r="E183" s="40"/>
      <c r="F183" s="40"/>
      <c r="G183" s="40"/>
      <c r="H183" s="41"/>
      <c r="I183" s="42"/>
      <c r="J183" s="40"/>
      <c r="K183" s="42"/>
      <c r="L183" s="42"/>
      <c r="M183" s="43" t="str">
        <f t="shared" si="17"/>
        <v/>
      </c>
      <c r="N183" s="41" t="str">
        <f t="shared" si="18"/>
        <v/>
      </c>
      <c r="O183" s="41" t="str">
        <f t="shared" si="19"/>
        <v/>
      </c>
      <c r="P183" s="44" t="str">
        <f t="shared" si="20"/>
        <v/>
      </c>
      <c r="Q183" s="45">
        <f t="shared" si="21"/>
        <v>0</v>
      </c>
      <c r="R183" s="45">
        <f t="shared" si="22"/>
        <v>0</v>
      </c>
      <c r="S183" s="44">
        <f t="shared" si="23"/>
        <v>0</v>
      </c>
      <c r="T183" s="40"/>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row>
    <row r="184" spans="1:64" ht="14">
      <c r="A184" s="37"/>
      <c r="B184" s="38"/>
      <c r="C184" s="39">
        <f t="shared" si="16"/>
        <v>0</v>
      </c>
      <c r="D184" s="40"/>
      <c r="E184" s="40"/>
      <c r="F184" s="40"/>
      <c r="G184" s="40"/>
      <c r="H184" s="41"/>
      <c r="I184" s="42"/>
      <c r="J184" s="40"/>
      <c r="K184" s="42"/>
      <c r="L184" s="42"/>
      <c r="M184" s="43" t="str">
        <f t="shared" si="17"/>
        <v/>
      </c>
      <c r="N184" s="41" t="str">
        <f t="shared" si="18"/>
        <v/>
      </c>
      <c r="O184" s="41" t="str">
        <f t="shared" si="19"/>
        <v/>
      </c>
      <c r="P184" s="44" t="str">
        <f t="shared" si="20"/>
        <v/>
      </c>
      <c r="Q184" s="45">
        <f t="shared" si="21"/>
        <v>0</v>
      </c>
      <c r="R184" s="45">
        <f t="shared" si="22"/>
        <v>0</v>
      </c>
      <c r="S184" s="44">
        <f t="shared" si="23"/>
        <v>0</v>
      </c>
      <c r="T184" s="40"/>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row>
    <row r="185" spans="1:64" ht="14">
      <c r="A185" s="37"/>
      <c r="B185" s="38"/>
      <c r="C185" s="39">
        <f t="shared" si="16"/>
        <v>0</v>
      </c>
      <c r="D185" s="40"/>
      <c r="E185" s="40"/>
      <c r="F185" s="40"/>
      <c r="G185" s="40"/>
      <c r="H185" s="41"/>
      <c r="I185" s="42"/>
      <c r="J185" s="40"/>
      <c r="K185" s="42"/>
      <c r="L185" s="42"/>
      <c r="M185" s="43" t="str">
        <f t="shared" si="17"/>
        <v/>
      </c>
      <c r="N185" s="41" t="str">
        <f t="shared" si="18"/>
        <v/>
      </c>
      <c r="O185" s="41" t="str">
        <f t="shared" si="19"/>
        <v/>
      </c>
      <c r="P185" s="44" t="str">
        <f t="shared" si="20"/>
        <v/>
      </c>
      <c r="Q185" s="45">
        <f t="shared" si="21"/>
        <v>0</v>
      </c>
      <c r="R185" s="45">
        <f t="shared" si="22"/>
        <v>0</v>
      </c>
      <c r="S185" s="44">
        <f t="shared" si="23"/>
        <v>0</v>
      </c>
      <c r="T185" s="40"/>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row>
    <row r="186" spans="1:64" ht="14">
      <c r="A186" s="37"/>
      <c r="B186" s="38"/>
      <c r="C186" s="39">
        <f t="shared" si="16"/>
        <v>0</v>
      </c>
      <c r="D186" s="40"/>
      <c r="E186" s="40"/>
      <c r="F186" s="40"/>
      <c r="G186" s="40"/>
      <c r="H186" s="41"/>
      <c r="I186" s="42"/>
      <c r="J186" s="40"/>
      <c r="K186" s="42"/>
      <c r="L186" s="42"/>
      <c r="M186" s="43" t="str">
        <f t="shared" si="17"/>
        <v/>
      </c>
      <c r="N186" s="41" t="str">
        <f t="shared" si="18"/>
        <v/>
      </c>
      <c r="O186" s="41" t="str">
        <f t="shared" si="19"/>
        <v/>
      </c>
      <c r="P186" s="44" t="str">
        <f t="shared" si="20"/>
        <v/>
      </c>
      <c r="Q186" s="45">
        <f t="shared" si="21"/>
        <v>0</v>
      </c>
      <c r="R186" s="45">
        <f t="shared" si="22"/>
        <v>0</v>
      </c>
      <c r="S186" s="44">
        <f t="shared" si="23"/>
        <v>0</v>
      </c>
      <c r="T186" s="40"/>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row>
    <row r="187" spans="1:64" ht="14">
      <c r="A187" s="37"/>
      <c r="B187" s="38"/>
      <c r="C187" s="39">
        <f t="shared" si="16"/>
        <v>0</v>
      </c>
      <c r="D187" s="40"/>
      <c r="E187" s="40"/>
      <c r="F187" s="40"/>
      <c r="G187" s="40"/>
      <c r="H187" s="41"/>
      <c r="I187" s="42"/>
      <c r="J187" s="40"/>
      <c r="K187" s="42"/>
      <c r="L187" s="42"/>
      <c r="M187" s="43" t="str">
        <f t="shared" si="17"/>
        <v/>
      </c>
      <c r="N187" s="41" t="str">
        <f t="shared" si="18"/>
        <v/>
      </c>
      <c r="O187" s="41" t="str">
        <f t="shared" si="19"/>
        <v/>
      </c>
      <c r="P187" s="44" t="str">
        <f t="shared" si="20"/>
        <v/>
      </c>
      <c r="Q187" s="45">
        <f t="shared" si="21"/>
        <v>0</v>
      </c>
      <c r="R187" s="45">
        <f t="shared" si="22"/>
        <v>0</v>
      </c>
      <c r="S187" s="44">
        <f t="shared" si="23"/>
        <v>0</v>
      </c>
      <c r="T187" s="40"/>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row>
    <row r="188" spans="1:64" ht="14">
      <c r="A188" s="37"/>
      <c r="B188" s="38"/>
      <c r="C188" s="39">
        <f t="shared" si="16"/>
        <v>0</v>
      </c>
      <c r="D188" s="40"/>
      <c r="E188" s="40"/>
      <c r="F188" s="40"/>
      <c r="G188" s="40"/>
      <c r="H188" s="41"/>
      <c r="I188" s="42"/>
      <c r="J188" s="40"/>
      <c r="K188" s="42"/>
      <c r="L188" s="42"/>
      <c r="M188" s="43" t="str">
        <f t="shared" si="17"/>
        <v/>
      </c>
      <c r="N188" s="41" t="str">
        <f t="shared" si="18"/>
        <v/>
      </c>
      <c r="O188" s="41" t="str">
        <f t="shared" si="19"/>
        <v/>
      </c>
      <c r="P188" s="44" t="str">
        <f t="shared" si="20"/>
        <v/>
      </c>
      <c r="Q188" s="45">
        <f t="shared" si="21"/>
        <v>0</v>
      </c>
      <c r="R188" s="45">
        <f t="shared" si="22"/>
        <v>0</v>
      </c>
      <c r="S188" s="44">
        <f t="shared" si="23"/>
        <v>0</v>
      </c>
      <c r="T188" s="40"/>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row>
    <row r="189" spans="1:64" ht="14">
      <c r="A189" s="37"/>
      <c r="B189" s="38"/>
      <c r="C189" s="39">
        <f t="shared" si="16"/>
        <v>0</v>
      </c>
      <c r="D189" s="40"/>
      <c r="E189" s="40"/>
      <c r="F189" s="40"/>
      <c r="G189" s="40"/>
      <c r="H189" s="41"/>
      <c r="I189" s="42"/>
      <c r="J189" s="40"/>
      <c r="K189" s="42"/>
      <c r="L189" s="42"/>
      <c r="M189" s="43" t="str">
        <f t="shared" si="17"/>
        <v/>
      </c>
      <c r="N189" s="41" t="str">
        <f t="shared" si="18"/>
        <v/>
      </c>
      <c r="O189" s="41" t="str">
        <f t="shared" si="19"/>
        <v/>
      </c>
      <c r="P189" s="44" t="str">
        <f t="shared" si="20"/>
        <v/>
      </c>
      <c r="Q189" s="45">
        <f t="shared" si="21"/>
        <v>0</v>
      </c>
      <c r="R189" s="45">
        <f t="shared" si="22"/>
        <v>0</v>
      </c>
      <c r="S189" s="44">
        <f t="shared" si="23"/>
        <v>0</v>
      </c>
      <c r="T189" s="40"/>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row>
    <row r="190" spans="1:64" ht="14">
      <c r="A190" s="37"/>
      <c r="B190" s="38"/>
      <c r="C190" s="39">
        <f t="shared" si="16"/>
        <v>0</v>
      </c>
      <c r="D190" s="40"/>
      <c r="E190" s="40"/>
      <c r="F190" s="40"/>
      <c r="G190" s="40"/>
      <c r="H190" s="41"/>
      <c r="I190" s="42"/>
      <c r="J190" s="40"/>
      <c r="K190" s="42"/>
      <c r="L190" s="42"/>
      <c r="M190" s="43" t="str">
        <f t="shared" si="17"/>
        <v/>
      </c>
      <c r="N190" s="41" t="str">
        <f t="shared" si="18"/>
        <v/>
      </c>
      <c r="O190" s="41" t="str">
        <f t="shared" si="19"/>
        <v/>
      </c>
      <c r="P190" s="44" t="str">
        <f t="shared" si="20"/>
        <v/>
      </c>
      <c r="Q190" s="45">
        <f t="shared" si="21"/>
        <v>0</v>
      </c>
      <c r="R190" s="45">
        <f t="shared" si="22"/>
        <v>0</v>
      </c>
      <c r="S190" s="44">
        <f t="shared" si="23"/>
        <v>0</v>
      </c>
      <c r="T190" s="40"/>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row>
    <row r="191" spans="1:64" ht="14">
      <c r="A191" s="37"/>
      <c r="B191" s="38"/>
      <c r="C191" s="39">
        <f t="shared" si="16"/>
        <v>0</v>
      </c>
      <c r="D191" s="40"/>
      <c r="E191" s="40"/>
      <c r="F191" s="40"/>
      <c r="G191" s="40"/>
      <c r="H191" s="41"/>
      <c r="I191" s="42"/>
      <c r="J191" s="40"/>
      <c r="K191" s="42"/>
      <c r="L191" s="42"/>
      <c r="M191" s="43" t="str">
        <f t="shared" si="17"/>
        <v/>
      </c>
      <c r="N191" s="41" t="str">
        <f t="shared" si="18"/>
        <v/>
      </c>
      <c r="O191" s="41" t="str">
        <f t="shared" si="19"/>
        <v/>
      </c>
      <c r="P191" s="44" t="str">
        <f t="shared" si="20"/>
        <v/>
      </c>
      <c r="Q191" s="45">
        <f t="shared" si="21"/>
        <v>0</v>
      </c>
      <c r="R191" s="45">
        <f t="shared" si="22"/>
        <v>0</v>
      </c>
      <c r="S191" s="44">
        <f t="shared" si="23"/>
        <v>0</v>
      </c>
      <c r="T191" s="40"/>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row>
    <row r="192" spans="1:64" ht="14">
      <c r="A192" s="37"/>
      <c r="B192" s="38"/>
      <c r="C192" s="39">
        <f t="shared" si="16"/>
        <v>0</v>
      </c>
      <c r="D192" s="40"/>
      <c r="E192" s="40"/>
      <c r="F192" s="40"/>
      <c r="G192" s="40"/>
      <c r="H192" s="41"/>
      <c r="I192" s="42"/>
      <c r="J192" s="40"/>
      <c r="K192" s="42"/>
      <c r="L192" s="42"/>
      <c r="M192" s="43" t="str">
        <f t="shared" si="17"/>
        <v/>
      </c>
      <c r="N192" s="41" t="str">
        <f t="shared" si="18"/>
        <v/>
      </c>
      <c r="O192" s="41" t="str">
        <f t="shared" si="19"/>
        <v/>
      </c>
      <c r="P192" s="44" t="str">
        <f t="shared" si="20"/>
        <v/>
      </c>
      <c r="Q192" s="45">
        <f t="shared" si="21"/>
        <v>0</v>
      </c>
      <c r="R192" s="45">
        <f t="shared" si="22"/>
        <v>0</v>
      </c>
      <c r="S192" s="44">
        <f t="shared" si="23"/>
        <v>0</v>
      </c>
      <c r="T192" s="40"/>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row>
    <row r="193" spans="1:64" ht="14">
      <c r="A193" s="37"/>
      <c r="B193" s="38"/>
      <c r="C193" s="39">
        <f t="shared" si="16"/>
        <v>0</v>
      </c>
      <c r="D193" s="40"/>
      <c r="E193" s="40"/>
      <c r="F193" s="40"/>
      <c r="G193" s="40"/>
      <c r="H193" s="41"/>
      <c r="I193" s="42"/>
      <c r="J193" s="40"/>
      <c r="K193" s="42"/>
      <c r="L193" s="42"/>
      <c r="M193" s="43" t="str">
        <f t="shared" si="17"/>
        <v/>
      </c>
      <c r="N193" s="41" t="str">
        <f t="shared" si="18"/>
        <v/>
      </c>
      <c r="O193" s="41" t="str">
        <f t="shared" si="19"/>
        <v/>
      </c>
      <c r="P193" s="44" t="str">
        <f t="shared" si="20"/>
        <v/>
      </c>
      <c r="Q193" s="45">
        <f t="shared" si="21"/>
        <v>0</v>
      </c>
      <c r="R193" s="45">
        <f t="shared" si="22"/>
        <v>0</v>
      </c>
      <c r="S193" s="44">
        <f t="shared" si="23"/>
        <v>0</v>
      </c>
      <c r="T193" s="40"/>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row>
    <row r="194" spans="1:64" ht="14">
      <c r="A194" s="37"/>
      <c r="B194" s="38"/>
      <c r="C194" s="39">
        <f t="shared" si="16"/>
        <v>0</v>
      </c>
      <c r="D194" s="40"/>
      <c r="E194" s="40"/>
      <c r="F194" s="40"/>
      <c r="G194" s="40"/>
      <c r="H194" s="41"/>
      <c r="I194" s="42"/>
      <c r="J194" s="40"/>
      <c r="K194" s="42"/>
      <c r="L194" s="42"/>
      <c r="M194" s="43" t="str">
        <f t="shared" si="17"/>
        <v/>
      </c>
      <c r="N194" s="41" t="str">
        <f t="shared" si="18"/>
        <v/>
      </c>
      <c r="O194" s="41" t="str">
        <f t="shared" si="19"/>
        <v/>
      </c>
      <c r="P194" s="44" t="str">
        <f t="shared" si="20"/>
        <v/>
      </c>
      <c r="Q194" s="45">
        <f t="shared" si="21"/>
        <v>0</v>
      </c>
      <c r="R194" s="45">
        <f t="shared" si="22"/>
        <v>0</v>
      </c>
      <c r="S194" s="44">
        <f t="shared" si="23"/>
        <v>0</v>
      </c>
      <c r="T194" s="40"/>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row>
    <row r="195" spans="1:64" ht="14">
      <c r="A195" s="37"/>
      <c r="B195" s="38"/>
      <c r="C195" s="39">
        <f t="shared" si="16"/>
        <v>0</v>
      </c>
      <c r="D195" s="40"/>
      <c r="E195" s="40"/>
      <c r="F195" s="40"/>
      <c r="G195" s="40"/>
      <c r="H195" s="41"/>
      <c r="I195" s="42"/>
      <c r="J195" s="40"/>
      <c r="K195" s="42"/>
      <c r="L195" s="42"/>
      <c r="M195" s="43" t="str">
        <f t="shared" si="17"/>
        <v/>
      </c>
      <c r="N195" s="41" t="str">
        <f t="shared" si="18"/>
        <v/>
      </c>
      <c r="O195" s="41" t="str">
        <f t="shared" si="19"/>
        <v/>
      </c>
      <c r="P195" s="44" t="str">
        <f t="shared" si="20"/>
        <v/>
      </c>
      <c r="Q195" s="45">
        <f t="shared" si="21"/>
        <v>0</v>
      </c>
      <c r="R195" s="45">
        <f t="shared" si="22"/>
        <v>0</v>
      </c>
      <c r="S195" s="44">
        <f t="shared" si="23"/>
        <v>0</v>
      </c>
      <c r="T195" s="40"/>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row>
    <row r="196" spans="1:64" ht="14">
      <c r="A196" s="37"/>
      <c r="B196" s="38"/>
      <c r="C196" s="39">
        <f t="shared" si="16"/>
        <v>0</v>
      </c>
      <c r="D196" s="40"/>
      <c r="E196" s="40"/>
      <c r="F196" s="40"/>
      <c r="G196" s="40"/>
      <c r="H196" s="41"/>
      <c r="I196" s="42"/>
      <c r="J196" s="40"/>
      <c r="K196" s="42"/>
      <c r="L196" s="42"/>
      <c r="M196" s="43" t="str">
        <f t="shared" si="17"/>
        <v/>
      </c>
      <c r="N196" s="41" t="str">
        <f t="shared" si="18"/>
        <v/>
      </c>
      <c r="O196" s="41" t="str">
        <f t="shared" si="19"/>
        <v/>
      </c>
      <c r="P196" s="44" t="str">
        <f t="shared" si="20"/>
        <v/>
      </c>
      <c r="Q196" s="45">
        <f t="shared" si="21"/>
        <v>0</v>
      </c>
      <c r="R196" s="45">
        <f t="shared" si="22"/>
        <v>0</v>
      </c>
      <c r="S196" s="44">
        <f t="shared" si="23"/>
        <v>0</v>
      </c>
      <c r="T196" s="40"/>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row>
    <row r="197" spans="1:64" ht="14">
      <c r="A197" s="37"/>
      <c r="B197" s="38"/>
      <c r="C197" s="39">
        <f t="shared" si="16"/>
        <v>0</v>
      </c>
      <c r="D197" s="40"/>
      <c r="E197" s="40"/>
      <c r="F197" s="40"/>
      <c r="G197" s="40"/>
      <c r="H197" s="41"/>
      <c r="I197" s="42"/>
      <c r="J197" s="40"/>
      <c r="K197" s="42"/>
      <c r="L197" s="42"/>
      <c r="M197" s="43" t="str">
        <f t="shared" si="17"/>
        <v/>
      </c>
      <c r="N197" s="41" t="str">
        <f t="shared" si="18"/>
        <v/>
      </c>
      <c r="O197" s="41" t="str">
        <f t="shared" si="19"/>
        <v/>
      </c>
      <c r="P197" s="44" t="str">
        <f t="shared" si="20"/>
        <v/>
      </c>
      <c r="Q197" s="45">
        <f t="shared" si="21"/>
        <v>0</v>
      </c>
      <c r="R197" s="45">
        <f t="shared" si="22"/>
        <v>0</v>
      </c>
      <c r="S197" s="44">
        <f t="shared" si="23"/>
        <v>0</v>
      </c>
      <c r="T197" s="40"/>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row>
    <row r="198" spans="1:64" ht="14">
      <c r="A198" s="37"/>
      <c r="B198" s="38"/>
      <c r="C198" s="39">
        <f t="shared" si="16"/>
        <v>0</v>
      </c>
      <c r="D198" s="40"/>
      <c r="E198" s="40"/>
      <c r="F198" s="40"/>
      <c r="G198" s="40"/>
      <c r="H198" s="41"/>
      <c r="I198" s="42"/>
      <c r="J198" s="40"/>
      <c r="K198" s="42"/>
      <c r="L198" s="42"/>
      <c r="M198" s="43" t="str">
        <f t="shared" si="17"/>
        <v/>
      </c>
      <c r="N198" s="41" t="str">
        <f t="shared" si="18"/>
        <v/>
      </c>
      <c r="O198" s="41" t="str">
        <f t="shared" si="19"/>
        <v/>
      </c>
      <c r="P198" s="44" t="str">
        <f t="shared" si="20"/>
        <v/>
      </c>
      <c r="Q198" s="45">
        <f t="shared" si="21"/>
        <v>0</v>
      </c>
      <c r="R198" s="45">
        <f t="shared" si="22"/>
        <v>0</v>
      </c>
      <c r="S198" s="44">
        <f t="shared" si="23"/>
        <v>0</v>
      </c>
      <c r="T198" s="40"/>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row>
    <row r="199" spans="1:64" ht="14">
      <c r="A199" s="37"/>
      <c r="B199" s="38"/>
      <c r="C199" s="39">
        <f t="shared" si="16"/>
        <v>0</v>
      </c>
      <c r="D199" s="40"/>
      <c r="E199" s="40"/>
      <c r="F199" s="40"/>
      <c r="G199" s="40"/>
      <c r="H199" s="41"/>
      <c r="I199" s="42"/>
      <c r="J199" s="40"/>
      <c r="K199" s="42"/>
      <c r="L199" s="42"/>
      <c r="M199" s="43" t="str">
        <f t="shared" si="17"/>
        <v/>
      </c>
      <c r="N199" s="41" t="str">
        <f t="shared" si="18"/>
        <v/>
      </c>
      <c r="O199" s="41" t="str">
        <f t="shared" si="19"/>
        <v/>
      </c>
      <c r="P199" s="44" t="str">
        <f t="shared" si="20"/>
        <v/>
      </c>
      <c r="Q199" s="45">
        <f t="shared" si="21"/>
        <v>0</v>
      </c>
      <c r="R199" s="45">
        <f t="shared" si="22"/>
        <v>0</v>
      </c>
      <c r="S199" s="44">
        <f t="shared" si="23"/>
        <v>0</v>
      </c>
      <c r="T199" s="40"/>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row>
    <row r="200" spans="1:64" ht="14">
      <c r="A200" s="37"/>
      <c r="B200" s="38"/>
      <c r="C200" s="39">
        <f t="shared" si="16"/>
        <v>0</v>
      </c>
      <c r="D200" s="40"/>
      <c r="E200" s="40"/>
      <c r="F200" s="40"/>
      <c r="G200" s="40"/>
      <c r="H200" s="41"/>
      <c r="I200" s="42"/>
      <c r="J200" s="40"/>
      <c r="K200" s="42"/>
      <c r="L200" s="42"/>
      <c r="M200" s="43" t="str">
        <f t="shared" si="17"/>
        <v/>
      </c>
      <c r="N200" s="41" t="str">
        <f t="shared" si="18"/>
        <v/>
      </c>
      <c r="O200" s="41" t="str">
        <f t="shared" si="19"/>
        <v/>
      </c>
      <c r="P200" s="44" t="str">
        <f t="shared" si="20"/>
        <v/>
      </c>
      <c r="Q200" s="45">
        <f t="shared" si="21"/>
        <v>0</v>
      </c>
      <c r="R200" s="45">
        <f t="shared" si="22"/>
        <v>0</v>
      </c>
      <c r="S200" s="44">
        <f t="shared" si="23"/>
        <v>0</v>
      </c>
      <c r="T200" s="40"/>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row>
    <row r="201" spans="1:64" ht="14">
      <c r="A201" s="37"/>
      <c r="B201" s="38"/>
      <c r="C201" s="39">
        <f t="shared" si="16"/>
        <v>0</v>
      </c>
      <c r="D201" s="40"/>
      <c r="E201" s="40"/>
      <c r="F201" s="40"/>
      <c r="G201" s="40"/>
      <c r="H201" s="41"/>
      <c r="I201" s="42"/>
      <c r="J201" s="40"/>
      <c r="K201" s="42"/>
      <c r="L201" s="42"/>
      <c r="M201" s="43" t="str">
        <f t="shared" si="17"/>
        <v/>
      </c>
      <c r="N201" s="41" t="str">
        <f t="shared" si="18"/>
        <v/>
      </c>
      <c r="O201" s="41" t="str">
        <f t="shared" si="19"/>
        <v/>
      </c>
      <c r="P201" s="44" t="str">
        <f t="shared" si="20"/>
        <v/>
      </c>
      <c r="Q201" s="45">
        <f t="shared" si="21"/>
        <v>0</v>
      </c>
      <c r="R201" s="45">
        <f t="shared" si="22"/>
        <v>0</v>
      </c>
      <c r="S201" s="44">
        <f t="shared" si="23"/>
        <v>0</v>
      </c>
      <c r="T201" s="40"/>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row>
    <row r="202" spans="1:64" ht="14">
      <c r="A202" s="37"/>
      <c r="B202" s="38"/>
      <c r="C202" s="39">
        <f t="shared" ref="C202:C265" si="24">IF($B202&lt;&gt;"",VLOOKUP($B202,Matriz_INM,2,0),0)</f>
        <v>0</v>
      </c>
      <c r="D202" s="40"/>
      <c r="E202" s="40"/>
      <c r="F202" s="40"/>
      <c r="G202" s="40"/>
      <c r="H202" s="41"/>
      <c r="I202" s="42"/>
      <c r="J202" s="40"/>
      <c r="K202" s="42"/>
      <c r="L202" s="42"/>
      <c r="M202" s="43" t="str">
        <f t="shared" ref="M202:M265" si="25">IFERROR(VLOOKUP($B202,Matriz_INM,3,0),"")</f>
        <v/>
      </c>
      <c r="N202" s="41" t="str">
        <f t="shared" ref="N202:N265" si="26">IF(J202="EE",IF(OR(AND(OR(L202=1,L202=0),K202&gt;0,K202&lt;5),AND(OR(L202=1,L202=0),K202&gt;4,K202&lt;16),AND(L202=2,K202&gt;0,K202&lt;5)),"Simples",IF(OR(AND(OR(L202=1,L202=0),K202&gt;15),AND(L202=2,K202&gt;4,K202&lt;16),AND(L202&gt;2,K202&gt;0,K202&lt;5)),"Médio",IF(OR(AND(L202=2,K202&gt;15),AND(L202&gt;2,K202&gt;4,K202&lt;16),AND(L202&gt;2,K202&gt;15)),"Complexo",""))), IF(OR(J202="CE",J202="SE"),IF(OR(AND(OR(L202=1,L202=0),K202&gt;0,K202&lt;6),AND(OR(L202=1,L202=0),K202&gt;5,K202&lt;20),AND(L202&gt;1,L202&lt;4,K202&gt;0,K202&lt;6)),"Simples",IF(OR(AND(OR(L202=1,L202=0),K202&gt;19),AND(L202&gt;1,L202&lt;4,K202&gt;5,K202&lt;20),AND(L202&gt;3,K202&gt;0,K202&lt;6)),"Médio",IF(OR(AND(L202&gt;1,L202&lt;4,K202&gt;19),AND(L202&gt;3,K202&gt;5,K202&lt;20),AND(L202&gt;3,K202&gt;19)),"Complexo",""))),""))</f>
        <v/>
      </c>
      <c r="O202" s="41" t="str">
        <f t="shared" ref="O202:O265" si="27">IF(J202="ALI",IF(OR(AND(OR(L202=1,L202=0),K202&gt;0,K202&lt;20),AND(OR(L202=1,L202=0),K202&gt;19,K202&lt;51),AND(L202&gt;1,L202&lt;6,K202&gt;0,K202&lt;20)),"Simples",IF(OR(AND(OR(L202=1,L202=0),K202&gt;50),AND(L202&gt;1,L202&lt;6,K202&gt;19,K202&lt;51),AND(L202&gt;5,K202&gt;0,K202&lt;20)),"Médio",IF(OR(AND(L202&gt;1,L202&lt;6,K202&gt;50),AND(L202&gt;5,K202&gt;19,K202&lt;51),AND(L202&gt;5,K202&gt;50)),"Complexo",""))), IF(J202="AIE",IF(OR(AND(OR(L202=1, L202=0),K202&gt;0,K202&lt;20),AND(OR(L202=1, L202=0),K202&gt;19,K202&lt;51),AND(L202&gt;1,L202&lt;6,K202&gt;0,K202&lt;20)),"Simples",IF(OR(AND(OR(L202=1, L202=0),K202&gt;50),AND(L202&gt;1,L202&lt;6,K202&gt;19,K202&lt;51),AND(L202&gt;5,K202&gt;0,K202&lt;20)),"Médio",IF(OR(AND(L202&gt;1,L202&lt;6,K202&gt;50),AND(L202&gt;5,K202&gt;19,K202&lt;51),AND(L202&gt;5,K202&gt;50)),"Complexo",""))),""))</f>
        <v/>
      </c>
      <c r="P202" s="44" t="str">
        <f t="shared" ref="P202:P265" si="28">IF(N202="",O202,IF(O202="",N202,""))</f>
        <v/>
      </c>
      <c r="Q202" s="45">
        <f t="shared" ref="Q202:Q265" si="29">IF(AND(OR(J202="EE",J202="CE"),P202="Simples"),3, IF(AND(OR(J202="EE",J202="CE"),P202="Médio"),4, IF(AND(OR(J202="EE",J202="CE"),P202="Complexo"),6, IF(AND(J202="SE",P202="Simples"),4, IF(AND(J202="SE",P202="Médio"),5, IF(AND(J202="SE",P202="Complexo"),7,0))))))</f>
        <v>0</v>
      </c>
      <c r="R202" s="45">
        <f t="shared" ref="R202:R265" si="30">IF(AND(J202="ALI",O202="Simples"),7, IF(AND(J202="ALI",O202="Médio"),10, IF(AND(J202="ALI",O202="Complexo"),15, IF(AND(J202="AIE",O202="Simples"),5, IF(AND(J202="AIE",O202="Médio"),7, IF(AND(J202="AIE",O202="Complexo"),10,0))))))</f>
        <v>0</v>
      </c>
      <c r="S202" s="44">
        <f t="shared" ref="S202:S265" si="31">IF($M202="%",($Q202+$R202)*$C202,$C202*$I202)</f>
        <v>0</v>
      </c>
      <c r="T202" s="40"/>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row>
    <row r="203" spans="1:64" ht="14">
      <c r="A203" s="37"/>
      <c r="B203" s="38"/>
      <c r="C203" s="39">
        <f t="shared" si="24"/>
        <v>0</v>
      </c>
      <c r="D203" s="40"/>
      <c r="E203" s="40"/>
      <c r="F203" s="40"/>
      <c r="G203" s="40"/>
      <c r="H203" s="41"/>
      <c r="I203" s="42"/>
      <c r="J203" s="40"/>
      <c r="K203" s="42"/>
      <c r="L203" s="42"/>
      <c r="M203" s="43" t="str">
        <f t="shared" si="25"/>
        <v/>
      </c>
      <c r="N203" s="41" t="str">
        <f t="shared" si="26"/>
        <v/>
      </c>
      <c r="O203" s="41" t="str">
        <f t="shared" si="27"/>
        <v/>
      </c>
      <c r="P203" s="44" t="str">
        <f t="shared" si="28"/>
        <v/>
      </c>
      <c r="Q203" s="45">
        <f t="shared" si="29"/>
        <v>0</v>
      </c>
      <c r="R203" s="45">
        <f t="shared" si="30"/>
        <v>0</v>
      </c>
      <c r="S203" s="44">
        <f t="shared" si="31"/>
        <v>0</v>
      </c>
      <c r="T203" s="40"/>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row>
    <row r="204" spans="1:64" ht="14">
      <c r="A204" s="37"/>
      <c r="B204" s="38"/>
      <c r="C204" s="39">
        <f t="shared" si="24"/>
        <v>0</v>
      </c>
      <c r="D204" s="40"/>
      <c r="E204" s="40"/>
      <c r="F204" s="40"/>
      <c r="G204" s="40"/>
      <c r="H204" s="41"/>
      <c r="I204" s="42"/>
      <c r="J204" s="40"/>
      <c r="K204" s="42"/>
      <c r="L204" s="42"/>
      <c r="M204" s="43" t="str">
        <f t="shared" si="25"/>
        <v/>
      </c>
      <c r="N204" s="41" t="str">
        <f t="shared" si="26"/>
        <v/>
      </c>
      <c r="O204" s="41" t="str">
        <f t="shared" si="27"/>
        <v/>
      </c>
      <c r="P204" s="44" t="str">
        <f t="shared" si="28"/>
        <v/>
      </c>
      <c r="Q204" s="45">
        <f t="shared" si="29"/>
        <v>0</v>
      </c>
      <c r="R204" s="45">
        <f t="shared" si="30"/>
        <v>0</v>
      </c>
      <c r="S204" s="44">
        <f t="shared" si="31"/>
        <v>0</v>
      </c>
      <c r="T204" s="40"/>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row>
    <row r="205" spans="1:64" ht="14">
      <c r="A205" s="37"/>
      <c r="B205" s="38"/>
      <c r="C205" s="39">
        <f t="shared" si="24"/>
        <v>0</v>
      </c>
      <c r="D205" s="40"/>
      <c r="E205" s="40"/>
      <c r="F205" s="40"/>
      <c r="G205" s="40"/>
      <c r="H205" s="41"/>
      <c r="I205" s="42"/>
      <c r="J205" s="40"/>
      <c r="K205" s="42"/>
      <c r="L205" s="42"/>
      <c r="M205" s="43" t="str">
        <f t="shared" si="25"/>
        <v/>
      </c>
      <c r="N205" s="41" t="str">
        <f t="shared" si="26"/>
        <v/>
      </c>
      <c r="O205" s="41" t="str">
        <f t="shared" si="27"/>
        <v/>
      </c>
      <c r="P205" s="44" t="str">
        <f t="shared" si="28"/>
        <v/>
      </c>
      <c r="Q205" s="45">
        <f t="shared" si="29"/>
        <v>0</v>
      </c>
      <c r="R205" s="45">
        <f t="shared" si="30"/>
        <v>0</v>
      </c>
      <c r="S205" s="44">
        <f t="shared" si="31"/>
        <v>0</v>
      </c>
      <c r="T205" s="40"/>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row>
    <row r="206" spans="1:64" ht="14">
      <c r="A206" s="37"/>
      <c r="B206" s="38"/>
      <c r="C206" s="39">
        <f t="shared" si="24"/>
        <v>0</v>
      </c>
      <c r="D206" s="40"/>
      <c r="E206" s="40"/>
      <c r="F206" s="40"/>
      <c r="G206" s="40"/>
      <c r="H206" s="41"/>
      <c r="I206" s="42"/>
      <c r="J206" s="40"/>
      <c r="K206" s="42"/>
      <c r="L206" s="42"/>
      <c r="M206" s="43" t="str">
        <f t="shared" si="25"/>
        <v/>
      </c>
      <c r="N206" s="41" t="str">
        <f t="shared" si="26"/>
        <v/>
      </c>
      <c r="O206" s="41" t="str">
        <f t="shared" si="27"/>
        <v/>
      </c>
      <c r="P206" s="44" t="str">
        <f t="shared" si="28"/>
        <v/>
      </c>
      <c r="Q206" s="45">
        <f t="shared" si="29"/>
        <v>0</v>
      </c>
      <c r="R206" s="45">
        <f t="shared" si="30"/>
        <v>0</v>
      </c>
      <c r="S206" s="44">
        <f t="shared" si="31"/>
        <v>0</v>
      </c>
      <c r="T206" s="40"/>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row>
    <row r="207" spans="1:64" ht="14">
      <c r="A207" s="37"/>
      <c r="B207" s="38"/>
      <c r="C207" s="39">
        <f t="shared" si="24"/>
        <v>0</v>
      </c>
      <c r="D207" s="40"/>
      <c r="E207" s="40"/>
      <c r="F207" s="40"/>
      <c r="G207" s="40"/>
      <c r="H207" s="41"/>
      <c r="I207" s="42"/>
      <c r="J207" s="40"/>
      <c r="K207" s="42"/>
      <c r="L207" s="42"/>
      <c r="M207" s="43" t="str">
        <f t="shared" si="25"/>
        <v/>
      </c>
      <c r="N207" s="41" t="str">
        <f t="shared" si="26"/>
        <v/>
      </c>
      <c r="O207" s="41" t="str">
        <f t="shared" si="27"/>
        <v/>
      </c>
      <c r="P207" s="44" t="str">
        <f t="shared" si="28"/>
        <v/>
      </c>
      <c r="Q207" s="45">
        <f t="shared" si="29"/>
        <v>0</v>
      </c>
      <c r="R207" s="45">
        <f t="shared" si="30"/>
        <v>0</v>
      </c>
      <c r="S207" s="44">
        <f t="shared" si="31"/>
        <v>0</v>
      </c>
      <c r="T207" s="40"/>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row>
    <row r="208" spans="1:64" ht="14">
      <c r="A208" s="37"/>
      <c r="B208" s="38"/>
      <c r="C208" s="39">
        <f t="shared" si="24"/>
        <v>0</v>
      </c>
      <c r="D208" s="40"/>
      <c r="E208" s="40"/>
      <c r="F208" s="40"/>
      <c r="G208" s="40"/>
      <c r="H208" s="41"/>
      <c r="I208" s="42"/>
      <c r="J208" s="40"/>
      <c r="K208" s="42"/>
      <c r="L208" s="42"/>
      <c r="M208" s="43" t="str">
        <f t="shared" si="25"/>
        <v/>
      </c>
      <c r="N208" s="41" t="str">
        <f t="shared" si="26"/>
        <v/>
      </c>
      <c r="O208" s="41" t="str">
        <f t="shared" si="27"/>
        <v/>
      </c>
      <c r="P208" s="44" t="str">
        <f t="shared" si="28"/>
        <v/>
      </c>
      <c r="Q208" s="45">
        <f t="shared" si="29"/>
        <v>0</v>
      </c>
      <c r="R208" s="45">
        <f t="shared" si="30"/>
        <v>0</v>
      </c>
      <c r="S208" s="44">
        <f t="shared" si="31"/>
        <v>0</v>
      </c>
      <c r="T208" s="40"/>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row>
    <row r="209" spans="1:64" ht="14">
      <c r="A209" s="37"/>
      <c r="B209" s="38"/>
      <c r="C209" s="39">
        <f t="shared" si="24"/>
        <v>0</v>
      </c>
      <c r="D209" s="40"/>
      <c r="E209" s="40"/>
      <c r="F209" s="40"/>
      <c r="G209" s="40"/>
      <c r="H209" s="41"/>
      <c r="I209" s="42"/>
      <c r="J209" s="40"/>
      <c r="K209" s="42"/>
      <c r="L209" s="42"/>
      <c r="M209" s="43" t="str">
        <f t="shared" si="25"/>
        <v/>
      </c>
      <c r="N209" s="41" t="str">
        <f t="shared" si="26"/>
        <v/>
      </c>
      <c r="O209" s="41" t="str">
        <f t="shared" si="27"/>
        <v/>
      </c>
      <c r="P209" s="44" t="str">
        <f t="shared" si="28"/>
        <v/>
      </c>
      <c r="Q209" s="45">
        <f t="shared" si="29"/>
        <v>0</v>
      </c>
      <c r="R209" s="45">
        <f t="shared" si="30"/>
        <v>0</v>
      </c>
      <c r="S209" s="44">
        <f t="shared" si="31"/>
        <v>0</v>
      </c>
      <c r="T209" s="40"/>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row>
    <row r="210" spans="1:64" ht="14">
      <c r="A210" s="37"/>
      <c r="B210" s="38"/>
      <c r="C210" s="39">
        <f t="shared" si="24"/>
        <v>0</v>
      </c>
      <c r="D210" s="40"/>
      <c r="E210" s="40"/>
      <c r="F210" s="40"/>
      <c r="G210" s="40"/>
      <c r="H210" s="41"/>
      <c r="I210" s="42"/>
      <c r="J210" s="40"/>
      <c r="K210" s="42"/>
      <c r="L210" s="42"/>
      <c r="M210" s="43" t="str">
        <f t="shared" si="25"/>
        <v/>
      </c>
      <c r="N210" s="41" t="str">
        <f t="shared" si="26"/>
        <v/>
      </c>
      <c r="O210" s="41" t="str">
        <f t="shared" si="27"/>
        <v/>
      </c>
      <c r="P210" s="44" t="str">
        <f t="shared" si="28"/>
        <v/>
      </c>
      <c r="Q210" s="45">
        <f t="shared" si="29"/>
        <v>0</v>
      </c>
      <c r="R210" s="45">
        <f t="shared" si="30"/>
        <v>0</v>
      </c>
      <c r="S210" s="44">
        <f t="shared" si="31"/>
        <v>0</v>
      </c>
      <c r="T210" s="40"/>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row>
    <row r="211" spans="1:64" ht="14">
      <c r="A211" s="37"/>
      <c r="B211" s="38"/>
      <c r="C211" s="39">
        <f t="shared" si="24"/>
        <v>0</v>
      </c>
      <c r="D211" s="40"/>
      <c r="E211" s="40"/>
      <c r="F211" s="40"/>
      <c r="G211" s="40"/>
      <c r="H211" s="41"/>
      <c r="I211" s="42"/>
      <c r="J211" s="40"/>
      <c r="K211" s="42"/>
      <c r="L211" s="42"/>
      <c r="M211" s="43" t="str">
        <f t="shared" si="25"/>
        <v/>
      </c>
      <c r="N211" s="41" t="str">
        <f t="shared" si="26"/>
        <v/>
      </c>
      <c r="O211" s="41" t="str">
        <f t="shared" si="27"/>
        <v/>
      </c>
      <c r="P211" s="44" t="str">
        <f t="shared" si="28"/>
        <v/>
      </c>
      <c r="Q211" s="45">
        <f t="shared" si="29"/>
        <v>0</v>
      </c>
      <c r="R211" s="45">
        <f t="shared" si="30"/>
        <v>0</v>
      </c>
      <c r="S211" s="44">
        <f t="shared" si="31"/>
        <v>0</v>
      </c>
      <c r="T211" s="40"/>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row>
    <row r="212" spans="1:64" ht="14">
      <c r="A212" s="37"/>
      <c r="B212" s="38"/>
      <c r="C212" s="39">
        <f t="shared" si="24"/>
        <v>0</v>
      </c>
      <c r="D212" s="40"/>
      <c r="E212" s="40"/>
      <c r="F212" s="40"/>
      <c r="G212" s="40"/>
      <c r="H212" s="41"/>
      <c r="I212" s="42"/>
      <c r="J212" s="40"/>
      <c r="K212" s="42"/>
      <c r="L212" s="42"/>
      <c r="M212" s="43" t="str">
        <f t="shared" si="25"/>
        <v/>
      </c>
      <c r="N212" s="41" t="str">
        <f t="shared" si="26"/>
        <v/>
      </c>
      <c r="O212" s="41" t="str">
        <f t="shared" si="27"/>
        <v/>
      </c>
      <c r="P212" s="44" t="str">
        <f t="shared" si="28"/>
        <v/>
      </c>
      <c r="Q212" s="45">
        <f t="shared" si="29"/>
        <v>0</v>
      </c>
      <c r="R212" s="45">
        <f t="shared" si="30"/>
        <v>0</v>
      </c>
      <c r="S212" s="44">
        <f t="shared" si="31"/>
        <v>0</v>
      </c>
      <c r="T212" s="40"/>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row>
    <row r="213" spans="1:64" ht="14">
      <c r="A213" s="37"/>
      <c r="B213" s="38"/>
      <c r="C213" s="39">
        <f t="shared" si="24"/>
        <v>0</v>
      </c>
      <c r="D213" s="40"/>
      <c r="E213" s="40"/>
      <c r="F213" s="40"/>
      <c r="G213" s="40"/>
      <c r="H213" s="41"/>
      <c r="I213" s="42"/>
      <c r="J213" s="40"/>
      <c r="K213" s="42"/>
      <c r="L213" s="42"/>
      <c r="M213" s="43" t="str">
        <f t="shared" si="25"/>
        <v/>
      </c>
      <c r="N213" s="41" t="str">
        <f t="shared" si="26"/>
        <v/>
      </c>
      <c r="O213" s="41" t="str">
        <f t="shared" si="27"/>
        <v/>
      </c>
      <c r="P213" s="44" t="str">
        <f t="shared" si="28"/>
        <v/>
      </c>
      <c r="Q213" s="45">
        <f t="shared" si="29"/>
        <v>0</v>
      </c>
      <c r="R213" s="45">
        <f t="shared" si="30"/>
        <v>0</v>
      </c>
      <c r="S213" s="44">
        <f t="shared" si="31"/>
        <v>0</v>
      </c>
      <c r="T213" s="40"/>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row>
    <row r="214" spans="1:64" ht="14">
      <c r="A214" s="37"/>
      <c r="B214" s="38"/>
      <c r="C214" s="39">
        <f t="shared" si="24"/>
        <v>0</v>
      </c>
      <c r="D214" s="40"/>
      <c r="E214" s="40"/>
      <c r="F214" s="40"/>
      <c r="G214" s="40"/>
      <c r="H214" s="41"/>
      <c r="I214" s="42"/>
      <c r="J214" s="40"/>
      <c r="K214" s="42"/>
      <c r="L214" s="42"/>
      <c r="M214" s="43" t="str">
        <f t="shared" si="25"/>
        <v/>
      </c>
      <c r="N214" s="41" t="str">
        <f t="shared" si="26"/>
        <v/>
      </c>
      <c r="O214" s="41" t="str">
        <f t="shared" si="27"/>
        <v/>
      </c>
      <c r="P214" s="44" t="str">
        <f t="shared" si="28"/>
        <v/>
      </c>
      <c r="Q214" s="45">
        <f t="shared" si="29"/>
        <v>0</v>
      </c>
      <c r="R214" s="45">
        <f t="shared" si="30"/>
        <v>0</v>
      </c>
      <c r="S214" s="44">
        <f t="shared" si="31"/>
        <v>0</v>
      </c>
      <c r="T214" s="40"/>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row>
    <row r="215" spans="1:64" ht="14">
      <c r="A215" s="37"/>
      <c r="B215" s="38"/>
      <c r="C215" s="39">
        <f t="shared" si="24"/>
        <v>0</v>
      </c>
      <c r="D215" s="40"/>
      <c r="E215" s="40"/>
      <c r="F215" s="40"/>
      <c r="G215" s="40"/>
      <c r="H215" s="41"/>
      <c r="I215" s="42"/>
      <c r="J215" s="40"/>
      <c r="K215" s="42"/>
      <c r="L215" s="42"/>
      <c r="M215" s="43" t="str">
        <f t="shared" si="25"/>
        <v/>
      </c>
      <c r="N215" s="41" t="str">
        <f t="shared" si="26"/>
        <v/>
      </c>
      <c r="O215" s="41" t="str">
        <f t="shared" si="27"/>
        <v/>
      </c>
      <c r="P215" s="44" t="str">
        <f t="shared" si="28"/>
        <v/>
      </c>
      <c r="Q215" s="45">
        <f t="shared" si="29"/>
        <v>0</v>
      </c>
      <c r="R215" s="45">
        <f t="shared" si="30"/>
        <v>0</v>
      </c>
      <c r="S215" s="44">
        <f t="shared" si="31"/>
        <v>0</v>
      </c>
      <c r="T215" s="40"/>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row>
    <row r="216" spans="1:64" ht="14">
      <c r="A216" s="37"/>
      <c r="B216" s="38"/>
      <c r="C216" s="39">
        <f t="shared" si="24"/>
        <v>0</v>
      </c>
      <c r="D216" s="40"/>
      <c r="E216" s="40"/>
      <c r="F216" s="40"/>
      <c r="G216" s="40"/>
      <c r="H216" s="41"/>
      <c r="I216" s="42"/>
      <c r="J216" s="40"/>
      <c r="K216" s="42"/>
      <c r="L216" s="42"/>
      <c r="M216" s="43" t="str">
        <f t="shared" si="25"/>
        <v/>
      </c>
      <c r="N216" s="41" t="str">
        <f t="shared" si="26"/>
        <v/>
      </c>
      <c r="O216" s="41" t="str">
        <f t="shared" si="27"/>
        <v/>
      </c>
      <c r="P216" s="44" t="str">
        <f t="shared" si="28"/>
        <v/>
      </c>
      <c r="Q216" s="45">
        <f t="shared" si="29"/>
        <v>0</v>
      </c>
      <c r="R216" s="45">
        <f t="shared" si="30"/>
        <v>0</v>
      </c>
      <c r="S216" s="44">
        <f t="shared" si="31"/>
        <v>0</v>
      </c>
      <c r="T216" s="40"/>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row>
    <row r="217" spans="1:64" ht="14">
      <c r="A217" s="37"/>
      <c r="B217" s="38"/>
      <c r="C217" s="39">
        <f t="shared" si="24"/>
        <v>0</v>
      </c>
      <c r="D217" s="40"/>
      <c r="E217" s="40"/>
      <c r="F217" s="40"/>
      <c r="G217" s="40"/>
      <c r="H217" s="41"/>
      <c r="I217" s="42"/>
      <c r="J217" s="40"/>
      <c r="K217" s="42"/>
      <c r="L217" s="42"/>
      <c r="M217" s="43" t="str">
        <f t="shared" si="25"/>
        <v/>
      </c>
      <c r="N217" s="41" t="str">
        <f t="shared" si="26"/>
        <v/>
      </c>
      <c r="O217" s="41" t="str">
        <f t="shared" si="27"/>
        <v/>
      </c>
      <c r="P217" s="44" t="str">
        <f t="shared" si="28"/>
        <v/>
      </c>
      <c r="Q217" s="45">
        <f t="shared" si="29"/>
        <v>0</v>
      </c>
      <c r="R217" s="45">
        <f t="shared" si="30"/>
        <v>0</v>
      </c>
      <c r="S217" s="44">
        <f t="shared" si="31"/>
        <v>0</v>
      </c>
      <c r="T217" s="40"/>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row>
    <row r="218" spans="1:64" ht="14">
      <c r="A218" s="37"/>
      <c r="B218" s="38"/>
      <c r="C218" s="39">
        <f t="shared" si="24"/>
        <v>0</v>
      </c>
      <c r="D218" s="40"/>
      <c r="E218" s="40"/>
      <c r="F218" s="40"/>
      <c r="G218" s="40"/>
      <c r="H218" s="41"/>
      <c r="I218" s="42"/>
      <c r="J218" s="40"/>
      <c r="K218" s="42"/>
      <c r="L218" s="42"/>
      <c r="M218" s="43" t="str">
        <f t="shared" si="25"/>
        <v/>
      </c>
      <c r="N218" s="41" t="str">
        <f t="shared" si="26"/>
        <v/>
      </c>
      <c r="O218" s="41" t="str">
        <f t="shared" si="27"/>
        <v/>
      </c>
      <c r="P218" s="44" t="str">
        <f t="shared" si="28"/>
        <v/>
      </c>
      <c r="Q218" s="45">
        <f t="shared" si="29"/>
        <v>0</v>
      </c>
      <c r="R218" s="45">
        <f t="shared" si="30"/>
        <v>0</v>
      </c>
      <c r="S218" s="44">
        <f t="shared" si="31"/>
        <v>0</v>
      </c>
      <c r="T218" s="40"/>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row>
    <row r="219" spans="1:64" ht="14">
      <c r="A219" s="37"/>
      <c r="B219" s="38"/>
      <c r="C219" s="39">
        <f t="shared" si="24"/>
        <v>0</v>
      </c>
      <c r="D219" s="40"/>
      <c r="E219" s="40"/>
      <c r="F219" s="40"/>
      <c r="G219" s="40"/>
      <c r="H219" s="41"/>
      <c r="I219" s="42"/>
      <c r="J219" s="40"/>
      <c r="K219" s="42"/>
      <c r="L219" s="42"/>
      <c r="M219" s="43" t="str">
        <f t="shared" si="25"/>
        <v/>
      </c>
      <c r="N219" s="41" t="str">
        <f t="shared" si="26"/>
        <v/>
      </c>
      <c r="O219" s="41" t="str">
        <f t="shared" si="27"/>
        <v/>
      </c>
      <c r="P219" s="44" t="str">
        <f t="shared" si="28"/>
        <v/>
      </c>
      <c r="Q219" s="45">
        <f t="shared" si="29"/>
        <v>0</v>
      </c>
      <c r="R219" s="45">
        <f t="shared" si="30"/>
        <v>0</v>
      </c>
      <c r="S219" s="44">
        <f t="shared" si="31"/>
        <v>0</v>
      </c>
      <c r="T219" s="40"/>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row>
    <row r="220" spans="1:64" ht="14">
      <c r="A220" s="37"/>
      <c r="B220" s="38"/>
      <c r="C220" s="39">
        <f t="shared" si="24"/>
        <v>0</v>
      </c>
      <c r="D220" s="40"/>
      <c r="E220" s="40"/>
      <c r="F220" s="40"/>
      <c r="G220" s="40"/>
      <c r="H220" s="41"/>
      <c r="I220" s="42"/>
      <c r="J220" s="40"/>
      <c r="K220" s="42"/>
      <c r="L220" s="42"/>
      <c r="M220" s="43" t="str">
        <f t="shared" si="25"/>
        <v/>
      </c>
      <c r="N220" s="41" t="str">
        <f t="shared" si="26"/>
        <v/>
      </c>
      <c r="O220" s="41" t="str">
        <f t="shared" si="27"/>
        <v/>
      </c>
      <c r="P220" s="44" t="str">
        <f t="shared" si="28"/>
        <v/>
      </c>
      <c r="Q220" s="45">
        <f t="shared" si="29"/>
        <v>0</v>
      </c>
      <c r="R220" s="45">
        <f t="shared" si="30"/>
        <v>0</v>
      </c>
      <c r="S220" s="44">
        <f t="shared" si="31"/>
        <v>0</v>
      </c>
      <c r="T220" s="40"/>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row>
    <row r="221" spans="1:64" ht="14">
      <c r="A221" s="37"/>
      <c r="B221" s="38"/>
      <c r="C221" s="39">
        <f t="shared" si="24"/>
        <v>0</v>
      </c>
      <c r="D221" s="40"/>
      <c r="E221" s="40"/>
      <c r="F221" s="40"/>
      <c r="G221" s="40"/>
      <c r="H221" s="41"/>
      <c r="I221" s="42"/>
      <c r="J221" s="40"/>
      <c r="K221" s="42"/>
      <c r="L221" s="42"/>
      <c r="M221" s="43" t="str">
        <f t="shared" si="25"/>
        <v/>
      </c>
      <c r="N221" s="41" t="str">
        <f t="shared" si="26"/>
        <v/>
      </c>
      <c r="O221" s="41" t="str">
        <f t="shared" si="27"/>
        <v/>
      </c>
      <c r="P221" s="44" t="str">
        <f t="shared" si="28"/>
        <v/>
      </c>
      <c r="Q221" s="45">
        <f t="shared" si="29"/>
        <v>0</v>
      </c>
      <c r="R221" s="45">
        <f t="shared" si="30"/>
        <v>0</v>
      </c>
      <c r="S221" s="44">
        <f t="shared" si="31"/>
        <v>0</v>
      </c>
      <c r="T221" s="40"/>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row>
    <row r="222" spans="1:64" ht="14">
      <c r="A222" s="37"/>
      <c r="B222" s="38"/>
      <c r="C222" s="39">
        <f t="shared" si="24"/>
        <v>0</v>
      </c>
      <c r="D222" s="40"/>
      <c r="E222" s="40"/>
      <c r="F222" s="40"/>
      <c r="G222" s="40"/>
      <c r="H222" s="41"/>
      <c r="I222" s="42"/>
      <c r="J222" s="40"/>
      <c r="K222" s="42"/>
      <c r="L222" s="42"/>
      <c r="M222" s="43" t="str">
        <f t="shared" si="25"/>
        <v/>
      </c>
      <c r="N222" s="41" t="str">
        <f t="shared" si="26"/>
        <v/>
      </c>
      <c r="O222" s="41" t="str">
        <f t="shared" si="27"/>
        <v/>
      </c>
      <c r="P222" s="44" t="str">
        <f t="shared" si="28"/>
        <v/>
      </c>
      <c r="Q222" s="45">
        <f t="shared" si="29"/>
        <v>0</v>
      </c>
      <c r="R222" s="45">
        <f t="shared" si="30"/>
        <v>0</v>
      </c>
      <c r="S222" s="44">
        <f t="shared" si="31"/>
        <v>0</v>
      </c>
      <c r="T222" s="40"/>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row>
    <row r="223" spans="1:64" ht="14">
      <c r="A223" s="37"/>
      <c r="B223" s="38"/>
      <c r="C223" s="39">
        <f t="shared" si="24"/>
        <v>0</v>
      </c>
      <c r="D223" s="40"/>
      <c r="E223" s="40"/>
      <c r="F223" s="40"/>
      <c r="G223" s="40"/>
      <c r="H223" s="41"/>
      <c r="I223" s="42"/>
      <c r="J223" s="40"/>
      <c r="K223" s="42"/>
      <c r="L223" s="42"/>
      <c r="M223" s="43" t="str">
        <f t="shared" si="25"/>
        <v/>
      </c>
      <c r="N223" s="41" t="str">
        <f t="shared" si="26"/>
        <v/>
      </c>
      <c r="O223" s="41" t="str">
        <f t="shared" si="27"/>
        <v/>
      </c>
      <c r="P223" s="44" t="str">
        <f t="shared" si="28"/>
        <v/>
      </c>
      <c r="Q223" s="45">
        <f t="shared" si="29"/>
        <v>0</v>
      </c>
      <c r="R223" s="45">
        <f t="shared" si="30"/>
        <v>0</v>
      </c>
      <c r="S223" s="44">
        <f t="shared" si="31"/>
        <v>0</v>
      </c>
      <c r="T223" s="40"/>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row>
    <row r="224" spans="1:64" ht="14">
      <c r="A224" s="37"/>
      <c r="B224" s="38"/>
      <c r="C224" s="39">
        <f t="shared" si="24"/>
        <v>0</v>
      </c>
      <c r="D224" s="40"/>
      <c r="E224" s="40"/>
      <c r="F224" s="40"/>
      <c r="G224" s="40"/>
      <c r="H224" s="41"/>
      <c r="I224" s="42"/>
      <c r="J224" s="40"/>
      <c r="K224" s="42"/>
      <c r="L224" s="42"/>
      <c r="M224" s="43" t="str">
        <f t="shared" si="25"/>
        <v/>
      </c>
      <c r="N224" s="41" t="str">
        <f t="shared" si="26"/>
        <v/>
      </c>
      <c r="O224" s="41" t="str">
        <f t="shared" si="27"/>
        <v/>
      </c>
      <c r="P224" s="44" t="str">
        <f t="shared" si="28"/>
        <v/>
      </c>
      <c r="Q224" s="45">
        <f t="shared" si="29"/>
        <v>0</v>
      </c>
      <c r="R224" s="45">
        <f t="shared" si="30"/>
        <v>0</v>
      </c>
      <c r="S224" s="44">
        <f t="shared" si="31"/>
        <v>0</v>
      </c>
      <c r="T224" s="40"/>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row>
    <row r="225" spans="1:64" ht="14">
      <c r="A225" s="37"/>
      <c r="B225" s="38"/>
      <c r="C225" s="39">
        <f t="shared" si="24"/>
        <v>0</v>
      </c>
      <c r="D225" s="40"/>
      <c r="E225" s="40"/>
      <c r="F225" s="40"/>
      <c r="G225" s="40"/>
      <c r="H225" s="41"/>
      <c r="I225" s="42"/>
      <c r="J225" s="40"/>
      <c r="K225" s="42"/>
      <c r="L225" s="42"/>
      <c r="M225" s="43" t="str">
        <f t="shared" si="25"/>
        <v/>
      </c>
      <c r="N225" s="41" t="str">
        <f t="shared" si="26"/>
        <v/>
      </c>
      <c r="O225" s="41" t="str">
        <f t="shared" si="27"/>
        <v/>
      </c>
      <c r="P225" s="44" t="str">
        <f t="shared" si="28"/>
        <v/>
      </c>
      <c r="Q225" s="45">
        <f t="shared" si="29"/>
        <v>0</v>
      </c>
      <c r="R225" s="45">
        <f t="shared" si="30"/>
        <v>0</v>
      </c>
      <c r="S225" s="44">
        <f t="shared" si="31"/>
        <v>0</v>
      </c>
      <c r="T225" s="40"/>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row>
    <row r="226" spans="1:64" ht="14">
      <c r="A226" s="37"/>
      <c r="B226" s="38"/>
      <c r="C226" s="39">
        <f t="shared" si="24"/>
        <v>0</v>
      </c>
      <c r="D226" s="40"/>
      <c r="E226" s="40"/>
      <c r="F226" s="40"/>
      <c r="G226" s="40"/>
      <c r="H226" s="41"/>
      <c r="I226" s="42"/>
      <c r="J226" s="40"/>
      <c r="K226" s="42"/>
      <c r="L226" s="42"/>
      <c r="M226" s="43" t="str">
        <f t="shared" si="25"/>
        <v/>
      </c>
      <c r="N226" s="41" t="str">
        <f t="shared" si="26"/>
        <v/>
      </c>
      <c r="O226" s="41" t="str">
        <f t="shared" si="27"/>
        <v/>
      </c>
      <c r="P226" s="44" t="str">
        <f t="shared" si="28"/>
        <v/>
      </c>
      <c r="Q226" s="45">
        <f t="shared" si="29"/>
        <v>0</v>
      </c>
      <c r="R226" s="45">
        <f t="shared" si="30"/>
        <v>0</v>
      </c>
      <c r="S226" s="44">
        <f t="shared" si="31"/>
        <v>0</v>
      </c>
      <c r="T226" s="40"/>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row>
    <row r="227" spans="1:64" ht="14">
      <c r="A227" s="37"/>
      <c r="B227" s="38"/>
      <c r="C227" s="39">
        <f t="shared" si="24"/>
        <v>0</v>
      </c>
      <c r="D227" s="40"/>
      <c r="E227" s="40"/>
      <c r="F227" s="40"/>
      <c r="G227" s="40"/>
      <c r="H227" s="41"/>
      <c r="I227" s="42"/>
      <c r="J227" s="40"/>
      <c r="K227" s="42"/>
      <c r="L227" s="42"/>
      <c r="M227" s="43" t="str">
        <f t="shared" si="25"/>
        <v/>
      </c>
      <c r="N227" s="41" t="str">
        <f t="shared" si="26"/>
        <v/>
      </c>
      <c r="O227" s="41" t="str">
        <f t="shared" si="27"/>
        <v/>
      </c>
      <c r="P227" s="44" t="str">
        <f t="shared" si="28"/>
        <v/>
      </c>
      <c r="Q227" s="45">
        <f t="shared" si="29"/>
        <v>0</v>
      </c>
      <c r="R227" s="45">
        <f t="shared" si="30"/>
        <v>0</v>
      </c>
      <c r="S227" s="44">
        <f t="shared" si="31"/>
        <v>0</v>
      </c>
      <c r="T227" s="40"/>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row>
    <row r="228" spans="1:64" ht="14">
      <c r="A228" s="37"/>
      <c r="B228" s="38"/>
      <c r="C228" s="39">
        <f t="shared" si="24"/>
        <v>0</v>
      </c>
      <c r="D228" s="40"/>
      <c r="E228" s="40"/>
      <c r="F228" s="40"/>
      <c r="G228" s="40"/>
      <c r="H228" s="41"/>
      <c r="I228" s="42"/>
      <c r="J228" s="40"/>
      <c r="K228" s="42"/>
      <c r="L228" s="42"/>
      <c r="M228" s="43" t="str">
        <f t="shared" si="25"/>
        <v/>
      </c>
      <c r="N228" s="41" t="str">
        <f t="shared" si="26"/>
        <v/>
      </c>
      <c r="O228" s="41" t="str">
        <f t="shared" si="27"/>
        <v/>
      </c>
      <c r="P228" s="44" t="str">
        <f t="shared" si="28"/>
        <v/>
      </c>
      <c r="Q228" s="45">
        <f t="shared" si="29"/>
        <v>0</v>
      </c>
      <c r="R228" s="45">
        <f t="shared" si="30"/>
        <v>0</v>
      </c>
      <c r="S228" s="44">
        <f t="shared" si="31"/>
        <v>0</v>
      </c>
      <c r="T228" s="40"/>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row>
    <row r="229" spans="1:64" ht="14">
      <c r="A229" s="37"/>
      <c r="B229" s="38"/>
      <c r="C229" s="39">
        <f t="shared" si="24"/>
        <v>0</v>
      </c>
      <c r="D229" s="40"/>
      <c r="E229" s="40"/>
      <c r="F229" s="40"/>
      <c r="G229" s="40"/>
      <c r="H229" s="41"/>
      <c r="I229" s="42"/>
      <c r="J229" s="40"/>
      <c r="K229" s="42"/>
      <c r="L229" s="42"/>
      <c r="M229" s="43" t="str">
        <f t="shared" si="25"/>
        <v/>
      </c>
      <c r="N229" s="41" t="str">
        <f t="shared" si="26"/>
        <v/>
      </c>
      <c r="O229" s="41" t="str">
        <f t="shared" si="27"/>
        <v/>
      </c>
      <c r="P229" s="44" t="str">
        <f t="shared" si="28"/>
        <v/>
      </c>
      <c r="Q229" s="45">
        <f t="shared" si="29"/>
        <v>0</v>
      </c>
      <c r="R229" s="45">
        <f t="shared" si="30"/>
        <v>0</v>
      </c>
      <c r="S229" s="44">
        <f t="shared" si="31"/>
        <v>0</v>
      </c>
      <c r="T229" s="40"/>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row>
    <row r="230" spans="1:64" ht="14">
      <c r="A230" s="37"/>
      <c r="B230" s="38"/>
      <c r="C230" s="39">
        <f t="shared" si="24"/>
        <v>0</v>
      </c>
      <c r="D230" s="40"/>
      <c r="E230" s="40"/>
      <c r="F230" s="40"/>
      <c r="G230" s="40"/>
      <c r="H230" s="41"/>
      <c r="I230" s="42"/>
      <c r="J230" s="40"/>
      <c r="K230" s="42"/>
      <c r="L230" s="42"/>
      <c r="M230" s="43" t="str">
        <f t="shared" si="25"/>
        <v/>
      </c>
      <c r="N230" s="41" t="str">
        <f t="shared" si="26"/>
        <v/>
      </c>
      <c r="O230" s="41" t="str">
        <f t="shared" si="27"/>
        <v/>
      </c>
      <c r="P230" s="44" t="str">
        <f t="shared" si="28"/>
        <v/>
      </c>
      <c r="Q230" s="45">
        <f t="shared" si="29"/>
        <v>0</v>
      </c>
      <c r="R230" s="45">
        <f t="shared" si="30"/>
        <v>0</v>
      </c>
      <c r="S230" s="44">
        <f t="shared" si="31"/>
        <v>0</v>
      </c>
      <c r="T230" s="40"/>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row>
    <row r="231" spans="1:64" ht="14">
      <c r="A231" s="37"/>
      <c r="B231" s="38"/>
      <c r="C231" s="39">
        <f t="shared" si="24"/>
        <v>0</v>
      </c>
      <c r="D231" s="40"/>
      <c r="E231" s="40"/>
      <c r="F231" s="40"/>
      <c r="G231" s="40"/>
      <c r="H231" s="41"/>
      <c r="I231" s="42"/>
      <c r="J231" s="40"/>
      <c r="K231" s="42"/>
      <c r="L231" s="42"/>
      <c r="M231" s="43" t="str">
        <f t="shared" si="25"/>
        <v/>
      </c>
      <c r="N231" s="41" t="str">
        <f t="shared" si="26"/>
        <v/>
      </c>
      <c r="O231" s="41" t="str">
        <f t="shared" si="27"/>
        <v/>
      </c>
      <c r="P231" s="44" t="str">
        <f t="shared" si="28"/>
        <v/>
      </c>
      <c r="Q231" s="45">
        <f t="shared" si="29"/>
        <v>0</v>
      </c>
      <c r="R231" s="45">
        <f t="shared" si="30"/>
        <v>0</v>
      </c>
      <c r="S231" s="44">
        <f t="shared" si="31"/>
        <v>0</v>
      </c>
      <c r="T231" s="40"/>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row>
    <row r="232" spans="1:64" ht="14">
      <c r="A232" s="37"/>
      <c r="B232" s="38"/>
      <c r="C232" s="39">
        <f t="shared" si="24"/>
        <v>0</v>
      </c>
      <c r="D232" s="40"/>
      <c r="E232" s="40"/>
      <c r="F232" s="40"/>
      <c r="G232" s="40"/>
      <c r="H232" s="41"/>
      <c r="I232" s="42"/>
      <c r="J232" s="40"/>
      <c r="K232" s="42"/>
      <c r="L232" s="42"/>
      <c r="M232" s="43" t="str">
        <f t="shared" si="25"/>
        <v/>
      </c>
      <c r="N232" s="41" t="str">
        <f t="shared" si="26"/>
        <v/>
      </c>
      <c r="O232" s="41" t="str">
        <f t="shared" si="27"/>
        <v/>
      </c>
      <c r="P232" s="44" t="str">
        <f t="shared" si="28"/>
        <v/>
      </c>
      <c r="Q232" s="45">
        <f t="shared" si="29"/>
        <v>0</v>
      </c>
      <c r="R232" s="45">
        <f t="shared" si="30"/>
        <v>0</v>
      </c>
      <c r="S232" s="44">
        <f t="shared" si="31"/>
        <v>0</v>
      </c>
      <c r="T232" s="40"/>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row>
    <row r="233" spans="1:64" ht="14">
      <c r="A233" s="37"/>
      <c r="B233" s="38"/>
      <c r="C233" s="39">
        <f t="shared" si="24"/>
        <v>0</v>
      </c>
      <c r="D233" s="40"/>
      <c r="E233" s="40"/>
      <c r="F233" s="40"/>
      <c r="G233" s="40"/>
      <c r="H233" s="41"/>
      <c r="I233" s="42"/>
      <c r="J233" s="40"/>
      <c r="K233" s="42"/>
      <c r="L233" s="42"/>
      <c r="M233" s="43" t="str">
        <f t="shared" si="25"/>
        <v/>
      </c>
      <c r="N233" s="41" t="str">
        <f t="shared" si="26"/>
        <v/>
      </c>
      <c r="O233" s="41" t="str">
        <f t="shared" si="27"/>
        <v/>
      </c>
      <c r="P233" s="44" t="str">
        <f t="shared" si="28"/>
        <v/>
      </c>
      <c r="Q233" s="45">
        <f t="shared" si="29"/>
        <v>0</v>
      </c>
      <c r="R233" s="45">
        <f t="shared" si="30"/>
        <v>0</v>
      </c>
      <c r="S233" s="44">
        <f t="shared" si="31"/>
        <v>0</v>
      </c>
      <c r="T233" s="40"/>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row>
    <row r="234" spans="1:64" ht="14">
      <c r="A234" s="37"/>
      <c r="B234" s="38"/>
      <c r="C234" s="39">
        <f t="shared" si="24"/>
        <v>0</v>
      </c>
      <c r="D234" s="40"/>
      <c r="E234" s="40"/>
      <c r="F234" s="40"/>
      <c r="G234" s="40"/>
      <c r="H234" s="41"/>
      <c r="I234" s="42"/>
      <c r="J234" s="40"/>
      <c r="K234" s="42"/>
      <c r="L234" s="42"/>
      <c r="M234" s="43" t="str">
        <f t="shared" si="25"/>
        <v/>
      </c>
      <c r="N234" s="41" t="str">
        <f t="shared" si="26"/>
        <v/>
      </c>
      <c r="O234" s="41" t="str">
        <f t="shared" si="27"/>
        <v/>
      </c>
      <c r="P234" s="44" t="str">
        <f t="shared" si="28"/>
        <v/>
      </c>
      <c r="Q234" s="45">
        <f t="shared" si="29"/>
        <v>0</v>
      </c>
      <c r="R234" s="45">
        <f t="shared" si="30"/>
        <v>0</v>
      </c>
      <c r="S234" s="44">
        <f t="shared" si="31"/>
        <v>0</v>
      </c>
      <c r="T234" s="40"/>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row>
    <row r="235" spans="1:64" ht="14">
      <c r="A235" s="37"/>
      <c r="B235" s="38"/>
      <c r="C235" s="39">
        <f t="shared" si="24"/>
        <v>0</v>
      </c>
      <c r="D235" s="40"/>
      <c r="E235" s="40"/>
      <c r="F235" s="40"/>
      <c r="G235" s="40"/>
      <c r="H235" s="41"/>
      <c r="I235" s="42"/>
      <c r="J235" s="40"/>
      <c r="K235" s="42"/>
      <c r="L235" s="42"/>
      <c r="M235" s="43" t="str">
        <f t="shared" si="25"/>
        <v/>
      </c>
      <c r="N235" s="41" t="str">
        <f t="shared" si="26"/>
        <v/>
      </c>
      <c r="O235" s="41" t="str">
        <f t="shared" si="27"/>
        <v/>
      </c>
      <c r="P235" s="44" t="str">
        <f t="shared" si="28"/>
        <v/>
      </c>
      <c r="Q235" s="45">
        <f t="shared" si="29"/>
        <v>0</v>
      </c>
      <c r="R235" s="45">
        <f t="shared" si="30"/>
        <v>0</v>
      </c>
      <c r="S235" s="44">
        <f t="shared" si="31"/>
        <v>0</v>
      </c>
      <c r="T235" s="40"/>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row>
    <row r="236" spans="1:64" ht="14">
      <c r="A236" s="37"/>
      <c r="B236" s="38"/>
      <c r="C236" s="39">
        <f t="shared" si="24"/>
        <v>0</v>
      </c>
      <c r="D236" s="40"/>
      <c r="E236" s="40"/>
      <c r="F236" s="40"/>
      <c r="G236" s="40"/>
      <c r="H236" s="41"/>
      <c r="I236" s="42"/>
      <c r="J236" s="40"/>
      <c r="K236" s="42"/>
      <c r="L236" s="42"/>
      <c r="M236" s="43" t="str">
        <f t="shared" si="25"/>
        <v/>
      </c>
      <c r="N236" s="41" t="str">
        <f t="shared" si="26"/>
        <v/>
      </c>
      <c r="O236" s="41" t="str">
        <f t="shared" si="27"/>
        <v/>
      </c>
      <c r="P236" s="44" t="str">
        <f t="shared" si="28"/>
        <v/>
      </c>
      <c r="Q236" s="45">
        <f t="shared" si="29"/>
        <v>0</v>
      </c>
      <c r="R236" s="45">
        <f t="shared" si="30"/>
        <v>0</v>
      </c>
      <c r="S236" s="44">
        <f t="shared" si="31"/>
        <v>0</v>
      </c>
      <c r="T236" s="40"/>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row>
    <row r="237" spans="1:64" ht="14">
      <c r="A237" s="37"/>
      <c r="B237" s="38"/>
      <c r="C237" s="39">
        <f t="shared" si="24"/>
        <v>0</v>
      </c>
      <c r="D237" s="40"/>
      <c r="E237" s="40"/>
      <c r="F237" s="40"/>
      <c r="G237" s="40"/>
      <c r="H237" s="41"/>
      <c r="I237" s="42"/>
      <c r="J237" s="40"/>
      <c r="K237" s="42"/>
      <c r="L237" s="42"/>
      <c r="M237" s="43" t="str">
        <f t="shared" si="25"/>
        <v/>
      </c>
      <c r="N237" s="41" t="str">
        <f t="shared" si="26"/>
        <v/>
      </c>
      <c r="O237" s="41" t="str">
        <f t="shared" si="27"/>
        <v/>
      </c>
      <c r="P237" s="44" t="str">
        <f t="shared" si="28"/>
        <v/>
      </c>
      <c r="Q237" s="45">
        <f t="shared" si="29"/>
        <v>0</v>
      </c>
      <c r="R237" s="45">
        <f t="shared" si="30"/>
        <v>0</v>
      </c>
      <c r="S237" s="44">
        <f t="shared" si="31"/>
        <v>0</v>
      </c>
      <c r="T237" s="40"/>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row>
    <row r="238" spans="1:64" ht="14">
      <c r="A238" s="37"/>
      <c r="B238" s="38"/>
      <c r="C238" s="39">
        <f t="shared" si="24"/>
        <v>0</v>
      </c>
      <c r="D238" s="40"/>
      <c r="E238" s="40"/>
      <c r="F238" s="40"/>
      <c r="G238" s="40"/>
      <c r="H238" s="41"/>
      <c r="I238" s="42"/>
      <c r="J238" s="40"/>
      <c r="K238" s="42"/>
      <c r="L238" s="42"/>
      <c r="M238" s="43" t="str">
        <f t="shared" si="25"/>
        <v/>
      </c>
      <c r="N238" s="41" t="str">
        <f t="shared" si="26"/>
        <v/>
      </c>
      <c r="O238" s="41" t="str">
        <f t="shared" si="27"/>
        <v/>
      </c>
      <c r="P238" s="44" t="str">
        <f t="shared" si="28"/>
        <v/>
      </c>
      <c r="Q238" s="45">
        <f t="shared" si="29"/>
        <v>0</v>
      </c>
      <c r="R238" s="45">
        <f t="shared" si="30"/>
        <v>0</v>
      </c>
      <c r="S238" s="44">
        <f t="shared" si="31"/>
        <v>0</v>
      </c>
      <c r="T238" s="40"/>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row>
    <row r="239" spans="1:64" ht="14">
      <c r="A239" s="37"/>
      <c r="B239" s="38"/>
      <c r="C239" s="39">
        <f t="shared" si="24"/>
        <v>0</v>
      </c>
      <c r="D239" s="40"/>
      <c r="E239" s="40"/>
      <c r="F239" s="40"/>
      <c r="G239" s="40"/>
      <c r="H239" s="41"/>
      <c r="I239" s="42"/>
      <c r="J239" s="40"/>
      <c r="K239" s="42"/>
      <c r="L239" s="42"/>
      <c r="M239" s="43" t="str">
        <f t="shared" si="25"/>
        <v/>
      </c>
      <c r="N239" s="41" t="str">
        <f t="shared" si="26"/>
        <v/>
      </c>
      <c r="O239" s="41" t="str">
        <f t="shared" si="27"/>
        <v/>
      </c>
      <c r="P239" s="44" t="str">
        <f t="shared" si="28"/>
        <v/>
      </c>
      <c r="Q239" s="45">
        <f t="shared" si="29"/>
        <v>0</v>
      </c>
      <c r="R239" s="45">
        <f t="shared" si="30"/>
        <v>0</v>
      </c>
      <c r="S239" s="44">
        <f t="shared" si="31"/>
        <v>0</v>
      </c>
      <c r="T239" s="40"/>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row>
    <row r="240" spans="1:64" ht="14">
      <c r="A240" s="37"/>
      <c r="B240" s="38"/>
      <c r="C240" s="39">
        <f t="shared" si="24"/>
        <v>0</v>
      </c>
      <c r="D240" s="40"/>
      <c r="E240" s="40"/>
      <c r="F240" s="40"/>
      <c r="G240" s="40"/>
      <c r="H240" s="41"/>
      <c r="I240" s="42"/>
      <c r="J240" s="40"/>
      <c r="K240" s="42"/>
      <c r="L240" s="42"/>
      <c r="M240" s="43" t="str">
        <f t="shared" si="25"/>
        <v/>
      </c>
      <c r="N240" s="41" t="str">
        <f t="shared" si="26"/>
        <v/>
      </c>
      <c r="O240" s="41" t="str">
        <f t="shared" si="27"/>
        <v/>
      </c>
      <c r="P240" s="44" t="str">
        <f t="shared" si="28"/>
        <v/>
      </c>
      <c r="Q240" s="45">
        <f t="shared" si="29"/>
        <v>0</v>
      </c>
      <c r="R240" s="45">
        <f t="shared" si="30"/>
        <v>0</v>
      </c>
      <c r="S240" s="44">
        <f t="shared" si="31"/>
        <v>0</v>
      </c>
      <c r="T240" s="40"/>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row>
    <row r="241" spans="1:64" ht="14">
      <c r="A241" s="37"/>
      <c r="B241" s="38"/>
      <c r="C241" s="39">
        <f t="shared" si="24"/>
        <v>0</v>
      </c>
      <c r="D241" s="40"/>
      <c r="E241" s="40"/>
      <c r="F241" s="40"/>
      <c r="G241" s="40"/>
      <c r="H241" s="41"/>
      <c r="I241" s="42"/>
      <c r="J241" s="40"/>
      <c r="K241" s="42"/>
      <c r="L241" s="42"/>
      <c r="M241" s="43" t="str">
        <f t="shared" si="25"/>
        <v/>
      </c>
      <c r="N241" s="41" t="str">
        <f t="shared" si="26"/>
        <v/>
      </c>
      <c r="O241" s="41" t="str">
        <f t="shared" si="27"/>
        <v/>
      </c>
      <c r="P241" s="44" t="str">
        <f t="shared" si="28"/>
        <v/>
      </c>
      <c r="Q241" s="45">
        <f t="shared" si="29"/>
        <v>0</v>
      </c>
      <c r="R241" s="45">
        <f t="shared" si="30"/>
        <v>0</v>
      </c>
      <c r="S241" s="44">
        <f t="shared" si="31"/>
        <v>0</v>
      </c>
      <c r="T241" s="40"/>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row>
    <row r="242" spans="1:64" ht="14">
      <c r="A242" s="37"/>
      <c r="B242" s="38"/>
      <c r="C242" s="39">
        <f t="shared" si="24"/>
        <v>0</v>
      </c>
      <c r="D242" s="40"/>
      <c r="E242" s="40"/>
      <c r="F242" s="40"/>
      <c r="G242" s="40"/>
      <c r="H242" s="41"/>
      <c r="I242" s="42"/>
      <c r="J242" s="40"/>
      <c r="K242" s="42"/>
      <c r="L242" s="42"/>
      <c r="M242" s="43" t="str">
        <f t="shared" si="25"/>
        <v/>
      </c>
      <c r="N242" s="41" t="str">
        <f t="shared" si="26"/>
        <v/>
      </c>
      <c r="O242" s="41" t="str">
        <f t="shared" si="27"/>
        <v/>
      </c>
      <c r="P242" s="44" t="str">
        <f t="shared" si="28"/>
        <v/>
      </c>
      <c r="Q242" s="45">
        <f t="shared" si="29"/>
        <v>0</v>
      </c>
      <c r="R242" s="45">
        <f t="shared" si="30"/>
        <v>0</v>
      </c>
      <c r="S242" s="44">
        <f t="shared" si="31"/>
        <v>0</v>
      </c>
      <c r="T242" s="40"/>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row>
    <row r="243" spans="1:64" ht="14">
      <c r="A243" s="37"/>
      <c r="B243" s="38"/>
      <c r="C243" s="39">
        <f t="shared" si="24"/>
        <v>0</v>
      </c>
      <c r="D243" s="40"/>
      <c r="E243" s="40"/>
      <c r="F243" s="40"/>
      <c r="G243" s="40"/>
      <c r="H243" s="41"/>
      <c r="I243" s="42"/>
      <c r="J243" s="40"/>
      <c r="K243" s="42"/>
      <c r="L243" s="42"/>
      <c r="M243" s="43" t="str">
        <f t="shared" si="25"/>
        <v/>
      </c>
      <c r="N243" s="41" t="str">
        <f t="shared" si="26"/>
        <v/>
      </c>
      <c r="O243" s="41" t="str">
        <f t="shared" si="27"/>
        <v/>
      </c>
      <c r="P243" s="44" t="str">
        <f t="shared" si="28"/>
        <v/>
      </c>
      <c r="Q243" s="45">
        <f t="shared" si="29"/>
        <v>0</v>
      </c>
      <c r="R243" s="45">
        <f t="shared" si="30"/>
        <v>0</v>
      </c>
      <c r="S243" s="44">
        <f t="shared" si="31"/>
        <v>0</v>
      </c>
      <c r="T243" s="40"/>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row>
    <row r="244" spans="1:64" ht="14">
      <c r="A244" s="37"/>
      <c r="B244" s="38"/>
      <c r="C244" s="39">
        <f t="shared" si="24"/>
        <v>0</v>
      </c>
      <c r="D244" s="40"/>
      <c r="E244" s="40"/>
      <c r="F244" s="40"/>
      <c r="G244" s="40"/>
      <c r="H244" s="41"/>
      <c r="I244" s="42"/>
      <c r="J244" s="40"/>
      <c r="K244" s="42"/>
      <c r="L244" s="42"/>
      <c r="M244" s="43" t="str">
        <f t="shared" si="25"/>
        <v/>
      </c>
      <c r="N244" s="41" t="str">
        <f t="shared" si="26"/>
        <v/>
      </c>
      <c r="O244" s="41" t="str">
        <f t="shared" si="27"/>
        <v/>
      </c>
      <c r="P244" s="44" t="str">
        <f t="shared" si="28"/>
        <v/>
      </c>
      <c r="Q244" s="45">
        <f t="shared" si="29"/>
        <v>0</v>
      </c>
      <c r="R244" s="45">
        <f t="shared" si="30"/>
        <v>0</v>
      </c>
      <c r="S244" s="44">
        <f t="shared" si="31"/>
        <v>0</v>
      </c>
      <c r="T244" s="40"/>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row>
    <row r="245" spans="1:64" ht="14">
      <c r="A245" s="37"/>
      <c r="B245" s="38"/>
      <c r="C245" s="39">
        <f t="shared" si="24"/>
        <v>0</v>
      </c>
      <c r="D245" s="40"/>
      <c r="E245" s="40"/>
      <c r="F245" s="40"/>
      <c r="G245" s="40"/>
      <c r="H245" s="41"/>
      <c r="I245" s="42"/>
      <c r="J245" s="40"/>
      <c r="K245" s="42"/>
      <c r="L245" s="42"/>
      <c r="M245" s="43" t="str">
        <f t="shared" si="25"/>
        <v/>
      </c>
      <c r="N245" s="41" t="str">
        <f t="shared" si="26"/>
        <v/>
      </c>
      <c r="O245" s="41" t="str">
        <f t="shared" si="27"/>
        <v/>
      </c>
      <c r="P245" s="44" t="str">
        <f t="shared" si="28"/>
        <v/>
      </c>
      <c r="Q245" s="45">
        <f t="shared" si="29"/>
        <v>0</v>
      </c>
      <c r="R245" s="45">
        <f t="shared" si="30"/>
        <v>0</v>
      </c>
      <c r="S245" s="44">
        <f t="shared" si="31"/>
        <v>0</v>
      </c>
      <c r="T245" s="40"/>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row>
    <row r="246" spans="1:64" ht="14">
      <c r="A246" s="37"/>
      <c r="B246" s="38"/>
      <c r="C246" s="39">
        <f t="shared" si="24"/>
        <v>0</v>
      </c>
      <c r="D246" s="40"/>
      <c r="E246" s="40"/>
      <c r="F246" s="40"/>
      <c r="G246" s="40"/>
      <c r="H246" s="41"/>
      <c r="I246" s="42"/>
      <c r="J246" s="40"/>
      <c r="K246" s="42"/>
      <c r="L246" s="42"/>
      <c r="M246" s="43" t="str">
        <f t="shared" si="25"/>
        <v/>
      </c>
      <c r="N246" s="41" t="str">
        <f t="shared" si="26"/>
        <v/>
      </c>
      <c r="O246" s="41" t="str">
        <f t="shared" si="27"/>
        <v/>
      </c>
      <c r="P246" s="44" t="str">
        <f t="shared" si="28"/>
        <v/>
      </c>
      <c r="Q246" s="45">
        <f t="shared" si="29"/>
        <v>0</v>
      </c>
      <c r="R246" s="45">
        <f t="shared" si="30"/>
        <v>0</v>
      </c>
      <c r="S246" s="44">
        <f t="shared" si="31"/>
        <v>0</v>
      </c>
      <c r="T246" s="40"/>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row>
    <row r="247" spans="1:64" ht="14">
      <c r="A247" s="37"/>
      <c r="B247" s="38"/>
      <c r="C247" s="39">
        <f t="shared" si="24"/>
        <v>0</v>
      </c>
      <c r="D247" s="40"/>
      <c r="E247" s="40"/>
      <c r="F247" s="40"/>
      <c r="G247" s="40"/>
      <c r="H247" s="41"/>
      <c r="I247" s="42"/>
      <c r="J247" s="40"/>
      <c r="K247" s="42"/>
      <c r="L247" s="42"/>
      <c r="M247" s="43" t="str">
        <f t="shared" si="25"/>
        <v/>
      </c>
      <c r="N247" s="41" t="str">
        <f t="shared" si="26"/>
        <v/>
      </c>
      <c r="O247" s="41" t="str">
        <f t="shared" si="27"/>
        <v/>
      </c>
      <c r="P247" s="44" t="str">
        <f t="shared" si="28"/>
        <v/>
      </c>
      <c r="Q247" s="45">
        <f t="shared" si="29"/>
        <v>0</v>
      </c>
      <c r="R247" s="45">
        <f t="shared" si="30"/>
        <v>0</v>
      </c>
      <c r="S247" s="44">
        <f t="shared" si="31"/>
        <v>0</v>
      </c>
      <c r="T247" s="40"/>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row>
    <row r="248" spans="1:64" ht="14">
      <c r="A248" s="37"/>
      <c r="B248" s="38"/>
      <c r="C248" s="39">
        <f t="shared" si="24"/>
        <v>0</v>
      </c>
      <c r="D248" s="40"/>
      <c r="E248" s="40"/>
      <c r="F248" s="40"/>
      <c r="G248" s="40"/>
      <c r="H248" s="41"/>
      <c r="I248" s="42"/>
      <c r="J248" s="40"/>
      <c r="K248" s="42"/>
      <c r="L248" s="42"/>
      <c r="M248" s="43" t="str">
        <f t="shared" si="25"/>
        <v/>
      </c>
      <c r="N248" s="41" t="str">
        <f t="shared" si="26"/>
        <v/>
      </c>
      <c r="O248" s="41" t="str">
        <f t="shared" si="27"/>
        <v/>
      </c>
      <c r="P248" s="44" t="str">
        <f t="shared" si="28"/>
        <v/>
      </c>
      <c r="Q248" s="45">
        <f t="shared" si="29"/>
        <v>0</v>
      </c>
      <c r="R248" s="45">
        <f t="shared" si="30"/>
        <v>0</v>
      </c>
      <c r="S248" s="44">
        <f t="shared" si="31"/>
        <v>0</v>
      </c>
      <c r="T248" s="40"/>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row>
    <row r="249" spans="1:64" ht="14">
      <c r="A249" s="37"/>
      <c r="B249" s="38"/>
      <c r="C249" s="39">
        <f t="shared" si="24"/>
        <v>0</v>
      </c>
      <c r="D249" s="40"/>
      <c r="E249" s="40"/>
      <c r="F249" s="40"/>
      <c r="G249" s="40"/>
      <c r="H249" s="41"/>
      <c r="I249" s="42"/>
      <c r="J249" s="40"/>
      <c r="K249" s="42"/>
      <c r="L249" s="42"/>
      <c r="M249" s="43" t="str">
        <f t="shared" si="25"/>
        <v/>
      </c>
      <c r="N249" s="41" t="str">
        <f t="shared" si="26"/>
        <v/>
      </c>
      <c r="O249" s="41" t="str">
        <f t="shared" si="27"/>
        <v/>
      </c>
      <c r="P249" s="44" t="str">
        <f t="shared" si="28"/>
        <v/>
      </c>
      <c r="Q249" s="45">
        <f t="shared" si="29"/>
        <v>0</v>
      </c>
      <c r="R249" s="45">
        <f t="shared" si="30"/>
        <v>0</v>
      </c>
      <c r="S249" s="44">
        <f t="shared" si="31"/>
        <v>0</v>
      </c>
      <c r="T249" s="40"/>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36"/>
      <c r="BJ249" s="36"/>
      <c r="BK249" s="36"/>
      <c r="BL249" s="36"/>
    </row>
    <row r="250" spans="1:64" ht="14">
      <c r="A250" s="37"/>
      <c r="B250" s="38"/>
      <c r="C250" s="39">
        <f t="shared" si="24"/>
        <v>0</v>
      </c>
      <c r="D250" s="40"/>
      <c r="E250" s="40"/>
      <c r="F250" s="40"/>
      <c r="G250" s="40"/>
      <c r="H250" s="41"/>
      <c r="I250" s="42"/>
      <c r="J250" s="40"/>
      <c r="K250" s="42"/>
      <c r="L250" s="42"/>
      <c r="M250" s="43" t="str">
        <f t="shared" si="25"/>
        <v/>
      </c>
      <c r="N250" s="41" t="str">
        <f t="shared" si="26"/>
        <v/>
      </c>
      <c r="O250" s="41" t="str">
        <f t="shared" si="27"/>
        <v/>
      </c>
      <c r="P250" s="44" t="str">
        <f t="shared" si="28"/>
        <v/>
      </c>
      <c r="Q250" s="45">
        <f t="shared" si="29"/>
        <v>0</v>
      </c>
      <c r="R250" s="45">
        <f t="shared" si="30"/>
        <v>0</v>
      </c>
      <c r="S250" s="44">
        <f t="shared" si="31"/>
        <v>0</v>
      </c>
      <c r="T250" s="40"/>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row>
    <row r="251" spans="1:64" ht="14">
      <c r="A251" s="37"/>
      <c r="B251" s="38"/>
      <c r="C251" s="39">
        <f t="shared" si="24"/>
        <v>0</v>
      </c>
      <c r="D251" s="40"/>
      <c r="E251" s="40"/>
      <c r="F251" s="40"/>
      <c r="G251" s="40"/>
      <c r="H251" s="41"/>
      <c r="I251" s="42"/>
      <c r="J251" s="40"/>
      <c r="K251" s="42"/>
      <c r="L251" s="42"/>
      <c r="M251" s="43" t="str">
        <f t="shared" si="25"/>
        <v/>
      </c>
      <c r="N251" s="41" t="str">
        <f t="shared" si="26"/>
        <v/>
      </c>
      <c r="O251" s="41" t="str">
        <f t="shared" si="27"/>
        <v/>
      </c>
      <c r="P251" s="44" t="str">
        <f t="shared" si="28"/>
        <v/>
      </c>
      <c r="Q251" s="45">
        <f t="shared" si="29"/>
        <v>0</v>
      </c>
      <c r="R251" s="45">
        <f t="shared" si="30"/>
        <v>0</v>
      </c>
      <c r="S251" s="44">
        <f t="shared" si="31"/>
        <v>0</v>
      </c>
      <c r="T251" s="40"/>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row>
    <row r="252" spans="1:64" ht="14">
      <c r="A252" s="37"/>
      <c r="B252" s="38"/>
      <c r="C252" s="39">
        <f t="shared" si="24"/>
        <v>0</v>
      </c>
      <c r="D252" s="40"/>
      <c r="E252" s="40"/>
      <c r="F252" s="40"/>
      <c r="G252" s="40"/>
      <c r="H252" s="41"/>
      <c r="I252" s="42"/>
      <c r="J252" s="40"/>
      <c r="K252" s="42"/>
      <c r="L252" s="42"/>
      <c r="M252" s="43" t="str">
        <f t="shared" si="25"/>
        <v/>
      </c>
      <c r="N252" s="41" t="str">
        <f t="shared" si="26"/>
        <v/>
      </c>
      <c r="O252" s="41" t="str">
        <f t="shared" si="27"/>
        <v/>
      </c>
      <c r="P252" s="44" t="str">
        <f t="shared" si="28"/>
        <v/>
      </c>
      <c r="Q252" s="45">
        <f t="shared" si="29"/>
        <v>0</v>
      </c>
      <c r="R252" s="45">
        <f t="shared" si="30"/>
        <v>0</v>
      </c>
      <c r="S252" s="44">
        <f t="shared" si="31"/>
        <v>0</v>
      </c>
      <c r="T252" s="40"/>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row>
    <row r="253" spans="1:64" ht="14">
      <c r="A253" s="37"/>
      <c r="B253" s="38"/>
      <c r="C253" s="39">
        <f t="shared" si="24"/>
        <v>0</v>
      </c>
      <c r="D253" s="40"/>
      <c r="E253" s="40"/>
      <c r="F253" s="40"/>
      <c r="G253" s="40"/>
      <c r="H253" s="41"/>
      <c r="I253" s="42"/>
      <c r="J253" s="40"/>
      <c r="K253" s="42"/>
      <c r="L253" s="42"/>
      <c r="M253" s="43" t="str">
        <f t="shared" si="25"/>
        <v/>
      </c>
      <c r="N253" s="41" t="str">
        <f t="shared" si="26"/>
        <v/>
      </c>
      <c r="O253" s="41" t="str">
        <f t="shared" si="27"/>
        <v/>
      </c>
      <c r="P253" s="44" t="str">
        <f t="shared" si="28"/>
        <v/>
      </c>
      <c r="Q253" s="45">
        <f t="shared" si="29"/>
        <v>0</v>
      </c>
      <c r="R253" s="45">
        <f t="shared" si="30"/>
        <v>0</v>
      </c>
      <c r="S253" s="44">
        <f t="shared" si="31"/>
        <v>0</v>
      </c>
      <c r="T253" s="40"/>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row>
    <row r="254" spans="1:64" ht="14">
      <c r="A254" s="37"/>
      <c r="B254" s="38"/>
      <c r="C254" s="39">
        <f t="shared" si="24"/>
        <v>0</v>
      </c>
      <c r="D254" s="40"/>
      <c r="E254" s="40"/>
      <c r="F254" s="40"/>
      <c r="G254" s="40"/>
      <c r="H254" s="41"/>
      <c r="I254" s="42"/>
      <c r="J254" s="40"/>
      <c r="K254" s="42"/>
      <c r="L254" s="42"/>
      <c r="M254" s="43" t="str">
        <f t="shared" si="25"/>
        <v/>
      </c>
      <c r="N254" s="41" t="str">
        <f t="shared" si="26"/>
        <v/>
      </c>
      <c r="O254" s="41" t="str">
        <f t="shared" si="27"/>
        <v/>
      </c>
      <c r="P254" s="44" t="str">
        <f t="shared" si="28"/>
        <v/>
      </c>
      <c r="Q254" s="45">
        <f t="shared" si="29"/>
        <v>0</v>
      </c>
      <c r="R254" s="45">
        <f t="shared" si="30"/>
        <v>0</v>
      </c>
      <c r="S254" s="44">
        <f t="shared" si="31"/>
        <v>0</v>
      </c>
      <c r="T254" s="40"/>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row>
    <row r="255" spans="1:64" ht="14">
      <c r="A255" s="37"/>
      <c r="B255" s="38"/>
      <c r="C255" s="39">
        <f t="shared" si="24"/>
        <v>0</v>
      </c>
      <c r="D255" s="40"/>
      <c r="E255" s="40"/>
      <c r="F255" s="40"/>
      <c r="G255" s="40"/>
      <c r="H255" s="41"/>
      <c r="I255" s="42"/>
      <c r="J255" s="40"/>
      <c r="K255" s="42"/>
      <c r="L255" s="42"/>
      <c r="M255" s="43" t="str">
        <f t="shared" si="25"/>
        <v/>
      </c>
      <c r="N255" s="41" t="str">
        <f t="shared" si="26"/>
        <v/>
      </c>
      <c r="O255" s="41" t="str">
        <f t="shared" si="27"/>
        <v/>
      </c>
      <c r="P255" s="44" t="str">
        <f t="shared" si="28"/>
        <v/>
      </c>
      <c r="Q255" s="45">
        <f t="shared" si="29"/>
        <v>0</v>
      </c>
      <c r="R255" s="45">
        <f t="shared" si="30"/>
        <v>0</v>
      </c>
      <c r="S255" s="44">
        <f t="shared" si="31"/>
        <v>0</v>
      </c>
      <c r="T255" s="40"/>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row>
    <row r="256" spans="1:64" ht="14">
      <c r="A256" s="37"/>
      <c r="B256" s="38"/>
      <c r="C256" s="39">
        <f t="shared" si="24"/>
        <v>0</v>
      </c>
      <c r="D256" s="40"/>
      <c r="E256" s="40"/>
      <c r="F256" s="40"/>
      <c r="G256" s="40"/>
      <c r="H256" s="41"/>
      <c r="I256" s="42"/>
      <c r="J256" s="40"/>
      <c r="K256" s="42"/>
      <c r="L256" s="42"/>
      <c r="M256" s="43" t="str">
        <f t="shared" si="25"/>
        <v/>
      </c>
      <c r="N256" s="41" t="str">
        <f t="shared" si="26"/>
        <v/>
      </c>
      <c r="O256" s="41" t="str">
        <f t="shared" si="27"/>
        <v/>
      </c>
      <c r="P256" s="44" t="str">
        <f t="shared" si="28"/>
        <v/>
      </c>
      <c r="Q256" s="45">
        <f t="shared" si="29"/>
        <v>0</v>
      </c>
      <c r="R256" s="45">
        <f t="shared" si="30"/>
        <v>0</v>
      </c>
      <c r="S256" s="44">
        <f t="shared" si="31"/>
        <v>0</v>
      </c>
      <c r="T256" s="40"/>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row>
    <row r="257" spans="1:64" ht="14">
      <c r="A257" s="37"/>
      <c r="B257" s="38"/>
      <c r="C257" s="39">
        <f t="shared" si="24"/>
        <v>0</v>
      </c>
      <c r="D257" s="40"/>
      <c r="E257" s="40"/>
      <c r="F257" s="40"/>
      <c r="G257" s="40"/>
      <c r="H257" s="41"/>
      <c r="I257" s="42"/>
      <c r="J257" s="40"/>
      <c r="K257" s="42"/>
      <c r="L257" s="42"/>
      <c r="M257" s="43" t="str">
        <f t="shared" si="25"/>
        <v/>
      </c>
      <c r="N257" s="41" t="str">
        <f t="shared" si="26"/>
        <v/>
      </c>
      <c r="O257" s="41" t="str">
        <f t="shared" si="27"/>
        <v/>
      </c>
      <c r="P257" s="44" t="str">
        <f t="shared" si="28"/>
        <v/>
      </c>
      <c r="Q257" s="45">
        <f t="shared" si="29"/>
        <v>0</v>
      </c>
      <c r="R257" s="45">
        <f t="shared" si="30"/>
        <v>0</v>
      </c>
      <c r="S257" s="44">
        <f t="shared" si="31"/>
        <v>0</v>
      </c>
      <c r="T257" s="40"/>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row>
    <row r="258" spans="1:64" ht="14">
      <c r="A258" s="37"/>
      <c r="B258" s="38"/>
      <c r="C258" s="39">
        <f t="shared" si="24"/>
        <v>0</v>
      </c>
      <c r="D258" s="40"/>
      <c r="E258" s="40"/>
      <c r="F258" s="40"/>
      <c r="G258" s="40"/>
      <c r="H258" s="41"/>
      <c r="I258" s="42"/>
      <c r="J258" s="40"/>
      <c r="K258" s="42"/>
      <c r="L258" s="42"/>
      <c r="M258" s="43" t="str">
        <f t="shared" si="25"/>
        <v/>
      </c>
      <c r="N258" s="41" t="str">
        <f t="shared" si="26"/>
        <v/>
      </c>
      <c r="O258" s="41" t="str">
        <f t="shared" si="27"/>
        <v/>
      </c>
      <c r="P258" s="44" t="str">
        <f t="shared" si="28"/>
        <v/>
      </c>
      <c r="Q258" s="45">
        <f t="shared" si="29"/>
        <v>0</v>
      </c>
      <c r="R258" s="45">
        <f t="shared" si="30"/>
        <v>0</v>
      </c>
      <c r="S258" s="44">
        <f t="shared" si="31"/>
        <v>0</v>
      </c>
      <c r="T258" s="40"/>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row>
    <row r="259" spans="1:64" ht="14">
      <c r="A259" s="37"/>
      <c r="B259" s="38"/>
      <c r="C259" s="39">
        <f t="shared" si="24"/>
        <v>0</v>
      </c>
      <c r="D259" s="40"/>
      <c r="E259" s="40"/>
      <c r="F259" s="40"/>
      <c r="G259" s="40"/>
      <c r="H259" s="41"/>
      <c r="I259" s="42"/>
      <c r="J259" s="40"/>
      <c r="K259" s="42"/>
      <c r="L259" s="42"/>
      <c r="M259" s="43" t="str">
        <f t="shared" si="25"/>
        <v/>
      </c>
      <c r="N259" s="41" t="str">
        <f t="shared" si="26"/>
        <v/>
      </c>
      <c r="O259" s="41" t="str">
        <f t="shared" si="27"/>
        <v/>
      </c>
      <c r="P259" s="44" t="str">
        <f t="shared" si="28"/>
        <v/>
      </c>
      <c r="Q259" s="45">
        <f t="shared" si="29"/>
        <v>0</v>
      </c>
      <c r="R259" s="45">
        <f t="shared" si="30"/>
        <v>0</v>
      </c>
      <c r="S259" s="44">
        <f t="shared" si="31"/>
        <v>0</v>
      </c>
      <c r="T259" s="40"/>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row>
    <row r="260" spans="1:64" ht="14">
      <c r="A260" s="37"/>
      <c r="B260" s="38"/>
      <c r="C260" s="39">
        <f t="shared" si="24"/>
        <v>0</v>
      </c>
      <c r="D260" s="40"/>
      <c r="E260" s="40"/>
      <c r="F260" s="40"/>
      <c r="G260" s="40"/>
      <c r="H260" s="41"/>
      <c r="I260" s="42"/>
      <c r="J260" s="40"/>
      <c r="K260" s="42"/>
      <c r="L260" s="42"/>
      <c r="M260" s="43" t="str">
        <f t="shared" si="25"/>
        <v/>
      </c>
      <c r="N260" s="41" t="str">
        <f t="shared" si="26"/>
        <v/>
      </c>
      <c r="O260" s="41" t="str">
        <f t="shared" si="27"/>
        <v/>
      </c>
      <c r="P260" s="44" t="str">
        <f t="shared" si="28"/>
        <v/>
      </c>
      <c r="Q260" s="45">
        <f t="shared" si="29"/>
        <v>0</v>
      </c>
      <c r="R260" s="45">
        <f t="shared" si="30"/>
        <v>0</v>
      </c>
      <c r="S260" s="44">
        <f t="shared" si="31"/>
        <v>0</v>
      </c>
      <c r="T260" s="40"/>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row>
    <row r="261" spans="1:64" ht="14">
      <c r="A261" s="37"/>
      <c r="B261" s="38"/>
      <c r="C261" s="39">
        <f t="shared" si="24"/>
        <v>0</v>
      </c>
      <c r="D261" s="40"/>
      <c r="E261" s="40"/>
      <c r="F261" s="40"/>
      <c r="G261" s="40"/>
      <c r="H261" s="41"/>
      <c r="I261" s="42"/>
      <c r="J261" s="40"/>
      <c r="K261" s="42"/>
      <c r="L261" s="42"/>
      <c r="M261" s="43" t="str">
        <f t="shared" si="25"/>
        <v/>
      </c>
      <c r="N261" s="41" t="str">
        <f t="shared" si="26"/>
        <v/>
      </c>
      <c r="O261" s="41" t="str">
        <f t="shared" si="27"/>
        <v/>
      </c>
      <c r="P261" s="44" t="str">
        <f t="shared" si="28"/>
        <v/>
      </c>
      <c r="Q261" s="45">
        <f t="shared" si="29"/>
        <v>0</v>
      </c>
      <c r="R261" s="45">
        <f t="shared" si="30"/>
        <v>0</v>
      </c>
      <c r="S261" s="44">
        <f t="shared" si="31"/>
        <v>0</v>
      </c>
      <c r="T261" s="40"/>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row>
    <row r="262" spans="1:64" ht="14">
      <c r="A262" s="37"/>
      <c r="B262" s="38"/>
      <c r="C262" s="39">
        <f t="shared" si="24"/>
        <v>0</v>
      </c>
      <c r="D262" s="40"/>
      <c r="E262" s="40"/>
      <c r="F262" s="40"/>
      <c r="G262" s="40"/>
      <c r="H262" s="41"/>
      <c r="I262" s="42"/>
      <c r="J262" s="40"/>
      <c r="K262" s="42"/>
      <c r="L262" s="42"/>
      <c r="M262" s="43" t="str">
        <f t="shared" si="25"/>
        <v/>
      </c>
      <c r="N262" s="41" t="str">
        <f t="shared" si="26"/>
        <v/>
      </c>
      <c r="O262" s="41" t="str">
        <f t="shared" si="27"/>
        <v/>
      </c>
      <c r="P262" s="44" t="str">
        <f t="shared" si="28"/>
        <v/>
      </c>
      <c r="Q262" s="45">
        <f t="shared" si="29"/>
        <v>0</v>
      </c>
      <c r="R262" s="45">
        <f t="shared" si="30"/>
        <v>0</v>
      </c>
      <c r="S262" s="44">
        <f t="shared" si="31"/>
        <v>0</v>
      </c>
      <c r="T262" s="40"/>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row>
    <row r="263" spans="1:64" ht="14">
      <c r="A263" s="37"/>
      <c r="B263" s="38"/>
      <c r="C263" s="39">
        <f t="shared" si="24"/>
        <v>0</v>
      </c>
      <c r="D263" s="40"/>
      <c r="E263" s="40"/>
      <c r="F263" s="40"/>
      <c r="G263" s="40"/>
      <c r="H263" s="41"/>
      <c r="I263" s="42"/>
      <c r="J263" s="40"/>
      <c r="K263" s="42"/>
      <c r="L263" s="42"/>
      <c r="M263" s="43" t="str">
        <f t="shared" si="25"/>
        <v/>
      </c>
      <c r="N263" s="41" t="str">
        <f t="shared" si="26"/>
        <v/>
      </c>
      <c r="O263" s="41" t="str">
        <f t="shared" si="27"/>
        <v/>
      </c>
      <c r="P263" s="44" t="str">
        <f t="shared" si="28"/>
        <v/>
      </c>
      <c r="Q263" s="45">
        <f t="shared" si="29"/>
        <v>0</v>
      </c>
      <c r="R263" s="45">
        <f t="shared" si="30"/>
        <v>0</v>
      </c>
      <c r="S263" s="44">
        <f t="shared" si="31"/>
        <v>0</v>
      </c>
      <c r="T263" s="40"/>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row>
    <row r="264" spans="1:64" ht="14">
      <c r="A264" s="37"/>
      <c r="B264" s="38"/>
      <c r="C264" s="39">
        <f t="shared" si="24"/>
        <v>0</v>
      </c>
      <c r="D264" s="40"/>
      <c r="E264" s="40"/>
      <c r="F264" s="40"/>
      <c r="G264" s="40"/>
      <c r="H264" s="41"/>
      <c r="I264" s="42"/>
      <c r="J264" s="40"/>
      <c r="K264" s="42"/>
      <c r="L264" s="42"/>
      <c r="M264" s="43" t="str">
        <f t="shared" si="25"/>
        <v/>
      </c>
      <c r="N264" s="41" t="str">
        <f t="shared" si="26"/>
        <v/>
      </c>
      <c r="O264" s="41" t="str">
        <f t="shared" si="27"/>
        <v/>
      </c>
      <c r="P264" s="44" t="str">
        <f t="shared" si="28"/>
        <v/>
      </c>
      <c r="Q264" s="45">
        <f t="shared" si="29"/>
        <v>0</v>
      </c>
      <c r="R264" s="45">
        <f t="shared" si="30"/>
        <v>0</v>
      </c>
      <c r="S264" s="44">
        <f t="shared" si="31"/>
        <v>0</v>
      </c>
      <c r="T264" s="40"/>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row>
    <row r="265" spans="1:64" ht="14">
      <c r="A265" s="37"/>
      <c r="B265" s="38"/>
      <c r="C265" s="39">
        <f t="shared" si="24"/>
        <v>0</v>
      </c>
      <c r="D265" s="40"/>
      <c r="E265" s="40"/>
      <c r="F265" s="40"/>
      <c r="G265" s="40"/>
      <c r="H265" s="41"/>
      <c r="I265" s="42"/>
      <c r="J265" s="40"/>
      <c r="K265" s="42"/>
      <c r="L265" s="42"/>
      <c r="M265" s="43" t="str">
        <f t="shared" si="25"/>
        <v/>
      </c>
      <c r="N265" s="41" t="str">
        <f t="shared" si="26"/>
        <v/>
      </c>
      <c r="O265" s="41" t="str">
        <f t="shared" si="27"/>
        <v/>
      </c>
      <c r="P265" s="44" t="str">
        <f t="shared" si="28"/>
        <v/>
      </c>
      <c r="Q265" s="45">
        <f t="shared" si="29"/>
        <v>0</v>
      </c>
      <c r="R265" s="45">
        <f t="shared" si="30"/>
        <v>0</v>
      </c>
      <c r="S265" s="44">
        <f t="shared" si="31"/>
        <v>0</v>
      </c>
      <c r="T265" s="40"/>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row>
    <row r="266" spans="1:64" ht="14">
      <c r="A266" s="37"/>
      <c r="B266" s="38"/>
      <c r="C266" s="39">
        <f t="shared" ref="C266:C329" si="32">IF($B266&lt;&gt;"",VLOOKUP($B266,Matriz_INM,2,0),0)</f>
        <v>0</v>
      </c>
      <c r="D266" s="40"/>
      <c r="E266" s="40"/>
      <c r="F266" s="40"/>
      <c r="G266" s="40"/>
      <c r="H266" s="41"/>
      <c r="I266" s="42"/>
      <c r="J266" s="40"/>
      <c r="K266" s="42"/>
      <c r="L266" s="42"/>
      <c r="M266" s="43" t="str">
        <f t="shared" ref="M266:M329" si="33">IFERROR(VLOOKUP($B266,Matriz_INM,3,0),"")</f>
        <v/>
      </c>
      <c r="N266" s="41" t="str">
        <f t="shared" ref="N266:N329" si="34">IF(J266="EE",IF(OR(AND(OR(L266=1,L266=0),K266&gt;0,K266&lt;5),AND(OR(L266=1,L266=0),K266&gt;4,K266&lt;16),AND(L266=2,K266&gt;0,K266&lt;5)),"Simples",IF(OR(AND(OR(L266=1,L266=0),K266&gt;15),AND(L266=2,K266&gt;4,K266&lt;16),AND(L266&gt;2,K266&gt;0,K266&lt;5)),"Médio",IF(OR(AND(L266=2,K266&gt;15),AND(L266&gt;2,K266&gt;4,K266&lt;16),AND(L266&gt;2,K266&gt;15)),"Complexo",""))), IF(OR(J266="CE",J266="SE"),IF(OR(AND(OR(L266=1,L266=0),K266&gt;0,K266&lt;6),AND(OR(L266=1,L266=0),K266&gt;5,K266&lt;20),AND(L266&gt;1,L266&lt;4,K266&gt;0,K266&lt;6)),"Simples",IF(OR(AND(OR(L266=1,L266=0),K266&gt;19),AND(L266&gt;1,L266&lt;4,K266&gt;5,K266&lt;20),AND(L266&gt;3,K266&gt;0,K266&lt;6)),"Médio",IF(OR(AND(L266&gt;1,L266&lt;4,K266&gt;19),AND(L266&gt;3,K266&gt;5,K266&lt;20),AND(L266&gt;3,K266&gt;19)),"Complexo",""))),""))</f>
        <v/>
      </c>
      <c r="O266" s="41" t="str">
        <f t="shared" ref="O266:O329" si="35">IF(J266="ALI",IF(OR(AND(OR(L266=1,L266=0),K266&gt;0,K266&lt;20),AND(OR(L266=1,L266=0),K266&gt;19,K266&lt;51),AND(L266&gt;1,L266&lt;6,K266&gt;0,K266&lt;20)),"Simples",IF(OR(AND(OR(L266=1,L266=0),K266&gt;50),AND(L266&gt;1,L266&lt;6,K266&gt;19,K266&lt;51),AND(L266&gt;5,K266&gt;0,K266&lt;20)),"Médio",IF(OR(AND(L266&gt;1,L266&lt;6,K266&gt;50),AND(L266&gt;5,K266&gt;19,K266&lt;51),AND(L266&gt;5,K266&gt;50)),"Complexo",""))), IF(J266="AIE",IF(OR(AND(OR(L266=1, L266=0),K266&gt;0,K266&lt;20),AND(OR(L266=1, L266=0),K266&gt;19,K266&lt;51),AND(L266&gt;1,L266&lt;6,K266&gt;0,K266&lt;20)),"Simples",IF(OR(AND(OR(L266=1, L266=0),K266&gt;50),AND(L266&gt;1,L266&lt;6,K266&gt;19,K266&lt;51),AND(L266&gt;5,K266&gt;0,K266&lt;20)),"Médio",IF(OR(AND(L266&gt;1,L266&lt;6,K266&gt;50),AND(L266&gt;5,K266&gt;19,K266&lt;51),AND(L266&gt;5,K266&gt;50)),"Complexo",""))),""))</f>
        <v/>
      </c>
      <c r="P266" s="44" t="str">
        <f t="shared" ref="P266:P329" si="36">IF(N266="",O266,IF(O266="",N266,""))</f>
        <v/>
      </c>
      <c r="Q266" s="45">
        <f t="shared" ref="Q266:Q329" si="37">IF(AND(OR(J266="EE",J266="CE"),P266="Simples"),3, IF(AND(OR(J266="EE",J266="CE"),P266="Médio"),4, IF(AND(OR(J266="EE",J266="CE"),P266="Complexo"),6, IF(AND(J266="SE",P266="Simples"),4, IF(AND(J266="SE",P266="Médio"),5, IF(AND(J266="SE",P266="Complexo"),7,0))))))</f>
        <v>0</v>
      </c>
      <c r="R266" s="45">
        <f t="shared" ref="R266:R329" si="38">IF(AND(J266="ALI",O266="Simples"),7, IF(AND(J266="ALI",O266="Médio"),10, IF(AND(J266="ALI",O266="Complexo"),15, IF(AND(J266="AIE",O266="Simples"),5, IF(AND(J266="AIE",O266="Médio"),7, IF(AND(J266="AIE",O266="Complexo"),10,0))))))</f>
        <v>0</v>
      </c>
      <c r="S266" s="44">
        <f t="shared" ref="S266:S329" si="39">IF($M266="%",($Q266+$R266)*$C266,$C266*$I266)</f>
        <v>0</v>
      </c>
      <c r="T266" s="40"/>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row>
    <row r="267" spans="1:64" ht="14">
      <c r="A267" s="37"/>
      <c r="B267" s="38"/>
      <c r="C267" s="39">
        <f t="shared" si="32"/>
        <v>0</v>
      </c>
      <c r="D267" s="40"/>
      <c r="E267" s="40"/>
      <c r="F267" s="40"/>
      <c r="G267" s="40"/>
      <c r="H267" s="41"/>
      <c r="I267" s="42"/>
      <c r="J267" s="40"/>
      <c r="K267" s="42"/>
      <c r="L267" s="42"/>
      <c r="M267" s="43" t="str">
        <f t="shared" si="33"/>
        <v/>
      </c>
      <c r="N267" s="41" t="str">
        <f t="shared" si="34"/>
        <v/>
      </c>
      <c r="O267" s="41" t="str">
        <f t="shared" si="35"/>
        <v/>
      </c>
      <c r="P267" s="44" t="str">
        <f t="shared" si="36"/>
        <v/>
      </c>
      <c r="Q267" s="45">
        <f t="shared" si="37"/>
        <v>0</v>
      </c>
      <c r="R267" s="45">
        <f t="shared" si="38"/>
        <v>0</v>
      </c>
      <c r="S267" s="44">
        <f t="shared" si="39"/>
        <v>0</v>
      </c>
      <c r="T267" s="40"/>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row>
    <row r="268" spans="1:64" ht="14">
      <c r="A268" s="37"/>
      <c r="B268" s="38"/>
      <c r="C268" s="39">
        <f t="shared" si="32"/>
        <v>0</v>
      </c>
      <c r="D268" s="40"/>
      <c r="E268" s="40"/>
      <c r="F268" s="40"/>
      <c r="G268" s="40"/>
      <c r="H268" s="41"/>
      <c r="I268" s="42"/>
      <c r="J268" s="40"/>
      <c r="K268" s="42"/>
      <c r="L268" s="42"/>
      <c r="M268" s="43" t="str">
        <f t="shared" si="33"/>
        <v/>
      </c>
      <c r="N268" s="41" t="str">
        <f t="shared" si="34"/>
        <v/>
      </c>
      <c r="O268" s="41" t="str">
        <f t="shared" si="35"/>
        <v/>
      </c>
      <c r="P268" s="44" t="str">
        <f t="shared" si="36"/>
        <v/>
      </c>
      <c r="Q268" s="45">
        <f t="shared" si="37"/>
        <v>0</v>
      </c>
      <c r="R268" s="45">
        <f t="shared" si="38"/>
        <v>0</v>
      </c>
      <c r="S268" s="44">
        <f t="shared" si="39"/>
        <v>0</v>
      </c>
      <c r="T268" s="40"/>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row>
    <row r="269" spans="1:64" ht="14">
      <c r="A269" s="37"/>
      <c r="B269" s="38"/>
      <c r="C269" s="39">
        <f t="shared" si="32"/>
        <v>0</v>
      </c>
      <c r="D269" s="40"/>
      <c r="E269" s="40"/>
      <c r="F269" s="40"/>
      <c r="G269" s="40"/>
      <c r="H269" s="41"/>
      <c r="I269" s="42"/>
      <c r="J269" s="40"/>
      <c r="K269" s="42"/>
      <c r="L269" s="42"/>
      <c r="M269" s="43" t="str">
        <f t="shared" si="33"/>
        <v/>
      </c>
      <c r="N269" s="41" t="str">
        <f t="shared" si="34"/>
        <v/>
      </c>
      <c r="O269" s="41" t="str">
        <f t="shared" si="35"/>
        <v/>
      </c>
      <c r="P269" s="44" t="str">
        <f t="shared" si="36"/>
        <v/>
      </c>
      <c r="Q269" s="45">
        <f t="shared" si="37"/>
        <v>0</v>
      </c>
      <c r="R269" s="45">
        <f t="shared" si="38"/>
        <v>0</v>
      </c>
      <c r="S269" s="44">
        <f t="shared" si="39"/>
        <v>0</v>
      </c>
      <c r="T269" s="40"/>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row>
    <row r="270" spans="1:64" ht="14">
      <c r="A270" s="37"/>
      <c r="B270" s="38"/>
      <c r="C270" s="39">
        <f t="shared" si="32"/>
        <v>0</v>
      </c>
      <c r="D270" s="40"/>
      <c r="E270" s="40"/>
      <c r="F270" s="40"/>
      <c r="G270" s="40"/>
      <c r="H270" s="41"/>
      <c r="I270" s="42"/>
      <c r="J270" s="40"/>
      <c r="K270" s="42"/>
      <c r="L270" s="42"/>
      <c r="M270" s="43" t="str">
        <f t="shared" si="33"/>
        <v/>
      </c>
      <c r="N270" s="41" t="str">
        <f t="shared" si="34"/>
        <v/>
      </c>
      <c r="O270" s="41" t="str">
        <f t="shared" si="35"/>
        <v/>
      </c>
      <c r="P270" s="44" t="str">
        <f t="shared" si="36"/>
        <v/>
      </c>
      <c r="Q270" s="45">
        <f t="shared" si="37"/>
        <v>0</v>
      </c>
      <c r="R270" s="45">
        <f t="shared" si="38"/>
        <v>0</v>
      </c>
      <c r="S270" s="44">
        <f t="shared" si="39"/>
        <v>0</v>
      </c>
      <c r="T270" s="40"/>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row>
    <row r="271" spans="1:64" ht="14">
      <c r="A271" s="37"/>
      <c r="B271" s="38"/>
      <c r="C271" s="39">
        <f t="shared" si="32"/>
        <v>0</v>
      </c>
      <c r="D271" s="40"/>
      <c r="E271" s="40"/>
      <c r="F271" s="40"/>
      <c r="G271" s="40"/>
      <c r="H271" s="41"/>
      <c r="I271" s="42"/>
      <c r="J271" s="40"/>
      <c r="K271" s="42"/>
      <c r="L271" s="42"/>
      <c r="M271" s="43" t="str">
        <f t="shared" si="33"/>
        <v/>
      </c>
      <c r="N271" s="41" t="str">
        <f t="shared" si="34"/>
        <v/>
      </c>
      <c r="O271" s="41" t="str">
        <f t="shared" si="35"/>
        <v/>
      </c>
      <c r="P271" s="44" t="str">
        <f t="shared" si="36"/>
        <v/>
      </c>
      <c r="Q271" s="45">
        <f t="shared" si="37"/>
        <v>0</v>
      </c>
      <c r="R271" s="45">
        <f t="shared" si="38"/>
        <v>0</v>
      </c>
      <c r="S271" s="44">
        <f t="shared" si="39"/>
        <v>0</v>
      </c>
      <c r="T271" s="40"/>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row>
    <row r="272" spans="1:64" ht="14">
      <c r="A272" s="37"/>
      <c r="B272" s="38"/>
      <c r="C272" s="39">
        <f t="shared" si="32"/>
        <v>0</v>
      </c>
      <c r="D272" s="40"/>
      <c r="E272" s="40"/>
      <c r="F272" s="40"/>
      <c r="G272" s="40"/>
      <c r="H272" s="41"/>
      <c r="I272" s="42"/>
      <c r="J272" s="40"/>
      <c r="K272" s="42"/>
      <c r="L272" s="42"/>
      <c r="M272" s="43" t="str">
        <f t="shared" si="33"/>
        <v/>
      </c>
      <c r="N272" s="41" t="str">
        <f t="shared" si="34"/>
        <v/>
      </c>
      <c r="O272" s="41" t="str">
        <f t="shared" si="35"/>
        <v/>
      </c>
      <c r="P272" s="44" t="str">
        <f t="shared" si="36"/>
        <v/>
      </c>
      <c r="Q272" s="45">
        <f t="shared" si="37"/>
        <v>0</v>
      </c>
      <c r="R272" s="45">
        <f t="shared" si="38"/>
        <v>0</v>
      </c>
      <c r="S272" s="44">
        <f t="shared" si="39"/>
        <v>0</v>
      </c>
      <c r="T272" s="40"/>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row>
    <row r="273" spans="1:64" ht="14">
      <c r="A273" s="37"/>
      <c r="B273" s="38"/>
      <c r="C273" s="39">
        <f t="shared" si="32"/>
        <v>0</v>
      </c>
      <c r="D273" s="40"/>
      <c r="E273" s="40"/>
      <c r="F273" s="40"/>
      <c r="G273" s="40"/>
      <c r="H273" s="41"/>
      <c r="I273" s="42"/>
      <c r="J273" s="40"/>
      <c r="K273" s="42"/>
      <c r="L273" s="42"/>
      <c r="M273" s="43" t="str">
        <f t="shared" si="33"/>
        <v/>
      </c>
      <c r="N273" s="41" t="str">
        <f t="shared" si="34"/>
        <v/>
      </c>
      <c r="O273" s="41" t="str">
        <f t="shared" si="35"/>
        <v/>
      </c>
      <c r="P273" s="44" t="str">
        <f t="shared" si="36"/>
        <v/>
      </c>
      <c r="Q273" s="45">
        <f t="shared" si="37"/>
        <v>0</v>
      </c>
      <c r="R273" s="45">
        <f t="shared" si="38"/>
        <v>0</v>
      </c>
      <c r="S273" s="44">
        <f t="shared" si="39"/>
        <v>0</v>
      </c>
      <c r="T273" s="40"/>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row>
    <row r="274" spans="1:64" ht="14">
      <c r="A274" s="37"/>
      <c r="B274" s="38"/>
      <c r="C274" s="39">
        <f t="shared" si="32"/>
        <v>0</v>
      </c>
      <c r="D274" s="40"/>
      <c r="E274" s="40"/>
      <c r="F274" s="40"/>
      <c r="G274" s="40"/>
      <c r="H274" s="41"/>
      <c r="I274" s="42"/>
      <c r="J274" s="40"/>
      <c r="K274" s="42"/>
      <c r="L274" s="42"/>
      <c r="M274" s="43" t="str">
        <f t="shared" si="33"/>
        <v/>
      </c>
      <c r="N274" s="41" t="str">
        <f t="shared" si="34"/>
        <v/>
      </c>
      <c r="O274" s="41" t="str">
        <f t="shared" si="35"/>
        <v/>
      </c>
      <c r="P274" s="44" t="str">
        <f t="shared" si="36"/>
        <v/>
      </c>
      <c r="Q274" s="45">
        <f t="shared" si="37"/>
        <v>0</v>
      </c>
      <c r="R274" s="45">
        <f t="shared" si="38"/>
        <v>0</v>
      </c>
      <c r="S274" s="44">
        <f t="shared" si="39"/>
        <v>0</v>
      </c>
      <c r="T274" s="40"/>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row>
    <row r="275" spans="1:64" ht="14">
      <c r="A275" s="37"/>
      <c r="B275" s="38"/>
      <c r="C275" s="39">
        <f t="shared" si="32"/>
        <v>0</v>
      </c>
      <c r="D275" s="40"/>
      <c r="E275" s="40"/>
      <c r="F275" s="40"/>
      <c r="G275" s="40"/>
      <c r="H275" s="41"/>
      <c r="I275" s="42"/>
      <c r="J275" s="40"/>
      <c r="K275" s="42"/>
      <c r="L275" s="42"/>
      <c r="M275" s="43" t="str">
        <f t="shared" si="33"/>
        <v/>
      </c>
      <c r="N275" s="41" t="str">
        <f t="shared" si="34"/>
        <v/>
      </c>
      <c r="O275" s="41" t="str">
        <f t="shared" si="35"/>
        <v/>
      </c>
      <c r="P275" s="44" t="str">
        <f t="shared" si="36"/>
        <v/>
      </c>
      <c r="Q275" s="45">
        <f t="shared" si="37"/>
        <v>0</v>
      </c>
      <c r="R275" s="45">
        <f t="shared" si="38"/>
        <v>0</v>
      </c>
      <c r="S275" s="44">
        <f t="shared" si="39"/>
        <v>0</v>
      </c>
      <c r="T275" s="40"/>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row>
    <row r="276" spans="1:64" ht="14">
      <c r="A276" s="37"/>
      <c r="B276" s="38"/>
      <c r="C276" s="39">
        <f t="shared" si="32"/>
        <v>0</v>
      </c>
      <c r="D276" s="40"/>
      <c r="E276" s="40"/>
      <c r="F276" s="40"/>
      <c r="G276" s="40"/>
      <c r="H276" s="41"/>
      <c r="I276" s="42"/>
      <c r="J276" s="40"/>
      <c r="K276" s="42"/>
      <c r="L276" s="42"/>
      <c r="M276" s="43" t="str">
        <f t="shared" si="33"/>
        <v/>
      </c>
      <c r="N276" s="41" t="str">
        <f t="shared" si="34"/>
        <v/>
      </c>
      <c r="O276" s="41" t="str">
        <f t="shared" si="35"/>
        <v/>
      </c>
      <c r="P276" s="44" t="str">
        <f t="shared" si="36"/>
        <v/>
      </c>
      <c r="Q276" s="45">
        <f t="shared" si="37"/>
        <v>0</v>
      </c>
      <c r="R276" s="45">
        <f t="shared" si="38"/>
        <v>0</v>
      </c>
      <c r="S276" s="44">
        <f t="shared" si="39"/>
        <v>0</v>
      </c>
      <c r="T276" s="40"/>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row>
    <row r="277" spans="1:64" ht="14">
      <c r="A277" s="37"/>
      <c r="B277" s="38"/>
      <c r="C277" s="39">
        <f t="shared" si="32"/>
        <v>0</v>
      </c>
      <c r="D277" s="40"/>
      <c r="E277" s="40"/>
      <c r="F277" s="40"/>
      <c r="G277" s="40"/>
      <c r="H277" s="41"/>
      <c r="I277" s="42"/>
      <c r="J277" s="40"/>
      <c r="K277" s="42"/>
      <c r="L277" s="42"/>
      <c r="M277" s="43" t="str">
        <f t="shared" si="33"/>
        <v/>
      </c>
      <c r="N277" s="41" t="str">
        <f t="shared" si="34"/>
        <v/>
      </c>
      <c r="O277" s="41" t="str">
        <f t="shared" si="35"/>
        <v/>
      </c>
      <c r="P277" s="44" t="str">
        <f t="shared" si="36"/>
        <v/>
      </c>
      <c r="Q277" s="45">
        <f t="shared" si="37"/>
        <v>0</v>
      </c>
      <c r="R277" s="45">
        <f t="shared" si="38"/>
        <v>0</v>
      </c>
      <c r="S277" s="44">
        <f t="shared" si="39"/>
        <v>0</v>
      </c>
      <c r="T277" s="40"/>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row>
    <row r="278" spans="1:64" ht="14">
      <c r="A278" s="37"/>
      <c r="B278" s="38"/>
      <c r="C278" s="39">
        <f t="shared" si="32"/>
        <v>0</v>
      </c>
      <c r="D278" s="40"/>
      <c r="E278" s="40"/>
      <c r="F278" s="40"/>
      <c r="G278" s="40"/>
      <c r="H278" s="41"/>
      <c r="I278" s="42"/>
      <c r="J278" s="40"/>
      <c r="K278" s="42"/>
      <c r="L278" s="42"/>
      <c r="M278" s="43" t="str">
        <f t="shared" si="33"/>
        <v/>
      </c>
      <c r="N278" s="41" t="str">
        <f t="shared" si="34"/>
        <v/>
      </c>
      <c r="O278" s="41" t="str">
        <f t="shared" si="35"/>
        <v/>
      </c>
      <c r="P278" s="44" t="str">
        <f t="shared" si="36"/>
        <v/>
      </c>
      <c r="Q278" s="45">
        <f t="shared" si="37"/>
        <v>0</v>
      </c>
      <c r="R278" s="45">
        <f t="shared" si="38"/>
        <v>0</v>
      </c>
      <c r="S278" s="44">
        <f t="shared" si="39"/>
        <v>0</v>
      </c>
      <c r="T278" s="40"/>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row>
    <row r="279" spans="1:64" ht="14">
      <c r="A279" s="37"/>
      <c r="B279" s="38"/>
      <c r="C279" s="39">
        <f t="shared" si="32"/>
        <v>0</v>
      </c>
      <c r="D279" s="40"/>
      <c r="E279" s="40"/>
      <c r="F279" s="40"/>
      <c r="G279" s="40"/>
      <c r="H279" s="41"/>
      <c r="I279" s="42"/>
      <c r="J279" s="40"/>
      <c r="K279" s="42"/>
      <c r="L279" s="42"/>
      <c r="M279" s="43" t="str">
        <f t="shared" si="33"/>
        <v/>
      </c>
      <c r="N279" s="41" t="str">
        <f t="shared" si="34"/>
        <v/>
      </c>
      <c r="O279" s="41" t="str">
        <f t="shared" si="35"/>
        <v/>
      </c>
      <c r="P279" s="44" t="str">
        <f t="shared" si="36"/>
        <v/>
      </c>
      <c r="Q279" s="45">
        <f t="shared" si="37"/>
        <v>0</v>
      </c>
      <c r="R279" s="45">
        <f t="shared" si="38"/>
        <v>0</v>
      </c>
      <c r="S279" s="44">
        <f t="shared" si="39"/>
        <v>0</v>
      </c>
      <c r="T279" s="40"/>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row>
    <row r="280" spans="1:64" ht="14">
      <c r="A280" s="37"/>
      <c r="B280" s="38"/>
      <c r="C280" s="39">
        <f t="shared" si="32"/>
        <v>0</v>
      </c>
      <c r="D280" s="40"/>
      <c r="E280" s="40"/>
      <c r="F280" s="40"/>
      <c r="G280" s="40"/>
      <c r="H280" s="41"/>
      <c r="I280" s="42"/>
      <c r="J280" s="40"/>
      <c r="K280" s="42"/>
      <c r="L280" s="42"/>
      <c r="M280" s="43" t="str">
        <f t="shared" si="33"/>
        <v/>
      </c>
      <c r="N280" s="41" t="str">
        <f t="shared" si="34"/>
        <v/>
      </c>
      <c r="O280" s="41" t="str">
        <f t="shared" si="35"/>
        <v/>
      </c>
      <c r="P280" s="44" t="str">
        <f t="shared" si="36"/>
        <v/>
      </c>
      <c r="Q280" s="45">
        <f t="shared" si="37"/>
        <v>0</v>
      </c>
      <c r="R280" s="45">
        <f t="shared" si="38"/>
        <v>0</v>
      </c>
      <c r="S280" s="44">
        <f t="shared" si="39"/>
        <v>0</v>
      </c>
      <c r="T280" s="40"/>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row>
    <row r="281" spans="1:64" ht="14">
      <c r="A281" s="37"/>
      <c r="B281" s="38"/>
      <c r="C281" s="39">
        <f t="shared" si="32"/>
        <v>0</v>
      </c>
      <c r="D281" s="40"/>
      <c r="E281" s="40"/>
      <c r="F281" s="40"/>
      <c r="G281" s="40"/>
      <c r="H281" s="41"/>
      <c r="I281" s="42"/>
      <c r="J281" s="40"/>
      <c r="K281" s="42"/>
      <c r="L281" s="42"/>
      <c r="M281" s="43" t="str">
        <f t="shared" si="33"/>
        <v/>
      </c>
      <c r="N281" s="41" t="str">
        <f t="shared" si="34"/>
        <v/>
      </c>
      <c r="O281" s="41" t="str">
        <f t="shared" si="35"/>
        <v/>
      </c>
      <c r="P281" s="44" t="str">
        <f t="shared" si="36"/>
        <v/>
      </c>
      <c r="Q281" s="45">
        <f t="shared" si="37"/>
        <v>0</v>
      </c>
      <c r="R281" s="45">
        <f t="shared" si="38"/>
        <v>0</v>
      </c>
      <c r="S281" s="44">
        <f t="shared" si="39"/>
        <v>0</v>
      </c>
      <c r="T281" s="40"/>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row>
    <row r="282" spans="1:64" ht="14">
      <c r="A282" s="37"/>
      <c r="B282" s="38"/>
      <c r="C282" s="39">
        <f t="shared" si="32"/>
        <v>0</v>
      </c>
      <c r="D282" s="40"/>
      <c r="E282" s="40"/>
      <c r="F282" s="40"/>
      <c r="G282" s="40"/>
      <c r="H282" s="41"/>
      <c r="I282" s="42"/>
      <c r="J282" s="40"/>
      <c r="K282" s="42"/>
      <c r="L282" s="42"/>
      <c r="M282" s="43" t="str">
        <f t="shared" si="33"/>
        <v/>
      </c>
      <c r="N282" s="41" t="str">
        <f t="shared" si="34"/>
        <v/>
      </c>
      <c r="O282" s="41" t="str">
        <f t="shared" si="35"/>
        <v/>
      </c>
      <c r="P282" s="44" t="str">
        <f t="shared" si="36"/>
        <v/>
      </c>
      <c r="Q282" s="45">
        <f t="shared" si="37"/>
        <v>0</v>
      </c>
      <c r="R282" s="45">
        <f t="shared" si="38"/>
        <v>0</v>
      </c>
      <c r="S282" s="44">
        <f t="shared" si="39"/>
        <v>0</v>
      </c>
      <c r="T282" s="40"/>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row>
    <row r="283" spans="1:64" ht="14">
      <c r="A283" s="37"/>
      <c r="B283" s="38"/>
      <c r="C283" s="39">
        <f t="shared" si="32"/>
        <v>0</v>
      </c>
      <c r="D283" s="40"/>
      <c r="E283" s="40"/>
      <c r="F283" s="40"/>
      <c r="G283" s="40"/>
      <c r="H283" s="41"/>
      <c r="I283" s="42"/>
      <c r="J283" s="40"/>
      <c r="K283" s="42"/>
      <c r="L283" s="42"/>
      <c r="M283" s="43" t="str">
        <f t="shared" si="33"/>
        <v/>
      </c>
      <c r="N283" s="41" t="str">
        <f t="shared" si="34"/>
        <v/>
      </c>
      <c r="O283" s="41" t="str">
        <f t="shared" si="35"/>
        <v/>
      </c>
      <c r="P283" s="44" t="str">
        <f t="shared" si="36"/>
        <v/>
      </c>
      <c r="Q283" s="45">
        <f t="shared" si="37"/>
        <v>0</v>
      </c>
      <c r="R283" s="45">
        <f t="shared" si="38"/>
        <v>0</v>
      </c>
      <c r="S283" s="44">
        <f t="shared" si="39"/>
        <v>0</v>
      </c>
      <c r="T283" s="40"/>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row>
    <row r="284" spans="1:64" ht="14">
      <c r="A284" s="37"/>
      <c r="B284" s="38"/>
      <c r="C284" s="39">
        <f t="shared" si="32"/>
        <v>0</v>
      </c>
      <c r="D284" s="40"/>
      <c r="E284" s="40"/>
      <c r="F284" s="40"/>
      <c r="G284" s="40"/>
      <c r="H284" s="41"/>
      <c r="I284" s="42"/>
      <c r="J284" s="40"/>
      <c r="K284" s="42"/>
      <c r="L284" s="42"/>
      <c r="M284" s="43" t="str">
        <f t="shared" si="33"/>
        <v/>
      </c>
      <c r="N284" s="41" t="str">
        <f t="shared" si="34"/>
        <v/>
      </c>
      <c r="O284" s="41" t="str">
        <f t="shared" si="35"/>
        <v/>
      </c>
      <c r="P284" s="44" t="str">
        <f t="shared" si="36"/>
        <v/>
      </c>
      <c r="Q284" s="45">
        <f t="shared" si="37"/>
        <v>0</v>
      </c>
      <c r="R284" s="45">
        <f t="shared" si="38"/>
        <v>0</v>
      </c>
      <c r="S284" s="44">
        <f t="shared" si="39"/>
        <v>0</v>
      </c>
      <c r="T284" s="40"/>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row>
    <row r="285" spans="1:64" ht="14">
      <c r="A285" s="37"/>
      <c r="B285" s="38"/>
      <c r="C285" s="39">
        <f t="shared" si="32"/>
        <v>0</v>
      </c>
      <c r="D285" s="40"/>
      <c r="E285" s="40"/>
      <c r="F285" s="40"/>
      <c r="G285" s="40"/>
      <c r="H285" s="41"/>
      <c r="I285" s="42"/>
      <c r="J285" s="40"/>
      <c r="K285" s="42"/>
      <c r="L285" s="42"/>
      <c r="M285" s="43" t="str">
        <f t="shared" si="33"/>
        <v/>
      </c>
      <c r="N285" s="41" t="str">
        <f t="shared" si="34"/>
        <v/>
      </c>
      <c r="O285" s="41" t="str">
        <f t="shared" si="35"/>
        <v/>
      </c>
      <c r="P285" s="44" t="str">
        <f t="shared" si="36"/>
        <v/>
      </c>
      <c r="Q285" s="45">
        <f t="shared" si="37"/>
        <v>0</v>
      </c>
      <c r="R285" s="45">
        <f t="shared" si="38"/>
        <v>0</v>
      </c>
      <c r="S285" s="44">
        <f t="shared" si="39"/>
        <v>0</v>
      </c>
      <c r="T285" s="40"/>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row>
    <row r="286" spans="1:64" ht="14">
      <c r="A286" s="37"/>
      <c r="B286" s="38"/>
      <c r="C286" s="39">
        <f t="shared" si="32"/>
        <v>0</v>
      </c>
      <c r="D286" s="40"/>
      <c r="E286" s="40"/>
      <c r="F286" s="40"/>
      <c r="G286" s="40"/>
      <c r="H286" s="41"/>
      <c r="I286" s="42"/>
      <c r="J286" s="40"/>
      <c r="K286" s="42"/>
      <c r="L286" s="42"/>
      <c r="M286" s="43" t="str">
        <f t="shared" si="33"/>
        <v/>
      </c>
      <c r="N286" s="41" t="str">
        <f t="shared" si="34"/>
        <v/>
      </c>
      <c r="O286" s="41" t="str">
        <f t="shared" si="35"/>
        <v/>
      </c>
      <c r="P286" s="44" t="str">
        <f t="shared" si="36"/>
        <v/>
      </c>
      <c r="Q286" s="45">
        <f t="shared" si="37"/>
        <v>0</v>
      </c>
      <c r="R286" s="45">
        <f t="shared" si="38"/>
        <v>0</v>
      </c>
      <c r="S286" s="44">
        <f t="shared" si="39"/>
        <v>0</v>
      </c>
      <c r="T286" s="40"/>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row>
    <row r="287" spans="1:64" ht="14">
      <c r="A287" s="37"/>
      <c r="B287" s="38"/>
      <c r="C287" s="39">
        <f t="shared" si="32"/>
        <v>0</v>
      </c>
      <c r="D287" s="40"/>
      <c r="E287" s="40"/>
      <c r="F287" s="40"/>
      <c r="G287" s="40"/>
      <c r="H287" s="41"/>
      <c r="I287" s="42"/>
      <c r="J287" s="40"/>
      <c r="K287" s="42"/>
      <c r="L287" s="42"/>
      <c r="M287" s="43" t="str">
        <f t="shared" si="33"/>
        <v/>
      </c>
      <c r="N287" s="41" t="str">
        <f t="shared" si="34"/>
        <v/>
      </c>
      <c r="O287" s="41" t="str">
        <f t="shared" si="35"/>
        <v/>
      </c>
      <c r="P287" s="44" t="str">
        <f t="shared" si="36"/>
        <v/>
      </c>
      <c r="Q287" s="45">
        <f t="shared" si="37"/>
        <v>0</v>
      </c>
      <c r="R287" s="45">
        <f t="shared" si="38"/>
        <v>0</v>
      </c>
      <c r="S287" s="44">
        <f t="shared" si="39"/>
        <v>0</v>
      </c>
      <c r="T287" s="40"/>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row>
    <row r="288" spans="1:64" ht="14">
      <c r="A288" s="37"/>
      <c r="B288" s="38"/>
      <c r="C288" s="39">
        <f t="shared" si="32"/>
        <v>0</v>
      </c>
      <c r="D288" s="40"/>
      <c r="E288" s="40"/>
      <c r="F288" s="40"/>
      <c r="G288" s="40"/>
      <c r="H288" s="41"/>
      <c r="I288" s="42"/>
      <c r="J288" s="40"/>
      <c r="K288" s="42"/>
      <c r="L288" s="42"/>
      <c r="M288" s="43" t="str">
        <f t="shared" si="33"/>
        <v/>
      </c>
      <c r="N288" s="41" t="str">
        <f t="shared" si="34"/>
        <v/>
      </c>
      <c r="O288" s="41" t="str">
        <f t="shared" si="35"/>
        <v/>
      </c>
      <c r="P288" s="44" t="str">
        <f t="shared" si="36"/>
        <v/>
      </c>
      <c r="Q288" s="45">
        <f t="shared" si="37"/>
        <v>0</v>
      </c>
      <c r="R288" s="45">
        <f t="shared" si="38"/>
        <v>0</v>
      </c>
      <c r="S288" s="44">
        <f t="shared" si="39"/>
        <v>0</v>
      </c>
      <c r="T288" s="40"/>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row>
    <row r="289" spans="1:64" ht="14">
      <c r="A289" s="37"/>
      <c r="B289" s="38"/>
      <c r="C289" s="39">
        <f t="shared" si="32"/>
        <v>0</v>
      </c>
      <c r="D289" s="40"/>
      <c r="E289" s="40"/>
      <c r="F289" s="40"/>
      <c r="G289" s="40"/>
      <c r="H289" s="41"/>
      <c r="I289" s="42"/>
      <c r="J289" s="40"/>
      <c r="K289" s="42"/>
      <c r="L289" s="42"/>
      <c r="M289" s="43" t="str">
        <f t="shared" si="33"/>
        <v/>
      </c>
      <c r="N289" s="41" t="str">
        <f t="shared" si="34"/>
        <v/>
      </c>
      <c r="O289" s="41" t="str">
        <f t="shared" si="35"/>
        <v/>
      </c>
      <c r="P289" s="44" t="str">
        <f t="shared" si="36"/>
        <v/>
      </c>
      <c r="Q289" s="45">
        <f t="shared" si="37"/>
        <v>0</v>
      </c>
      <c r="R289" s="45">
        <f t="shared" si="38"/>
        <v>0</v>
      </c>
      <c r="S289" s="44">
        <f t="shared" si="39"/>
        <v>0</v>
      </c>
      <c r="T289" s="40"/>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row>
    <row r="290" spans="1:64" ht="14">
      <c r="A290" s="37"/>
      <c r="B290" s="38"/>
      <c r="C290" s="39">
        <f t="shared" si="32"/>
        <v>0</v>
      </c>
      <c r="D290" s="40"/>
      <c r="E290" s="40"/>
      <c r="F290" s="40"/>
      <c r="G290" s="40"/>
      <c r="H290" s="41"/>
      <c r="I290" s="42"/>
      <c r="J290" s="40"/>
      <c r="K290" s="42"/>
      <c r="L290" s="42"/>
      <c r="M290" s="43" t="str">
        <f t="shared" si="33"/>
        <v/>
      </c>
      <c r="N290" s="41" t="str">
        <f t="shared" si="34"/>
        <v/>
      </c>
      <c r="O290" s="41" t="str">
        <f t="shared" si="35"/>
        <v/>
      </c>
      <c r="P290" s="44" t="str">
        <f t="shared" si="36"/>
        <v/>
      </c>
      <c r="Q290" s="45">
        <f t="shared" si="37"/>
        <v>0</v>
      </c>
      <c r="R290" s="45">
        <f t="shared" si="38"/>
        <v>0</v>
      </c>
      <c r="S290" s="44">
        <f t="shared" si="39"/>
        <v>0</v>
      </c>
      <c r="T290" s="40"/>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row>
    <row r="291" spans="1:64" ht="14">
      <c r="A291" s="37"/>
      <c r="B291" s="38"/>
      <c r="C291" s="39">
        <f t="shared" si="32"/>
        <v>0</v>
      </c>
      <c r="D291" s="40"/>
      <c r="E291" s="40"/>
      <c r="F291" s="40"/>
      <c r="G291" s="40"/>
      <c r="H291" s="41"/>
      <c r="I291" s="42"/>
      <c r="J291" s="40"/>
      <c r="K291" s="42"/>
      <c r="L291" s="42"/>
      <c r="M291" s="43" t="str">
        <f t="shared" si="33"/>
        <v/>
      </c>
      <c r="N291" s="41" t="str">
        <f t="shared" si="34"/>
        <v/>
      </c>
      <c r="O291" s="41" t="str">
        <f t="shared" si="35"/>
        <v/>
      </c>
      <c r="P291" s="44" t="str">
        <f t="shared" si="36"/>
        <v/>
      </c>
      <c r="Q291" s="45">
        <f t="shared" si="37"/>
        <v>0</v>
      </c>
      <c r="R291" s="45">
        <f t="shared" si="38"/>
        <v>0</v>
      </c>
      <c r="S291" s="44">
        <f t="shared" si="39"/>
        <v>0</v>
      </c>
      <c r="T291" s="40"/>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row>
    <row r="292" spans="1:64" ht="14">
      <c r="A292" s="37"/>
      <c r="B292" s="38"/>
      <c r="C292" s="39">
        <f t="shared" si="32"/>
        <v>0</v>
      </c>
      <c r="D292" s="40"/>
      <c r="E292" s="40"/>
      <c r="F292" s="40"/>
      <c r="G292" s="40"/>
      <c r="H292" s="41"/>
      <c r="I292" s="42"/>
      <c r="J292" s="40"/>
      <c r="K292" s="42"/>
      <c r="L292" s="42"/>
      <c r="M292" s="43" t="str">
        <f t="shared" si="33"/>
        <v/>
      </c>
      <c r="N292" s="41" t="str">
        <f t="shared" si="34"/>
        <v/>
      </c>
      <c r="O292" s="41" t="str">
        <f t="shared" si="35"/>
        <v/>
      </c>
      <c r="P292" s="44" t="str">
        <f t="shared" si="36"/>
        <v/>
      </c>
      <c r="Q292" s="45">
        <f t="shared" si="37"/>
        <v>0</v>
      </c>
      <c r="R292" s="45">
        <f t="shared" si="38"/>
        <v>0</v>
      </c>
      <c r="S292" s="44">
        <f t="shared" si="39"/>
        <v>0</v>
      </c>
      <c r="T292" s="40"/>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row>
    <row r="293" spans="1:64" ht="14">
      <c r="A293" s="37"/>
      <c r="B293" s="38"/>
      <c r="C293" s="39">
        <f t="shared" si="32"/>
        <v>0</v>
      </c>
      <c r="D293" s="40"/>
      <c r="E293" s="40"/>
      <c r="F293" s="40"/>
      <c r="G293" s="40"/>
      <c r="H293" s="41"/>
      <c r="I293" s="42"/>
      <c r="J293" s="40"/>
      <c r="K293" s="42"/>
      <c r="L293" s="42"/>
      <c r="M293" s="43" t="str">
        <f t="shared" si="33"/>
        <v/>
      </c>
      <c r="N293" s="41" t="str">
        <f t="shared" si="34"/>
        <v/>
      </c>
      <c r="O293" s="41" t="str">
        <f t="shared" si="35"/>
        <v/>
      </c>
      <c r="P293" s="44" t="str">
        <f t="shared" si="36"/>
        <v/>
      </c>
      <c r="Q293" s="45">
        <f t="shared" si="37"/>
        <v>0</v>
      </c>
      <c r="R293" s="45">
        <f t="shared" si="38"/>
        <v>0</v>
      </c>
      <c r="S293" s="44">
        <f t="shared" si="39"/>
        <v>0</v>
      </c>
      <c r="T293" s="40"/>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row>
    <row r="294" spans="1:64" ht="14">
      <c r="A294" s="37"/>
      <c r="B294" s="38"/>
      <c r="C294" s="39">
        <f t="shared" si="32"/>
        <v>0</v>
      </c>
      <c r="D294" s="40"/>
      <c r="E294" s="40"/>
      <c r="F294" s="40"/>
      <c r="G294" s="40"/>
      <c r="H294" s="41"/>
      <c r="I294" s="42"/>
      <c r="J294" s="40"/>
      <c r="K294" s="42"/>
      <c r="L294" s="42"/>
      <c r="M294" s="43" t="str">
        <f t="shared" si="33"/>
        <v/>
      </c>
      <c r="N294" s="41" t="str">
        <f t="shared" si="34"/>
        <v/>
      </c>
      <c r="O294" s="41" t="str">
        <f t="shared" si="35"/>
        <v/>
      </c>
      <c r="P294" s="44" t="str">
        <f t="shared" si="36"/>
        <v/>
      </c>
      <c r="Q294" s="45">
        <f t="shared" si="37"/>
        <v>0</v>
      </c>
      <c r="R294" s="45">
        <f t="shared" si="38"/>
        <v>0</v>
      </c>
      <c r="S294" s="44">
        <f t="shared" si="39"/>
        <v>0</v>
      </c>
      <c r="T294" s="40"/>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row>
    <row r="295" spans="1:64" ht="14">
      <c r="A295" s="37"/>
      <c r="B295" s="38"/>
      <c r="C295" s="39">
        <f t="shared" si="32"/>
        <v>0</v>
      </c>
      <c r="D295" s="40"/>
      <c r="E295" s="40"/>
      <c r="F295" s="40"/>
      <c r="G295" s="40"/>
      <c r="H295" s="41"/>
      <c r="I295" s="42"/>
      <c r="J295" s="40"/>
      <c r="K295" s="42"/>
      <c r="L295" s="42"/>
      <c r="M295" s="43" t="str">
        <f t="shared" si="33"/>
        <v/>
      </c>
      <c r="N295" s="41" t="str">
        <f t="shared" si="34"/>
        <v/>
      </c>
      <c r="O295" s="41" t="str">
        <f t="shared" si="35"/>
        <v/>
      </c>
      <c r="P295" s="44" t="str">
        <f t="shared" si="36"/>
        <v/>
      </c>
      <c r="Q295" s="45">
        <f t="shared" si="37"/>
        <v>0</v>
      </c>
      <c r="R295" s="45">
        <f t="shared" si="38"/>
        <v>0</v>
      </c>
      <c r="S295" s="44">
        <f t="shared" si="39"/>
        <v>0</v>
      </c>
      <c r="T295" s="40"/>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row>
    <row r="296" spans="1:64" ht="14">
      <c r="A296" s="37"/>
      <c r="B296" s="38"/>
      <c r="C296" s="39">
        <f t="shared" si="32"/>
        <v>0</v>
      </c>
      <c r="D296" s="40"/>
      <c r="E296" s="40"/>
      <c r="F296" s="40"/>
      <c r="G296" s="40"/>
      <c r="H296" s="41"/>
      <c r="I296" s="42"/>
      <c r="J296" s="40"/>
      <c r="K296" s="42"/>
      <c r="L296" s="42"/>
      <c r="M296" s="43" t="str">
        <f t="shared" si="33"/>
        <v/>
      </c>
      <c r="N296" s="41" t="str">
        <f t="shared" si="34"/>
        <v/>
      </c>
      <c r="O296" s="41" t="str">
        <f t="shared" si="35"/>
        <v/>
      </c>
      <c r="P296" s="44" t="str">
        <f t="shared" si="36"/>
        <v/>
      </c>
      <c r="Q296" s="45">
        <f t="shared" si="37"/>
        <v>0</v>
      </c>
      <c r="R296" s="45">
        <f t="shared" si="38"/>
        <v>0</v>
      </c>
      <c r="S296" s="44">
        <f t="shared" si="39"/>
        <v>0</v>
      </c>
      <c r="T296" s="40"/>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row>
    <row r="297" spans="1:64" ht="14">
      <c r="A297" s="37"/>
      <c r="B297" s="38"/>
      <c r="C297" s="39">
        <f t="shared" si="32"/>
        <v>0</v>
      </c>
      <c r="D297" s="40"/>
      <c r="E297" s="40"/>
      <c r="F297" s="40"/>
      <c r="G297" s="40"/>
      <c r="H297" s="41"/>
      <c r="I297" s="42"/>
      <c r="J297" s="40"/>
      <c r="K297" s="42"/>
      <c r="L297" s="42"/>
      <c r="M297" s="43" t="str">
        <f t="shared" si="33"/>
        <v/>
      </c>
      <c r="N297" s="41" t="str">
        <f t="shared" si="34"/>
        <v/>
      </c>
      <c r="O297" s="41" t="str">
        <f t="shared" si="35"/>
        <v/>
      </c>
      <c r="P297" s="44" t="str">
        <f t="shared" si="36"/>
        <v/>
      </c>
      <c r="Q297" s="45">
        <f t="shared" si="37"/>
        <v>0</v>
      </c>
      <c r="R297" s="45">
        <f t="shared" si="38"/>
        <v>0</v>
      </c>
      <c r="S297" s="44">
        <f t="shared" si="39"/>
        <v>0</v>
      </c>
      <c r="T297" s="40"/>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row>
    <row r="298" spans="1:64" ht="14">
      <c r="A298" s="37"/>
      <c r="B298" s="38"/>
      <c r="C298" s="39">
        <f t="shared" si="32"/>
        <v>0</v>
      </c>
      <c r="D298" s="40"/>
      <c r="E298" s="40"/>
      <c r="F298" s="40"/>
      <c r="G298" s="40"/>
      <c r="H298" s="41"/>
      <c r="I298" s="42"/>
      <c r="J298" s="40"/>
      <c r="K298" s="42"/>
      <c r="L298" s="42"/>
      <c r="M298" s="43" t="str">
        <f t="shared" si="33"/>
        <v/>
      </c>
      <c r="N298" s="41" t="str">
        <f t="shared" si="34"/>
        <v/>
      </c>
      <c r="O298" s="41" t="str">
        <f t="shared" si="35"/>
        <v/>
      </c>
      <c r="P298" s="44" t="str">
        <f t="shared" si="36"/>
        <v/>
      </c>
      <c r="Q298" s="45">
        <f t="shared" si="37"/>
        <v>0</v>
      </c>
      <c r="R298" s="45">
        <f t="shared" si="38"/>
        <v>0</v>
      </c>
      <c r="S298" s="44">
        <f t="shared" si="39"/>
        <v>0</v>
      </c>
      <c r="T298" s="40"/>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row>
    <row r="299" spans="1:64" ht="14">
      <c r="A299" s="37"/>
      <c r="B299" s="38"/>
      <c r="C299" s="39">
        <f t="shared" si="32"/>
        <v>0</v>
      </c>
      <c r="D299" s="40"/>
      <c r="E299" s="40"/>
      <c r="F299" s="40"/>
      <c r="G299" s="40"/>
      <c r="H299" s="41"/>
      <c r="I299" s="42"/>
      <c r="J299" s="40"/>
      <c r="K299" s="42"/>
      <c r="L299" s="42"/>
      <c r="M299" s="43" t="str">
        <f t="shared" si="33"/>
        <v/>
      </c>
      <c r="N299" s="41" t="str">
        <f t="shared" si="34"/>
        <v/>
      </c>
      <c r="O299" s="41" t="str">
        <f t="shared" si="35"/>
        <v/>
      </c>
      <c r="P299" s="44" t="str">
        <f t="shared" si="36"/>
        <v/>
      </c>
      <c r="Q299" s="45">
        <f t="shared" si="37"/>
        <v>0</v>
      </c>
      <c r="R299" s="45">
        <f t="shared" si="38"/>
        <v>0</v>
      </c>
      <c r="S299" s="44">
        <f t="shared" si="39"/>
        <v>0</v>
      </c>
      <c r="T299" s="40"/>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row>
    <row r="300" spans="1:64" ht="14">
      <c r="A300" s="37"/>
      <c r="B300" s="38"/>
      <c r="C300" s="39">
        <f t="shared" si="32"/>
        <v>0</v>
      </c>
      <c r="D300" s="40"/>
      <c r="E300" s="40"/>
      <c r="F300" s="40"/>
      <c r="G300" s="40"/>
      <c r="H300" s="41"/>
      <c r="I300" s="42"/>
      <c r="J300" s="40"/>
      <c r="K300" s="42"/>
      <c r="L300" s="42"/>
      <c r="M300" s="43" t="str">
        <f t="shared" si="33"/>
        <v/>
      </c>
      <c r="N300" s="41" t="str">
        <f t="shared" si="34"/>
        <v/>
      </c>
      <c r="O300" s="41" t="str">
        <f t="shared" si="35"/>
        <v/>
      </c>
      <c r="P300" s="44" t="str">
        <f t="shared" si="36"/>
        <v/>
      </c>
      <c r="Q300" s="45">
        <f t="shared" si="37"/>
        <v>0</v>
      </c>
      <c r="R300" s="45">
        <f t="shared" si="38"/>
        <v>0</v>
      </c>
      <c r="S300" s="44">
        <f t="shared" si="39"/>
        <v>0</v>
      </c>
      <c r="T300" s="40"/>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row>
    <row r="301" spans="1:64" ht="14">
      <c r="A301" s="37"/>
      <c r="B301" s="38"/>
      <c r="C301" s="39">
        <f t="shared" si="32"/>
        <v>0</v>
      </c>
      <c r="D301" s="40"/>
      <c r="E301" s="40"/>
      <c r="F301" s="40"/>
      <c r="G301" s="40"/>
      <c r="H301" s="41"/>
      <c r="I301" s="42"/>
      <c r="J301" s="40"/>
      <c r="K301" s="42"/>
      <c r="L301" s="42"/>
      <c r="M301" s="43" t="str">
        <f t="shared" si="33"/>
        <v/>
      </c>
      <c r="N301" s="41" t="str">
        <f t="shared" si="34"/>
        <v/>
      </c>
      <c r="O301" s="41" t="str">
        <f t="shared" si="35"/>
        <v/>
      </c>
      <c r="P301" s="44" t="str">
        <f t="shared" si="36"/>
        <v/>
      </c>
      <c r="Q301" s="45">
        <f t="shared" si="37"/>
        <v>0</v>
      </c>
      <c r="R301" s="45">
        <f t="shared" si="38"/>
        <v>0</v>
      </c>
      <c r="S301" s="44">
        <f t="shared" si="39"/>
        <v>0</v>
      </c>
      <c r="T301" s="40"/>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row>
    <row r="302" spans="1:64" ht="14">
      <c r="A302" s="37"/>
      <c r="B302" s="38"/>
      <c r="C302" s="39">
        <f t="shared" si="32"/>
        <v>0</v>
      </c>
      <c r="D302" s="40"/>
      <c r="E302" s="40"/>
      <c r="F302" s="40"/>
      <c r="G302" s="40"/>
      <c r="H302" s="41"/>
      <c r="I302" s="42"/>
      <c r="J302" s="40"/>
      <c r="K302" s="42"/>
      <c r="L302" s="42"/>
      <c r="M302" s="43" t="str">
        <f t="shared" si="33"/>
        <v/>
      </c>
      <c r="N302" s="41" t="str">
        <f t="shared" si="34"/>
        <v/>
      </c>
      <c r="O302" s="41" t="str">
        <f t="shared" si="35"/>
        <v/>
      </c>
      <c r="P302" s="44" t="str">
        <f t="shared" si="36"/>
        <v/>
      </c>
      <c r="Q302" s="45">
        <f t="shared" si="37"/>
        <v>0</v>
      </c>
      <c r="R302" s="45">
        <f t="shared" si="38"/>
        <v>0</v>
      </c>
      <c r="S302" s="44">
        <f t="shared" si="39"/>
        <v>0</v>
      </c>
      <c r="T302" s="40"/>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row>
    <row r="303" spans="1:64" ht="14">
      <c r="A303" s="37"/>
      <c r="B303" s="38"/>
      <c r="C303" s="39">
        <f t="shared" si="32"/>
        <v>0</v>
      </c>
      <c r="D303" s="40"/>
      <c r="E303" s="40"/>
      <c r="F303" s="40"/>
      <c r="G303" s="40"/>
      <c r="H303" s="41"/>
      <c r="I303" s="42"/>
      <c r="J303" s="40"/>
      <c r="K303" s="42"/>
      <c r="L303" s="42"/>
      <c r="M303" s="43" t="str">
        <f t="shared" si="33"/>
        <v/>
      </c>
      <c r="N303" s="41" t="str">
        <f t="shared" si="34"/>
        <v/>
      </c>
      <c r="O303" s="41" t="str">
        <f t="shared" si="35"/>
        <v/>
      </c>
      <c r="P303" s="44" t="str">
        <f t="shared" si="36"/>
        <v/>
      </c>
      <c r="Q303" s="45">
        <f t="shared" si="37"/>
        <v>0</v>
      </c>
      <c r="R303" s="45">
        <f t="shared" si="38"/>
        <v>0</v>
      </c>
      <c r="S303" s="44">
        <f t="shared" si="39"/>
        <v>0</v>
      </c>
      <c r="T303" s="40"/>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row>
    <row r="304" spans="1:64" ht="14">
      <c r="A304" s="37"/>
      <c r="B304" s="38"/>
      <c r="C304" s="39">
        <f t="shared" si="32"/>
        <v>0</v>
      </c>
      <c r="D304" s="40"/>
      <c r="E304" s="40"/>
      <c r="F304" s="40"/>
      <c r="G304" s="40"/>
      <c r="H304" s="41"/>
      <c r="I304" s="42"/>
      <c r="J304" s="40"/>
      <c r="K304" s="42"/>
      <c r="L304" s="42"/>
      <c r="M304" s="43" t="str">
        <f t="shared" si="33"/>
        <v/>
      </c>
      <c r="N304" s="41" t="str">
        <f t="shared" si="34"/>
        <v/>
      </c>
      <c r="O304" s="41" t="str">
        <f t="shared" si="35"/>
        <v/>
      </c>
      <c r="P304" s="44" t="str">
        <f t="shared" si="36"/>
        <v/>
      </c>
      <c r="Q304" s="45">
        <f t="shared" si="37"/>
        <v>0</v>
      </c>
      <c r="R304" s="45">
        <f t="shared" si="38"/>
        <v>0</v>
      </c>
      <c r="S304" s="44">
        <f t="shared" si="39"/>
        <v>0</v>
      </c>
      <c r="T304" s="40"/>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row>
    <row r="305" spans="1:64" ht="14">
      <c r="A305" s="37"/>
      <c r="B305" s="38"/>
      <c r="C305" s="39">
        <f t="shared" si="32"/>
        <v>0</v>
      </c>
      <c r="D305" s="40"/>
      <c r="E305" s="40"/>
      <c r="F305" s="40"/>
      <c r="G305" s="40"/>
      <c r="H305" s="41"/>
      <c r="I305" s="42"/>
      <c r="J305" s="40"/>
      <c r="K305" s="42"/>
      <c r="L305" s="42"/>
      <c r="M305" s="43" t="str">
        <f t="shared" si="33"/>
        <v/>
      </c>
      <c r="N305" s="41" t="str">
        <f t="shared" si="34"/>
        <v/>
      </c>
      <c r="O305" s="41" t="str">
        <f t="shared" si="35"/>
        <v/>
      </c>
      <c r="P305" s="44" t="str">
        <f t="shared" si="36"/>
        <v/>
      </c>
      <c r="Q305" s="45">
        <f t="shared" si="37"/>
        <v>0</v>
      </c>
      <c r="R305" s="45">
        <f t="shared" si="38"/>
        <v>0</v>
      </c>
      <c r="S305" s="44">
        <f t="shared" si="39"/>
        <v>0</v>
      </c>
      <c r="T305" s="40"/>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row>
    <row r="306" spans="1:64" ht="14">
      <c r="A306" s="37"/>
      <c r="B306" s="38"/>
      <c r="C306" s="39">
        <f t="shared" si="32"/>
        <v>0</v>
      </c>
      <c r="D306" s="40"/>
      <c r="E306" s="40"/>
      <c r="F306" s="40"/>
      <c r="G306" s="40"/>
      <c r="H306" s="41"/>
      <c r="I306" s="42"/>
      <c r="J306" s="40"/>
      <c r="K306" s="42"/>
      <c r="L306" s="42"/>
      <c r="M306" s="43" t="str">
        <f t="shared" si="33"/>
        <v/>
      </c>
      <c r="N306" s="41" t="str">
        <f t="shared" si="34"/>
        <v/>
      </c>
      <c r="O306" s="41" t="str">
        <f t="shared" si="35"/>
        <v/>
      </c>
      <c r="P306" s="44" t="str">
        <f t="shared" si="36"/>
        <v/>
      </c>
      <c r="Q306" s="45">
        <f t="shared" si="37"/>
        <v>0</v>
      </c>
      <c r="R306" s="45">
        <f t="shared" si="38"/>
        <v>0</v>
      </c>
      <c r="S306" s="44">
        <f t="shared" si="39"/>
        <v>0</v>
      </c>
      <c r="T306" s="40"/>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row>
    <row r="307" spans="1:64" ht="14">
      <c r="A307" s="37"/>
      <c r="B307" s="38"/>
      <c r="C307" s="39">
        <f t="shared" si="32"/>
        <v>0</v>
      </c>
      <c r="D307" s="40"/>
      <c r="E307" s="40"/>
      <c r="F307" s="40"/>
      <c r="G307" s="40"/>
      <c r="H307" s="41"/>
      <c r="I307" s="42"/>
      <c r="J307" s="40"/>
      <c r="K307" s="42"/>
      <c r="L307" s="42"/>
      <c r="M307" s="43" t="str">
        <f t="shared" si="33"/>
        <v/>
      </c>
      <c r="N307" s="41" t="str">
        <f t="shared" si="34"/>
        <v/>
      </c>
      <c r="O307" s="41" t="str">
        <f t="shared" si="35"/>
        <v/>
      </c>
      <c r="P307" s="44" t="str">
        <f t="shared" si="36"/>
        <v/>
      </c>
      <c r="Q307" s="45">
        <f t="shared" si="37"/>
        <v>0</v>
      </c>
      <c r="R307" s="45">
        <f t="shared" si="38"/>
        <v>0</v>
      </c>
      <c r="S307" s="44">
        <f t="shared" si="39"/>
        <v>0</v>
      </c>
      <c r="T307" s="40"/>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row>
    <row r="308" spans="1:64" ht="14">
      <c r="A308" s="37"/>
      <c r="B308" s="38"/>
      <c r="C308" s="39">
        <f t="shared" si="32"/>
        <v>0</v>
      </c>
      <c r="D308" s="40"/>
      <c r="E308" s="40"/>
      <c r="F308" s="40"/>
      <c r="G308" s="40"/>
      <c r="H308" s="41"/>
      <c r="I308" s="42"/>
      <c r="J308" s="40"/>
      <c r="K308" s="42"/>
      <c r="L308" s="42"/>
      <c r="M308" s="43" t="str">
        <f t="shared" si="33"/>
        <v/>
      </c>
      <c r="N308" s="41" t="str">
        <f t="shared" si="34"/>
        <v/>
      </c>
      <c r="O308" s="41" t="str">
        <f t="shared" si="35"/>
        <v/>
      </c>
      <c r="P308" s="44" t="str">
        <f t="shared" si="36"/>
        <v/>
      </c>
      <c r="Q308" s="45">
        <f t="shared" si="37"/>
        <v>0</v>
      </c>
      <c r="R308" s="45">
        <f t="shared" si="38"/>
        <v>0</v>
      </c>
      <c r="S308" s="44">
        <f t="shared" si="39"/>
        <v>0</v>
      </c>
      <c r="T308" s="40"/>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row>
    <row r="309" spans="1:64" ht="14">
      <c r="A309" s="37"/>
      <c r="B309" s="38"/>
      <c r="C309" s="39">
        <f t="shared" si="32"/>
        <v>0</v>
      </c>
      <c r="D309" s="40"/>
      <c r="E309" s="40"/>
      <c r="F309" s="40"/>
      <c r="G309" s="40"/>
      <c r="H309" s="41"/>
      <c r="I309" s="42"/>
      <c r="J309" s="40"/>
      <c r="K309" s="42"/>
      <c r="L309" s="42"/>
      <c r="M309" s="43" t="str">
        <f t="shared" si="33"/>
        <v/>
      </c>
      <c r="N309" s="41" t="str">
        <f t="shared" si="34"/>
        <v/>
      </c>
      <c r="O309" s="41" t="str">
        <f t="shared" si="35"/>
        <v/>
      </c>
      <c r="P309" s="44" t="str">
        <f t="shared" si="36"/>
        <v/>
      </c>
      <c r="Q309" s="45">
        <f t="shared" si="37"/>
        <v>0</v>
      </c>
      <c r="R309" s="45">
        <f t="shared" si="38"/>
        <v>0</v>
      </c>
      <c r="S309" s="44">
        <f t="shared" si="39"/>
        <v>0</v>
      </c>
      <c r="T309" s="40"/>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row>
    <row r="310" spans="1:64" ht="14">
      <c r="A310" s="37"/>
      <c r="B310" s="38"/>
      <c r="C310" s="39">
        <f t="shared" si="32"/>
        <v>0</v>
      </c>
      <c r="D310" s="40"/>
      <c r="E310" s="40"/>
      <c r="F310" s="40"/>
      <c r="G310" s="40"/>
      <c r="H310" s="41"/>
      <c r="I310" s="42"/>
      <c r="J310" s="40"/>
      <c r="K310" s="42"/>
      <c r="L310" s="42"/>
      <c r="M310" s="43" t="str">
        <f t="shared" si="33"/>
        <v/>
      </c>
      <c r="N310" s="41" t="str">
        <f t="shared" si="34"/>
        <v/>
      </c>
      <c r="O310" s="41" t="str">
        <f t="shared" si="35"/>
        <v/>
      </c>
      <c r="P310" s="44" t="str">
        <f t="shared" si="36"/>
        <v/>
      </c>
      <c r="Q310" s="45">
        <f t="shared" si="37"/>
        <v>0</v>
      </c>
      <c r="R310" s="45">
        <f t="shared" si="38"/>
        <v>0</v>
      </c>
      <c r="S310" s="44">
        <f t="shared" si="39"/>
        <v>0</v>
      </c>
      <c r="T310" s="40"/>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row>
    <row r="311" spans="1:64" ht="14">
      <c r="A311" s="37"/>
      <c r="B311" s="38"/>
      <c r="C311" s="39">
        <f t="shared" si="32"/>
        <v>0</v>
      </c>
      <c r="D311" s="40"/>
      <c r="E311" s="40"/>
      <c r="F311" s="40"/>
      <c r="G311" s="40"/>
      <c r="H311" s="41"/>
      <c r="I311" s="42"/>
      <c r="J311" s="40"/>
      <c r="K311" s="42"/>
      <c r="L311" s="42"/>
      <c r="M311" s="43" t="str">
        <f t="shared" si="33"/>
        <v/>
      </c>
      <c r="N311" s="41" t="str">
        <f t="shared" si="34"/>
        <v/>
      </c>
      <c r="O311" s="41" t="str">
        <f t="shared" si="35"/>
        <v/>
      </c>
      <c r="P311" s="44" t="str">
        <f t="shared" si="36"/>
        <v/>
      </c>
      <c r="Q311" s="45">
        <f t="shared" si="37"/>
        <v>0</v>
      </c>
      <c r="R311" s="45">
        <f t="shared" si="38"/>
        <v>0</v>
      </c>
      <c r="S311" s="44">
        <f t="shared" si="39"/>
        <v>0</v>
      </c>
      <c r="T311" s="40"/>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row>
    <row r="312" spans="1:64" ht="14">
      <c r="A312" s="37"/>
      <c r="B312" s="38"/>
      <c r="C312" s="39">
        <f t="shared" si="32"/>
        <v>0</v>
      </c>
      <c r="D312" s="40"/>
      <c r="E312" s="40"/>
      <c r="F312" s="40"/>
      <c r="G312" s="40"/>
      <c r="H312" s="41"/>
      <c r="I312" s="42"/>
      <c r="J312" s="40"/>
      <c r="K312" s="42"/>
      <c r="L312" s="42"/>
      <c r="M312" s="43" t="str">
        <f t="shared" si="33"/>
        <v/>
      </c>
      <c r="N312" s="41" t="str">
        <f t="shared" si="34"/>
        <v/>
      </c>
      <c r="O312" s="41" t="str">
        <f t="shared" si="35"/>
        <v/>
      </c>
      <c r="P312" s="44" t="str">
        <f t="shared" si="36"/>
        <v/>
      </c>
      <c r="Q312" s="45">
        <f t="shared" si="37"/>
        <v>0</v>
      </c>
      <c r="R312" s="45">
        <f t="shared" si="38"/>
        <v>0</v>
      </c>
      <c r="S312" s="44">
        <f t="shared" si="39"/>
        <v>0</v>
      </c>
      <c r="T312" s="40"/>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row>
    <row r="313" spans="1:64" ht="14">
      <c r="A313" s="37"/>
      <c r="B313" s="38"/>
      <c r="C313" s="39">
        <f t="shared" si="32"/>
        <v>0</v>
      </c>
      <c r="D313" s="40"/>
      <c r="E313" s="40"/>
      <c r="F313" s="40"/>
      <c r="G313" s="40"/>
      <c r="H313" s="41"/>
      <c r="I313" s="42"/>
      <c r="J313" s="40"/>
      <c r="K313" s="42"/>
      <c r="L313" s="42"/>
      <c r="M313" s="43" t="str">
        <f t="shared" si="33"/>
        <v/>
      </c>
      <c r="N313" s="41" t="str">
        <f t="shared" si="34"/>
        <v/>
      </c>
      <c r="O313" s="41" t="str">
        <f t="shared" si="35"/>
        <v/>
      </c>
      <c r="P313" s="44" t="str">
        <f t="shared" si="36"/>
        <v/>
      </c>
      <c r="Q313" s="45">
        <f t="shared" si="37"/>
        <v>0</v>
      </c>
      <c r="R313" s="45">
        <f t="shared" si="38"/>
        <v>0</v>
      </c>
      <c r="S313" s="44">
        <f t="shared" si="39"/>
        <v>0</v>
      </c>
      <c r="T313" s="40"/>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row>
    <row r="314" spans="1:64" ht="14">
      <c r="A314" s="37"/>
      <c r="B314" s="38"/>
      <c r="C314" s="39">
        <f t="shared" si="32"/>
        <v>0</v>
      </c>
      <c r="D314" s="40"/>
      <c r="E314" s="40"/>
      <c r="F314" s="40"/>
      <c r="G314" s="40"/>
      <c r="H314" s="41"/>
      <c r="I314" s="42"/>
      <c r="J314" s="40"/>
      <c r="K314" s="42"/>
      <c r="L314" s="42"/>
      <c r="M314" s="43" t="str">
        <f t="shared" si="33"/>
        <v/>
      </c>
      <c r="N314" s="41" t="str">
        <f t="shared" si="34"/>
        <v/>
      </c>
      <c r="O314" s="41" t="str">
        <f t="shared" si="35"/>
        <v/>
      </c>
      <c r="P314" s="44" t="str">
        <f t="shared" si="36"/>
        <v/>
      </c>
      <c r="Q314" s="45">
        <f t="shared" si="37"/>
        <v>0</v>
      </c>
      <c r="R314" s="45">
        <f t="shared" si="38"/>
        <v>0</v>
      </c>
      <c r="S314" s="44">
        <f t="shared" si="39"/>
        <v>0</v>
      </c>
      <c r="T314" s="40"/>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row>
    <row r="315" spans="1:64" ht="14">
      <c r="A315" s="37"/>
      <c r="B315" s="38"/>
      <c r="C315" s="39">
        <f t="shared" si="32"/>
        <v>0</v>
      </c>
      <c r="D315" s="40"/>
      <c r="E315" s="40"/>
      <c r="F315" s="40"/>
      <c r="G315" s="40"/>
      <c r="H315" s="41"/>
      <c r="I315" s="42"/>
      <c r="J315" s="40"/>
      <c r="K315" s="42"/>
      <c r="L315" s="42"/>
      <c r="M315" s="43" t="str">
        <f t="shared" si="33"/>
        <v/>
      </c>
      <c r="N315" s="41" t="str">
        <f t="shared" si="34"/>
        <v/>
      </c>
      <c r="O315" s="41" t="str">
        <f t="shared" si="35"/>
        <v/>
      </c>
      <c r="P315" s="44" t="str">
        <f t="shared" si="36"/>
        <v/>
      </c>
      <c r="Q315" s="45">
        <f t="shared" si="37"/>
        <v>0</v>
      </c>
      <c r="R315" s="45">
        <f t="shared" si="38"/>
        <v>0</v>
      </c>
      <c r="S315" s="44">
        <f t="shared" si="39"/>
        <v>0</v>
      </c>
      <c r="T315" s="40"/>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row>
    <row r="316" spans="1:64" ht="14">
      <c r="A316" s="37"/>
      <c r="B316" s="38"/>
      <c r="C316" s="39">
        <f t="shared" si="32"/>
        <v>0</v>
      </c>
      <c r="D316" s="40"/>
      <c r="E316" s="40"/>
      <c r="F316" s="40"/>
      <c r="G316" s="40"/>
      <c r="H316" s="41"/>
      <c r="I316" s="42"/>
      <c r="J316" s="40"/>
      <c r="K316" s="42"/>
      <c r="L316" s="42"/>
      <c r="M316" s="43" t="str">
        <f t="shared" si="33"/>
        <v/>
      </c>
      <c r="N316" s="41" t="str">
        <f t="shared" si="34"/>
        <v/>
      </c>
      <c r="O316" s="41" t="str">
        <f t="shared" si="35"/>
        <v/>
      </c>
      <c r="P316" s="44" t="str">
        <f t="shared" si="36"/>
        <v/>
      </c>
      <c r="Q316" s="45">
        <f t="shared" si="37"/>
        <v>0</v>
      </c>
      <c r="R316" s="45">
        <f t="shared" si="38"/>
        <v>0</v>
      </c>
      <c r="S316" s="44">
        <f t="shared" si="39"/>
        <v>0</v>
      </c>
      <c r="T316" s="40"/>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row>
    <row r="317" spans="1:64" ht="14">
      <c r="A317" s="37"/>
      <c r="B317" s="38"/>
      <c r="C317" s="39">
        <f t="shared" si="32"/>
        <v>0</v>
      </c>
      <c r="D317" s="40"/>
      <c r="E317" s="40"/>
      <c r="F317" s="40"/>
      <c r="G317" s="40"/>
      <c r="H317" s="41"/>
      <c r="I317" s="42"/>
      <c r="J317" s="40"/>
      <c r="K317" s="42"/>
      <c r="L317" s="42"/>
      <c r="M317" s="43" t="str">
        <f t="shared" si="33"/>
        <v/>
      </c>
      <c r="N317" s="41" t="str">
        <f t="shared" si="34"/>
        <v/>
      </c>
      <c r="O317" s="41" t="str">
        <f t="shared" si="35"/>
        <v/>
      </c>
      <c r="P317" s="44" t="str">
        <f t="shared" si="36"/>
        <v/>
      </c>
      <c r="Q317" s="45">
        <f t="shared" si="37"/>
        <v>0</v>
      </c>
      <c r="R317" s="45">
        <f t="shared" si="38"/>
        <v>0</v>
      </c>
      <c r="S317" s="44">
        <f t="shared" si="39"/>
        <v>0</v>
      </c>
      <c r="T317" s="40"/>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row>
    <row r="318" spans="1:64" ht="14">
      <c r="A318" s="37"/>
      <c r="B318" s="38"/>
      <c r="C318" s="39">
        <f t="shared" si="32"/>
        <v>0</v>
      </c>
      <c r="D318" s="40"/>
      <c r="E318" s="40"/>
      <c r="F318" s="40"/>
      <c r="G318" s="40"/>
      <c r="H318" s="41"/>
      <c r="I318" s="42"/>
      <c r="J318" s="40"/>
      <c r="K318" s="42"/>
      <c r="L318" s="42"/>
      <c r="M318" s="43" t="str">
        <f t="shared" si="33"/>
        <v/>
      </c>
      <c r="N318" s="41" t="str">
        <f t="shared" si="34"/>
        <v/>
      </c>
      <c r="O318" s="41" t="str">
        <f t="shared" si="35"/>
        <v/>
      </c>
      <c r="P318" s="44" t="str">
        <f t="shared" si="36"/>
        <v/>
      </c>
      <c r="Q318" s="45">
        <f t="shared" si="37"/>
        <v>0</v>
      </c>
      <c r="R318" s="45">
        <f t="shared" si="38"/>
        <v>0</v>
      </c>
      <c r="S318" s="44">
        <f t="shared" si="39"/>
        <v>0</v>
      </c>
      <c r="T318" s="40"/>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row>
    <row r="319" spans="1:64" ht="14">
      <c r="A319" s="37"/>
      <c r="B319" s="38"/>
      <c r="C319" s="39">
        <f t="shared" si="32"/>
        <v>0</v>
      </c>
      <c r="D319" s="40"/>
      <c r="E319" s="40"/>
      <c r="F319" s="40"/>
      <c r="G319" s="40"/>
      <c r="H319" s="41"/>
      <c r="I319" s="42"/>
      <c r="J319" s="40"/>
      <c r="K319" s="42"/>
      <c r="L319" s="42"/>
      <c r="M319" s="43" t="str">
        <f t="shared" si="33"/>
        <v/>
      </c>
      <c r="N319" s="41" t="str">
        <f t="shared" si="34"/>
        <v/>
      </c>
      <c r="O319" s="41" t="str">
        <f t="shared" si="35"/>
        <v/>
      </c>
      <c r="P319" s="44" t="str">
        <f t="shared" si="36"/>
        <v/>
      </c>
      <c r="Q319" s="45">
        <f t="shared" si="37"/>
        <v>0</v>
      </c>
      <c r="R319" s="45">
        <f t="shared" si="38"/>
        <v>0</v>
      </c>
      <c r="S319" s="44">
        <f t="shared" si="39"/>
        <v>0</v>
      </c>
      <c r="T319" s="40"/>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row>
    <row r="320" spans="1:64" ht="14">
      <c r="A320" s="37"/>
      <c r="B320" s="38"/>
      <c r="C320" s="39">
        <f t="shared" si="32"/>
        <v>0</v>
      </c>
      <c r="D320" s="40"/>
      <c r="E320" s="40"/>
      <c r="F320" s="40"/>
      <c r="G320" s="40"/>
      <c r="H320" s="41"/>
      <c r="I320" s="42"/>
      <c r="J320" s="40"/>
      <c r="K320" s="42"/>
      <c r="L320" s="42"/>
      <c r="M320" s="43" t="str">
        <f t="shared" si="33"/>
        <v/>
      </c>
      <c r="N320" s="41" t="str">
        <f t="shared" si="34"/>
        <v/>
      </c>
      <c r="O320" s="41" t="str">
        <f t="shared" si="35"/>
        <v/>
      </c>
      <c r="P320" s="44" t="str">
        <f t="shared" si="36"/>
        <v/>
      </c>
      <c r="Q320" s="45">
        <f t="shared" si="37"/>
        <v>0</v>
      </c>
      <c r="R320" s="45">
        <f t="shared" si="38"/>
        <v>0</v>
      </c>
      <c r="S320" s="44">
        <f t="shared" si="39"/>
        <v>0</v>
      </c>
      <c r="T320" s="40"/>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row>
    <row r="321" spans="1:64" ht="14">
      <c r="A321" s="37"/>
      <c r="B321" s="38"/>
      <c r="C321" s="39">
        <f t="shared" si="32"/>
        <v>0</v>
      </c>
      <c r="D321" s="40"/>
      <c r="E321" s="40"/>
      <c r="F321" s="40"/>
      <c r="G321" s="40"/>
      <c r="H321" s="41"/>
      <c r="I321" s="42"/>
      <c r="J321" s="40"/>
      <c r="K321" s="42"/>
      <c r="L321" s="42"/>
      <c r="M321" s="43" t="str">
        <f t="shared" si="33"/>
        <v/>
      </c>
      <c r="N321" s="41" t="str">
        <f t="shared" si="34"/>
        <v/>
      </c>
      <c r="O321" s="41" t="str">
        <f t="shared" si="35"/>
        <v/>
      </c>
      <c r="P321" s="44" t="str">
        <f t="shared" si="36"/>
        <v/>
      </c>
      <c r="Q321" s="45">
        <f t="shared" si="37"/>
        <v>0</v>
      </c>
      <c r="R321" s="45">
        <f t="shared" si="38"/>
        <v>0</v>
      </c>
      <c r="S321" s="44">
        <f t="shared" si="39"/>
        <v>0</v>
      </c>
      <c r="T321" s="40"/>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row>
    <row r="322" spans="1:64" ht="14">
      <c r="A322" s="37"/>
      <c r="B322" s="38"/>
      <c r="C322" s="39">
        <f t="shared" si="32"/>
        <v>0</v>
      </c>
      <c r="D322" s="40"/>
      <c r="E322" s="40"/>
      <c r="F322" s="40"/>
      <c r="G322" s="40"/>
      <c r="H322" s="41"/>
      <c r="I322" s="42"/>
      <c r="J322" s="40"/>
      <c r="K322" s="42"/>
      <c r="L322" s="42"/>
      <c r="M322" s="43" t="str">
        <f t="shared" si="33"/>
        <v/>
      </c>
      <c r="N322" s="41" t="str">
        <f t="shared" si="34"/>
        <v/>
      </c>
      <c r="O322" s="41" t="str">
        <f t="shared" si="35"/>
        <v/>
      </c>
      <c r="P322" s="44" t="str">
        <f t="shared" si="36"/>
        <v/>
      </c>
      <c r="Q322" s="45">
        <f t="shared" si="37"/>
        <v>0</v>
      </c>
      <c r="R322" s="45">
        <f t="shared" si="38"/>
        <v>0</v>
      </c>
      <c r="S322" s="44">
        <f t="shared" si="39"/>
        <v>0</v>
      </c>
      <c r="T322" s="40"/>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row>
    <row r="323" spans="1:64" ht="14">
      <c r="A323" s="37"/>
      <c r="B323" s="38"/>
      <c r="C323" s="39">
        <f t="shared" si="32"/>
        <v>0</v>
      </c>
      <c r="D323" s="40"/>
      <c r="E323" s="40"/>
      <c r="F323" s="40"/>
      <c r="G323" s="40"/>
      <c r="H323" s="41"/>
      <c r="I323" s="42"/>
      <c r="J323" s="40"/>
      <c r="K323" s="42"/>
      <c r="L323" s="42"/>
      <c r="M323" s="43" t="str">
        <f t="shared" si="33"/>
        <v/>
      </c>
      <c r="N323" s="41" t="str">
        <f t="shared" si="34"/>
        <v/>
      </c>
      <c r="O323" s="41" t="str">
        <f t="shared" si="35"/>
        <v/>
      </c>
      <c r="P323" s="44" t="str">
        <f t="shared" si="36"/>
        <v/>
      </c>
      <c r="Q323" s="45">
        <f t="shared" si="37"/>
        <v>0</v>
      </c>
      <c r="R323" s="45">
        <f t="shared" si="38"/>
        <v>0</v>
      </c>
      <c r="S323" s="44">
        <f t="shared" si="39"/>
        <v>0</v>
      </c>
      <c r="T323" s="40"/>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row>
    <row r="324" spans="1:64" ht="14">
      <c r="A324" s="37"/>
      <c r="B324" s="38"/>
      <c r="C324" s="39">
        <f t="shared" si="32"/>
        <v>0</v>
      </c>
      <c r="D324" s="40"/>
      <c r="E324" s="40"/>
      <c r="F324" s="40"/>
      <c r="G324" s="40"/>
      <c r="H324" s="41"/>
      <c r="I324" s="42"/>
      <c r="J324" s="40"/>
      <c r="K324" s="42"/>
      <c r="L324" s="42"/>
      <c r="M324" s="43" t="str">
        <f t="shared" si="33"/>
        <v/>
      </c>
      <c r="N324" s="41" t="str">
        <f t="shared" si="34"/>
        <v/>
      </c>
      <c r="O324" s="41" t="str">
        <f t="shared" si="35"/>
        <v/>
      </c>
      <c r="P324" s="44" t="str">
        <f t="shared" si="36"/>
        <v/>
      </c>
      <c r="Q324" s="45">
        <f t="shared" si="37"/>
        <v>0</v>
      </c>
      <c r="R324" s="45">
        <f t="shared" si="38"/>
        <v>0</v>
      </c>
      <c r="S324" s="44">
        <f t="shared" si="39"/>
        <v>0</v>
      </c>
      <c r="T324" s="40"/>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row>
    <row r="325" spans="1:64" ht="14">
      <c r="A325" s="37"/>
      <c r="B325" s="38"/>
      <c r="C325" s="39">
        <f t="shared" si="32"/>
        <v>0</v>
      </c>
      <c r="D325" s="40"/>
      <c r="E325" s="40"/>
      <c r="F325" s="40"/>
      <c r="G325" s="40"/>
      <c r="H325" s="41"/>
      <c r="I325" s="42"/>
      <c r="J325" s="40"/>
      <c r="K325" s="42"/>
      <c r="L325" s="42"/>
      <c r="M325" s="43" t="str">
        <f t="shared" si="33"/>
        <v/>
      </c>
      <c r="N325" s="41" t="str">
        <f t="shared" si="34"/>
        <v/>
      </c>
      <c r="O325" s="41" t="str">
        <f t="shared" si="35"/>
        <v/>
      </c>
      <c r="P325" s="44" t="str">
        <f t="shared" si="36"/>
        <v/>
      </c>
      <c r="Q325" s="45">
        <f t="shared" si="37"/>
        <v>0</v>
      </c>
      <c r="R325" s="45">
        <f t="shared" si="38"/>
        <v>0</v>
      </c>
      <c r="S325" s="44">
        <f t="shared" si="39"/>
        <v>0</v>
      </c>
      <c r="T325" s="40"/>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row>
    <row r="326" spans="1:64" ht="14">
      <c r="A326" s="37"/>
      <c r="B326" s="38"/>
      <c r="C326" s="39">
        <f t="shared" si="32"/>
        <v>0</v>
      </c>
      <c r="D326" s="40"/>
      <c r="E326" s="40"/>
      <c r="F326" s="40"/>
      <c r="G326" s="40"/>
      <c r="H326" s="41"/>
      <c r="I326" s="42"/>
      <c r="J326" s="40"/>
      <c r="K326" s="42"/>
      <c r="L326" s="42"/>
      <c r="M326" s="43" t="str">
        <f t="shared" si="33"/>
        <v/>
      </c>
      <c r="N326" s="41" t="str">
        <f t="shared" si="34"/>
        <v/>
      </c>
      <c r="O326" s="41" t="str">
        <f t="shared" si="35"/>
        <v/>
      </c>
      <c r="P326" s="44" t="str">
        <f t="shared" si="36"/>
        <v/>
      </c>
      <c r="Q326" s="45">
        <f t="shared" si="37"/>
        <v>0</v>
      </c>
      <c r="R326" s="45">
        <f t="shared" si="38"/>
        <v>0</v>
      </c>
      <c r="S326" s="44">
        <f t="shared" si="39"/>
        <v>0</v>
      </c>
      <c r="T326" s="40"/>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row>
    <row r="327" spans="1:64" ht="14">
      <c r="A327" s="37"/>
      <c r="B327" s="38"/>
      <c r="C327" s="39">
        <f t="shared" si="32"/>
        <v>0</v>
      </c>
      <c r="D327" s="40"/>
      <c r="E327" s="40"/>
      <c r="F327" s="40"/>
      <c r="G327" s="40"/>
      <c r="H327" s="41"/>
      <c r="I327" s="42"/>
      <c r="J327" s="40"/>
      <c r="K327" s="42"/>
      <c r="L327" s="42"/>
      <c r="M327" s="43" t="str">
        <f t="shared" si="33"/>
        <v/>
      </c>
      <c r="N327" s="41" t="str">
        <f t="shared" si="34"/>
        <v/>
      </c>
      <c r="O327" s="41" t="str">
        <f t="shared" si="35"/>
        <v/>
      </c>
      <c r="P327" s="44" t="str">
        <f t="shared" si="36"/>
        <v/>
      </c>
      <c r="Q327" s="45">
        <f t="shared" si="37"/>
        <v>0</v>
      </c>
      <c r="R327" s="45">
        <f t="shared" si="38"/>
        <v>0</v>
      </c>
      <c r="S327" s="44">
        <f t="shared" si="39"/>
        <v>0</v>
      </c>
      <c r="T327" s="40"/>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row>
    <row r="328" spans="1:64" ht="14">
      <c r="A328" s="37"/>
      <c r="B328" s="38"/>
      <c r="C328" s="39">
        <f t="shared" si="32"/>
        <v>0</v>
      </c>
      <c r="D328" s="40"/>
      <c r="E328" s="40"/>
      <c r="F328" s="40"/>
      <c r="G328" s="40"/>
      <c r="H328" s="41"/>
      <c r="I328" s="42"/>
      <c r="J328" s="40"/>
      <c r="K328" s="42"/>
      <c r="L328" s="42"/>
      <c r="M328" s="43" t="str">
        <f t="shared" si="33"/>
        <v/>
      </c>
      <c r="N328" s="41" t="str">
        <f t="shared" si="34"/>
        <v/>
      </c>
      <c r="O328" s="41" t="str">
        <f t="shared" si="35"/>
        <v/>
      </c>
      <c r="P328" s="44" t="str">
        <f t="shared" si="36"/>
        <v/>
      </c>
      <c r="Q328" s="45">
        <f t="shared" si="37"/>
        <v>0</v>
      </c>
      <c r="R328" s="45">
        <f t="shared" si="38"/>
        <v>0</v>
      </c>
      <c r="S328" s="44">
        <f t="shared" si="39"/>
        <v>0</v>
      </c>
      <c r="T328" s="40"/>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row>
    <row r="329" spans="1:64" ht="14">
      <c r="A329" s="37"/>
      <c r="B329" s="38"/>
      <c r="C329" s="39">
        <f t="shared" si="32"/>
        <v>0</v>
      </c>
      <c r="D329" s="40"/>
      <c r="E329" s="40"/>
      <c r="F329" s="40"/>
      <c r="G329" s="40"/>
      <c r="H329" s="41"/>
      <c r="I329" s="42"/>
      <c r="J329" s="40"/>
      <c r="K329" s="42"/>
      <c r="L329" s="42"/>
      <c r="M329" s="43" t="str">
        <f t="shared" si="33"/>
        <v/>
      </c>
      <c r="N329" s="41" t="str">
        <f t="shared" si="34"/>
        <v/>
      </c>
      <c r="O329" s="41" t="str">
        <f t="shared" si="35"/>
        <v/>
      </c>
      <c r="P329" s="44" t="str">
        <f t="shared" si="36"/>
        <v/>
      </c>
      <c r="Q329" s="45">
        <f t="shared" si="37"/>
        <v>0</v>
      </c>
      <c r="R329" s="45">
        <f t="shared" si="38"/>
        <v>0</v>
      </c>
      <c r="S329" s="44">
        <f t="shared" si="39"/>
        <v>0</v>
      </c>
      <c r="T329" s="40"/>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row>
    <row r="330" spans="1:64" ht="14">
      <c r="A330" s="37"/>
      <c r="B330" s="38"/>
      <c r="C330" s="39">
        <f t="shared" ref="C330:C382" si="40">IF($B330&lt;&gt;"",VLOOKUP($B330,Matriz_INM,2,0),0)</f>
        <v>0</v>
      </c>
      <c r="D330" s="40"/>
      <c r="E330" s="40"/>
      <c r="F330" s="40"/>
      <c r="G330" s="40"/>
      <c r="H330" s="41"/>
      <c r="I330" s="42"/>
      <c r="J330" s="40"/>
      <c r="K330" s="42"/>
      <c r="L330" s="42"/>
      <c r="M330" s="43" t="str">
        <f t="shared" ref="M330:M382" si="41">IFERROR(VLOOKUP($B330,Matriz_INM,3,0),"")</f>
        <v/>
      </c>
      <c r="N330" s="41" t="str">
        <f t="shared" ref="N330:N382" si="42">IF(J330="EE",IF(OR(AND(OR(L330=1,L330=0),K330&gt;0,K330&lt;5),AND(OR(L330=1,L330=0),K330&gt;4,K330&lt;16),AND(L330=2,K330&gt;0,K330&lt;5)),"Simples",IF(OR(AND(OR(L330=1,L330=0),K330&gt;15),AND(L330=2,K330&gt;4,K330&lt;16),AND(L330&gt;2,K330&gt;0,K330&lt;5)),"Médio",IF(OR(AND(L330=2,K330&gt;15),AND(L330&gt;2,K330&gt;4,K330&lt;16),AND(L330&gt;2,K330&gt;15)),"Complexo",""))), IF(OR(J330="CE",J330="SE"),IF(OR(AND(OR(L330=1,L330=0),K330&gt;0,K330&lt;6),AND(OR(L330=1,L330=0),K330&gt;5,K330&lt;20),AND(L330&gt;1,L330&lt;4,K330&gt;0,K330&lt;6)),"Simples",IF(OR(AND(OR(L330=1,L330=0),K330&gt;19),AND(L330&gt;1,L330&lt;4,K330&gt;5,K330&lt;20),AND(L330&gt;3,K330&gt;0,K330&lt;6)),"Médio",IF(OR(AND(L330&gt;1,L330&lt;4,K330&gt;19),AND(L330&gt;3,K330&gt;5,K330&lt;20),AND(L330&gt;3,K330&gt;19)),"Complexo",""))),""))</f>
        <v/>
      </c>
      <c r="O330" s="41" t="str">
        <f t="shared" ref="O330:O382" si="43">IF(J330="ALI",IF(OR(AND(OR(L330=1,L330=0),K330&gt;0,K330&lt;20),AND(OR(L330=1,L330=0),K330&gt;19,K330&lt;51),AND(L330&gt;1,L330&lt;6,K330&gt;0,K330&lt;20)),"Simples",IF(OR(AND(OR(L330=1,L330=0),K330&gt;50),AND(L330&gt;1,L330&lt;6,K330&gt;19,K330&lt;51),AND(L330&gt;5,K330&gt;0,K330&lt;20)),"Médio",IF(OR(AND(L330&gt;1,L330&lt;6,K330&gt;50),AND(L330&gt;5,K330&gt;19,K330&lt;51),AND(L330&gt;5,K330&gt;50)),"Complexo",""))), IF(J330="AIE",IF(OR(AND(OR(L330=1, L330=0),K330&gt;0,K330&lt;20),AND(OR(L330=1, L330=0),K330&gt;19,K330&lt;51),AND(L330&gt;1,L330&lt;6,K330&gt;0,K330&lt;20)),"Simples",IF(OR(AND(OR(L330=1, L330=0),K330&gt;50),AND(L330&gt;1,L330&lt;6,K330&gt;19,K330&lt;51),AND(L330&gt;5,K330&gt;0,K330&lt;20)),"Médio",IF(OR(AND(L330&gt;1,L330&lt;6,K330&gt;50),AND(L330&gt;5,K330&gt;19,K330&lt;51),AND(L330&gt;5,K330&gt;50)),"Complexo",""))),""))</f>
        <v/>
      </c>
      <c r="P330" s="44" t="str">
        <f t="shared" ref="P330:P382" si="44">IF(N330="",O330,IF(O330="",N330,""))</f>
        <v/>
      </c>
      <c r="Q330" s="45">
        <f t="shared" ref="Q330:Q382" si="45">IF(AND(OR(J330="EE",J330="CE"),P330="Simples"),3, IF(AND(OR(J330="EE",J330="CE"),P330="Médio"),4, IF(AND(OR(J330="EE",J330="CE"),P330="Complexo"),6, IF(AND(J330="SE",P330="Simples"),4, IF(AND(J330="SE",P330="Médio"),5, IF(AND(J330="SE",P330="Complexo"),7,0))))))</f>
        <v>0</v>
      </c>
      <c r="R330" s="45">
        <f t="shared" ref="R330:R382" si="46">IF(AND(J330="ALI",O330="Simples"),7, IF(AND(J330="ALI",O330="Médio"),10, IF(AND(J330="ALI",O330="Complexo"),15, IF(AND(J330="AIE",O330="Simples"),5, IF(AND(J330="AIE",O330="Médio"),7, IF(AND(J330="AIE",O330="Complexo"),10,0))))))</f>
        <v>0</v>
      </c>
      <c r="S330" s="44">
        <f t="shared" ref="S330:S382" si="47">IF($M330="%",($Q330+$R330)*$C330,$C330*$I330)</f>
        <v>0</v>
      </c>
      <c r="T330" s="40"/>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row>
    <row r="331" spans="1:64" ht="14">
      <c r="A331" s="37"/>
      <c r="B331" s="38"/>
      <c r="C331" s="39">
        <f t="shared" si="40"/>
        <v>0</v>
      </c>
      <c r="D331" s="40"/>
      <c r="E331" s="40"/>
      <c r="F331" s="40"/>
      <c r="G331" s="40"/>
      <c r="H331" s="41"/>
      <c r="I331" s="42"/>
      <c r="J331" s="40"/>
      <c r="K331" s="42"/>
      <c r="L331" s="42"/>
      <c r="M331" s="43" t="str">
        <f t="shared" si="41"/>
        <v/>
      </c>
      <c r="N331" s="41" t="str">
        <f t="shared" si="42"/>
        <v/>
      </c>
      <c r="O331" s="41" t="str">
        <f t="shared" si="43"/>
        <v/>
      </c>
      <c r="P331" s="44" t="str">
        <f t="shared" si="44"/>
        <v/>
      </c>
      <c r="Q331" s="45">
        <f t="shared" si="45"/>
        <v>0</v>
      </c>
      <c r="R331" s="45">
        <f t="shared" si="46"/>
        <v>0</v>
      </c>
      <c r="S331" s="44">
        <f t="shared" si="47"/>
        <v>0</v>
      </c>
      <c r="T331" s="40"/>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row>
    <row r="332" spans="1:64" ht="14">
      <c r="A332" s="37"/>
      <c r="B332" s="38"/>
      <c r="C332" s="39">
        <f t="shared" si="40"/>
        <v>0</v>
      </c>
      <c r="D332" s="40"/>
      <c r="E332" s="40"/>
      <c r="F332" s="40"/>
      <c r="G332" s="40"/>
      <c r="H332" s="41"/>
      <c r="I332" s="42"/>
      <c r="J332" s="40"/>
      <c r="K332" s="42"/>
      <c r="L332" s="42"/>
      <c r="M332" s="43" t="str">
        <f t="shared" si="41"/>
        <v/>
      </c>
      <c r="N332" s="41" t="str">
        <f t="shared" si="42"/>
        <v/>
      </c>
      <c r="O332" s="41" t="str">
        <f t="shared" si="43"/>
        <v/>
      </c>
      <c r="P332" s="44" t="str">
        <f t="shared" si="44"/>
        <v/>
      </c>
      <c r="Q332" s="45">
        <f t="shared" si="45"/>
        <v>0</v>
      </c>
      <c r="R332" s="45">
        <f t="shared" si="46"/>
        <v>0</v>
      </c>
      <c r="S332" s="44">
        <f t="shared" si="47"/>
        <v>0</v>
      </c>
      <c r="T332" s="40"/>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row>
    <row r="333" spans="1:64" ht="14">
      <c r="A333" s="37"/>
      <c r="B333" s="38"/>
      <c r="C333" s="39">
        <f t="shared" si="40"/>
        <v>0</v>
      </c>
      <c r="D333" s="40"/>
      <c r="E333" s="40"/>
      <c r="F333" s="40"/>
      <c r="G333" s="40"/>
      <c r="H333" s="41"/>
      <c r="I333" s="42"/>
      <c r="J333" s="40"/>
      <c r="K333" s="42"/>
      <c r="L333" s="42"/>
      <c r="M333" s="43" t="str">
        <f t="shared" si="41"/>
        <v/>
      </c>
      <c r="N333" s="41" t="str">
        <f t="shared" si="42"/>
        <v/>
      </c>
      <c r="O333" s="41" t="str">
        <f t="shared" si="43"/>
        <v/>
      </c>
      <c r="P333" s="44" t="str">
        <f t="shared" si="44"/>
        <v/>
      </c>
      <c r="Q333" s="45">
        <f t="shared" si="45"/>
        <v>0</v>
      </c>
      <c r="R333" s="45">
        <f t="shared" si="46"/>
        <v>0</v>
      </c>
      <c r="S333" s="44">
        <f t="shared" si="47"/>
        <v>0</v>
      </c>
      <c r="T333" s="40"/>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row>
    <row r="334" spans="1:64" ht="14">
      <c r="A334" s="37"/>
      <c r="B334" s="38"/>
      <c r="C334" s="39">
        <f t="shared" si="40"/>
        <v>0</v>
      </c>
      <c r="D334" s="40"/>
      <c r="E334" s="40"/>
      <c r="F334" s="40"/>
      <c r="G334" s="40"/>
      <c r="H334" s="41"/>
      <c r="I334" s="42"/>
      <c r="J334" s="40"/>
      <c r="K334" s="42"/>
      <c r="L334" s="42"/>
      <c r="M334" s="43" t="str">
        <f t="shared" si="41"/>
        <v/>
      </c>
      <c r="N334" s="41" t="str">
        <f t="shared" si="42"/>
        <v/>
      </c>
      <c r="O334" s="41" t="str">
        <f t="shared" si="43"/>
        <v/>
      </c>
      <c r="P334" s="44" t="str">
        <f t="shared" si="44"/>
        <v/>
      </c>
      <c r="Q334" s="45">
        <f t="shared" si="45"/>
        <v>0</v>
      </c>
      <c r="R334" s="45">
        <f t="shared" si="46"/>
        <v>0</v>
      </c>
      <c r="S334" s="44">
        <f t="shared" si="47"/>
        <v>0</v>
      </c>
      <c r="T334" s="40"/>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row>
    <row r="335" spans="1:64" ht="14">
      <c r="A335" s="37"/>
      <c r="B335" s="38"/>
      <c r="C335" s="39">
        <f t="shared" si="40"/>
        <v>0</v>
      </c>
      <c r="D335" s="40"/>
      <c r="E335" s="40"/>
      <c r="F335" s="40"/>
      <c r="G335" s="40"/>
      <c r="H335" s="41"/>
      <c r="I335" s="42"/>
      <c r="J335" s="40"/>
      <c r="K335" s="42"/>
      <c r="L335" s="42"/>
      <c r="M335" s="43" t="str">
        <f t="shared" si="41"/>
        <v/>
      </c>
      <c r="N335" s="41" t="str">
        <f t="shared" si="42"/>
        <v/>
      </c>
      <c r="O335" s="41" t="str">
        <f t="shared" si="43"/>
        <v/>
      </c>
      <c r="P335" s="44" t="str">
        <f t="shared" si="44"/>
        <v/>
      </c>
      <c r="Q335" s="45">
        <f t="shared" si="45"/>
        <v>0</v>
      </c>
      <c r="R335" s="45">
        <f t="shared" si="46"/>
        <v>0</v>
      </c>
      <c r="S335" s="44">
        <f t="shared" si="47"/>
        <v>0</v>
      </c>
      <c r="T335" s="40"/>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row>
    <row r="336" spans="1:64" ht="14">
      <c r="A336" s="37"/>
      <c r="B336" s="38"/>
      <c r="C336" s="39">
        <f t="shared" si="40"/>
        <v>0</v>
      </c>
      <c r="D336" s="40"/>
      <c r="E336" s="40"/>
      <c r="F336" s="40"/>
      <c r="G336" s="40"/>
      <c r="H336" s="41"/>
      <c r="I336" s="42"/>
      <c r="J336" s="40"/>
      <c r="K336" s="42"/>
      <c r="L336" s="42"/>
      <c r="M336" s="43" t="str">
        <f t="shared" si="41"/>
        <v/>
      </c>
      <c r="N336" s="41" t="str">
        <f t="shared" si="42"/>
        <v/>
      </c>
      <c r="O336" s="41" t="str">
        <f t="shared" si="43"/>
        <v/>
      </c>
      <c r="P336" s="44" t="str">
        <f t="shared" si="44"/>
        <v/>
      </c>
      <c r="Q336" s="45">
        <f t="shared" si="45"/>
        <v>0</v>
      </c>
      <c r="R336" s="45">
        <f t="shared" si="46"/>
        <v>0</v>
      </c>
      <c r="S336" s="44">
        <f t="shared" si="47"/>
        <v>0</v>
      </c>
      <c r="T336" s="40"/>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row>
    <row r="337" spans="1:64" ht="14">
      <c r="A337" s="37"/>
      <c r="B337" s="38"/>
      <c r="C337" s="39">
        <f t="shared" si="40"/>
        <v>0</v>
      </c>
      <c r="D337" s="40"/>
      <c r="E337" s="40"/>
      <c r="F337" s="40"/>
      <c r="G337" s="40"/>
      <c r="H337" s="41"/>
      <c r="I337" s="42"/>
      <c r="J337" s="40"/>
      <c r="K337" s="42"/>
      <c r="L337" s="42"/>
      <c r="M337" s="43" t="str">
        <f t="shared" si="41"/>
        <v/>
      </c>
      <c r="N337" s="41" t="str">
        <f t="shared" si="42"/>
        <v/>
      </c>
      <c r="O337" s="41" t="str">
        <f t="shared" si="43"/>
        <v/>
      </c>
      <c r="P337" s="44" t="str">
        <f t="shared" si="44"/>
        <v/>
      </c>
      <c r="Q337" s="45">
        <f t="shared" si="45"/>
        <v>0</v>
      </c>
      <c r="R337" s="45">
        <f t="shared" si="46"/>
        <v>0</v>
      </c>
      <c r="S337" s="44">
        <f t="shared" si="47"/>
        <v>0</v>
      </c>
      <c r="T337" s="40"/>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row>
    <row r="338" spans="1:64" ht="14">
      <c r="A338" s="37"/>
      <c r="B338" s="38"/>
      <c r="C338" s="39">
        <f t="shared" si="40"/>
        <v>0</v>
      </c>
      <c r="D338" s="40"/>
      <c r="E338" s="40"/>
      <c r="F338" s="40"/>
      <c r="G338" s="40"/>
      <c r="H338" s="41"/>
      <c r="I338" s="42"/>
      <c r="J338" s="40"/>
      <c r="K338" s="42"/>
      <c r="L338" s="42"/>
      <c r="M338" s="43" t="str">
        <f t="shared" si="41"/>
        <v/>
      </c>
      <c r="N338" s="41" t="str">
        <f t="shared" si="42"/>
        <v/>
      </c>
      <c r="O338" s="41" t="str">
        <f t="shared" si="43"/>
        <v/>
      </c>
      <c r="P338" s="44" t="str">
        <f t="shared" si="44"/>
        <v/>
      </c>
      <c r="Q338" s="45">
        <f t="shared" si="45"/>
        <v>0</v>
      </c>
      <c r="R338" s="45">
        <f t="shared" si="46"/>
        <v>0</v>
      </c>
      <c r="S338" s="44">
        <f t="shared" si="47"/>
        <v>0</v>
      </c>
      <c r="T338" s="40"/>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row>
    <row r="339" spans="1:64" ht="14">
      <c r="A339" s="37"/>
      <c r="B339" s="38"/>
      <c r="C339" s="39">
        <f t="shared" si="40"/>
        <v>0</v>
      </c>
      <c r="D339" s="40"/>
      <c r="E339" s="40"/>
      <c r="F339" s="40"/>
      <c r="G339" s="40"/>
      <c r="H339" s="41"/>
      <c r="I339" s="42"/>
      <c r="J339" s="40"/>
      <c r="K339" s="42"/>
      <c r="L339" s="42"/>
      <c r="M339" s="43" t="str">
        <f t="shared" si="41"/>
        <v/>
      </c>
      <c r="N339" s="41" t="str">
        <f t="shared" si="42"/>
        <v/>
      </c>
      <c r="O339" s="41" t="str">
        <f t="shared" si="43"/>
        <v/>
      </c>
      <c r="P339" s="44" t="str">
        <f t="shared" si="44"/>
        <v/>
      </c>
      <c r="Q339" s="45">
        <f t="shared" si="45"/>
        <v>0</v>
      </c>
      <c r="R339" s="45">
        <f t="shared" si="46"/>
        <v>0</v>
      </c>
      <c r="S339" s="44">
        <f t="shared" si="47"/>
        <v>0</v>
      </c>
      <c r="T339" s="40"/>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row>
    <row r="340" spans="1:64" ht="14">
      <c r="A340" s="37"/>
      <c r="B340" s="38"/>
      <c r="C340" s="39">
        <f t="shared" si="40"/>
        <v>0</v>
      </c>
      <c r="D340" s="40"/>
      <c r="E340" s="40"/>
      <c r="F340" s="40"/>
      <c r="G340" s="40"/>
      <c r="H340" s="41"/>
      <c r="I340" s="42"/>
      <c r="J340" s="40"/>
      <c r="K340" s="42"/>
      <c r="L340" s="42"/>
      <c r="M340" s="43" t="str">
        <f t="shared" si="41"/>
        <v/>
      </c>
      <c r="N340" s="41" t="str">
        <f t="shared" si="42"/>
        <v/>
      </c>
      <c r="O340" s="41" t="str">
        <f t="shared" si="43"/>
        <v/>
      </c>
      <c r="P340" s="44" t="str">
        <f t="shared" si="44"/>
        <v/>
      </c>
      <c r="Q340" s="45">
        <f t="shared" si="45"/>
        <v>0</v>
      </c>
      <c r="R340" s="45">
        <f t="shared" si="46"/>
        <v>0</v>
      </c>
      <c r="S340" s="44">
        <f t="shared" si="47"/>
        <v>0</v>
      </c>
      <c r="T340" s="40"/>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row>
    <row r="341" spans="1:64" ht="14">
      <c r="A341" s="37"/>
      <c r="B341" s="38"/>
      <c r="C341" s="39">
        <f t="shared" si="40"/>
        <v>0</v>
      </c>
      <c r="D341" s="40"/>
      <c r="E341" s="40"/>
      <c r="F341" s="40"/>
      <c r="G341" s="40"/>
      <c r="H341" s="41"/>
      <c r="I341" s="42"/>
      <c r="J341" s="40"/>
      <c r="K341" s="42"/>
      <c r="L341" s="42"/>
      <c r="M341" s="43" t="str">
        <f t="shared" si="41"/>
        <v/>
      </c>
      <c r="N341" s="41" t="str">
        <f t="shared" si="42"/>
        <v/>
      </c>
      <c r="O341" s="41" t="str">
        <f t="shared" si="43"/>
        <v/>
      </c>
      <c r="P341" s="44" t="str">
        <f t="shared" si="44"/>
        <v/>
      </c>
      <c r="Q341" s="45">
        <f t="shared" si="45"/>
        <v>0</v>
      </c>
      <c r="R341" s="45">
        <f t="shared" si="46"/>
        <v>0</v>
      </c>
      <c r="S341" s="44">
        <f t="shared" si="47"/>
        <v>0</v>
      </c>
      <c r="T341" s="40"/>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row>
    <row r="342" spans="1:64" ht="14">
      <c r="A342" s="37"/>
      <c r="B342" s="38"/>
      <c r="C342" s="39">
        <f t="shared" si="40"/>
        <v>0</v>
      </c>
      <c r="D342" s="40"/>
      <c r="E342" s="40"/>
      <c r="F342" s="40"/>
      <c r="G342" s="40"/>
      <c r="H342" s="41"/>
      <c r="I342" s="42"/>
      <c r="J342" s="40"/>
      <c r="K342" s="42"/>
      <c r="L342" s="42"/>
      <c r="M342" s="43" t="str">
        <f t="shared" si="41"/>
        <v/>
      </c>
      <c r="N342" s="41" t="str">
        <f t="shared" si="42"/>
        <v/>
      </c>
      <c r="O342" s="41" t="str">
        <f t="shared" si="43"/>
        <v/>
      </c>
      <c r="P342" s="44" t="str">
        <f t="shared" si="44"/>
        <v/>
      </c>
      <c r="Q342" s="45">
        <f t="shared" si="45"/>
        <v>0</v>
      </c>
      <c r="R342" s="45">
        <f t="shared" si="46"/>
        <v>0</v>
      </c>
      <c r="S342" s="44">
        <f t="shared" si="47"/>
        <v>0</v>
      </c>
      <c r="T342" s="40"/>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row>
    <row r="343" spans="1:64" ht="14">
      <c r="A343" s="37"/>
      <c r="B343" s="38"/>
      <c r="C343" s="39">
        <f t="shared" si="40"/>
        <v>0</v>
      </c>
      <c r="D343" s="40"/>
      <c r="E343" s="40"/>
      <c r="F343" s="40"/>
      <c r="G343" s="40"/>
      <c r="H343" s="41"/>
      <c r="I343" s="42"/>
      <c r="J343" s="40"/>
      <c r="K343" s="42"/>
      <c r="L343" s="42"/>
      <c r="M343" s="43" t="str">
        <f t="shared" si="41"/>
        <v/>
      </c>
      <c r="N343" s="41" t="str">
        <f t="shared" si="42"/>
        <v/>
      </c>
      <c r="O343" s="41" t="str">
        <f t="shared" si="43"/>
        <v/>
      </c>
      <c r="P343" s="44" t="str">
        <f t="shared" si="44"/>
        <v/>
      </c>
      <c r="Q343" s="45">
        <f t="shared" si="45"/>
        <v>0</v>
      </c>
      <c r="R343" s="45">
        <f t="shared" si="46"/>
        <v>0</v>
      </c>
      <c r="S343" s="44">
        <f t="shared" si="47"/>
        <v>0</v>
      </c>
      <c r="T343" s="40"/>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c r="BD343" s="36"/>
      <c r="BE343" s="36"/>
      <c r="BF343" s="36"/>
      <c r="BG343" s="36"/>
      <c r="BH343" s="36"/>
      <c r="BI343" s="36"/>
      <c r="BJ343" s="36"/>
      <c r="BK343" s="36"/>
      <c r="BL343" s="36"/>
    </row>
    <row r="344" spans="1:64" ht="14">
      <c r="A344" s="37"/>
      <c r="B344" s="38"/>
      <c r="C344" s="39">
        <f t="shared" si="40"/>
        <v>0</v>
      </c>
      <c r="D344" s="40"/>
      <c r="E344" s="40"/>
      <c r="F344" s="40"/>
      <c r="G344" s="40"/>
      <c r="H344" s="41"/>
      <c r="I344" s="42"/>
      <c r="J344" s="40"/>
      <c r="K344" s="42"/>
      <c r="L344" s="42"/>
      <c r="M344" s="43" t="str">
        <f t="shared" si="41"/>
        <v/>
      </c>
      <c r="N344" s="41" t="str">
        <f t="shared" si="42"/>
        <v/>
      </c>
      <c r="O344" s="41" t="str">
        <f t="shared" si="43"/>
        <v/>
      </c>
      <c r="P344" s="44" t="str">
        <f t="shared" si="44"/>
        <v/>
      </c>
      <c r="Q344" s="45">
        <f t="shared" si="45"/>
        <v>0</v>
      </c>
      <c r="R344" s="45">
        <f t="shared" si="46"/>
        <v>0</v>
      </c>
      <c r="S344" s="44">
        <f t="shared" si="47"/>
        <v>0</v>
      </c>
      <c r="T344" s="40"/>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row>
    <row r="345" spans="1:64" ht="14">
      <c r="A345" s="37"/>
      <c r="B345" s="38"/>
      <c r="C345" s="39">
        <f t="shared" si="40"/>
        <v>0</v>
      </c>
      <c r="D345" s="40"/>
      <c r="E345" s="40"/>
      <c r="F345" s="40"/>
      <c r="G345" s="40"/>
      <c r="H345" s="41"/>
      <c r="I345" s="42"/>
      <c r="J345" s="40"/>
      <c r="K345" s="42"/>
      <c r="L345" s="42"/>
      <c r="M345" s="43" t="str">
        <f t="shared" si="41"/>
        <v/>
      </c>
      <c r="N345" s="41" t="str">
        <f t="shared" si="42"/>
        <v/>
      </c>
      <c r="O345" s="41" t="str">
        <f t="shared" si="43"/>
        <v/>
      </c>
      <c r="P345" s="44" t="str">
        <f t="shared" si="44"/>
        <v/>
      </c>
      <c r="Q345" s="45">
        <f t="shared" si="45"/>
        <v>0</v>
      </c>
      <c r="R345" s="45">
        <f t="shared" si="46"/>
        <v>0</v>
      </c>
      <c r="S345" s="44">
        <f t="shared" si="47"/>
        <v>0</v>
      </c>
      <c r="T345" s="40"/>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row>
    <row r="346" spans="1:64" ht="14">
      <c r="A346" s="37"/>
      <c r="B346" s="38"/>
      <c r="C346" s="39">
        <f t="shared" si="40"/>
        <v>0</v>
      </c>
      <c r="D346" s="40"/>
      <c r="E346" s="40"/>
      <c r="F346" s="40"/>
      <c r="G346" s="40"/>
      <c r="H346" s="41"/>
      <c r="I346" s="42"/>
      <c r="J346" s="40"/>
      <c r="K346" s="42"/>
      <c r="L346" s="42"/>
      <c r="M346" s="43" t="str">
        <f t="shared" si="41"/>
        <v/>
      </c>
      <c r="N346" s="41" t="str">
        <f t="shared" si="42"/>
        <v/>
      </c>
      <c r="O346" s="41" t="str">
        <f t="shared" si="43"/>
        <v/>
      </c>
      <c r="P346" s="44" t="str">
        <f t="shared" si="44"/>
        <v/>
      </c>
      <c r="Q346" s="45">
        <f t="shared" si="45"/>
        <v>0</v>
      </c>
      <c r="R346" s="45">
        <f t="shared" si="46"/>
        <v>0</v>
      </c>
      <c r="S346" s="44">
        <f t="shared" si="47"/>
        <v>0</v>
      </c>
      <c r="T346" s="40"/>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row>
    <row r="347" spans="1:64" ht="14">
      <c r="A347" s="37"/>
      <c r="B347" s="38"/>
      <c r="C347" s="39">
        <f t="shared" si="40"/>
        <v>0</v>
      </c>
      <c r="D347" s="40"/>
      <c r="E347" s="40"/>
      <c r="F347" s="40"/>
      <c r="G347" s="40"/>
      <c r="H347" s="41"/>
      <c r="I347" s="42"/>
      <c r="J347" s="40"/>
      <c r="K347" s="42"/>
      <c r="L347" s="42"/>
      <c r="M347" s="43" t="str">
        <f t="shared" si="41"/>
        <v/>
      </c>
      <c r="N347" s="41" t="str">
        <f t="shared" si="42"/>
        <v/>
      </c>
      <c r="O347" s="41" t="str">
        <f t="shared" si="43"/>
        <v/>
      </c>
      <c r="P347" s="44" t="str">
        <f t="shared" si="44"/>
        <v/>
      </c>
      <c r="Q347" s="45">
        <f t="shared" si="45"/>
        <v>0</v>
      </c>
      <c r="R347" s="45">
        <f t="shared" si="46"/>
        <v>0</v>
      </c>
      <c r="S347" s="44">
        <f t="shared" si="47"/>
        <v>0</v>
      </c>
      <c r="T347" s="40"/>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row>
    <row r="348" spans="1:64" ht="14">
      <c r="A348" s="37"/>
      <c r="B348" s="38"/>
      <c r="C348" s="39">
        <f t="shared" si="40"/>
        <v>0</v>
      </c>
      <c r="D348" s="40"/>
      <c r="E348" s="40"/>
      <c r="F348" s="40"/>
      <c r="G348" s="40"/>
      <c r="H348" s="41"/>
      <c r="I348" s="42"/>
      <c r="J348" s="40"/>
      <c r="K348" s="42"/>
      <c r="L348" s="42"/>
      <c r="M348" s="43" t="str">
        <f t="shared" si="41"/>
        <v/>
      </c>
      <c r="N348" s="41" t="str">
        <f t="shared" si="42"/>
        <v/>
      </c>
      <c r="O348" s="41" t="str">
        <f t="shared" si="43"/>
        <v/>
      </c>
      <c r="P348" s="44" t="str">
        <f t="shared" si="44"/>
        <v/>
      </c>
      <c r="Q348" s="45">
        <f t="shared" si="45"/>
        <v>0</v>
      </c>
      <c r="R348" s="45">
        <f t="shared" si="46"/>
        <v>0</v>
      </c>
      <c r="S348" s="44">
        <f t="shared" si="47"/>
        <v>0</v>
      </c>
      <c r="T348" s="40"/>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row>
    <row r="349" spans="1:64" ht="14">
      <c r="A349" s="37"/>
      <c r="B349" s="38"/>
      <c r="C349" s="39">
        <f t="shared" si="40"/>
        <v>0</v>
      </c>
      <c r="D349" s="40"/>
      <c r="E349" s="40"/>
      <c r="F349" s="40"/>
      <c r="G349" s="40"/>
      <c r="H349" s="41"/>
      <c r="I349" s="42"/>
      <c r="J349" s="40"/>
      <c r="K349" s="42"/>
      <c r="L349" s="42"/>
      <c r="M349" s="43" t="str">
        <f t="shared" si="41"/>
        <v/>
      </c>
      <c r="N349" s="41" t="str">
        <f t="shared" si="42"/>
        <v/>
      </c>
      <c r="O349" s="41" t="str">
        <f t="shared" si="43"/>
        <v/>
      </c>
      <c r="P349" s="44" t="str">
        <f t="shared" si="44"/>
        <v/>
      </c>
      <c r="Q349" s="45">
        <f t="shared" si="45"/>
        <v>0</v>
      </c>
      <c r="R349" s="45">
        <f t="shared" si="46"/>
        <v>0</v>
      </c>
      <c r="S349" s="44">
        <f t="shared" si="47"/>
        <v>0</v>
      </c>
      <c r="T349" s="40"/>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row>
    <row r="350" spans="1:64" ht="14">
      <c r="A350" s="37"/>
      <c r="B350" s="38"/>
      <c r="C350" s="39">
        <f t="shared" si="40"/>
        <v>0</v>
      </c>
      <c r="D350" s="40"/>
      <c r="E350" s="40"/>
      <c r="F350" s="40"/>
      <c r="G350" s="40"/>
      <c r="H350" s="41"/>
      <c r="I350" s="42"/>
      <c r="J350" s="40"/>
      <c r="K350" s="42"/>
      <c r="L350" s="42"/>
      <c r="M350" s="43" t="str">
        <f t="shared" si="41"/>
        <v/>
      </c>
      <c r="N350" s="41" t="str">
        <f t="shared" si="42"/>
        <v/>
      </c>
      <c r="O350" s="41" t="str">
        <f t="shared" si="43"/>
        <v/>
      </c>
      <c r="P350" s="44" t="str">
        <f t="shared" si="44"/>
        <v/>
      </c>
      <c r="Q350" s="45">
        <f t="shared" si="45"/>
        <v>0</v>
      </c>
      <c r="R350" s="45">
        <f t="shared" si="46"/>
        <v>0</v>
      </c>
      <c r="S350" s="44">
        <f t="shared" si="47"/>
        <v>0</v>
      </c>
      <c r="T350" s="40"/>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row>
    <row r="351" spans="1:64" ht="14">
      <c r="A351" s="37"/>
      <c r="B351" s="38"/>
      <c r="C351" s="39">
        <f t="shared" si="40"/>
        <v>0</v>
      </c>
      <c r="D351" s="40"/>
      <c r="E351" s="40"/>
      <c r="F351" s="40"/>
      <c r="G351" s="40"/>
      <c r="H351" s="41"/>
      <c r="I351" s="42"/>
      <c r="J351" s="40"/>
      <c r="K351" s="42"/>
      <c r="L351" s="42"/>
      <c r="M351" s="43" t="str">
        <f t="shared" si="41"/>
        <v/>
      </c>
      <c r="N351" s="41" t="str">
        <f t="shared" si="42"/>
        <v/>
      </c>
      <c r="O351" s="41" t="str">
        <f t="shared" si="43"/>
        <v/>
      </c>
      <c r="P351" s="44" t="str">
        <f t="shared" si="44"/>
        <v/>
      </c>
      <c r="Q351" s="45">
        <f t="shared" si="45"/>
        <v>0</v>
      </c>
      <c r="R351" s="45">
        <f t="shared" si="46"/>
        <v>0</v>
      </c>
      <c r="S351" s="44">
        <f t="shared" si="47"/>
        <v>0</v>
      </c>
      <c r="T351" s="40"/>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row>
    <row r="352" spans="1:64" ht="14">
      <c r="A352" s="37"/>
      <c r="B352" s="38"/>
      <c r="C352" s="39">
        <f t="shared" si="40"/>
        <v>0</v>
      </c>
      <c r="D352" s="40"/>
      <c r="E352" s="40"/>
      <c r="F352" s="40"/>
      <c r="G352" s="40"/>
      <c r="H352" s="41"/>
      <c r="I352" s="42"/>
      <c r="J352" s="40"/>
      <c r="K352" s="42"/>
      <c r="L352" s="42"/>
      <c r="M352" s="43" t="str">
        <f t="shared" si="41"/>
        <v/>
      </c>
      <c r="N352" s="41" t="str">
        <f t="shared" si="42"/>
        <v/>
      </c>
      <c r="O352" s="41" t="str">
        <f t="shared" si="43"/>
        <v/>
      </c>
      <c r="P352" s="44" t="str">
        <f t="shared" si="44"/>
        <v/>
      </c>
      <c r="Q352" s="45">
        <f t="shared" si="45"/>
        <v>0</v>
      </c>
      <c r="R352" s="45">
        <f t="shared" si="46"/>
        <v>0</v>
      </c>
      <c r="S352" s="44">
        <f t="shared" si="47"/>
        <v>0</v>
      </c>
      <c r="T352" s="40"/>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row>
    <row r="353" spans="1:64" ht="14">
      <c r="A353" s="37"/>
      <c r="B353" s="38"/>
      <c r="C353" s="39">
        <f t="shared" si="40"/>
        <v>0</v>
      </c>
      <c r="D353" s="40"/>
      <c r="E353" s="40"/>
      <c r="F353" s="40"/>
      <c r="G353" s="40"/>
      <c r="H353" s="41"/>
      <c r="I353" s="42"/>
      <c r="J353" s="40"/>
      <c r="K353" s="42"/>
      <c r="L353" s="42"/>
      <c r="M353" s="43" t="str">
        <f t="shared" si="41"/>
        <v/>
      </c>
      <c r="N353" s="41" t="str">
        <f t="shared" si="42"/>
        <v/>
      </c>
      <c r="O353" s="41" t="str">
        <f t="shared" si="43"/>
        <v/>
      </c>
      <c r="P353" s="44" t="str">
        <f t="shared" si="44"/>
        <v/>
      </c>
      <c r="Q353" s="45">
        <f t="shared" si="45"/>
        <v>0</v>
      </c>
      <c r="R353" s="45">
        <f t="shared" si="46"/>
        <v>0</v>
      </c>
      <c r="S353" s="44">
        <f t="shared" si="47"/>
        <v>0</v>
      </c>
      <c r="T353" s="40"/>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row>
    <row r="354" spans="1:64" ht="14">
      <c r="A354" s="37"/>
      <c r="B354" s="38"/>
      <c r="C354" s="39">
        <f t="shared" si="40"/>
        <v>0</v>
      </c>
      <c r="D354" s="40"/>
      <c r="E354" s="40"/>
      <c r="F354" s="40"/>
      <c r="G354" s="40"/>
      <c r="H354" s="41"/>
      <c r="I354" s="42"/>
      <c r="J354" s="40"/>
      <c r="K354" s="42"/>
      <c r="L354" s="42"/>
      <c r="M354" s="43" t="str">
        <f t="shared" si="41"/>
        <v/>
      </c>
      <c r="N354" s="41" t="str">
        <f t="shared" si="42"/>
        <v/>
      </c>
      <c r="O354" s="41" t="str">
        <f t="shared" si="43"/>
        <v/>
      </c>
      <c r="P354" s="44" t="str">
        <f t="shared" si="44"/>
        <v/>
      </c>
      <c r="Q354" s="45">
        <f t="shared" si="45"/>
        <v>0</v>
      </c>
      <c r="R354" s="45">
        <f t="shared" si="46"/>
        <v>0</v>
      </c>
      <c r="S354" s="44">
        <f t="shared" si="47"/>
        <v>0</v>
      </c>
      <c r="T354" s="40"/>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row>
    <row r="355" spans="1:64" ht="14">
      <c r="A355" s="37"/>
      <c r="B355" s="38"/>
      <c r="C355" s="39">
        <f t="shared" si="40"/>
        <v>0</v>
      </c>
      <c r="D355" s="40"/>
      <c r="E355" s="40"/>
      <c r="F355" s="40"/>
      <c r="G355" s="40"/>
      <c r="H355" s="41"/>
      <c r="I355" s="42"/>
      <c r="J355" s="40"/>
      <c r="K355" s="42"/>
      <c r="L355" s="42"/>
      <c r="M355" s="43" t="str">
        <f t="shared" si="41"/>
        <v/>
      </c>
      <c r="N355" s="41" t="str">
        <f t="shared" si="42"/>
        <v/>
      </c>
      <c r="O355" s="41" t="str">
        <f t="shared" si="43"/>
        <v/>
      </c>
      <c r="P355" s="44" t="str">
        <f t="shared" si="44"/>
        <v/>
      </c>
      <c r="Q355" s="45">
        <f t="shared" si="45"/>
        <v>0</v>
      </c>
      <c r="R355" s="45">
        <f t="shared" si="46"/>
        <v>0</v>
      </c>
      <c r="S355" s="44">
        <f t="shared" si="47"/>
        <v>0</v>
      </c>
      <c r="T355" s="40"/>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row>
    <row r="356" spans="1:64" ht="14">
      <c r="A356" s="37"/>
      <c r="B356" s="38"/>
      <c r="C356" s="39">
        <f t="shared" si="40"/>
        <v>0</v>
      </c>
      <c r="D356" s="40"/>
      <c r="E356" s="40"/>
      <c r="F356" s="40"/>
      <c r="G356" s="40"/>
      <c r="H356" s="41"/>
      <c r="I356" s="42"/>
      <c r="J356" s="40"/>
      <c r="K356" s="42"/>
      <c r="L356" s="42"/>
      <c r="M356" s="43" t="str">
        <f t="shared" si="41"/>
        <v/>
      </c>
      <c r="N356" s="41" t="str">
        <f t="shared" si="42"/>
        <v/>
      </c>
      <c r="O356" s="41" t="str">
        <f t="shared" si="43"/>
        <v/>
      </c>
      <c r="P356" s="44" t="str">
        <f t="shared" si="44"/>
        <v/>
      </c>
      <c r="Q356" s="45">
        <f t="shared" si="45"/>
        <v>0</v>
      </c>
      <c r="R356" s="45">
        <f t="shared" si="46"/>
        <v>0</v>
      </c>
      <c r="S356" s="44">
        <f t="shared" si="47"/>
        <v>0</v>
      </c>
      <c r="T356" s="40"/>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row>
    <row r="357" spans="1:64" ht="14">
      <c r="A357" s="37"/>
      <c r="B357" s="38"/>
      <c r="C357" s="39">
        <f t="shared" si="40"/>
        <v>0</v>
      </c>
      <c r="D357" s="40"/>
      <c r="E357" s="40"/>
      <c r="F357" s="40"/>
      <c r="G357" s="40"/>
      <c r="H357" s="41"/>
      <c r="I357" s="42"/>
      <c r="J357" s="40"/>
      <c r="K357" s="42"/>
      <c r="L357" s="42"/>
      <c r="M357" s="43" t="str">
        <f t="shared" si="41"/>
        <v/>
      </c>
      <c r="N357" s="41" t="str">
        <f t="shared" si="42"/>
        <v/>
      </c>
      <c r="O357" s="41" t="str">
        <f t="shared" si="43"/>
        <v/>
      </c>
      <c r="P357" s="44" t="str">
        <f t="shared" si="44"/>
        <v/>
      </c>
      <c r="Q357" s="45">
        <f t="shared" si="45"/>
        <v>0</v>
      </c>
      <c r="R357" s="45">
        <f t="shared" si="46"/>
        <v>0</v>
      </c>
      <c r="S357" s="44">
        <f t="shared" si="47"/>
        <v>0</v>
      </c>
      <c r="T357" s="40"/>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row>
    <row r="358" spans="1:64" ht="14">
      <c r="A358" s="37"/>
      <c r="B358" s="38"/>
      <c r="C358" s="39">
        <f t="shared" si="40"/>
        <v>0</v>
      </c>
      <c r="D358" s="40"/>
      <c r="E358" s="40"/>
      <c r="F358" s="40"/>
      <c r="G358" s="40"/>
      <c r="H358" s="41"/>
      <c r="I358" s="42"/>
      <c r="J358" s="40"/>
      <c r="K358" s="42"/>
      <c r="L358" s="42"/>
      <c r="M358" s="43" t="str">
        <f t="shared" si="41"/>
        <v/>
      </c>
      <c r="N358" s="41" t="str">
        <f t="shared" si="42"/>
        <v/>
      </c>
      <c r="O358" s="41" t="str">
        <f t="shared" si="43"/>
        <v/>
      </c>
      <c r="P358" s="44" t="str">
        <f t="shared" si="44"/>
        <v/>
      </c>
      <c r="Q358" s="45">
        <f t="shared" si="45"/>
        <v>0</v>
      </c>
      <c r="R358" s="45">
        <f t="shared" si="46"/>
        <v>0</v>
      </c>
      <c r="S358" s="44">
        <f t="shared" si="47"/>
        <v>0</v>
      </c>
      <c r="T358" s="40"/>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c r="BD358" s="36"/>
      <c r="BE358" s="36"/>
      <c r="BF358" s="36"/>
      <c r="BG358" s="36"/>
      <c r="BH358" s="36"/>
      <c r="BI358" s="36"/>
      <c r="BJ358" s="36"/>
      <c r="BK358" s="36"/>
      <c r="BL358" s="36"/>
    </row>
    <row r="359" spans="1:64" ht="14">
      <c r="A359" s="37"/>
      <c r="B359" s="38"/>
      <c r="C359" s="39">
        <f t="shared" si="40"/>
        <v>0</v>
      </c>
      <c r="D359" s="40"/>
      <c r="E359" s="40"/>
      <c r="F359" s="40"/>
      <c r="G359" s="40"/>
      <c r="H359" s="41"/>
      <c r="I359" s="42"/>
      <c r="J359" s="40"/>
      <c r="K359" s="42"/>
      <c r="L359" s="42"/>
      <c r="M359" s="43" t="str">
        <f t="shared" si="41"/>
        <v/>
      </c>
      <c r="N359" s="41" t="str">
        <f t="shared" si="42"/>
        <v/>
      </c>
      <c r="O359" s="41" t="str">
        <f t="shared" si="43"/>
        <v/>
      </c>
      <c r="P359" s="44" t="str">
        <f t="shared" si="44"/>
        <v/>
      </c>
      <c r="Q359" s="45">
        <f t="shared" si="45"/>
        <v>0</v>
      </c>
      <c r="R359" s="45">
        <f t="shared" si="46"/>
        <v>0</v>
      </c>
      <c r="S359" s="44">
        <f t="shared" si="47"/>
        <v>0</v>
      </c>
      <c r="T359" s="40"/>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c r="BD359" s="36"/>
      <c r="BE359" s="36"/>
      <c r="BF359" s="36"/>
      <c r="BG359" s="36"/>
      <c r="BH359" s="36"/>
      <c r="BI359" s="36"/>
      <c r="BJ359" s="36"/>
      <c r="BK359" s="36"/>
      <c r="BL359" s="36"/>
    </row>
    <row r="360" spans="1:64" ht="14">
      <c r="A360" s="37"/>
      <c r="B360" s="38"/>
      <c r="C360" s="39">
        <f t="shared" si="40"/>
        <v>0</v>
      </c>
      <c r="D360" s="40"/>
      <c r="E360" s="40"/>
      <c r="F360" s="40"/>
      <c r="G360" s="40"/>
      <c r="H360" s="41"/>
      <c r="I360" s="42"/>
      <c r="J360" s="40"/>
      <c r="K360" s="42"/>
      <c r="L360" s="42"/>
      <c r="M360" s="43" t="str">
        <f t="shared" si="41"/>
        <v/>
      </c>
      <c r="N360" s="41" t="str">
        <f t="shared" si="42"/>
        <v/>
      </c>
      <c r="O360" s="41" t="str">
        <f t="shared" si="43"/>
        <v/>
      </c>
      <c r="P360" s="44" t="str">
        <f t="shared" si="44"/>
        <v/>
      </c>
      <c r="Q360" s="45">
        <f t="shared" si="45"/>
        <v>0</v>
      </c>
      <c r="R360" s="45">
        <f t="shared" si="46"/>
        <v>0</v>
      </c>
      <c r="S360" s="44">
        <f t="shared" si="47"/>
        <v>0</v>
      </c>
      <c r="T360" s="40"/>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row>
    <row r="361" spans="1:64" ht="14">
      <c r="A361" s="37"/>
      <c r="B361" s="38"/>
      <c r="C361" s="39">
        <f t="shared" si="40"/>
        <v>0</v>
      </c>
      <c r="D361" s="40"/>
      <c r="E361" s="40"/>
      <c r="F361" s="40"/>
      <c r="G361" s="40"/>
      <c r="H361" s="41"/>
      <c r="I361" s="42"/>
      <c r="J361" s="40"/>
      <c r="K361" s="42"/>
      <c r="L361" s="42"/>
      <c r="M361" s="43" t="str">
        <f t="shared" si="41"/>
        <v/>
      </c>
      <c r="N361" s="41" t="str">
        <f t="shared" si="42"/>
        <v/>
      </c>
      <c r="O361" s="41" t="str">
        <f t="shared" si="43"/>
        <v/>
      </c>
      <c r="P361" s="44" t="str">
        <f t="shared" si="44"/>
        <v/>
      </c>
      <c r="Q361" s="45">
        <f t="shared" si="45"/>
        <v>0</v>
      </c>
      <c r="R361" s="45">
        <f t="shared" si="46"/>
        <v>0</v>
      </c>
      <c r="S361" s="44">
        <f t="shared" si="47"/>
        <v>0</v>
      </c>
      <c r="T361" s="40"/>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row>
    <row r="362" spans="1:64" ht="14">
      <c r="A362" s="37"/>
      <c r="B362" s="38"/>
      <c r="C362" s="39">
        <f t="shared" si="40"/>
        <v>0</v>
      </c>
      <c r="D362" s="40"/>
      <c r="E362" s="40"/>
      <c r="F362" s="40"/>
      <c r="G362" s="40"/>
      <c r="H362" s="41"/>
      <c r="I362" s="42"/>
      <c r="J362" s="40"/>
      <c r="K362" s="42"/>
      <c r="L362" s="42"/>
      <c r="M362" s="43" t="str">
        <f t="shared" si="41"/>
        <v/>
      </c>
      <c r="N362" s="41" t="str">
        <f t="shared" si="42"/>
        <v/>
      </c>
      <c r="O362" s="41" t="str">
        <f t="shared" si="43"/>
        <v/>
      </c>
      <c r="P362" s="44" t="str">
        <f t="shared" si="44"/>
        <v/>
      </c>
      <c r="Q362" s="45">
        <f t="shared" si="45"/>
        <v>0</v>
      </c>
      <c r="R362" s="45">
        <f t="shared" si="46"/>
        <v>0</v>
      </c>
      <c r="S362" s="44">
        <f t="shared" si="47"/>
        <v>0</v>
      </c>
      <c r="T362" s="40"/>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row>
    <row r="363" spans="1:64" ht="14">
      <c r="A363" s="37"/>
      <c r="B363" s="38"/>
      <c r="C363" s="39">
        <f t="shared" si="40"/>
        <v>0</v>
      </c>
      <c r="D363" s="40"/>
      <c r="E363" s="40"/>
      <c r="F363" s="40"/>
      <c r="G363" s="40"/>
      <c r="H363" s="41"/>
      <c r="I363" s="42"/>
      <c r="J363" s="40"/>
      <c r="K363" s="42"/>
      <c r="L363" s="42"/>
      <c r="M363" s="43" t="str">
        <f t="shared" si="41"/>
        <v/>
      </c>
      <c r="N363" s="41" t="str">
        <f t="shared" si="42"/>
        <v/>
      </c>
      <c r="O363" s="41" t="str">
        <f t="shared" si="43"/>
        <v/>
      </c>
      <c r="P363" s="44" t="str">
        <f t="shared" si="44"/>
        <v/>
      </c>
      <c r="Q363" s="45">
        <f t="shared" si="45"/>
        <v>0</v>
      </c>
      <c r="R363" s="45">
        <f t="shared" si="46"/>
        <v>0</v>
      </c>
      <c r="S363" s="44">
        <f t="shared" si="47"/>
        <v>0</v>
      </c>
      <c r="T363" s="40"/>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row>
    <row r="364" spans="1:64" ht="14">
      <c r="A364" s="37"/>
      <c r="B364" s="38"/>
      <c r="C364" s="39">
        <f t="shared" si="40"/>
        <v>0</v>
      </c>
      <c r="D364" s="40"/>
      <c r="E364" s="40"/>
      <c r="F364" s="40"/>
      <c r="G364" s="40"/>
      <c r="H364" s="41"/>
      <c r="I364" s="42"/>
      <c r="J364" s="40"/>
      <c r="K364" s="42"/>
      <c r="L364" s="42"/>
      <c r="M364" s="43" t="str">
        <f t="shared" si="41"/>
        <v/>
      </c>
      <c r="N364" s="41" t="str">
        <f t="shared" si="42"/>
        <v/>
      </c>
      <c r="O364" s="41" t="str">
        <f t="shared" si="43"/>
        <v/>
      </c>
      <c r="P364" s="44" t="str">
        <f t="shared" si="44"/>
        <v/>
      </c>
      <c r="Q364" s="45">
        <f t="shared" si="45"/>
        <v>0</v>
      </c>
      <c r="R364" s="45">
        <f t="shared" si="46"/>
        <v>0</v>
      </c>
      <c r="S364" s="44">
        <f t="shared" si="47"/>
        <v>0</v>
      </c>
      <c r="T364" s="40"/>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c r="BD364" s="36"/>
      <c r="BE364" s="36"/>
      <c r="BF364" s="36"/>
      <c r="BG364" s="36"/>
      <c r="BH364" s="36"/>
      <c r="BI364" s="36"/>
      <c r="BJ364" s="36"/>
      <c r="BK364" s="36"/>
      <c r="BL364" s="36"/>
    </row>
    <row r="365" spans="1:64" ht="14">
      <c r="A365" s="37"/>
      <c r="B365" s="38"/>
      <c r="C365" s="39">
        <f t="shared" si="40"/>
        <v>0</v>
      </c>
      <c r="D365" s="40"/>
      <c r="E365" s="40"/>
      <c r="F365" s="40"/>
      <c r="G365" s="40"/>
      <c r="H365" s="41"/>
      <c r="I365" s="42"/>
      <c r="J365" s="40"/>
      <c r="K365" s="42"/>
      <c r="L365" s="42"/>
      <c r="M365" s="43" t="str">
        <f t="shared" si="41"/>
        <v/>
      </c>
      <c r="N365" s="41" t="str">
        <f t="shared" si="42"/>
        <v/>
      </c>
      <c r="O365" s="41" t="str">
        <f t="shared" si="43"/>
        <v/>
      </c>
      <c r="P365" s="44" t="str">
        <f t="shared" si="44"/>
        <v/>
      </c>
      <c r="Q365" s="45">
        <f t="shared" si="45"/>
        <v>0</v>
      </c>
      <c r="R365" s="45">
        <f t="shared" si="46"/>
        <v>0</v>
      </c>
      <c r="S365" s="44">
        <f t="shared" si="47"/>
        <v>0</v>
      </c>
      <c r="T365" s="40"/>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c r="BD365" s="36"/>
      <c r="BE365" s="36"/>
      <c r="BF365" s="36"/>
      <c r="BG365" s="36"/>
      <c r="BH365" s="36"/>
      <c r="BI365" s="36"/>
      <c r="BJ365" s="36"/>
      <c r="BK365" s="36"/>
      <c r="BL365" s="36"/>
    </row>
    <row r="366" spans="1:64" ht="14">
      <c r="A366" s="37"/>
      <c r="B366" s="38"/>
      <c r="C366" s="39">
        <f t="shared" si="40"/>
        <v>0</v>
      </c>
      <c r="D366" s="40"/>
      <c r="E366" s="40"/>
      <c r="F366" s="40"/>
      <c r="G366" s="40"/>
      <c r="H366" s="41"/>
      <c r="I366" s="42"/>
      <c r="J366" s="40"/>
      <c r="K366" s="42"/>
      <c r="L366" s="42"/>
      <c r="M366" s="43" t="str">
        <f t="shared" si="41"/>
        <v/>
      </c>
      <c r="N366" s="41" t="str">
        <f t="shared" si="42"/>
        <v/>
      </c>
      <c r="O366" s="41" t="str">
        <f t="shared" si="43"/>
        <v/>
      </c>
      <c r="P366" s="44" t="str">
        <f t="shared" si="44"/>
        <v/>
      </c>
      <c r="Q366" s="45">
        <f t="shared" si="45"/>
        <v>0</v>
      </c>
      <c r="R366" s="45">
        <f t="shared" si="46"/>
        <v>0</v>
      </c>
      <c r="S366" s="44">
        <f t="shared" si="47"/>
        <v>0</v>
      </c>
      <c r="T366" s="40"/>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c r="BD366" s="36"/>
      <c r="BE366" s="36"/>
      <c r="BF366" s="36"/>
      <c r="BG366" s="36"/>
      <c r="BH366" s="36"/>
      <c r="BI366" s="36"/>
      <c r="BJ366" s="36"/>
      <c r="BK366" s="36"/>
      <c r="BL366" s="36"/>
    </row>
    <row r="367" spans="1:64" ht="14">
      <c r="A367" s="37"/>
      <c r="B367" s="38"/>
      <c r="C367" s="39">
        <f t="shared" si="40"/>
        <v>0</v>
      </c>
      <c r="D367" s="40"/>
      <c r="E367" s="40"/>
      <c r="F367" s="40"/>
      <c r="G367" s="40"/>
      <c r="H367" s="41"/>
      <c r="I367" s="42"/>
      <c r="J367" s="40"/>
      <c r="K367" s="42"/>
      <c r="L367" s="42"/>
      <c r="M367" s="43" t="str">
        <f t="shared" si="41"/>
        <v/>
      </c>
      <c r="N367" s="41" t="str">
        <f t="shared" si="42"/>
        <v/>
      </c>
      <c r="O367" s="41" t="str">
        <f t="shared" si="43"/>
        <v/>
      </c>
      <c r="P367" s="44" t="str">
        <f t="shared" si="44"/>
        <v/>
      </c>
      <c r="Q367" s="45">
        <f t="shared" si="45"/>
        <v>0</v>
      </c>
      <c r="R367" s="45">
        <f t="shared" si="46"/>
        <v>0</v>
      </c>
      <c r="S367" s="44">
        <f t="shared" si="47"/>
        <v>0</v>
      </c>
      <c r="T367" s="40"/>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row>
    <row r="368" spans="1:64" ht="14">
      <c r="A368" s="37"/>
      <c r="B368" s="38"/>
      <c r="C368" s="39">
        <f t="shared" si="40"/>
        <v>0</v>
      </c>
      <c r="D368" s="40"/>
      <c r="E368" s="40"/>
      <c r="F368" s="40"/>
      <c r="G368" s="40"/>
      <c r="H368" s="41"/>
      <c r="I368" s="42"/>
      <c r="J368" s="40"/>
      <c r="K368" s="42"/>
      <c r="L368" s="42"/>
      <c r="M368" s="43" t="str">
        <f t="shared" si="41"/>
        <v/>
      </c>
      <c r="N368" s="41" t="str">
        <f t="shared" si="42"/>
        <v/>
      </c>
      <c r="O368" s="41" t="str">
        <f t="shared" si="43"/>
        <v/>
      </c>
      <c r="P368" s="44" t="str">
        <f t="shared" si="44"/>
        <v/>
      </c>
      <c r="Q368" s="45">
        <f t="shared" si="45"/>
        <v>0</v>
      </c>
      <c r="R368" s="45">
        <f t="shared" si="46"/>
        <v>0</v>
      </c>
      <c r="S368" s="44">
        <f t="shared" si="47"/>
        <v>0</v>
      </c>
      <c r="T368" s="40"/>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row>
    <row r="369" spans="1:64" ht="14">
      <c r="A369" s="37"/>
      <c r="B369" s="38"/>
      <c r="C369" s="39">
        <f t="shared" si="40"/>
        <v>0</v>
      </c>
      <c r="D369" s="40"/>
      <c r="E369" s="40"/>
      <c r="F369" s="40"/>
      <c r="G369" s="40"/>
      <c r="H369" s="41"/>
      <c r="I369" s="42"/>
      <c r="J369" s="40"/>
      <c r="K369" s="42"/>
      <c r="L369" s="42"/>
      <c r="M369" s="43" t="str">
        <f t="shared" si="41"/>
        <v/>
      </c>
      <c r="N369" s="41" t="str">
        <f t="shared" si="42"/>
        <v/>
      </c>
      <c r="O369" s="41" t="str">
        <f t="shared" si="43"/>
        <v/>
      </c>
      <c r="P369" s="44" t="str">
        <f t="shared" si="44"/>
        <v/>
      </c>
      <c r="Q369" s="45">
        <f t="shared" si="45"/>
        <v>0</v>
      </c>
      <c r="R369" s="45">
        <f t="shared" si="46"/>
        <v>0</v>
      </c>
      <c r="S369" s="44">
        <f t="shared" si="47"/>
        <v>0</v>
      </c>
      <c r="T369" s="40"/>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c r="BD369" s="36"/>
      <c r="BE369" s="36"/>
      <c r="BF369" s="36"/>
      <c r="BG369" s="36"/>
      <c r="BH369" s="36"/>
      <c r="BI369" s="36"/>
      <c r="BJ369" s="36"/>
      <c r="BK369" s="36"/>
      <c r="BL369" s="36"/>
    </row>
    <row r="370" spans="1:64" ht="14">
      <c r="A370" s="37"/>
      <c r="B370" s="38"/>
      <c r="C370" s="39">
        <f t="shared" si="40"/>
        <v>0</v>
      </c>
      <c r="D370" s="40"/>
      <c r="E370" s="40"/>
      <c r="F370" s="40"/>
      <c r="G370" s="40"/>
      <c r="H370" s="41"/>
      <c r="I370" s="42"/>
      <c r="J370" s="40"/>
      <c r="K370" s="42"/>
      <c r="L370" s="42"/>
      <c r="M370" s="43" t="str">
        <f t="shared" si="41"/>
        <v/>
      </c>
      <c r="N370" s="41" t="str">
        <f t="shared" si="42"/>
        <v/>
      </c>
      <c r="O370" s="41" t="str">
        <f t="shared" si="43"/>
        <v/>
      </c>
      <c r="P370" s="44" t="str">
        <f t="shared" si="44"/>
        <v/>
      </c>
      <c r="Q370" s="45">
        <f t="shared" si="45"/>
        <v>0</v>
      </c>
      <c r="R370" s="45">
        <f t="shared" si="46"/>
        <v>0</v>
      </c>
      <c r="S370" s="44">
        <f t="shared" si="47"/>
        <v>0</v>
      </c>
      <c r="T370" s="40"/>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row>
    <row r="371" spans="1:64" ht="14">
      <c r="A371" s="37"/>
      <c r="B371" s="38"/>
      <c r="C371" s="39">
        <f t="shared" si="40"/>
        <v>0</v>
      </c>
      <c r="D371" s="40"/>
      <c r="E371" s="40"/>
      <c r="F371" s="40"/>
      <c r="G371" s="40"/>
      <c r="H371" s="41"/>
      <c r="I371" s="42"/>
      <c r="J371" s="40"/>
      <c r="K371" s="42"/>
      <c r="L371" s="42"/>
      <c r="M371" s="43" t="str">
        <f t="shared" si="41"/>
        <v/>
      </c>
      <c r="N371" s="41" t="str">
        <f t="shared" si="42"/>
        <v/>
      </c>
      <c r="O371" s="41" t="str">
        <f t="shared" si="43"/>
        <v/>
      </c>
      <c r="P371" s="44" t="str">
        <f t="shared" si="44"/>
        <v/>
      </c>
      <c r="Q371" s="45">
        <f t="shared" si="45"/>
        <v>0</v>
      </c>
      <c r="R371" s="45">
        <f t="shared" si="46"/>
        <v>0</v>
      </c>
      <c r="S371" s="44">
        <f t="shared" si="47"/>
        <v>0</v>
      </c>
      <c r="T371" s="40"/>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row>
    <row r="372" spans="1:64" ht="14">
      <c r="A372" s="37"/>
      <c r="B372" s="38"/>
      <c r="C372" s="39">
        <f t="shared" si="40"/>
        <v>0</v>
      </c>
      <c r="D372" s="40"/>
      <c r="E372" s="40"/>
      <c r="F372" s="40"/>
      <c r="G372" s="40"/>
      <c r="H372" s="41"/>
      <c r="I372" s="42"/>
      <c r="J372" s="40"/>
      <c r="K372" s="42"/>
      <c r="L372" s="42"/>
      <c r="M372" s="43" t="str">
        <f t="shared" si="41"/>
        <v/>
      </c>
      <c r="N372" s="41" t="str">
        <f t="shared" si="42"/>
        <v/>
      </c>
      <c r="O372" s="41" t="str">
        <f t="shared" si="43"/>
        <v/>
      </c>
      <c r="P372" s="44" t="str">
        <f t="shared" si="44"/>
        <v/>
      </c>
      <c r="Q372" s="45">
        <f t="shared" si="45"/>
        <v>0</v>
      </c>
      <c r="R372" s="45">
        <f t="shared" si="46"/>
        <v>0</v>
      </c>
      <c r="S372" s="44">
        <f t="shared" si="47"/>
        <v>0</v>
      </c>
      <c r="T372" s="40"/>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c r="BD372" s="36"/>
      <c r="BE372" s="36"/>
      <c r="BF372" s="36"/>
      <c r="BG372" s="36"/>
      <c r="BH372" s="36"/>
      <c r="BI372" s="36"/>
      <c r="BJ372" s="36"/>
      <c r="BK372" s="36"/>
      <c r="BL372" s="36"/>
    </row>
    <row r="373" spans="1:64" ht="14">
      <c r="A373" s="37"/>
      <c r="B373" s="38"/>
      <c r="C373" s="39">
        <f t="shared" si="40"/>
        <v>0</v>
      </c>
      <c r="D373" s="40"/>
      <c r="E373" s="40"/>
      <c r="F373" s="40"/>
      <c r="G373" s="40"/>
      <c r="H373" s="41"/>
      <c r="I373" s="42"/>
      <c r="J373" s="40"/>
      <c r="K373" s="42"/>
      <c r="L373" s="42"/>
      <c r="M373" s="43" t="str">
        <f t="shared" si="41"/>
        <v/>
      </c>
      <c r="N373" s="41" t="str">
        <f t="shared" si="42"/>
        <v/>
      </c>
      <c r="O373" s="41" t="str">
        <f t="shared" si="43"/>
        <v/>
      </c>
      <c r="P373" s="44" t="str">
        <f t="shared" si="44"/>
        <v/>
      </c>
      <c r="Q373" s="45">
        <f t="shared" si="45"/>
        <v>0</v>
      </c>
      <c r="R373" s="45">
        <f t="shared" si="46"/>
        <v>0</v>
      </c>
      <c r="S373" s="44">
        <f t="shared" si="47"/>
        <v>0</v>
      </c>
      <c r="T373" s="40"/>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row>
    <row r="374" spans="1:64" ht="14">
      <c r="A374" s="37"/>
      <c r="B374" s="38"/>
      <c r="C374" s="39">
        <f t="shared" si="40"/>
        <v>0</v>
      </c>
      <c r="D374" s="40"/>
      <c r="E374" s="40"/>
      <c r="F374" s="40"/>
      <c r="G374" s="40"/>
      <c r="H374" s="41"/>
      <c r="I374" s="42"/>
      <c r="J374" s="40"/>
      <c r="K374" s="42"/>
      <c r="L374" s="42"/>
      <c r="M374" s="43" t="str">
        <f t="shared" si="41"/>
        <v/>
      </c>
      <c r="N374" s="41" t="str">
        <f t="shared" si="42"/>
        <v/>
      </c>
      <c r="O374" s="41" t="str">
        <f t="shared" si="43"/>
        <v/>
      </c>
      <c r="P374" s="44" t="str">
        <f t="shared" si="44"/>
        <v/>
      </c>
      <c r="Q374" s="45">
        <f t="shared" si="45"/>
        <v>0</v>
      </c>
      <c r="R374" s="45">
        <f t="shared" si="46"/>
        <v>0</v>
      </c>
      <c r="S374" s="44">
        <f t="shared" si="47"/>
        <v>0</v>
      </c>
      <c r="T374" s="40"/>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row>
    <row r="375" spans="1:64" ht="14">
      <c r="A375" s="37"/>
      <c r="B375" s="38"/>
      <c r="C375" s="39">
        <f t="shared" si="40"/>
        <v>0</v>
      </c>
      <c r="D375" s="40"/>
      <c r="E375" s="40"/>
      <c r="F375" s="40"/>
      <c r="G375" s="40"/>
      <c r="H375" s="41"/>
      <c r="I375" s="42"/>
      <c r="J375" s="40"/>
      <c r="K375" s="42"/>
      <c r="L375" s="42"/>
      <c r="M375" s="43" t="str">
        <f t="shared" si="41"/>
        <v/>
      </c>
      <c r="N375" s="41" t="str">
        <f t="shared" si="42"/>
        <v/>
      </c>
      <c r="O375" s="41" t="str">
        <f t="shared" si="43"/>
        <v/>
      </c>
      <c r="P375" s="44" t="str">
        <f t="shared" si="44"/>
        <v/>
      </c>
      <c r="Q375" s="45">
        <f t="shared" si="45"/>
        <v>0</v>
      </c>
      <c r="R375" s="45">
        <f t="shared" si="46"/>
        <v>0</v>
      </c>
      <c r="S375" s="44">
        <f t="shared" si="47"/>
        <v>0</v>
      </c>
      <c r="T375" s="40"/>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row>
    <row r="376" spans="1:64" ht="14">
      <c r="A376" s="37"/>
      <c r="B376" s="38"/>
      <c r="C376" s="39">
        <f t="shared" si="40"/>
        <v>0</v>
      </c>
      <c r="D376" s="40"/>
      <c r="E376" s="40"/>
      <c r="F376" s="40"/>
      <c r="G376" s="40"/>
      <c r="H376" s="41"/>
      <c r="I376" s="42"/>
      <c r="J376" s="40"/>
      <c r="K376" s="42"/>
      <c r="L376" s="42"/>
      <c r="M376" s="43" t="str">
        <f t="shared" si="41"/>
        <v/>
      </c>
      <c r="N376" s="41" t="str">
        <f t="shared" si="42"/>
        <v/>
      </c>
      <c r="O376" s="41" t="str">
        <f t="shared" si="43"/>
        <v/>
      </c>
      <c r="P376" s="44" t="str">
        <f t="shared" si="44"/>
        <v/>
      </c>
      <c r="Q376" s="45">
        <f t="shared" si="45"/>
        <v>0</v>
      </c>
      <c r="R376" s="45">
        <f t="shared" si="46"/>
        <v>0</v>
      </c>
      <c r="S376" s="44">
        <f t="shared" si="47"/>
        <v>0</v>
      </c>
      <c r="T376" s="40"/>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row>
    <row r="377" spans="1:64" ht="14">
      <c r="A377" s="37"/>
      <c r="B377" s="38"/>
      <c r="C377" s="39">
        <f t="shared" si="40"/>
        <v>0</v>
      </c>
      <c r="D377" s="40"/>
      <c r="E377" s="40"/>
      <c r="F377" s="40"/>
      <c r="G377" s="40"/>
      <c r="H377" s="41"/>
      <c r="I377" s="42"/>
      <c r="J377" s="40"/>
      <c r="K377" s="42"/>
      <c r="L377" s="42"/>
      <c r="M377" s="43" t="str">
        <f t="shared" si="41"/>
        <v/>
      </c>
      <c r="N377" s="41" t="str">
        <f t="shared" si="42"/>
        <v/>
      </c>
      <c r="O377" s="41" t="str">
        <f t="shared" si="43"/>
        <v/>
      </c>
      <c r="P377" s="44" t="str">
        <f t="shared" si="44"/>
        <v/>
      </c>
      <c r="Q377" s="45">
        <f t="shared" si="45"/>
        <v>0</v>
      </c>
      <c r="R377" s="45">
        <f t="shared" si="46"/>
        <v>0</v>
      </c>
      <c r="S377" s="44">
        <f t="shared" si="47"/>
        <v>0</v>
      </c>
      <c r="T377" s="40"/>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row>
    <row r="378" spans="1:64" ht="14">
      <c r="A378" s="37"/>
      <c r="B378" s="38"/>
      <c r="C378" s="39">
        <f t="shared" si="40"/>
        <v>0</v>
      </c>
      <c r="D378" s="40"/>
      <c r="E378" s="40"/>
      <c r="F378" s="40"/>
      <c r="G378" s="40"/>
      <c r="H378" s="41"/>
      <c r="I378" s="42"/>
      <c r="J378" s="40"/>
      <c r="K378" s="42"/>
      <c r="L378" s="42"/>
      <c r="M378" s="43" t="str">
        <f t="shared" si="41"/>
        <v/>
      </c>
      <c r="N378" s="41" t="str">
        <f t="shared" si="42"/>
        <v/>
      </c>
      <c r="O378" s="41" t="str">
        <f t="shared" si="43"/>
        <v/>
      </c>
      <c r="P378" s="44" t="str">
        <f t="shared" si="44"/>
        <v/>
      </c>
      <c r="Q378" s="45">
        <f t="shared" si="45"/>
        <v>0</v>
      </c>
      <c r="R378" s="45">
        <f t="shared" si="46"/>
        <v>0</v>
      </c>
      <c r="S378" s="44">
        <f t="shared" si="47"/>
        <v>0</v>
      </c>
      <c r="T378" s="40"/>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row>
    <row r="379" spans="1:64" ht="14">
      <c r="A379" s="37"/>
      <c r="B379" s="38"/>
      <c r="C379" s="39">
        <f t="shared" si="40"/>
        <v>0</v>
      </c>
      <c r="D379" s="40"/>
      <c r="E379" s="40"/>
      <c r="F379" s="40"/>
      <c r="G379" s="40"/>
      <c r="H379" s="41"/>
      <c r="I379" s="42"/>
      <c r="J379" s="40"/>
      <c r="K379" s="42"/>
      <c r="L379" s="42"/>
      <c r="M379" s="43" t="str">
        <f t="shared" si="41"/>
        <v/>
      </c>
      <c r="N379" s="41" t="str">
        <f t="shared" si="42"/>
        <v/>
      </c>
      <c r="O379" s="41" t="str">
        <f t="shared" si="43"/>
        <v/>
      </c>
      <c r="P379" s="44" t="str">
        <f t="shared" si="44"/>
        <v/>
      </c>
      <c r="Q379" s="45">
        <f t="shared" si="45"/>
        <v>0</v>
      </c>
      <c r="R379" s="45">
        <f t="shared" si="46"/>
        <v>0</v>
      </c>
      <c r="S379" s="44">
        <f t="shared" si="47"/>
        <v>0</v>
      </c>
      <c r="T379" s="40"/>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row>
    <row r="380" spans="1:64" ht="14">
      <c r="A380" s="37"/>
      <c r="B380" s="38"/>
      <c r="C380" s="39">
        <f t="shared" si="40"/>
        <v>0</v>
      </c>
      <c r="D380" s="40"/>
      <c r="E380" s="40"/>
      <c r="F380" s="40"/>
      <c r="G380" s="40"/>
      <c r="H380" s="41"/>
      <c r="I380" s="42"/>
      <c r="J380" s="40"/>
      <c r="K380" s="42"/>
      <c r="L380" s="42"/>
      <c r="M380" s="43" t="str">
        <f t="shared" si="41"/>
        <v/>
      </c>
      <c r="N380" s="41" t="str">
        <f t="shared" si="42"/>
        <v/>
      </c>
      <c r="O380" s="41" t="str">
        <f t="shared" si="43"/>
        <v/>
      </c>
      <c r="P380" s="44" t="str">
        <f t="shared" si="44"/>
        <v/>
      </c>
      <c r="Q380" s="45">
        <f t="shared" si="45"/>
        <v>0</v>
      </c>
      <c r="R380" s="45">
        <f t="shared" si="46"/>
        <v>0</v>
      </c>
      <c r="S380" s="44">
        <f t="shared" si="47"/>
        <v>0</v>
      </c>
      <c r="T380" s="40"/>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row>
    <row r="381" spans="1:64" ht="14">
      <c r="A381" s="37"/>
      <c r="B381" s="38"/>
      <c r="C381" s="39">
        <f t="shared" si="40"/>
        <v>0</v>
      </c>
      <c r="D381" s="40"/>
      <c r="E381" s="40"/>
      <c r="F381" s="40"/>
      <c r="G381" s="40"/>
      <c r="H381" s="41"/>
      <c r="I381" s="42"/>
      <c r="J381" s="40"/>
      <c r="K381" s="42"/>
      <c r="L381" s="42"/>
      <c r="M381" s="43" t="str">
        <f t="shared" si="41"/>
        <v/>
      </c>
      <c r="N381" s="41" t="str">
        <f t="shared" si="42"/>
        <v/>
      </c>
      <c r="O381" s="41" t="str">
        <f t="shared" si="43"/>
        <v/>
      </c>
      <c r="P381" s="44" t="str">
        <f t="shared" si="44"/>
        <v/>
      </c>
      <c r="Q381" s="45">
        <f t="shared" si="45"/>
        <v>0</v>
      </c>
      <c r="R381" s="45">
        <f t="shared" si="46"/>
        <v>0</v>
      </c>
      <c r="S381" s="44">
        <f t="shared" si="47"/>
        <v>0</v>
      </c>
      <c r="T381" s="40"/>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row>
    <row r="382" spans="1:64" ht="14">
      <c r="A382" s="37"/>
      <c r="B382" s="38"/>
      <c r="C382" s="39">
        <f t="shared" si="40"/>
        <v>0</v>
      </c>
      <c r="D382" s="40"/>
      <c r="E382" s="40"/>
      <c r="F382" s="40"/>
      <c r="G382" s="40"/>
      <c r="H382" s="41"/>
      <c r="I382" s="42"/>
      <c r="J382" s="40"/>
      <c r="K382" s="42"/>
      <c r="L382" s="42"/>
      <c r="M382" s="43" t="str">
        <f t="shared" si="41"/>
        <v/>
      </c>
      <c r="N382" s="41" t="str">
        <f t="shared" si="42"/>
        <v/>
      </c>
      <c r="O382" s="41" t="str">
        <f t="shared" si="43"/>
        <v/>
      </c>
      <c r="P382" s="44" t="str">
        <f t="shared" si="44"/>
        <v/>
      </c>
      <c r="Q382" s="45">
        <f t="shared" si="45"/>
        <v>0</v>
      </c>
      <c r="R382" s="45">
        <f t="shared" si="46"/>
        <v>0</v>
      </c>
      <c r="S382" s="44">
        <f t="shared" si="47"/>
        <v>0</v>
      </c>
      <c r="T382" s="40"/>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row>
    <row r="383" spans="1:64" ht="14">
      <c r="A383" s="215" t="s">
        <v>58</v>
      </c>
      <c r="B383" s="215"/>
      <c r="C383" s="215"/>
      <c r="D383" s="215"/>
      <c r="E383" s="215"/>
      <c r="F383" s="215"/>
      <c r="G383" s="215"/>
      <c r="H383" s="215"/>
      <c r="I383" s="215"/>
      <c r="J383" s="215"/>
      <c r="K383" s="215"/>
      <c r="L383" s="215"/>
      <c r="M383" s="215"/>
      <c r="N383" s="215"/>
      <c r="O383" s="215"/>
      <c r="P383" s="215"/>
      <c r="Q383" s="215"/>
      <c r="R383" s="215"/>
      <c r="S383" s="215"/>
      <c r="T383" s="215"/>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row>
    <row r="384" spans="1:64" ht="26">
      <c r="A384" s="48"/>
      <c r="B384" s="49"/>
      <c r="C384" s="49"/>
      <c r="D384" s="50"/>
      <c r="E384" s="50"/>
      <c r="F384" s="50"/>
      <c r="G384" s="50"/>
      <c r="I384" s="48"/>
      <c r="J384" s="48"/>
      <c r="K384" s="48"/>
      <c r="L384" s="48"/>
      <c r="M384" s="48"/>
      <c r="N384" s="49"/>
      <c r="O384" s="49"/>
      <c r="P384" s="51" t="s">
        <v>59</v>
      </c>
      <c r="Q384" s="49"/>
      <c r="R384" s="41">
        <f>IF(AND(J384="ALI",O384="Simples"),7, IF(AND(J384="ALI",O384="Médio"),10, IF(AND(J384="ALI",O384="Complexo"),15, IF(AND(J384="AIE",O384="Simples"),5, IF(AND(J384="AIE",O384="Médio"),7, IF(AND(J384="AIE",O384="Complexo"),10,0))))))</f>
        <v>0</v>
      </c>
      <c r="S384" s="52">
        <f>SUM(S9:S383)</f>
        <v>0</v>
      </c>
      <c r="T384" s="53"/>
    </row>
  </sheetData>
  <mergeCells count="13">
    <mergeCell ref="C1:T1"/>
    <mergeCell ref="J3:L3"/>
    <mergeCell ref="P3:T3"/>
    <mergeCell ref="J4:L4"/>
    <mergeCell ref="P4:T4"/>
    <mergeCell ref="A9:T9"/>
    <mergeCell ref="A383:T383"/>
    <mergeCell ref="A5:C6"/>
    <mergeCell ref="D5:E6"/>
    <mergeCell ref="J5:L5"/>
    <mergeCell ref="P5:T5"/>
    <mergeCell ref="J6:L6"/>
    <mergeCell ref="P6:T6"/>
  </mergeCells>
  <conditionalFormatting sqref="N10:P382 K10:L382">
    <cfRule type="expression" dxfId="44" priority="2">
      <formula>$M10&lt;&gt;"%"</formula>
    </cfRule>
  </conditionalFormatting>
  <conditionalFormatting sqref="I10:I382">
    <cfRule type="expression" dxfId="43" priority="3">
      <formula>$M10="%"</formula>
    </cfRule>
  </conditionalFormatting>
  <conditionalFormatting sqref="J10:J382">
    <cfRule type="expression" dxfId="42" priority="4">
      <formula>AND($J10&lt;&gt;"INM",$M10="Q")</formula>
    </cfRule>
  </conditionalFormatting>
  <conditionalFormatting sqref="I10:I382">
    <cfRule type="expression" dxfId="41" priority="5">
      <formula>OR(AND($I10&lt;&gt;"",$M10="%"),AND($I10="",$M10="Q"))</formula>
    </cfRule>
  </conditionalFormatting>
  <conditionalFormatting sqref="K10:K382">
    <cfRule type="expression" dxfId="40" priority="6">
      <formula>AND($K10="",$M10="%")</formula>
    </cfRule>
  </conditionalFormatting>
  <conditionalFormatting sqref="L10:L382">
    <cfRule type="expression" dxfId="39" priority="7">
      <formula>AND($L10="",$M10="%")</formula>
    </cfRule>
  </conditionalFormatting>
  <conditionalFormatting sqref="J10:J382">
    <cfRule type="expression" dxfId="38" priority="8">
      <formula>AND(OR($J10="INM",$J10=""),$M10="%")</formula>
    </cfRule>
  </conditionalFormatting>
  <dataValidations count="3">
    <dataValidation type="list" operator="equal" allowBlank="1" showInputMessage="1" showErrorMessage="1" sqref="B10:B382" xr:uid="{00000000-0002-0000-0200-000000000000}">
      <formula1>Deflatores</formula1>
      <formula2>0</formula2>
    </dataValidation>
    <dataValidation type="whole" operator="greaterThanOrEqual" allowBlank="1" showInputMessage="1" showErrorMessage="1" errorTitle="Insira apenas números (&gt;=0)" sqref="I10:I382 K10:L382" xr:uid="{00000000-0002-0000-0200-000001000000}">
      <formula1>0</formula1>
      <formula2>0</formula2>
    </dataValidation>
    <dataValidation type="list" operator="equal" allowBlank="1" showInputMessage="1" showErrorMessage="1" errorTitle="Erro" error="Selecione uma das opções apresentada" sqref="J10:J382" xr:uid="{00000000-0002-0000-0200-000002000000}">
      <formula1>"-------,EE,SE,CE,ALI,AIE,INM"</formula1>
      <formula2>0</formula2>
    </dataValidation>
  </dataValidations>
  <pageMargins left="0.196527777777778" right="0.196527777777778" top="0.32986111111111099" bottom="0.42986111111111103" header="0.179861111111111" footer="0.27569444444444402"/>
  <pageSetup paperSize="9" firstPageNumber="0" fitToHeight="10" orientation="landscape" horizontalDpi="300" verticalDpi="300"/>
  <headerFooter>
    <oddHeader>&amp;C&amp;A</oddHeader>
    <oddFooter>&amp;CPágina &amp;P de &amp;N</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27"/>
  <sheetViews>
    <sheetView zoomScaleNormal="100" workbookViewId="0"/>
  </sheetViews>
  <sheetFormatPr defaultRowHeight="12.5"/>
  <cols>
    <col min="1" max="1" width="5.36328125" style="54" customWidth="1"/>
    <col min="2" max="2" width="24.36328125" style="55" customWidth="1"/>
    <col min="3" max="3" width="8.1796875" style="56" customWidth="1"/>
    <col min="4" max="4" width="14.1796875" style="56" customWidth="1"/>
    <col min="5" max="5" width="26.54296875" style="56" customWidth="1"/>
    <col min="6" max="6" width="9.26953125" style="56" customWidth="1"/>
    <col min="7" max="7" width="14.54296875" style="57" customWidth="1"/>
    <col min="8" max="8" width="12.7265625" style="54" customWidth="1"/>
    <col min="9" max="9" width="9.81640625" style="54" customWidth="1"/>
    <col min="10" max="10" width="9.81640625" style="55" customWidth="1"/>
    <col min="11" max="11" width="15" style="55" customWidth="1"/>
    <col min="12" max="12" width="12.81640625" style="55" customWidth="1"/>
    <col min="13" max="13" width="10.6328125" style="55" customWidth="1"/>
    <col min="14" max="14" width="9" style="55" customWidth="1"/>
    <col min="15" max="15" width="8.6328125" style="55" customWidth="1"/>
    <col min="16" max="16" width="14.6328125" style="55" customWidth="1"/>
    <col min="17" max="20" width="9" style="55" customWidth="1"/>
    <col min="21" max="64" width="8.6328125" style="55" customWidth="1"/>
    <col min="65" max="1014" width="8.6328125" customWidth="1"/>
    <col min="1015" max="1025" width="11.54296875"/>
  </cols>
  <sheetData>
    <row r="1" spans="1:64" ht="69" customHeight="1">
      <c r="A1" s="2">
        <v>0</v>
      </c>
      <c r="B1" s="22"/>
      <c r="C1" s="220" t="s">
        <v>60</v>
      </c>
      <c r="D1" s="220"/>
      <c r="E1" s="220"/>
      <c r="F1" s="220"/>
      <c r="G1" s="220"/>
      <c r="H1" s="220"/>
      <c r="I1" s="220"/>
      <c r="J1" s="220"/>
      <c r="K1" s="220"/>
      <c r="L1" s="220"/>
      <c r="M1" s="220"/>
      <c r="N1" s="220"/>
      <c r="O1" s="220"/>
      <c r="P1" s="220"/>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row>
    <row r="2" spans="1:64" ht="9" customHeight="1">
      <c r="A2" s="24"/>
      <c r="B2" s="24"/>
      <c r="C2" s="25"/>
      <c r="D2" s="25"/>
      <c r="E2" s="25"/>
      <c r="F2" s="25"/>
      <c r="G2" s="25"/>
      <c r="H2" s="25"/>
      <c r="I2" s="25"/>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row>
    <row r="3" spans="1:64" ht="18.649999999999999" customHeight="1">
      <c r="A3" s="19"/>
      <c r="B3" s="26"/>
      <c r="C3" s="25"/>
      <c r="D3" s="25"/>
      <c r="E3" s="25"/>
      <c r="F3"/>
      <c r="G3"/>
      <c r="H3"/>
      <c r="I3"/>
      <c r="J3"/>
      <c r="K3"/>
      <c r="L3" s="224" t="s">
        <v>8</v>
      </c>
      <c r="M3" s="224"/>
      <c r="N3" s="224"/>
      <c r="O3" s="218"/>
      <c r="P3" s="218"/>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row>
    <row r="4" spans="1:64" ht="18.649999999999999" customHeight="1">
      <c r="A4" s="19"/>
      <c r="B4" s="26"/>
      <c r="C4" s="25"/>
      <c r="D4" s="25"/>
      <c r="E4" s="25"/>
      <c r="F4"/>
      <c r="G4"/>
      <c r="H4"/>
      <c r="I4"/>
      <c r="J4"/>
      <c r="K4"/>
      <c r="L4" s="224" t="s">
        <v>9</v>
      </c>
      <c r="M4" s="224"/>
      <c r="N4" s="224"/>
      <c r="O4" s="218"/>
      <c r="P4" s="218"/>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row>
    <row r="5" spans="1:64" ht="18.649999999999999" customHeight="1">
      <c r="A5" s="223" t="s">
        <v>36</v>
      </c>
      <c r="B5" s="223"/>
      <c r="C5" s="217" t="str">
        <f>TEXT(P27,"#.##0,0#")</f>
        <v>0,0</v>
      </c>
      <c r="D5" s="217"/>
      <c r="E5" s="25"/>
      <c r="F5"/>
      <c r="G5"/>
      <c r="H5"/>
      <c r="I5"/>
      <c r="J5"/>
      <c r="K5"/>
      <c r="L5" s="224" t="s">
        <v>10</v>
      </c>
      <c r="M5" s="224"/>
      <c r="N5" s="224"/>
      <c r="O5" s="218"/>
      <c r="P5" s="218"/>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8.649999999999999" customHeight="1">
      <c r="A6" s="223"/>
      <c r="B6" s="223"/>
      <c r="C6" s="217"/>
      <c r="D6" s="217"/>
      <c r="E6" s="25"/>
      <c r="F6"/>
      <c r="G6"/>
      <c r="H6"/>
      <c r="I6"/>
      <c r="J6"/>
      <c r="K6"/>
      <c r="L6" s="224" t="s">
        <v>11</v>
      </c>
      <c r="M6" s="224"/>
      <c r="N6" s="224"/>
      <c r="O6" s="218"/>
      <c r="P6" s="218"/>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ht="9" customHeight="1">
      <c r="A7" s="221"/>
      <c r="B7" s="221"/>
      <c r="C7" s="221"/>
      <c r="D7" s="221"/>
      <c r="E7" s="221"/>
      <c r="F7" s="221"/>
      <c r="G7" s="221"/>
      <c r="H7" s="221"/>
      <c r="I7" s="221"/>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9" customHeight="1">
      <c r="A8"/>
      <c r="B8"/>
      <c r="C8"/>
      <c r="D8"/>
      <c r="E8"/>
      <c r="F8" s="58"/>
      <c r="G8" s="58"/>
      <c r="H8" s="58"/>
      <c r="I8" s="5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ht="16.5" customHeight="1">
      <c r="A9"/>
      <c r="B9"/>
      <c r="C9"/>
      <c r="D9"/>
      <c r="E9"/>
      <c r="F9" s="222" t="s">
        <v>61</v>
      </c>
      <c r="G9" s="222"/>
      <c r="H9" s="222"/>
      <c r="I9" s="222"/>
      <c r="J9" s="222" t="s">
        <v>62</v>
      </c>
      <c r="K9" s="222"/>
      <c r="L9" s="222"/>
      <c r="M9" s="222"/>
      <c r="N9" s="222" t="s">
        <v>63</v>
      </c>
      <c r="O9" s="222"/>
      <c r="P9" s="222"/>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ht="39">
      <c r="A10" s="59" t="s">
        <v>37</v>
      </c>
      <c r="B10" s="60" t="s">
        <v>64</v>
      </c>
      <c r="C10" s="60" t="s">
        <v>40</v>
      </c>
      <c r="D10" s="60" t="s">
        <v>43</v>
      </c>
      <c r="E10" s="60" t="s">
        <v>65</v>
      </c>
      <c r="F10" s="60" t="s">
        <v>66</v>
      </c>
      <c r="G10" s="60" t="s">
        <v>67</v>
      </c>
      <c r="H10" s="60" t="s">
        <v>68</v>
      </c>
      <c r="I10" s="60" t="s">
        <v>69</v>
      </c>
      <c r="J10" s="60" t="s">
        <v>70</v>
      </c>
      <c r="K10" s="60" t="s">
        <v>67</v>
      </c>
      <c r="L10" s="60" t="s">
        <v>71</v>
      </c>
      <c r="M10" s="60" t="s">
        <v>72</v>
      </c>
      <c r="N10" s="60" t="s">
        <v>73</v>
      </c>
      <c r="O10" s="60" t="s">
        <v>74</v>
      </c>
      <c r="P10" s="60" t="s">
        <v>75</v>
      </c>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row>
    <row r="11" spans="1:64" ht="14">
      <c r="A11" s="215" t="s">
        <v>57</v>
      </c>
      <c r="B11" s="215"/>
      <c r="C11" s="215"/>
      <c r="D11" s="215"/>
      <c r="E11" s="215"/>
      <c r="F11" s="215"/>
      <c r="G11" s="215"/>
      <c r="H11" s="215"/>
      <c r="I11" s="215"/>
      <c r="J11" s="215"/>
      <c r="K11" s="215"/>
      <c r="L11" s="215"/>
      <c r="M11" s="215"/>
      <c r="N11" s="215"/>
      <c r="O11" s="215"/>
      <c r="P11" s="215"/>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row>
    <row r="12" spans="1:64" ht="13">
      <c r="A12" s="37"/>
      <c r="B12" s="40"/>
      <c r="C12" s="40"/>
      <c r="D12" s="40"/>
      <c r="E12" s="40"/>
      <c r="F12" s="62"/>
      <c r="G12" s="62"/>
      <c r="H12" s="63" t="str">
        <f t="shared" ref="H12:H25" si="0">IF($F12*$G12=0,"",$F12*$G12)</f>
        <v/>
      </c>
      <c r="I12" s="63" t="str">
        <f t="shared" ref="I12:I25" si="1">IFERROR($H12/15,"")</f>
        <v/>
      </c>
      <c r="J12" s="62"/>
      <c r="K12" s="62"/>
      <c r="L12" s="63" t="str">
        <f t="shared" ref="L12:L25" si="2">IF($K12*$J12=0,"",$K12*$J12)</f>
        <v/>
      </c>
      <c r="M12" s="63" t="str">
        <f t="shared" ref="M12:M25" si="3">IFERROR($L12/15,"")</f>
        <v/>
      </c>
      <c r="N12" s="64" t="str">
        <f t="shared" ref="N12:N25" si="4">IFERROR((IF($B12="Serviço de Gerência",$I12*0.87027272,$I12*0.5)),"")</f>
        <v/>
      </c>
      <c r="O12" s="64" t="str">
        <f t="shared" ref="O12:O25" si="5">(IFERROR($M12/$I12,""))</f>
        <v/>
      </c>
      <c r="P12" s="65" t="str">
        <f t="shared" ref="P12:P25" si="6">IFERROR($N12*$O12,"")</f>
        <v/>
      </c>
    </row>
    <row r="13" spans="1:64" ht="13">
      <c r="A13" s="37"/>
      <c r="B13" s="40"/>
      <c r="C13" s="40"/>
      <c r="D13" s="40"/>
      <c r="E13" s="40"/>
      <c r="F13" s="62"/>
      <c r="G13" s="62"/>
      <c r="H13" s="63" t="str">
        <f t="shared" si="0"/>
        <v/>
      </c>
      <c r="I13" s="63" t="str">
        <f t="shared" si="1"/>
        <v/>
      </c>
      <c r="J13" s="62"/>
      <c r="K13" s="62"/>
      <c r="L13" s="63" t="str">
        <f t="shared" si="2"/>
        <v/>
      </c>
      <c r="M13" s="63" t="str">
        <f t="shared" si="3"/>
        <v/>
      </c>
      <c r="N13" s="64" t="str">
        <f t="shared" si="4"/>
        <v/>
      </c>
      <c r="O13" s="64" t="str">
        <f t="shared" si="5"/>
        <v/>
      </c>
      <c r="P13" s="65" t="str">
        <f t="shared" si="6"/>
        <v/>
      </c>
    </row>
    <row r="14" spans="1:64" ht="13">
      <c r="A14" s="37"/>
      <c r="B14" s="40"/>
      <c r="C14" s="40"/>
      <c r="D14" s="40"/>
      <c r="E14" s="40"/>
      <c r="F14" s="62"/>
      <c r="G14" s="62"/>
      <c r="H14" s="63" t="str">
        <f t="shared" si="0"/>
        <v/>
      </c>
      <c r="I14" s="63" t="str">
        <f t="shared" si="1"/>
        <v/>
      </c>
      <c r="J14" s="62"/>
      <c r="K14" s="62"/>
      <c r="L14" s="63" t="str">
        <f t="shared" si="2"/>
        <v/>
      </c>
      <c r="M14" s="63" t="str">
        <f t="shared" si="3"/>
        <v/>
      </c>
      <c r="N14" s="64" t="str">
        <f t="shared" si="4"/>
        <v/>
      </c>
      <c r="O14" s="64" t="str">
        <f t="shared" si="5"/>
        <v/>
      </c>
      <c r="P14" s="65" t="str">
        <f t="shared" si="6"/>
        <v/>
      </c>
    </row>
    <row r="15" spans="1:64" ht="13">
      <c r="A15" s="37"/>
      <c r="B15" s="40"/>
      <c r="C15" s="40"/>
      <c r="D15" s="40"/>
      <c r="E15" s="40"/>
      <c r="F15" s="62"/>
      <c r="G15" s="62"/>
      <c r="H15" s="63" t="str">
        <f t="shared" si="0"/>
        <v/>
      </c>
      <c r="I15" s="63" t="str">
        <f t="shared" si="1"/>
        <v/>
      </c>
      <c r="J15" s="62"/>
      <c r="K15" s="62"/>
      <c r="L15" s="63" t="str">
        <f t="shared" si="2"/>
        <v/>
      </c>
      <c r="M15" s="63" t="str">
        <f t="shared" si="3"/>
        <v/>
      </c>
      <c r="N15" s="64" t="str">
        <f t="shared" si="4"/>
        <v/>
      </c>
      <c r="O15" s="64" t="str">
        <f t="shared" si="5"/>
        <v/>
      </c>
      <c r="P15" s="65" t="str">
        <f t="shared" si="6"/>
        <v/>
      </c>
    </row>
    <row r="16" spans="1:64" ht="13">
      <c r="A16" s="37"/>
      <c r="B16" s="40"/>
      <c r="C16" s="40"/>
      <c r="D16" s="40"/>
      <c r="E16" s="40"/>
      <c r="F16" s="62"/>
      <c r="G16" s="62"/>
      <c r="H16" s="63" t="str">
        <f t="shared" si="0"/>
        <v/>
      </c>
      <c r="I16" s="63" t="str">
        <f t="shared" si="1"/>
        <v/>
      </c>
      <c r="J16" s="62"/>
      <c r="K16" s="62"/>
      <c r="L16" s="63" t="str">
        <f t="shared" si="2"/>
        <v/>
      </c>
      <c r="M16" s="63" t="str">
        <f t="shared" si="3"/>
        <v/>
      </c>
      <c r="N16" s="64" t="str">
        <f t="shared" si="4"/>
        <v/>
      </c>
      <c r="O16" s="64" t="str">
        <f t="shared" si="5"/>
        <v/>
      </c>
      <c r="P16" s="65" t="str">
        <f t="shared" si="6"/>
        <v/>
      </c>
    </row>
    <row r="17" spans="1:64" ht="13">
      <c r="A17" s="37"/>
      <c r="B17" s="40"/>
      <c r="C17" s="40"/>
      <c r="D17" s="40"/>
      <c r="E17" s="40"/>
      <c r="F17" s="62"/>
      <c r="G17" s="62"/>
      <c r="H17" s="63" t="str">
        <f t="shared" si="0"/>
        <v/>
      </c>
      <c r="I17" s="63" t="str">
        <f t="shared" si="1"/>
        <v/>
      </c>
      <c r="J17" s="62"/>
      <c r="K17" s="62"/>
      <c r="L17" s="63" t="str">
        <f t="shared" si="2"/>
        <v/>
      </c>
      <c r="M17" s="63" t="str">
        <f t="shared" si="3"/>
        <v/>
      </c>
      <c r="N17" s="64" t="str">
        <f t="shared" si="4"/>
        <v/>
      </c>
      <c r="O17" s="64" t="str">
        <f t="shared" si="5"/>
        <v/>
      </c>
      <c r="P17" s="65" t="str">
        <f t="shared" si="6"/>
        <v/>
      </c>
    </row>
    <row r="18" spans="1:64" ht="13">
      <c r="A18" s="37"/>
      <c r="B18" s="40"/>
      <c r="C18" s="40"/>
      <c r="D18" s="40"/>
      <c r="E18" s="40"/>
      <c r="F18" s="62"/>
      <c r="G18" s="62"/>
      <c r="H18" s="63" t="str">
        <f t="shared" si="0"/>
        <v/>
      </c>
      <c r="I18" s="63" t="str">
        <f t="shared" si="1"/>
        <v/>
      </c>
      <c r="J18" s="62"/>
      <c r="K18" s="62"/>
      <c r="L18" s="63" t="str">
        <f t="shared" si="2"/>
        <v/>
      </c>
      <c r="M18" s="63" t="str">
        <f t="shared" si="3"/>
        <v/>
      </c>
      <c r="N18" s="64" t="str">
        <f t="shared" si="4"/>
        <v/>
      </c>
      <c r="O18" s="64" t="str">
        <f t="shared" si="5"/>
        <v/>
      </c>
      <c r="P18" s="65" t="str">
        <f t="shared" si="6"/>
        <v/>
      </c>
    </row>
    <row r="19" spans="1:64" ht="13">
      <c r="A19" s="37"/>
      <c r="B19" s="40"/>
      <c r="C19" s="40"/>
      <c r="D19" s="40"/>
      <c r="E19" s="40"/>
      <c r="F19" s="62"/>
      <c r="G19" s="62"/>
      <c r="H19" s="63" t="str">
        <f t="shared" si="0"/>
        <v/>
      </c>
      <c r="I19" s="63" t="str">
        <f t="shared" si="1"/>
        <v/>
      </c>
      <c r="J19" s="62"/>
      <c r="K19" s="62"/>
      <c r="L19" s="63" t="str">
        <f t="shared" si="2"/>
        <v/>
      </c>
      <c r="M19" s="63" t="str">
        <f t="shared" si="3"/>
        <v/>
      </c>
      <c r="N19" s="64" t="str">
        <f t="shared" si="4"/>
        <v/>
      </c>
      <c r="O19" s="64" t="str">
        <f t="shared" si="5"/>
        <v/>
      </c>
      <c r="P19" s="65" t="str">
        <f t="shared" si="6"/>
        <v/>
      </c>
    </row>
    <row r="20" spans="1:64" ht="13">
      <c r="A20" s="37"/>
      <c r="B20" s="40"/>
      <c r="C20" s="40"/>
      <c r="D20" s="40"/>
      <c r="E20" s="40"/>
      <c r="F20" s="62"/>
      <c r="G20" s="62"/>
      <c r="H20" s="63" t="str">
        <f t="shared" si="0"/>
        <v/>
      </c>
      <c r="I20" s="63" t="str">
        <f t="shared" si="1"/>
        <v/>
      </c>
      <c r="J20" s="62"/>
      <c r="K20" s="62"/>
      <c r="L20" s="63" t="str">
        <f t="shared" si="2"/>
        <v/>
      </c>
      <c r="M20" s="63" t="str">
        <f t="shared" si="3"/>
        <v/>
      </c>
      <c r="N20" s="64" t="str">
        <f t="shared" si="4"/>
        <v/>
      </c>
      <c r="O20" s="64" t="str">
        <f t="shared" si="5"/>
        <v/>
      </c>
      <c r="P20" s="65" t="str">
        <f t="shared" si="6"/>
        <v/>
      </c>
    </row>
    <row r="21" spans="1:64" ht="13">
      <c r="A21" s="37"/>
      <c r="B21" s="40"/>
      <c r="C21" s="40"/>
      <c r="D21" s="40"/>
      <c r="E21" s="40"/>
      <c r="F21" s="62"/>
      <c r="G21" s="62"/>
      <c r="H21" s="63" t="str">
        <f t="shared" si="0"/>
        <v/>
      </c>
      <c r="I21" s="63" t="str">
        <f t="shared" si="1"/>
        <v/>
      </c>
      <c r="J21" s="62"/>
      <c r="K21" s="62"/>
      <c r="L21" s="63" t="str">
        <f t="shared" si="2"/>
        <v/>
      </c>
      <c r="M21" s="63" t="str">
        <f t="shared" si="3"/>
        <v/>
      </c>
      <c r="N21" s="64" t="str">
        <f t="shared" si="4"/>
        <v/>
      </c>
      <c r="O21" s="64" t="str">
        <f t="shared" si="5"/>
        <v/>
      </c>
      <c r="P21" s="65" t="str">
        <f t="shared" si="6"/>
        <v/>
      </c>
    </row>
    <row r="22" spans="1:64" ht="13">
      <c r="A22" s="37"/>
      <c r="B22" s="40"/>
      <c r="C22" s="40"/>
      <c r="D22" s="40"/>
      <c r="E22" s="40"/>
      <c r="F22" s="62"/>
      <c r="G22" s="62"/>
      <c r="H22" s="63" t="str">
        <f t="shared" si="0"/>
        <v/>
      </c>
      <c r="I22" s="63" t="str">
        <f t="shared" si="1"/>
        <v/>
      </c>
      <c r="J22" s="62"/>
      <c r="K22" s="62"/>
      <c r="L22" s="63" t="str">
        <f t="shared" si="2"/>
        <v/>
      </c>
      <c r="M22" s="63" t="str">
        <f t="shared" si="3"/>
        <v/>
      </c>
      <c r="N22" s="64" t="str">
        <f t="shared" si="4"/>
        <v/>
      </c>
      <c r="O22" s="64" t="str">
        <f t="shared" si="5"/>
        <v/>
      </c>
      <c r="P22" s="65" t="str">
        <f t="shared" si="6"/>
        <v/>
      </c>
    </row>
    <row r="23" spans="1:64" ht="13">
      <c r="A23" s="37"/>
      <c r="B23" s="40"/>
      <c r="C23" s="40"/>
      <c r="D23" s="40"/>
      <c r="E23" s="40"/>
      <c r="F23" s="62"/>
      <c r="G23" s="62"/>
      <c r="H23" s="63" t="str">
        <f t="shared" si="0"/>
        <v/>
      </c>
      <c r="I23" s="63" t="str">
        <f t="shared" si="1"/>
        <v/>
      </c>
      <c r="J23" s="62"/>
      <c r="K23" s="62"/>
      <c r="L23" s="63" t="str">
        <f t="shared" si="2"/>
        <v/>
      </c>
      <c r="M23" s="63" t="str">
        <f t="shared" si="3"/>
        <v/>
      </c>
      <c r="N23" s="64" t="str">
        <f t="shared" si="4"/>
        <v/>
      </c>
      <c r="O23" s="64" t="str">
        <f t="shared" si="5"/>
        <v/>
      </c>
      <c r="P23" s="65" t="str">
        <f t="shared" si="6"/>
        <v/>
      </c>
    </row>
    <row r="24" spans="1:64" ht="13">
      <c r="A24" s="37"/>
      <c r="B24" s="40"/>
      <c r="C24" s="40"/>
      <c r="D24" s="40"/>
      <c r="E24" s="40"/>
      <c r="F24" s="62"/>
      <c r="G24" s="62"/>
      <c r="H24" s="63" t="str">
        <f t="shared" si="0"/>
        <v/>
      </c>
      <c r="I24" s="63" t="str">
        <f t="shared" si="1"/>
        <v/>
      </c>
      <c r="J24" s="62"/>
      <c r="K24" s="62"/>
      <c r="L24" s="63" t="str">
        <f t="shared" si="2"/>
        <v/>
      </c>
      <c r="M24" s="63" t="str">
        <f t="shared" si="3"/>
        <v/>
      </c>
      <c r="N24" s="64" t="str">
        <f t="shared" si="4"/>
        <v/>
      </c>
      <c r="O24" s="64" t="str">
        <f t="shared" si="5"/>
        <v/>
      </c>
      <c r="P24" s="65" t="str">
        <f t="shared" si="6"/>
        <v/>
      </c>
    </row>
    <row r="25" spans="1:64" ht="13">
      <c r="A25" s="37"/>
      <c r="B25" s="40"/>
      <c r="C25" s="40"/>
      <c r="D25" s="40"/>
      <c r="E25" s="40"/>
      <c r="F25" s="62"/>
      <c r="G25" s="62"/>
      <c r="H25" s="63" t="str">
        <f t="shared" si="0"/>
        <v/>
      </c>
      <c r="I25" s="63" t="str">
        <f t="shared" si="1"/>
        <v/>
      </c>
      <c r="J25" s="62"/>
      <c r="K25" s="62"/>
      <c r="L25" s="63" t="str">
        <f t="shared" si="2"/>
        <v/>
      </c>
      <c r="M25" s="63" t="str">
        <f t="shared" si="3"/>
        <v/>
      </c>
      <c r="N25" s="64" t="str">
        <f t="shared" si="4"/>
        <v/>
      </c>
      <c r="O25" s="64" t="str">
        <f t="shared" si="5"/>
        <v/>
      </c>
      <c r="P25" s="65" t="str">
        <f t="shared" si="6"/>
        <v/>
      </c>
    </row>
    <row r="26" spans="1:64" ht="14">
      <c r="A26" s="215" t="s">
        <v>57</v>
      </c>
      <c r="B26" s="215"/>
      <c r="C26" s="215"/>
      <c r="D26" s="215"/>
      <c r="E26" s="215"/>
      <c r="F26" s="215"/>
      <c r="G26" s="215"/>
      <c r="H26" s="215"/>
      <c r="I26" s="215"/>
      <c r="J26" s="215"/>
      <c r="K26" s="215"/>
      <c r="L26" s="215"/>
      <c r="M26" s="215"/>
      <c r="N26" s="215"/>
      <c r="O26" s="215"/>
      <c r="P26" s="215"/>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row>
    <row r="27" spans="1:64" ht="15.5">
      <c r="A27" s="49"/>
      <c r="B27" s="49"/>
      <c r="C27" s="49"/>
      <c r="D27" s="49"/>
      <c r="E27" s="49"/>
      <c r="F27" s="49"/>
      <c r="G27" s="49"/>
      <c r="H27"/>
      <c r="I27"/>
      <c r="K27"/>
      <c r="O27" s="66" t="s">
        <v>76</v>
      </c>
      <c r="P27" s="67">
        <f>SUM($P12:$P25)</f>
        <v>0</v>
      </c>
    </row>
  </sheetData>
  <mergeCells count="17">
    <mergeCell ref="C1:P1"/>
    <mergeCell ref="L3:N3"/>
    <mergeCell ref="O3:P3"/>
    <mergeCell ref="L4:N4"/>
    <mergeCell ref="O4:P4"/>
    <mergeCell ref="A5:B6"/>
    <mergeCell ref="C5:D6"/>
    <mergeCell ref="L5:N5"/>
    <mergeCell ref="O5:P5"/>
    <mergeCell ref="L6:N6"/>
    <mergeCell ref="O6:P6"/>
    <mergeCell ref="A26:P26"/>
    <mergeCell ref="A7:I7"/>
    <mergeCell ref="F9:I9"/>
    <mergeCell ref="J9:M9"/>
    <mergeCell ref="N9:P9"/>
    <mergeCell ref="A11:P11"/>
  </mergeCells>
  <dataValidations count="1">
    <dataValidation type="list" operator="equal" allowBlank="1" showErrorMessage="1" sqref="B12:B25" xr:uid="{00000000-0002-0000-0300-000000000000}">
      <formula1>"Serviço de Atendimento,Serviço de Gerência,Serviço Técnico"</formula1>
      <formula2>0</formula2>
    </dataValidation>
  </dataValidations>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&amp;CPágina &amp;P</oddFooter>
  </headerFooter>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L384"/>
  <sheetViews>
    <sheetView zoomScaleNormal="100" workbookViewId="0">
      <selection activeCell="J382" sqref="J382"/>
    </sheetView>
  </sheetViews>
  <sheetFormatPr defaultRowHeight="12.5"/>
  <cols>
    <col min="1" max="1" width="5.54296875" style="18" customWidth="1"/>
    <col min="2" max="2" width="41.90625" style="19" customWidth="1"/>
    <col min="3" max="3" width="8.36328125" style="19" customWidth="1"/>
    <col min="4" max="4" width="7.54296875" style="20" customWidth="1"/>
    <col min="5" max="5" width="9.6328125" style="20" customWidth="1"/>
    <col min="6" max="6" width="11.54296875" style="20"/>
    <col min="7" max="7" width="16.453125" style="20" customWidth="1"/>
    <col min="8" max="8" width="38.36328125" style="21" customWidth="1"/>
    <col min="9" max="9" width="8.08984375" style="18" customWidth="1"/>
    <col min="10" max="10" width="20" style="18" customWidth="1"/>
    <col min="11" max="11" width="16.54296875" style="19" customWidth="1"/>
    <col min="12" max="12" width="10.36328125" style="19" customWidth="1"/>
    <col min="13" max="13" width="7.6328125" style="18" hidden="1" customWidth="1"/>
    <col min="14" max="15" width="9.08984375" style="19" customWidth="1"/>
    <col min="16" max="16" width="9.6328125" style="19" customWidth="1"/>
    <col min="17" max="25" width="9.08984375" style="19" customWidth="1"/>
    <col min="26" max="64" width="8.90625" style="19" customWidth="1"/>
    <col min="65" max="1025" width="8.90625" customWidth="1"/>
  </cols>
  <sheetData>
    <row r="1" spans="1:64" ht="69" customHeight="1">
      <c r="A1" s="22" t="str">
        <f>Resumo!A1</f>
        <v>Template V.1.6</v>
      </c>
      <c r="B1" s="22"/>
      <c r="C1" s="220" t="s">
        <v>77</v>
      </c>
      <c r="D1" s="220"/>
      <c r="E1" s="220"/>
      <c r="F1" s="220"/>
      <c r="G1" s="220"/>
      <c r="H1" s="220"/>
      <c r="I1" s="220"/>
      <c r="J1" s="220"/>
      <c r="K1" s="220"/>
      <c r="L1" s="220"/>
      <c r="M1" s="68"/>
    </row>
    <row r="2" spans="1:64" ht="9" customHeight="1">
      <c r="A2" s="24"/>
      <c r="B2" s="24"/>
      <c r="C2" s="25"/>
      <c r="D2" s="25"/>
      <c r="E2" s="25"/>
      <c r="F2" s="25"/>
      <c r="G2" s="25"/>
      <c r="H2" s="25"/>
      <c r="I2" s="25"/>
      <c r="J2" s="25"/>
      <c r="K2" s="25"/>
      <c r="L2" s="25"/>
      <c r="M2" s="25"/>
    </row>
    <row r="3" spans="1:64" ht="18.649999999999999" customHeight="1">
      <c r="A3" s="19"/>
      <c r="B3" s="26"/>
      <c r="C3" s="25"/>
      <c r="D3" s="25"/>
      <c r="E3" s="25"/>
      <c r="F3" s="25"/>
      <c r="G3" s="25"/>
      <c r="H3" s="25"/>
      <c r="I3" s="216" t="s">
        <v>8</v>
      </c>
      <c r="J3" s="216"/>
      <c r="K3" s="219"/>
      <c r="L3" s="219"/>
      <c r="M3" s="19"/>
    </row>
    <row r="4" spans="1:64" ht="18.649999999999999" customHeight="1">
      <c r="A4" s="19"/>
      <c r="B4" s="26"/>
      <c r="C4" s="25"/>
      <c r="D4" s="25"/>
      <c r="E4" s="25"/>
      <c r="F4" s="25"/>
      <c r="G4" s="25"/>
      <c r="H4" s="25"/>
      <c r="I4" s="216" t="s">
        <v>9</v>
      </c>
      <c r="J4" s="216"/>
      <c r="K4" s="219"/>
      <c r="L4" s="219"/>
      <c r="M4" s="19"/>
    </row>
    <row r="5" spans="1:64" ht="18.649999999999999" customHeight="1">
      <c r="A5" s="216" t="s">
        <v>36</v>
      </c>
      <c r="B5" s="216"/>
      <c r="C5" s="216"/>
      <c r="D5" s="217" t="str">
        <f>TEXT(K384,"#.##0,0#")</f>
        <v>0,0</v>
      </c>
      <c r="E5" s="217"/>
      <c r="F5" s="25"/>
      <c r="G5" s="25"/>
      <c r="H5" s="25"/>
      <c r="I5" s="216" t="s">
        <v>10</v>
      </c>
      <c r="J5" s="216"/>
      <c r="K5" s="219"/>
      <c r="L5" s="219"/>
      <c r="M5" s="19"/>
    </row>
    <row r="6" spans="1:64" ht="18.649999999999999" customHeight="1">
      <c r="A6" s="216"/>
      <c r="B6" s="216"/>
      <c r="C6" s="216"/>
      <c r="D6" s="217"/>
      <c r="E6" s="217"/>
      <c r="F6" s="25"/>
      <c r="G6" s="25"/>
      <c r="H6" s="25"/>
      <c r="I6" s="216" t="s">
        <v>11</v>
      </c>
      <c r="J6" s="216"/>
      <c r="K6" s="219"/>
      <c r="L6" s="219"/>
      <c r="M6" s="19"/>
    </row>
    <row r="7" spans="1:64" ht="9" customHeight="1">
      <c r="A7" s="28"/>
      <c r="B7" s="29"/>
      <c r="C7" s="29"/>
      <c r="D7" s="29"/>
      <c r="E7" s="29"/>
      <c r="F7" s="29"/>
      <c r="G7" s="29"/>
      <c r="H7" s="29"/>
      <c r="I7" s="29"/>
      <c r="J7" s="29"/>
      <c r="K7" s="29"/>
      <c r="L7" s="29"/>
      <c r="M7" s="29"/>
    </row>
    <row r="8" spans="1:64" ht="27.65" customHeight="1">
      <c r="A8" s="30" t="s">
        <v>37</v>
      </c>
      <c r="B8" s="31" t="s">
        <v>38</v>
      </c>
      <c r="C8" s="31" t="s">
        <v>39</v>
      </c>
      <c r="D8" s="31" t="s">
        <v>40</v>
      </c>
      <c r="E8" s="31" t="s">
        <v>41</v>
      </c>
      <c r="F8" s="31" t="s">
        <v>42</v>
      </c>
      <c r="G8" s="31" t="s">
        <v>43</v>
      </c>
      <c r="H8" s="32" t="s">
        <v>44</v>
      </c>
      <c r="I8" s="33" t="s">
        <v>45</v>
      </c>
      <c r="J8" s="34" t="s">
        <v>46</v>
      </c>
      <c r="K8" s="34" t="s">
        <v>55</v>
      </c>
      <c r="L8" s="34" t="s">
        <v>56</v>
      </c>
      <c r="M8" s="33" t="s">
        <v>49</v>
      </c>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row>
    <row r="9" spans="1:64" ht="14">
      <c r="A9" s="215" t="s">
        <v>57</v>
      </c>
      <c r="B9" s="215"/>
      <c r="C9" s="215"/>
      <c r="D9" s="215"/>
      <c r="E9" s="215"/>
      <c r="F9" s="215"/>
      <c r="G9" s="215"/>
      <c r="H9" s="215"/>
      <c r="I9" s="215"/>
      <c r="J9" s="215"/>
      <c r="K9" s="215"/>
      <c r="L9" s="215"/>
      <c r="M9" s="69"/>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row>
    <row r="10" spans="1:64" ht="14">
      <c r="A10" s="37"/>
      <c r="B10" s="38"/>
      <c r="C10" s="39">
        <f t="shared" ref="C10:C73" si="0">IF($B10&lt;&gt;"",VLOOKUP($B10,Matriz_INM,2,0),0)</f>
        <v>0</v>
      </c>
      <c r="D10" s="40"/>
      <c r="E10" s="40"/>
      <c r="F10" s="40"/>
      <c r="G10" s="40"/>
      <c r="H10" s="41"/>
      <c r="I10" s="42"/>
      <c r="J10" s="40"/>
      <c r="K10" s="44">
        <f t="shared" ref="K10:K73" si="1">IF(M10="%",(IF($J10="EE",4,IF($J10="CE",4,IF($J10="SE",5,IF($J10="ALI",7,IF($J10="AIE",5,0))))))*$C10,$C10*$I10)</f>
        <v>0</v>
      </c>
      <c r="L10" s="40"/>
      <c r="M10" s="43" t="str">
        <f t="shared" ref="M10:M73" si="2">IFERROR(VLOOKUP($B10,Matriz_INM,3,0),"")</f>
        <v/>
      </c>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4" ht="14">
      <c r="A11" s="37"/>
      <c r="B11" s="38"/>
      <c r="C11" s="39">
        <f t="shared" si="0"/>
        <v>0</v>
      </c>
      <c r="D11" s="40"/>
      <c r="E11" s="40"/>
      <c r="F11" s="40"/>
      <c r="G11" s="40"/>
      <c r="H11" s="41"/>
      <c r="I11" s="42"/>
      <c r="J11" s="40"/>
      <c r="K11" s="44">
        <f t="shared" si="1"/>
        <v>0</v>
      </c>
      <c r="L11" s="40"/>
      <c r="M11" s="43" t="str">
        <f t="shared" si="2"/>
        <v/>
      </c>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row>
    <row r="12" spans="1:64" ht="14">
      <c r="A12" s="37"/>
      <c r="B12" s="38"/>
      <c r="C12" s="39">
        <f t="shared" si="0"/>
        <v>0</v>
      </c>
      <c r="D12" s="40"/>
      <c r="E12" s="40"/>
      <c r="F12" s="40"/>
      <c r="G12" s="40"/>
      <c r="H12" s="41"/>
      <c r="I12" s="42"/>
      <c r="J12" s="40"/>
      <c r="K12" s="44">
        <f t="shared" si="1"/>
        <v>0</v>
      </c>
      <c r="L12" s="40"/>
      <c r="M12" s="43" t="str">
        <f t="shared" si="2"/>
        <v/>
      </c>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row>
    <row r="13" spans="1:64" ht="14">
      <c r="A13" s="37"/>
      <c r="B13" s="38"/>
      <c r="C13" s="39">
        <f t="shared" si="0"/>
        <v>0</v>
      </c>
      <c r="D13" s="40"/>
      <c r="E13" s="40"/>
      <c r="F13" s="40"/>
      <c r="G13" s="40"/>
      <c r="H13" s="41"/>
      <c r="I13" s="42"/>
      <c r="J13" s="40"/>
      <c r="K13" s="44">
        <f t="shared" si="1"/>
        <v>0</v>
      </c>
      <c r="L13" s="40"/>
      <c r="M13" s="43" t="str">
        <f t="shared" si="2"/>
        <v/>
      </c>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row>
    <row r="14" spans="1:64" ht="14">
      <c r="A14" s="37"/>
      <c r="B14" s="38"/>
      <c r="C14" s="39">
        <f t="shared" si="0"/>
        <v>0</v>
      </c>
      <c r="D14" s="40"/>
      <c r="E14" s="40"/>
      <c r="F14" s="40"/>
      <c r="G14" s="40"/>
      <c r="H14" s="41"/>
      <c r="I14" s="42"/>
      <c r="J14" s="40"/>
      <c r="K14" s="44">
        <f t="shared" si="1"/>
        <v>0</v>
      </c>
      <c r="L14" s="40"/>
      <c r="M14" s="43" t="str">
        <f t="shared" si="2"/>
        <v/>
      </c>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row>
    <row r="15" spans="1:64" ht="14">
      <c r="A15" s="37"/>
      <c r="B15" s="38"/>
      <c r="C15" s="39">
        <f t="shared" si="0"/>
        <v>0</v>
      </c>
      <c r="D15" s="40"/>
      <c r="E15" s="40"/>
      <c r="F15" s="40"/>
      <c r="G15" s="40"/>
      <c r="H15" s="41"/>
      <c r="I15" s="42"/>
      <c r="J15" s="40"/>
      <c r="K15" s="44">
        <f t="shared" si="1"/>
        <v>0</v>
      </c>
      <c r="L15" s="40"/>
      <c r="M15" s="43" t="str">
        <f t="shared" si="2"/>
        <v/>
      </c>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row>
    <row r="16" spans="1:64" ht="14">
      <c r="A16" s="37"/>
      <c r="B16" s="38"/>
      <c r="C16" s="39">
        <f t="shared" si="0"/>
        <v>0</v>
      </c>
      <c r="D16" s="40"/>
      <c r="E16" s="40"/>
      <c r="F16" s="40"/>
      <c r="G16" s="40"/>
      <c r="H16" s="41"/>
      <c r="I16" s="42"/>
      <c r="J16" s="40"/>
      <c r="K16" s="44">
        <f t="shared" si="1"/>
        <v>0</v>
      </c>
      <c r="L16" s="40"/>
      <c r="M16" s="43" t="str">
        <f t="shared" si="2"/>
        <v/>
      </c>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row>
    <row r="17" spans="1:64" ht="14">
      <c r="A17" s="37"/>
      <c r="B17" s="38"/>
      <c r="C17" s="39">
        <f t="shared" si="0"/>
        <v>0</v>
      </c>
      <c r="D17" s="40"/>
      <c r="E17" s="40"/>
      <c r="F17" s="40"/>
      <c r="G17" s="40"/>
      <c r="H17" s="41"/>
      <c r="I17" s="42"/>
      <c r="J17" s="40"/>
      <c r="K17" s="44">
        <f t="shared" si="1"/>
        <v>0</v>
      </c>
      <c r="L17" s="40"/>
      <c r="M17" s="43" t="str">
        <f t="shared" si="2"/>
        <v/>
      </c>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row>
    <row r="18" spans="1:64" ht="14">
      <c r="A18" s="37"/>
      <c r="B18" s="38"/>
      <c r="C18" s="39">
        <f t="shared" si="0"/>
        <v>0</v>
      </c>
      <c r="D18" s="40"/>
      <c r="E18" s="40"/>
      <c r="F18" s="40"/>
      <c r="G18" s="40"/>
      <c r="H18" s="41"/>
      <c r="I18" s="42"/>
      <c r="J18" s="40"/>
      <c r="K18" s="44">
        <f t="shared" si="1"/>
        <v>0</v>
      </c>
      <c r="L18" s="40"/>
      <c r="M18" s="43" t="str">
        <f t="shared" si="2"/>
        <v/>
      </c>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row>
    <row r="19" spans="1:64" ht="14">
      <c r="A19" s="37"/>
      <c r="B19" s="38"/>
      <c r="C19" s="39">
        <f t="shared" si="0"/>
        <v>0</v>
      </c>
      <c r="D19" s="40"/>
      <c r="E19" s="40"/>
      <c r="F19" s="40"/>
      <c r="G19" s="40"/>
      <c r="H19" s="41"/>
      <c r="I19" s="42"/>
      <c r="J19" s="40"/>
      <c r="K19" s="44">
        <f t="shared" si="1"/>
        <v>0</v>
      </c>
      <c r="L19" s="40"/>
      <c r="M19" s="43" t="str">
        <f t="shared" si="2"/>
        <v/>
      </c>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row>
    <row r="20" spans="1:64" ht="14">
      <c r="A20" s="37"/>
      <c r="B20" s="38"/>
      <c r="C20" s="39">
        <f t="shared" si="0"/>
        <v>0</v>
      </c>
      <c r="D20" s="40"/>
      <c r="E20" s="40"/>
      <c r="F20" s="40"/>
      <c r="G20" s="40"/>
      <c r="H20" s="41"/>
      <c r="I20" s="42"/>
      <c r="J20" s="40"/>
      <c r="K20" s="44">
        <f t="shared" si="1"/>
        <v>0</v>
      </c>
      <c r="L20" s="40"/>
      <c r="M20" s="43" t="str">
        <f t="shared" si="2"/>
        <v/>
      </c>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row>
    <row r="21" spans="1:64" ht="14">
      <c r="A21" s="37"/>
      <c r="B21" s="38"/>
      <c r="C21" s="39">
        <f t="shared" si="0"/>
        <v>0</v>
      </c>
      <c r="D21" s="40"/>
      <c r="E21" s="40"/>
      <c r="F21" s="40"/>
      <c r="G21" s="40"/>
      <c r="H21" s="41"/>
      <c r="I21" s="42"/>
      <c r="J21" s="40"/>
      <c r="K21" s="44">
        <f t="shared" si="1"/>
        <v>0</v>
      </c>
      <c r="L21" s="40"/>
      <c r="M21" s="43" t="str">
        <f t="shared" si="2"/>
        <v/>
      </c>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row>
    <row r="22" spans="1:64" ht="14">
      <c r="A22" s="37"/>
      <c r="B22" s="38"/>
      <c r="C22" s="39">
        <f t="shared" si="0"/>
        <v>0</v>
      </c>
      <c r="D22" s="40"/>
      <c r="E22" s="40"/>
      <c r="F22" s="40"/>
      <c r="G22" s="40"/>
      <c r="H22" s="41"/>
      <c r="I22" s="42"/>
      <c r="J22" s="40"/>
      <c r="K22" s="44">
        <f t="shared" si="1"/>
        <v>0</v>
      </c>
      <c r="L22" s="40"/>
      <c r="M22" s="43" t="str">
        <f t="shared" si="2"/>
        <v/>
      </c>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row>
    <row r="23" spans="1:64" ht="14">
      <c r="A23" s="37"/>
      <c r="B23" s="38"/>
      <c r="C23" s="39">
        <f t="shared" si="0"/>
        <v>0</v>
      </c>
      <c r="D23" s="40"/>
      <c r="E23" s="40"/>
      <c r="F23" s="40"/>
      <c r="G23" s="40"/>
      <c r="H23" s="41"/>
      <c r="I23" s="42"/>
      <c r="J23" s="40"/>
      <c r="K23" s="44">
        <f t="shared" si="1"/>
        <v>0</v>
      </c>
      <c r="L23" s="40"/>
      <c r="M23" s="43" t="str">
        <f t="shared" si="2"/>
        <v/>
      </c>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row>
    <row r="24" spans="1:64" ht="14">
      <c r="A24" s="37"/>
      <c r="B24" s="38"/>
      <c r="C24" s="39">
        <f t="shared" si="0"/>
        <v>0</v>
      </c>
      <c r="D24" s="40"/>
      <c r="E24" s="40"/>
      <c r="F24" s="40"/>
      <c r="G24" s="40"/>
      <c r="H24" s="41"/>
      <c r="I24" s="42"/>
      <c r="J24" s="40"/>
      <c r="K24" s="44">
        <f t="shared" si="1"/>
        <v>0</v>
      </c>
      <c r="L24" s="40"/>
      <c r="M24" s="43" t="str">
        <f t="shared" si="2"/>
        <v/>
      </c>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row>
    <row r="25" spans="1:64" ht="14">
      <c r="A25" s="37"/>
      <c r="B25" s="38"/>
      <c r="C25" s="39">
        <f t="shared" si="0"/>
        <v>0</v>
      </c>
      <c r="D25" s="40"/>
      <c r="E25" s="40"/>
      <c r="F25" s="40"/>
      <c r="G25" s="40"/>
      <c r="H25" s="41"/>
      <c r="I25" s="42"/>
      <c r="J25" s="40"/>
      <c r="K25" s="44">
        <f t="shared" si="1"/>
        <v>0</v>
      </c>
      <c r="L25" s="40"/>
      <c r="M25" s="43" t="str">
        <f t="shared" si="2"/>
        <v/>
      </c>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row>
    <row r="26" spans="1:64" ht="14">
      <c r="A26" s="37"/>
      <c r="B26" s="38"/>
      <c r="C26" s="39">
        <f t="shared" si="0"/>
        <v>0</v>
      </c>
      <c r="D26" s="40"/>
      <c r="E26" s="40"/>
      <c r="F26" s="40"/>
      <c r="G26" s="40"/>
      <c r="H26" s="41"/>
      <c r="I26" s="42"/>
      <c r="J26" s="40"/>
      <c r="K26" s="44">
        <f t="shared" si="1"/>
        <v>0</v>
      </c>
      <c r="L26" s="40"/>
      <c r="M26" s="43" t="str">
        <f t="shared" si="2"/>
        <v/>
      </c>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row>
    <row r="27" spans="1:64" ht="14">
      <c r="A27" s="37"/>
      <c r="B27" s="38"/>
      <c r="C27" s="39">
        <f t="shared" si="0"/>
        <v>0</v>
      </c>
      <c r="D27" s="40"/>
      <c r="E27" s="40"/>
      <c r="F27" s="40"/>
      <c r="G27" s="40"/>
      <c r="H27" s="41"/>
      <c r="I27" s="42"/>
      <c r="J27" s="40"/>
      <c r="K27" s="44">
        <f t="shared" si="1"/>
        <v>0</v>
      </c>
      <c r="L27" s="40"/>
      <c r="M27" s="43" t="str">
        <f t="shared" si="2"/>
        <v/>
      </c>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row>
    <row r="28" spans="1:64" ht="14">
      <c r="A28" s="37"/>
      <c r="B28" s="38"/>
      <c r="C28" s="39">
        <f t="shared" si="0"/>
        <v>0</v>
      </c>
      <c r="D28" s="40"/>
      <c r="E28" s="40"/>
      <c r="F28" s="40"/>
      <c r="G28" s="40"/>
      <c r="H28" s="41"/>
      <c r="I28" s="42"/>
      <c r="J28" s="40"/>
      <c r="K28" s="44">
        <f t="shared" si="1"/>
        <v>0</v>
      </c>
      <c r="L28" s="40"/>
      <c r="M28" s="43" t="str">
        <f t="shared" si="2"/>
        <v/>
      </c>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row>
    <row r="29" spans="1:64" ht="14">
      <c r="A29" s="37"/>
      <c r="B29" s="38"/>
      <c r="C29" s="39">
        <f t="shared" si="0"/>
        <v>0</v>
      </c>
      <c r="D29" s="40"/>
      <c r="E29" s="40"/>
      <c r="F29" s="40"/>
      <c r="G29" s="40"/>
      <c r="H29" s="41"/>
      <c r="I29" s="42"/>
      <c r="J29" s="40"/>
      <c r="K29" s="44">
        <f t="shared" si="1"/>
        <v>0</v>
      </c>
      <c r="L29" s="40"/>
      <c r="M29" s="43" t="str">
        <f t="shared" si="2"/>
        <v/>
      </c>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row>
    <row r="30" spans="1:64" ht="14">
      <c r="A30" s="37"/>
      <c r="B30" s="38"/>
      <c r="C30" s="39">
        <f t="shared" si="0"/>
        <v>0</v>
      </c>
      <c r="D30" s="40"/>
      <c r="E30" s="40"/>
      <c r="F30" s="40"/>
      <c r="G30" s="40"/>
      <c r="H30" s="41"/>
      <c r="I30" s="42"/>
      <c r="J30" s="40"/>
      <c r="K30" s="44">
        <f t="shared" si="1"/>
        <v>0</v>
      </c>
      <c r="L30" s="40"/>
      <c r="M30" s="43" t="str">
        <f t="shared" si="2"/>
        <v/>
      </c>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row>
    <row r="31" spans="1:64" ht="14">
      <c r="A31" s="37"/>
      <c r="B31" s="38"/>
      <c r="C31" s="39">
        <f t="shared" si="0"/>
        <v>0</v>
      </c>
      <c r="D31" s="40"/>
      <c r="E31" s="40"/>
      <c r="F31" s="40"/>
      <c r="G31" s="40"/>
      <c r="H31" s="41"/>
      <c r="I31" s="42"/>
      <c r="J31" s="40"/>
      <c r="K31" s="44">
        <f t="shared" si="1"/>
        <v>0</v>
      </c>
      <c r="L31" s="40"/>
      <c r="M31" s="43" t="str">
        <f t="shared" si="2"/>
        <v/>
      </c>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row>
    <row r="32" spans="1:64" ht="14">
      <c r="A32" s="37"/>
      <c r="B32" s="38"/>
      <c r="C32" s="39">
        <f t="shared" si="0"/>
        <v>0</v>
      </c>
      <c r="D32" s="40"/>
      <c r="E32" s="40"/>
      <c r="F32" s="40"/>
      <c r="G32" s="40"/>
      <c r="H32" s="41"/>
      <c r="I32" s="42"/>
      <c r="J32" s="40"/>
      <c r="K32" s="44">
        <f t="shared" si="1"/>
        <v>0</v>
      </c>
      <c r="L32" s="40"/>
      <c r="M32" s="43" t="str">
        <f t="shared" si="2"/>
        <v/>
      </c>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row>
    <row r="33" spans="1:64" ht="14">
      <c r="A33" s="37"/>
      <c r="B33" s="38"/>
      <c r="C33" s="39">
        <f t="shared" si="0"/>
        <v>0</v>
      </c>
      <c r="D33" s="40"/>
      <c r="E33" s="40"/>
      <c r="F33" s="40"/>
      <c r="G33" s="40"/>
      <c r="H33" s="41"/>
      <c r="I33" s="42"/>
      <c r="J33" s="40"/>
      <c r="K33" s="44">
        <f t="shared" si="1"/>
        <v>0</v>
      </c>
      <c r="L33" s="40"/>
      <c r="M33" s="43" t="str">
        <f t="shared" si="2"/>
        <v/>
      </c>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row>
    <row r="34" spans="1:64" ht="14">
      <c r="A34" s="37"/>
      <c r="B34" s="38"/>
      <c r="C34" s="39">
        <f t="shared" si="0"/>
        <v>0</v>
      </c>
      <c r="D34" s="40"/>
      <c r="E34" s="40"/>
      <c r="F34" s="40"/>
      <c r="G34" s="40"/>
      <c r="H34" s="41"/>
      <c r="I34" s="42"/>
      <c r="J34" s="40"/>
      <c r="K34" s="44">
        <f t="shared" si="1"/>
        <v>0</v>
      </c>
      <c r="L34" s="40"/>
      <c r="M34" s="43" t="str">
        <f t="shared" si="2"/>
        <v/>
      </c>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row>
    <row r="35" spans="1:64" ht="14">
      <c r="A35" s="37"/>
      <c r="B35" s="38"/>
      <c r="C35" s="39">
        <f t="shared" si="0"/>
        <v>0</v>
      </c>
      <c r="D35" s="40"/>
      <c r="E35" s="40"/>
      <c r="F35" s="40"/>
      <c r="G35" s="40"/>
      <c r="H35" s="41"/>
      <c r="I35" s="42"/>
      <c r="J35" s="40"/>
      <c r="K35" s="44">
        <f t="shared" si="1"/>
        <v>0</v>
      </c>
      <c r="L35" s="40"/>
      <c r="M35" s="43" t="str">
        <f t="shared" si="2"/>
        <v/>
      </c>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row>
    <row r="36" spans="1:64" ht="14">
      <c r="A36" s="37"/>
      <c r="B36" s="38"/>
      <c r="C36" s="39">
        <f t="shared" si="0"/>
        <v>0</v>
      </c>
      <c r="D36" s="40"/>
      <c r="E36" s="40"/>
      <c r="F36" s="40"/>
      <c r="G36" s="40"/>
      <c r="H36" s="41"/>
      <c r="I36" s="42"/>
      <c r="J36" s="40"/>
      <c r="K36" s="44">
        <f t="shared" si="1"/>
        <v>0</v>
      </c>
      <c r="L36" s="40"/>
      <c r="M36" s="43" t="str">
        <f t="shared" si="2"/>
        <v/>
      </c>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row>
    <row r="37" spans="1:64" ht="14">
      <c r="A37" s="37"/>
      <c r="B37" s="38"/>
      <c r="C37" s="39">
        <f t="shared" si="0"/>
        <v>0</v>
      </c>
      <c r="D37" s="40"/>
      <c r="E37" s="40"/>
      <c r="F37" s="40"/>
      <c r="G37" s="40"/>
      <c r="H37" s="41"/>
      <c r="I37" s="42"/>
      <c r="J37" s="40"/>
      <c r="K37" s="44">
        <f t="shared" si="1"/>
        <v>0</v>
      </c>
      <c r="L37" s="40"/>
      <c r="M37" s="43" t="str">
        <f t="shared" si="2"/>
        <v/>
      </c>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row>
    <row r="38" spans="1:64" ht="14">
      <c r="A38" s="37"/>
      <c r="B38" s="38"/>
      <c r="C38" s="39">
        <f t="shared" si="0"/>
        <v>0</v>
      </c>
      <c r="D38" s="40"/>
      <c r="E38" s="40"/>
      <c r="F38" s="40"/>
      <c r="G38" s="40"/>
      <c r="H38" s="41"/>
      <c r="I38" s="42"/>
      <c r="J38" s="40"/>
      <c r="K38" s="44">
        <f t="shared" si="1"/>
        <v>0</v>
      </c>
      <c r="L38" s="40"/>
      <c r="M38" s="43" t="str">
        <f t="shared" si="2"/>
        <v/>
      </c>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row>
    <row r="39" spans="1:64" ht="14">
      <c r="A39" s="37"/>
      <c r="B39" s="38"/>
      <c r="C39" s="39">
        <f t="shared" si="0"/>
        <v>0</v>
      </c>
      <c r="D39" s="40"/>
      <c r="E39" s="40"/>
      <c r="F39" s="40"/>
      <c r="G39" s="40"/>
      <c r="H39" s="41"/>
      <c r="I39" s="42"/>
      <c r="J39" s="40"/>
      <c r="K39" s="44">
        <f t="shared" si="1"/>
        <v>0</v>
      </c>
      <c r="L39" s="40"/>
      <c r="M39" s="43" t="str">
        <f t="shared" si="2"/>
        <v/>
      </c>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row>
    <row r="40" spans="1:64" ht="14">
      <c r="A40" s="37"/>
      <c r="B40" s="38"/>
      <c r="C40" s="39">
        <f t="shared" si="0"/>
        <v>0</v>
      </c>
      <c r="D40" s="40"/>
      <c r="E40" s="40"/>
      <c r="F40" s="40"/>
      <c r="G40" s="40"/>
      <c r="H40" s="41"/>
      <c r="I40" s="42"/>
      <c r="J40" s="40"/>
      <c r="K40" s="44">
        <f t="shared" si="1"/>
        <v>0</v>
      </c>
      <c r="L40" s="40"/>
      <c r="M40" s="43" t="str">
        <f t="shared" si="2"/>
        <v/>
      </c>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row>
    <row r="41" spans="1:64" ht="14">
      <c r="A41" s="37"/>
      <c r="B41" s="38"/>
      <c r="C41" s="39">
        <f t="shared" si="0"/>
        <v>0</v>
      </c>
      <c r="D41" s="40"/>
      <c r="E41" s="40"/>
      <c r="F41" s="40"/>
      <c r="G41" s="40"/>
      <c r="H41" s="41"/>
      <c r="I41" s="42"/>
      <c r="J41" s="40"/>
      <c r="K41" s="44">
        <f t="shared" si="1"/>
        <v>0</v>
      </c>
      <c r="L41" s="40"/>
      <c r="M41" s="43" t="str">
        <f t="shared" si="2"/>
        <v/>
      </c>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row>
    <row r="42" spans="1:64" ht="14">
      <c r="A42" s="37"/>
      <c r="B42" s="38"/>
      <c r="C42" s="39">
        <f t="shared" si="0"/>
        <v>0</v>
      </c>
      <c r="D42" s="40"/>
      <c r="E42" s="40"/>
      <c r="F42" s="40"/>
      <c r="G42" s="40"/>
      <c r="H42" s="41"/>
      <c r="I42" s="42"/>
      <c r="J42" s="40"/>
      <c r="K42" s="44">
        <f t="shared" si="1"/>
        <v>0</v>
      </c>
      <c r="L42" s="40"/>
      <c r="M42" s="43" t="str">
        <f t="shared" si="2"/>
        <v/>
      </c>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row>
    <row r="43" spans="1:64" ht="14">
      <c r="A43" s="37"/>
      <c r="B43" s="38"/>
      <c r="C43" s="39">
        <f t="shared" si="0"/>
        <v>0</v>
      </c>
      <c r="D43" s="40"/>
      <c r="E43" s="40"/>
      <c r="F43" s="40"/>
      <c r="G43" s="40"/>
      <c r="H43" s="41"/>
      <c r="I43" s="42"/>
      <c r="J43" s="40"/>
      <c r="K43" s="44">
        <f t="shared" si="1"/>
        <v>0</v>
      </c>
      <c r="L43" s="40"/>
      <c r="M43" s="43" t="str">
        <f t="shared" si="2"/>
        <v/>
      </c>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row>
    <row r="44" spans="1:64" ht="14">
      <c r="A44" s="37"/>
      <c r="B44" s="38"/>
      <c r="C44" s="39">
        <f t="shared" si="0"/>
        <v>0</v>
      </c>
      <c r="D44" s="40"/>
      <c r="E44" s="40"/>
      <c r="F44" s="40"/>
      <c r="G44" s="40"/>
      <c r="H44" s="41"/>
      <c r="I44" s="42"/>
      <c r="J44" s="40"/>
      <c r="K44" s="44">
        <f t="shared" si="1"/>
        <v>0</v>
      </c>
      <c r="L44" s="40"/>
      <c r="M44" s="43" t="str">
        <f t="shared" si="2"/>
        <v/>
      </c>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row>
    <row r="45" spans="1:64" ht="14">
      <c r="A45" s="37"/>
      <c r="B45" s="38"/>
      <c r="C45" s="39">
        <f t="shared" si="0"/>
        <v>0</v>
      </c>
      <c r="D45" s="40"/>
      <c r="E45" s="40"/>
      <c r="F45" s="40"/>
      <c r="G45" s="40"/>
      <c r="H45" s="41"/>
      <c r="I45" s="42"/>
      <c r="J45" s="40"/>
      <c r="K45" s="44">
        <f t="shared" si="1"/>
        <v>0</v>
      </c>
      <c r="L45" s="40"/>
      <c r="M45" s="43" t="str">
        <f t="shared" si="2"/>
        <v/>
      </c>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row>
    <row r="46" spans="1:64" ht="14">
      <c r="A46" s="37"/>
      <c r="B46" s="38"/>
      <c r="C46" s="39">
        <f t="shared" si="0"/>
        <v>0</v>
      </c>
      <c r="D46" s="40"/>
      <c r="E46" s="40"/>
      <c r="F46" s="40"/>
      <c r="G46" s="40"/>
      <c r="H46" s="41"/>
      <c r="I46" s="42"/>
      <c r="J46" s="40"/>
      <c r="K46" s="44">
        <f t="shared" si="1"/>
        <v>0</v>
      </c>
      <c r="L46" s="40"/>
      <c r="M46" s="43" t="str">
        <f t="shared" si="2"/>
        <v/>
      </c>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row>
    <row r="47" spans="1:64" ht="14">
      <c r="A47" s="37"/>
      <c r="B47" s="38"/>
      <c r="C47" s="39">
        <f t="shared" si="0"/>
        <v>0</v>
      </c>
      <c r="D47" s="40"/>
      <c r="E47" s="40"/>
      <c r="F47" s="40"/>
      <c r="G47" s="40"/>
      <c r="H47" s="41"/>
      <c r="I47" s="42"/>
      <c r="J47" s="40"/>
      <c r="K47" s="44">
        <f t="shared" si="1"/>
        <v>0</v>
      </c>
      <c r="L47" s="40"/>
      <c r="M47" s="43" t="str">
        <f t="shared" si="2"/>
        <v/>
      </c>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row>
    <row r="48" spans="1:64" ht="14">
      <c r="A48" s="37"/>
      <c r="B48" s="38"/>
      <c r="C48" s="39">
        <f t="shared" si="0"/>
        <v>0</v>
      </c>
      <c r="D48" s="40"/>
      <c r="E48" s="40"/>
      <c r="F48" s="40"/>
      <c r="G48" s="40"/>
      <c r="H48" s="41"/>
      <c r="I48" s="42"/>
      <c r="J48" s="40"/>
      <c r="K48" s="44">
        <f t="shared" si="1"/>
        <v>0</v>
      </c>
      <c r="L48" s="40"/>
      <c r="M48" s="43" t="str">
        <f t="shared" si="2"/>
        <v/>
      </c>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row>
    <row r="49" spans="1:64" ht="14">
      <c r="A49" s="37"/>
      <c r="B49" s="38"/>
      <c r="C49" s="39">
        <f t="shared" si="0"/>
        <v>0</v>
      </c>
      <c r="D49" s="40"/>
      <c r="E49" s="40"/>
      <c r="F49" s="40"/>
      <c r="G49" s="40"/>
      <c r="H49" s="41"/>
      <c r="I49" s="42"/>
      <c r="J49" s="40"/>
      <c r="K49" s="44">
        <f t="shared" si="1"/>
        <v>0</v>
      </c>
      <c r="L49" s="40"/>
      <c r="M49" s="43" t="str">
        <f t="shared" si="2"/>
        <v/>
      </c>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row>
    <row r="50" spans="1:64" ht="14">
      <c r="A50" s="37"/>
      <c r="B50" s="38"/>
      <c r="C50" s="39">
        <f t="shared" si="0"/>
        <v>0</v>
      </c>
      <c r="D50" s="40"/>
      <c r="E50" s="40"/>
      <c r="F50" s="40"/>
      <c r="G50" s="40"/>
      <c r="H50" s="41"/>
      <c r="I50" s="42"/>
      <c r="J50" s="40"/>
      <c r="K50" s="44">
        <f t="shared" si="1"/>
        <v>0</v>
      </c>
      <c r="L50" s="40"/>
      <c r="M50" s="43" t="str">
        <f t="shared" si="2"/>
        <v/>
      </c>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row>
    <row r="51" spans="1:64" ht="14">
      <c r="A51" s="37"/>
      <c r="B51" s="38"/>
      <c r="C51" s="39">
        <f t="shared" si="0"/>
        <v>0</v>
      </c>
      <c r="D51" s="40"/>
      <c r="E51" s="40"/>
      <c r="F51" s="40"/>
      <c r="G51" s="40"/>
      <c r="H51" s="41"/>
      <c r="I51" s="42"/>
      <c r="J51" s="40"/>
      <c r="K51" s="44">
        <f t="shared" si="1"/>
        <v>0</v>
      </c>
      <c r="L51" s="40"/>
      <c r="M51" s="43" t="str">
        <f t="shared" si="2"/>
        <v/>
      </c>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row>
    <row r="52" spans="1:64" ht="14">
      <c r="A52" s="37"/>
      <c r="B52" s="38"/>
      <c r="C52" s="39">
        <f t="shared" si="0"/>
        <v>0</v>
      </c>
      <c r="D52" s="40"/>
      <c r="E52" s="40"/>
      <c r="F52" s="40"/>
      <c r="G52" s="40"/>
      <c r="H52" s="41"/>
      <c r="I52" s="42"/>
      <c r="J52" s="40"/>
      <c r="K52" s="44">
        <f t="shared" si="1"/>
        <v>0</v>
      </c>
      <c r="L52" s="40"/>
      <c r="M52" s="43" t="str">
        <f t="shared" si="2"/>
        <v/>
      </c>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row>
    <row r="53" spans="1:64" ht="14">
      <c r="A53" s="37"/>
      <c r="B53" s="38"/>
      <c r="C53" s="39">
        <f t="shared" si="0"/>
        <v>0</v>
      </c>
      <c r="D53" s="40"/>
      <c r="E53" s="40"/>
      <c r="F53" s="40"/>
      <c r="G53" s="40"/>
      <c r="H53" s="41"/>
      <c r="I53" s="42"/>
      <c r="J53" s="40"/>
      <c r="K53" s="44">
        <f t="shared" si="1"/>
        <v>0</v>
      </c>
      <c r="L53" s="40"/>
      <c r="M53" s="43" t="str">
        <f t="shared" si="2"/>
        <v/>
      </c>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row>
    <row r="54" spans="1:64" ht="14">
      <c r="A54" s="37"/>
      <c r="B54" s="38"/>
      <c r="C54" s="39">
        <f t="shared" si="0"/>
        <v>0</v>
      </c>
      <c r="D54" s="40"/>
      <c r="E54" s="40"/>
      <c r="F54" s="40"/>
      <c r="G54" s="40"/>
      <c r="H54" s="41"/>
      <c r="I54" s="42"/>
      <c r="J54" s="40"/>
      <c r="K54" s="44">
        <f t="shared" si="1"/>
        <v>0</v>
      </c>
      <c r="L54" s="40"/>
      <c r="M54" s="43" t="str">
        <f t="shared" si="2"/>
        <v/>
      </c>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row>
    <row r="55" spans="1:64" ht="14">
      <c r="A55" s="37"/>
      <c r="B55" s="38"/>
      <c r="C55" s="39">
        <f t="shared" si="0"/>
        <v>0</v>
      </c>
      <c r="D55" s="40"/>
      <c r="E55" s="40"/>
      <c r="F55" s="40"/>
      <c r="G55" s="40"/>
      <c r="H55" s="41"/>
      <c r="I55" s="42"/>
      <c r="J55" s="40"/>
      <c r="K55" s="44">
        <f t="shared" si="1"/>
        <v>0</v>
      </c>
      <c r="L55" s="40"/>
      <c r="M55" s="43" t="str">
        <f t="shared" si="2"/>
        <v/>
      </c>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row>
    <row r="56" spans="1:64" ht="14">
      <c r="A56" s="37"/>
      <c r="B56" s="38"/>
      <c r="C56" s="39">
        <f t="shared" si="0"/>
        <v>0</v>
      </c>
      <c r="D56" s="40"/>
      <c r="E56" s="40"/>
      <c r="F56" s="40"/>
      <c r="G56" s="40"/>
      <c r="H56" s="41"/>
      <c r="I56" s="42"/>
      <c r="J56" s="40"/>
      <c r="K56" s="44">
        <f t="shared" si="1"/>
        <v>0</v>
      </c>
      <c r="L56" s="40"/>
      <c r="M56" s="43" t="str">
        <f t="shared" si="2"/>
        <v/>
      </c>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row>
    <row r="57" spans="1:64" ht="14">
      <c r="A57" s="37"/>
      <c r="B57" s="38"/>
      <c r="C57" s="39">
        <f t="shared" si="0"/>
        <v>0</v>
      </c>
      <c r="D57" s="40"/>
      <c r="E57" s="40"/>
      <c r="F57" s="40"/>
      <c r="G57" s="40"/>
      <c r="H57" s="41"/>
      <c r="I57" s="42"/>
      <c r="J57" s="40"/>
      <c r="K57" s="44">
        <f t="shared" si="1"/>
        <v>0</v>
      </c>
      <c r="L57" s="40"/>
      <c r="M57" s="43" t="str">
        <f t="shared" si="2"/>
        <v/>
      </c>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row>
    <row r="58" spans="1:64" ht="14">
      <c r="A58" s="37"/>
      <c r="B58" s="38"/>
      <c r="C58" s="39">
        <f t="shared" si="0"/>
        <v>0</v>
      </c>
      <c r="D58" s="40"/>
      <c r="E58" s="40"/>
      <c r="F58" s="40"/>
      <c r="G58" s="40"/>
      <c r="H58" s="41"/>
      <c r="I58" s="42"/>
      <c r="J58" s="40"/>
      <c r="K58" s="44">
        <f t="shared" si="1"/>
        <v>0</v>
      </c>
      <c r="L58" s="40"/>
      <c r="M58" s="43" t="str">
        <f t="shared" si="2"/>
        <v/>
      </c>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row>
    <row r="59" spans="1:64" ht="14">
      <c r="A59" s="37"/>
      <c r="B59" s="38"/>
      <c r="C59" s="39">
        <f t="shared" si="0"/>
        <v>0</v>
      </c>
      <c r="D59" s="40"/>
      <c r="E59" s="40"/>
      <c r="F59" s="40"/>
      <c r="G59" s="40"/>
      <c r="H59" s="41"/>
      <c r="I59" s="42"/>
      <c r="J59" s="40"/>
      <c r="K59" s="44">
        <f t="shared" si="1"/>
        <v>0</v>
      </c>
      <c r="L59" s="40"/>
      <c r="M59" s="43" t="str">
        <f t="shared" si="2"/>
        <v/>
      </c>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row>
    <row r="60" spans="1:64" ht="14">
      <c r="A60" s="37"/>
      <c r="B60" s="38"/>
      <c r="C60" s="39">
        <f t="shared" si="0"/>
        <v>0</v>
      </c>
      <c r="D60" s="40"/>
      <c r="E60" s="40"/>
      <c r="F60" s="40"/>
      <c r="G60" s="40"/>
      <c r="H60" s="41"/>
      <c r="I60" s="42"/>
      <c r="J60" s="40"/>
      <c r="K60" s="44">
        <f t="shared" si="1"/>
        <v>0</v>
      </c>
      <c r="L60" s="40"/>
      <c r="M60" s="43" t="str">
        <f t="shared" si="2"/>
        <v/>
      </c>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row>
    <row r="61" spans="1:64" ht="14">
      <c r="A61" s="37"/>
      <c r="B61" s="38"/>
      <c r="C61" s="39">
        <f t="shared" si="0"/>
        <v>0</v>
      </c>
      <c r="D61" s="40"/>
      <c r="E61" s="40"/>
      <c r="F61" s="40"/>
      <c r="G61" s="40"/>
      <c r="H61" s="41"/>
      <c r="I61" s="42"/>
      <c r="J61" s="40"/>
      <c r="K61" s="44">
        <f t="shared" si="1"/>
        <v>0</v>
      </c>
      <c r="L61" s="40"/>
      <c r="M61" s="43" t="str">
        <f t="shared" si="2"/>
        <v/>
      </c>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row>
    <row r="62" spans="1:64" ht="14">
      <c r="A62" s="37"/>
      <c r="B62" s="38"/>
      <c r="C62" s="39">
        <f t="shared" si="0"/>
        <v>0</v>
      </c>
      <c r="D62" s="40"/>
      <c r="E62" s="40"/>
      <c r="F62" s="40"/>
      <c r="G62" s="40"/>
      <c r="H62" s="41"/>
      <c r="I62" s="42"/>
      <c r="J62" s="40"/>
      <c r="K62" s="44">
        <f t="shared" si="1"/>
        <v>0</v>
      </c>
      <c r="L62" s="40"/>
      <c r="M62" s="43" t="str">
        <f t="shared" si="2"/>
        <v/>
      </c>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row>
    <row r="63" spans="1:64" ht="14">
      <c r="A63" s="37"/>
      <c r="B63" s="38"/>
      <c r="C63" s="39">
        <f t="shared" si="0"/>
        <v>0</v>
      </c>
      <c r="D63" s="40"/>
      <c r="E63" s="40"/>
      <c r="F63" s="40"/>
      <c r="G63" s="40"/>
      <c r="H63" s="41"/>
      <c r="I63" s="42"/>
      <c r="J63" s="40"/>
      <c r="K63" s="44">
        <f t="shared" si="1"/>
        <v>0</v>
      </c>
      <c r="L63" s="40"/>
      <c r="M63" s="43" t="str">
        <f t="shared" si="2"/>
        <v/>
      </c>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row>
    <row r="64" spans="1:64" ht="14">
      <c r="A64" s="37"/>
      <c r="B64" s="38"/>
      <c r="C64" s="39">
        <f t="shared" si="0"/>
        <v>0</v>
      </c>
      <c r="D64" s="40"/>
      <c r="E64" s="40"/>
      <c r="F64" s="40"/>
      <c r="G64" s="40"/>
      <c r="H64" s="41"/>
      <c r="I64" s="42"/>
      <c r="J64" s="40"/>
      <c r="K64" s="44">
        <f t="shared" si="1"/>
        <v>0</v>
      </c>
      <c r="L64" s="40"/>
      <c r="M64" s="43" t="str">
        <f t="shared" si="2"/>
        <v/>
      </c>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row>
    <row r="65" spans="1:64" ht="14">
      <c r="A65" s="37"/>
      <c r="B65" s="38"/>
      <c r="C65" s="39">
        <f t="shared" si="0"/>
        <v>0</v>
      </c>
      <c r="D65" s="40"/>
      <c r="E65" s="40"/>
      <c r="F65" s="40"/>
      <c r="G65" s="40"/>
      <c r="H65" s="41"/>
      <c r="I65" s="42"/>
      <c r="J65" s="40"/>
      <c r="K65" s="44">
        <f t="shared" si="1"/>
        <v>0</v>
      </c>
      <c r="L65" s="40"/>
      <c r="M65" s="43" t="str">
        <f t="shared" si="2"/>
        <v/>
      </c>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row>
    <row r="66" spans="1:64" ht="14">
      <c r="A66" s="37"/>
      <c r="B66" s="38"/>
      <c r="C66" s="39">
        <f t="shared" si="0"/>
        <v>0</v>
      </c>
      <c r="D66" s="40"/>
      <c r="E66" s="40"/>
      <c r="F66" s="40"/>
      <c r="G66" s="40"/>
      <c r="H66" s="41"/>
      <c r="I66" s="42"/>
      <c r="J66" s="40"/>
      <c r="K66" s="44">
        <f t="shared" si="1"/>
        <v>0</v>
      </c>
      <c r="L66" s="40"/>
      <c r="M66" s="43" t="str">
        <f t="shared" si="2"/>
        <v/>
      </c>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row>
    <row r="67" spans="1:64" ht="14">
      <c r="A67" s="37"/>
      <c r="B67" s="38"/>
      <c r="C67" s="39">
        <f t="shared" si="0"/>
        <v>0</v>
      </c>
      <c r="D67" s="40"/>
      <c r="E67" s="40"/>
      <c r="F67" s="40"/>
      <c r="G67" s="40"/>
      <c r="H67" s="41"/>
      <c r="I67" s="42"/>
      <c r="J67" s="40"/>
      <c r="K67" s="44">
        <f t="shared" si="1"/>
        <v>0</v>
      </c>
      <c r="L67" s="40"/>
      <c r="M67" s="43" t="str">
        <f t="shared" si="2"/>
        <v/>
      </c>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row>
    <row r="68" spans="1:64" ht="14">
      <c r="A68" s="37"/>
      <c r="B68" s="38"/>
      <c r="C68" s="39">
        <f t="shared" si="0"/>
        <v>0</v>
      </c>
      <c r="D68" s="40"/>
      <c r="E68" s="40"/>
      <c r="F68" s="40"/>
      <c r="G68" s="40"/>
      <c r="H68" s="41"/>
      <c r="I68" s="42"/>
      <c r="J68" s="40"/>
      <c r="K68" s="44">
        <f t="shared" si="1"/>
        <v>0</v>
      </c>
      <c r="L68" s="40"/>
      <c r="M68" s="43" t="str">
        <f t="shared" si="2"/>
        <v/>
      </c>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row>
    <row r="69" spans="1:64" ht="14">
      <c r="A69" s="37"/>
      <c r="B69" s="38"/>
      <c r="C69" s="39">
        <f t="shared" si="0"/>
        <v>0</v>
      </c>
      <c r="D69" s="40"/>
      <c r="E69" s="40"/>
      <c r="F69" s="40"/>
      <c r="G69" s="40"/>
      <c r="H69" s="41"/>
      <c r="I69" s="42"/>
      <c r="J69" s="40"/>
      <c r="K69" s="44">
        <f t="shared" si="1"/>
        <v>0</v>
      </c>
      <c r="L69" s="40"/>
      <c r="M69" s="43" t="str">
        <f t="shared" si="2"/>
        <v/>
      </c>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row>
    <row r="70" spans="1:64" ht="14">
      <c r="A70" s="37"/>
      <c r="B70" s="38"/>
      <c r="C70" s="39">
        <f t="shared" si="0"/>
        <v>0</v>
      </c>
      <c r="D70" s="40"/>
      <c r="E70" s="40"/>
      <c r="F70" s="40"/>
      <c r="G70" s="40"/>
      <c r="H70" s="41"/>
      <c r="I70" s="42"/>
      <c r="J70" s="40"/>
      <c r="K70" s="44">
        <f t="shared" si="1"/>
        <v>0</v>
      </c>
      <c r="L70" s="40"/>
      <c r="M70" s="43" t="str">
        <f t="shared" si="2"/>
        <v/>
      </c>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row>
    <row r="71" spans="1:64" ht="14">
      <c r="A71" s="37"/>
      <c r="B71" s="38"/>
      <c r="C71" s="39">
        <f t="shared" si="0"/>
        <v>0</v>
      </c>
      <c r="D71" s="40"/>
      <c r="E71" s="40"/>
      <c r="F71" s="40"/>
      <c r="G71" s="40"/>
      <c r="H71" s="41"/>
      <c r="I71" s="42"/>
      <c r="J71" s="40"/>
      <c r="K71" s="44">
        <f t="shared" si="1"/>
        <v>0</v>
      </c>
      <c r="L71" s="40"/>
      <c r="M71" s="43" t="str">
        <f t="shared" si="2"/>
        <v/>
      </c>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row>
    <row r="72" spans="1:64" ht="14">
      <c r="A72" s="37"/>
      <c r="B72" s="38"/>
      <c r="C72" s="39">
        <f t="shared" si="0"/>
        <v>0</v>
      </c>
      <c r="D72" s="40"/>
      <c r="E72" s="40"/>
      <c r="F72" s="40"/>
      <c r="G72" s="40"/>
      <c r="H72" s="41"/>
      <c r="I72" s="42"/>
      <c r="J72" s="40"/>
      <c r="K72" s="44">
        <f t="shared" si="1"/>
        <v>0</v>
      </c>
      <c r="L72" s="40"/>
      <c r="M72" s="43" t="str">
        <f t="shared" si="2"/>
        <v/>
      </c>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row>
    <row r="73" spans="1:64" ht="14">
      <c r="A73" s="37"/>
      <c r="B73" s="38"/>
      <c r="C73" s="39">
        <f t="shared" si="0"/>
        <v>0</v>
      </c>
      <c r="D73" s="40"/>
      <c r="E73" s="40"/>
      <c r="F73" s="40"/>
      <c r="G73" s="40"/>
      <c r="H73" s="41"/>
      <c r="I73" s="42"/>
      <c r="J73" s="40"/>
      <c r="K73" s="44">
        <f t="shared" si="1"/>
        <v>0</v>
      </c>
      <c r="L73" s="40"/>
      <c r="M73" s="43" t="str">
        <f t="shared" si="2"/>
        <v/>
      </c>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row>
    <row r="74" spans="1:64" ht="14">
      <c r="A74" s="37"/>
      <c r="B74" s="38"/>
      <c r="C74" s="39">
        <f t="shared" ref="C74:C137" si="3">IF($B74&lt;&gt;"",VLOOKUP($B74,Matriz_INM,2,0),0)</f>
        <v>0</v>
      </c>
      <c r="D74" s="40"/>
      <c r="E74" s="40"/>
      <c r="F74" s="40"/>
      <c r="G74" s="40"/>
      <c r="H74" s="41"/>
      <c r="I74" s="42"/>
      <c r="J74" s="40"/>
      <c r="K74" s="44">
        <f t="shared" ref="K74:K137" si="4">IF(M74="%",(IF($J74="EE",4,IF($J74="CE",4,IF($J74="SE",5,IF($J74="ALI",7,IF($J74="AIE",5,0))))))*$C74,$C74*$I74)</f>
        <v>0</v>
      </c>
      <c r="L74" s="40"/>
      <c r="M74" s="43" t="str">
        <f t="shared" ref="M74:M137" si="5">IFERROR(VLOOKUP($B74,Matriz_INM,3,0),"")</f>
        <v/>
      </c>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row>
    <row r="75" spans="1:64" ht="14">
      <c r="A75" s="37"/>
      <c r="B75" s="38"/>
      <c r="C75" s="39">
        <f t="shared" si="3"/>
        <v>0</v>
      </c>
      <c r="D75" s="40"/>
      <c r="E75" s="40"/>
      <c r="F75" s="40"/>
      <c r="G75" s="40"/>
      <c r="H75" s="41"/>
      <c r="I75" s="42"/>
      <c r="J75" s="40"/>
      <c r="K75" s="44">
        <f t="shared" si="4"/>
        <v>0</v>
      </c>
      <c r="L75" s="40"/>
      <c r="M75" s="43" t="str">
        <f t="shared" si="5"/>
        <v/>
      </c>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row>
    <row r="76" spans="1:64" ht="14">
      <c r="A76" s="37"/>
      <c r="B76" s="38"/>
      <c r="C76" s="39">
        <f t="shared" si="3"/>
        <v>0</v>
      </c>
      <c r="D76" s="40"/>
      <c r="E76" s="40"/>
      <c r="F76" s="40"/>
      <c r="G76" s="40"/>
      <c r="H76" s="41"/>
      <c r="I76" s="42"/>
      <c r="J76" s="40"/>
      <c r="K76" s="44">
        <f t="shared" si="4"/>
        <v>0</v>
      </c>
      <c r="L76" s="40"/>
      <c r="M76" s="43" t="str">
        <f t="shared" si="5"/>
        <v/>
      </c>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row>
    <row r="77" spans="1:64" ht="14">
      <c r="A77" s="37"/>
      <c r="B77" s="38"/>
      <c r="C77" s="39">
        <f t="shared" si="3"/>
        <v>0</v>
      </c>
      <c r="D77" s="40"/>
      <c r="E77" s="40"/>
      <c r="F77" s="40"/>
      <c r="G77" s="40"/>
      <c r="H77" s="41"/>
      <c r="I77" s="42"/>
      <c r="J77" s="40"/>
      <c r="K77" s="44">
        <f t="shared" si="4"/>
        <v>0</v>
      </c>
      <c r="L77" s="40"/>
      <c r="M77" s="43" t="str">
        <f t="shared" si="5"/>
        <v/>
      </c>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row>
    <row r="78" spans="1:64" ht="14">
      <c r="A78" s="37"/>
      <c r="B78" s="38"/>
      <c r="C78" s="39">
        <f t="shared" si="3"/>
        <v>0</v>
      </c>
      <c r="D78" s="40"/>
      <c r="E78" s="40"/>
      <c r="F78" s="40"/>
      <c r="G78" s="40"/>
      <c r="H78" s="41"/>
      <c r="I78" s="42"/>
      <c r="J78" s="40"/>
      <c r="K78" s="44">
        <f t="shared" si="4"/>
        <v>0</v>
      </c>
      <c r="L78" s="40"/>
      <c r="M78" s="43" t="str">
        <f t="shared" si="5"/>
        <v/>
      </c>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row>
    <row r="79" spans="1:64" ht="14">
      <c r="A79" s="37"/>
      <c r="B79" s="38"/>
      <c r="C79" s="39">
        <f t="shared" si="3"/>
        <v>0</v>
      </c>
      <c r="D79" s="40"/>
      <c r="E79" s="40"/>
      <c r="F79" s="40"/>
      <c r="G79" s="40"/>
      <c r="H79" s="41"/>
      <c r="I79" s="42"/>
      <c r="J79" s="40"/>
      <c r="K79" s="44">
        <f t="shared" si="4"/>
        <v>0</v>
      </c>
      <c r="L79" s="40"/>
      <c r="M79" s="43" t="str">
        <f t="shared" si="5"/>
        <v/>
      </c>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row>
    <row r="80" spans="1:64" ht="14">
      <c r="A80" s="37"/>
      <c r="B80" s="38"/>
      <c r="C80" s="39">
        <f t="shared" si="3"/>
        <v>0</v>
      </c>
      <c r="D80" s="40"/>
      <c r="E80" s="40"/>
      <c r="F80" s="40"/>
      <c r="G80" s="40"/>
      <c r="H80" s="41"/>
      <c r="I80" s="42"/>
      <c r="J80" s="40"/>
      <c r="K80" s="44">
        <f t="shared" si="4"/>
        <v>0</v>
      </c>
      <c r="L80" s="40"/>
      <c r="M80" s="43" t="str">
        <f t="shared" si="5"/>
        <v/>
      </c>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row>
    <row r="81" spans="1:64" ht="14">
      <c r="A81" s="37"/>
      <c r="B81" s="38"/>
      <c r="C81" s="39">
        <f t="shared" si="3"/>
        <v>0</v>
      </c>
      <c r="D81" s="40"/>
      <c r="E81" s="40"/>
      <c r="F81" s="40"/>
      <c r="G81" s="40"/>
      <c r="H81" s="41"/>
      <c r="I81" s="42"/>
      <c r="J81" s="40"/>
      <c r="K81" s="44">
        <f t="shared" si="4"/>
        <v>0</v>
      </c>
      <c r="L81" s="40"/>
      <c r="M81" s="43" t="str">
        <f t="shared" si="5"/>
        <v/>
      </c>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row>
    <row r="82" spans="1:64" ht="14">
      <c r="A82" s="37"/>
      <c r="B82" s="38"/>
      <c r="C82" s="39">
        <f t="shared" si="3"/>
        <v>0</v>
      </c>
      <c r="D82" s="40"/>
      <c r="E82" s="40"/>
      <c r="F82" s="40"/>
      <c r="G82" s="40"/>
      <c r="H82" s="41"/>
      <c r="I82" s="42"/>
      <c r="J82" s="40"/>
      <c r="K82" s="44">
        <f t="shared" si="4"/>
        <v>0</v>
      </c>
      <c r="L82" s="40"/>
      <c r="M82" s="43" t="str">
        <f t="shared" si="5"/>
        <v/>
      </c>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row>
    <row r="83" spans="1:64" ht="14">
      <c r="A83" s="37"/>
      <c r="B83" s="38"/>
      <c r="C83" s="39">
        <f t="shared" si="3"/>
        <v>0</v>
      </c>
      <c r="D83" s="40"/>
      <c r="E83" s="40"/>
      <c r="F83" s="40"/>
      <c r="G83" s="40"/>
      <c r="H83" s="41"/>
      <c r="I83" s="42"/>
      <c r="J83" s="40"/>
      <c r="K83" s="44">
        <f t="shared" si="4"/>
        <v>0</v>
      </c>
      <c r="L83" s="40"/>
      <c r="M83" s="43" t="str">
        <f t="shared" si="5"/>
        <v/>
      </c>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row>
    <row r="84" spans="1:64" ht="14">
      <c r="A84" s="37"/>
      <c r="B84" s="38"/>
      <c r="C84" s="39">
        <f t="shared" si="3"/>
        <v>0</v>
      </c>
      <c r="D84" s="40"/>
      <c r="E84" s="40"/>
      <c r="F84" s="40"/>
      <c r="G84" s="40"/>
      <c r="H84" s="41"/>
      <c r="I84" s="42"/>
      <c r="J84" s="40"/>
      <c r="K84" s="44">
        <f t="shared" si="4"/>
        <v>0</v>
      </c>
      <c r="L84" s="40"/>
      <c r="M84" s="43" t="str">
        <f t="shared" si="5"/>
        <v/>
      </c>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row>
    <row r="85" spans="1:64" ht="14">
      <c r="A85" s="37"/>
      <c r="B85" s="38"/>
      <c r="C85" s="39">
        <f t="shared" si="3"/>
        <v>0</v>
      </c>
      <c r="D85" s="40"/>
      <c r="E85" s="40"/>
      <c r="F85" s="40"/>
      <c r="G85" s="40"/>
      <c r="H85" s="41"/>
      <c r="I85" s="42"/>
      <c r="J85" s="40"/>
      <c r="K85" s="44">
        <f t="shared" si="4"/>
        <v>0</v>
      </c>
      <c r="L85" s="40"/>
      <c r="M85" s="43" t="str">
        <f t="shared" si="5"/>
        <v/>
      </c>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row>
    <row r="86" spans="1:64" ht="14">
      <c r="A86" s="37"/>
      <c r="B86" s="38"/>
      <c r="C86" s="39">
        <f t="shared" si="3"/>
        <v>0</v>
      </c>
      <c r="D86" s="40"/>
      <c r="E86" s="40"/>
      <c r="F86" s="40"/>
      <c r="G86" s="40"/>
      <c r="H86" s="41"/>
      <c r="I86" s="42"/>
      <c r="J86" s="40"/>
      <c r="K86" s="44">
        <f t="shared" si="4"/>
        <v>0</v>
      </c>
      <c r="L86" s="40"/>
      <c r="M86" s="43" t="str">
        <f t="shared" si="5"/>
        <v/>
      </c>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row>
    <row r="87" spans="1:64" ht="14">
      <c r="A87" s="37"/>
      <c r="B87" s="38"/>
      <c r="C87" s="39">
        <f t="shared" si="3"/>
        <v>0</v>
      </c>
      <c r="D87" s="40"/>
      <c r="E87" s="40"/>
      <c r="F87" s="40"/>
      <c r="G87" s="40"/>
      <c r="H87" s="41"/>
      <c r="I87" s="42"/>
      <c r="J87" s="40"/>
      <c r="K87" s="44">
        <f t="shared" si="4"/>
        <v>0</v>
      </c>
      <c r="L87" s="40"/>
      <c r="M87" s="43" t="str">
        <f t="shared" si="5"/>
        <v/>
      </c>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row>
    <row r="88" spans="1:64" ht="14">
      <c r="A88" s="37"/>
      <c r="B88" s="38"/>
      <c r="C88" s="39">
        <f t="shared" si="3"/>
        <v>0</v>
      </c>
      <c r="D88" s="40"/>
      <c r="E88" s="40"/>
      <c r="F88" s="40"/>
      <c r="G88" s="40"/>
      <c r="H88" s="41"/>
      <c r="I88" s="42"/>
      <c r="J88" s="40"/>
      <c r="K88" s="44">
        <f t="shared" si="4"/>
        <v>0</v>
      </c>
      <c r="L88" s="40"/>
      <c r="M88" s="43" t="str">
        <f t="shared" si="5"/>
        <v/>
      </c>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row>
    <row r="89" spans="1:64" ht="14">
      <c r="A89" s="37"/>
      <c r="B89" s="38"/>
      <c r="C89" s="39">
        <f t="shared" si="3"/>
        <v>0</v>
      </c>
      <c r="D89" s="40"/>
      <c r="E89" s="40"/>
      <c r="F89" s="40"/>
      <c r="G89" s="40"/>
      <c r="H89" s="41"/>
      <c r="I89" s="42"/>
      <c r="J89" s="40"/>
      <c r="K89" s="44">
        <f t="shared" si="4"/>
        <v>0</v>
      </c>
      <c r="L89" s="40"/>
      <c r="M89" s="43" t="str">
        <f t="shared" si="5"/>
        <v/>
      </c>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row>
    <row r="90" spans="1:64" ht="14">
      <c r="A90" s="37"/>
      <c r="B90" s="38"/>
      <c r="C90" s="39">
        <f t="shared" si="3"/>
        <v>0</v>
      </c>
      <c r="D90" s="40"/>
      <c r="E90" s="40"/>
      <c r="F90" s="40"/>
      <c r="G90" s="40"/>
      <c r="H90" s="41"/>
      <c r="I90" s="42"/>
      <c r="J90" s="40"/>
      <c r="K90" s="44">
        <f t="shared" si="4"/>
        <v>0</v>
      </c>
      <c r="L90" s="40"/>
      <c r="M90" s="43" t="str">
        <f t="shared" si="5"/>
        <v/>
      </c>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row>
    <row r="91" spans="1:64" ht="14">
      <c r="A91" s="37"/>
      <c r="B91" s="38"/>
      <c r="C91" s="39">
        <f t="shared" si="3"/>
        <v>0</v>
      </c>
      <c r="D91" s="40"/>
      <c r="E91" s="40"/>
      <c r="F91" s="40"/>
      <c r="G91" s="40"/>
      <c r="H91" s="41"/>
      <c r="I91" s="42"/>
      <c r="J91" s="40"/>
      <c r="K91" s="44">
        <f t="shared" si="4"/>
        <v>0</v>
      </c>
      <c r="L91" s="40"/>
      <c r="M91" s="43" t="str">
        <f t="shared" si="5"/>
        <v/>
      </c>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row>
    <row r="92" spans="1:64" ht="14">
      <c r="A92" s="37"/>
      <c r="B92" s="38"/>
      <c r="C92" s="39">
        <f t="shared" si="3"/>
        <v>0</v>
      </c>
      <c r="D92" s="40"/>
      <c r="E92" s="40"/>
      <c r="F92" s="40"/>
      <c r="G92" s="40"/>
      <c r="H92" s="41"/>
      <c r="I92" s="42"/>
      <c r="J92" s="40"/>
      <c r="K92" s="44">
        <f t="shared" si="4"/>
        <v>0</v>
      </c>
      <c r="L92" s="40"/>
      <c r="M92" s="43" t="str">
        <f t="shared" si="5"/>
        <v/>
      </c>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row>
    <row r="93" spans="1:64" ht="14">
      <c r="A93" s="37"/>
      <c r="B93" s="38"/>
      <c r="C93" s="39">
        <f t="shared" si="3"/>
        <v>0</v>
      </c>
      <c r="D93" s="40"/>
      <c r="E93" s="40"/>
      <c r="F93" s="40"/>
      <c r="G93" s="40"/>
      <c r="H93" s="41"/>
      <c r="I93" s="42"/>
      <c r="J93" s="40"/>
      <c r="K93" s="44">
        <f t="shared" si="4"/>
        <v>0</v>
      </c>
      <c r="L93" s="40"/>
      <c r="M93" s="43" t="str">
        <f t="shared" si="5"/>
        <v/>
      </c>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row>
    <row r="94" spans="1:64" ht="14">
      <c r="A94" s="37"/>
      <c r="B94" s="38"/>
      <c r="C94" s="39">
        <f t="shared" si="3"/>
        <v>0</v>
      </c>
      <c r="D94" s="40"/>
      <c r="E94" s="40"/>
      <c r="F94" s="40"/>
      <c r="G94" s="40"/>
      <c r="H94" s="41"/>
      <c r="I94" s="42"/>
      <c r="J94" s="40"/>
      <c r="K94" s="44">
        <f t="shared" si="4"/>
        <v>0</v>
      </c>
      <c r="L94" s="40"/>
      <c r="M94" s="43" t="str">
        <f t="shared" si="5"/>
        <v/>
      </c>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row>
    <row r="95" spans="1:64" ht="14">
      <c r="A95" s="37"/>
      <c r="B95" s="38"/>
      <c r="C95" s="39">
        <f t="shared" si="3"/>
        <v>0</v>
      </c>
      <c r="D95" s="40"/>
      <c r="E95" s="40"/>
      <c r="F95" s="40"/>
      <c r="G95" s="40"/>
      <c r="H95" s="41"/>
      <c r="I95" s="42"/>
      <c r="J95" s="40"/>
      <c r="K95" s="44">
        <f t="shared" si="4"/>
        <v>0</v>
      </c>
      <c r="L95" s="40"/>
      <c r="M95" s="43" t="str">
        <f t="shared" si="5"/>
        <v/>
      </c>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row>
    <row r="96" spans="1:64" ht="14">
      <c r="A96" s="37"/>
      <c r="B96" s="38"/>
      <c r="C96" s="39">
        <f t="shared" si="3"/>
        <v>0</v>
      </c>
      <c r="D96" s="40"/>
      <c r="E96" s="40"/>
      <c r="F96" s="40"/>
      <c r="G96" s="40"/>
      <c r="H96" s="41"/>
      <c r="I96" s="42"/>
      <c r="J96" s="40"/>
      <c r="K96" s="44">
        <f t="shared" si="4"/>
        <v>0</v>
      </c>
      <c r="L96" s="40"/>
      <c r="M96" s="43" t="str">
        <f t="shared" si="5"/>
        <v/>
      </c>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row>
    <row r="97" spans="1:64" ht="14">
      <c r="A97" s="37"/>
      <c r="B97" s="38"/>
      <c r="C97" s="39">
        <f t="shared" si="3"/>
        <v>0</v>
      </c>
      <c r="D97" s="40"/>
      <c r="E97" s="40"/>
      <c r="F97" s="40"/>
      <c r="G97" s="40"/>
      <c r="H97" s="41"/>
      <c r="I97" s="42"/>
      <c r="J97" s="40"/>
      <c r="K97" s="44">
        <f t="shared" si="4"/>
        <v>0</v>
      </c>
      <c r="L97" s="40"/>
      <c r="M97" s="43" t="str">
        <f t="shared" si="5"/>
        <v/>
      </c>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row>
    <row r="98" spans="1:64" ht="14">
      <c r="A98" s="37"/>
      <c r="B98" s="38"/>
      <c r="C98" s="39">
        <f t="shared" si="3"/>
        <v>0</v>
      </c>
      <c r="D98" s="40"/>
      <c r="E98" s="40"/>
      <c r="F98" s="40"/>
      <c r="G98" s="40"/>
      <c r="H98" s="41"/>
      <c r="I98" s="42"/>
      <c r="J98" s="40"/>
      <c r="K98" s="44">
        <f t="shared" si="4"/>
        <v>0</v>
      </c>
      <c r="L98" s="40"/>
      <c r="M98" s="43" t="str">
        <f t="shared" si="5"/>
        <v/>
      </c>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row>
    <row r="99" spans="1:64" ht="14">
      <c r="A99" s="37"/>
      <c r="B99" s="38"/>
      <c r="C99" s="39">
        <f t="shared" si="3"/>
        <v>0</v>
      </c>
      <c r="D99" s="40"/>
      <c r="E99" s="40"/>
      <c r="F99" s="40"/>
      <c r="G99" s="40"/>
      <c r="H99" s="41"/>
      <c r="I99" s="42"/>
      <c r="J99" s="40"/>
      <c r="K99" s="44">
        <f t="shared" si="4"/>
        <v>0</v>
      </c>
      <c r="L99" s="40"/>
      <c r="M99" s="43" t="str">
        <f t="shared" si="5"/>
        <v/>
      </c>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row>
    <row r="100" spans="1:64" ht="14">
      <c r="A100" s="37"/>
      <c r="B100" s="38"/>
      <c r="C100" s="39">
        <f t="shared" si="3"/>
        <v>0</v>
      </c>
      <c r="D100" s="40"/>
      <c r="E100" s="40"/>
      <c r="F100" s="40"/>
      <c r="G100" s="40"/>
      <c r="H100" s="41"/>
      <c r="I100" s="42"/>
      <c r="J100" s="40"/>
      <c r="K100" s="44">
        <f t="shared" si="4"/>
        <v>0</v>
      </c>
      <c r="L100" s="40"/>
      <c r="M100" s="43" t="str">
        <f t="shared" si="5"/>
        <v/>
      </c>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row>
    <row r="101" spans="1:64" ht="14">
      <c r="A101" s="37"/>
      <c r="B101" s="38"/>
      <c r="C101" s="39">
        <f t="shared" si="3"/>
        <v>0</v>
      </c>
      <c r="D101" s="40"/>
      <c r="E101" s="40"/>
      <c r="F101" s="40"/>
      <c r="G101" s="40"/>
      <c r="H101" s="41"/>
      <c r="I101" s="42"/>
      <c r="J101" s="40"/>
      <c r="K101" s="44">
        <f t="shared" si="4"/>
        <v>0</v>
      </c>
      <c r="L101" s="40"/>
      <c r="M101" s="43" t="str">
        <f t="shared" si="5"/>
        <v/>
      </c>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row>
    <row r="102" spans="1:64" ht="14">
      <c r="A102" s="37"/>
      <c r="B102" s="38"/>
      <c r="C102" s="39">
        <f t="shared" si="3"/>
        <v>0</v>
      </c>
      <c r="D102" s="40"/>
      <c r="E102" s="40"/>
      <c r="F102" s="40"/>
      <c r="G102" s="40"/>
      <c r="H102" s="41"/>
      <c r="I102" s="42"/>
      <c r="J102" s="40"/>
      <c r="K102" s="44">
        <f t="shared" si="4"/>
        <v>0</v>
      </c>
      <c r="L102" s="40"/>
      <c r="M102" s="43" t="str">
        <f t="shared" si="5"/>
        <v/>
      </c>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row>
    <row r="103" spans="1:64" ht="14">
      <c r="A103" s="37"/>
      <c r="B103" s="38"/>
      <c r="C103" s="39">
        <f t="shared" si="3"/>
        <v>0</v>
      </c>
      <c r="D103" s="40"/>
      <c r="E103" s="40"/>
      <c r="F103" s="40"/>
      <c r="G103" s="40"/>
      <c r="H103" s="41"/>
      <c r="I103" s="42"/>
      <c r="J103" s="40"/>
      <c r="K103" s="44">
        <f t="shared" si="4"/>
        <v>0</v>
      </c>
      <c r="L103" s="40"/>
      <c r="M103" s="43" t="str">
        <f t="shared" si="5"/>
        <v/>
      </c>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row>
    <row r="104" spans="1:64" ht="14">
      <c r="A104" s="37"/>
      <c r="B104" s="38"/>
      <c r="C104" s="39">
        <f t="shared" si="3"/>
        <v>0</v>
      </c>
      <c r="D104" s="40"/>
      <c r="E104" s="40"/>
      <c r="F104" s="40"/>
      <c r="G104" s="40"/>
      <c r="H104" s="41"/>
      <c r="I104" s="42"/>
      <c r="J104" s="40"/>
      <c r="K104" s="44">
        <f t="shared" si="4"/>
        <v>0</v>
      </c>
      <c r="L104" s="40"/>
      <c r="M104" s="43" t="str">
        <f t="shared" si="5"/>
        <v/>
      </c>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row>
    <row r="105" spans="1:64" ht="14">
      <c r="A105" s="37"/>
      <c r="B105" s="38"/>
      <c r="C105" s="39">
        <f t="shared" si="3"/>
        <v>0</v>
      </c>
      <c r="D105" s="40"/>
      <c r="E105" s="40"/>
      <c r="F105" s="40"/>
      <c r="G105" s="40"/>
      <c r="H105" s="41"/>
      <c r="I105" s="42"/>
      <c r="J105" s="40"/>
      <c r="K105" s="44">
        <f t="shared" si="4"/>
        <v>0</v>
      </c>
      <c r="L105" s="40"/>
      <c r="M105" s="43" t="str">
        <f t="shared" si="5"/>
        <v/>
      </c>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row>
    <row r="106" spans="1:64" ht="14">
      <c r="A106" s="37"/>
      <c r="B106" s="38"/>
      <c r="C106" s="39">
        <f t="shared" si="3"/>
        <v>0</v>
      </c>
      <c r="D106" s="40"/>
      <c r="E106" s="40"/>
      <c r="F106" s="40"/>
      <c r="G106" s="40"/>
      <c r="H106" s="41"/>
      <c r="I106" s="42"/>
      <c r="J106" s="40"/>
      <c r="K106" s="44">
        <f t="shared" si="4"/>
        <v>0</v>
      </c>
      <c r="L106" s="40"/>
      <c r="M106" s="43" t="str">
        <f t="shared" si="5"/>
        <v/>
      </c>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row>
    <row r="107" spans="1:64" ht="14">
      <c r="A107" s="37"/>
      <c r="B107" s="38"/>
      <c r="C107" s="39">
        <f t="shared" si="3"/>
        <v>0</v>
      </c>
      <c r="D107" s="40"/>
      <c r="E107" s="40"/>
      <c r="F107" s="40"/>
      <c r="G107" s="40"/>
      <c r="H107" s="41"/>
      <c r="I107" s="42"/>
      <c r="J107" s="40"/>
      <c r="K107" s="44">
        <f t="shared" si="4"/>
        <v>0</v>
      </c>
      <c r="L107" s="40"/>
      <c r="M107" s="43" t="str">
        <f t="shared" si="5"/>
        <v/>
      </c>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row>
    <row r="108" spans="1:64" ht="14">
      <c r="A108" s="37"/>
      <c r="B108" s="38"/>
      <c r="C108" s="39">
        <f t="shared" si="3"/>
        <v>0</v>
      </c>
      <c r="D108" s="40"/>
      <c r="E108" s="40"/>
      <c r="F108" s="40"/>
      <c r="G108" s="40"/>
      <c r="H108" s="41"/>
      <c r="I108" s="42"/>
      <c r="J108" s="40"/>
      <c r="K108" s="44">
        <f t="shared" si="4"/>
        <v>0</v>
      </c>
      <c r="L108" s="40"/>
      <c r="M108" s="43" t="str">
        <f t="shared" si="5"/>
        <v/>
      </c>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row>
    <row r="109" spans="1:64" ht="14">
      <c r="A109" s="37"/>
      <c r="B109" s="38"/>
      <c r="C109" s="39">
        <f t="shared" si="3"/>
        <v>0</v>
      </c>
      <c r="D109" s="40"/>
      <c r="E109" s="40"/>
      <c r="F109" s="40"/>
      <c r="G109" s="40"/>
      <c r="H109" s="41"/>
      <c r="I109" s="42"/>
      <c r="J109" s="40"/>
      <c r="K109" s="44">
        <f t="shared" si="4"/>
        <v>0</v>
      </c>
      <c r="L109" s="40"/>
      <c r="M109" s="43" t="str">
        <f t="shared" si="5"/>
        <v/>
      </c>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row>
    <row r="110" spans="1:64" ht="14">
      <c r="A110" s="37"/>
      <c r="B110" s="38"/>
      <c r="C110" s="39">
        <f t="shared" si="3"/>
        <v>0</v>
      </c>
      <c r="D110" s="40"/>
      <c r="E110" s="40"/>
      <c r="F110" s="40"/>
      <c r="G110" s="40"/>
      <c r="H110" s="41"/>
      <c r="I110" s="42"/>
      <c r="J110" s="40"/>
      <c r="K110" s="44">
        <f t="shared" si="4"/>
        <v>0</v>
      </c>
      <c r="L110" s="40"/>
      <c r="M110" s="43" t="str">
        <f t="shared" si="5"/>
        <v/>
      </c>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row>
    <row r="111" spans="1:64" ht="14">
      <c r="A111" s="37"/>
      <c r="B111" s="38"/>
      <c r="C111" s="39">
        <f t="shared" si="3"/>
        <v>0</v>
      </c>
      <c r="D111" s="40"/>
      <c r="E111" s="40"/>
      <c r="F111" s="40"/>
      <c r="G111" s="40"/>
      <c r="H111" s="41"/>
      <c r="I111" s="42"/>
      <c r="J111" s="40"/>
      <c r="K111" s="44">
        <f t="shared" si="4"/>
        <v>0</v>
      </c>
      <c r="L111" s="40"/>
      <c r="M111" s="43" t="str">
        <f t="shared" si="5"/>
        <v/>
      </c>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row>
    <row r="112" spans="1:64" ht="14">
      <c r="A112" s="37"/>
      <c r="B112" s="38"/>
      <c r="C112" s="39">
        <f t="shared" si="3"/>
        <v>0</v>
      </c>
      <c r="D112" s="40"/>
      <c r="E112" s="40"/>
      <c r="F112" s="40"/>
      <c r="G112" s="40"/>
      <c r="H112" s="41"/>
      <c r="I112" s="42"/>
      <c r="J112" s="40"/>
      <c r="K112" s="44">
        <f t="shared" si="4"/>
        <v>0</v>
      </c>
      <c r="L112" s="40"/>
      <c r="M112" s="43" t="str">
        <f t="shared" si="5"/>
        <v/>
      </c>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row>
    <row r="113" spans="1:64" ht="14">
      <c r="A113" s="37"/>
      <c r="B113" s="38"/>
      <c r="C113" s="39">
        <f t="shared" si="3"/>
        <v>0</v>
      </c>
      <c r="D113" s="40"/>
      <c r="E113" s="40"/>
      <c r="F113" s="40"/>
      <c r="G113" s="40"/>
      <c r="H113" s="41"/>
      <c r="I113" s="42"/>
      <c r="J113" s="40"/>
      <c r="K113" s="44">
        <f t="shared" si="4"/>
        <v>0</v>
      </c>
      <c r="L113" s="40"/>
      <c r="M113" s="43" t="str">
        <f t="shared" si="5"/>
        <v/>
      </c>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row>
    <row r="114" spans="1:64" ht="14">
      <c r="A114" s="37"/>
      <c r="B114" s="38"/>
      <c r="C114" s="39">
        <f t="shared" si="3"/>
        <v>0</v>
      </c>
      <c r="D114" s="40"/>
      <c r="E114" s="40"/>
      <c r="F114" s="40"/>
      <c r="G114" s="40"/>
      <c r="H114" s="41"/>
      <c r="I114" s="42"/>
      <c r="J114" s="40"/>
      <c r="K114" s="44">
        <f t="shared" si="4"/>
        <v>0</v>
      </c>
      <c r="L114" s="40"/>
      <c r="M114" s="43" t="str">
        <f t="shared" si="5"/>
        <v/>
      </c>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row>
    <row r="115" spans="1:64" ht="14">
      <c r="A115" s="37"/>
      <c r="B115" s="38"/>
      <c r="C115" s="39">
        <f t="shared" si="3"/>
        <v>0</v>
      </c>
      <c r="D115" s="40"/>
      <c r="E115" s="40"/>
      <c r="F115" s="40"/>
      <c r="G115" s="40"/>
      <c r="H115" s="41"/>
      <c r="I115" s="42"/>
      <c r="J115" s="40"/>
      <c r="K115" s="44">
        <f t="shared" si="4"/>
        <v>0</v>
      </c>
      <c r="L115" s="40"/>
      <c r="M115" s="43" t="str">
        <f t="shared" si="5"/>
        <v/>
      </c>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row>
    <row r="116" spans="1:64" ht="14">
      <c r="A116" s="37"/>
      <c r="B116" s="38"/>
      <c r="C116" s="39">
        <f t="shared" si="3"/>
        <v>0</v>
      </c>
      <c r="D116" s="40"/>
      <c r="E116" s="40"/>
      <c r="F116" s="40"/>
      <c r="G116" s="40"/>
      <c r="H116" s="41"/>
      <c r="I116" s="42"/>
      <c r="J116" s="40"/>
      <c r="K116" s="44">
        <f t="shared" si="4"/>
        <v>0</v>
      </c>
      <c r="L116" s="40"/>
      <c r="M116" s="43" t="str">
        <f t="shared" si="5"/>
        <v/>
      </c>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row>
    <row r="117" spans="1:64" ht="14">
      <c r="A117" s="37"/>
      <c r="B117" s="38"/>
      <c r="C117" s="39">
        <f t="shared" si="3"/>
        <v>0</v>
      </c>
      <c r="D117" s="40"/>
      <c r="E117" s="40"/>
      <c r="F117" s="40"/>
      <c r="G117" s="40"/>
      <c r="H117" s="41"/>
      <c r="I117" s="42"/>
      <c r="J117" s="40"/>
      <c r="K117" s="44">
        <f t="shared" si="4"/>
        <v>0</v>
      </c>
      <c r="L117" s="40"/>
      <c r="M117" s="43" t="str">
        <f t="shared" si="5"/>
        <v/>
      </c>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row>
    <row r="118" spans="1:64" ht="14">
      <c r="A118" s="37"/>
      <c r="B118" s="38"/>
      <c r="C118" s="39">
        <f t="shared" si="3"/>
        <v>0</v>
      </c>
      <c r="D118" s="40"/>
      <c r="E118" s="40"/>
      <c r="F118" s="40"/>
      <c r="G118" s="40"/>
      <c r="H118" s="41"/>
      <c r="I118" s="42"/>
      <c r="J118" s="40"/>
      <c r="K118" s="44">
        <f t="shared" si="4"/>
        <v>0</v>
      </c>
      <c r="L118" s="40"/>
      <c r="M118" s="43" t="str">
        <f t="shared" si="5"/>
        <v/>
      </c>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row>
    <row r="119" spans="1:64" ht="14">
      <c r="A119" s="37"/>
      <c r="B119" s="38"/>
      <c r="C119" s="39">
        <f t="shared" si="3"/>
        <v>0</v>
      </c>
      <c r="D119" s="40"/>
      <c r="E119" s="40"/>
      <c r="F119" s="40"/>
      <c r="G119" s="40"/>
      <c r="H119" s="41"/>
      <c r="I119" s="42"/>
      <c r="J119" s="40"/>
      <c r="K119" s="44">
        <f t="shared" si="4"/>
        <v>0</v>
      </c>
      <c r="L119" s="40"/>
      <c r="M119" s="43" t="str">
        <f t="shared" si="5"/>
        <v/>
      </c>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row>
    <row r="120" spans="1:64" ht="14">
      <c r="A120" s="37"/>
      <c r="B120" s="38"/>
      <c r="C120" s="39">
        <f t="shared" si="3"/>
        <v>0</v>
      </c>
      <c r="D120" s="40"/>
      <c r="E120" s="40"/>
      <c r="F120" s="40"/>
      <c r="G120" s="40"/>
      <c r="H120" s="41"/>
      <c r="I120" s="42"/>
      <c r="J120" s="40"/>
      <c r="K120" s="44">
        <f t="shared" si="4"/>
        <v>0</v>
      </c>
      <c r="L120" s="40"/>
      <c r="M120" s="43" t="str">
        <f t="shared" si="5"/>
        <v/>
      </c>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row>
    <row r="121" spans="1:64" ht="14">
      <c r="A121" s="37"/>
      <c r="B121" s="38"/>
      <c r="C121" s="39">
        <f t="shared" si="3"/>
        <v>0</v>
      </c>
      <c r="D121" s="40"/>
      <c r="E121" s="40"/>
      <c r="F121" s="40"/>
      <c r="G121" s="40"/>
      <c r="H121" s="41"/>
      <c r="I121" s="42"/>
      <c r="J121" s="40"/>
      <c r="K121" s="44">
        <f t="shared" si="4"/>
        <v>0</v>
      </c>
      <c r="L121" s="40"/>
      <c r="M121" s="43" t="str">
        <f t="shared" si="5"/>
        <v/>
      </c>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row>
    <row r="122" spans="1:64" ht="14">
      <c r="A122" s="37"/>
      <c r="B122" s="38"/>
      <c r="C122" s="39">
        <f t="shared" si="3"/>
        <v>0</v>
      </c>
      <c r="D122" s="40"/>
      <c r="E122" s="40"/>
      <c r="F122" s="40"/>
      <c r="G122" s="40"/>
      <c r="H122" s="41"/>
      <c r="I122" s="42"/>
      <c r="J122" s="40"/>
      <c r="K122" s="44">
        <f t="shared" si="4"/>
        <v>0</v>
      </c>
      <c r="L122" s="40"/>
      <c r="M122" s="43" t="str">
        <f t="shared" si="5"/>
        <v/>
      </c>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row>
    <row r="123" spans="1:64" ht="14">
      <c r="A123" s="37"/>
      <c r="B123" s="38"/>
      <c r="C123" s="39">
        <f t="shared" si="3"/>
        <v>0</v>
      </c>
      <c r="D123" s="40"/>
      <c r="E123" s="40"/>
      <c r="F123" s="40"/>
      <c r="G123" s="40"/>
      <c r="H123" s="41"/>
      <c r="I123" s="42"/>
      <c r="J123" s="40"/>
      <c r="K123" s="44">
        <f t="shared" si="4"/>
        <v>0</v>
      </c>
      <c r="L123" s="40"/>
      <c r="M123" s="43" t="str">
        <f t="shared" si="5"/>
        <v/>
      </c>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row>
    <row r="124" spans="1:64" ht="14">
      <c r="A124" s="37"/>
      <c r="B124" s="38"/>
      <c r="C124" s="39">
        <f t="shared" si="3"/>
        <v>0</v>
      </c>
      <c r="D124" s="40"/>
      <c r="E124" s="40"/>
      <c r="F124" s="40"/>
      <c r="G124" s="40"/>
      <c r="H124" s="41"/>
      <c r="I124" s="42"/>
      <c r="J124" s="40"/>
      <c r="K124" s="44">
        <f t="shared" si="4"/>
        <v>0</v>
      </c>
      <c r="L124" s="40"/>
      <c r="M124" s="43" t="str">
        <f t="shared" si="5"/>
        <v/>
      </c>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row>
    <row r="125" spans="1:64" ht="14">
      <c r="A125" s="37"/>
      <c r="B125" s="38"/>
      <c r="C125" s="39">
        <f t="shared" si="3"/>
        <v>0</v>
      </c>
      <c r="D125" s="40"/>
      <c r="E125" s="40"/>
      <c r="F125" s="40"/>
      <c r="G125" s="40"/>
      <c r="H125" s="41"/>
      <c r="I125" s="42"/>
      <c r="J125" s="40"/>
      <c r="K125" s="44">
        <f t="shared" si="4"/>
        <v>0</v>
      </c>
      <c r="L125" s="40"/>
      <c r="M125" s="43" t="str">
        <f t="shared" si="5"/>
        <v/>
      </c>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row>
    <row r="126" spans="1:64" ht="14">
      <c r="A126" s="37"/>
      <c r="B126" s="38"/>
      <c r="C126" s="39">
        <f t="shared" si="3"/>
        <v>0</v>
      </c>
      <c r="D126" s="40"/>
      <c r="E126" s="40"/>
      <c r="F126" s="40"/>
      <c r="G126" s="40"/>
      <c r="H126" s="41"/>
      <c r="I126" s="42"/>
      <c r="J126" s="40"/>
      <c r="K126" s="44">
        <f t="shared" si="4"/>
        <v>0</v>
      </c>
      <c r="L126" s="40"/>
      <c r="M126" s="43" t="str">
        <f t="shared" si="5"/>
        <v/>
      </c>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row>
    <row r="127" spans="1:64" ht="14">
      <c r="A127" s="37"/>
      <c r="B127" s="38"/>
      <c r="C127" s="39">
        <f t="shared" si="3"/>
        <v>0</v>
      </c>
      <c r="D127" s="40"/>
      <c r="E127" s="40"/>
      <c r="F127" s="40"/>
      <c r="G127" s="40"/>
      <c r="H127" s="41"/>
      <c r="I127" s="42"/>
      <c r="J127" s="40"/>
      <c r="K127" s="44">
        <f t="shared" si="4"/>
        <v>0</v>
      </c>
      <c r="L127" s="40"/>
      <c r="M127" s="43" t="str">
        <f t="shared" si="5"/>
        <v/>
      </c>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row>
    <row r="128" spans="1:64" ht="14">
      <c r="A128" s="37"/>
      <c r="B128" s="38"/>
      <c r="C128" s="39">
        <f t="shared" si="3"/>
        <v>0</v>
      </c>
      <c r="D128" s="40"/>
      <c r="E128" s="40"/>
      <c r="F128" s="40"/>
      <c r="G128" s="40"/>
      <c r="H128" s="41"/>
      <c r="I128" s="42"/>
      <c r="J128" s="40"/>
      <c r="K128" s="44">
        <f t="shared" si="4"/>
        <v>0</v>
      </c>
      <c r="L128" s="40"/>
      <c r="M128" s="43" t="str">
        <f t="shared" si="5"/>
        <v/>
      </c>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row>
    <row r="129" spans="1:64" ht="14">
      <c r="A129" s="37"/>
      <c r="B129" s="38"/>
      <c r="C129" s="39">
        <f t="shared" si="3"/>
        <v>0</v>
      </c>
      <c r="D129" s="40"/>
      <c r="E129" s="40"/>
      <c r="F129" s="40"/>
      <c r="G129" s="40"/>
      <c r="H129" s="41"/>
      <c r="I129" s="42"/>
      <c r="J129" s="40"/>
      <c r="K129" s="44">
        <f t="shared" si="4"/>
        <v>0</v>
      </c>
      <c r="L129" s="40"/>
      <c r="M129" s="43" t="str">
        <f t="shared" si="5"/>
        <v/>
      </c>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row>
    <row r="130" spans="1:64" ht="14">
      <c r="A130" s="37"/>
      <c r="B130" s="38"/>
      <c r="C130" s="39">
        <f t="shared" si="3"/>
        <v>0</v>
      </c>
      <c r="D130" s="40"/>
      <c r="E130" s="40"/>
      <c r="F130" s="40"/>
      <c r="G130" s="40"/>
      <c r="H130" s="41"/>
      <c r="I130" s="42"/>
      <c r="J130" s="40"/>
      <c r="K130" s="44">
        <f t="shared" si="4"/>
        <v>0</v>
      </c>
      <c r="L130" s="40"/>
      <c r="M130" s="43" t="str">
        <f t="shared" si="5"/>
        <v/>
      </c>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row>
    <row r="131" spans="1:64" ht="14">
      <c r="A131" s="37"/>
      <c r="B131" s="38"/>
      <c r="C131" s="39">
        <f t="shared" si="3"/>
        <v>0</v>
      </c>
      <c r="D131" s="40"/>
      <c r="E131" s="40"/>
      <c r="F131" s="40"/>
      <c r="G131" s="40"/>
      <c r="H131" s="41"/>
      <c r="I131" s="42"/>
      <c r="J131" s="40"/>
      <c r="K131" s="44">
        <f t="shared" si="4"/>
        <v>0</v>
      </c>
      <c r="L131" s="40"/>
      <c r="M131" s="43" t="str">
        <f t="shared" si="5"/>
        <v/>
      </c>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row>
    <row r="132" spans="1:64" ht="14">
      <c r="A132" s="37"/>
      <c r="B132" s="38"/>
      <c r="C132" s="39">
        <f t="shared" si="3"/>
        <v>0</v>
      </c>
      <c r="D132" s="40"/>
      <c r="E132" s="40"/>
      <c r="F132" s="40"/>
      <c r="G132" s="40"/>
      <c r="H132" s="41"/>
      <c r="I132" s="42"/>
      <c r="J132" s="40"/>
      <c r="K132" s="44">
        <f t="shared" si="4"/>
        <v>0</v>
      </c>
      <c r="L132" s="40"/>
      <c r="M132" s="43" t="str">
        <f t="shared" si="5"/>
        <v/>
      </c>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row>
    <row r="133" spans="1:64" ht="14">
      <c r="A133" s="37"/>
      <c r="B133" s="38"/>
      <c r="C133" s="39">
        <f t="shared" si="3"/>
        <v>0</v>
      </c>
      <c r="D133" s="40"/>
      <c r="E133" s="40"/>
      <c r="F133" s="40"/>
      <c r="G133" s="40"/>
      <c r="H133" s="41"/>
      <c r="I133" s="42"/>
      <c r="J133" s="40"/>
      <c r="K133" s="44">
        <f t="shared" si="4"/>
        <v>0</v>
      </c>
      <c r="L133" s="40"/>
      <c r="M133" s="43" t="str">
        <f t="shared" si="5"/>
        <v/>
      </c>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row>
    <row r="134" spans="1:64" ht="14">
      <c r="A134" s="37"/>
      <c r="B134" s="38"/>
      <c r="C134" s="39">
        <f t="shared" si="3"/>
        <v>0</v>
      </c>
      <c r="D134" s="40"/>
      <c r="E134" s="40"/>
      <c r="F134" s="40"/>
      <c r="G134" s="40"/>
      <c r="H134" s="41"/>
      <c r="I134" s="42"/>
      <c r="J134" s="40"/>
      <c r="K134" s="44">
        <f t="shared" si="4"/>
        <v>0</v>
      </c>
      <c r="L134" s="40"/>
      <c r="M134" s="43" t="str">
        <f t="shared" si="5"/>
        <v/>
      </c>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row>
    <row r="135" spans="1:64" ht="14">
      <c r="A135" s="37"/>
      <c r="B135" s="38"/>
      <c r="C135" s="39">
        <f t="shared" si="3"/>
        <v>0</v>
      </c>
      <c r="D135" s="40"/>
      <c r="E135" s="40"/>
      <c r="F135" s="40"/>
      <c r="G135" s="40"/>
      <c r="H135" s="41"/>
      <c r="I135" s="42"/>
      <c r="J135" s="40"/>
      <c r="K135" s="44">
        <f t="shared" si="4"/>
        <v>0</v>
      </c>
      <c r="L135" s="40"/>
      <c r="M135" s="43" t="str">
        <f t="shared" si="5"/>
        <v/>
      </c>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row>
    <row r="136" spans="1:64" ht="14">
      <c r="A136" s="37"/>
      <c r="B136" s="38"/>
      <c r="C136" s="39">
        <f t="shared" si="3"/>
        <v>0</v>
      </c>
      <c r="D136" s="40"/>
      <c r="E136" s="40"/>
      <c r="F136" s="40"/>
      <c r="G136" s="40"/>
      <c r="H136" s="41"/>
      <c r="I136" s="42"/>
      <c r="J136" s="40"/>
      <c r="K136" s="44">
        <f t="shared" si="4"/>
        <v>0</v>
      </c>
      <c r="L136" s="40"/>
      <c r="M136" s="43" t="str">
        <f t="shared" si="5"/>
        <v/>
      </c>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row>
    <row r="137" spans="1:64" ht="14">
      <c r="A137" s="37"/>
      <c r="B137" s="38"/>
      <c r="C137" s="39">
        <f t="shared" si="3"/>
        <v>0</v>
      </c>
      <c r="D137" s="40"/>
      <c r="E137" s="40"/>
      <c r="F137" s="40"/>
      <c r="G137" s="40"/>
      <c r="H137" s="41"/>
      <c r="I137" s="42"/>
      <c r="J137" s="40"/>
      <c r="K137" s="44">
        <f t="shared" si="4"/>
        <v>0</v>
      </c>
      <c r="L137" s="40"/>
      <c r="M137" s="43" t="str">
        <f t="shared" si="5"/>
        <v/>
      </c>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row>
    <row r="138" spans="1:64" ht="14">
      <c r="A138" s="37"/>
      <c r="B138" s="38"/>
      <c r="C138" s="39">
        <f t="shared" ref="C138:C201" si="6">IF($B138&lt;&gt;"",VLOOKUP($B138,Matriz_INM,2,0),0)</f>
        <v>0</v>
      </c>
      <c r="D138" s="40"/>
      <c r="E138" s="40"/>
      <c r="F138" s="40"/>
      <c r="G138" s="40"/>
      <c r="H138" s="41"/>
      <c r="I138" s="42"/>
      <c r="J138" s="40"/>
      <c r="K138" s="44">
        <f t="shared" ref="K138:K201" si="7">IF(M138="%",(IF($J138="EE",4,IF($J138="CE",4,IF($J138="SE",5,IF($J138="ALI",7,IF($J138="AIE",5,0))))))*$C138,$C138*$I138)</f>
        <v>0</v>
      </c>
      <c r="L138" s="40"/>
      <c r="M138" s="43" t="str">
        <f t="shared" ref="M138:M201" si="8">IFERROR(VLOOKUP($B138,Matriz_INM,3,0),"")</f>
        <v/>
      </c>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row>
    <row r="139" spans="1:64" ht="14">
      <c r="A139" s="37"/>
      <c r="B139" s="38"/>
      <c r="C139" s="39">
        <f t="shared" si="6"/>
        <v>0</v>
      </c>
      <c r="D139" s="40"/>
      <c r="E139" s="40"/>
      <c r="F139" s="40"/>
      <c r="G139" s="40"/>
      <c r="H139" s="41"/>
      <c r="I139" s="42"/>
      <c r="J139" s="40"/>
      <c r="K139" s="44">
        <f t="shared" si="7"/>
        <v>0</v>
      </c>
      <c r="L139" s="40"/>
      <c r="M139" s="43" t="str">
        <f t="shared" si="8"/>
        <v/>
      </c>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row>
    <row r="140" spans="1:64" ht="14">
      <c r="A140" s="37"/>
      <c r="B140" s="38"/>
      <c r="C140" s="39">
        <f t="shared" si="6"/>
        <v>0</v>
      </c>
      <c r="D140" s="40"/>
      <c r="E140" s="40"/>
      <c r="F140" s="40"/>
      <c r="G140" s="40"/>
      <c r="H140" s="41"/>
      <c r="I140" s="42"/>
      <c r="J140" s="40"/>
      <c r="K140" s="44">
        <f t="shared" si="7"/>
        <v>0</v>
      </c>
      <c r="L140" s="40"/>
      <c r="M140" s="43" t="str">
        <f t="shared" si="8"/>
        <v/>
      </c>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row>
    <row r="141" spans="1:64" ht="14">
      <c r="A141" s="37"/>
      <c r="B141" s="38"/>
      <c r="C141" s="39">
        <f t="shared" si="6"/>
        <v>0</v>
      </c>
      <c r="D141" s="40"/>
      <c r="E141" s="40"/>
      <c r="F141" s="40"/>
      <c r="G141" s="40"/>
      <c r="H141" s="41"/>
      <c r="I141" s="42"/>
      <c r="J141" s="40"/>
      <c r="K141" s="44">
        <f t="shared" si="7"/>
        <v>0</v>
      </c>
      <c r="L141" s="40"/>
      <c r="M141" s="43" t="str">
        <f t="shared" si="8"/>
        <v/>
      </c>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row>
    <row r="142" spans="1:64" ht="14">
      <c r="A142" s="37"/>
      <c r="B142" s="38"/>
      <c r="C142" s="39">
        <f t="shared" si="6"/>
        <v>0</v>
      </c>
      <c r="D142" s="40"/>
      <c r="E142" s="40"/>
      <c r="F142" s="40"/>
      <c r="G142" s="40"/>
      <c r="H142" s="41"/>
      <c r="I142" s="42"/>
      <c r="J142" s="40"/>
      <c r="K142" s="44">
        <f t="shared" si="7"/>
        <v>0</v>
      </c>
      <c r="L142" s="40"/>
      <c r="M142" s="43" t="str">
        <f t="shared" si="8"/>
        <v/>
      </c>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row>
    <row r="143" spans="1:64" ht="14">
      <c r="A143" s="37"/>
      <c r="B143" s="38"/>
      <c r="C143" s="39">
        <f t="shared" si="6"/>
        <v>0</v>
      </c>
      <c r="D143" s="40"/>
      <c r="E143" s="40"/>
      <c r="F143" s="40"/>
      <c r="G143" s="40"/>
      <c r="H143" s="41"/>
      <c r="I143" s="42"/>
      <c r="J143" s="40"/>
      <c r="K143" s="44">
        <f t="shared" si="7"/>
        <v>0</v>
      </c>
      <c r="L143" s="40"/>
      <c r="M143" s="43" t="str">
        <f t="shared" si="8"/>
        <v/>
      </c>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row>
    <row r="144" spans="1:64" ht="14">
      <c r="A144" s="37"/>
      <c r="B144" s="38"/>
      <c r="C144" s="39">
        <f t="shared" si="6"/>
        <v>0</v>
      </c>
      <c r="D144" s="40"/>
      <c r="E144" s="40"/>
      <c r="F144" s="40"/>
      <c r="G144" s="40"/>
      <c r="H144" s="41"/>
      <c r="I144" s="42"/>
      <c r="J144" s="40"/>
      <c r="K144" s="44">
        <f t="shared" si="7"/>
        <v>0</v>
      </c>
      <c r="L144" s="40"/>
      <c r="M144" s="43" t="str">
        <f t="shared" si="8"/>
        <v/>
      </c>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row>
    <row r="145" spans="1:64" ht="14">
      <c r="A145" s="37"/>
      <c r="B145" s="38"/>
      <c r="C145" s="39">
        <f t="shared" si="6"/>
        <v>0</v>
      </c>
      <c r="D145" s="40"/>
      <c r="E145" s="40"/>
      <c r="F145" s="40"/>
      <c r="G145" s="40"/>
      <c r="H145" s="41"/>
      <c r="I145" s="42"/>
      <c r="J145" s="40"/>
      <c r="K145" s="44">
        <f t="shared" si="7"/>
        <v>0</v>
      </c>
      <c r="L145" s="40"/>
      <c r="M145" s="43" t="str">
        <f t="shared" si="8"/>
        <v/>
      </c>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row>
    <row r="146" spans="1:64" ht="14">
      <c r="A146" s="37"/>
      <c r="B146" s="38"/>
      <c r="C146" s="39">
        <f t="shared" si="6"/>
        <v>0</v>
      </c>
      <c r="D146" s="40"/>
      <c r="E146" s="40"/>
      <c r="F146" s="40"/>
      <c r="G146" s="40"/>
      <c r="H146" s="41"/>
      <c r="I146" s="42"/>
      <c r="J146" s="40"/>
      <c r="K146" s="44">
        <f t="shared" si="7"/>
        <v>0</v>
      </c>
      <c r="L146" s="40"/>
      <c r="M146" s="43" t="str">
        <f t="shared" si="8"/>
        <v/>
      </c>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row>
    <row r="147" spans="1:64" ht="14">
      <c r="A147" s="37"/>
      <c r="B147" s="38"/>
      <c r="C147" s="39">
        <f t="shared" si="6"/>
        <v>0</v>
      </c>
      <c r="D147" s="40"/>
      <c r="E147" s="40"/>
      <c r="F147" s="40"/>
      <c r="G147" s="40"/>
      <c r="H147" s="41"/>
      <c r="I147" s="42"/>
      <c r="J147" s="40"/>
      <c r="K147" s="44">
        <f t="shared" si="7"/>
        <v>0</v>
      </c>
      <c r="L147" s="40"/>
      <c r="M147" s="43" t="str">
        <f t="shared" si="8"/>
        <v/>
      </c>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row>
    <row r="148" spans="1:64" ht="14">
      <c r="A148" s="37"/>
      <c r="B148" s="38"/>
      <c r="C148" s="39">
        <f t="shared" si="6"/>
        <v>0</v>
      </c>
      <c r="D148" s="40"/>
      <c r="E148" s="40"/>
      <c r="F148" s="40"/>
      <c r="G148" s="40"/>
      <c r="H148" s="41"/>
      <c r="I148" s="42"/>
      <c r="J148" s="40"/>
      <c r="K148" s="44">
        <f t="shared" si="7"/>
        <v>0</v>
      </c>
      <c r="L148" s="40"/>
      <c r="M148" s="43" t="str">
        <f t="shared" si="8"/>
        <v/>
      </c>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row>
    <row r="149" spans="1:64" ht="14">
      <c r="A149" s="37"/>
      <c r="B149" s="38"/>
      <c r="C149" s="39">
        <f t="shared" si="6"/>
        <v>0</v>
      </c>
      <c r="D149" s="40"/>
      <c r="E149" s="40"/>
      <c r="F149" s="40"/>
      <c r="G149" s="40"/>
      <c r="H149" s="41"/>
      <c r="I149" s="42"/>
      <c r="J149" s="40"/>
      <c r="K149" s="44">
        <f t="shared" si="7"/>
        <v>0</v>
      </c>
      <c r="L149" s="40"/>
      <c r="M149" s="43" t="str">
        <f t="shared" si="8"/>
        <v/>
      </c>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row>
    <row r="150" spans="1:64" ht="14">
      <c r="A150" s="37"/>
      <c r="B150" s="38"/>
      <c r="C150" s="39">
        <f t="shared" si="6"/>
        <v>0</v>
      </c>
      <c r="D150" s="40"/>
      <c r="E150" s="40"/>
      <c r="F150" s="40"/>
      <c r="G150" s="40"/>
      <c r="H150" s="41"/>
      <c r="I150" s="42"/>
      <c r="J150" s="40"/>
      <c r="K150" s="44">
        <f t="shared" si="7"/>
        <v>0</v>
      </c>
      <c r="L150" s="40"/>
      <c r="M150" s="43" t="str">
        <f t="shared" si="8"/>
        <v/>
      </c>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row>
    <row r="151" spans="1:64" ht="14">
      <c r="A151" s="37"/>
      <c r="B151" s="38"/>
      <c r="C151" s="39">
        <f t="shared" si="6"/>
        <v>0</v>
      </c>
      <c r="D151" s="40"/>
      <c r="E151" s="40"/>
      <c r="F151" s="40"/>
      <c r="G151" s="40"/>
      <c r="H151" s="41"/>
      <c r="I151" s="42"/>
      <c r="J151" s="40"/>
      <c r="K151" s="44">
        <f t="shared" si="7"/>
        <v>0</v>
      </c>
      <c r="L151" s="40"/>
      <c r="M151" s="43" t="str">
        <f t="shared" si="8"/>
        <v/>
      </c>
      <c r="N151" s="36"/>
      <c r="O151" s="36"/>
      <c r="P151" s="47"/>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row>
    <row r="152" spans="1:64" ht="14">
      <c r="A152" s="37"/>
      <c r="B152" s="38"/>
      <c r="C152" s="39">
        <f t="shared" si="6"/>
        <v>0</v>
      </c>
      <c r="D152" s="40"/>
      <c r="E152" s="40"/>
      <c r="F152" s="40"/>
      <c r="G152" s="40"/>
      <c r="H152" s="41"/>
      <c r="I152" s="42"/>
      <c r="J152" s="40"/>
      <c r="K152" s="44">
        <f t="shared" si="7"/>
        <v>0</v>
      </c>
      <c r="L152" s="40"/>
      <c r="M152" s="43" t="str">
        <f t="shared" si="8"/>
        <v/>
      </c>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row>
    <row r="153" spans="1:64" ht="14">
      <c r="A153" s="37"/>
      <c r="B153" s="38"/>
      <c r="C153" s="39">
        <f t="shared" si="6"/>
        <v>0</v>
      </c>
      <c r="D153" s="40"/>
      <c r="E153" s="40"/>
      <c r="F153" s="40"/>
      <c r="G153" s="40"/>
      <c r="H153" s="41"/>
      <c r="I153" s="42"/>
      <c r="J153" s="40"/>
      <c r="K153" s="44">
        <f t="shared" si="7"/>
        <v>0</v>
      </c>
      <c r="L153" s="40"/>
      <c r="M153" s="43" t="str">
        <f t="shared" si="8"/>
        <v/>
      </c>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row>
    <row r="154" spans="1:64" ht="14">
      <c r="A154" s="37"/>
      <c r="B154" s="38"/>
      <c r="C154" s="39">
        <f t="shared" si="6"/>
        <v>0</v>
      </c>
      <c r="D154" s="40"/>
      <c r="E154" s="40"/>
      <c r="F154" s="40"/>
      <c r="G154" s="40"/>
      <c r="H154" s="41"/>
      <c r="I154" s="42"/>
      <c r="J154" s="40"/>
      <c r="K154" s="44">
        <f t="shared" si="7"/>
        <v>0</v>
      </c>
      <c r="L154" s="40"/>
      <c r="M154" s="43" t="str">
        <f t="shared" si="8"/>
        <v/>
      </c>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row>
    <row r="155" spans="1:64" ht="14">
      <c r="A155" s="37"/>
      <c r="B155" s="38"/>
      <c r="C155" s="39">
        <f t="shared" si="6"/>
        <v>0</v>
      </c>
      <c r="D155" s="40"/>
      <c r="E155" s="40"/>
      <c r="F155" s="40"/>
      <c r="G155" s="40"/>
      <c r="H155" s="41"/>
      <c r="I155" s="42"/>
      <c r="J155" s="40"/>
      <c r="K155" s="44">
        <f t="shared" si="7"/>
        <v>0</v>
      </c>
      <c r="L155" s="40"/>
      <c r="M155" s="43" t="str">
        <f t="shared" si="8"/>
        <v/>
      </c>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row>
    <row r="156" spans="1:64" ht="14">
      <c r="A156" s="37"/>
      <c r="B156" s="38"/>
      <c r="C156" s="39">
        <f t="shared" si="6"/>
        <v>0</v>
      </c>
      <c r="D156" s="40"/>
      <c r="E156" s="40"/>
      <c r="F156" s="40"/>
      <c r="G156" s="40"/>
      <c r="H156" s="41"/>
      <c r="I156" s="42"/>
      <c r="J156" s="40"/>
      <c r="K156" s="44">
        <f t="shared" si="7"/>
        <v>0</v>
      </c>
      <c r="L156" s="40"/>
      <c r="M156" s="43" t="str">
        <f t="shared" si="8"/>
        <v/>
      </c>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row>
    <row r="157" spans="1:64" ht="14">
      <c r="A157" s="37"/>
      <c r="B157" s="38"/>
      <c r="C157" s="39">
        <f t="shared" si="6"/>
        <v>0</v>
      </c>
      <c r="D157" s="40"/>
      <c r="E157" s="40"/>
      <c r="F157" s="40"/>
      <c r="G157" s="40"/>
      <c r="H157" s="41"/>
      <c r="I157" s="42"/>
      <c r="J157" s="40"/>
      <c r="K157" s="44">
        <f t="shared" si="7"/>
        <v>0</v>
      </c>
      <c r="L157" s="40"/>
      <c r="M157" s="43" t="str">
        <f t="shared" si="8"/>
        <v/>
      </c>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row>
    <row r="158" spans="1:64" ht="14">
      <c r="A158" s="37"/>
      <c r="B158" s="38"/>
      <c r="C158" s="39">
        <f t="shared" si="6"/>
        <v>0</v>
      </c>
      <c r="D158" s="40"/>
      <c r="E158" s="40"/>
      <c r="F158" s="40"/>
      <c r="G158" s="40"/>
      <c r="H158" s="41"/>
      <c r="I158" s="42"/>
      <c r="J158" s="40"/>
      <c r="K158" s="44">
        <f t="shared" si="7"/>
        <v>0</v>
      </c>
      <c r="L158" s="40"/>
      <c r="M158" s="43" t="str">
        <f t="shared" si="8"/>
        <v/>
      </c>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row>
    <row r="159" spans="1:64" ht="14">
      <c r="A159" s="37"/>
      <c r="B159" s="38"/>
      <c r="C159" s="39">
        <f t="shared" si="6"/>
        <v>0</v>
      </c>
      <c r="D159" s="40"/>
      <c r="E159" s="40"/>
      <c r="F159" s="40"/>
      <c r="G159" s="40"/>
      <c r="H159" s="41"/>
      <c r="I159" s="42"/>
      <c r="J159" s="40"/>
      <c r="K159" s="44">
        <f t="shared" si="7"/>
        <v>0</v>
      </c>
      <c r="L159" s="40"/>
      <c r="M159" s="43" t="str">
        <f t="shared" si="8"/>
        <v/>
      </c>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row>
    <row r="160" spans="1:64" ht="14">
      <c r="A160" s="37"/>
      <c r="B160" s="38"/>
      <c r="C160" s="39">
        <f t="shared" si="6"/>
        <v>0</v>
      </c>
      <c r="D160" s="40"/>
      <c r="E160" s="40"/>
      <c r="F160" s="40"/>
      <c r="G160" s="40"/>
      <c r="H160" s="41"/>
      <c r="I160" s="42"/>
      <c r="J160" s="40"/>
      <c r="K160" s="44">
        <f t="shared" si="7"/>
        <v>0</v>
      </c>
      <c r="L160" s="40"/>
      <c r="M160" s="43" t="str">
        <f t="shared" si="8"/>
        <v/>
      </c>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row>
    <row r="161" spans="1:64" ht="14">
      <c r="A161" s="37"/>
      <c r="B161" s="38"/>
      <c r="C161" s="39">
        <f t="shared" si="6"/>
        <v>0</v>
      </c>
      <c r="D161" s="40"/>
      <c r="E161" s="40"/>
      <c r="F161" s="40"/>
      <c r="G161" s="40"/>
      <c r="H161" s="41"/>
      <c r="I161" s="42"/>
      <c r="J161" s="40"/>
      <c r="K161" s="44">
        <f t="shared" si="7"/>
        <v>0</v>
      </c>
      <c r="L161" s="40"/>
      <c r="M161" s="43" t="str">
        <f t="shared" si="8"/>
        <v/>
      </c>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row>
    <row r="162" spans="1:64" ht="14">
      <c r="A162" s="37"/>
      <c r="B162" s="38"/>
      <c r="C162" s="39">
        <f t="shared" si="6"/>
        <v>0</v>
      </c>
      <c r="D162" s="40"/>
      <c r="E162" s="40"/>
      <c r="F162" s="40"/>
      <c r="G162" s="40"/>
      <c r="H162" s="41"/>
      <c r="I162" s="42"/>
      <c r="J162" s="40"/>
      <c r="K162" s="44">
        <f t="shared" si="7"/>
        <v>0</v>
      </c>
      <c r="L162" s="40"/>
      <c r="M162" s="43" t="str">
        <f t="shared" si="8"/>
        <v/>
      </c>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row>
    <row r="163" spans="1:64" ht="14">
      <c r="A163" s="37"/>
      <c r="B163" s="38"/>
      <c r="C163" s="39">
        <f t="shared" si="6"/>
        <v>0</v>
      </c>
      <c r="D163" s="40"/>
      <c r="E163" s="40"/>
      <c r="F163" s="40"/>
      <c r="G163" s="40"/>
      <c r="H163" s="41"/>
      <c r="I163" s="42"/>
      <c r="J163" s="40"/>
      <c r="K163" s="44">
        <f t="shared" si="7"/>
        <v>0</v>
      </c>
      <c r="L163" s="40"/>
      <c r="M163" s="43" t="str">
        <f t="shared" si="8"/>
        <v/>
      </c>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row>
    <row r="164" spans="1:64" ht="14">
      <c r="A164" s="37"/>
      <c r="B164" s="38"/>
      <c r="C164" s="39">
        <f t="shared" si="6"/>
        <v>0</v>
      </c>
      <c r="D164" s="40"/>
      <c r="E164" s="40"/>
      <c r="F164" s="40"/>
      <c r="G164" s="40"/>
      <c r="H164" s="41"/>
      <c r="I164" s="42"/>
      <c r="J164" s="40"/>
      <c r="K164" s="44">
        <f t="shared" si="7"/>
        <v>0</v>
      </c>
      <c r="L164" s="40"/>
      <c r="M164" s="43" t="str">
        <f t="shared" si="8"/>
        <v/>
      </c>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row>
    <row r="165" spans="1:64" ht="14">
      <c r="A165" s="37"/>
      <c r="B165" s="38"/>
      <c r="C165" s="39">
        <f t="shared" si="6"/>
        <v>0</v>
      </c>
      <c r="D165" s="40"/>
      <c r="E165" s="40"/>
      <c r="F165" s="40"/>
      <c r="G165" s="40"/>
      <c r="H165" s="41"/>
      <c r="I165" s="42"/>
      <c r="J165" s="40"/>
      <c r="K165" s="44">
        <f t="shared" si="7"/>
        <v>0</v>
      </c>
      <c r="L165" s="40"/>
      <c r="M165" s="43" t="str">
        <f t="shared" si="8"/>
        <v/>
      </c>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row>
    <row r="166" spans="1:64" ht="14">
      <c r="A166" s="37"/>
      <c r="B166" s="38"/>
      <c r="C166" s="39">
        <f t="shared" si="6"/>
        <v>0</v>
      </c>
      <c r="D166" s="40"/>
      <c r="E166" s="40"/>
      <c r="F166" s="40"/>
      <c r="G166" s="40"/>
      <c r="H166" s="41"/>
      <c r="I166" s="42"/>
      <c r="J166" s="40"/>
      <c r="K166" s="44">
        <f t="shared" si="7"/>
        <v>0</v>
      </c>
      <c r="L166" s="40"/>
      <c r="M166" s="43" t="str">
        <f t="shared" si="8"/>
        <v/>
      </c>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row>
    <row r="167" spans="1:64" ht="14">
      <c r="A167" s="37"/>
      <c r="B167" s="38"/>
      <c r="C167" s="39">
        <f t="shared" si="6"/>
        <v>0</v>
      </c>
      <c r="D167" s="40"/>
      <c r="E167" s="40"/>
      <c r="F167" s="40"/>
      <c r="G167" s="40"/>
      <c r="H167" s="41"/>
      <c r="I167" s="42"/>
      <c r="J167" s="40"/>
      <c r="K167" s="44">
        <f t="shared" si="7"/>
        <v>0</v>
      </c>
      <c r="L167" s="40"/>
      <c r="M167" s="43" t="str">
        <f t="shared" si="8"/>
        <v/>
      </c>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row>
    <row r="168" spans="1:64" ht="14">
      <c r="A168" s="37"/>
      <c r="B168" s="38"/>
      <c r="C168" s="39">
        <f t="shared" si="6"/>
        <v>0</v>
      </c>
      <c r="D168" s="40"/>
      <c r="E168" s="40"/>
      <c r="F168" s="40"/>
      <c r="G168" s="40"/>
      <c r="H168" s="41"/>
      <c r="I168" s="42"/>
      <c r="J168" s="40"/>
      <c r="K168" s="44">
        <f t="shared" si="7"/>
        <v>0</v>
      </c>
      <c r="L168" s="40"/>
      <c r="M168" s="43" t="str">
        <f t="shared" si="8"/>
        <v/>
      </c>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row>
    <row r="169" spans="1:64" ht="14">
      <c r="A169" s="37"/>
      <c r="B169" s="38"/>
      <c r="C169" s="39">
        <f t="shared" si="6"/>
        <v>0</v>
      </c>
      <c r="D169" s="40"/>
      <c r="E169" s="40"/>
      <c r="F169" s="40"/>
      <c r="G169" s="40"/>
      <c r="H169" s="41"/>
      <c r="I169" s="42"/>
      <c r="J169" s="40"/>
      <c r="K169" s="44">
        <f t="shared" si="7"/>
        <v>0</v>
      </c>
      <c r="L169" s="40"/>
      <c r="M169" s="43" t="str">
        <f t="shared" si="8"/>
        <v/>
      </c>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row>
    <row r="170" spans="1:64" ht="14">
      <c r="A170" s="37"/>
      <c r="B170" s="38"/>
      <c r="C170" s="39">
        <f t="shared" si="6"/>
        <v>0</v>
      </c>
      <c r="D170" s="40"/>
      <c r="E170" s="40"/>
      <c r="F170" s="40"/>
      <c r="G170" s="40"/>
      <c r="H170" s="41"/>
      <c r="I170" s="42"/>
      <c r="J170" s="40"/>
      <c r="K170" s="44">
        <f t="shared" si="7"/>
        <v>0</v>
      </c>
      <c r="L170" s="40"/>
      <c r="M170" s="43" t="str">
        <f t="shared" si="8"/>
        <v/>
      </c>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row>
    <row r="171" spans="1:64" ht="14">
      <c r="A171" s="37"/>
      <c r="B171" s="38"/>
      <c r="C171" s="39">
        <f t="shared" si="6"/>
        <v>0</v>
      </c>
      <c r="D171" s="40"/>
      <c r="E171" s="40"/>
      <c r="F171" s="40"/>
      <c r="G171" s="40"/>
      <c r="H171" s="41"/>
      <c r="I171" s="42"/>
      <c r="J171" s="40"/>
      <c r="K171" s="44">
        <f t="shared" si="7"/>
        <v>0</v>
      </c>
      <c r="L171" s="40"/>
      <c r="M171" s="43" t="str">
        <f t="shared" si="8"/>
        <v/>
      </c>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row>
    <row r="172" spans="1:64" ht="14">
      <c r="A172" s="37"/>
      <c r="B172" s="38"/>
      <c r="C172" s="39">
        <f t="shared" si="6"/>
        <v>0</v>
      </c>
      <c r="D172" s="40"/>
      <c r="E172" s="40"/>
      <c r="F172" s="40"/>
      <c r="G172" s="40"/>
      <c r="H172" s="41"/>
      <c r="I172" s="42"/>
      <c r="J172" s="40"/>
      <c r="K172" s="44">
        <f t="shared" si="7"/>
        <v>0</v>
      </c>
      <c r="L172" s="40"/>
      <c r="M172" s="43" t="str">
        <f t="shared" si="8"/>
        <v/>
      </c>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row>
    <row r="173" spans="1:64" ht="14">
      <c r="A173" s="37"/>
      <c r="B173" s="38"/>
      <c r="C173" s="39">
        <f t="shared" si="6"/>
        <v>0</v>
      </c>
      <c r="D173" s="40"/>
      <c r="E173" s="40"/>
      <c r="F173" s="40"/>
      <c r="G173" s="40"/>
      <c r="H173" s="41"/>
      <c r="I173" s="42"/>
      <c r="J173" s="40"/>
      <c r="K173" s="44">
        <f t="shared" si="7"/>
        <v>0</v>
      </c>
      <c r="L173" s="40"/>
      <c r="M173" s="43" t="str">
        <f t="shared" si="8"/>
        <v/>
      </c>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row>
    <row r="174" spans="1:64" ht="14">
      <c r="A174" s="37"/>
      <c r="B174" s="38"/>
      <c r="C174" s="39">
        <f t="shared" si="6"/>
        <v>0</v>
      </c>
      <c r="D174" s="40"/>
      <c r="E174" s="40"/>
      <c r="F174" s="40"/>
      <c r="G174" s="40"/>
      <c r="H174" s="41"/>
      <c r="I174" s="42"/>
      <c r="J174" s="40"/>
      <c r="K174" s="44">
        <f t="shared" si="7"/>
        <v>0</v>
      </c>
      <c r="L174" s="40"/>
      <c r="M174" s="43" t="str">
        <f t="shared" si="8"/>
        <v/>
      </c>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row>
    <row r="175" spans="1:64" ht="14">
      <c r="A175" s="37"/>
      <c r="B175" s="38"/>
      <c r="C175" s="39">
        <f t="shared" si="6"/>
        <v>0</v>
      </c>
      <c r="D175" s="40"/>
      <c r="E175" s="40"/>
      <c r="F175" s="40"/>
      <c r="G175" s="40"/>
      <c r="H175" s="41"/>
      <c r="I175" s="42"/>
      <c r="J175" s="40"/>
      <c r="K175" s="44">
        <f t="shared" si="7"/>
        <v>0</v>
      </c>
      <c r="L175" s="40"/>
      <c r="M175" s="43" t="str">
        <f t="shared" si="8"/>
        <v/>
      </c>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row>
    <row r="176" spans="1:64" ht="14">
      <c r="A176" s="37"/>
      <c r="B176" s="38"/>
      <c r="C176" s="39">
        <f t="shared" si="6"/>
        <v>0</v>
      </c>
      <c r="D176" s="40"/>
      <c r="E176" s="40"/>
      <c r="F176" s="40"/>
      <c r="G176" s="40"/>
      <c r="H176" s="41"/>
      <c r="I176" s="42"/>
      <c r="J176" s="40"/>
      <c r="K176" s="44">
        <f t="shared" si="7"/>
        <v>0</v>
      </c>
      <c r="L176" s="40"/>
      <c r="M176" s="43" t="str">
        <f t="shared" si="8"/>
        <v/>
      </c>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row>
    <row r="177" spans="1:64" ht="14">
      <c r="A177" s="37"/>
      <c r="B177" s="38"/>
      <c r="C177" s="39">
        <f t="shared" si="6"/>
        <v>0</v>
      </c>
      <c r="D177" s="40"/>
      <c r="E177" s="40"/>
      <c r="F177" s="40"/>
      <c r="G177" s="40"/>
      <c r="H177" s="41"/>
      <c r="I177" s="42"/>
      <c r="J177" s="40"/>
      <c r="K177" s="44">
        <f t="shared" si="7"/>
        <v>0</v>
      </c>
      <c r="L177" s="40"/>
      <c r="M177" s="43" t="str">
        <f t="shared" si="8"/>
        <v/>
      </c>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row>
    <row r="178" spans="1:64" ht="14">
      <c r="A178" s="37"/>
      <c r="B178" s="38"/>
      <c r="C178" s="39">
        <f t="shared" si="6"/>
        <v>0</v>
      </c>
      <c r="D178" s="40"/>
      <c r="E178" s="40"/>
      <c r="F178" s="40"/>
      <c r="G178" s="40"/>
      <c r="H178" s="41"/>
      <c r="I178" s="42"/>
      <c r="J178" s="40"/>
      <c r="K178" s="44">
        <f t="shared" si="7"/>
        <v>0</v>
      </c>
      <c r="L178" s="40"/>
      <c r="M178" s="43" t="str">
        <f t="shared" si="8"/>
        <v/>
      </c>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row>
    <row r="179" spans="1:64" ht="14">
      <c r="A179" s="37"/>
      <c r="B179" s="38"/>
      <c r="C179" s="39">
        <f t="shared" si="6"/>
        <v>0</v>
      </c>
      <c r="D179" s="40"/>
      <c r="E179" s="40"/>
      <c r="F179" s="40"/>
      <c r="G179" s="40"/>
      <c r="H179" s="41"/>
      <c r="I179" s="42"/>
      <c r="J179" s="40"/>
      <c r="K179" s="44">
        <f t="shared" si="7"/>
        <v>0</v>
      </c>
      <c r="L179" s="40"/>
      <c r="M179" s="43" t="str">
        <f t="shared" si="8"/>
        <v/>
      </c>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row>
    <row r="180" spans="1:64" ht="14">
      <c r="A180" s="37"/>
      <c r="B180" s="38"/>
      <c r="C180" s="39">
        <f t="shared" si="6"/>
        <v>0</v>
      </c>
      <c r="D180" s="40"/>
      <c r="E180" s="40"/>
      <c r="F180" s="40"/>
      <c r="G180" s="40"/>
      <c r="H180" s="41"/>
      <c r="I180" s="42"/>
      <c r="J180" s="40"/>
      <c r="K180" s="44">
        <f t="shared" si="7"/>
        <v>0</v>
      </c>
      <c r="L180" s="40"/>
      <c r="M180" s="43" t="str">
        <f t="shared" si="8"/>
        <v/>
      </c>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row>
    <row r="181" spans="1:64" ht="14">
      <c r="A181" s="37"/>
      <c r="B181" s="38"/>
      <c r="C181" s="39">
        <f t="shared" si="6"/>
        <v>0</v>
      </c>
      <c r="D181" s="40"/>
      <c r="E181" s="40"/>
      <c r="F181" s="40"/>
      <c r="G181" s="40"/>
      <c r="H181" s="41"/>
      <c r="I181" s="42"/>
      <c r="J181" s="40"/>
      <c r="K181" s="44">
        <f t="shared" si="7"/>
        <v>0</v>
      </c>
      <c r="L181" s="40"/>
      <c r="M181" s="43" t="str">
        <f t="shared" si="8"/>
        <v/>
      </c>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row>
    <row r="182" spans="1:64" ht="14">
      <c r="A182" s="37"/>
      <c r="B182" s="38"/>
      <c r="C182" s="39">
        <f t="shared" si="6"/>
        <v>0</v>
      </c>
      <c r="D182" s="40"/>
      <c r="E182" s="40"/>
      <c r="F182" s="40"/>
      <c r="G182" s="40"/>
      <c r="H182" s="41"/>
      <c r="I182" s="42"/>
      <c r="J182" s="40"/>
      <c r="K182" s="44">
        <f t="shared" si="7"/>
        <v>0</v>
      </c>
      <c r="L182" s="40"/>
      <c r="M182" s="43" t="str">
        <f t="shared" si="8"/>
        <v/>
      </c>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row>
    <row r="183" spans="1:64" ht="14">
      <c r="A183" s="37"/>
      <c r="B183" s="38"/>
      <c r="C183" s="39">
        <f t="shared" si="6"/>
        <v>0</v>
      </c>
      <c r="D183" s="40"/>
      <c r="E183" s="40"/>
      <c r="F183" s="40"/>
      <c r="G183" s="40"/>
      <c r="H183" s="41"/>
      <c r="I183" s="42"/>
      <c r="J183" s="40"/>
      <c r="K183" s="44">
        <f t="shared" si="7"/>
        <v>0</v>
      </c>
      <c r="L183" s="40"/>
      <c r="M183" s="43" t="str">
        <f t="shared" si="8"/>
        <v/>
      </c>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row>
    <row r="184" spans="1:64" ht="14">
      <c r="A184" s="37"/>
      <c r="B184" s="38"/>
      <c r="C184" s="39">
        <f t="shared" si="6"/>
        <v>0</v>
      </c>
      <c r="D184" s="40"/>
      <c r="E184" s="40"/>
      <c r="F184" s="40"/>
      <c r="G184" s="40"/>
      <c r="H184" s="41"/>
      <c r="I184" s="42"/>
      <c r="J184" s="40"/>
      <c r="K184" s="44">
        <f t="shared" si="7"/>
        <v>0</v>
      </c>
      <c r="L184" s="40"/>
      <c r="M184" s="43" t="str">
        <f t="shared" si="8"/>
        <v/>
      </c>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row>
    <row r="185" spans="1:64" ht="14">
      <c r="A185" s="37"/>
      <c r="B185" s="38"/>
      <c r="C185" s="39">
        <f t="shared" si="6"/>
        <v>0</v>
      </c>
      <c r="D185" s="40"/>
      <c r="E185" s="40"/>
      <c r="F185" s="40"/>
      <c r="G185" s="40"/>
      <c r="H185" s="41"/>
      <c r="I185" s="42"/>
      <c r="J185" s="40"/>
      <c r="K185" s="44">
        <f t="shared" si="7"/>
        <v>0</v>
      </c>
      <c r="L185" s="40"/>
      <c r="M185" s="43" t="str">
        <f t="shared" si="8"/>
        <v/>
      </c>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row>
    <row r="186" spans="1:64" ht="14">
      <c r="A186" s="37"/>
      <c r="B186" s="38"/>
      <c r="C186" s="39">
        <f t="shared" si="6"/>
        <v>0</v>
      </c>
      <c r="D186" s="40"/>
      <c r="E186" s="40"/>
      <c r="F186" s="40"/>
      <c r="G186" s="40"/>
      <c r="H186" s="41"/>
      <c r="I186" s="42"/>
      <c r="J186" s="40"/>
      <c r="K186" s="44">
        <f t="shared" si="7"/>
        <v>0</v>
      </c>
      <c r="L186" s="40"/>
      <c r="M186" s="43" t="str">
        <f t="shared" si="8"/>
        <v/>
      </c>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row>
    <row r="187" spans="1:64" ht="14">
      <c r="A187" s="37"/>
      <c r="B187" s="38"/>
      <c r="C187" s="39">
        <f t="shared" si="6"/>
        <v>0</v>
      </c>
      <c r="D187" s="40"/>
      <c r="E187" s="40"/>
      <c r="F187" s="40"/>
      <c r="G187" s="40"/>
      <c r="H187" s="41"/>
      <c r="I187" s="42"/>
      <c r="J187" s="40"/>
      <c r="K187" s="44">
        <f t="shared" si="7"/>
        <v>0</v>
      </c>
      <c r="L187" s="40"/>
      <c r="M187" s="43" t="str">
        <f t="shared" si="8"/>
        <v/>
      </c>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row>
    <row r="188" spans="1:64" ht="14">
      <c r="A188" s="37"/>
      <c r="B188" s="38"/>
      <c r="C188" s="39">
        <f t="shared" si="6"/>
        <v>0</v>
      </c>
      <c r="D188" s="40"/>
      <c r="E188" s="40"/>
      <c r="F188" s="40"/>
      <c r="G188" s="40"/>
      <c r="H188" s="41"/>
      <c r="I188" s="42"/>
      <c r="J188" s="40"/>
      <c r="K188" s="44">
        <f t="shared" si="7"/>
        <v>0</v>
      </c>
      <c r="L188" s="40"/>
      <c r="M188" s="43" t="str">
        <f t="shared" si="8"/>
        <v/>
      </c>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row>
    <row r="189" spans="1:64" ht="14">
      <c r="A189" s="37"/>
      <c r="B189" s="38"/>
      <c r="C189" s="39">
        <f t="shared" si="6"/>
        <v>0</v>
      </c>
      <c r="D189" s="40"/>
      <c r="E189" s="40"/>
      <c r="F189" s="40"/>
      <c r="G189" s="40"/>
      <c r="H189" s="41"/>
      <c r="I189" s="42"/>
      <c r="J189" s="40"/>
      <c r="K189" s="44">
        <f t="shared" si="7"/>
        <v>0</v>
      </c>
      <c r="L189" s="40"/>
      <c r="M189" s="43" t="str">
        <f t="shared" si="8"/>
        <v/>
      </c>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row>
    <row r="190" spans="1:64" ht="14">
      <c r="A190" s="37"/>
      <c r="B190" s="38"/>
      <c r="C190" s="39">
        <f t="shared" si="6"/>
        <v>0</v>
      </c>
      <c r="D190" s="40"/>
      <c r="E190" s="40"/>
      <c r="F190" s="40"/>
      <c r="G190" s="40"/>
      <c r="H190" s="41"/>
      <c r="I190" s="42"/>
      <c r="J190" s="40"/>
      <c r="K190" s="44">
        <f t="shared" si="7"/>
        <v>0</v>
      </c>
      <c r="L190" s="40"/>
      <c r="M190" s="43" t="str">
        <f t="shared" si="8"/>
        <v/>
      </c>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row>
    <row r="191" spans="1:64" ht="14">
      <c r="A191" s="37"/>
      <c r="B191" s="38"/>
      <c r="C191" s="39">
        <f t="shared" si="6"/>
        <v>0</v>
      </c>
      <c r="D191" s="40"/>
      <c r="E191" s="40"/>
      <c r="F191" s="40"/>
      <c r="G191" s="40"/>
      <c r="H191" s="41"/>
      <c r="I191" s="42"/>
      <c r="J191" s="40"/>
      <c r="K191" s="44">
        <f t="shared" si="7"/>
        <v>0</v>
      </c>
      <c r="L191" s="40"/>
      <c r="M191" s="43" t="str">
        <f t="shared" si="8"/>
        <v/>
      </c>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row>
    <row r="192" spans="1:64" ht="14">
      <c r="A192" s="37"/>
      <c r="B192" s="38"/>
      <c r="C192" s="39">
        <f t="shared" si="6"/>
        <v>0</v>
      </c>
      <c r="D192" s="40"/>
      <c r="E192" s="40"/>
      <c r="F192" s="40"/>
      <c r="G192" s="40"/>
      <c r="H192" s="41"/>
      <c r="I192" s="42"/>
      <c r="J192" s="40"/>
      <c r="K192" s="44">
        <f t="shared" si="7"/>
        <v>0</v>
      </c>
      <c r="L192" s="40"/>
      <c r="M192" s="43" t="str">
        <f t="shared" si="8"/>
        <v/>
      </c>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row>
    <row r="193" spans="1:64" ht="14">
      <c r="A193" s="37"/>
      <c r="B193" s="38"/>
      <c r="C193" s="39">
        <f t="shared" si="6"/>
        <v>0</v>
      </c>
      <c r="D193" s="40"/>
      <c r="E193" s="40"/>
      <c r="F193" s="40"/>
      <c r="G193" s="40"/>
      <c r="H193" s="41"/>
      <c r="I193" s="42"/>
      <c r="J193" s="40"/>
      <c r="K193" s="44">
        <f t="shared" si="7"/>
        <v>0</v>
      </c>
      <c r="L193" s="40"/>
      <c r="M193" s="43" t="str">
        <f t="shared" si="8"/>
        <v/>
      </c>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row>
    <row r="194" spans="1:64" ht="14">
      <c r="A194" s="37"/>
      <c r="B194" s="38"/>
      <c r="C194" s="39">
        <f t="shared" si="6"/>
        <v>0</v>
      </c>
      <c r="D194" s="40"/>
      <c r="E194" s="40"/>
      <c r="F194" s="40"/>
      <c r="G194" s="40"/>
      <c r="H194" s="41"/>
      <c r="I194" s="42"/>
      <c r="J194" s="40"/>
      <c r="K194" s="44">
        <f t="shared" si="7"/>
        <v>0</v>
      </c>
      <c r="L194" s="40"/>
      <c r="M194" s="43" t="str">
        <f t="shared" si="8"/>
        <v/>
      </c>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row>
    <row r="195" spans="1:64" ht="14">
      <c r="A195" s="37"/>
      <c r="B195" s="38"/>
      <c r="C195" s="39">
        <f t="shared" si="6"/>
        <v>0</v>
      </c>
      <c r="D195" s="40"/>
      <c r="E195" s="40"/>
      <c r="F195" s="40"/>
      <c r="G195" s="40"/>
      <c r="H195" s="41"/>
      <c r="I195" s="42"/>
      <c r="J195" s="40"/>
      <c r="K195" s="44">
        <f t="shared" si="7"/>
        <v>0</v>
      </c>
      <c r="L195" s="40"/>
      <c r="M195" s="43" t="str">
        <f t="shared" si="8"/>
        <v/>
      </c>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row>
    <row r="196" spans="1:64" ht="14">
      <c r="A196" s="37"/>
      <c r="B196" s="38"/>
      <c r="C196" s="39">
        <f t="shared" si="6"/>
        <v>0</v>
      </c>
      <c r="D196" s="40"/>
      <c r="E196" s="40"/>
      <c r="F196" s="40"/>
      <c r="G196" s="40"/>
      <c r="H196" s="41"/>
      <c r="I196" s="42"/>
      <c r="J196" s="40"/>
      <c r="K196" s="44">
        <f t="shared" si="7"/>
        <v>0</v>
      </c>
      <c r="L196" s="40"/>
      <c r="M196" s="43" t="str">
        <f t="shared" si="8"/>
        <v/>
      </c>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row>
    <row r="197" spans="1:64" ht="14">
      <c r="A197" s="37"/>
      <c r="B197" s="38"/>
      <c r="C197" s="39">
        <f t="shared" si="6"/>
        <v>0</v>
      </c>
      <c r="D197" s="40"/>
      <c r="E197" s="40"/>
      <c r="F197" s="40"/>
      <c r="G197" s="40"/>
      <c r="H197" s="41"/>
      <c r="I197" s="42"/>
      <c r="J197" s="40"/>
      <c r="K197" s="44">
        <f t="shared" si="7"/>
        <v>0</v>
      </c>
      <c r="L197" s="40"/>
      <c r="M197" s="43" t="str">
        <f t="shared" si="8"/>
        <v/>
      </c>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row>
    <row r="198" spans="1:64" ht="14">
      <c r="A198" s="37"/>
      <c r="B198" s="38"/>
      <c r="C198" s="39">
        <f t="shared" si="6"/>
        <v>0</v>
      </c>
      <c r="D198" s="40"/>
      <c r="E198" s="40"/>
      <c r="F198" s="40"/>
      <c r="G198" s="40"/>
      <c r="H198" s="41"/>
      <c r="I198" s="42"/>
      <c r="J198" s="40"/>
      <c r="K198" s="44">
        <f t="shared" si="7"/>
        <v>0</v>
      </c>
      <c r="L198" s="40"/>
      <c r="M198" s="43" t="str">
        <f t="shared" si="8"/>
        <v/>
      </c>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row>
    <row r="199" spans="1:64" ht="14">
      <c r="A199" s="37"/>
      <c r="B199" s="38"/>
      <c r="C199" s="39">
        <f t="shared" si="6"/>
        <v>0</v>
      </c>
      <c r="D199" s="40"/>
      <c r="E199" s="40"/>
      <c r="F199" s="40"/>
      <c r="G199" s="40"/>
      <c r="H199" s="41"/>
      <c r="I199" s="42"/>
      <c r="J199" s="40"/>
      <c r="K199" s="44">
        <f t="shared" si="7"/>
        <v>0</v>
      </c>
      <c r="L199" s="40"/>
      <c r="M199" s="43" t="str">
        <f t="shared" si="8"/>
        <v/>
      </c>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row>
    <row r="200" spans="1:64" ht="14">
      <c r="A200" s="37"/>
      <c r="B200" s="38"/>
      <c r="C200" s="39">
        <f t="shared" si="6"/>
        <v>0</v>
      </c>
      <c r="D200" s="40"/>
      <c r="E200" s="40"/>
      <c r="F200" s="40"/>
      <c r="G200" s="40"/>
      <c r="H200" s="41"/>
      <c r="I200" s="42"/>
      <c r="J200" s="40"/>
      <c r="K200" s="44">
        <f t="shared" si="7"/>
        <v>0</v>
      </c>
      <c r="L200" s="40"/>
      <c r="M200" s="43" t="str">
        <f t="shared" si="8"/>
        <v/>
      </c>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row>
    <row r="201" spans="1:64" ht="14">
      <c r="A201" s="37"/>
      <c r="B201" s="38"/>
      <c r="C201" s="39">
        <f t="shared" si="6"/>
        <v>0</v>
      </c>
      <c r="D201" s="40"/>
      <c r="E201" s="40"/>
      <c r="F201" s="40"/>
      <c r="G201" s="40"/>
      <c r="H201" s="41"/>
      <c r="I201" s="42"/>
      <c r="J201" s="40"/>
      <c r="K201" s="44">
        <f t="shared" si="7"/>
        <v>0</v>
      </c>
      <c r="L201" s="40"/>
      <c r="M201" s="43" t="str">
        <f t="shared" si="8"/>
        <v/>
      </c>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row>
    <row r="202" spans="1:64" ht="14">
      <c r="A202" s="37"/>
      <c r="B202" s="38"/>
      <c r="C202" s="39">
        <f t="shared" ref="C202:C265" si="9">IF($B202&lt;&gt;"",VLOOKUP($B202,Matriz_INM,2,0),0)</f>
        <v>0</v>
      </c>
      <c r="D202" s="40"/>
      <c r="E202" s="40"/>
      <c r="F202" s="40"/>
      <c r="G202" s="40"/>
      <c r="H202" s="41"/>
      <c r="I202" s="42"/>
      <c r="J202" s="40"/>
      <c r="K202" s="44">
        <f t="shared" ref="K202:K265" si="10">IF(M202="%",(IF($J202="EE",4,IF($J202="CE",4,IF($J202="SE",5,IF($J202="ALI",7,IF($J202="AIE",5,0))))))*$C202,$C202*$I202)</f>
        <v>0</v>
      </c>
      <c r="L202" s="40"/>
      <c r="M202" s="43" t="str">
        <f t="shared" ref="M202:M265" si="11">IFERROR(VLOOKUP($B202,Matriz_INM,3,0),"")</f>
        <v/>
      </c>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row>
    <row r="203" spans="1:64" ht="14">
      <c r="A203" s="37"/>
      <c r="B203" s="38"/>
      <c r="C203" s="39">
        <f t="shared" si="9"/>
        <v>0</v>
      </c>
      <c r="D203" s="40"/>
      <c r="E203" s="40"/>
      <c r="F203" s="40"/>
      <c r="G203" s="40"/>
      <c r="H203" s="41"/>
      <c r="I203" s="42"/>
      <c r="J203" s="40"/>
      <c r="K203" s="44">
        <f t="shared" si="10"/>
        <v>0</v>
      </c>
      <c r="L203" s="40"/>
      <c r="M203" s="43" t="str">
        <f t="shared" si="11"/>
        <v/>
      </c>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row>
    <row r="204" spans="1:64" ht="14">
      <c r="A204" s="37"/>
      <c r="B204" s="38"/>
      <c r="C204" s="39">
        <f t="shared" si="9"/>
        <v>0</v>
      </c>
      <c r="D204" s="40"/>
      <c r="E204" s="40"/>
      <c r="F204" s="40"/>
      <c r="G204" s="40"/>
      <c r="H204" s="41"/>
      <c r="I204" s="42"/>
      <c r="J204" s="40"/>
      <c r="K204" s="44">
        <f t="shared" si="10"/>
        <v>0</v>
      </c>
      <c r="L204" s="40"/>
      <c r="M204" s="43" t="str">
        <f t="shared" si="11"/>
        <v/>
      </c>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row>
    <row r="205" spans="1:64" ht="14">
      <c r="A205" s="37"/>
      <c r="B205" s="38"/>
      <c r="C205" s="39">
        <f t="shared" si="9"/>
        <v>0</v>
      </c>
      <c r="D205" s="40"/>
      <c r="E205" s="40"/>
      <c r="F205" s="40"/>
      <c r="G205" s="40"/>
      <c r="H205" s="41"/>
      <c r="I205" s="42"/>
      <c r="J205" s="40"/>
      <c r="K205" s="44">
        <f t="shared" si="10"/>
        <v>0</v>
      </c>
      <c r="L205" s="40"/>
      <c r="M205" s="43" t="str">
        <f t="shared" si="11"/>
        <v/>
      </c>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row>
    <row r="206" spans="1:64" ht="14">
      <c r="A206" s="37"/>
      <c r="B206" s="38"/>
      <c r="C206" s="39">
        <f t="shared" si="9"/>
        <v>0</v>
      </c>
      <c r="D206" s="40"/>
      <c r="E206" s="40"/>
      <c r="F206" s="40"/>
      <c r="G206" s="40"/>
      <c r="H206" s="41"/>
      <c r="I206" s="42"/>
      <c r="J206" s="40"/>
      <c r="K206" s="44">
        <f t="shared" si="10"/>
        <v>0</v>
      </c>
      <c r="L206" s="40"/>
      <c r="M206" s="43" t="str">
        <f t="shared" si="11"/>
        <v/>
      </c>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row>
    <row r="207" spans="1:64" ht="14">
      <c r="A207" s="37"/>
      <c r="B207" s="38"/>
      <c r="C207" s="39">
        <f t="shared" si="9"/>
        <v>0</v>
      </c>
      <c r="D207" s="40"/>
      <c r="E207" s="40"/>
      <c r="F207" s="40"/>
      <c r="G207" s="40"/>
      <c r="H207" s="41"/>
      <c r="I207" s="42"/>
      <c r="J207" s="40"/>
      <c r="K207" s="44">
        <f t="shared" si="10"/>
        <v>0</v>
      </c>
      <c r="L207" s="40"/>
      <c r="M207" s="43" t="str">
        <f t="shared" si="11"/>
        <v/>
      </c>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row>
    <row r="208" spans="1:64" ht="14">
      <c r="A208" s="37"/>
      <c r="B208" s="38"/>
      <c r="C208" s="39">
        <f t="shared" si="9"/>
        <v>0</v>
      </c>
      <c r="D208" s="40"/>
      <c r="E208" s="40"/>
      <c r="F208" s="40"/>
      <c r="G208" s="40"/>
      <c r="H208" s="41"/>
      <c r="I208" s="42"/>
      <c r="J208" s="40"/>
      <c r="K208" s="44">
        <f t="shared" si="10"/>
        <v>0</v>
      </c>
      <c r="L208" s="40"/>
      <c r="M208" s="43" t="str">
        <f t="shared" si="11"/>
        <v/>
      </c>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row>
    <row r="209" spans="1:64" ht="14">
      <c r="A209" s="37"/>
      <c r="B209" s="38"/>
      <c r="C209" s="39">
        <f t="shared" si="9"/>
        <v>0</v>
      </c>
      <c r="D209" s="40"/>
      <c r="E209" s="40"/>
      <c r="F209" s="40"/>
      <c r="G209" s="40"/>
      <c r="H209" s="41"/>
      <c r="I209" s="42"/>
      <c r="J209" s="40"/>
      <c r="K209" s="44">
        <f t="shared" si="10"/>
        <v>0</v>
      </c>
      <c r="L209" s="40"/>
      <c r="M209" s="43" t="str">
        <f t="shared" si="11"/>
        <v/>
      </c>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row>
    <row r="210" spans="1:64" ht="14">
      <c r="A210" s="37"/>
      <c r="B210" s="38"/>
      <c r="C210" s="39">
        <f t="shared" si="9"/>
        <v>0</v>
      </c>
      <c r="D210" s="40"/>
      <c r="E210" s="40"/>
      <c r="F210" s="40"/>
      <c r="G210" s="40"/>
      <c r="H210" s="41"/>
      <c r="I210" s="42"/>
      <c r="J210" s="40"/>
      <c r="K210" s="44">
        <f t="shared" si="10"/>
        <v>0</v>
      </c>
      <c r="L210" s="40"/>
      <c r="M210" s="43" t="str">
        <f t="shared" si="11"/>
        <v/>
      </c>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row>
    <row r="211" spans="1:64" ht="14">
      <c r="A211" s="37"/>
      <c r="B211" s="38"/>
      <c r="C211" s="39">
        <f t="shared" si="9"/>
        <v>0</v>
      </c>
      <c r="D211" s="40"/>
      <c r="E211" s="40"/>
      <c r="F211" s="40"/>
      <c r="G211" s="40"/>
      <c r="H211" s="41"/>
      <c r="I211" s="42"/>
      <c r="J211" s="40"/>
      <c r="K211" s="44">
        <f t="shared" si="10"/>
        <v>0</v>
      </c>
      <c r="L211" s="40"/>
      <c r="M211" s="43" t="str">
        <f t="shared" si="11"/>
        <v/>
      </c>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row>
    <row r="212" spans="1:64" ht="14">
      <c r="A212" s="37"/>
      <c r="B212" s="38"/>
      <c r="C212" s="39">
        <f t="shared" si="9"/>
        <v>0</v>
      </c>
      <c r="D212" s="40"/>
      <c r="E212" s="40"/>
      <c r="F212" s="40"/>
      <c r="G212" s="40"/>
      <c r="H212" s="41"/>
      <c r="I212" s="42"/>
      <c r="J212" s="40"/>
      <c r="K212" s="44">
        <f t="shared" si="10"/>
        <v>0</v>
      </c>
      <c r="L212" s="40"/>
      <c r="M212" s="43" t="str">
        <f t="shared" si="11"/>
        <v/>
      </c>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row>
    <row r="213" spans="1:64" ht="14">
      <c r="A213" s="37"/>
      <c r="B213" s="38"/>
      <c r="C213" s="39">
        <f t="shared" si="9"/>
        <v>0</v>
      </c>
      <c r="D213" s="40"/>
      <c r="E213" s="40"/>
      <c r="F213" s="40"/>
      <c r="G213" s="40"/>
      <c r="H213" s="41"/>
      <c r="I213" s="42"/>
      <c r="J213" s="40"/>
      <c r="K213" s="44">
        <f t="shared" si="10"/>
        <v>0</v>
      </c>
      <c r="L213" s="40"/>
      <c r="M213" s="43" t="str">
        <f t="shared" si="11"/>
        <v/>
      </c>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row>
    <row r="214" spans="1:64" ht="14">
      <c r="A214" s="37"/>
      <c r="B214" s="38"/>
      <c r="C214" s="39">
        <f t="shared" si="9"/>
        <v>0</v>
      </c>
      <c r="D214" s="40"/>
      <c r="E214" s="40"/>
      <c r="F214" s="40"/>
      <c r="G214" s="40"/>
      <c r="H214" s="41"/>
      <c r="I214" s="42"/>
      <c r="J214" s="40"/>
      <c r="K214" s="44">
        <f t="shared" si="10"/>
        <v>0</v>
      </c>
      <c r="L214" s="40"/>
      <c r="M214" s="43" t="str">
        <f t="shared" si="11"/>
        <v/>
      </c>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row>
    <row r="215" spans="1:64" ht="14">
      <c r="A215" s="37"/>
      <c r="B215" s="38"/>
      <c r="C215" s="39">
        <f t="shared" si="9"/>
        <v>0</v>
      </c>
      <c r="D215" s="40"/>
      <c r="E215" s="40"/>
      <c r="F215" s="40"/>
      <c r="G215" s="40"/>
      <c r="H215" s="41"/>
      <c r="I215" s="42"/>
      <c r="J215" s="40"/>
      <c r="K215" s="44">
        <f t="shared" si="10"/>
        <v>0</v>
      </c>
      <c r="L215" s="40"/>
      <c r="M215" s="43" t="str">
        <f t="shared" si="11"/>
        <v/>
      </c>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row>
    <row r="216" spans="1:64" ht="14">
      <c r="A216" s="37"/>
      <c r="B216" s="38"/>
      <c r="C216" s="39">
        <f t="shared" si="9"/>
        <v>0</v>
      </c>
      <c r="D216" s="40"/>
      <c r="E216" s="40"/>
      <c r="F216" s="40"/>
      <c r="G216" s="40"/>
      <c r="H216" s="41"/>
      <c r="I216" s="42"/>
      <c r="J216" s="40"/>
      <c r="K216" s="44">
        <f t="shared" si="10"/>
        <v>0</v>
      </c>
      <c r="L216" s="40"/>
      <c r="M216" s="43" t="str">
        <f t="shared" si="11"/>
        <v/>
      </c>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row>
    <row r="217" spans="1:64" ht="14">
      <c r="A217" s="37"/>
      <c r="B217" s="38"/>
      <c r="C217" s="39">
        <f t="shared" si="9"/>
        <v>0</v>
      </c>
      <c r="D217" s="40"/>
      <c r="E217" s="40"/>
      <c r="F217" s="40"/>
      <c r="G217" s="40"/>
      <c r="H217" s="41"/>
      <c r="I217" s="42"/>
      <c r="J217" s="40"/>
      <c r="K217" s="44">
        <f t="shared" si="10"/>
        <v>0</v>
      </c>
      <c r="L217" s="40"/>
      <c r="M217" s="43" t="str">
        <f t="shared" si="11"/>
        <v/>
      </c>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row>
    <row r="218" spans="1:64" ht="14">
      <c r="A218" s="37"/>
      <c r="B218" s="38"/>
      <c r="C218" s="39">
        <f t="shared" si="9"/>
        <v>0</v>
      </c>
      <c r="D218" s="40"/>
      <c r="E218" s="40"/>
      <c r="F218" s="40"/>
      <c r="G218" s="40"/>
      <c r="H218" s="41"/>
      <c r="I218" s="42"/>
      <c r="J218" s="40"/>
      <c r="K218" s="44">
        <f t="shared" si="10"/>
        <v>0</v>
      </c>
      <c r="L218" s="40"/>
      <c r="M218" s="43" t="str">
        <f t="shared" si="11"/>
        <v/>
      </c>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row>
    <row r="219" spans="1:64" ht="14">
      <c r="A219" s="37"/>
      <c r="B219" s="38"/>
      <c r="C219" s="39">
        <f t="shared" si="9"/>
        <v>0</v>
      </c>
      <c r="D219" s="40"/>
      <c r="E219" s="40"/>
      <c r="F219" s="40"/>
      <c r="G219" s="40"/>
      <c r="H219" s="41"/>
      <c r="I219" s="42"/>
      <c r="J219" s="40"/>
      <c r="K219" s="44">
        <f t="shared" si="10"/>
        <v>0</v>
      </c>
      <c r="L219" s="40"/>
      <c r="M219" s="43" t="str">
        <f t="shared" si="11"/>
        <v/>
      </c>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row>
    <row r="220" spans="1:64" ht="14">
      <c r="A220" s="37"/>
      <c r="B220" s="38"/>
      <c r="C220" s="39">
        <f t="shared" si="9"/>
        <v>0</v>
      </c>
      <c r="D220" s="40"/>
      <c r="E220" s="40"/>
      <c r="F220" s="40"/>
      <c r="G220" s="40"/>
      <c r="H220" s="41"/>
      <c r="I220" s="42"/>
      <c r="J220" s="40"/>
      <c r="K220" s="44">
        <f t="shared" si="10"/>
        <v>0</v>
      </c>
      <c r="L220" s="40"/>
      <c r="M220" s="43" t="str">
        <f t="shared" si="11"/>
        <v/>
      </c>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row>
    <row r="221" spans="1:64" ht="14">
      <c r="A221" s="37"/>
      <c r="B221" s="38"/>
      <c r="C221" s="39">
        <f t="shared" si="9"/>
        <v>0</v>
      </c>
      <c r="D221" s="40"/>
      <c r="E221" s="40"/>
      <c r="F221" s="40"/>
      <c r="G221" s="40"/>
      <c r="H221" s="41"/>
      <c r="I221" s="42"/>
      <c r="J221" s="40"/>
      <c r="K221" s="44">
        <f t="shared" si="10"/>
        <v>0</v>
      </c>
      <c r="L221" s="40"/>
      <c r="M221" s="43" t="str">
        <f t="shared" si="11"/>
        <v/>
      </c>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row>
    <row r="222" spans="1:64" ht="14">
      <c r="A222" s="37"/>
      <c r="B222" s="38"/>
      <c r="C222" s="39">
        <f t="shared" si="9"/>
        <v>0</v>
      </c>
      <c r="D222" s="40"/>
      <c r="E222" s="40"/>
      <c r="F222" s="40"/>
      <c r="G222" s="40"/>
      <c r="H222" s="41"/>
      <c r="I222" s="42"/>
      <c r="J222" s="40"/>
      <c r="K222" s="44">
        <f t="shared" si="10"/>
        <v>0</v>
      </c>
      <c r="L222" s="40"/>
      <c r="M222" s="43" t="str">
        <f t="shared" si="11"/>
        <v/>
      </c>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row>
    <row r="223" spans="1:64" ht="14">
      <c r="A223" s="37"/>
      <c r="B223" s="38"/>
      <c r="C223" s="39">
        <f t="shared" si="9"/>
        <v>0</v>
      </c>
      <c r="D223" s="40"/>
      <c r="E223" s="40"/>
      <c r="F223" s="40"/>
      <c r="G223" s="40"/>
      <c r="H223" s="41"/>
      <c r="I223" s="42"/>
      <c r="J223" s="40"/>
      <c r="K223" s="44">
        <f t="shared" si="10"/>
        <v>0</v>
      </c>
      <c r="L223" s="40"/>
      <c r="M223" s="43" t="str">
        <f t="shared" si="11"/>
        <v/>
      </c>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row>
    <row r="224" spans="1:64" ht="14">
      <c r="A224" s="37"/>
      <c r="B224" s="38"/>
      <c r="C224" s="39">
        <f t="shared" si="9"/>
        <v>0</v>
      </c>
      <c r="D224" s="40"/>
      <c r="E224" s="40"/>
      <c r="F224" s="40"/>
      <c r="G224" s="40"/>
      <c r="H224" s="41"/>
      <c r="I224" s="42"/>
      <c r="J224" s="40"/>
      <c r="K224" s="44">
        <f t="shared" si="10"/>
        <v>0</v>
      </c>
      <c r="L224" s="40"/>
      <c r="M224" s="43" t="str">
        <f t="shared" si="11"/>
        <v/>
      </c>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row>
    <row r="225" spans="1:64" ht="14">
      <c r="A225" s="37"/>
      <c r="B225" s="38"/>
      <c r="C225" s="39">
        <f t="shared" si="9"/>
        <v>0</v>
      </c>
      <c r="D225" s="40"/>
      <c r="E225" s="40"/>
      <c r="F225" s="40"/>
      <c r="G225" s="40"/>
      <c r="H225" s="41"/>
      <c r="I225" s="42"/>
      <c r="J225" s="40"/>
      <c r="K225" s="44">
        <f t="shared" si="10"/>
        <v>0</v>
      </c>
      <c r="L225" s="40"/>
      <c r="M225" s="43" t="str">
        <f t="shared" si="11"/>
        <v/>
      </c>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row>
    <row r="226" spans="1:64" ht="14">
      <c r="A226" s="37"/>
      <c r="B226" s="38"/>
      <c r="C226" s="39">
        <f t="shared" si="9"/>
        <v>0</v>
      </c>
      <c r="D226" s="40"/>
      <c r="E226" s="40"/>
      <c r="F226" s="40"/>
      <c r="G226" s="40"/>
      <c r="H226" s="41"/>
      <c r="I226" s="42"/>
      <c r="J226" s="40"/>
      <c r="K226" s="44">
        <f t="shared" si="10"/>
        <v>0</v>
      </c>
      <c r="L226" s="40"/>
      <c r="M226" s="43" t="str">
        <f t="shared" si="11"/>
        <v/>
      </c>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row>
    <row r="227" spans="1:64" ht="14">
      <c r="A227" s="37"/>
      <c r="B227" s="38"/>
      <c r="C227" s="39">
        <f t="shared" si="9"/>
        <v>0</v>
      </c>
      <c r="D227" s="40"/>
      <c r="E227" s="40"/>
      <c r="F227" s="40"/>
      <c r="G227" s="40"/>
      <c r="H227" s="41"/>
      <c r="I227" s="42"/>
      <c r="J227" s="40"/>
      <c r="K227" s="44">
        <f t="shared" si="10"/>
        <v>0</v>
      </c>
      <c r="L227" s="40"/>
      <c r="M227" s="43" t="str">
        <f t="shared" si="11"/>
        <v/>
      </c>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row>
    <row r="228" spans="1:64" ht="14">
      <c r="A228" s="37"/>
      <c r="B228" s="38"/>
      <c r="C228" s="39">
        <f t="shared" si="9"/>
        <v>0</v>
      </c>
      <c r="D228" s="40"/>
      <c r="E228" s="40"/>
      <c r="F228" s="40"/>
      <c r="G228" s="40"/>
      <c r="H228" s="41"/>
      <c r="I228" s="42"/>
      <c r="J228" s="40"/>
      <c r="K228" s="44">
        <f t="shared" si="10"/>
        <v>0</v>
      </c>
      <c r="L228" s="40"/>
      <c r="M228" s="43" t="str">
        <f t="shared" si="11"/>
        <v/>
      </c>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row>
    <row r="229" spans="1:64" ht="14">
      <c r="A229" s="37"/>
      <c r="B229" s="38"/>
      <c r="C229" s="39">
        <f t="shared" si="9"/>
        <v>0</v>
      </c>
      <c r="D229" s="40"/>
      <c r="E229" s="40"/>
      <c r="F229" s="40"/>
      <c r="G229" s="40"/>
      <c r="H229" s="41"/>
      <c r="I229" s="42"/>
      <c r="J229" s="40"/>
      <c r="K229" s="44">
        <f t="shared" si="10"/>
        <v>0</v>
      </c>
      <c r="L229" s="40"/>
      <c r="M229" s="43" t="str">
        <f t="shared" si="11"/>
        <v/>
      </c>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row>
    <row r="230" spans="1:64" ht="14">
      <c r="A230" s="37"/>
      <c r="B230" s="38"/>
      <c r="C230" s="39">
        <f t="shared" si="9"/>
        <v>0</v>
      </c>
      <c r="D230" s="40"/>
      <c r="E230" s="40"/>
      <c r="F230" s="40"/>
      <c r="G230" s="40"/>
      <c r="H230" s="41"/>
      <c r="I230" s="42"/>
      <c r="J230" s="40"/>
      <c r="K230" s="44">
        <f t="shared" si="10"/>
        <v>0</v>
      </c>
      <c r="L230" s="40"/>
      <c r="M230" s="43" t="str">
        <f t="shared" si="11"/>
        <v/>
      </c>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row>
    <row r="231" spans="1:64" ht="14">
      <c r="A231" s="37"/>
      <c r="B231" s="38"/>
      <c r="C231" s="39">
        <f t="shared" si="9"/>
        <v>0</v>
      </c>
      <c r="D231" s="40"/>
      <c r="E231" s="40"/>
      <c r="F231" s="40"/>
      <c r="G231" s="40"/>
      <c r="H231" s="41"/>
      <c r="I231" s="42"/>
      <c r="J231" s="40"/>
      <c r="K231" s="44">
        <f t="shared" si="10"/>
        <v>0</v>
      </c>
      <c r="L231" s="40"/>
      <c r="M231" s="43" t="str">
        <f t="shared" si="11"/>
        <v/>
      </c>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row>
    <row r="232" spans="1:64" ht="14">
      <c r="A232" s="37"/>
      <c r="B232" s="38"/>
      <c r="C232" s="39">
        <f t="shared" si="9"/>
        <v>0</v>
      </c>
      <c r="D232" s="40"/>
      <c r="E232" s="40"/>
      <c r="F232" s="40"/>
      <c r="G232" s="40"/>
      <c r="H232" s="41"/>
      <c r="I232" s="42"/>
      <c r="J232" s="40"/>
      <c r="K232" s="44">
        <f t="shared" si="10"/>
        <v>0</v>
      </c>
      <c r="L232" s="40"/>
      <c r="M232" s="43" t="str">
        <f t="shared" si="11"/>
        <v/>
      </c>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row>
    <row r="233" spans="1:64" ht="14">
      <c r="A233" s="37"/>
      <c r="B233" s="38"/>
      <c r="C233" s="39">
        <f t="shared" si="9"/>
        <v>0</v>
      </c>
      <c r="D233" s="40"/>
      <c r="E233" s="40"/>
      <c r="F233" s="40"/>
      <c r="G233" s="40"/>
      <c r="H233" s="41"/>
      <c r="I233" s="42"/>
      <c r="J233" s="40"/>
      <c r="K233" s="44">
        <f t="shared" si="10"/>
        <v>0</v>
      </c>
      <c r="L233" s="40"/>
      <c r="M233" s="43" t="str">
        <f t="shared" si="11"/>
        <v/>
      </c>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row>
    <row r="234" spans="1:64" ht="14">
      <c r="A234" s="37"/>
      <c r="B234" s="38"/>
      <c r="C234" s="39">
        <f t="shared" si="9"/>
        <v>0</v>
      </c>
      <c r="D234" s="40"/>
      <c r="E234" s="40"/>
      <c r="F234" s="40"/>
      <c r="G234" s="40"/>
      <c r="H234" s="41"/>
      <c r="I234" s="42"/>
      <c r="J234" s="40"/>
      <c r="K234" s="44">
        <f t="shared" si="10"/>
        <v>0</v>
      </c>
      <c r="L234" s="40"/>
      <c r="M234" s="43" t="str">
        <f t="shared" si="11"/>
        <v/>
      </c>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row>
    <row r="235" spans="1:64" ht="14">
      <c r="A235" s="37"/>
      <c r="B235" s="38"/>
      <c r="C235" s="39">
        <f t="shared" si="9"/>
        <v>0</v>
      </c>
      <c r="D235" s="40"/>
      <c r="E235" s="40"/>
      <c r="F235" s="40"/>
      <c r="G235" s="40"/>
      <c r="H235" s="41"/>
      <c r="I235" s="42"/>
      <c r="J235" s="40"/>
      <c r="K235" s="44">
        <f t="shared" si="10"/>
        <v>0</v>
      </c>
      <c r="L235" s="40"/>
      <c r="M235" s="43" t="str">
        <f t="shared" si="11"/>
        <v/>
      </c>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row>
    <row r="236" spans="1:64" ht="14">
      <c r="A236" s="37"/>
      <c r="B236" s="38"/>
      <c r="C236" s="39">
        <f t="shared" si="9"/>
        <v>0</v>
      </c>
      <c r="D236" s="40"/>
      <c r="E236" s="40"/>
      <c r="F236" s="40"/>
      <c r="G236" s="40"/>
      <c r="H236" s="41"/>
      <c r="I236" s="42"/>
      <c r="J236" s="40"/>
      <c r="K236" s="44">
        <f t="shared" si="10"/>
        <v>0</v>
      </c>
      <c r="L236" s="40"/>
      <c r="M236" s="43" t="str">
        <f t="shared" si="11"/>
        <v/>
      </c>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row>
    <row r="237" spans="1:64" ht="14">
      <c r="A237" s="37"/>
      <c r="B237" s="38"/>
      <c r="C237" s="39">
        <f t="shared" si="9"/>
        <v>0</v>
      </c>
      <c r="D237" s="40"/>
      <c r="E237" s="40"/>
      <c r="F237" s="40"/>
      <c r="G237" s="40"/>
      <c r="H237" s="41"/>
      <c r="I237" s="42"/>
      <c r="J237" s="40"/>
      <c r="K237" s="44">
        <f t="shared" si="10"/>
        <v>0</v>
      </c>
      <c r="L237" s="40"/>
      <c r="M237" s="43" t="str">
        <f t="shared" si="11"/>
        <v/>
      </c>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row>
    <row r="238" spans="1:64" ht="14">
      <c r="A238" s="37"/>
      <c r="B238" s="38"/>
      <c r="C238" s="39">
        <f t="shared" si="9"/>
        <v>0</v>
      </c>
      <c r="D238" s="40"/>
      <c r="E238" s="40"/>
      <c r="F238" s="40"/>
      <c r="G238" s="40"/>
      <c r="H238" s="41"/>
      <c r="I238" s="42"/>
      <c r="J238" s="40"/>
      <c r="K238" s="44">
        <f t="shared" si="10"/>
        <v>0</v>
      </c>
      <c r="L238" s="40"/>
      <c r="M238" s="43" t="str">
        <f t="shared" si="11"/>
        <v/>
      </c>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row>
    <row r="239" spans="1:64" ht="14">
      <c r="A239" s="37"/>
      <c r="B239" s="38"/>
      <c r="C239" s="39">
        <f t="shared" si="9"/>
        <v>0</v>
      </c>
      <c r="D239" s="40"/>
      <c r="E239" s="40"/>
      <c r="F239" s="40"/>
      <c r="G239" s="40"/>
      <c r="H239" s="41"/>
      <c r="I239" s="42"/>
      <c r="J239" s="40"/>
      <c r="K239" s="44">
        <f t="shared" si="10"/>
        <v>0</v>
      </c>
      <c r="L239" s="40"/>
      <c r="M239" s="43" t="str">
        <f t="shared" si="11"/>
        <v/>
      </c>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row>
    <row r="240" spans="1:64" ht="14">
      <c r="A240" s="37"/>
      <c r="B240" s="38"/>
      <c r="C240" s="39">
        <f t="shared" si="9"/>
        <v>0</v>
      </c>
      <c r="D240" s="40"/>
      <c r="E240" s="40"/>
      <c r="F240" s="40"/>
      <c r="G240" s="40"/>
      <c r="H240" s="41"/>
      <c r="I240" s="42"/>
      <c r="J240" s="40"/>
      <c r="K240" s="44">
        <f t="shared" si="10"/>
        <v>0</v>
      </c>
      <c r="L240" s="40"/>
      <c r="M240" s="43" t="str">
        <f t="shared" si="11"/>
        <v/>
      </c>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row>
    <row r="241" spans="1:64" ht="14">
      <c r="A241" s="37"/>
      <c r="B241" s="38"/>
      <c r="C241" s="39">
        <f t="shared" si="9"/>
        <v>0</v>
      </c>
      <c r="D241" s="40"/>
      <c r="E241" s="40"/>
      <c r="F241" s="40"/>
      <c r="G241" s="40"/>
      <c r="H241" s="41"/>
      <c r="I241" s="42"/>
      <c r="J241" s="40"/>
      <c r="K241" s="44">
        <f t="shared" si="10"/>
        <v>0</v>
      </c>
      <c r="L241" s="40"/>
      <c r="M241" s="43" t="str">
        <f t="shared" si="11"/>
        <v/>
      </c>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row>
    <row r="242" spans="1:64" ht="14">
      <c r="A242" s="37"/>
      <c r="B242" s="38"/>
      <c r="C242" s="39">
        <f t="shared" si="9"/>
        <v>0</v>
      </c>
      <c r="D242" s="40"/>
      <c r="E242" s="40"/>
      <c r="F242" s="40"/>
      <c r="G242" s="40"/>
      <c r="H242" s="41"/>
      <c r="I242" s="42"/>
      <c r="J242" s="40"/>
      <c r="K242" s="44">
        <f t="shared" si="10"/>
        <v>0</v>
      </c>
      <c r="L242" s="40"/>
      <c r="M242" s="43" t="str">
        <f t="shared" si="11"/>
        <v/>
      </c>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row>
    <row r="243" spans="1:64" ht="14">
      <c r="A243" s="37"/>
      <c r="B243" s="38"/>
      <c r="C243" s="39">
        <f t="shared" si="9"/>
        <v>0</v>
      </c>
      <c r="D243" s="40"/>
      <c r="E243" s="40"/>
      <c r="F243" s="40"/>
      <c r="G243" s="40"/>
      <c r="H243" s="41"/>
      <c r="I243" s="42"/>
      <c r="J243" s="40"/>
      <c r="K243" s="44">
        <f t="shared" si="10"/>
        <v>0</v>
      </c>
      <c r="L243" s="40"/>
      <c r="M243" s="43" t="str">
        <f t="shared" si="11"/>
        <v/>
      </c>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row>
    <row r="244" spans="1:64" ht="14">
      <c r="A244" s="37"/>
      <c r="B244" s="38"/>
      <c r="C244" s="39">
        <f t="shared" si="9"/>
        <v>0</v>
      </c>
      <c r="D244" s="40"/>
      <c r="E244" s="40"/>
      <c r="F244" s="40"/>
      <c r="G244" s="40"/>
      <c r="H244" s="41"/>
      <c r="I244" s="42"/>
      <c r="J244" s="40"/>
      <c r="K244" s="44">
        <f t="shared" si="10"/>
        <v>0</v>
      </c>
      <c r="L244" s="40"/>
      <c r="M244" s="43" t="str">
        <f t="shared" si="11"/>
        <v/>
      </c>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row>
    <row r="245" spans="1:64" ht="14">
      <c r="A245" s="37"/>
      <c r="B245" s="38"/>
      <c r="C245" s="39">
        <f t="shared" si="9"/>
        <v>0</v>
      </c>
      <c r="D245" s="40"/>
      <c r="E245" s="40"/>
      <c r="F245" s="40"/>
      <c r="G245" s="40"/>
      <c r="H245" s="41"/>
      <c r="I245" s="42"/>
      <c r="J245" s="40"/>
      <c r="K245" s="44">
        <f t="shared" si="10"/>
        <v>0</v>
      </c>
      <c r="L245" s="40"/>
      <c r="M245" s="43" t="str">
        <f t="shared" si="11"/>
        <v/>
      </c>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row>
    <row r="246" spans="1:64" ht="14">
      <c r="A246" s="37"/>
      <c r="B246" s="38"/>
      <c r="C246" s="39">
        <f t="shared" si="9"/>
        <v>0</v>
      </c>
      <c r="D246" s="40"/>
      <c r="E246" s="40"/>
      <c r="F246" s="40"/>
      <c r="G246" s="40"/>
      <c r="H246" s="41"/>
      <c r="I246" s="42"/>
      <c r="J246" s="40"/>
      <c r="K246" s="44">
        <f t="shared" si="10"/>
        <v>0</v>
      </c>
      <c r="L246" s="40"/>
      <c r="M246" s="43" t="str">
        <f t="shared" si="11"/>
        <v/>
      </c>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row>
    <row r="247" spans="1:64" ht="14">
      <c r="A247" s="37"/>
      <c r="B247" s="38"/>
      <c r="C247" s="39">
        <f t="shared" si="9"/>
        <v>0</v>
      </c>
      <c r="D247" s="40"/>
      <c r="E247" s="40"/>
      <c r="F247" s="40"/>
      <c r="G247" s="40"/>
      <c r="H247" s="41"/>
      <c r="I247" s="42"/>
      <c r="J247" s="40"/>
      <c r="K247" s="44">
        <f t="shared" si="10"/>
        <v>0</v>
      </c>
      <c r="L247" s="40"/>
      <c r="M247" s="43" t="str">
        <f t="shared" si="11"/>
        <v/>
      </c>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row>
    <row r="248" spans="1:64" ht="14">
      <c r="A248" s="37"/>
      <c r="B248" s="38"/>
      <c r="C248" s="39">
        <f t="shared" si="9"/>
        <v>0</v>
      </c>
      <c r="D248" s="40"/>
      <c r="E248" s="40"/>
      <c r="F248" s="40"/>
      <c r="G248" s="40"/>
      <c r="H248" s="41"/>
      <c r="I248" s="42"/>
      <c r="J248" s="40"/>
      <c r="K248" s="44">
        <f t="shared" si="10"/>
        <v>0</v>
      </c>
      <c r="L248" s="40"/>
      <c r="M248" s="43" t="str">
        <f t="shared" si="11"/>
        <v/>
      </c>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row>
    <row r="249" spans="1:64" ht="14">
      <c r="A249" s="37"/>
      <c r="B249" s="38"/>
      <c r="C249" s="39">
        <f t="shared" si="9"/>
        <v>0</v>
      </c>
      <c r="D249" s="40"/>
      <c r="E249" s="40"/>
      <c r="F249" s="40"/>
      <c r="G249" s="40"/>
      <c r="H249" s="41"/>
      <c r="I249" s="42"/>
      <c r="J249" s="40"/>
      <c r="K249" s="44">
        <f t="shared" si="10"/>
        <v>0</v>
      </c>
      <c r="L249" s="40"/>
      <c r="M249" s="43" t="str">
        <f t="shared" si="11"/>
        <v/>
      </c>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36"/>
      <c r="BJ249" s="36"/>
      <c r="BK249" s="36"/>
      <c r="BL249" s="36"/>
    </row>
    <row r="250" spans="1:64" ht="14">
      <c r="A250" s="37"/>
      <c r="B250" s="38"/>
      <c r="C250" s="39">
        <f t="shared" si="9"/>
        <v>0</v>
      </c>
      <c r="D250" s="40"/>
      <c r="E250" s="40"/>
      <c r="F250" s="40"/>
      <c r="G250" s="40"/>
      <c r="H250" s="41"/>
      <c r="I250" s="42"/>
      <c r="J250" s="40"/>
      <c r="K250" s="44">
        <f t="shared" si="10"/>
        <v>0</v>
      </c>
      <c r="L250" s="40"/>
      <c r="M250" s="43" t="str">
        <f t="shared" si="11"/>
        <v/>
      </c>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row>
    <row r="251" spans="1:64" ht="14">
      <c r="A251" s="37"/>
      <c r="B251" s="38"/>
      <c r="C251" s="39">
        <f t="shared" si="9"/>
        <v>0</v>
      </c>
      <c r="D251" s="40"/>
      <c r="E251" s="40"/>
      <c r="F251" s="40"/>
      <c r="G251" s="40"/>
      <c r="H251" s="41"/>
      <c r="I251" s="42"/>
      <c r="J251" s="40"/>
      <c r="K251" s="44">
        <f t="shared" si="10"/>
        <v>0</v>
      </c>
      <c r="L251" s="40"/>
      <c r="M251" s="43" t="str">
        <f t="shared" si="11"/>
        <v/>
      </c>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row>
    <row r="252" spans="1:64" ht="14">
      <c r="A252" s="37"/>
      <c r="B252" s="38"/>
      <c r="C252" s="39">
        <f t="shared" si="9"/>
        <v>0</v>
      </c>
      <c r="D252" s="40"/>
      <c r="E252" s="40"/>
      <c r="F252" s="40"/>
      <c r="G252" s="40"/>
      <c r="H252" s="41"/>
      <c r="I252" s="42"/>
      <c r="J252" s="40"/>
      <c r="K252" s="44">
        <f t="shared" si="10"/>
        <v>0</v>
      </c>
      <c r="L252" s="40"/>
      <c r="M252" s="43" t="str">
        <f t="shared" si="11"/>
        <v/>
      </c>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row>
    <row r="253" spans="1:64" ht="14">
      <c r="A253" s="37"/>
      <c r="B253" s="38"/>
      <c r="C253" s="39">
        <f t="shared" si="9"/>
        <v>0</v>
      </c>
      <c r="D253" s="40"/>
      <c r="E253" s="40"/>
      <c r="F253" s="40"/>
      <c r="G253" s="40"/>
      <c r="H253" s="41"/>
      <c r="I253" s="42"/>
      <c r="J253" s="40"/>
      <c r="K253" s="44">
        <f t="shared" si="10"/>
        <v>0</v>
      </c>
      <c r="L253" s="40"/>
      <c r="M253" s="43" t="str">
        <f t="shared" si="11"/>
        <v/>
      </c>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row>
    <row r="254" spans="1:64" ht="14">
      <c r="A254" s="37"/>
      <c r="B254" s="38"/>
      <c r="C254" s="39">
        <f t="shared" si="9"/>
        <v>0</v>
      </c>
      <c r="D254" s="40"/>
      <c r="E254" s="40"/>
      <c r="F254" s="40"/>
      <c r="G254" s="40"/>
      <c r="H254" s="41"/>
      <c r="I254" s="42"/>
      <c r="J254" s="40"/>
      <c r="K254" s="44">
        <f t="shared" si="10"/>
        <v>0</v>
      </c>
      <c r="L254" s="40"/>
      <c r="M254" s="43" t="str">
        <f t="shared" si="11"/>
        <v/>
      </c>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row>
    <row r="255" spans="1:64" ht="14">
      <c r="A255" s="37"/>
      <c r="B255" s="38"/>
      <c r="C255" s="39">
        <f t="shared" si="9"/>
        <v>0</v>
      </c>
      <c r="D255" s="40"/>
      <c r="E255" s="40"/>
      <c r="F255" s="40"/>
      <c r="G255" s="40"/>
      <c r="H255" s="41"/>
      <c r="I255" s="42"/>
      <c r="J255" s="40"/>
      <c r="K255" s="44">
        <f t="shared" si="10"/>
        <v>0</v>
      </c>
      <c r="L255" s="40"/>
      <c r="M255" s="43" t="str">
        <f t="shared" si="11"/>
        <v/>
      </c>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row>
    <row r="256" spans="1:64" ht="14">
      <c r="A256" s="37"/>
      <c r="B256" s="38"/>
      <c r="C256" s="39">
        <f t="shared" si="9"/>
        <v>0</v>
      </c>
      <c r="D256" s="40"/>
      <c r="E256" s="40"/>
      <c r="F256" s="40"/>
      <c r="G256" s="40"/>
      <c r="H256" s="41"/>
      <c r="I256" s="42"/>
      <c r="J256" s="40"/>
      <c r="K256" s="44">
        <f t="shared" si="10"/>
        <v>0</v>
      </c>
      <c r="L256" s="40"/>
      <c r="M256" s="43" t="str">
        <f t="shared" si="11"/>
        <v/>
      </c>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row>
    <row r="257" spans="1:64" ht="14">
      <c r="A257" s="37"/>
      <c r="B257" s="38"/>
      <c r="C257" s="39">
        <f t="shared" si="9"/>
        <v>0</v>
      </c>
      <c r="D257" s="40"/>
      <c r="E257" s="40"/>
      <c r="F257" s="40"/>
      <c r="G257" s="40"/>
      <c r="H257" s="41"/>
      <c r="I257" s="42"/>
      <c r="J257" s="40"/>
      <c r="K257" s="44">
        <f t="shared" si="10"/>
        <v>0</v>
      </c>
      <c r="L257" s="40"/>
      <c r="M257" s="43" t="str">
        <f t="shared" si="11"/>
        <v/>
      </c>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row>
    <row r="258" spans="1:64" ht="14">
      <c r="A258" s="37"/>
      <c r="B258" s="38"/>
      <c r="C258" s="39">
        <f t="shared" si="9"/>
        <v>0</v>
      </c>
      <c r="D258" s="40"/>
      <c r="E258" s="40"/>
      <c r="F258" s="40"/>
      <c r="G258" s="40"/>
      <c r="H258" s="41"/>
      <c r="I258" s="42"/>
      <c r="J258" s="40"/>
      <c r="K258" s="44">
        <f t="shared" si="10"/>
        <v>0</v>
      </c>
      <c r="L258" s="40"/>
      <c r="M258" s="43" t="str">
        <f t="shared" si="11"/>
        <v/>
      </c>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row>
    <row r="259" spans="1:64" ht="14">
      <c r="A259" s="37"/>
      <c r="B259" s="38"/>
      <c r="C259" s="39">
        <f t="shared" si="9"/>
        <v>0</v>
      </c>
      <c r="D259" s="40"/>
      <c r="E259" s="40"/>
      <c r="F259" s="40"/>
      <c r="G259" s="40"/>
      <c r="H259" s="41"/>
      <c r="I259" s="42"/>
      <c r="J259" s="40"/>
      <c r="K259" s="44">
        <f t="shared" si="10"/>
        <v>0</v>
      </c>
      <c r="L259" s="40"/>
      <c r="M259" s="43" t="str">
        <f t="shared" si="11"/>
        <v/>
      </c>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row>
    <row r="260" spans="1:64" ht="14">
      <c r="A260" s="37"/>
      <c r="B260" s="38"/>
      <c r="C260" s="39">
        <f t="shared" si="9"/>
        <v>0</v>
      </c>
      <c r="D260" s="40"/>
      <c r="E260" s="40"/>
      <c r="F260" s="40"/>
      <c r="G260" s="40"/>
      <c r="H260" s="41"/>
      <c r="I260" s="42"/>
      <c r="J260" s="40"/>
      <c r="K260" s="44">
        <f t="shared" si="10"/>
        <v>0</v>
      </c>
      <c r="L260" s="40"/>
      <c r="M260" s="43" t="str">
        <f t="shared" si="11"/>
        <v/>
      </c>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row>
    <row r="261" spans="1:64" ht="14">
      <c r="A261" s="37"/>
      <c r="B261" s="38"/>
      <c r="C261" s="39">
        <f t="shared" si="9"/>
        <v>0</v>
      </c>
      <c r="D261" s="40"/>
      <c r="E261" s="40"/>
      <c r="F261" s="40"/>
      <c r="G261" s="40"/>
      <c r="H261" s="41"/>
      <c r="I261" s="42"/>
      <c r="J261" s="40"/>
      <c r="K261" s="44">
        <f t="shared" si="10"/>
        <v>0</v>
      </c>
      <c r="L261" s="40"/>
      <c r="M261" s="43" t="str">
        <f t="shared" si="11"/>
        <v/>
      </c>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row>
    <row r="262" spans="1:64" ht="14">
      <c r="A262" s="37"/>
      <c r="B262" s="38"/>
      <c r="C262" s="39">
        <f t="shared" si="9"/>
        <v>0</v>
      </c>
      <c r="D262" s="40"/>
      <c r="E262" s="40"/>
      <c r="F262" s="40"/>
      <c r="G262" s="40"/>
      <c r="H262" s="41"/>
      <c r="I262" s="42"/>
      <c r="J262" s="40"/>
      <c r="K262" s="44">
        <f t="shared" si="10"/>
        <v>0</v>
      </c>
      <c r="L262" s="40"/>
      <c r="M262" s="43" t="str">
        <f t="shared" si="11"/>
        <v/>
      </c>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row>
    <row r="263" spans="1:64" ht="14">
      <c r="A263" s="37"/>
      <c r="B263" s="38"/>
      <c r="C263" s="39">
        <f t="shared" si="9"/>
        <v>0</v>
      </c>
      <c r="D263" s="40"/>
      <c r="E263" s="40"/>
      <c r="F263" s="40"/>
      <c r="G263" s="40"/>
      <c r="H263" s="41"/>
      <c r="I263" s="42"/>
      <c r="J263" s="40"/>
      <c r="K263" s="44">
        <f t="shared" si="10"/>
        <v>0</v>
      </c>
      <c r="L263" s="40"/>
      <c r="M263" s="43" t="str">
        <f t="shared" si="11"/>
        <v/>
      </c>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row>
    <row r="264" spans="1:64" ht="14">
      <c r="A264" s="37"/>
      <c r="B264" s="38"/>
      <c r="C264" s="39">
        <f t="shared" si="9"/>
        <v>0</v>
      </c>
      <c r="D264" s="40"/>
      <c r="E264" s="40"/>
      <c r="F264" s="40"/>
      <c r="G264" s="40"/>
      <c r="H264" s="41"/>
      <c r="I264" s="42"/>
      <c r="J264" s="40"/>
      <c r="K264" s="44">
        <f t="shared" si="10"/>
        <v>0</v>
      </c>
      <c r="L264" s="40"/>
      <c r="M264" s="43" t="str">
        <f t="shared" si="11"/>
        <v/>
      </c>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row>
    <row r="265" spans="1:64" ht="14">
      <c r="A265" s="37"/>
      <c r="B265" s="38"/>
      <c r="C265" s="39">
        <f t="shared" si="9"/>
        <v>0</v>
      </c>
      <c r="D265" s="40"/>
      <c r="E265" s="40"/>
      <c r="F265" s="40"/>
      <c r="G265" s="40"/>
      <c r="H265" s="41"/>
      <c r="I265" s="42"/>
      <c r="J265" s="40"/>
      <c r="K265" s="44">
        <f t="shared" si="10"/>
        <v>0</v>
      </c>
      <c r="L265" s="40"/>
      <c r="M265" s="43" t="str">
        <f t="shared" si="11"/>
        <v/>
      </c>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row>
    <row r="266" spans="1:64" ht="14">
      <c r="A266" s="37"/>
      <c r="B266" s="38"/>
      <c r="C266" s="39">
        <f t="shared" ref="C266:C329" si="12">IF($B266&lt;&gt;"",VLOOKUP($B266,Matriz_INM,2,0),0)</f>
        <v>0</v>
      </c>
      <c r="D266" s="40"/>
      <c r="E266" s="40"/>
      <c r="F266" s="40"/>
      <c r="G266" s="40"/>
      <c r="H266" s="41"/>
      <c r="I266" s="42"/>
      <c r="J266" s="40"/>
      <c r="K266" s="44">
        <f t="shared" ref="K266:K329" si="13">IF(M266="%",(IF($J266="EE",4,IF($J266="CE",4,IF($J266="SE",5,IF($J266="ALI",7,IF($J266="AIE",5,0))))))*$C266,$C266*$I266)</f>
        <v>0</v>
      </c>
      <c r="L266" s="40"/>
      <c r="M266" s="43" t="str">
        <f t="shared" ref="M266:M329" si="14">IFERROR(VLOOKUP($B266,Matriz_INM,3,0),"")</f>
        <v/>
      </c>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row>
    <row r="267" spans="1:64" ht="14">
      <c r="A267" s="37"/>
      <c r="B267" s="38"/>
      <c r="C267" s="39">
        <f t="shared" si="12"/>
        <v>0</v>
      </c>
      <c r="D267" s="40"/>
      <c r="E267" s="40"/>
      <c r="F267" s="40"/>
      <c r="G267" s="40"/>
      <c r="H267" s="41"/>
      <c r="I267" s="42"/>
      <c r="J267" s="40"/>
      <c r="K267" s="44">
        <f t="shared" si="13"/>
        <v>0</v>
      </c>
      <c r="L267" s="40"/>
      <c r="M267" s="43" t="str">
        <f t="shared" si="14"/>
        <v/>
      </c>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row>
    <row r="268" spans="1:64" ht="14">
      <c r="A268" s="37"/>
      <c r="B268" s="38"/>
      <c r="C268" s="39">
        <f t="shared" si="12"/>
        <v>0</v>
      </c>
      <c r="D268" s="40"/>
      <c r="E268" s="40"/>
      <c r="F268" s="40"/>
      <c r="G268" s="40"/>
      <c r="H268" s="41"/>
      <c r="I268" s="42"/>
      <c r="J268" s="40"/>
      <c r="K268" s="44">
        <f t="shared" si="13"/>
        <v>0</v>
      </c>
      <c r="L268" s="40"/>
      <c r="M268" s="43" t="str">
        <f t="shared" si="14"/>
        <v/>
      </c>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row>
    <row r="269" spans="1:64" ht="14">
      <c r="A269" s="37"/>
      <c r="B269" s="38"/>
      <c r="C269" s="39">
        <f t="shared" si="12"/>
        <v>0</v>
      </c>
      <c r="D269" s="40"/>
      <c r="E269" s="40"/>
      <c r="F269" s="40"/>
      <c r="G269" s="40"/>
      <c r="H269" s="41"/>
      <c r="I269" s="42"/>
      <c r="J269" s="40"/>
      <c r="K269" s="44">
        <f t="shared" si="13"/>
        <v>0</v>
      </c>
      <c r="L269" s="40"/>
      <c r="M269" s="43" t="str">
        <f t="shared" si="14"/>
        <v/>
      </c>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row>
    <row r="270" spans="1:64" ht="14">
      <c r="A270" s="37"/>
      <c r="B270" s="38"/>
      <c r="C270" s="39">
        <f t="shared" si="12"/>
        <v>0</v>
      </c>
      <c r="D270" s="40"/>
      <c r="E270" s="40"/>
      <c r="F270" s="40"/>
      <c r="G270" s="40"/>
      <c r="H270" s="41"/>
      <c r="I270" s="42"/>
      <c r="J270" s="40"/>
      <c r="K270" s="44">
        <f t="shared" si="13"/>
        <v>0</v>
      </c>
      <c r="L270" s="40"/>
      <c r="M270" s="43" t="str">
        <f t="shared" si="14"/>
        <v/>
      </c>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row>
    <row r="271" spans="1:64" ht="14">
      <c r="A271" s="37"/>
      <c r="B271" s="38"/>
      <c r="C271" s="39">
        <f t="shared" si="12"/>
        <v>0</v>
      </c>
      <c r="D271" s="40"/>
      <c r="E271" s="40"/>
      <c r="F271" s="40"/>
      <c r="G271" s="40"/>
      <c r="H271" s="41"/>
      <c r="I271" s="42"/>
      <c r="J271" s="40"/>
      <c r="K271" s="44">
        <f t="shared" si="13"/>
        <v>0</v>
      </c>
      <c r="L271" s="40"/>
      <c r="M271" s="43" t="str">
        <f t="shared" si="14"/>
        <v/>
      </c>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row>
    <row r="272" spans="1:64" ht="14">
      <c r="A272" s="37"/>
      <c r="B272" s="38"/>
      <c r="C272" s="39">
        <f t="shared" si="12"/>
        <v>0</v>
      </c>
      <c r="D272" s="40"/>
      <c r="E272" s="40"/>
      <c r="F272" s="40"/>
      <c r="G272" s="40"/>
      <c r="H272" s="41"/>
      <c r="I272" s="42"/>
      <c r="J272" s="40"/>
      <c r="K272" s="44">
        <f t="shared" si="13"/>
        <v>0</v>
      </c>
      <c r="L272" s="40"/>
      <c r="M272" s="43" t="str">
        <f t="shared" si="14"/>
        <v/>
      </c>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row>
    <row r="273" spans="1:64" ht="14">
      <c r="A273" s="37"/>
      <c r="B273" s="38"/>
      <c r="C273" s="39">
        <f t="shared" si="12"/>
        <v>0</v>
      </c>
      <c r="D273" s="40"/>
      <c r="E273" s="40"/>
      <c r="F273" s="40"/>
      <c r="G273" s="40"/>
      <c r="H273" s="41"/>
      <c r="I273" s="42"/>
      <c r="J273" s="40"/>
      <c r="K273" s="44">
        <f t="shared" si="13"/>
        <v>0</v>
      </c>
      <c r="L273" s="40"/>
      <c r="M273" s="43" t="str">
        <f t="shared" si="14"/>
        <v/>
      </c>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row>
    <row r="274" spans="1:64" ht="14">
      <c r="A274" s="37"/>
      <c r="B274" s="38"/>
      <c r="C274" s="39">
        <f t="shared" si="12"/>
        <v>0</v>
      </c>
      <c r="D274" s="40"/>
      <c r="E274" s="40"/>
      <c r="F274" s="40"/>
      <c r="G274" s="40"/>
      <c r="H274" s="41"/>
      <c r="I274" s="42"/>
      <c r="J274" s="40"/>
      <c r="K274" s="44">
        <f t="shared" si="13"/>
        <v>0</v>
      </c>
      <c r="L274" s="40"/>
      <c r="M274" s="43" t="str">
        <f t="shared" si="14"/>
        <v/>
      </c>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row>
    <row r="275" spans="1:64" ht="14">
      <c r="A275" s="37"/>
      <c r="B275" s="38"/>
      <c r="C275" s="39">
        <f t="shared" si="12"/>
        <v>0</v>
      </c>
      <c r="D275" s="40"/>
      <c r="E275" s="40"/>
      <c r="F275" s="40"/>
      <c r="G275" s="40"/>
      <c r="H275" s="41"/>
      <c r="I275" s="42"/>
      <c r="J275" s="40"/>
      <c r="K275" s="44">
        <f t="shared" si="13"/>
        <v>0</v>
      </c>
      <c r="L275" s="40"/>
      <c r="M275" s="43" t="str">
        <f t="shared" si="14"/>
        <v/>
      </c>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row>
    <row r="276" spans="1:64" ht="14">
      <c r="A276" s="37"/>
      <c r="B276" s="38"/>
      <c r="C276" s="39">
        <f t="shared" si="12"/>
        <v>0</v>
      </c>
      <c r="D276" s="40"/>
      <c r="E276" s="40"/>
      <c r="F276" s="40"/>
      <c r="G276" s="40"/>
      <c r="H276" s="41"/>
      <c r="I276" s="42"/>
      <c r="J276" s="40"/>
      <c r="K276" s="44">
        <f t="shared" si="13"/>
        <v>0</v>
      </c>
      <c r="L276" s="40"/>
      <c r="M276" s="43" t="str">
        <f t="shared" si="14"/>
        <v/>
      </c>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row>
    <row r="277" spans="1:64" ht="14">
      <c r="A277" s="37"/>
      <c r="B277" s="38"/>
      <c r="C277" s="39">
        <f t="shared" si="12"/>
        <v>0</v>
      </c>
      <c r="D277" s="40"/>
      <c r="E277" s="40"/>
      <c r="F277" s="40"/>
      <c r="G277" s="40"/>
      <c r="H277" s="41"/>
      <c r="I277" s="42"/>
      <c r="J277" s="40"/>
      <c r="K277" s="44">
        <f t="shared" si="13"/>
        <v>0</v>
      </c>
      <c r="L277" s="40"/>
      <c r="M277" s="43" t="str">
        <f t="shared" si="14"/>
        <v/>
      </c>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row>
    <row r="278" spans="1:64" ht="14">
      <c r="A278" s="37"/>
      <c r="B278" s="38"/>
      <c r="C278" s="39">
        <f t="shared" si="12"/>
        <v>0</v>
      </c>
      <c r="D278" s="40"/>
      <c r="E278" s="40"/>
      <c r="F278" s="40"/>
      <c r="G278" s="40"/>
      <c r="H278" s="41"/>
      <c r="I278" s="42"/>
      <c r="J278" s="40"/>
      <c r="K278" s="44">
        <f t="shared" si="13"/>
        <v>0</v>
      </c>
      <c r="L278" s="40"/>
      <c r="M278" s="43" t="str">
        <f t="shared" si="14"/>
        <v/>
      </c>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row>
    <row r="279" spans="1:64" ht="14">
      <c r="A279" s="37"/>
      <c r="B279" s="38"/>
      <c r="C279" s="39">
        <f t="shared" si="12"/>
        <v>0</v>
      </c>
      <c r="D279" s="40"/>
      <c r="E279" s="40"/>
      <c r="F279" s="40"/>
      <c r="G279" s="40"/>
      <c r="H279" s="41"/>
      <c r="I279" s="42"/>
      <c r="J279" s="40"/>
      <c r="K279" s="44">
        <f t="shared" si="13"/>
        <v>0</v>
      </c>
      <c r="L279" s="40"/>
      <c r="M279" s="43" t="str">
        <f t="shared" si="14"/>
        <v/>
      </c>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row>
    <row r="280" spans="1:64" ht="14">
      <c r="A280" s="37"/>
      <c r="B280" s="38"/>
      <c r="C280" s="39">
        <f t="shared" si="12"/>
        <v>0</v>
      </c>
      <c r="D280" s="40"/>
      <c r="E280" s="40"/>
      <c r="F280" s="40"/>
      <c r="G280" s="40"/>
      <c r="H280" s="41"/>
      <c r="I280" s="42"/>
      <c r="J280" s="40"/>
      <c r="K280" s="44">
        <f t="shared" si="13"/>
        <v>0</v>
      </c>
      <c r="L280" s="40"/>
      <c r="M280" s="43" t="str">
        <f t="shared" si="14"/>
        <v/>
      </c>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row>
    <row r="281" spans="1:64" ht="14">
      <c r="A281" s="37"/>
      <c r="B281" s="38"/>
      <c r="C281" s="39">
        <f t="shared" si="12"/>
        <v>0</v>
      </c>
      <c r="D281" s="40"/>
      <c r="E281" s="40"/>
      <c r="F281" s="40"/>
      <c r="G281" s="40"/>
      <c r="H281" s="41"/>
      <c r="I281" s="42"/>
      <c r="J281" s="40"/>
      <c r="K281" s="44">
        <f t="shared" si="13"/>
        <v>0</v>
      </c>
      <c r="L281" s="40"/>
      <c r="M281" s="43" t="str">
        <f t="shared" si="14"/>
        <v/>
      </c>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row>
    <row r="282" spans="1:64" ht="14">
      <c r="A282" s="37"/>
      <c r="B282" s="38"/>
      <c r="C282" s="39">
        <f t="shared" si="12"/>
        <v>0</v>
      </c>
      <c r="D282" s="40"/>
      <c r="E282" s="40"/>
      <c r="F282" s="40"/>
      <c r="G282" s="40"/>
      <c r="H282" s="41"/>
      <c r="I282" s="42"/>
      <c r="J282" s="40"/>
      <c r="K282" s="44">
        <f t="shared" si="13"/>
        <v>0</v>
      </c>
      <c r="L282" s="40"/>
      <c r="M282" s="43" t="str">
        <f t="shared" si="14"/>
        <v/>
      </c>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row>
    <row r="283" spans="1:64" ht="14">
      <c r="A283" s="37"/>
      <c r="B283" s="38"/>
      <c r="C283" s="39">
        <f t="shared" si="12"/>
        <v>0</v>
      </c>
      <c r="D283" s="40"/>
      <c r="E283" s="40"/>
      <c r="F283" s="40"/>
      <c r="G283" s="40"/>
      <c r="H283" s="41"/>
      <c r="I283" s="42"/>
      <c r="J283" s="40"/>
      <c r="K283" s="44">
        <f t="shared" si="13"/>
        <v>0</v>
      </c>
      <c r="L283" s="40"/>
      <c r="M283" s="43" t="str">
        <f t="shared" si="14"/>
        <v/>
      </c>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row>
    <row r="284" spans="1:64" ht="14">
      <c r="A284" s="37"/>
      <c r="B284" s="38"/>
      <c r="C284" s="39">
        <f t="shared" si="12"/>
        <v>0</v>
      </c>
      <c r="D284" s="40"/>
      <c r="E284" s="40"/>
      <c r="F284" s="40"/>
      <c r="G284" s="40"/>
      <c r="H284" s="41"/>
      <c r="I284" s="42"/>
      <c r="J284" s="40"/>
      <c r="K284" s="44">
        <f t="shared" si="13"/>
        <v>0</v>
      </c>
      <c r="L284" s="40"/>
      <c r="M284" s="43" t="str">
        <f t="shared" si="14"/>
        <v/>
      </c>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row>
    <row r="285" spans="1:64" ht="14">
      <c r="A285" s="37"/>
      <c r="B285" s="38"/>
      <c r="C285" s="39">
        <f t="shared" si="12"/>
        <v>0</v>
      </c>
      <c r="D285" s="40"/>
      <c r="E285" s="40"/>
      <c r="F285" s="40"/>
      <c r="G285" s="40"/>
      <c r="H285" s="41"/>
      <c r="I285" s="42"/>
      <c r="J285" s="40"/>
      <c r="K285" s="44">
        <f t="shared" si="13"/>
        <v>0</v>
      </c>
      <c r="L285" s="40"/>
      <c r="M285" s="43" t="str">
        <f t="shared" si="14"/>
        <v/>
      </c>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row>
    <row r="286" spans="1:64" ht="14">
      <c r="A286" s="37"/>
      <c r="B286" s="38"/>
      <c r="C286" s="39">
        <f t="shared" si="12"/>
        <v>0</v>
      </c>
      <c r="D286" s="40"/>
      <c r="E286" s="40"/>
      <c r="F286" s="40"/>
      <c r="G286" s="40"/>
      <c r="H286" s="41"/>
      <c r="I286" s="42"/>
      <c r="J286" s="40"/>
      <c r="K286" s="44">
        <f t="shared" si="13"/>
        <v>0</v>
      </c>
      <c r="L286" s="40"/>
      <c r="M286" s="43" t="str">
        <f t="shared" si="14"/>
        <v/>
      </c>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row>
    <row r="287" spans="1:64" ht="14">
      <c r="A287" s="37"/>
      <c r="B287" s="38"/>
      <c r="C287" s="39">
        <f t="shared" si="12"/>
        <v>0</v>
      </c>
      <c r="D287" s="40"/>
      <c r="E287" s="40"/>
      <c r="F287" s="40"/>
      <c r="G287" s="40"/>
      <c r="H287" s="41"/>
      <c r="I287" s="42"/>
      <c r="J287" s="40"/>
      <c r="K287" s="44">
        <f t="shared" si="13"/>
        <v>0</v>
      </c>
      <c r="L287" s="40"/>
      <c r="M287" s="43" t="str">
        <f t="shared" si="14"/>
        <v/>
      </c>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row>
    <row r="288" spans="1:64" ht="14">
      <c r="A288" s="37"/>
      <c r="B288" s="38"/>
      <c r="C288" s="39">
        <f t="shared" si="12"/>
        <v>0</v>
      </c>
      <c r="D288" s="40"/>
      <c r="E288" s="40"/>
      <c r="F288" s="40"/>
      <c r="G288" s="40"/>
      <c r="H288" s="41"/>
      <c r="I288" s="42"/>
      <c r="J288" s="40"/>
      <c r="K288" s="44">
        <f t="shared" si="13"/>
        <v>0</v>
      </c>
      <c r="L288" s="40"/>
      <c r="M288" s="43" t="str">
        <f t="shared" si="14"/>
        <v/>
      </c>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row>
    <row r="289" spans="1:64" ht="14">
      <c r="A289" s="37"/>
      <c r="B289" s="38"/>
      <c r="C289" s="39">
        <f t="shared" si="12"/>
        <v>0</v>
      </c>
      <c r="D289" s="40"/>
      <c r="E289" s="40"/>
      <c r="F289" s="40"/>
      <c r="G289" s="40"/>
      <c r="H289" s="41"/>
      <c r="I289" s="42"/>
      <c r="J289" s="40"/>
      <c r="K289" s="44">
        <f t="shared" si="13"/>
        <v>0</v>
      </c>
      <c r="L289" s="40"/>
      <c r="M289" s="43" t="str">
        <f t="shared" si="14"/>
        <v/>
      </c>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row>
    <row r="290" spans="1:64" ht="14">
      <c r="A290" s="37"/>
      <c r="B290" s="38"/>
      <c r="C290" s="39">
        <f t="shared" si="12"/>
        <v>0</v>
      </c>
      <c r="D290" s="40"/>
      <c r="E290" s="40"/>
      <c r="F290" s="40"/>
      <c r="G290" s="40"/>
      <c r="H290" s="41"/>
      <c r="I290" s="42"/>
      <c r="J290" s="40"/>
      <c r="K290" s="44">
        <f t="shared" si="13"/>
        <v>0</v>
      </c>
      <c r="L290" s="40"/>
      <c r="M290" s="43" t="str">
        <f t="shared" si="14"/>
        <v/>
      </c>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row>
    <row r="291" spans="1:64" ht="14">
      <c r="A291" s="37"/>
      <c r="B291" s="38"/>
      <c r="C291" s="39">
        <f t="shared" si="12"/>
        <v>0</v>
      </c>
      <c r="D291" s="40"/>
      <c r="E291" s="40"/>
      <c r="F291" s="40"/>
      <c r="G291" s="40"/>
      <c r="H291" s="41"/>
      <c r="I291" s="42"/>
      <c r="J291" s="40"/>
      <c r="K291" s="44">
        <f t="shared" si="13"/>
        <v>0</v>
      </c>
      <c r="L291" s="40"/>
      <c r="M291" s="43" t="str">
        <f t="shared" si="14"/>
        <v/>
      </c>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row>
    <row r="292" spans="1:64" ht="14">
      <c r="A292" s="37"/>
      <c r="B292" s="38"/>
      <c r="C292" s="39">
        <f t="shared" si="12"/>
        <v>0</v>
      </c>
      <c r="D292" s="40"/>
      <c r="E292" s="40"/>
      <c r="F292" s="40"/>
      <c r="G292" s="40"/>
      <c r="H292" s="41"/>
      <c r="I292" s="42"/>
      <c r="J292" s="40"/>
      <c r="K292" s="44">
        <f t="shared" si="13"/>
        <v>0</v>
      </c>
      <c r="L292" s="40"/>
      <c r="M292" s="43" t="str">
        <f t="shared" si="14"/>
        <v/>
      </c>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row>
    <row r="293" spans="1:64" ht="14">
      <c r="A293" s="37"/>
      <c r="B293" s="38"/>
      <c r="C293" s="39">
        <f t="shared" si="12"/>
        <v>0</v>
      </c>
      <c r="D293" s="40"/>
      <c r="E293" s="40"/>
      <c r="F293" s="40"/>
      <c r="G293" s="40"/>
      <c r="H293" s="41"/>
      <c r="I293" s="42"/>
      <c r="J293" s="40"/>
      <c r="K293" s="44">
        <f t="shared" si="13"/>
        <v>0</v>
      </c>
      <c r="L293" s="40"/>
      <c r="M293" s="43" t="str">
        <f t="shared" si="14"/>
        <v/>
      </c>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row>
    <row r="294" spans="1:64" ht="14">
      <c r="A294" s="37"/>
      <c r="B294" s="38"/>
      <c r="C294" s="39">
        <f t="shared" si="12"/>
        <v>0</v>
      </c>
      <c r="D294" s="40"/>
      <c r="E294" s="40"/>
      <c r="F294" s="40"/>
      <c r="G294" s="40"/>
      <c r="H294" s="41"/>
      <c r="I294" s="42"/>
      <c r="J294" s="40"/>
      <c r="K294" s="44">
        <f t="shared" si="13"/>
        <v>0</v>
      </c>
      <c r="L294" s="40"/>
      <c r="M294" s="43" t="str">
        <f t="shared" si="14"/>
        <v/>
      </c>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row>
    <row r="295" spans="1:64" ht="14">
      <c r="A295" s="37"/>
      <c r="B295" s="38"/>
      <c r="C295" s="39">
        <f t="shared" si="12"/>
        <v>0</v>
      </c>
      <c r="D295" s="40"/>
      <c r="E295" s="40"/>
      <c r="F295" s="40"/>
      <c r="G295" s="40"/>
      <c r="H295" s="41"/>
      <c r="I295" s="42"/>
      <c r="J295" s="40"/>
      <c r="K295" s="44">
        <f t="shared" si="13"/>
        <v>0</v>
      </c>
      <c r="L295" s="40"/>
      <c r="M295" s="43" t="str">
        <f t="shared" si="14"/>
        <v/>
      </c>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row>
    <row r="296" spans="1:64" ht="14">
      <c r="A296" s="37"/>
      <c r="B296" s="38"/>
      <c r="C296" s="39">
        <f t="shared" si="12"/>
        <v>0</v>
      </c>
      <c r="D296" s="40"/>
      <c r="E296" s="40"/>
      <c r="F296" s="40"/>
      <c r="G296" s="40"/>
      <c r="H296" s="41"/>
      <c r="I296" s="42"/>
      <c r="J296" s="40"/>
      <c r="K296" s="44">
        <f t="shared" si="13"/>
        <v>0</v>
      </c>
      <c r="L296" s="40"/>
      <c r="M296" s="43" t="str">
        <f t="shared" si="14"/>
        <v/>
      </c>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row>
    <row r="297" spans="1:64" ht="14">
      <c r="A297" s="37"/>
      <c r="B297" s="38"/>
      <c r="C297" s="39">
        <f t="shared" si="12"/>
        <v>0</v>
      </c>
      <c r="D297" s="40"/>
      <c r="E297" s="40"/>
      <c r="F297" s="40"/>
      <c r="G297" s="40"/>
      <c r="H297" s="41"/>
      <c r="I297" s="42"/>
      <c r="J297" s="40"/>
      <c r="K297" s="44">
        <f t="shared" si="13"/>
        <v>0</v>
      </c>
      <c r="L297" s="40"/>
      <c r="M297" s="43" t="str">
        <f t="shared" si="14"/>
        <v/>
      </c>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row>
    <row r="298" spans="1:64" ht="14">
      <c r="A298" s="37"/>
      <c r="B298" s="38"/>
      <c r="C298" s="39">
        <f t="shared" si="12"/>
        <v>0</v>
      </c>
      <c r="D298" s="40"/>
      <c r="E298" s="40"/>
      <c r="F298" s="40"/>
      <c r="G298" s="40"/>
      <c r="H298" s="41"/>
      <c r="I298" s="42"/>
      <c r="J298" s="40"/>
      <c r="K298" s="44">
        <f t="shared" si="13"/>
        <v>0</v>
      </c>
      <c r="L298" s="40"/>
      <c r="M298" s="43" t="str">
        <f t="shared" si="14"/>
        <v/>
      </c>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row>
    <row r="299" spans="1:64" ht="14">
      <c r="A299" s="37"/>
      <c r="B299" s="38"/>
      <c r="C299" s="39">
        <f t="shared" si="12"/>
        <v>0</v>
      </c>
      <c r="D299" s="40"/>
      <c r="E299" s="40"/>
      <c r="F299" s="40"/>
      <c r="G299" s="40"/>
      <c r="H299" s="41"/>
      <c r="I299" s="42"/>
      <c r="J299" s="40"/>
      <c r="K299" s="44">
        <f t="shared" si="13"/>
        <v>0</v>
      </c>
      <c r="L299" s="40"/>
      <c r="M299" s="43" t="str">
        <f t="shared" si="14"/>
        <v/>
      </c>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row>
    <row r="300" spans="1:64" ht="14">
      <c r="A300" s="37"/>
      <c r="B300" s="38"/>
      <c r="C300" s="39">
        <f t="shared" si="12"/>
        <v>0</v>
      </c>
      <c r="D300" s="40"/>
      <c r="E300" s="40"/>
      <c r="F300" s="40"/>
      <c r="G300" s="40"/>
      <c r="H300" s="41"/>
      <c r="I300" s="42"/>
      <c r="J300" s="40"/>
      <c r="K300" s="44">
        <f t="shared" si="13"/>
        <v>0</v>
      </c>
      <c r="L300" s="40"/>
      <c r="M300" s="43" t="str">
        <f t="shared" si="14"/>
        <v/>
      </c>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row>
    <row r="301" spans="1:64" ht="14">
      <c r="A301" s="37"/>
      <c r="B301" s="38"/>
      <c r="C301" s="39">
        <f t="shared" si="12"/>
        <v>0</v>
      </c>
      <c r="D301" s="40"/>
      <c r="E301" s="40"/>
      <c r="F301" s="40"/>
      <c r="G301" s="40"/>
      <c r="H301" s="41"/>
      <c r="I301" s="42"/>
      <c r="J301" s="40"/>
      <c r="K301" s="44">
        <f t="shared" si="13"/>
        <v>0</v>
      </c>
      <c r="L301" s="40"/>
      <c r="M301" s="43" t="str">
        <f t="shared" si="14"/>
        <v/>
      </c>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row>
    <row r="302" spans="1:64" ht="14">
      <c r="A302" s="37"/>
      <c r="B302" s="38"/>
      <c r="C302" s="39">
        <f t="shared" si="12"/>
        <v>0</v>
      </c>
      <c r="D302" s="40"/>
      <c r="E302" s="40"/>
      <c r="F302" s="40"/>
      <c r="G302" s="40"/>
      <c r="H302" s="41"/>
      <c r="I302" s="42"/>
      <c r="J302" s="40"/>
      <c r="K302" s="44">
        <f t="shared" si="13"/>
        <v>0</v>
      </c>
      <c r="L302" s="40"/>
      <c r="M302" s="43" t="str">
        <f t="shared" si="14"/>
        <v/>
      </c>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row>
    <row r="303" spans="1:64" ht="14">
      <c r="A303" s="37"/>
      <c r="B303" s="38"/>
      <c r="C303" s="39">
        <f t="shared" si="12"/>
        <v>0</v>
      </c>
      <c r="D303" s="40"/>
      <c r="E303" s="40"/>
      <c r="F303" s="40"/>
      <c r="G303" s="40"/>
      <c r="H303" s="41"/>
      <c r="I303" s="42"/>
      <c r="J303" s="40"/>
      <c r="K303" s="44">
        <f t="shared" si="13"/>
        <v>0</v>
      </c>
      <c r="L303" s="40"/>
      <c r="M303" s="43" t="str">
        <f t="shared" si="14"/>
        <v/>
      </c>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row>
    <row r="304" spans="1:64" ht="14">
      <c r="A304" s="37"/>
      <c r="B304" s="38"/>
      <c r="C304" s="39">
        <f t="shared" si="12"/>
        <v>0</v>
      </c>
      <c r="D304" s="40"/>
      <c r="E304" s="40"/>
      <c r="F304" s="40"/>
      <c r="G304" s="40"/>
      <c r="H304" s="41"/>
      <c r="I304" s="42"/>
      <c r="J304" s="40"/>
      <c r="K304" s="44">
        <f t="shared" si="13"/>
        <v>0</v>
      </c>
      <c r="L304" s="40"/>
      <c r="M304" s="43" t="str">
        <f t="shared" si="14"/>
        <v/>
      </c>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row>
    <row r="305" spans="1:64" ht="14">
      <c r="A305" s="37"/>
      <c r="B305" s="38"/>
      <c r="C305" s="39">
        <f t="shared" si="12"/>
        <v>0</v>
      </c>
      <c r="D305" s="40"/>
      <c r="E305" s="40"/>
      <c r="F305" s="40"/>
      <c r="G305" s="40"/>
      <c r="H305" s="41"/>
      <c r="I305" s="42"/>
      <c r="J305" s="40"/>
      <c r="K305" s="44">
        <f t="shared" si="13"/>
        <v>0</v>
      </c>
      <c r="L305" s="40"/>
      <c r="M305" s="43" t="str">
        <f t="shared" si="14"/>
        <v/>
      </c>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row>
    <row r="306" spans="1:64" ht="14">
      <c r="A306" s="37"/>
      <c r="B306" s="38"/>
      <c r="C306" s="39">
        <f t="shared" si="12"/>
        <v>0</v>
      </c>
      <c r="D306" s="40"/>
      <c r="E306" s="40"/>
      <c r="F306" s="40"/>
      <c r="G306" s="40"/>
      <c r="H306" s="41"/>
      <c r="I306" s="42"/>
      <c r="J306" s="40"/>
      <c r="K306" s="44">
        <f t="shared" si="13"/>
        <v>0</v>
      </c>
      <c r="L306" s="40"/>
      <c r="M306" s="43" t="str">
        <f t="shared" si="14"/>
        <v/>
      </c>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row>
    <row r="307" spans="1:64" ht="14">
      <c r="A307" s="37"/>
      <c r="B307" s="38"/>
      <c r="C307" s="39">
        <f t="shared" si="12"/>
        <v>0</v>
      </c>
      <c r="D307" s="40"/>
      <c r="E307" s="40"/>
      <c r="F307" s="40"/>
      <c r="G307" s="40"/>
      <c r="H307" s="41"/>
      <c r="I307" s="42"/>
      <c r="J307" s="40"/>
      <c r="K307" s="44">
        <f t="shared" si="13"/>
        <v>0</v>
      </c>
      <c r="L307" s="40"/>
      <c r="M307" s="43" t="str">
        <f t="shared" si="14"/>
        <v/>
      </c>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row>
    <row r="308" spans="1:64" ht="14">
      <c r="A308" s="37"/>
      <c r="B308" s="38"/>
      <c r="C308" s="39">
        <f t="shared" si="12"/>
        <v>0</v>
      </c>
      <c r="D308" s="40"/>
      <c r="E308" s="40"/>
      <c r="F308" s="40"/>
      <c r="G308" s="40"/>
      <c r="H308" s="41"/>
      <c r="I308" s="42"/>
      <c r="J308" s="40"/>
      <c r="K308" s="44">
        <f t="shared" si="13"/>
        <v>0</v>
      </c>
      <c r="L308" s="40"/>
      <c r="M308" s="43" t="str">
        <f t="shared" si="14"/>
        <v/>
      </c>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row>
    <row r="309" spans="1:64" ht="14">
      <c r="A309" s="37"/>
      <c r="B309" s="38"/>
      <c r="C309" s="39">
        <f t="shared" si="12"/>
        <v>0</v>
      </c>
      <c r="D309" s="40"/>
      <c r="E309" s="40"/>
      <c r="F309" s="40"/>
      <c r="G309" s="40"/>
      <c r="H309" s="41"/>
      <c r="I309" s="42"/>
      <c r="J309" s="40"/>
      <c r="K309" s="44">
        <f t="shared" si="13"/>
        <v>0</v>
      </c>
      <c r="L309" s="40"/>
      <c r="M309" s="43" t="str">
        <f t="shared" si="14"/>
        <v/>
      </c>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row>
    <row r="310" spans="1:64" ht="14">
      <c r="A310" s="37"/>
      <c r="B310" s="38"/>
      <c r="C310" s="39">
        <f t="shared" si="12"/>
        <v>0</v>
      </c>
      <c r="D310" s="40"/>
      <c r="E310" s="40"/>
      <c r="F310" s="40"/>
      <c r="G310" s="40"/>
      <c r="H310" s="41"/>
      <c r="I310" s="42"/>
      <c r="J310" s="40"/>
      <c r="K310" s="44">
        <f t="shared" si="13"/>
        <v>0</v>
      </c>
      <c r="L310" s="40"/>
      <c r="M310" s="43" t="str">
        <f t="shared" si="14"/>
        <v/>
      </c>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row>
    <row r="311" spans="1:64" ht="14">
      <c r="A311" s="37"/>
      <c r="B311" s="38"/>
      <c r="C311" s="39">
        <f t="shared" si="12"/>
        <v>0</v>
      </c>
      <c r="D311" s="40"/>
      <c r="E311" s="40"/>
      <c r="F311" s="40"/>
      <c r="G311" s="40"/>
      <c r="H311" s="41"/>
      <c r="I311" s="42"/>
      <c r="J311" s="40"/>
      <c r="K311" s="44">
        <f t="shared" si="13"/>
        <v>0</v>
      </c>
      <c r="L311" s="40"/>
      <c r="M311" s="43" t="str">
        <f t="shared" si="14"/>
        <v/>
      </c>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row>
    <row r="312" spans="1:64" ht="14">
      <c r="A312" s="37"/>
      <c r="B312" s="38"/>
      <c r="C312" s="39">
        <f t="shared" si="12"/>
        <v>0</v>
      </c>
      <c r="D312" s="40"/>
      <c r="E312" s="40"/>
      <c r="F312" s="40"/>
      <c r="G312" s="40"/>
      <c r="H312" s="41"/>
      <c r="I312" s="42"/>
      <c r="J312" s="40"/>
      <c r="K312" s="44">
        <f t="shared" si="13"/>
        <v>0</v>
      </c>
      <c r="L312" s="40"/>
      <c r="M312" s="43" t="str">
        <f t="shared" si="14"/>
        <v/>
      </c>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row>
    <row r="313" spans="1:64" ht="14">
      <c r="A313" s="37"/>
      <c r="B313" s="38"/>
      <c r="C313" s="39">
        <f t="shared" si="12"/>
        <v>0</v>
      </c>
      <c r="D313" s="40"/>
      <c r="E313" s="40"/>
      <c r="F313" s="40"/>
      <c r="G313" s="40"/>
      <c r="H313" s="41"/>
      <c r="I313" s="42"/>
      <c r="J313" s="40"/>
      <c r="K313" s="44">
        <f t="shared" si="13"/>
        <v>0</v>
      </c>
      <c r="L313" s="40"/>
      <c r="M313" s="43" t="str">
        <f t="shared" si="14"/>
        <v/>
      </c>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row>
    <row r="314" spans="1:64" ht="14">
      <c r="A314" s="37"/>
      <c r="B314" s="38"/>
      <c r="C314" s="39">
        <f t="shared" si="12"/>
        <v>0</v>
      </c>
      <c r="D314" s="40"/>
      <c r="E314" s="40"/>
      <c r="F314" s="40"/>
      <c r="G314" s="40"/>
      <c r="H314" s="41"/>
      <c r="I314" s="42"/>
      <c r="J314" s="40"/>
      <c r="K314" s="44">
        <f t="shared" si="13"/>
        <v>0</v>
      </c>
      <c r="L314" s="40"/>
      <c r="M314" s="43" t="str">
        <f t="shared" si="14"/>
        <v/>
      </c>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row>
    <row r="315" spans="1:64" ht="14">
      <c r="A315" s="37"/>
      <c r="B315" s="38"/>
      <c r="C315" s="39">
        <f t="shared" si="12"/>
        <v>0</v>
      </c>
      <c r="D315" s="40"/>
      <c r="E315" s="40"/>
      <c r="F315" s="40"/>
      <c r="G315" s="40"/>
      <c r="H315" s="41"/>
      <c r="I315" s="42"/>
      <c r="J315" s="40"/>
      <c r="K315" s="44">
        <f t="shared" si="13"/>
        <v>0</v>
      </c>
      <c r="L315" s="40"/>
      <c r="M315" s="43" t="str">
        <f t="shared" si="14"/>
        <v/>
      </c>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row>
    <row r="316" spans="1:64" ht="14">
      <c r="A316" s="37"/>
      <c r="B316" s="38"/>
      <c r="C316" s="39">
        <f t="shared" si="12"/>
        <v>0</v>
      </c>
      <c r="D316" s="40"/>
      <c r="E316" s="40"/>
      <c r="F316" s="40"/>
      <c r="G316" s="40"/>
      <c r="H316" s="41"/>
      <c r="I316" s="42"/>
      <c r="J316" s="40"/>
      <c r="K316" s="44">
        <f t="shared" si="13"/>
        <v>0</v>
      </c>
      <c r="L316" s="40"/>
      <c r="M316" s="43" t="str">
        <f t="shared" si="14"/>
        <v/>
      </c>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row>
    <row r="317" spans="1:64" ht="14">
      <c r="A317" s="37"/>
      <c r="B317" s="38"/>
      <c r="C317" s="39">
        <f t="shared" si="12"/>
        <v>0</v>
      </c>
      <c r="D317" s="40"/>
      <c r="E317" s="40"/>
      <c r="F317" s="40"/>
      <c r="G317" s="40"/>
      <c r="H317" s="41"/>
      <c r="I317" s="42"/>
      <c r="J317" s="40"/>
      <c r="K317" s="44">
        <f t="shared" si="13"/>
        <v>0</v>
      </c>
      <c r="L317" s="40"/>
      <c r="M317" s="43" t="str">
        <f t="shared" si="14"/>
        <v/>
      </c>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row>
    <row r="318" spans="1:64" ht="14">
      <c r="A318" s="37"/>
      <c r="B318" s="38"/>
      <c r="C318" s="39">
        <f t="shared" si="12"/>
        <v>0</v>
      </c>
      <c r="D318" s="40"/>
      <c r="E318" s="40"/>
      <c r="F318" s="40"/>
      <c r="G318" s="40"/>
      <c r="H318" s="41"/>
      <c r="I318" s="42"/>
      <c r="J318" s="40"/>
      <c r="K318" s="44">
        <f t="shared" si="13"/>
        <v>0</v>
      </c>
      <c r="L318" s="40"/>
      <c r="M318" s="43" t="str">
        <f t="shared" si="14"/>
        <v/>
      </c>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row>
    <row r="319" spans="1:64" ht="14">
      <c r="A319" s="37"/>
      <c r="B319" s="38"/>
      <c r="C319" s="39">
        <f t="shared" si="12"/>
        <v>0</v>
      </c>
      <c r="D319" s="40"/>
      <c r="E319" s="40"/>
      <c r="F319" s="40"/>
      <c r="G319" s="40"/>
      <c r="H319" s="41"/>
      <c r="I319" s="42"/>
      <c r="J319" s="40"/>
      <c r="K319" s="44">
        <f t="shared" si="13"/>
        <v>0</v>
      </c>
      <c r="L319" s="40"/>
      <c r="M319" s="43" t="str">
        <f t="shared" si="14"/>
        <v/>
      </c>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row>
    <row r="320" spans="1:64" ht="14">
      <c r="A320" s="37"/>
      <c r="B320" s="38"/>
      <c r="C320" s="39">
        <f t="shared" si="12"/>
        <v>0</v>
      </c>
      <c r="D320" s="40"/>
      <c r="E320" s="40"/>
      <c r="F320" s="40"/>
      <c r="G320" s="40"/>
      <c r="H320" s="41"/>
      <c r="I320" s="42"/>
      <c r="J320" s="40"/>
      <c r="K320" s="44">
        <f t="shared" si="13"/>
        <v>0</v>
      </c>
      <c r="L320" s="40"/>
      <c r="M320" s="43" t="str">
        <f t="shared" si="14"/>
        <v/>
      </c>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row>
    <row r="321" spans="1:64" ht="14">
      <c r="A321" s="37"/>
      <c r="B321" s="38"/>
      <c r="C321" s="39">
        <f t="shared" si="12"/>
        <v>0</v>
      </c>
      <c r="D321" s="40"/>
      <c r="E321" s="40"/>
      <c r="F321" s="40"/>
      <c r="G321" s="40"/>
      <c r="H321" s="41"/>
      <c r="I321" s="42"/>
      <c r="J321" s="40"/>
      <c r="K321" s="44">
        <f t="shared" si="13"/>
        <v>0</v>
      </c>
      <c r="L321" s="40"/>
      <c r="M321" s="43" t="str">
        <f t="shared" si="14"/>
        <v/>
      </c>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row>
    <row r="322" spans="1:64" ht="14">
      <c r="A322" s="37"/>
      <c r="B322" s="38"/>
      <c r="C322" s="39">
        <f t="shared" si="12"/>
        <v>0</v>
      </c>
      <c r="D322" s="40"/>
      <c r="E322" s="40"/>
      <c r="F322" s="40"/>
      <c r="G322" s="40"/>
      <c r="H322" s="41"/>
      <c r="I322" s="42"/>
      <c r="J322" s="40"/>
      <c r="K322" s="44">
        <f t="shared" si="13"/>
        <v>0</v>
      </c>
      <c r="L322" s="40"/>
      <c r="M322" s="43" t="str">
        <f t="shared" si="14"/>
        <v/>
      </c>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row>
    <row r="323" spans="1:64" ht="14">
      <c r="A323" s="37"/>
      <c r="B323" s="38"/>
      <c r="C323" s="39">
        <f t="shared" si="12"/>
        <v>0</v>
      </c>
      <c r="D323" s="40"/>
      <c r="E323" s="40"/>
      <c r="F323" s="40"/>
      <c r="G323" s="40"/>
      <c r="H323" s="41"/>
      <c r="I323" s="42"/>
      <c r="J323" s="40"/>
      <c r="K323" s="44">
        <f t="shared" si="13"/>
        <v>0</v>
      </c>
      <c r="L323" s="40"/>
      <c r="M323" s="43" t="str">
        <f t="shared" si="14"/>
        <v/>
      </c>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row>
    <row r="324" spans="1:64" ht="14">
      <c r="A324" s="37"/>
      <c r="B324" s="38"/>
      <c r="C324" s="39">
        <f t="shared" si="12"/>
        <v>0</v>
      </c>
      <c r="D324" s="40"/>
      <c r="E324" s="40"/>
      <c r="F324" s="40"/>
      <c r="G324" s="40"/>
      <c r="H324" s="41"/>
      <c r="I324" s="42"/>
      <c r="J324" s="40"/>
      <c r="K324" s="44">
        <f t="shared" si="13"/>
        <v>0</v>
      </c>
      <c r="L324" s="40"/>
      <c r="M324" s="43" t="str">
        <f t="shared" si="14"/>
        <v/>
      </c>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row>
    <row r="325" spans="1:64" ht="14">
      <c r="A325" s="37"/>
      <c r="B325" s="38"/>
      <c r="C325" s="39">
        <f t="shared" si="12"/>
        <v>0</v>
      </c>
      <c r="D325" s="40"/>
      <c r="E325" s="40"/>
      <c r="F325" s="40"/>
      <c r="G325" s="40"/>
      <c r="H325" s="41"/>
      <c r="I325" s="42"/>
      <c r="J325" s="40"/>
      <c r="K325" s="44">
        <f t="shared" si="13"/>
        <v>0</v>
      </c>
      <c r="L325" s="40"/>
      <c r="M325" s="43" t="str">
        <f t="shared" si="14"/>
        <v/>
      </c>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row>
    <row r="326" spans="1:64" ht="14">
      <c r="A326" s="37"/>
      <c r="B326" s="38"/>
      <c r="C326" s="39">
        <f t="shared" si="12"/>
        <v>0</v>
      </c>
      <c r="D326" s="40"/>
      <c r="E326" s="40"/>
      <c r="F326" s="40"/>
      <c r="G326" s="40"/>
      <c r="H326" s="41"/>
      <c r="I326" s="42"/>
      <c r="J326" s="40"/>
      <c r="K326" s="44">
        <f t="shared" si="13"/>
        <v>0</v>
      </c>
      <c r="L326" s="40"/>
      <c r="M326" s="43" t="str">
        <f t="shared" si="14"/>
        <v/>
      </c>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row>
    <row r="327" spans="1:64" ht="14">
      <c r="A327" s="37"/>
      <c r="B327" s="38"/>
      <c r="C327" s="39">
        <f t="shared" si="12"/>
        <v>0</v>
      </c>
      <c r="D327" s="40"/>
      <c r="E327" s="40"/>
      <c r="F327" s="40"/>
      <c r="G327" s="40"/>
      <c r="H327" s="41"/>
      <c r="I327" s="42"/>
      <c r="J327" s="40"/>
      <c r="K327" s="44">
        <f t="shared" si="13"/>
        <v>0</v>
      </c>
      <c r="L327" s="40"/>
      <c r="M327" s="43" t="str">
        <f t="shared" si="14"/>
        <v/>
      </c>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row>
    <row r="328" spans="1:64" ht="14">
      <c r="A328" s="37"/>
      <c r="B328" s="38"/>
      <c r="C328" s="39">
        <f t="shared" si="12"/>
        <v>0</v>
      </c>
      <c r="D328" s="40"/>
      <c r="E328" s="40"/>
      <c r="F328" s="40"/>
      <c r="G328" s="40"/>
      <c r="H328" s="41"/>
      <c r="I328" s="42"/>
      <c r="J328" s="40"/>
      <c r="K328" s="44">
        <f t="shared" si="13"/>
        <v>0</v>
      </c>
      <c r="L328" s="40"/>
      <c r="M328" s="43" t="str">
        <f t="shared" si="14"/>
        <v/>
      </c>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row>
    <row r="329" spans="1:64" ht="14">
      <c r="A329" s="37"/>
      <c r="B329" s="38"/>
      <c r="C329" s="39">
        <f t="shared" si="12"/>
        <v>0</v>
      </c>
      <c r="D329" s="40"/>
      <c r="E329" s="40"/>
      <c r="F329" s="40"/>
      <c r="G329" s="40"/>
      <c r="H329" s="41"/>
      <c r="I329" s="42"/>
      <c r="J329" s="40"/>
      <c r="K329" s="44">
        <f t="shared" si="13"/>
        <v>0</v>
      </c>
      <c r="L329" s="40"/>
      <c r="M329" s="43" t="str">
        <f t="shared" si="14"/>
        <v/>
      </c>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row>
    <row r="330" spans="1:64" ht="14">
      <c r="A330" s="37"/>
      <c r="B330" s="38"/>
      <c r="C330" s="39">
        <f t="shared" ref="C330:C382" si="15">IF($B330&lt;&gt;"",VLOOKUP($B330,Matriz_INM,2,0),0)</f>
        <v>0</v>
      </c>
      <c r="D330" s="40"/>
      <c r="E330" s="40"/>
      <c r="F330" s="40"/>
      <c r="G330" s="40"/>
      <c r="H330" s="41"/>
      <c r="I330" s="42"/>
      <c r="J330" s="40"/>
      <c r="K330" s="44">
        <f t="shared" ref="K330:K382" si="16">IF(M330="%",(IF($J330="EE",4,IF($J330="CE",4,IF($J330="SE",5,IF($J330="ALI",7,IF($J330="AIE",5,0))))))*$C330,$C330*$I330)</f>
        <v>0</v>
      </c>
      <c r="L330" s="40"/>
      <c r="M330" s="43" t="str">
        <f t="shared" ref="M330:M382" si="17">IFERROR(VLOOKUP($B330,Matriz_INM,3,0),"")</f>
        <v/>
      </c>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row>
    <row r="331" spans="1:64" ht="14">
      <c r="A331" s="37"/>
      <c r="B331" s="38"/>
      <c r="C331" s="39">
        <f t="shared" si="15"/>
        <v>0</v>
      </c>
      <c r="D331" s="40"/>
      <c r="E331" s="40"/>
      <c r="F331" s="40"/>
      <c r="G331" s="40"/>
      <c r="H331" s="41"/>
      <c r="I331" s="42"/>
      <c r="J331" s="40"/>
      <c r="K331" s="44">
        <f t="shared" si="16"/>
        <v>0</v>
      </c>
      <c r="L331" s="40"/>
      <c r="M331" s="43" t="str">
        <f t="shared" si="17"/>
        <v/>
      </c>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row>
    <row r="332" spans="1:64" ht="14">
      <c r="A332" s="37"/>
      <c r="B332" s="38"/>
      <c r="C332" s="39">
        <f t="shared" si="15"/>
        <v>0</v>
      </c>
      <c r="D332" s="40"/>
      <c r="E332" s="40"/>
      <c r="F332" s="40"/>
      <c r="G332" s="40"/>
      <c r="H332" s="41"/>
      <c r="I332" s="42"/>
      <c r="J332" s="40"/>
      <c r="K332" s="44">
        <f t="shared" si="16"/>
        <v>0</v>
      </c>
      <c r="L332" s="40"/>
      <c r="M332" s="43" t="str">
        <f t="shared" si="17"/>
        <v/>
      </c>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row>
    <row r="333" spans="1:64" ht="14">
      <c r="A333" s="37"/>
      <c r="B333" s="38"/>
      <c r="C333" s="39">
        <f t="shared" si="15"/>
        <v>0</v>
      </c>
      <c r="D333" s="40"/>
      <c r="E333" s="40"/>
      <c r="F333" s="40"/>
      <c r="G333" s="40"/>
      <c r="H333" s="41"/>
      <c r="I333" s="42"/>
      <c r="J333" s="40"/>
      <c r="K333" s="44">
        <f t="shared" si="16"/>
        <v>0</v>
      </c>
      <c r="L333" s="40"/>
      <c r="M333" s="43" t="str">
        <f t="shared" si="17"/>
        <v/>
      </c>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row>
    <row r="334" spans="1:64" ht="14">
      <c r="A334" s="37"/>
      <c r="B334" s="38"/>
      <c r="C334" s="39">
        <f t="shared" si="15"/>
        <v>0</v>
      </c>
      <c r="D334" s="40"/>
      <c r="E334" s="40"/>
      <c r="F334" s="40"/>
      <c r="G334" s="40"/>
      <c r="H334" s="41"/>
      <c r="I334" s="42"/>
      <c r="J334" s="40"/>
      <c r="K334" s="44">
        <f t="shared" si="16"/>
        <v>0</v>
      </c>
      <c r="L334" s="40"/>
      <c r="M334" s="43" t="str">
        <f t="shared" si="17"/>
        <v/>
      </c>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row>
    <row r="335" spans="1:64" ht="14">
      <c r="A335" s="37"/>
      <c r="B335" s="38"/>
      <c r="C335" s="39">
        <f t="shared" si="15"/>
        <v>0</v>
      </c>
      <c r="D335" s="40"/>
      <c r="E335" s="40"/>
      <c r="F335" s="40"/>
      <c r="G335" s="40"/>
      <c r="H335" s="41"/>
      <c r="I335" s="42"/>
      <c r="J335" s="40"/>
      <c r="K335" s="44">
        <f t="shared" si="16"/>
        <v>0</v>
      </c>
      <c r="L335" s="40"/>
      <c r="M335" s="43" t="str">
        <f t="shared" si="17"/>
        <v/>
      </c>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row>
    <row r="336" spans="1:64" ht="14">
      <c r="A336" s="37"/>
      <c r="B336" s="38"/>
      <c r="C336" s="39">
        <f t="shared" si="15"/>
        <v>0</v>
      </c>
      <c r="D336" s="40"/>
      <c r="E336" s="40"/>
      <c r="F336" s="40"/>
      <c r="G336" s="40"/>
      <c r="H336" s="41"/>
      <c r="I336" s="42"/>
      <c r="J336" s="40"/>
      <c r="K336" s="44">
        <f t="shared" si="16"/>
        <v>0</v>
      </c>
      <c r="L336" s="40"/>
      <c r="M336" s="43" t="str">
        <f t="shared" si="17"/>
        <v/>
      </c>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row>
    <row r="337" spans="1:64" ht="14">
      <c r="A337" s="37"/>
      <c r="B337" s="38"/>
      <c r="C337" s="39">
        <f t="shared" si="15"/>
        <v>0</v>
      </c>
      <c r="D337" s="40"/>
      <c r="E337" s="40"/>
      <c r="F337" s="40"/>
      <c r="G337" s="40"/>
      <c r="H337" s="41"/>
      <c r="I337" s="42"/>
      <c r="J337" s="40"/>
      <c r="K337" s="44">
        <f t="shared" si="16"/>
        <v>0</v>
      </c>
      <c r="L337" s="40"/>
      <c r="M337" s="43" t="str">
        <f t="shared" si="17"/>
        <v/>
      </c>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row>
    <row r="338" spans="1:64" ht="14">
      <c r="A338" s="37"/>
      <c r="B338" s="38"/>
      <c r="C338" s="39">
        <f t="shared" si="15"/>
        <v>0</v>
      </c>
      <c r="D338" s="40"/>
      <c r="E338" s="40"/>
      <c r="F338" s="40"/>
      <c r="G338" s="40"/>
      <c r="H338" s="41"/>
      <c r="I338" s="42"/>
      <c r="J338" s="40"/>
      <c r="K338" s="44">
        <f t="shared" si="16"/>
        <v>0</v>
      </c>
      <c r="L338" s="40"/>
      <c r="M338" s="43" t="str">
        <f t="shared" si="17"/>
        <v/>
      </c>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row>
    <row r="339" spans="1:64" ht="14">
      <c r="A339" s="37"/>
      <c r="B339" s="38"/>
      <c r="C339" s="39">
        <f t="shared" si="15"/>
        <v>0</v>
      </c>
      <c r="D339" s="40"/>
      <c r="E339" s="40"/>
      <c r="F339" s="40"/>
      <c r="G339" s="40"/>
      <c r="H339" s="41"/>
      <c r="I339" s="42"/>
      <c r="J339" s="40"/>
      <c r="K339" s="44">
        <f t="shared" si="16"/>
        <v>0</v>
      </c>
      <c r="L339" s="40"/>
      <c r="M339" s="43" t="str">
        <f t="shared" si="17"/>
        <v/>
      </c>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row>
    <row r="340" spans="1:64" ht="14">
      <c r="A340" s="37"/>
      <c r="B340" s="38"/>
      <c r="C340" s="39">
        <f t="shared" si="15"/>
        <v>0</v>
      </c>
      <c r="D340" s="40"/>
      <c r="E340" s="40"/>
      <c r="F340" s="40"/>
      <c r="G340" s="40"/>
      <c r="H340" s="41"/>
      <c r="I340" s="42"/>
      <c r="J340" s="40"/>
      <c r="K340" s="44">
        <f t="shared" si="16"/>
        <v>0</v>
      </c>
      <c r="L340" s="40"/>
      <c r="M340" s="43" t="str">
        <f t="shared" si="17"/>
        <v/>
      </c>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row>
    <row r="341" spans="1:64" ht="14">
      <c r="A341" s="37"/>
      <c r="B341" s="38"/>
      <c r="C341" s="39">
        <f t="shared" si="15"/>
        <v>0</v>
      </c>
      <c r="D341" s="40"/>
      <c r="E341" s="40"/>
      <c r="F341" s="40"/>
      <c r="G341" s="40"/>
      <c r="H341" s="41"/>
      <c r="I341" s="42"/>
      <c r="J341" s="40"/>
      <c r="K341" s="44">
        <f t="shared" si="16"/>
        <v>0</v>
      </c>
      <c r="L341" s="40"/>
      <c r="M341" s="43" t="str">
        <f t="shared" si="17"/>
        <v/>
      </c>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row>
    <row r="342" spans="1:64" ht="14">
      <c r="A342" s="37"/>
      <c r="B342" s="38"/>
      <c r="C342" s="39">
        <f t="shared" si="15"/>
        <v>0</v>
      </c>
      <c r="D342" s="40"/>
      <c r="E342" s="40"/>
      <c r="F342" s="40"/>
      <c r="G342" s="40"/>
      <c r="H342" s="41"/>
      <c r="I342" s="42"/>
      <c r="J342" s="40"/>
      <c r="K342" s="44">
        <f t="shared" si="16"/>
        <v>0</v>
      </c>
      <c r="L342" s="40"/>
      <c r="M342" s="43" t="str">
        <f t="shared" si="17"/>
        <v/>
      </c>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row>
    <row r="343" spans="1:64" ht="14">
      <c r="A343" s="37"/>
      <c r="B343" s="38"/>
      <c r="C343" s="39">
        <f t="shared" si="15"/>
        <v>0</v>
      </c>
      <c r="D343" s="40"/>
      <c r="E343" s="40"/>
      <c r="F343" s="40"/>
      <c r="G343" s="40"/>
      <c r="H343" s="41"/>
      <c r="I343" s="42"/>
      <c r="J343" s="40"/>
      <c r="K343" s="44">
        <f t="shared" si="16"/>
        <v>0</v>
      </c>
      <c r="L343" s="40"/>
      <c r="M343" s="43" t="str">
        <f t="shared" si="17"/>
        <v/>
      </c>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c r="BD343" s="36"/>
      <c r="BE343" s="36"/>
      <c r="BF343" s="36"/>
      <c r="BG343" s="36"/>
      <c r="BH343" s="36"/>
      <c r="BI343" s="36"/>
      <c r="BJ343" s="36"/>
      <c r="BK343" s="36"/>
      <c r="BL343" s="36"/>
    </row>
    <row r="344" spans="1:64" ht="14">
      <c r="A344" s="37"/>
      <c r="B344" s="38"/>
      <c r="C344" s="39">
        <f t="shared" si="15"/>
        <v>0</v>
      </c>
      <c r="D344" s="40"/>
      <c r="E344" s="40"/>
      <c r="F344" s="40"/>
      <c r="G344" s="40"/>
      <c r="H344" s="41"/>
      <c r="I344" s="42"/>
      <c r="J344" s="40"/>
      <c r="K344" s="44">
        <f t="shared" si="16"/>
        <v>0</v>
      </c>
      <c r="L344" s="40"/>
      <c r="M344" s="43" t="str">
        <f t="shared" si="17"/>
        <v/>
      </c>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row>
    <row r="345" spans="1:64" ht="14">
      <c r="A345" s="37"/>
      <c r="B345" s="38"/>
      <c r="C345" s="39">
        <f t="shared" si="15"/>
        <v>0</v>
      </c>
      <c r="D345" s="40"/>
      <c r="E345" s="40"/>
      <c r="F345" s="40"/>
      <c r="G345" s="40"/>
      <c r="H345" s="41"/>
      <c r="I345" s="42"/>
      <c r="J345" s="40"/>
      <c r="K345" s="44">
        <f t="shared" si="16"/>
        <v>0</v>
      </c>
      <c r="L345" s="40"/>
      <c r="M345" s="43" t="str">
        <f t="shared" si="17"/>
        <v/>
      </c>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row>
    <row r="346" spans="1:64" ht="14">
      <c r="A346" s="37"/>
      <c r="B346" s="38"/>
      <c r="C346" s="39">
        <f t="shared" si="15"/>
        <v>0</v>
      </c>
      <c r="D346" s="40"/>
      <c r="E346" s="40"/>
      <c r="F346" s="40"/>
      <c r="G346" s="40"/>
      <c r="H346" s="41"/>
      <c r="I346" s="42"/>
      <c r="J346" s="40"/>
      <c r="K346" s="44">
        <f t="shared" si="16"/>
        <v>0</v>
      </c>
      <c r="L346" s="40"/>
      <c r="M346" s="43" t="str">
        <f t="shared" si="17"/>
        <v/>
      </c>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row>
    <row r="347" spans="1:64" ht="14">
      <c r="A347" s="37"/>
      <c r="B347" s="38"/>
      <c r="C347" s="39">
        <f t="shared" si="15"/>
        <v>0</v>
      </c>
      <c r="D347" s="40"/>
      <c r="E347" s="40"/>
      <c r="F347" s="40"/>
      <c r="G347" s="40"/>
      <c r="H347" s="41"/>
      <c r="I347" s="42"/>
      <c r="J347" s="40"/>
      <c r="K347" s="44">
        <f t="shared" si="16"/>
        <v>0</v>
      </c>
      <c r="L347" s="40"/>
      <c r="M347" s="43" t="str">
        <f t="shared" si="17"/>
        <v/>
      </c>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row>
    <row r="348" spans="1:64" ht="14">
      <c r="A348" s="37"/>
      <c r="B348" s="38"/>
      <c r="C348" s="39">
        <f t="shared" si="15"/>
        <v>0</v>
      </c>
      <c r="D348" s="40"/>
      <c r="E348" s="40"/>
      <c r="F348" s="40"/>
      <c r="G348" s="40"/>
      <c r="H348" s="41"/>
      <c r="I348" s="42"/>
      <c r="J348" s="40"/>
      <c r="K348" s="44">
        <f t="shared" si="16"/>
        <v>0</v>
      </c>
      <c r="L348" s="40"/>
      <c r="M348" s="43" t="str">
        <f t="shared" si="17"/>
        <v/>
      </c>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row>
    <row r="349" spans="1:64" ht="14">
      <c r="A349" s="37"/>
      <c r="B349" s="38"/>
      <c r="C349" s="39">
        <f t="shared" si="15"/>
        <v>0</v>
      </c>
      <c r="D349" s="40"/>
      <c r="E349" s="40"/>
      <c r="F349" s="40"/>
      <c r="G349" s="40"/>
      <c r="H349" s="41"/>
      <c r="I349" s="42"/>
      <c r="J349" s="40"/>
      <c r="K349" s="44">
        <f t="shared" si="16"/>
        <v>0</v>
      </c>
      <c r="L349" s="40"/>
      <c r="M349" s="43" t="str">
        <f t="shared" si="17"/>
        <v/>
      </c>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row>
    <row r="350" spans="1:64" ht="14">
      <c r="A350" s="37"/>
      <c r="B350" s="38"/>
      <c r="C350" s="39">
        <f t="shared" si="15"/>
        <v>0</v>
      </c>
      <c r="D350" s="40"/>
      <c r="E350" s="40"/>
      <c r="F350" s="40"/>
      <c r="G350" s="40"/>
      <c r="H350" s="41"/>
      <c r="I350" s="42"/>
      <c r="J350" s="40"/>
      <c r="K350" s="44">
        <f t="shared" si="16"/>
        <v>0</v>
      </c>
      <c r="L350" s="40"/>
      <c r="M350" s="43" t="str">
        <f t="shared" si="17"/>
        <v/>
      </c>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row>
    <row r="351" spans="1:64" ht="14">
      <c r="A351" s="37"/>
      <c r="B351" s="38"/>
      <c r="C351" s="39">
        <f t="shared" si="15"/>
        <v>0</v>
      </c>
      <c r="D351" s="40"/>
      <c r="E351" s="40"/>
      <c r="F351" s="40"/>
      <c r="G351" s="40"/>
      <c r="H351" s="41"/>
      <c r="I351" s="42"/>
      <c r="J351" s="40"/>
      <c r="K351" s="44">
        <f t="shared" si="16"/>
        <v>0</v>
      </c>
      <c r="L351" s="40"/>
      <c r="M351" s="43" t="str">
        <f t="shared" si="17"/>
        <v/>
      </c>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row>
    <row r="352" spans="1:64" ht="14">
      <c r="A352" s="37"/>
      <c r="B352" s="38"/>
      <c r="C352" s="39">
        <f t="shared" si="15"/>
        <v>0</v>
      </c>
      <c r="D352" s="40"/>
      <c r="E352" s="40"/>
      <c r="F352" s="40"/>
      <c r="G352" s="40"/>
      <c r="H352" s="41"/>
      <c r="I352" s="42"/>
      <c r="J352" s="40"/>
      <c r="K352" s="44">
        <f t="shared" si="16"/>
        <v>0</v>
      </c>
      <c r="L352" s="40"/>
      <c r="M352" s="43" t="str">
        <f t="shared" si="17"/>
        <v/>
      </c>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row>
    <row r="353" spans="1:64" ht="14">
      <c r="A353" s="37"/>
      <c r="B353" s="38"/>
      <c r="C353" s="39">
        <f t="shared" si="15"/>
        <v>0</v>
      </c>
      <c r="D353" s="40"/>
      <c r="E353" s="40"/>
      <c r="F353" s="40"/>
      <c r="G353" s="40"/>
      <c r="H353" s="41"/>
      <c r="I353" s="42"/>
      <c r="J353" s="40"/>
      <c r="K353" s="44">
        <f t="shared" si="16"/>
        <v>0</v>
      </c>
      <c r="L353" s="40"/>
      <c r="M353" s="43" t="str">
        <f t="shared" si="17"/>
        <v/>
      </c>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row>
    <row r="354" spans="1:64" ht="14">
      <c r="A354" s="37"/>
      <c r="B354" s="38"/>
      <c r="C354" s="39">
        <f t="shared" si="15"/>
        <v>0</v>
      </c>
      <c r="D354" s="40"/>
      <c r="E354" s="40"/>
      <c r="F354" s="40"/>
      <c r="G354" s="40"/>
      <c r="H354" s="41"/>
      <c r="I354" s="42"/>
      <c r="J354" s="40"/>
      <c r="K354" s="44">
        <f t="shared" si="16"/>
        <v>0</v>
      </c>
      <c r="L354" s="40"/>
      <c r="M354" s="43" t="str">
        <f t="shared" si="17"/>
        <v/>
      </c>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row>
    <row r="355" spans="1:64" ht="14">
      <c r="A355" s="37"/>
      <c r="B355" s="38"/>
      <c r="C355" s="39">
        <f t="shared" si="15"/>
        <v>0</v>
      </c>
      <c r="D355" s="40"/>
      <c r="E355" s="40"/>
      <c r="F355" s="40"/>
      <c r="G355" s="40"/>
      <c r="H355" s="41"/>
      <c r="I355" s="42"/>
      <c r="J355" s="40"/>
      <c r="K355" s="44">
        <f t="shared" si="16"/>
        <v>0</v>
      </c>
      <c r="L355" s="40"/>
      <c r="M355" s="43" t="str">
        <f t="shared" si="17"/>
        <v/>
      </c>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row>
    <row r="356" spans="1:64" ht="14">
      <c r="A356" s="37"/>
      <c r="B356" s="38"/>
      <c r="C356" s="39">
        <f t="shared" si="15"/>
        <v>0</v>
      </c>
      <c r="D356" s="40"/>
      <c r="E356" s="40"/>
      <c r="F356" s="40"/>
      <c r="G356" s="40"/>
      <c r="H356" s="41"/>
      <c r="I356" s="42"/>
      <c r="J356" s="40"/>
      <c r="K356" s="44">
        <f t="shared" si="16"/>
        <v>0</v>
      </c>
      <c r="L356" s="40"/>
      <c r="M356" s="43" t="str">
        <f t="shared" si="17"/>
        <v/>
      </c>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row>
    <row r="357" spans="1:64" ht="14">
      <c r="A357" s="37"/>
      <c r="B357" s="38"/>
      <c r="C357" s="39">
        <f t="shared" si="15"/>
        <v>0</v>
      </c>
      <c r="D357" s="40"/>
      <c r="E357" s="40"/>
      <c r="F357" s="40"/>
      <c r="G357" s="40"/>
      <c r="H357" s="41"/>
      <c r="I357" s="42"/>
      <c r="J357" s="40"/>
      <c r="K357" s="44">
        <f t="shared" si="16"/>
        <v>0</v>
      </c>
      <c r="L357" s="40"/>
      <c r="M357" s="43" t="str">
        <f t="shared" si="17"/>
        <v/>
      </c>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row>
    <row r="358" spans="1:64" ht="14">
      <c r="A358" s="37"/>
      <c r="B358" s="38"/>
      <c r="C358" s="39">
        <f t="shared" si="15"/>
        <v>0</v>
      </c>
      <c r="D358" s="40"/>
      <c r="E358" s="40"/>
      <c r="F358" s="40"/>
      <c r="G358" s="40"/>
      <c r="H358" s="41"/>
      <c r="I358" s="42"/>
      <c r="J358" s="40"/>
      <c r="K358" s="44">
        <f t="shared" si="16"/>
        <v>0</v>
      </c>
      <c r="L358" s="40"/>
      <c r="M358" s="43" t="str">
        <f t="shared" si="17"/>
        <v/>
      </c>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c r="BD358" s="36"/>
      <c r="BE358" s="36"/>
      <c r="BF358" s="36"/>
      <c r="BG358" s="36"/>
      <c r="BH358" s="36"/>
      <c r="BI358" s="36"/>
      <c r="BJ358" s="36"/>
      <c r="BK358" s="36"/>
      <c r="BL358" s="36"/>
    </row>
    <row r="359" spans="1:64" ht="14">
      <c r="A359" s="37"/>
      <c r="B359" s="38"/>
      <c r="C359" s="39">
        <f t="shared" si="15"/>
        <v>0</v>
      </c>
      <c r="D359" s="40"/>
      <c r="E359" s="40"/>
      <c r="F359" s="40"/>
      <c r="G359" s="40"/>
      <c r="H359" s="41"/>
      <c r="I359" s="42"/>
      <c r="J359" s="40"/>
      <c r="K359" s="44">
        <f t="shared" si="16"/>
        <v>0</v>
      </c>
      <c r="L359" s="40"/>
      <c r="M359" s="43" t="str">
        <f t="shared" si="17"/>
        <v/>
      </c>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c r="BD359" s="36"/>
      <c r="BE359" s="36"/>
      <c r="BF359" s="36"/>
      <c r="BG359" s="36"/>
      <c r="BH359" s="36"/>
      <c r="BI359" s="36"/>
      <c r="BJ359" s="36"/>
      <c r="BK359" s="36"/>
      <c r="BL359" s="36"/>
    </row>
    <row r="360" spans="1:64" ht="14">
      <c r="A360" s="37"/>
      <c r="B360" s="38"/>
      <c r="C360" s="39">
        <f t="shared" si="15"/>
        <v>0</v>
      </c>
      <c r="D360" s="40"/>
      <c r="E360" s="40"/>
      <c r="F360" s="40"/>
      <c r="G360" s="40"/>
      <c r="H360" s="41"/>
      <c r="I360" s="42"/>
      <c r="J360" s="40"/>
      <c r="K360" s="44">
        <f t="shared" si="16"/>
        <v>0</v>
      </c>
      <c r="L360" s="40"/>
      <c r="M360" s="43" t="str">
        <f t="shared" si="17"/>
        <v/>
      </c>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row>
    <row r="361" spans="1:64" ht="14">
      <c r="A361" s="37"/>
      <c r="B361" s="38"/>
      <c r="C361" s="39">
        <f t="shared" si="15"/>
        <v>0</v>
      </c>
      <c r="D361" s="40"/>
      <c r="E361" s="40"/>
      <c r="F361" s="40"/>
      <c r="G361" s="40"/>
      <c r="H361" s="41"/>
      <c r="I361" s="42"/>
      <c r="J361" s="40"/>
      <c r="K361" s="44">
        <f t="shared" si="16"/>
        <v>0</v>
      </c>
      <c r="L361" s="40"/>
      <c r="M361" s="43" t="str">
        <f t="shared" si="17"/>
        <v/>
      </c>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row>
    <row r="362" spans="1:64" ht="14">
      <c r="A362" s="37"/>
      <c r="B362" s="38"/>
      <c r="C362" s="39">
        <f t="shared" si="15"/>
        <v>0</v>
      </c>
      <c r="D362" s="40"/>
      <c r="E362" s="40"/>
      <c r="F362" s="40"/>
      <c r="G362" s="40"/>
      <c r="H362" s="41"/>
      <c r="I362" s="42"/>
      <c r="J362" s="40"/>
      <c r="K362" s="44">
        <f t="shared" si="16"/>
        <v>0</v>
      </c>
      <c r="L362" s="40"/>
      <c r="M362" s="43" t="str">
        <f t="shared" si="17"/>
        <v/>
      </c>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row>
    <row r="363" spans="1:64" ht="14">
      <c r="A363" s="37"/>
      <c r="B363" s="38"/>
      <c r="C363" s="39">
        <f t="shared" si="15"/>
        <v>0</v>
      </c>
      <c r="D363" s="40"/>
      <c r="E363" s="40"/>
      <c r="F363" s="40"/>
      <c r="G363" s="40"/>
      <c r="H363" s="41"/>
      <c r="I363" s="42"/>
      <c r="J363" s="40"/>
      <c r="K363" s="44">
        <f t="shared" si="16"/>
        <v>0</v>
      </c>
      <c r="L363" s="40"/>
      <c r="M363" s="43" t="str">
        <f t="shared" si="17"/>
        <v/>
      </c>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row>
    <row r="364" spans="1:64" ht="14">
      <c r="A364" s="37"/>
      <c r="B364" s="38"/>
      <c r="C364" s="39">
        <f t="shared" si="15"/>
        <v>0</v>
      </c>
      <c r="D364" s="40"/>
      <c r="E364" s="40"/>
      <c r="F364" s="40"/>
      <c r="G364" s="40"/>
      <c r="H364" s="41"/>
      <c r="I364" s="42"/>
      <c r="J364" s="40"/>
      <c r="K364" s="44">
        <f t="shared" si="16"/>
        <v>0</v>
      </c>
      <c r="L364" s="40"/>
      <c r="M364" s="43" t="str">
        <f t="shared" si="17"/>
        <v/>
      </c>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c r="BD364" s="36"/>
      <c r="BE364" s="36"/>
      <c r="BF364" s="36"/>
      <c r="BG364" s="36"/>
      <c r="BH364" s="36"/>
      <c r="BI364" s="36"/>
      <c r="BJ364" s="36"/>
      <c r="BK364" s="36"/>
      <c r="BL364" s="36"/>
    </row>
    <row r="365" spans="1:64" ht="14">
      <c r="A365" s="37"/>
      <c r="B365" s="38"/>
      <c r="C365" s="39">
        <f t="shared" si="15"/>
        <v>0</v>
      </c>
      <c r="D365" s="40"/>
      <c r="E365" s="40"/>
      <c r="F365" s="40"/>
      <c r="G365" s="40"/>
      <c r="H365" s="41"/>
      <c r="I365" s="42"/>
      <c r="J365" s="40"/>
      <c r="K365" s="44">
        <f t="shared" si="16"/>
        <v>0</v>
      </c>
      <c r="L365" s="40"/>
      <c r="M365" s="43" t="str">
        <f t="shared" si="17"/>
        <v/>
      </c>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c r="BD365" s="36"/>
      <c r="BE365" s="36"/>
      <c r="BF365" s="36"/>
      <c r="BG365" s="36"/>
      <c r="BH365" s="36"/>
      <c r="BI365" s="36"/>
      <c r="BJ365" s="36"/>
      <c r="BK365" s="36"/>
      <c r="BL365" s="36"/>
    </row>
    <row r="366" spans="1:64" ht="14">
      <c r="A366" s="37"/>
      <c r="B366" s="38"/>
      <c r="C366" s="39">
        <f t="shared" si="15"/>
        <v>0</v>
      </c>
      <c r="D366" s="40"/>
      <c r="E366" s="40"/>
      <c r="F366" s="40"/>
      <c r="G366" s="40"/>
      <c r="H366" s="41"/>
      <c r="I366" s="42"/>
      <c r="J366" s="40"/>
      <c r="K366" s="44">
        <f t="shared" si="16"/>
        <v>0</v>
      </c>
      <c r="L366" s="40"/>
      <c r="M366" s="43" t="str">
        <f t="shared" si="17"/>
        <v/>
      </c>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c r="BD366" s="36"/>
      <c r="BE366" s="36"/>
      <c r="BF366" s="36"/>
      <c r="BG366" s="36"/>
      <c r="BH366" s="36"/>
      <c r="BI366" s="36"/>
      <c r="BJ366" s="36"/>
      <c r="BK366" s="36"/>
      <c r="BL366" s="36"/>
    </row>
    <row r="367" spans="1:64" ht="14">
      <c r="A367" s="37"/>
      <c r="B367" s="38"/>
      <c r="C367" s="39">
        <f t="shared" si="15"/>
        <v>0</v>
      </c>
      <c r="D367" s="40"/>
      <c r="E367" s="40"/>
      <c r="F367" s="40"/>
      <c r="G367" s="40"/>
      <c r="H367" s="41"/>
      <c r="I367" s="42"/>
      <c r="J367" s="40"/>
      <c r="K367" s="44">
        <f t="shared" si="16"/>
        <v>0</v>
      </c>
      <c r="L367" s="40"/>
      <c r="M367" s="43" t="str">
        <f t="shared" si="17"/>
        <v/>
      </c>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row>
    <row r="368" spans="1:64" ht="14">
      <c r="A368" s="37"/>
      <c r="B368" s="38"/>
      <c r="C368" s="39">
        <f t="shared" si="15"/>
        <v>0</v>
      </c>
      <c r="D368" s="40"/>
      <c r="E368" s="40"/>
      <c r="F368" s="40"/>
      <c r="G368" s="40"/>
      <c r="H368" s="41"/>
      <c r="I368" s="42"/>
      <c r="J368" s="40"/>
      <c r="K368" s="44">
        <f t="shared" si="16"/>
        <v>0</v>
      </c>
      <c r="L368" s="40"/>
      <c r="M368" s="43" t="str">
        <f t="shared" si="17"/>
        <v/>
      </c>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row>
    <row r="369" spans="1:64" ht="14">
      <c r="A369" s="37"/>
      <c r="B369" s="38"/>
      <c r="C369" s="39">
        <f t="shared" si="15"/>
        <v>0</v>
      </c>
      <c r="D369" s="40"/>
      <c r="E369" s="40"/>
      <c r="F369" s="40"/>
      <c r="G369" s="40"/>
      <c r="H369" s="41"/>
      <c r="I369" s="42"/>
      <c r="J369" s="40"/>
      <c r="K369" s="44">
        <f t="shared" si="16"/>
        <v>0</v>
      </c>
      <c r="L369" s="40"/>
      <c r="M369" s="43" t="str">
        <f t="shared" si="17"/>
        <v/>
      </c>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c r="BD369" s="36"/>
      <c r="BE369" s="36"/>
      <c r="BF369" s="36"/>
      <c r="BG369" s="36"/>
      <c r="BH369" s="36"/>
      <c r="BI369" s="36"/>
      <c r="BJ369" s="36"/>
      <c r="BK369" s="36"/>
      <c r="BL369" s="36"/>
    </row>
    <row r="370" spans="1:64" ht="14">
      <c r="A370" s="37"/>
      <c r="B370" s="38"/>
      <c r="C370" s="39">
        <f t="shared" si="15"/>
        <v>0</v>
      </c>
      <c r="D370" s="40"/>
      <c r="E370" s="40"/>
      <c r="F370" s="40"/>
      <c r="G370" s="40"/>
      <c r="H370" s="41"/>
      <c r="I370" s="42"/>
      <c r="J370" s="40"/>
      <c r="K370" s="44">
        <f t="shared" si="16"/>
        <v>0</v>
      </c>
      <c r="L370" s="40"/>
      <c r="M370" s="43" t="str">
        <f t="shared" si="17"/>
        <v/>
      </c>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row>
    <row r="371" spans="1:64" ht="14">
      <c r="A371" s="37"/>
      <c r="B371" s="38"/>
      <c r="C371" s="39">
        <f t="shared" si="15"/>
        <v>0</v>
      </c>
      <c r="D371" s="40"/>
      <c r="E371" s="40"/>
      <c r="F371" s="40"/>
      <c r="G371" s="40"/>
      <c r="H371" s="41"/>
      <c r="I371" s="42"/>
      <c r="J371" s="40"/>
      <c r="K371" s="44">
        <f t="shared" si="16"/>
        <v>0</v>
      </c>
      <c r="L371" s="40"/>
      <c r="M371" s="43" t="str">
        <f t="shared" si="17"/>
        <v/>
      </c>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row>
    <row r="372" spans="1:64" ht="14">
      <c r="A372" s="37"/>
      <c r="B372" s="38"/>
      <c r="C372" s="39">
        <f t="shared" si="15"/>
        <v>0</v>
      </c>
      <c r="D372" s="40"/>
      <c r="E372" s="40"/>
      <c r="F372" s="40"/>
      <c r="G372" s="40"/>
      <c r="H372" s="41"/>
      <c r="I372" s="42"/>
      <c r="J372" s="40"/>
      <c r="K372" s="44">
        <f t="shared" si="16"/>
        <v>0</v>
      </c>
      <c r="L372" s="40"/>
      <c r="M372" s="43" t="str">
        <f t="shared" si="17"/>
        <v/>
      </c>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c r="BD372" s="36"/>
      <c r="BE372" s="36"/>
      <c r="BF372" s="36"/>
      <c r="BG372" s="36"/>
      <c r="BH372" s="36"/>
      <c r="BI372" s="36"/>
      <c r="BJ372" s="36"/>
      <c r="BK372" s="36"/>
      <c r="BL372" s="36"/>
    </row>
    <row r="373" spans="1:64" ht="14">
      <c r="A373" s="37"/>
      <c r="B373" s="38"/>
      <c r="C373" s="39">
        <f t="shared" si="15"/>
        <v>0</v>
      </c>
      <c r="D373" s="40"/>
      <c r="E373" s="40"/>
      <c r="F373" s="40"/>
      <c r="G373" s="40"/>
      <c r="H373" s="41"/>
      <c r="I373" s="42"/>
      <c r="J373" s="40"/>
      <c r="K373" s="44">
        <f t="shared" si="16"/>
        <v>0</v>
      </c>
      <c r="L373" s="40"/>
      <c r="M373" s="43" t="str">
        <f t="shared" si="17"/>
        <v/>
      </c>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row>
    <row r="374" spans="1:64" ht="14">
      <c r="A374" s="37"/>
      <c r="B374" s="38"/>
      <c r="C374" s="39">
        <f t="shared" si="15"/>
        <v>0</v>
      </c>
      <c r="D374" s="40"/>
      <c r="E374" s="40"/>
      <c r="F374" s="40"/>
      <c r="G374" s="40"/>
      <c r="H374" s="41"/>
      <c r="I374" s="42"/>
      <c r="J374" s="40"/>
      <c r="K374" s="44">
        <f t="shared" si="16"/>
        <v>0</v>
      </c>
      <c r="L374" s="40"/>
      <c r="M374" s="43" t="str">
        <f t="shared" si="17"/>
        <v/>
      </c>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row>
    <row r="375" spans="1:64" ht="14">
      <c r="A375" s="37"/>
      <c r="B375" s="38"/>
      <c r="C375" s="39">
        <f t="shared" si="15"/>
        <v>0</v>
      </c>
      <c r="D375" s="40"/>
      <c r="E375" s="40"/>
      <c r="F375" s="40"/>
      <c r="G375" s="40"/>
      <c r="H375" s="41"/>
      <c r="I375" s="42"/>
      <c r="J375" s="40"/>
      <c r="K375" s="44">
        <f t="shared" si="16"/>
        <v>0</v>
      </c>
      <c r="L375" s="40"/>
      <c r="M375" s="43" t="str">
        <f t="shared" si="17"/>
        <v/>
      </c>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row>
    <row r="376" spans="1:64" ht="14">
      <c r="A376" s="37"/>
      <c r="B376" s="38"/>
      <c r="C376" s="39">
        <f t="shared" si="15"/>
        <v>0</v>
      </c>
      <c r="D376" s="40"/>
      <c r="E376" s="40"/>
      <c r="F376" s="40"/>
      <c r="G376" s="40"/>
      <c r="H376" s="41"/>
      <c r="I376" s="42"/>
      <c r="J376" s="40"/>
      <c r="K376" s="44">
        <f t="shared" si="16"/>
        <v>0</v>
      </c>
      <c r="L376" s="40"/>
      <c r="M376" s="43" t="str">
        <f t="shared" si="17"/>
        <v/>
      </c>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row>
    <row r="377" spans="1:64" ht="14">
      <c r="A377" s="37"/>
      <c r="B377" s="38"/>
      <c r="C377" s="39">
        <f t="shared" si="15"/>
        <v>0</v>
      </c>
      <c r="D377" s="40"/>
      <c r="E377" s="40"/>
      <c r="F377" s="40"/>
      <c r="G377" s="40"/>
      <c r="H377" s="41"/>
      <c r="I377" s="42"/>
      <c r="J377" s="40"/>
      <c r="K377" s="44">
        <f t="shared" si="16"/>
        <v>0</v>
      </c>
      <c r="L377" s="40"/>
      <c r="M377" s="43" t="str">
        <f t="shared" si="17"/>
        <v/>
      </c>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row>
    <row r="378" spans="1:64" ht="14">
      <c r="A378" s="37"/>
      <c r="B378" s="38"/>
      <c r="C378" s="39">
        <f t="shared" si="15"/>
        <v>0</v>
      </c>
      <c r="D378" s="40"/>
      <c r="E378" s="40"/>
      <c r="F378" s="40"/>
      <c r="G378" s="40"/>
      <c r="H378" s="41"/>
      <c r="I378" s="42"/>
      <c r="J378" s="40"/>
      <c r="K378" s="44">
        <f t="shared" si="16"/>
        <v>0</v>
      </c>
      <c r="L378" s="40"/>
      <c r="M378" s="43" t="str">
        <f t="shared" si="17"/>
        <v/>
      </c>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row>
    <row r="379" spans="1:64" ht="14">
      <c r="A379" s="37"/>
      <c r="B379" s="38"/>
      <c r="C379" s="39">
        <f t="shared" si="15"/>
        <v>0</v>
      </c>
      <c r="D379" s="40"/>
      <c r="E379" s="40"/>
      <c r="F379" s="40"/>
      <c r="G379" s="40"/>
      <c r="H379" s="41"/>
      <c r="I379" s="42"/>
      <c r="J379" s="40"/>
      <c r="K379" s="44">
        <f t="shared" si="16"/>
        <v>0</v>
      </c>
      <c r="L379" s="40"/>
      <c r="M379" s="43" t="str">
        <f t="shared" si="17"/>
        <v/>
      </c>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row>
    <row r="380" spans="1:64" ht="14">
      <c r="A380" s="37"/>
      <c r="B380" s="38"/>
      <c r="C380" s="39">
        <f t="shared" si="15"/>
        <v>0</v>
      </c>
      <c r="D380" s="40"/>
      <c r="E380" s="40"/>
      <c r="F380" s="40"/>
      <c r="G380" s="40"/>
      <c r="H380" s="41"/>
      <c r="I380" s="42"/>
      <c r="J380" s="40"/>
      <c r="K380" s="44">
        <f t="shared" si="16"/>
        <v>0</v>
      </c>
      <c r="L380" s="40"/>
      <c r="M380" s="43" t="str">
        <f t="shared" si="17"/>
        <v/>
      </c>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row>
    <row r="381" spans="1:64" ht="14">
      <c r="A381" s="37"/>
      <c r="B381" s="38"/>
      <c r="C381" s="39">
        <f t="shared" si="15"/>
        <v>0</v>
      </c>
      <c r="D381" s="40"/>
      <c r="E381" s="40"/>
      <c r="F381" s="40"/>
      <c r="G381" s="40"/>
      <c r="H381" s="41"/>
      <c r="I381" s="42"/>
      <c r="J381" s="40"/>
      <c r="K381" s="44">
        <f t="shared" si="16"/>
        <v>0</v>
      </c>
      <c r="L381" s="40"/>
      <c r="M381" s="43" t="str">
        <f t="shared" si="17"/>
        <v/>
      </c>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row>
    <row r="382" spans="1:64" ht="14">
      <c r="A382" s="37"/>
      <c r="B382" s="38"/>
      <c r="C382" s="39">
        <f t="shared" si="15"/>
        <v>0</v>
      </c>
      <c r="D382" s="40"/>
      <c r="E382" s="40"/>
      <c r="F382" s="40"/>
      <c r="G382" s="40"/>
      <c r="H382" s="41"/>
      <c r="I382" s="42"/>
      <c r="J382" s="40"/>
      <c r="K382" s="44">
        <f t="shared" si="16"/>
        <v>0</v>
      </c>
      <c r="L382" s="40"/>
      <c r="M382" s="43" t="str">
        <f t="shared" si="17"/>
        <v/>
      </c>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row>
    <row r="383" spans="1:64" ht="14">
      <c r="A383" s="215" t="s">
        <v>58</v>
      </c>
      <c r="B383" s="215"/>
      <c r="C383" s="215"/>
      <c r="D383" s="215"/>
      <c r="E383" s="215"/>
      <c r="F383" s="215"/>
      <c r="G383" s="215"/>
      <c r="H383" s="215"/>
      <c r="I383" s="215"/>
      <c r="J383" s="215"/>
      <c r="K383" s="215"/>
      <c r="L383" s="215"/>
      <c r="M383" s="69"/>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row>
    <row r="384" spans="1:64" ht="13">
      <c r="A384" s="48"/>
      <c r="B384" s="49"/>
      <c r="C384" s="49"/>
      <c r="D384" s="50"/>
      <c r="E384" s="50"/>
      <c r="F384" s="50"/>
      <c r="G384" s="50"/>
      <c r="I384" s="48"/>
      <c r="J384" s="48"/>
      <c r="K384" s="52">
        <f>SUM(K9:K383)</f>
        <v>0</v>
      </c>
      <c r="L384" s="53"/>
      <c r="M384" s="48"/>
    </row>
  </sheetData>
  <mergeCells count="13">
    <mergeCell ref="C1:L1"/>
    <mergeCell ref="I3:J3"/>
    <mergeCell ref="K3:L3"/>
    <mergeCell ref="I4:J4"/>
    <mergeCell ref="K4:L4"/>
    <mergeCell ref="A9:L9"/>
    <mergeCell ref="A383:L383"/>
    <mergeCell ref="A5:C6"/>
    <mergeCell ref="D5:E6"/>
    <mergeCell ref="I5:J5"/>
    <mergeCell ref="K5:L5"/>
    <mergeCell ref="I6:J6"/>
    <mergeCell ref="K6:L6"/>
  </mergeCells>
  <conditionalFormatting sqref="I10:I382">
    <cfRule type="expression" dxfId="37" priority="2">
      <formula>$M10="%"</formula>
    </cfRule>
  </conditionalFormatting>
  <conditionalFormatting sqref="J38:J382 J10:J12 J19:J22 J24:J30">
    <cfRule type="expression" dxfId="36" priority="3">
      <formula>AND($J10&lt;&gt;"INM",$M10="Q")</formula>
    </cfRule>
  </conditionalFormatting>
  <conditionalFormatting sqref="I10:I382">
    <cfRule type="expression" dxfId="35" priority="4">
      <formula>OR(AND($I10&lt;&gt;"",$M10="%"),AND($I10="",$M10="Q"))</formula>
    </cfRule>
  </conditionalFormatting>
  <conditionalFormatting sqref="J38:J382 J10:J12 J19:J22 J24:J30">
    <cfRule type="expression" dxfId="34" priority="5">
      <formula>AND(OR($J10="INM",$J10=""),$M10="%")</formula>
    </cfRule>
  </conditionalFormatting>
  <conditionalFormatting sqref="J13">
    <cfRule type="expression" dxfId="33" priority="6">
      <formula>AND($J13&lt;&gt;"INM",$M13="Q")</formula>
    </cfRule>
  </conditionalFormatting>
  <conditionalFormatting sqref="J13">
    <cfRule type="expression" dxfId="32" priority="7">
      <formula>AND(OR($J13="INM",$J13=""),$M13="%")</formula>
    </cfRule>
  </conditionalFormatting>
  <conditionalFormatting sqref="J14">
    <cfRule type="expression" dxfId="31" priority="8">
      <formula>AND($J14&lt;&gt;"INM",$M14="Q")</formula>
    </cfRule>
  </conditionalFormatting>
  <conditionalFormatting sqref="J14">
    <cfRule type="expression" dxfId="30" priority="9">
      <formula>AND(OR($J14="INM",$J14=""),$M14="%")</formula>
    </cfRule>
  </conditionalFormatting>
  <conditionalFormatting sqref="J15">
    <cfRule type="expression" dxfId="29" priority="10">
      <formula>AND($J15&lt;&gt;"INM",$M15="Q")</formula>
    </cfRule>
  </conditionalFormatting>
  <conditionalFormatting sqref="J15">
    <cfRule type="expression" dxfId="28" priority="11">
      <formula>AND(OR($J15="INM",$J15=""),$M15="%")</formula>
    </cfRule>
  </conditionalFormatting>
  <conditionalFormatting sqref="J16">
    <cfRule type="expression" dxfId="27" priority="12">
      <formula>AND($J16&lt;&gt;"INM",$M16="Q")</formula>
    </cfRule>
  </conditionalFormatting>
  <conditionalFormatting sqref="J16">
    <cfRule type="expression" dxfId="26" priority="13">
      <formula>AND(OR($J16="INM",$J16=""),$M16="%")</formula>
    </cfRule>
  </conditionalFormatting>
  <conditionalFormatting sqref="J17">
    <cfRule type="expression" dxfId="25" priority="14">
      <formula>AND($J17&lt;&gt;"INM",$M17="Q")</formula>
    </cfRule>
  </conditionalFormatting>
  <conditionalFormatting sqref="J17">
    <cfRule type="expression" dxfId="24" priority="15">
      <formula>AND(OR($J17="INM",$J17=""),$M17="%")</formula>
    </cfRule>
  </conditionalFormatting>
  <conditionalFormatting sqref="J18">
    <cfRule type="expression" dxfId="23" priority="16">
      <formula>AND($J18&lt;&gt;"INM",$M18="Q")</formula>
    </cfRule>
  </conditionalFormatting>
  <conditionalFormatting sqref="J18">
    <cfRule type="expression" dxfId="22" priority="17">
      <formula>AND(OR($J18="INM",$J18=""),$M18="%")</formula>
    </cfRule>
  </conditionalFormatting>
  <conditionalFormatting sqref="J23">
    <cfRule type="expression" dxfId="21" priority="18">
      <formula>AND($J23&lt;&gt;"INM",$M23="Q")</formula>
    </cfRule>
  </conditionalFormatting>
  <conditionalFormatting sqref="J23">
    <cfRule type="expression" dxfId="20" priority="19">
      <formula>AND(OR($J23="INM",$J23=""),$M23="%")</formula>
    </cfRule>
  </conditionalFormatting>
  <conditionalFormatting sqref="J31">
    <cfRule type="expression" dxfId="19" priority="20">
      <formula>AND($J31&lt;&gt;"INM",$M31="Q")</formula>
    </cfRule>
  </conditionalFormatting>
  <conditionalFormatting sqref="J31">
    <cfRule type="expression" dxfId="18" priority="21">
      <formula>AND(OR($J31="INM",$J31=""),$M31="%")</formula>
    </cfRule>
  </conditionalFormatting>
  <conditionalFormatting sqref="J32">
    <cfRule type="expression" dxfId="17" priority="22">
      <formula>AND($J32&lt;&gt;"INM",$M32="Q")</formula>
    </cfRule>
  </conditionalFormatting>
  <conditionalFormatting sqref="J32">
    <cfRule type="expression" dxfId="16" priority="23">
      <formula>AND(OR($J32="INM",$J32=""),$M32="%")</formula>
    </cfRule>
  </conditionalFormatting>
  <conditionalFormatting sqref="J33">
    <cfRule type="expression" dxfId="15" priority="24">
      <formula>AND($J33&lt;&gt;"INM",$M33="Q")</formula>
    </cfRule>
  </conditionalFormatting>
  <conditionalFormatting sqref="J33">
    <cfRule type="expression" dxfId="14" priority="25">
      <formula>AND(OR($J33="INM",$J33=""),$M33="%")</formula>
    </cfRule>
  </conditionalFormatting>
  <conditionalFormatting sqref="J34">
    <cfRule type="expression" dxfId="13" priority="26">
      <formula>AND($J34&lt;&gt;"INM",$M34="Q")</formula>
    </cfRule>
  </conditionalFormatting>
  <conditionalFormatting sqref="J34">
    <cfRule type="expression" dxfId="12" priority="27">
      <formula>AND(OR($J34="INM",$J34=""),$M34="%")</formula>
    </cfRule>
  </conditionalFormatting>
  <conditionalFormatting sqref="J35">
    <cfRule type="expression" dxfId="11" priority="28">
      <formula>AND($J35&lt;&gt;"INM",$M35="Q")</formula>
    </cfRule>
  </conditionalFormatting>
  <conditionalFormatting sqref="J35">
    <cfRule type="expression" dxfId="10" priority="29">
      <formula>AND(OR($J35="INM",$J35=""),$M35="%")</formula>
    </cfRule>
  </conditionalFormatting>
  <conditionalFormatting sqref="J36">
    <cfRule type="expression" dxfId="9" priority="30">
      <formula>AND($J36&lt;&gt;"INM",$M36="Q")</formula>
    </cfRule>
  </conditionalFormatting>
  <conditionalFormatting sqref="J36">
    <cfRule type="expression" dxfId="8" priority="31">
      <formula>AND(OR($J36="INM",$J36=""),$M36="%")</formula>
    </cfRule>
  </conditionalFormatting>
  <conditionalFormatting sqref="J37">
    <cfRule type="expression" dxfId="7" priority="32">
      <formula>AND($J37&lt;&gt;"INM",$M37="Q")</formula>
    </cfRule>
  </conditionalFormatting>
  <conditionalFormatting sqref="J37">
    <cfRule type="expression" dxfId="6" priority="33">
      <formula>AND(OR($J37="INM",$J37=""),$M37="%")</formula>
    </cfRule>
  </conditionalFormatting>
  <dataValidations count="3">
    <dataValidation type="list" operator="equal" allowBlank="1" showInputMessage="1" showErrorMessage="1" sqref="B10:B382" xr:uid="{00000000-0002-0000-0400-000000000000}">
      <formula1>Deflatores</formula1>
      <formula2>0</formula2>
    </dataValidation>
    <dataValidation type="whole" operator="greaterThanOrEqual" allowBlank="1" showInputMessage="1" showErrorMessage="1" errorTitle="Insira apenas números (&gt;=0)" sqref="I10:I382" xr:uid="{00000000-0002-0000-0400-000001000000}">
      <formula1>0</formula1>
      <formula2>0</formula2>
    </dataValidation>
    <dataValidation type="list" operator="equal" allowBlank="1" showInputMessage="1" showErrorMessage="1" errorTitle="Erro" error="Selecione uma das opções apresentada" sqref="J10:J382" xr:uid="{00000000-0002-0000-0400-000002000000}">
      <formula1>"-------,EE,SE,CE,ALI,AIE,INM"</formula1>
      <formula2>0</formula2>
    </dataValidation>
  </dataValidations>
  <pageMargins left="0.196527777777778" right="0.196527777777778" top="0.32986111111111099" bottom="0.42986111111111103" header="0.179861111111111" footer="0.27569444444444402"/>
  <pageSetup paperSize="9" firstPageNumber="0" fitToHeight="10" orientation="landscape" horizontalDpi="300" verticalDpi="300"/>
  <headerFooter>
    <oddHeader>&amp;C&amp;A</oddHeader>
    <oddFooter>&amp;CPágina &amp;P de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L405"/>
  <sheetViews>
    <sheetView zoomScaleNormal="100" workbookViewId="0"/>
  </sheetViews>
  <sheetFormatPr defaultRowHeight="12.5"/>
  <cols>
    <col min="1" max="1" width="0.81640625" style="19" customWidth="1"/>
    <col min="2" max="2" width="4.54296875" style="18" customWidth="1"/>
    <col min="3" max="3" width="34.08984375" style="20" customWidth="1"/>
    <col min="4" max="4" width="14.36328125" style="20" hidden="1" customWidth="1"/>
    <col min="5" max="5" width="10.08984375" style="20" customWidth="1"/>
    <col min="6" max="6" width="7.81640625" style="20" customWidth="1"/>
    <col min="7" max="7" width="15.54296875" style="20" customWidth="1"/>
    <col min="8" max="8" width="19.6328125" style="20" customWidth="1"/>
    <col min="9" max="9" width="44" style="21" customWidth="1"/>
    <col min="10" max="10" width="11.54296875" style="18"/>
    <col min="11" max="11" width="9.453125" style="19" customWidth="1"/>
    <col min="12" max="12" width="8.36328125" style="19" customWidth="1"/>
    <col min="13" max="14" width="9.08984375" style="19" customWidth="1"/>
    <col min="15" max="15" width="9.6328125" style="19" customWidth="1"/>
    <col min="16" max="24" width="9.08984375" style="19" customWidth="1"/>
    <col min="25" max="64" width="8.90625" style="19" customWidth="1"/>
    <col min="65" max="1025" width="8.90625" customWidth="1"/>
  </cols>
  <sheetData>
    <row r="1" spans="1:64" ht="69" customHeight="1">
      <c r="B1" s="2" t="s">
        <v>0</v>
      </c>
      <c r="C1" s="70"/>
      <c r="D1" s="70"/>
      <c r="E1" s="70"/>
      <c r="F1" s="70"/>
      <c r="G1" s="220" t="s">
        <v>78</v>
      </c>
      <c r="H1" s="220"/>
      <c r="I1" s="220"/>
      <c r="J1" s="220"/>
      <c r="K1" s="220"/>
      <c r="L1" s="220"/>
      <c r="M1" s="71"/>
      <c r="N1" s="71"/>
      <c r="O1" s="72"/>
      <c r="P1" s="72"/>
      <c r="Q1" s="72"/>
      <c r="R1" s="72"/>
      <c r="S1" s="72"/>
      <c r="T1" s="72"/>
      <c r="U1" s="72"/>
      <c r="V1" s="73"/>
    </row>
    <row r="2" spans="1:64" ht="9" customHeight="1">
      <c r="B2" s="74"/>
      <c r="C2" s="75"/>
      <c r="D2" s="75"/>
      <c r="E2" s="75"/>
      <c r="F2" s="75"/>
      <c r="G2" s="75"/>
      <c r="H2" s="75"/>
      <c r="I2" s="75"/>
      <c r="J2" s="75"/>
      <c r="K2" s="75"/>
      <c r="L2" s="75"/>
      <c r="M2" s="75"/>
    </row>
    <row r="3" spans="1:64" ht="18.649999999999999" customHeight="1">
      <c r="B3" s="224" t="s">
        <v>79</v>
      </c>
      <c r="C3" s="224"/>
      <c r="D3" s="233" t="str">
        <f>TEXT(J404,"#.##0,0#")</f>
        <v>0,0</v>
      </c>
      <c r="E3" s="233"/>
      <c r="F3" s="25"/>
      <c r="G3" s="25"/>
      <c r="H3" s="25"/>
      <c r="I3" s="76" t="s">
        <v>8</v>
      </c>
      <c r="J3" s="218"/>
      <c r="K3" s="218"/>
      <c r="L3" s="218"/>
    </row>
    <row r="4" spans="1:64" ht="18.649999999999999" customHeight="1">
      <c r="B4" s="224"/>
      <c r="C4" s="224"/>
      <c r="D4" s="233"/>
      <c r="E4" s="233"/>
      <c r="F4" s="25"/>
      <c r="G4" s="25"/>
      <c r="H4" s="25"/>
      <c r="I4" s="76" t="s">
        <v>9</v>
      </c>
      <c r="J4" s="219"/>
      <c r="K4" s="219"/>
      <c r="L4" s="219"/>
    </row>
    <row r="5" spans="1:64" ht="18.649999999999999" customHeight="1">
      <c r="B5" s="224" t="s">
        <v>80</v>
      </c>
      <c r="C5" s="224"/>
      <c r="D5" s="233" t="str">
        <f>TEXT(K404,"#.##0,0#")</f>
        <v>0,0</v>
      </c>
      <c r="E5" s="233"/>
      <c r="F5" s="25"/>
      <c r="G5" s="25"/>
      <c r="H5" s="25"/>
      <c r="I5" s="76" t="s">
        <v>10</v>
      </c>
      <c r="J5" s="218"/>
      <c r="K5" s="218"/>
      <c r="L5" s="218"/>
    </row>
    <row r="6" spans="1:64" ht="18.649999999999999" customHeight="1">
      <c r="B6" s="224"/>
      <c r="C6" s="224"/>
      <c r="D6" s="233"/>
      <c r="E6" s="233"/>
      <c r="F6" s="25"/>
      <c r="G6" s="25"/>
      <c r="H6" s="25"/>
      <c r="I6" s="76" t="s">
        <v>11</v>
      </c>
      <c r="J6" s="219"/>
      <c r="K6" s="219"/>
      <c r="L6" s="219"/>
    </row>
    <row r="7" spans="1:64" ht="9" customHeight="1">
      <c r="B7" s="77"/>
      <c r="C7" s="77"/>
      <c r="D7" s="77"/>
      <c r="E7" s="77"/>
      <c r="F7" s="77"/>
      <c r="G7" s="77"/>
      <c r="H7" s="77"/>
      <c r="I7" s="78"/>
      <c r="J7" s="78"/>
      <c r="K7" s="78"/>
      <c r="L7" s="78"/>
    </row>
    <row r="8" spans="1:64" ht="26.4" customHeight="1">
      <c r="A8" s="61"/>
      <c r="B8" s="228" t="s">
        <v>37</v>
      </c>
      <c r="C8" s="229" t="s">
        <v>81</v>
      </c>
      <c r="D8" s="32" t="s">
        <v>52</v>
      </c>
      <c r="E8" s="230" t="s">
        <v>82</v>
      </c>
      <c r="F8" s="230" t="s">
        <v>40</v>
      </c>
      <c r="G8" s="230" t="s">
        <v>43</v>
      </c>
      <c r="H8" s="230"/>
      <c r="I8" s="231" t="s">
        <v>83</v>
      </c>
      <c r="J8" s="232" t="s">
        <v>84</v>
      </c>
      <c r="K8" s="232"/>
      <c r="L8" s="232" t="s">
        <v>56</v>
      </c>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row>
    <row r="9" spans="1:64" ht="15.5">
      <c r="A9" s="35"/>
      <c r="B9" s="228"/>
      <c r="C9" s="229"/>
      <c r="D9" s="31"/>
      <c r="E9" s="230"/>
      <c r="F9" s="230"/>
      <c r="G9" s="230"/>
      <c r="H9" s="230"/>
      <c r="I9" s="231"/>
      <c r="J9" s="34" t="s">
        <v>85</v>
      </c>
      <c r="K9" s="34" t="s">
        <v>55</v>
      </c>
      <c r="L9" s="232"/>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row>
    <row r="10" spans="1:64" ht="14">
      <c r="A10" s="36"/>
      <c r="B10" s="215" t="s">
        <v>57</v>
      </c>
      <c r="C10" s="215"/>
      <c r="D10" s="215"/>
      <c r="E10" s="215"/>
      <c r="F10" s="215"/>
      <c r="G10" s="215"/>
      <c r="H10" s="215"/>
      <c r="I10" s="215"/>
      <c r="J10" s="215"/>
      <c r="K10" s="215"/>
      <c r="L10" s="215"/>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4" ht="24" customHeight="1">
      <c r="A11" s="36"/>
      <c r="B11" s="37"/>
      <c r="C11" s="40"/>
      <c r="D11" s="79"/>
      <c r="E11" s="79"/>
      <c r="F11" s="79"/>
      <c r="G11" s="225"/>
      <c r="H11" s="225"/>
      <c r="I11" s="41"/>
      <c r="J11" s="44" t="str">
        <f t="shared" ref="J11:J74" si="0">IF($C11&lt;&gt;"",$E11*1.5,"")</f>
        <v/>
      </c>
      <c r="K11" s="80" t="str">
        <f t="shared" ref="K11:K74" si="1">IFERROR($J11/10,"")</f>
        <v/>
      </c>
      <c r="L11" s="40"/>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row>
    <row r="12" spans="1:64" ht="13.75" customHeight="1">
      <c r="A12" s="36"/>
      <c r="B12" s="37"/>
      <c r="C12" s="40"/>
      <c r="D12" s="79"/>
      <c r="E12" s="79"/>
      <c r="F12" s="79"/>
      <c r="G12" s="225" t="s">
        <v>86</v>
      </c>
      <c r="H12" s="225"/>
      <c r="I12" s="41"/>
      <c r="J12" s="44" t="str">
        <f t="shared" si="0"/>
        <v/>
      </c>
      <c r="K12" s="80" t="str">
        <f t="shared" si="1"/>
        <v/>
      </c>
      <c r="L12" s="40"/>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row>
    <row r="13" spans="1:64" ht="14">
      <c r="A13" s="36"/>
      <c r="B13" s="37"/>
      <c r="C13" s="40"/>
      <c r="D13" s="79"/>
      <c r="E13" s="79"/>
      <c r="F13" s="79"/>
      <c r="G13" s="225"/>
      <c r="H13" s="225"/>
      <c r="I13" s="41"/>
      <c r="J13" s="44" t="str">
        <f t="shared" si="0"/>
        <v/>
      </c>
      <c r="K13" s="80" t="str">
        <f t="shared" si="1"/>
        <v/>
      </c>
      <c r="L13" s="40"/>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row>
    <row r="14" spans="1:64" ht="14">
      <c r="A14" s="36"/>
      <c r="B14" s="37"/>
      <c r="C14" s="40"/>
      <c r="D14" s="79"/>
      <c r="E14" s="79"/>
      <c r="F14" s="79"/>
      <c r="G14" s="225"/>
      <c r="H14" s="225"/>
      <c r="I14" s="41"/>
      <c r="J14" s="44" t="str">
        <f t="shared" si="0"/>
        <v/>
      </c>
      <c r="K14" s="80" t="str">
        <f t="shared" si="1"/>
        <v/>
      </c>
      <c r="L14" s="40"/>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row>
    <row r="15" spans="1:64" ht="14">
      <c r="A15" s="36"/>
      <c r="B15" s="37"/>
      <c r="C15" s="40"/>
      <c r="D15" s="79"/>
      <c r="E15" s="79"/>
      <c r="F15" s="79"/>
      <c r="G15" s="225"/>
      <c r="H15" s="225"/>
      <c r="I15" s="41"/>
      <c r="J15" s="44" t="str">
        <f t="shared" si="0"/>
        <v/>
      </c>
      <c r="K15" s="80" t="str">
        <f t="shared" si="1"/>
        <v/>
      </c>
      <c r="L15" s="40"/>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row>
    <row r="16" spans="1:64" ht="14">
      <c r="A16" s="36"/>
      <c r="B16" s="37"/>
      <c r="C16" s="40"/>
      <c r="D16" s="79"/>
      <c r="E16" s="79"/>
      <c r="F16" s="79"/>
      <c r="G16" s="225"/>
      <c r="H16" s="225"/>
      <c r="I16" s="41"/>
      <c r="J16" s="44" t="str">
        <f t="shared" si="0"/>
        <v/>
      </c>
      <c r="K16" s="80" t="str">
        <f t="shared" si="1"/>
        <v/>
      </c>
      <c r="L16" s="40"/>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row>
    <row r="17" spans="1:64" ht="14">
      <c r="A17" s="36"/>
      <c r="B17" s="37"/>
      <c r="C17" s="40"/>
      <c r="D17" s="79"/>
      <c r="E17" s="79"/>
      <c r="F17" s="79"/>
      <c r="G17" s="225"/>
      <c r="H17" s="225"/>
      <c r="I17" s="41"/>
      <c r="J17" s="44" t="str">
        <f t="shared" si="0"/>
        <v/>
      </c>
      <c r="K17" s="80" t="str">
        <f t="shared" si="1"/>
        <v/>
      </c>
      <c r="L17" s="40"/>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row>
    <row r="18" spans="1:64" ht="14">
      <c r="A18" s="36"/>
      <c r="B18" s="37"/>
      <c r="C18" s="40"/>
      <c r="D18" s="79"/>
      <c r="E18" s="79"/>
      <c r="F18" s="79"/>
      <c r="G18" s="225"/>
      <c r="H18" s="225"/>
      <c r="I18" s="41"/>
      <c r="J18" s="44" t="str">
        <f t="shared" si="0"/>
        <v/>
      </c>
      <c r="K18" s="80" t="str">
        <f t="shared" si="1"/>
        <v/>
      </c>
      <c r="L18" s="40"/>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row>
    <row r="19" spans="1:64" ht="14">
      <c r="A19" s="36"/>
      <c r="B19" s="37"/>
      <c r="C19" s="40"/>
      <c r="D19" s="79"/>
      <c r="E19" s="79"/>
      <c r="F19" s="79"/>
      <c r="G19" s="225"/>
      <c r="H19" s="225"/>
      <c r="I19" s="41"/>
      <c r="J19" s="44" t="str">
        <f t="shared" si="0"/>
        <v/>
      </c>
      <c r="K19" s="80" t="str">
        <f t="shared" si="1"/>
        <v/>
      </c>
      <c r="L19" s="40"/>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row>
    <row r="20" spans="1:64" ht="14">
      <c r="A20" s="36"/>
      <c r="B20" s="37"/>
      <c r="C20" s="40"/>
      <c r="D20" s="79"/>
      <c r="E20" s="79"/>
      <c r="F20" s="79"/>
      <c r="G20" s="225"/>
      <c r="H20" s="225"/>
      <c r="I20" s="41"/>
      <c r="J20" s="44" t="str">
        <f t="shared" si="0"/>
        <v/>
      </c>
      <c r="K20" s="80" t="str">
        <f t="shared" si="1"/>
        <v/>
      </c>
      <c r="L20" s="40"/>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row>
    <row r="21" spans="1:64" ht="14">
      <c r="A21" s="36"/>
      <c r="B21" s="37"/>
      <c r="C21" s="40"/>
      <c r="D21" s="79"/>
      <c r="E21" s="79"/>
      <c r="F21" s="79"/>
      <c r="G21" s="225"/>
      <c r="H21" s="225"/>
      <c r="I21" s="41"/>
      <c r="J21" s="44" t="str">
        <f t="shared" si="0"/>
        <v/>
      </c>
      <c r="K21" s="80" t="str">
        <f t="shared" si="1"/>
        <v/>
      </c>
      <c r="L21" s="40"/>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row>
    <row r="22" spans="1:64" ht="14">
      <c r="A22" s="36"/>
      <c r="B22" s="37"/>
      <c r="C22" s="40"/>
      <c r="D22" s="79"/>
      <c r="E22" s="79"/>
      <c r="F22" s="79"/>
      <c r="G22" s="225"/>
      <c r="H22" s="225"/>
      <c r="I22" s="41"/>
      <c r="J22" s="44" t="str">
        <f t="shared" si="0"/>
        <v/>
      </c>
      <c r="K22" s="80" t="str">
        <f t="shared" si="1"/>
        <v/>
      </c>
      <c r="L22" s="40"/>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row>
    <row r="23" spans="1:64" ht="14">
      <c r="A23" s="36"/>
      <c r="B23" s="37"/>
      <c r="C23" s="40"/>
      <c r="D23" s="79"/>
      <c r="E23" s="79"/>
      <c r="F23" s="79"/>
      <c r="G23" s="225"/>
      <c r="H23" s="225"/>
      <c r="I23" s="41"/>
      <c r="J23" s="44" t="str">
        <f t="shared" si="0"/>
        <v/>
      </c>
      <c r="K23" s="80" t="str">
        <f t="shared" si="1"/>
        <v/>
      </c>
      <c r="L23" s="40"/>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row>
    <row r="24" spans="1:64" ht="14">
      <c r="A24" s="36"/>
      <c r="B24" s="37"/>
      <c r="C24" s="40"/>
      <c r="D24" s="79"/>
      <c r="E24" s="79"/>
      <c r="F24" s="79"/>
      <c r="G24" s="225"/>
      <c r="H24" s="225"/>
      <c r="I24" s="41"/>
      <c r="J24" s="44" t="str">
        <f t="shared" si="0"/>
        <v/>
      </c>
      <c r="K24" s="80" t="str">
        <f t="shared" si="1"/>
        <v/>
      </c>
      <c r="L24" s="40"/>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row>
    <row r="25" spans="1:64" ht="14">
      <c r="A25" s="36"/>
      <c r="B25" s="37"/>
      <c r="C25" s="40"/>
      <c r="D25" s="79"/>
      <c r="E25" s="79"/>
      <c r="F25" s="79"/>
      <c r="G25" s="225"/>
      <c r="H25" s="225"/>
      <c r="I25" s="41"/>
      <c r="J25" s="44" t="str">
        <f t="shared" si="0"/>
        <v/>
      </c>
      <c r="K25" s="80" t="str">
        <f t="shared" si="1"/>
        <v/>
      </c>
      <c r="L25" s="40"/>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row>
    <row r="26" spans="1:64" ht="14">
      <c r="A26" s="36"/>
      <c r="B26" s="37"/>
      <c r="C26" s="40"/>
      <c r="D26" s="79"/>
      <c r="E26" s="79"/>
      <c r="F26" s="79"/>
      <c r="G26" s="225"/>
      <c r="H26" s="225"/>
      <c r="I26" s="41"/>
      <c r="J26" s="44" t="str">
        <f t="shared" si="0"/>
        <v/>
      </c>
      <c r="K26" s="80" t="str">
        <f t="shared" si="1"/>
        <v/>
      </c>
      <c r="L26" s="40"/>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row>
    <row r="27" spans="1:64" ht="14">
      <c r="A27" s="36"/>
      <c r="B27" s="37"/>
      <c r="C27" s="40"/>
      <c r="D27" s="79"/>
      <c r="E27" s="79"/>
      <c r="F27" s="79"/>
      <c r="G27" s="225"/>
      <c r="H27" s="225"/>
      <c r="I27" s="41"/>
      <c r="J27" s="44" t="str">
        <f t="shared" si="0"/>
        <v/>
      </c>
      <c r="K27" s="80" t="str">
        <f t="shared" si="1"/>
        <v/>
      </c>
      <c r="L27" s="40"/>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row>
    <row r="28" spans="1:64" ht="14">
      <c r="A28" s="36"/>
      <c r="B28" s="37"/>
      <c r="C28" s="40"/>
      <c r="D28" s="79"/>
      <c r="E28" s="79"/>
      <c r="F28" s="79"/>
      <c r="G28" s="225"/>
      <c r="H28" s="225"/>
      <c r="I28" s="41"/>
      <c r="J28" s="44" t="str">
        <f t="shared" si="0"/>
        <v/>
      </c>
      <c r="K28" s="80" t="str">
        <f t="shared" si="1"/>
        <v/>
      </c>
      <c r="L28" s="40"/>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row>
    <row r="29" spans="1:64" ht="14">
      <c r="A29" s="36"/>
      <c r="B29" s="37"/>
      <c r="C29" s="40"/>
      <c r="D29" s="79"/>
      <c r="E29" s="79"/>
      <c r="F29" s="79"/>
      <c r="G29" s="225"/>
      <c r="H29" s="225"/>
      <c r="I29" s="81"/>
      <c r="J29" s="44" t="str">
        <f t="shared" si="0"/>
        <v/>
      </c>
      <c r="K29" s="80" t="str">
        <f t="shared" si="1"/>
        <v/>
      </c>
      <c r="L29" s="40"/>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row>
    <row r="30" spans="1:64" ht="14">
      <c r="A30" s="36"/>
      <c r="B30" s="37"/>
      <c r="C30" s="40"/>
      <c r="D30" s="79"/>
      <c r="E30" s="79"/>
      <c r="F30" s="79"/>
      <c r="G30" s="225"/>
      <c r="H30" s="225"/>
      <c r="I30" s="81"/>
      <c r="J30" s="44" t="str">
        <f t="shared" si="0"/>
        <v/>
      </c>
      <c r="K30" s="80" t="str">
        <f t="shared" si="1"/>
        <v/>
      </c>
      <c r="L30" s="40"/>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row>
    <row r="31" spans="1:64" ht="14">
      <c r="A31" s="36"/>
      <c r="B31" s="37"/>
      <c r="C31" s="40"/>
      <c r="D31" s="79"/>
      <c r="E31" s="79"/>
      <c r="F31" s="79"/>
      <c r="G31" s="225"/>
      <c r="H31" s="225"/>
      <c r="I31" s="41"/>
      <c r="J31" s="44" t="str">
        <f t="shared" si="0"/>
        <v/>
      </c>
      <c r="K31" s="80" t="str">
        <f t="shared" si="1"/>
        <v/>
      </c>
      <c r="L31" s="40"/>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row>
    <row r="32" spans="1:64" ht="14">
      <c r="A32" s="36"/>
      <c r="B32" s="37"/>
      <c r="C32" s="40"/>
      <c r="D32" s="79"/>
      <c r="E32" s="79"/>
      <c r="F32" s="79"/>
      <c r="G32" s="225"/>
      <c r="H32" s="225"/>
      <c r="I32" s="41"/>
      <c r="J32" s="44" t="str">
        <f t="shared" si="0"/>
        <v/>
      </c>
      <c r="K32" s="80" t="str">
        <f t="shared" si="1"/>
        <v/>
      </c>
      <c r="L32" s="40"/>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row>
    <row r="33" spans="1:64" ht="14">
      <c r="A33" s="36"/>
      <c r="B33" s="37"/>
      <c r="C33" s="40"/>
      <c r="D33" s="79"/>
      <c r="E33" s="79"/>
      <c r="F33" s="79"/>
      <c r="G33" s="225"/>
      <c r="H33" s="225"/>
      <c r="I33" s="41"/>
      <c r="J33" s="44" t="str">
        <f t="shared" si="0"/>
        <v/>
      </c>
      <c r="K33" s="80" t="str">
        <f t="shared" si="1"/>
        <v/>
      </c>
      <c r="L33" s="40"/>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row>
    <row r="34" spans="1:64" ht="14">
      <c r="A34" s="36"/>
      <c r="B34" s="37"/>
      <c r="C34" s="40"/>
      <c r="D34" s="79"/>
      <c r="E34" s="79"/>
      <c r="F34" s="79"/>
      <c r="G34" s="225"/>
      <c r="H34" s="225"/>
      <c r="I34" s="41"/>
      <c r="J34" s="44" t="str">
        <f t="shared" si="0"/>
        <v/>
      </c>
      <c r="K34" s="80" t="str">
        <f t="shared" si="1"/>
        <v/>
      </c>
      <c r="L34" s="40"/>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row>
    <row r="35" spans="1:64" ht="14">
      <c r="A35" s="36"/>
      <c r="B35" s="37"/>
      <c r="C35" s="40"/>
      <c r="D35" s="79"/>
      <c r="E35" s="79"/>
      <c r="F35" s="79"/>
      <c r="G35" s="225"/>
      <c r="H35" s="225"/>
      <c r="I35" s="41"/>
      <c r="J35" s="44" t="str">
        <f t="shared" si="0"/>
        <v/>
      </c>
      <c r="K35" s="80" t="str">
        <f t="shared" si="1"/>
        <v/>
      </c>
      <c r="L35" s="40"/>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row>
    <row r="36" spans="1:64" ht="14">
      <c r="A36" s="36"/>
      <c r="B36" s="37"/>
      <c r="C36" s="40"/>
      <c r="D36" s="79"/>
      <c r="E36" s="79"/>
      <c r="F36" s="79"/>
      <c r="G36" s="225"/>
      <c r="H36" s="225"/>
      <c r="I36" s="41"/>
      <c r="J36" s="44" t="str">
        <f t="shared" si="0"/>
        <v/>
      </c>
      <c r="K36" s="80" t="str">
        <f t="shared" si="1"/>
        <v/>
      </c>
      <c r="L36" s="40"/>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row>
    <row r="37" spans="1:64" ht="14">
      <c r="A37" s="36"/>
      <c r="B37" s="37"/>
      <c r="C37" s="40"/>
      <c r="D37" s="79"/>
      <c r="E37" s="79"/>
      <c r="F37" s="79"/>
      <c r="G37" s="225"/>
      <c r="H37" s="225"/>
      <c r="I37" s="41"/>
      <c r="J37" s="44" t="str">
        <f t="shared" si="0"/>
        <v/>
      </c>
      <c r="K37" s="80" t="str">
        <f t="shared" si="1"/>
        <v/>
      </c>
      <c r="L37" s="40"/>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row>
    <row r="38" spans="1:64" ht="14">
      <c r="A38" s="36"/>
      <c r="B38" s="37"/>
      <c r="C38" s="40"/>
      <c r="D38" s="79"/>
      <c r="E38" s="79"/>
      <c r="F38" s="79"/>
      <c r="G38" s="225"/>
      <c r="H38" s="225"/>
      <c r="I38" s="41"/>
      <c r="J38" s="44" t="str">
        <f t="shared" si="0"/>
        <v/>
      </c>
      <c r="K38" s="80" t="str">
        <f t="shared" si="1"/>
        <v/>
      </c>
      <c r="L38" s="40"/>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row>
    <row r="39" spans="1:64" ht="14">
      <c r="A39" s="36"/>
      <c r="B39" s="37"/>
      <c r="C39" s="40"/>
      <c r="D39" s="79"/>
      <c r="E39" s="79"/>
      <c r="F39" s="79"/>
      <c r="G39" s="225"/>
      <c r="H39" s="225"/>
      <c r="I39" s="41"/>
      <c r="J39" s="44" t="str">
        <f t="shared" si="0"/>
        <v/>
      </c>
      <c r="K39" s="80" t="str">
        <f t="shared" si="1"/>
        <v/>
      </c>
      <c r="L39" s="40"/>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row>
    <row r="40" spans="1:64" ht="14">
      <c r="A40" s="36"/>
      <c r="B40" s="37"/>
      <c r="C40" s="40"/>
      <c r="D40" s="79"/>
      <c r="E40" s="79"/>
      <c r="F40" s="79"/>
      <c r="G40" s="225"/>
      <c r="H40" s="225"/>
      <c r="I40" s="41"/>
      <c r="J40" s="44" t="str">
        <f t="shared" si="0"/>
        <v/>
      </c>
      <c r="K40" s="80" t="str">
        <f t="shared" si="1"/>
        <v/>
      </c>
      <c r="L40" s="40"/>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row>
    <row r="41" spans="1:64" ht="14">
      <c r="A41" s="36"/>
      <c r="B41" s="37"/>
      <c r="C41" s="40"/>
      <c r="D41" s="79"/>
      <c r="E41" s="79"/>
      <c r="F41" s="79"/>
      <c r="G41" s="225"/>
      <c r="H41" s="225"/>
      <c r="I41" s="41"/>
      <c r="J41" s="44" t="str">
        <f t="shared" si="0"/>
        <v/>
      </c>
      <c r="K41" s="80" t="str">
        <f t="shared" si="1"/>
        <v/>
      </c>
      <c r="L41" s="40"/>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row>
    <row r="42" spans="1:64" ht="14">
      <c r="A42" s="36"/>
      <c r="B42" s="37"/>
      <c r="C42" s="40"/>
      <c r="D42" s="79"/>
      <c r="E42" s="79"/>
      <c r="F42" s="79"/>
      <c r="G42" s="225"/>
      <c r="H42" s="225"/>
      <c r="I42" s="41"/>
      <c r="J42" s="44" t="str">
        <f t="shared" si="0"/>
        <v/>
      </c>
      <c r="K42" s="80" t="str">
        <f t="shared" si="1"/>
        <v/>
      </c>
      <c r="L42" s="40"/>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row>
    <row r="43" spans="1:64" ht="14">
      <c r="A43" s="36"/>
      <c r="B43" s="37"/>
      <c r="C43" s="40"/>
      <c r="D43" s="79"/>
      <c r="E43" s="79"/>
      <c r="F43" s="79"/>
      <c r="G43" s="225"/>
      <c r="H43" s="225"/>
      <c r="I43" s="41"/>
      <c r="J43" s="44" t="str">
        <f t="shared" si="0"/>
        <v/>
      </c>
      <c r="K43" s="80" t="str">
        <f t="shared" si="1"/>
        <v/>
      </c>
      <c r="L43" s="40"/>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row>
    <row r="44" spans="1:64" ht="14">
      <c r="A44" s="36"/>
      <c r="B44" s="37"/>
      <c r="C44" s="40"/>
      <c r="D44" s="79"/>
      <c r="E44" s="79"/>
      <c r="F44" s="79"/>
      <c r="G44" s="225"/>
      <c r="H44" s="225"/>
      <c r="I44" s="41"/>
      <c r="J44" s="44" t="str">
        <f t="shared" si="0"/>
        <v/>
      </c>
      <c r="K44" s="80" t="str">
        <f t="shared" si="1"/>
        <v/>
      </c>
      <c r="L44" s="40"/>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row>
    <row r="45" spans="1:64" ht="14">
      <c r="A45" s="36"/>
      <c r="B45" s="37"/>
      <c r="C45" s="40"/>
      <c r="D45" s="79"/>
      <c r="E45" s="79"/>
      <c r="F45" s="79"/>
      <c r="G45" s="225"/>
      <c r="H45" s="225"/>
      <c r="I45" s="41"/>
      <c r="J45" s="44" t="str">
        <f t="shared" si="0"/>
        <v/>
      </c>
      <c r="K45" s="80" t="str">
        <f t="shared" si="1"/>
        <v/>
      </c>
      <c r="L45" s="40"/>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row>
    <row r="46" spans="1:64" ht="14">
      <c r="A46" s="36"/>
      <c r="B46" s="37"/>
      <c r="C46" s="40"/>
      <c r="D46" s="79"/>
      <c r="E46" s="79"/>
      <c r="F46" s="79"/>
      <c r="G46" s="225"/>
      <c r="H46" s="225"/>
      <c r="I46" s="41"/>
      <c r="J46" s="44" t="str">
        <f t="shared" si="0"/>
        <v/>
      </c>
      <c r="K46" s="80" t="str">
        <f t="shared" si="1"/>
        <v/>
      </c>
      <c r="L46" s="40"/>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row>
    <row r="47" spans="1:64" ht="14">
      <c r="A47" s="36"/>
      <c r="B47" s="37"/>
      <c r="C47" s="40"/>
      <c r="D47" s="79"/>
      <c r="E47" s="79"/>
      <c r="F47" s="79"/>
      <c r="G47" s="225"/>
      <c r="H47" s="225"/>
      <c r="I47" s="41"/>
      <c r="J47" s="44" t="str">
        <f t="shared" si="0"/>
        <v/>
      </c>
      <c r="K47" s="80" t="str">
        <f t="shared" si="1"/>
        <v/>
      </c>
      <c r="L47" s="40"/>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row>
    <row r="48" spans="1:64" ht="14">
      <c r="A48" s="36"/>
      <c r="B48" s="37"/>
      <c r="C48" s="40"/>
      <c r="D48" s="79"/>
      <c r="E48" s="79"/>
      <c r="F48" s="79"/>
      <c r="G48" s="225"/>
      <c r="H48" s="225"/>
      <c r="I48" s="41"/>
      <c r="J48" s="44" t="str">
        <f t="shared" si="0"/>
        <v/>
      </c>
      <c r="K48" s="80" t="str">
        <f t="shared" si="1"/>
        <v/>
      </c>
      <c r="L48" s="40"/>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row>
    <row r="49" spans="1:64" ht="14">
      <c r="A49" s="36"/>
      <c r="B49" s="37"/>
      <c r="C49" s="40"/>
      <c r="D49" s="79"/>
      <c r="E49" s="79"/>
      <c r="F49" s="79"/>
      <c r="G49" s="225"/>
      <c r="H49" s="225"/>
      <c r="I49" s="41"/>
      <c r="J49" s="44" t="str">
        <f t="shared" si="0"/>
        <v/>
      </c>
      <c r="K49" s="80" t="str">
        <f t="shared" si="1"/>
        <v/>
      </c>
      <c r="L49" s="40"/>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row>
    <row r="50" spans="1:64" ht="14">
      <c r="A50" s="36"/>
      <c r="B50" s="37"/>
      <c r="C50" s="40"/>
      <c r="D50" s="79"/>
      <c r="E50" s="79"/>
      <c r="F50" s="79"/>
      <c r="G50" s="225"/>
      <c r="H50" s="225"/>
      <c r="I50" s="41"/>
      <c r="J50" s="44" t="str">
        <f t="shared" si="0"/>
        <v/>
      </c>
      <c r="K50" s="80" t="str">
        <f t="shared" si="1"/>
        <v/>
      </c>
      <c r="L50" s="40"/>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row>
    <row r="51" spans="1:64" ht="14">
      <c r="A51" s="36"/>
      <c r="B51" s="37"/>
      <c r="C51" s="40"/>
      <c r="D51" s="79"/>
      <c r="E51" s="79"/>
      <c r="F51" s="79"/>
      <c r="G51" s="225"/>
      <c r="H51" s="225"/>
      <c r="I51" s="41"/>
      <c r="J51" s="44" t="str">
        <f t="shared" si="0"/>
        <v/>
      </c>
      <c r="K51" s="80" t="str">
        <f t="shared" si="1"/>
        <v/>
      </c>
      <c r="L51" s="40"/>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row>
    <row r="52" spans="1:64" ht="14">
      <c r="A52" s="36"/>
      <c r="B52" s="37"/>
      <c r="C52" s="40"/>
      <c r="D52" s="79"/>
      <c r="E52" s="79"/>
      <c r="F52" s="79"/>
      <c r="G52" s="225"/>
      <c r="H52" s="225"/>
      <c r="I52" s="41"/>
      <c r="J52" s="44" t="str">
        <f t="shared" si="0"/>
        <v/>
      </c>
      <c r="K52" s="80" t="str">
        <f t="shared" si="1"/>
        <v/>
      </c>
      <c r="L52" s="40"/>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row>
    <row r="53" spans="1:64" ht="14">
      <c r="A53" s="36"/>
      <c r="B53" s="37"/>
      <c r="C53" s="40"/>
      <c r="D53" s="79"/>
      <c r="E53" s="79"/>
      <c r="F53" s="79"/>
      <c r="G53" s="225"/>
      <c r="H53" s="225"/>
      <c r="I53" s="41"/>
      <c r="J53" s="44" t="str">
        <f t="shared" si="0"/>
        <v/>
      </c>
      <c r="K53" s="80" t="str">
        <f t="shared" si="1"/>
        <v/>
      </c>
      <c r="L53" s="40"/>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row>
    <row r="54" spans="1:64" ht="14">
      <c r="A54" s="36"/>
      <c r="B54" s="37"/>
      <c r="C54" s="40"/>
      <c r="D54" s="79"/>
      <c r="E54" s="79"/>
      <c r="F54" s="79"/>
      <c r="G54" s="225"/>
      <c r="H54" s="225"/>
      <c r="I54" s="41"/>
      <c r="J54" s="44" t="str">
        <f t="shared" si="0"/>
        <v/>
      </c>
      <c r="K54" s="80" t="str">
        <f t="shared" si="1"/>
        <v/>
      </c>
      <c r="L54" s="40"/>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row>
    <row r="55" spans="1:64" ht="14">
      <c r="A55" s="36"/>
      <c r="B55" s="37"/>
      <c r="C55" s="40"/>
      <c r="D55" s="79"/>
      <c r="E55" s="79"/>
      <c r="F55" s="79"/>
      <c r="G55" s="225"/>
      <c r="H55" s="225"/>
      <c r="I55" s="41"/>
      <c r="J55" s="44" t="str">
        <f t="shared" si="0"/>
        <v/>
      </c>
      <c r="K55" s="80" t="str">
        <f t="shared" si="1"/>
        <v/>
      </c>
      <c r="L55" s="40"/>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row>
    <row r="56" spans="1:64" ht="14">
      <c r="A56" s="36"/>
      <c r="B56" s="37"/>
      <c r="C56" s="40"/>
      <c r="D56" s="79"/>
      <c r="E56" s="79"/>
      <c r="F56" s="79"/>
      <c r="G56" s="225"/>
      <c r="H56" s="225"/>
      <c r="I56" s="41"/>
      <c r="J56" s="44" t="str">
        <f t="shared" si="0"/>
        <v/>
      </c>
      <c r="K56" s="80" t="str">
        <f t="shared" si="1"/>
        <v/>
      </c>
      <c r="L56" s="40"/>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row>
    <row r="57" spans="1:64" ht="14">
      <c r="A57" s="36"/>
      <c r="B57" s="37"/>
      <c r="C57" s="40"/>
      <c r="D57" s="79"/>
      <c r="E57" s="79"/>
      <c r="F57" s="79"/>
      <c r="G57" s="225"/>
      <c r="H57" s="225"/>
      <c r="I57" s="41"/>
      <c r="J57" s="44" t="str">
        <f t="shared" si="0"/>
        <v/>
      </c>
      <c r="K57" s="80" t="str">
        <f t="shared" si="1"/>
        <v/>
      </c>
      <c r="L57" s="40"/>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row>
    <row r="58" spans="1:64" ht="14">
      <c r="A58" s="36"/>
      <c r="B58" s="37"/>
      <c r="C58" s="40"/>
      <c r="D58" s="79"/>
      <c r="E58" s="79"/>
      <c r="F58" s="79"/>
      <c r="G58" s="225"/>
      <c r="H58" s="225"/>
      <c r="I58" s="41"/>
      <c r="J58" s="44" t="str">
        <f t="shared" si="0"/>
        <v/>
      </c>
      <c r="K58" s="80" t="str">
        <f t="shared" si="1"/>
        <v/>
      </c>
      <c r="L58" s="40"/>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row>
    <row r="59" spans="1:64" ht="14">
      <c r="A59" s="36"/>
      <c r="B59" s="37"/>
      <c r="C59" s="40"/>
      <c r="D59" s="79"/>
      <c r="E59" s="79"/>
      <c r="F59" s="79"/>
      <c r="G59" s="225"/>
      <c r="H59" s="225"/>
      <c r="I59" s="41"/>
      <c r="J59" s="44" t="str">
        <f t="shared" si="0"/>
        <v/>
      </c>
      <c r="K59" s="80" t="str">
        <f t="shared" si="1"/>
        <v/>
      </c>
      <c r="L59" s="40"/>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row>
    <row r="60" spans="1:64" ht="14">
      <c r="A60" s="36"/>
      <c r="B60" s="37"/>
      <c r="C60" s="40"/>
      <c r="D60" s="79"/>
      <c r="E60" s="79"/>
      <c r="F60" s="79"/>
      <c r="G60" s="225"/>
      <c r="H60" s="225"/>
      <c r="I60" s="41"/>
      <c r="J60" s="44" t="str">
        <f t="shared" si="0"/>
        <v/>
      </c>
      <c r="K60" s="80" t="str">
        <f t="shared" si="1"/>
        <v/>
      </c>
      <c r="L60" s="40"/>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row>
    <row r="61" spans="1:64" ht="14">
      <c r="A61" s="36"/>
      <c r="B61" s="37"/>
      <c r="C61" s="40"/>
      <c r="D61" s="79"/>
      <c r="E61" s="79"/>
      <c r="F61" s="79"/>
      <c r="G61" s="225"/>
      <c r="H61" s="225"/>
      <c r="I61" s="41"/>
      <c r="J61" s="44" t="str">
        <f t="shared" si="0"/>
        <v/>
      </c>
      <c r="K61" s="80" t="str">
        <f t="shared" si="1"/>
        <v/>
      </c>
      <c r="L61" s="40"/>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row>
    <row r="62" spans="1:64" ht="14">
      <c r="A62" s="36"/>
      <c r="B62" s="37"/>
      <c r="C62" s="40"/>
      <c r="D62" s="79"/>
      <c r="E62" s="79"/>
      <c r="F62" s="79"/>
      <c r="G62" s="225"/>
      <c r="H62" s="225"/>
      <c r="I62" s="41"/>
      <c r="J62" s="44" t="str">
        <f t="shared" si="0"/>
        <v/>
      </c>
      <c r="K62" s="80" t="str">
        <f t="shared" si="1"/>
        <v/>
      </c>
      <c r="L62" s="40"/>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row>
    <row r="63" spans="1:64" ht="14">
      <c r="A63" s="36"/>
      <c r="B63" s="37"/>
      <c r="C63" s="40"/>
      <c r="D63" s="79"/>
      <c r="E63" s="79"/>
      <c r="F63" s="79"/>
      <c r="G63" s="225"/>
      <c r="H63" s="225"/>
      <c r="I63" s="41"/>
      <c r="J63" s="44" t="str">
        <f t="shared" si="0"/>
        <v/>
      </c>
      <c r="K63" s="80" t="str">
        <f t="shared" si="1"/>
        <v/>
      </c>
      <c r="L63" s="40"/>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row>
    <row r="64" spans="1:64" ht="14">
      <c r="A64" s="36"/>
      <c r="B64" s="37"/>
      <c r="C64" s="40"/>
      <c r="D64" s="79"/>
      <c r="E64" s="79"/>
      <c r="F64" s="79"/>
      <c r="G64" s="225"/>
      <c r="H64" s="225"/>
      <c r="I64" s="41"/>
      <c r="J64" s="44" t="str">
        <f t="shared" si="0"/>
        <v/>
      </c>
      <c r="K64" s="80" t="str">
        <f t="shared" si="1"/>
        <v/>
      </c>
      <c r="L64" s="40"/>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row>
    <row r="65" spans="1:64" ht="14">
      <c r="A65" s="36"/>
      <c r="B65" s="37"/>
      <c r="C65" s="40"/>
      <c r="D65" s="79"/>
      <c r="E65" s="79"/>
      <c r="F65" s="79"/>
      <c r="G65" s="225"/>
      <c r="H65" s="225"/>
      <c r="I65" s="41"/>
      <c r="J65" s="44" t="str">
        <f t="shared" si="0"/>
        <v/>
      </c>
      <c r="K65" s="80" t="str">
        <f t="shared" si="1"/>
        <v/>
      </c>
      <c r="L65" s="40"/>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row>
    <row r="66" spans="1:64" ht="14">
      <c r="A66" s="36"/>
      <c r="B66" s="37"/>
      <c r="C66" s="40"/>
      <c r="D66" s="79"/>
      <c r="E66" s="79"/>
      <c r="F66" s="79"/>
      <c r="G66" s="225"/>
      <c r="H66" s="225"/>
      <c r="I66" s="41"/>
      <c r="J66" s="44" t="str">
        <f t="shared" si="0"/>
        <v/>
      </c>
      <c r="K66" s="80" t="str">
        <f t="shared" si="1"/>
        <v/>
      </c>
      <c r="L66" s="40"/>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row>
    <row r="67" spans="1:64" ht="14">
      <c r="A67" s="36"/>
      <c r="B67" s="37"/>
      <c r="C67" s="40"/>
      <c r="D67" s="79"/>
      <c r="E67" s="79"/>
      <c r="F67" s="79"/>
      <c r="G67" s="225"/>
      <c r="H67" s="225"/>
      <c r="I67" s="41"/>
      <c r="J67" s="44" t="str">
        <f t="shared" si="0"/>
        <v/>
      </c>
      <c r="K67" s="80" t="str">
        <f t="shared" si="1"/>
        <v/>
      </c>
      <c r="L67" s="40"/>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row>
    <row r="68" spans="1:64" ht="14">
      <c r="A68" s="36"/>
      <c r="B68" s="37"/>
      <c r="C68" s="40"/>
      <c r="D68" s="79"/>
      <c r="E68" s="79"/>
      <c r="F68" s="79"/>
      <c r="G68" s="225"/>
      <c r="H68" s="225"/>
      <c r="I68" s="41"/>
      <c r="J68" s="44" t="str">
        <f t="shared" si="0"/>
        <v/>
      </c>
      <c r="K68" s="80" t="str">
        <f t="shared" si="1"/>
        <v/>
      </c>
      <c r="L68" s="40"/>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row>
    <row r="69" spans="1:64" ht="14">
      <c r="A69" s="36"/>
      <c r="B69" s="37"/>
      <c r="C69" s="40"/>
      <c r="D69" s="79"/>
      <c r="E69" s="79"/>
      <c r="F69" s="79"/>
      <c r="G69" s="225"/>
      <c r="H69" s="225"/>
      <c r="I69" s="41"/>
      <c r="J69" s="44" t="str">
        <f t="shared" si="0"/>
        <v/>
      </c>
      <c r="K69" s="80" t="str">
        <f t="shared" si="1"/>
        <v/>
      </c>
      <c r="L69" s="40"/>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row>
    <row r="70" spans="1:64" ht="14">
      <c r="A70" s="36"/>
      <c r="B70" s="37"/>
      <c r="C70" s="40"/>
      <c r="D70" s="79"/>
      <c r="E70" s="79"/>
      <c r="F70" s="79"/>
      <c r="G70" s="225"/>
      <c r="H70" s="225"/>
      <c r="I70" s="41"/>
      <c r="J70" s="44" t="str">
        <f t="shared" si="0"/>
        <v/>
      </c>
      <c r="K70" s="80" t="str">
        <f t="shared" si="1"/>
        <v/>
      </c>
      <c r="L70" s="40"/>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row>
    <row r="71" spans="1:64" ht="14">
      <c r="A71" s="36"/>
      <c r="B71" s="37"/>
      <c r="C71" s="40"/>
      <c r="D71" s="79"/>
      <c r="E71" s="79"/>
      <c r="F71" s="79"/>
      <c r="G71" s="225"/>
      <c r="H71" s="225"/>
      <c r="I71" s="41"/>
      <c r="J71" s="44" t="str">
        <f t="shared" si="0"/>
        <v/>
      </c>
      <c r="K71" s="80" t="str">
        <f t="shared" si="1"/>
        <v/>
      </c>
      <c r="L71" s="40"/>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row>
    <row r="72" spans="1:64" ht="14">
      <c r="A72" s="36"/>
      <c r="B72" s="37"/>
      <c r="C72" s="40"/>
      <c r="D72" s="79"/>
      <c r="E72" s="79"/>
      <c r="F72" s="79"/>
      <c r="G72" s="225"/>
      <c r="H72" s="225"/>
      <c r="I72" s="41"/>
      <c r="J72" s="44" t="str">
        <f t="shared" si="0"/>
        <v/>
      </c>
      <c r="K72" s="80" t="str">
        <f t="shared" si="1"/>
        <v/>
      </c>
      <c r="L72" s="40"/>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row>
    <row r="73" spans="1:64" ht="14">
      <c r="A73" s="36"/>
      <c r="B73" s="37"/>
      <c r="C73" s="40"/>
      <c r="D73" s="79"/>
      <c r="E73" s="79"/>
      <c r="F73" s="79"/>
      <c r="G73" s="225"/>
      <c r="H73" s="225"/>
      <c r="I73" s="41"/>
      <c r="J73" s="44" t="str">
        <f t="shared" si="0"/>
        <v/>
      </c>
      <c r="K73" s="80" t="str">
        <f t="shared" si="1"/>
        <v/>
      </c>
      <c r="L73" s="40"/>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row>
    <row r="74" spans="1:64" ht="14">
      <c r="A74" s="36"/>
      <c r="B74" s="37"/>
      <c r="C74" s="40"/>
      <c r="D74" s="79"/>
      <c r="E74" s="79"/>
      <c r="F74" s="79"/>
      <c r="G74" s="225"/>
      <c r="H74" s="225"/>
      <c r="I74" s="41"/>
      <c r="J74" s="44" t="str">
        <f t="shared" si="0"/>
        <v/>
      </c>
      <c r="K74" s="80" t="str">
        <f t="shared" si="1"/>
        <v/>
      </c>
      <c r="L74" s="40"/>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row>
    <row r="75" spans="1:64" ht="14">
      <c r="A75" s="36"/>
      <c r="B75" s="37"/>
      <c r="C75" s="40"/>
      <c r="D75" s="79"/>
      <c r="E75" s="79"/>
      <c r="F75" s="79"/>
      <c r="G75" s="225"/>
      <c r="H75" s="225"/>
      <c r="I75" s="41"/>
      <c r="J75" s="44" t="str">
        <f t="shared" ref="J75:J138" si="2">IF($C75&lt;&gt;"",$E75*1.5,"")</f>
        <v/>
      </c>
      <c r="K75" s="80" t="str">
        <f t="shared" ref="K75:K138" si="3">IFERROR($J75/10,"")</f>
        <v/>
      </c>
      <c r="L75" s="40"/>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row>
    <row r="76" spans="1:64" ht="14">
      <c r="A76" s="36"/>
      <c r="B76" s="37"/>
      <c r="C76" s="40"/>
      <c r="D76" s="79"/>
      <c r="E76" s="79"/>
      <c r="F76" s="79"/>
      <c r="G76" s="225"/>
      <c r="H76" s="225"/>
      <c r="I76" s="41"/>
      <c r="J76" s="44" t="str">
        <f t="shared" si="2"/>
        <v/>
      </c>
      <c r="K76" s="80" t="str">
        <f t="shared" si="3"/>
        <v/>
      </c>
      <c r="L76" s="40"/>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row>
    <row r="77" spans="1:64" ht="14">
      <c r="A77" s="36"/>
      <c r="B77" s="37"/>
      <c r="C77" s="40"/>
      <c r="D77" s="79"/>
      <c r="E77" s="79"/>
      <c r="F77" s="79"/>
      <c r="G77" s="225"/>
      <c r="H77" s="225"/>
      <c r="I77" s="41"/>
      <c r="J77" s="44" t="str">
        <f t="shared" si="2"/>
        <v/>
      </c>
      <c r="K77" s="80" t="str">
        <f t="shared" si="3"/>
        <v/>
      </c>
      <c r="L77" s="40"/>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row>
    <row r="78" spans="1:64" ht="14">
      <c r="A78" s="36"/>
      <c r="B78" s="37"/>
      <c r="C78" s="40"/>
      <c r="D78" s="79"/>
      <c r="E78" s="79"/>
      <c r="F78" s="79"/>
      <c r="G78" s="225"/>
      <c r="H78" s="225"/>
      <c r="I78" s="41"/>
      <c r="J78" s="44" t="str">
        <f t="shared" si="2"/>
        <v/>
      </c>
      <c r="K78" s="80" t="str">
        <f t="shared" si="3"/>
        <v/>
      </c>
      <c r="L78" s="40"/>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row>
    <row r="79" spans="1:64" ht="14">
      <c r="A79" s="36"/>
      <c r="B79" s="37"/>
      <c r="C79" s="40"/>
      <c r="D79" s="79"/>
      <c r="E79" s="79"/>
      <c r="F79" s="79"/>
      <c r="G79" s="225"/>
      <c r="H79" s="225"/>
      <c r="I79" s="41"/>
      <c r="J79" s="44" t="str">
        <f t="shared" si="2"/>
        <v/>
      </c>
      <c r="K79" s="80" t="str">
        <f t="shared" si="3"/>
        <v/>
      </c>
      <c r="L79" s="40"/>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row>
    <row r="80" spans="1:64" ht="14">
      <c r="A80" s="36"/>
      <c r="B80" s="37"/>
      <c r="C80" s="40"/>
      <c r="D80" s="79"/>
      <c r="E80" s="79"/>
      <c r="F80" s="79"/>
      <c r="G80" s="225"/>
      <c r="H80" s="225"/>
      <c r="I80" s="41"/>
      <c r="J80" s="44" t="str">
        <f t="shared" si="2"/>
        <v/>
      </c>
      <c r="K80" s="80" t="str">
        <f t="shared" si="3"/>
        <v/>
      </c>
      <c r="L80" s="40"/>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row>
    <row r="81" spans="1:64" ht="14">
      <c r="A81" s="36"/>
      <c r="B81" s="37"/>
      <c r="C81" s="40"/>
      <c r="D81" s="79"/>
      <c r="E81" s="79"/>
      <c r="F81" s="79"/>
      <c r="G81" s="225"/>
      <c r="H81" s="225"/>
      <c r="I81" s="41"/>
      <c r="J81" s="44" t="str">
        <f t="shared" si="2"/>
        <v/>
      </c>
      <c r="K81" s="80" t="str">
        <f t="shared" si="3"/>
        <v/>
      </c>
      <c r="L81" s="40"/>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row>
    <row r="82" spans="1:64" ht="14">
      <c r="A82" s="36"/>
      <c r="B82" s="37"/>
      <c r="C82" s="40"/>
      <c r="D82" s="79"/>
      <c r="E82" s="79"/>
      <c r="F82" s="79"/>
      <c r="G82" s="225"/>
      <c r="H82" s="225"/>
      <c r="I82" s="41"/>
      <c r="J82" s="44" t="str">
        <f t="shared" si="2"/>
        <v/>
      </c>
      <c r="K82" s="80" t="str">
        <f t="shared" si="3"/>
        <v/>
      </c>
      <c r="L82" s="40"/>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row>
    <row r="83" spans="1:64" ht="14">
      <c r="A83" s="36"/>
      <c r="B83" s="37"/>
      <c r="C83" s="40"/>
      <c r="D83" s="79"/>
      <c r="E83" s="79"/>
      <c r="F83" s="79"/>
      <c r="G83" s="225"/>
      <c r="H83" s="225"/>
      <c r="I83" s="41"/>
      <c r="J83" s="44" t="str">
        <f t="shared" si="2"/>
        <v/>
      </c>
      <c r="K83" s="80" t="str">
        <f t="shared" si="3"/>
        <v/>
      </c>
      <c r="L83" s="40"/>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row>
    <row r="84" spans="1:64" ht="14">
      <c r="A84" s="36"/>
      <c r="B84" s="37"/>
      <c r="C84" s="40"/>
      <c r="D84" s="79"/>
      <c r="E84" s="79"/>
      <c r="F84" s="79"/>
      <c r="G84" s="225"/>
      <c r="H84" s="225"/>
      <c r="I84" s="41"/>
      <c r="J84" s="44" t="str">
        <f t="shared" si="2"/>
        <v/>
      </c>
      <c r="K84" s="80" t="str">
        <f t="shared" si="3"/>
        <v/>
      </c>
      <c r="L84" s="40"/>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row>
    <row r="85" spans="1:64" ht="14">
      <c r="A85" s="36"/>
      <c r="B85" s="37"/>
      <c r="C85" s="40"/>
      <c r="D85" s="79"/>
      <c r="E85" s="79"/>
      <c r="F85" s="79"/>
      <c r="G85" s="225"/>
      <c r="H85" s="225"/>
      <c r="I85" s="41"/>
      <c r="J85" s="44" t="str">
        <f t="shared" si="2"/>
        <v/>
      </c>
      <c r="K85" s="80" t="str">
        <f t="shared" si="3"/>
        <v/>
      </c>
      <c r="L85" s="40"/>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row>
    <row r="86" spans="1:64" ht="14">
      <c r="A86" s="36"/>
      <c r="B86" s="37"/>
      <c r="C86" s="40"/>
      <c r="D86" s="79"/>
      <c r="E86" s="79"/>
      <c r="F86" s="79"/>
      <c r="G86" s="225"/>
      <c r="H86" s="225"/>
      <c r="I86" s="41"/>
      <c r="J86" s="44" t="str">
        <f t="shared" si="2"/>
        <v/>
      </c>
      <c r="K86" s="80" t="str">
        <f t="shared" si="3"/>
        <v/>
      </c>
      <c r="L86" s="40"/>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row>
    <row r="87" spans="1:64" ht="14">
      <c r="A87" s="36"/>
      <c r="B87" s="37"/>
      <c r="C87" s="40"/>
      <c r="D87" s="79"/>
      <c r="E87" s="79"/>
      <c r="F87" s="79"/>
      <c r="G87" s="225"/>
      <c r="H87" s="225"/>
      <c r="I87" s="41"/>
      <c r="J87" s="44" t="str">
        <f t="shared" si="2"/>
        <v/>
      </c>
      <c r="K87" s="80" t="str">
        <f t="shared" si="3"/>
        <v/>
      </c>
      <c r="L87" s="40"/>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row>
    <row r="88" spans="1:64" ht="14">
      <c r="A88" s="36"/>
      <c r="B88" s="37"/>
      <c r="C88" s="40"/>
      <c r="D88" s="79"/>
      <c r="E88" s="79"/>
      <c r="F88" s="79"/>
      <c r="G88" s="225"/>
      <c r="H88" s="225"/>
      <c r="I88" s="41"/>
      <c r="J88" s="44" t="str">
        <f t="shared" si="2"/>
        <v/>
      </c>
      <c r="K88" s="80" t="str">
        <f t="shared" si="3"/>
        <v/>
      </c>
      <c r="L88" s="40"/>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row>
    <row r="89" spans="1:64" ht="14">
      <c r="A89" s="36"/>
      <c r="B89" s="37"/>
      <c r="C89" s="40"/>
      <c r="D89" s="79"/>
      <c r="E89" s="79"/>
      <c r="F89" s="79"/>
      <c r="G89" s="225"/>
      <c r="H89" s="225"/>
      <c r="I89" s="41"/>
      <c r="J89" s="44" t="str">
        <f t="shared" si="2"/>
        <v/>
      </c>
      <c r="K89" s="80" t="str">
        <f t="shared" si="3"/>
        <v/>
      </c>
      <c r="L89" s="40"/>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row>
    <row r="90" spans="1:64" ht="14">
      <c r="A90" s="36"/>
      <c r="B90" s="37"/>
      <c r="C90" s="40"/>
      <c r="D90" s="79"/>
      <c r="E90" s="79"/>
      <c r="F90" s="79"/>
      <c r="G90" s="225"/>
      <c r="H90" s="225"/>
      <c r="I90" s="41"/>
      <c r="J90" s="44" t="str">
        <f t="shared" si="2"/>
        <v/>
      </c>
      <c r="K90" s="80" t="str">
        <f t="shared" si="3"/>
        <v/>
      </c>
      <c r="L90" s="40"/>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row>
    <row r="91" spans="1:64" ht="14">
      <c r="A91" s="36"/>
      <c r="B91" s="37"/>
      <c r="C91" s="40"/>
      <c r="D91" s="79"/>
      <c r="E91" s="79"/>
      <c r="F91" s="79"/>
      <c r="G91" s="225"/>
      <c r="H91" s="225"/>
      <c r="I91" s="41"/>
      <c r="J91" s="44" t="str">
        <f t="shared" si="2"/>
        <v/>
      </c>
      <c r="K91" s="80" t="str">
        <f t="shared" si="3"/>
        <v/>
      </c>
      <c r="L91" s="40"/>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row>
    <row r="92" spans="1:64" ht="14">
      <c r="A92" s="36"/>
      <c r="B92" s="37"/>
      <c r="C92" s="40"/>
      <c r="D92" s="79"/>
      <c r="E92" s="79"/>
      <c r="F92" s="79"/>
      <c r="G92" s="225"/>
      <c r="H92" s="225"/>
      <c r="I92" s="41"/>
      <c r="J92" s="44" t="str">
        <f t="shared" si="2"/>
        <v/>
      </c>
      <c r="K92" s="80" t="str">
        <f t="shared" si="3"/>
        <v/>
      </c>
      <c r="L92" s="40"/>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row>
    <row r="93" spans="1:64" ht="14">
      <c r="A93" s="36"/>
      <c r="B93" s="37"/>
      <c r="C93" s="40"/>
      <c r="D93" s="79"/>
      <c r="E93" s="79"/>
      <c r="F93" s="79"/>
      <c r="G93" s="225"/>
      <c r="H93" s="225"/>
      <c r="I93" s="41"/>
      <c r="J93" s="44" t="str">
        <f t="shared" si="2"/>
        <v/>
      </c>
      <c r="K93" s="80" t="str">
        <f t="shared" si="3"/>
        <v/>
      </c>
      <c r="L93" s="40"/>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row>
    <row r="94" spans="1:64" ht="14">
      <c r="A94" s="36"/>
      <c r="B94" s="37"/>
      <c r="C94" s="40"/>
      <c r="D94" s="79"/>
      <c r="E94" s="79"/>
      <c r="F94" s="79"/>
      <c r="G94" s="225"/>
      <c r="H94" s="225"/>
      <c r="I94" s="41"/>
      <c r="J94" s="44" t="str">
        <f t="shared" si="2"/>
        <v/>
      </c>
      <c r="K94" s="80" t="str">
        <f t="shared" si="3"/>
        <v/>
      </c>
      <c r="L94" s="40"/>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row>
    <row r="95" spans="1:64" ht="14">
      <c r="A95" s="36"/>
      <c r="B95" s="37"/>
      <c r="C95" s="40"/>
      <c r="D95" s="79"/>
      <c r="E95" s="79"/>
      <c r="F95" s="79"/>
      <c r="G95" s="225"/>
      <c r="H95" s="225"/>
      <c r="I95" s="41"/>
      <c r="J95" s="44" t="str">
        <f t="shared" si="2"/>
        <v/>
      </c>
      <c r="K95" s="80" t="str">
        <f t="shared" si="3"/>
        <v/>
      </c>
      <c r="L95" s="40"/>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row>
    <row r="96" spans="1:64" ht="14">
      <c r="A96" s="36"/>
      <c r="B96" s="37"/>
      <c r="C96" s="40"/>
      <c r="D96" s="79"/>
      <c r="E96" s="79"/>
      <c r="F96" s="79"/>
      <c r="G96" s="225"/>
      <c r="H96" s="225"/>
      <c r="I96" s="41"/>
      <c r="J96" s="44" t="str">
        <f t="shared" si="2"/>
        <v/>
      </c>
      <c r="K96" s="80" t="str">
        <f t="shared" si="3"/>
        <v/>
      </c>
      <c r="L96" s="40"/>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row>
    <row r="97" spans="1:64" ht="14">
      <c r="A97" s="36"/>
      <c r="B97" s="37"/>
      <c r="C97" s="40"/>
      <c r="D97" s="79"/>
      <c r="E97" s="79"/>
      <c r="F97" s="79"/>
      <c r="G97" s="225"/>
      <c r="H97" s="225"/>
      <c r="I97" s="41"/>
      <c r="J97" s="44" t="str">
        <f t="shared" si="2"/>
        <v/>
      </c>
      <c r="K97" s="80" t="str">
        <f t="shared" si="3"/>
        <v/>
      </c>
      <c r="L97" s="40"/>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row>
    <row r="98" spans="1:64" ht="14">
      <c r="A98" s="36"/>
      <c r="B98" s="37"/>
      <c r="C98" s="40"/>
      <c r="D98" s="79"/>
      <c r="E98" s="79"/>
      <c r="F98" s="79"/>
      <c r="G98" s="225"/>
      <c r="H98" s="225"/>
      <c r="I98" s="41"/>
      <c r="J98" s="44" t="str">
        <f t="shared" si="2"/>
        <v/>
      </c>
      <c r="K98" s="80" t="str">
        <f t="shared" si="3"/>
        <v/>
      </c>
      <c r="L98" s="40"/>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row>
    <row r="99" spans="1:64" ht="14">
      <c r="A99" s="36"/>
      <c r="B99" s="37"/>
      <c r="C99" s="40"/>
      <c r="D99" s="79"/>
      <c r="E99" s="79"/>
      <c r="F99" s="79"/>
      <c r="G99" s="225"/>
      <c r="H99" s="225"/>
      <c r="I99" s="41"/>
      <c r="J99" s="44" t="str">
        <f t="shared" si="2"/>
        <v/>
      </c>
      <c r="K99" s="80" t="str">
        <f t="shared" si="3"/>
        <v/>
      </c>
      <c r="L99" s="40"/>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row>
    <row r="100" spans="1:64" ht="14">
      <c r="A100" s="36"/>
      <c r="B100" s="37"/>
      <c r="C100" s="40"/>
      <c r="D100" s="79"/>
      <c r="E100" s="79"/>
      <c r="F100" s="79"/>
      <c r="G100" s="225"/>
      <c r="H100" s="225"/>
      <c r="I100" s="41"/>
      <c r="J100" s="44" t="str">
        <f t="shared" si="2"/>
        <v/>
      </c>
      <c r="K100" s="80" t="str">
        <f t="shared" si="3"/>
        <v/>
      </c>
      <c r="L100" s="40"/>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row>
    <row r="101" spans="1:64" ht="14">
      <c r="A101" s="36"/>
      <c r="B101" s="37"/>
      <c r="C101" s="40"/>
      <c r="D101" s="79"/>
      <c r="E101" s="79"/>
      <c r="F101" s="79"/>
      <c r="G101" s="225"/>
      <c r="H101" s="225"/>
      <c r="I101" s="41"/>
      <c r="J101" s="44" t="str">
        <f t="shared" si="2"/>
        <v/>
      </c>
      <c r="K101" s="80" t="str">
        <f t="shared" si="3"/>
        <v/>
      </c>
      <c r="L101" s="40"/>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row>
    <row r="102" spans="1:64" ht="14">
      <c r="A102" s="36"/>
      <c r="B102" s="37"/>
      <c r="C102" s="40"/>
      <c r="D102" s="79"/>
      <c r="E102" s="79"/>
      <c r="F102" s="79"/>
      <c r="G102" s="225"/>
      <c r="H102" s="225"/>
      <c r="I102" s="41"/>
      <c r="J102" s="44" t="str">
        <f t="shared" si="2"/>
        <v/>
      </c>
      <c r="K102" s="80" t="str">
        <f t="shared" si="3"/>
        <v/>
      </c>
      <c r="L102" s="40"/>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row>
    <row r="103" spans="1:64" ht="14">
      <c r="A103" s="36"/>
      <c r="B103" s="37"/>
      <c r="C103" s="40"/>
      <c r="D103" s="79"/>
      <c r="E103" s="79"/>
      <c r="F103" s="79"/>
      <c r="G103" s="225"/>
      <c r="H103" s="225"/>
      <c r="I103" s="41"/>
      <c r="J103" s="44" t="str">
        <f t="shared" si="2"/>
        <v/>
      </c>
      <c r="K103" s="80" t="str">
        <f t="shared" si="3"/>
        <v/>
      </c>
      <c r="L103" s="40"/>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row>
    <row r="104" spans="1:64" ht="14">
      <c r="A104" s="36"/>
      <c r="B104" s="37"/>
      <c r="C104" s="40"/>
      <c r="D104" s="79"/>
      <c r="E104" s="79"/>
      <c r="F104" s="79"/>
      <c r="G104" s="225"/>
      <c r="H104" s="225"/>
      <c r="I104" s="41"/>
      <c r="J104" s="44" t="str">
        <f t="shared" si="2"/>
        <v/>
      </c>
      <c r="K104" s="80" t="str">
        <f t="shared" si="3"/>
        <v/>
      </c>
      <c r="L104" s="40"/>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row>
    <row r="105" spans="1:64" ht="14">
      <c r="A105" s="36"/>
      <c r="B105" s="37"/>
      <c r="C105" s="40"/>
      <c r="D105" s="79"/>
      <c r="E105" s="79"/>
      <c r="F105" s="79"/>
      <c r="G105" s="225"/>
      <c r="H105" s="225"/>
      <c r="I105" s="41"/>
      <c r="J105" s="44" t="str">
        <f t="shared" si="2"/>
        <v/>
      </c>
      <c r="K105" s="80" t="str">
        <f t="shared" si="3"/>
        <v/>
      </c>
      <c r="L105" s="40"/>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row>
    <row r="106" spans="1:64" ht="14">
      <c r="A106" s="36"/>
      <c r="B106" s="37"/>
      <c r="C106" s="40"/>
      <c r="D106" s="79"/>
      <c r="E106" s="79"/>
      <c r="F106" s="79"/>
      <c r="G106" s="225"/>
      <c r="H106" s="225"/>
      <c r="I106" s="41"/>
      <c r="J106" s="44" t="str">
        <f t="shared" si="2"/>
        <v/>
      </c>
      <c r="K106" s="80" t="str">
        <f t="shared" si="3"/>
        <v/>
      </c>
      <c r="L106" s="40"/>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row>
    <row r="107" spans="1:64" ht="14">
      <c r="A107" s="36"/>
      <c r="B107" s="37"/>
      <c r="C107" s="40"/>
      <c r="D107" s="79"/>
      <c r="E107" s="79"/>
      <c r="F107" s="79"/>
      <c r="G107" s="225"/>
      <c r="H107" s="225"/>
      <c r="I107" s="41"/>
      <c r="J107" s="44" t="str">
        <f t="shared" si="2"/>
        <v/>
      </c>
      <c r="K107" s="80" t="str">
        <f t="shared" si="3"/>
        <v/>
      </c>
      <c r="L107" s="40"/>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row>
    <row r="108" spans="1:64" ht="14">
      <c r="A108" s="36"/>
      <c r="B108" s="37"/>
      <c r="C108" s="40"/>
      <c r="D108" s="79"/>
      <c r="E108" s="79"/>
      <c r="F108" s="79"/>
      <c r="G108" s="225"/>
      <c r="H108" s="225"/>
      <c r="I108" s="41"/>
      <c r="J108" s="44" t="str">
        <f t="shared" si="2"/>
        <v/>
      </c>
      <c r="K108" s="80" t="str">
        <f t="shared" si="3"/>
        <v/>
      </c>
      <c r="L108" s="40"/>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row>
    <row r="109" spans="1:64" ht="14">
      <c r="A109" s="36"/>
      <c r="B109" s="37"/>
      <c r="C109" s="40"/>
      <c r="D109" s="79"/>
      <c r="E109" s="79"/>
      <c r="F109" s="79"/>
      <c r="G109" s="225"/>
      <c r="H109" s="225"/>
      <c r="I109" s="41"/>
      <c r="J109" s="44" t="str">
        <f t="shared" si="2"/>
        <v/>
      </c>
      <c r="K109" s="80" t="str">
        <f t="shared" si="3"/>
        <v/>
      </c>
      <c r="L109" s="40"/>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row>
    <row r="110" spans="1:64" ht="13.75" customHeight="1">
      <c r="A110" s="36"/>
      <c r="B110" s="37"/>
      <c r="C110" s="40"/>
      <c r="D110" s="79"/>
      <c r="E110" s="79"/>
      <c r="F110" s="79"/>
      <c r="G110" s="225" t="s">
        <v>86</v>
      </c>
      <c r="H110" s="225"/>
      <c r="I110" s="41"/>
      <c r="J110" s="44" t="str">
        <f t="shared" si="2"/>
        <v/>
      </c>
      <c r="K110" s="80" t="str">
        <f t="shared" si="3"/>
        <v/>
      </c>
      <c r="L110" s="40"/>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row>
    <row r="111" spans="1:64" ht="14">
      <c r="A111" s="36"/>
      <c r="B111" s="37"/>
      <c r="C111" s="40"/>
      <c r="D111" s="79"/>
      <c r="E111" s="79"/>
      <c r="F111" s="79"/>
      <c r="G111" s="225"/>
      <c r="H111" s="225"/>
      <c r="I111" s="41"/>
      <c r="J111" s="44" t="str">
        <f t="shared" si="2"/>
        <v/>
      </c>
      <c r="K111" s="80" t="str">
        <f t="shared" si="3"/>
        <v/>
      </c>
      <c r="L111" s="40"/>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row>
    <row r="112" spans="1:64" ht="14">
      <c r="A112" s="36"/>
      <c r="B112" s="37"/>
      <c r="C112" s="40"/>
      <c r="D112" s="79"/>
      <c r="E112" s="79"/>
      <c r="F112" s="79"/>
      <c r="G112" s="225"/>
      <c r="H112" s="225"/>
      <c r="I112" s="41"/>
      <c r="J112" s="44" t="str">
        <f t="shared" si="2"/>
        <v/>
      </c>
      <c r="K112" s="80" t="str">
        <f t="shared" si="3"/>
        <v/>
      </c>
      <c r="L112" s="40"/>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row>
    <row r="113" spans="1:64" ht="14">
      <c r="A113" s="36"/>
      <c r="B113" s="37"/>
      <c r="C113" s="40"/>
      <c r="D113" s="79"/>
      <c r="E113" s="79"/>
      <c r="F113" s="79"/>
      <c r="G113" s="225"/>
      <c r="H113" s="225"/>
      <c r="I113" s="41"/>
      <c r="J113" s="44" t="str">
        <f t="shared" si="2"/>
        <v/>
      </c>
      <c r="K113" s="80" t="str">
        <f t="shared" si="3"/>
        <v/>
      </c>
      <c r="L113" s="40"/>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row>
    <row r="114" spans="1:64" ht="14">
      <c r="A114" s="36"/>
      <c r="B114" s="37"/>
      <c r="C114" s="40"/>
      <c r="D114" s="79"/>
      <c r="E114" s="79"/>
      <c r="F114" s="79"/>
      <c r="G114" s="225"/>
      <c r="H114" s="225"/>
      <c r="I114" s="41"/>
      <c r="J114" s="44" t="str">
        <f t="shared" si="2"/>
        <v/>
      </c>
      <c r="K114" s="80" t="str">
        <f t="shared" si="3"/>
        <v/>
      </c>
      <c r="L114" s="40"/>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row>
    <row r="115" spans="1:64" ht="14">
      <c r="A115" s="36"/>
      <c r="B115" s="37"/>
      <c r="C115" s="40"/>
      <c r="D115" s="79"/>
      <c r="E115" s="79"/>
      <c r="F115" s="79"/>
      <c r="G115" s="225"/>
      <c r="H115" s="225"/>
      <c r="I115" s="41"/>
      <c r="J115" s="44" t="str">
        <f t="shared" si="2"/>
        <v/>
      </c>
      <c r="K115" s="80" t="str">
        <f t="shared" si="3"/>
        <v/>
      </c>
      <c r="L115" s="40"/>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row>
    <row r="116" spans="1:64" ht="14">
      <c r="A116" s="36"/>
      <c r="B116" s="37"/>
      <c r="C116" s="40"/>
      <c r="D116" s="79"/>
      <c r="E116" s="79"/>
      <c r="F116" s="79"/>
      <c r="G116" s="225"/>
      <c r="H116" s="225"/>
      <c r="I116" s="41"/>
      <c r="J116" s="44" t="str">
        <f t="shared" si="2"/>
        <v/>
      </c>
      <c r="K116" s="80" t="str">
        <f t="shared" si="3"/>
        <v/>
      </c>
      <c r="L116" s="40"/>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row>
    <row r="117" spans="1:64" ht="14">
      <c r="A117" s="36"/>
      <c r="B117" s="37"/>
      <c r="C117" s="40"/>
      <c r="D117" s="79"/>
      <c r="E117" s="79"/>
      <c r="F117" s="79"/>
      <c r="G117" s="225"/>
      <c r="H117" s="225"/>
      <c r="I117" s="41"/>
      <c r="J117" s="44" t="str">
        <f t="shared" si="2"/>
        <v/>
      </c>
      <c r="K117" s="80" t="str">
        <f t="shared" si="3"/>
        <v/>
      </c>
      <c r="L117" s="40"/>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row>
    <row r="118" spans="1:64" ht="14">
      <c r="A118" s="36"/>
      <c r="B118" s="37"/>
      <c r="C118" s="40"/>
      <c r="D118" s="79"/>
      <c r="E118" s="79"/>
      <c r="F118" s="79"/>
      <c r="G118" s="225"/>
      <c r="H118" s="225"/>
      <c r="I118" s="41"/>
      <c r="J118" s="44" t="str">
        <f t="shared" si="2"/>
        <v/>
      </c>
      <c r="K118" s="80" t="str">
        <f t="shared" si="3"/>
        <v/>
      </c>
      <c r="L118" s="40"/>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row>
    <row r="119" spans="1:64" ht="14">
      <c r="A119" s="36"/>
      <c r="B119" s="37"/>
      <c r="C119" s="40"/>
      <c r="D119" s="79"/>
      <c r="E119" s="79"/>
      <c r="F119" s="79"/>
      <c r="G119" s="225"/>
      <c r="H119" s="225"/>
      <c r="I119" s="41"/>
      <c r="J119" s="44" t="str">
        <f t="shared" si="2"/>
        <v/>
      </c>
      <c r="K119" s="80" t="str">
        <f t="shared" si="3"/>
        <v/>
      </c>
      <c r="L119" s="40"/>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row>
    <row r="120" spans="1:64" ht="14">
      <c r="A120" s="36"/>
      <c r="B120" s="37"/>
      <c r="C120" s="40"/>
      <c r="D120" s="79"/>
      <c r="E120" s="79"/>
      <c r="F120" s="79"/>
      <c r="G120" s="225"/>
      <c r="H120" s="225"/>
      <c r="I120" s="41"/>
      <c r="J120" s="44" t="str">
        <f t="shared" si="2"/>
        <v/>
      </c>
      <c r="K120" s="80" t="str">
        <f t="shared" si="3"/>
        <v/>
      </c>
      <c r="L120" s="40"/>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row>
    <row r="121" spans="1:64" ht="14">
      <c r="A121" s="36"/>
      <c r="B121" s="37"/>
      <c r="C121" s="40"/>
      <c r="D121" s="79"/>
      <c r="E121" s="79"/>
      <c r="F121" s="79"/>
      <c r="G121" s="225"/>
      <c r="H121" s="225"/>
      <c r="I121" s="41"/>
      <c r="J121" s="44" t="str">
        <f t="shared" si="2"/>
        <v/>
      </c>
      <c r="K121" s="80" t="str">
        <f t="shared" si="3"/>
        <v/>
      </c>
      <c r="L121" s="40"/>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row>
    <row r="122" spans="1:64" ht="14">
      <c r="A122" s="36"/>
      <c r="B122" s="37"/>
      <c r="C122" s="40"/>
      <c r="D122" s="79"/>
      <c r="E122" s="79"/>
      <c r="F122" s="79"/>
      <c r="G122" s="225"/>
      <c r="H122" s="225"/>
      <c r="I122" s="41"/>
      <c r="J122" s="44" t="str">
        <f t="shared" si="2"/>
        <v/>
      </c>
      <c r="K122" s="80" t="str">
        <f t="shared" si="3"/>
        <v/>
      </c>
      <c r="L122" s="40"/>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row>
    <row r="123" spans="1:64" ht="14">
      <c r="A123" s="36"/>
      <c r="B123" s="37"/>
      <c r="C123" s="40"/>
      <c r="D123" s="79"/>
      <c r="E123" s="79"/>
      <c r="F123" s="79"/>
      <c r="G123" s="225"/>
      <c r="H123" s="225"/>
      <c r="I123" s="41"/>
      <c r="J123" s="44" t="str">
        <f t="shared" si="2"/>
        <v/>
      </c>
      <c r="K123" s="80" t="str">
        <f t="shared" si="3"/>
        <v/>
      </c>
      <c r="L123" s="40"/>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row>
    <row r="124" spans="1:64" ht="14">
      <c r="A124" s="36"/>
      <c r="B124" s="37"/>
      <c r="C124" s="40"/>
      <c r="D124" s="79"/>
      <c r="E124" s="79"/>
      <c r="F124" s="79"/>
      <c r="G124" s="225"/>
      <c r="H124" s="225"/>
      <c r="I124" s="41"/>
      <c r="J124" s="44" t="str">
        <f t="shared" si="2"/>
        <v/>
      </c>
      <c r="K124" s="80" t="str">
        <f t="shared" si="3"/>
        <v/>
      </c>
      <c r="L124" s="40"/>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row>
    <row r="125" spans="1:64" ht="14">
      <c r="A125" s="36"/>
      <c r="B125" s="37"/>
      <c r="C125" s="40"/>
      <c r="D125" s="79"/>
      <c r="E125" s="79"/>
      <c r="F125" s="79"/>
      <c r="G125" s="225"/>
      <c r="H125" s="225"/>
      <c r="I125" s="41"/>
      <c r="J125" s="44" t="str">
        <f t="shared" si="2"/>
        <v/>
      </c>
      <c r="K125" s="80" t="str">
        <f t="shared" si="3"/>
        <v/>
      </c>
      <c r="L125" s="40"/>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row>
    <row r="126" spans="1:64" ht="14">
      <c r="A126" s="36"/>
      <c r="B126" s="37"/>
      <c r="C126" s="40"/>
      <c r="D126" s="79"/>
      <c r="E126" s="79"/>
      <c r="F126" s="79"/>
      <c r="G126" s="225"/>
      <c r="H126" s="225"/>
      <c r="I126" s="41"/>
      <c r="J126" s="44" t="str">
        <f t="shared" si="2"/>
        <v/>
      </c>
      <c r="K126" s="80" t="str">
        <f t="shared" si="3"/>
        <v/>
      </c>
      <c r="L126" s="40"/>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row>
    <row r="127" spans="1:64" ht="14">
      <c r="A127" s="36"/>
      <c r="B127" s="37"/>
      <c r="C127" s="40"/>
      <c r="D127" s="79"/>
      <c r="E127" s="79"/>
      <c r="F127" s="79"/>
      <c r="G127" s="225"/>
      <c r="H127" s="225"/>
      <c r="I127" s="81"/>
      <c r="J127" s="44" t="str">
        <f t="shared" si="2"/>
        <v/>
      </c>
      <c r="K127" s="80" t="str">
        <f t="shared" si="3"/>
        <v/>
      </c>
      <c r="L127" s="40"/>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row>
    <row r="128" spans="1:64" ht="14">
      <c r="A128" s="36"/>
      <c r="B128" s="37"/>
      <c r="C128" s="40"/>
      <c r="D128" s="79"/>
      <c r="E128" s="79"/>
      <c r="F128" s="79"/>
      <c r="G128" s="225"/>
      <c r="H128" s="225"/>
      <c r="I128" s="81"/>
      <c r="J128" s="44" t="str">
        <f t="shared" si="2"/>
        <v/>
      </c>
      <c r="K128" s="80" t="str">
        <f t="shared" si="3"/>
        <v/>
      </c>
      <c r="L128" s="40"/>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row>
    <row r="129" spans="1:64" ht="14">
      <c r="A129" s="36"/>
      <c r="B129" s="37"/>
      <c r="C129" s="40"/>
      <c r="D129" s="79"/>
      <c r="E129" s="79"/>
      <c r="F129" s="79"/>
      <c r="G129" s="225"/>
      <c r="H129" s="225"/>
      <c r="I129" s="41"/>
      <c r="J129" s="44" t="str">
        <f t="shared" si="2"/>
        <v/>
      </c>
      <c r="K129" s="80" t="str">
        <f t="shared" si="3"/>
        <v/>
      </c>
      <c r="L129" s="40"/>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row>
    <row r="130" spans="1:64" ht="14">
      <c r="A130" s="36"/>
      <c r="B130" s="37"/>
      <c r="C130" s="40"/>
      <c r="D130" s="79"/>
      <c r="E130" s="79"/>
      <c r="F130" s="79"/>
      <c r="G130" s="225"/>
      <c r="H130" s="225"/>
      <c r="I130" s="41"/>
      <c r="J130" s="44" t="str">
        <f t="shared" si="2"/>
        <v/>
      </c>
      <c r="K130" s="80" t="str">
        <f t="shared" si="3"/>
        <v/>
      </c>
      <c r="L130" s="40"/>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row>
    <row r="131" spans="1:64" ht="14">
      <c r="A131" s="36"/>
      <c r="B131" s="37"/>
      <c r="C131" s="40"/>
      <c r="D131" s="79"/>
      <c r="E131" s="79"/>
      <c r="F131" s="79"/>
      <c r="G131" s="225"/>
      <c r="H131" s="225"/>
      <c r="I131" s="41"/>
      <c r="J131" s="44" t="str">
        <f t="shared" si="2"/>
        <v/>
      </c>
      <c r="K131" s="80" t="str">
        <f t="shared" si="3"/>
        <v/>
      </c>
      <c r="L131" s="40"/>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row>
    <row r="132" spans="1:64" ht="14">
      <c r="A132" s="36"/>
      <c r="B132" s="37"/>
      <c r="C132" s="40"/>
      <c r="D132" s="79"/>
      <c r="E132" s="79"/>
      <c r="F132" s="79"/>
      <c r="G132" s="225"/>
      <c r="H132" s="225"/>
      <c r="I132" s="41"/>
      <c r="J132" s="44" t="str">
        <f t="shared" si="2"/>
        <v/>
      </c>
      <c r="K132" s="80" t="str">
        <f t="shared" si="3"/>
        <v/>
      </c>
      <c r="L132" s="40"/>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row>
    <row r="133" spans="1:64" ht="14">
      <c r="A133" s="36"/>
      <c r="B133" s="37"/>
      <c r="C133" s="40"/>
      <c r="D133" s="79"/>
      <c r="E133" s="79"/>
      <c r="F133" s="79"/>
      <c r="G133" s="225"/>
      <c r="H133" s="225"/>
      <c r="I133" s="41"/>
      <c r="J133" s="44" t="str">
        <f t="shared" si="2"/>
        <v/>
      </c>
      <c r="K133" s="80" t="str">
        <f t="shared" si="3"/>
        <v/>
      </c>
      <c r="L133" s="40"/>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row>
    <row r="134" spans="1:64" ht="14">
      <c r="A134" s="36"/>
      <c r="B134" s="37"/>
      <c r="C134" s="40"/>
      <c r="D134" s="79"/>
      <c r="E134" s="79"/>
      <c r="F134" s="79"/>
      <c r="G134" s="225"/>
      <c r="H134" s="225"/>
      <c r="I134" s="41"/>
      <c r="J134" s="44" t="str">
        <f t="shared" si="2"/>
        <v/>
      </c>
      <c r="K134" s="80" t="str">
        <f t="shared" si="3"/>
        <v/>
      </c>
      <c r="L134" s="40"/>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row>
    <row r="135" spans="1:64" ht="14">
      <c r="A135" s="36"/>
      <c r="B135" s="37"/>
      <c r="C135" s="40"/>
      <c r="D135" s="79"/>
      <c r="E135" s="79"/>
      <c r="F135" s="79"/>
      <c r="G135" s="225"/>
      <c r="H135" s="225"/>
      <c r="I135" s="41"/>
      <c r="J135" s="44" t="str">
        <f t="shared" si="2"/>
        <v/>
      </c>
      <c r="K135" s="80" t="str">
        <f t="shared" si="3"/>
        <v/>
      </c>
      <c r="L135" s="40"/>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row>
    <row r="136" spans="1:64" ht="14">
      <c r="A136" s="36"/>
      <c r="B136" s="37"/>
      <c r="C136" s="40"/>
      <c r="D136" s="79"/>
      <c r="E136" s="79"/>
      <c r="F136" s="79"/>
      <c r="G136" s="225"/>
      <c r="H136" s="225"/>
      <c r="I136" s="41"/>
      <c r="J136" s="44" t="str">
        <f t="shared" si="2"/>
        <v/>
      </c>
      <c r="K136" s="80" t="str">
        <f t="shared" si="3"/>
        <v/>
      </c>
      <c r="L136" s="40"/>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row>
    <row r="137" spans="1:64" ht="14">
      <c r="A137" s="36"/>
      <c r="B137" s="37"/>
      <c r="C137" s="40"/>
      <c r="D137" s="79"/>
      <c r="E137" s="79"/>
      <c r="F137" s="79"/>
      <c r="G137" s="225"/>
      <c r="H137" s="225"/>
      <c r="I137" s="41"/>
      <c r="J137" s="44" t="str">
        <f t="shared" si="2"/>
        <v/>
      </c>
      <c r="K137" s="80" t="str">
        <f t="shared" si="3"/>
        <v/>
      </c>
      <c r="L137" s="40"/>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row>
    <row r="138" spans="1:64" ht="14">
      <c r="A138" s="36"/>
      <c r="B138" s="37"/>
      <c r="C138" s="40"/>
      <c r="D138" s="79"/>
      <c r="E138" s="79"/>
      <c r="F138" s="79"/>
      <c r="G138" s="225"/>
      <c r="H138" s="225"/>
      <c r="I138" s="41"/>
      <c r="J138" s="44" t="str">
        <f t="shared" si="2"/>
        <v/>
      </c>
      <c r="K138" s="80" t="str">
        <f t="shared" si="3"/>
        <v/>
      </c>
      <c r="L138" s="40"/>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row>
    <row r="139" spans="1:64" ht="14">
      <c r="A139" s="36"/>
      <c r="B139" s="37"/>
      <c r="C139" s="40"/>
      <c r="D139" s="79"/>
      <c r="E139" s="79"/>
      <c r="F139" s="79"/>
      <c r="G139" s="225"/>
      <c r="H139" s="225"/>
      <c r="I139" s="41"/>
      <c r="J139" s="44" t="str">
        <f t="shared" ref="J139:J202" si="4">IF($C139&lt;&gt;"",$E139*1.5,"")</f>
        <v/>
      </c>
      <c r="K139" s="80" t="str">
        <f t="shared" ref="K139:K202" si="5">IFERROR($J139/10,"")</f>
        <v/>
      </c>
      <c r="L139" s="40"/>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row>
    <row r="140" spans="1:64" ht="14">
      <c r="A140" s="36"/>
      <c r="B140" s="37"/>
      <c r="C140" s="40"/>
      <c r="D140" s="79"/>
      <c r="E140" s="79"/>
      <c r="F140" s="79"/>
      <c r="G140" s="225"/>
      <c r="H140" s="225"/>
      <c r="I140" s="41"/>
      <c r="J140" s="44" t="str">
        <f t="shared" si="4"/>
        <v/>
      </c>
      <c r="K140" s="80" t="str">
        <f t="shared" si="5"/>
        <v/>
      </c>
      <c r="L140" s="40"/>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row>
    <row r="141" spans="1:64" ht="14">
      <c r="A141" s="36"/>
      <c r="B141" s="37"/>
      <c r="C141" s="40"/>
      <c r="D141" s="79"/>
      <c r="E141" s="79"/>
      <c r="F141" s="79"/>
      <c r="G141" s="225"/>
      <c r="H141" s="225"/>
      <c r="I141" s="41"/>
      <c r="J141" s="44" t="str">
        <f t="shared" si="4"/>
        <v/>
      </c>
      <c r="K141" s="80" t="str">
        <f t="shared" si="5"/>
        <v/>
      </c>
      <c r="L141" s="40"/>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row>
    <row r="142" spans="1:64" ht="14">
      <c r="A142" s="36"/>
      <c r="B142" s="37"/>
      <c r="C142" s="40"/>
      <c r="D142" s="79"/>
      <c r="E142" s="79"/>
      <c r="F142" s="79"/>
      <c r="G142" s="225"/>
      <c r="H142" s="225"/>
      <c r="I142" s="41"/>
      <c r="J142" s="44" t="str">
        <f t="shared" si="4"/>
        <v/>
      </c>
      <c r="K142" s="80" t="str">
        <f t="shared" si="5"/>
        <v/>
      </c>
      <c r="L142" s="40"/>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row>
    <row r="143" spans="1:64" ht="14">
      <c r="A143" s="36"/>
      <c r="B143" s="37"/>
      <c r="C143" s="40"/>
      <c r="D143" s="79"/>
      <c r="E143" s="79"/>
      <c r="F143" s="79"/>
      <c r="G143" s="225"/>
      <c r="H143" s="225"/>
      <c r="I143" s="41"/>
      <c r="J143" s="44" t="str">
        <f t="shared" si="4"/>
        <v/>
      </c>
      <c r="K143" s="80" t="str">
        <f t="shared" si="5"/>
        <v/>
      </c>
      <c r="L143" s="40"/>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row>
    <row r="144" spans="1:64" ht="14">
      <c r="A144" s="36"/>
      <c r="B144" s="37"/>
      <c r="C144" s="40"/>
      <c r="D144" s="79"/>
      <c r="E144" s="79"/>
      <c r="F144" s="79"/>
      <c r="G144" s="225"/>
      <c r="H144" s="225"/>
      <c r="I144" s="41"/>
      <c r="J144" s="44" t="str">
        <f t="shared" si="4"/>
        <v/>
      </c>
      <c r="K144" s="80" t="str">
        <f t="shared" si="5"/>
        <v/>
      </c>
      <c r="L144" s="40"/>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row>
    <row r="145" spans="1:64" ht="14">
      <c r="A145" s="36"/>
      <c r="B145" s="37"/>
      <c r="C145" s="40"/>
      <c r="D145" s="79"/>
      <c r="E145" s="79"/>
      <c r="F145" s="79"/>
      <c r="G145" s="225"/>
      <c r="H145" s="225"/>
      <c r="I145" s="41"/>
      <c r="J145" s="44" t="str">
        <f t="shared" si="4"/>
        <v/>
      </c>
      <c r="K145" s="80" t="str">
        <f t="shared" si="5"/>
        <v/>
      </c>
      <c r="L145" s="40"/>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row>
    <row r="146" spans="1:64" ht="14">
      <c r="A146" s="36"/>
      <c r="B146" s="37"/>
      <c r="C146" s="40"/>
      <c r="D146" s="79"/>
      <c r="E146" s="79"/>
      <c r="F146" s="79"/>
      <c r="G146" s="225"/>
      <c r="H146" s="225"/>
      <c r="I146" s="41"/>
      <c r="J146" s="44" t="str">
        <f t="shared" si="4"/>
        <v/>
      </c>
      <c r="K146" s="80" t="str">
        <f t="shared" si="5"/>
        <v/>
      </c>
      <c r="L146" s="40"/>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row>
    <row r="147" spans="1:64" ht="14">
      <c r="A147" s="36"/>
      <c r="B147" s="37"/>
      <c r="C147" s="40"/>
      <c r="D147" s="79"/>
      <c r="E147" s="79"/>
      <c r="F147" s="79"/>
      <c r="G147" s="225"/>
      <c r="H147" s="225"/>
      <c r="I147" s="41"/>
      <c r="J147" s="44" t="str">
        <f t="shared" si="4"/>
        <v/>
      </c>
      <c r="K147" s="80" t="str">
        <f t="shared" si="5"/>
        <v/>
      </c>
      <c r="L147" s="40"/>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row>
    <row r="148" spans="1:64" ht="14">
      <c r="A148" s="36"/>
      <c r="B148" s="37"/>
      <c r="C148" s="40"/>
      <c r="D148" s="79"/>
      <c r="E148" s="79"/>
      <c r="F148" s="79"/>
      <c r="G148" s="225"/>
      <c r="H148" s="225"/>
      <c r="I148" s="41"/>
      <c r="J148" s="44" t="str">
        <f t="shared" si="4"/>
        <v/>
      </c>
      <c r="K148" s="80" t="str">
        <f t="shared" si="5"/>
        <v/>
      </c>
      <c r="L148" s="40"/>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row>
    <row r="149" spans="1:64" ht="14">
      <c r="A149" s="36"/>
      <c r="B149" s="37"/>
      <c r="C149" s="40"/>
      <c r="D149" s="79"/>
      <c r="E149" s="79"/>
      <c r="F149" s="79"/>
      <c r="G149" s="225"/>
      <c r="H149" s="225"/>
      <c r="I149" s="41"/>
      <c r="J149" s="44" t="str">
        <f t="shared" si="4"/>
        <v/>
      </c>
      <c r="K149" s="80" t="str">
        <f t="shared" si="5"/>
        <v/>
      </c>
      <c r="L149" s="40"/>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row>
    <row r="150" spans="1:64" ht="14">
      <c r="A150" s="36"/>
      <c r="B150" s="37"/>
      <c r="C150" s="40"/>
      <c r="D150" s="79"/>
      <c r="E150" s="79"/>
      <c r="F150" s="79"/>
      <c r="G150" s="225"/>
      <c r="H150" s="225"/>
      <c r="I150" s="41"/>
      <c r="J150" s="44" t="str">
        <f t="shared" si="4"/>
        <v/>
      </c>
      <c r="K150" s="80" t="str">
        <f t="shared" si="5"/>
        <v/>
      </c>
      <c r="L150" s="40"/>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row>
    <row r="151" spans="1:64" ht="14">
      <c r="A151" s="36"/>
      <c r="B151" s="37"/>
      <c r="C151" s="40"/>
      <c r="D151" s="79"/>
      <c r="E151" s="79"/>
      <c r="F151" s="79"/>
      <c r="G151" s="225"/>
      <c r="H151" s="225"/>
      <c r="I151" s="41"/>
      <c r="J151" s="44" t="str">
        <f t="shared" si="4"/>
        <v/>
      </c>
      <c r="K151" s="80" t="str">
        <f t="shared" si="5"/>
        <v/>
      </c>
      <c r="L151" s="40"/>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row>
    <row r="152" spans="1:64" ht="14">
      <c r="A152" s="36"/>
      <c r="B152" s="37"/>
      <c r="C152" s="40"/>
      <c r="D152" s="79"/>
      <c r="E152" s="79"/>
      <c r="F152" s="79"/>
      <c r="G152" s="225"/>
      <c r="H152" s="225"/>
      <c r="I152" s="41"/>
      <c r="J152" s="44" t="str">
        <f t="shared" si="4"/>
        <v/>
      </c>
      <c r="K152" s="80" t="str">
        <f t="shared" si="5"/>
        <v/>
      </c>
      <c r="L152" s="40"/>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row>
    <row r="153" spans="1:64" ht="14">
      <c r="A153" s="36"/>
      <c r="B153" s="37"/>
      <c r="C153" s="40"/>
      <c r="D153" s="79"/>
      <c r="E153" s="79"/>
      <c r="F153" s="79"/>
      <c r="G153" s="225"/>
      <c r="H153" s="225"/>
      <c r="I153" s="41"/>
      <c r="J153" s="44" t="str">
        <f t="shared" si="4"/>
        <v/>
      </c>
      <c r="K153" s="80" t="str">
        <f t="shared" si="5"/>
        <v/>
      </c>
      <c r="L153" s="40"/>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row>
    <row r="154" spans="1:64" ht="14">
      <c r="A154" s="36"/>
      <c r="B154" s="37"/>
      <c r="C154" s="40"/>
      <c r="D154" s="79"/>
      <c r="E154" s="79"/>
      <c r="F154" s="79"/>
      <c r="G154" s="225"/>
      <c r="H154" s="225"/>
      <c r="I154" s="41"/>
      <c r="J154" s="44" t="str">
        <f t="shared" si="4"/>
        <v/>
      </c>
      <c r="K154" s="80" t="str">
        <f t="shared" si="5"/>
        <v/>
      </c>
      <c r="L154" s="40"/>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row>
    <row r="155" spans="1:64" ht="14">
      <c r="A155" s="36"/>
      <c r="B155" s="37"/>
      <c r="C155" s="40"/>
      <c r="D155" s="79"/>
      <c r="E155" s="79"/>
      <c r="F155" s="79"/>
      <c r="G155" s="225"/>
      <c r="H155" s="225"/>
      <c r="I155" s="41"/>
      <c r="J155" s="44" t="str">
        <f t="shared" si="4"/>
        <v/>
      </c>
      <c r="K155" s="80" t="str">
        <f t="shared" si="5"/>
        <v/>
      </c>
      <c r="L155" s="40"/>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row>
    <row r="156" spans="1:64" ht="14">
      <c r="A156" s="36"/>
      <c r="B156" s="37"/>
      <c r="C156" s="40"/>
      <c r="D156" s="79"/>
      <c r="E156" s="79"/>
      <c r="F156" s="79"/>
      <c r="G156" s="225"/>
      <c r="H156" s="225"/>
      <c r="I156" s="41"/>
      <c r="J156" s="44" t="str">
        <f t="shared" si="4"/>
        <v/>
      </c>
      <c r="K156" s="80" t="str">
        <f t="shared" si="5"/>
        <v/>
      </c>
      <c r="L156" s="40"/>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row>
    <row r="157" spans="1:64" ht="14">
      <c r="A157" s="36"/>
      <c r="B157" s="37"/>
      <c r="C157" s="40"/>
      <c r="D157" s="79"/>
      <c r="E157" s="79"/>
      <c r="F157" s="79"/>
      <c r="G157" s="225"/>
      <c r="H157" s="225"/>
      <c r="I157" s="41"/>
      <c r="J157" s="44" t="str">
        <f t="shared" si="4"/>
        <v/>
      </c>
      <c r="K157" s="80" t="str">
        <f t="shared" si="5"/>
        <v/>
      </c>
      <c r="L157" s="40"/>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row>
    <row r="158" spans="1:64" ht="14">
      <c r="A158" s="36"/>
      <c r="B158" s="37"/>
      <c r="C158" s="40"/>
      <c r="D158" s="79"/>
      <c r="E158" s="79"/>
      <c r="F158" s="79"/>
      <c r="G158" s="225"/>
      <c r="H158" s="225"/>
      <c r="I158" s="41"/>
      <c r="J158" s="44" t="str">
        <f t="shared" si="4"/>
        <v/>
      </c>
      <c r="K158" s="80" t="str">
        <f t="shared" si="5"/>
        <v/>
      </c>
      <c r="L158" s="40"/>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row>
    <row r="159" spans="1:64" ht="14">
      <c r="A159" s="36"/>
      <c r="B159" s="37"/>
      <c r="C159" s="40"/>
      <c r="D159" s="79"/>
      <c r="E159" s="79"/>
      <c r="F159" s="79"/>
      <c r="G159" s="225"/>
      <c r="H159" s="225"/>
      <c r="I159" s="41"/>
      <c r="J159" s="44" t="str">
        <f t="shared" si="4"/>
        <v/>
      </c>
      <c r="K159" s="80" t="str">
        <f t="shared" si="5"/>
        <v/>
      </c>
      <c r="L159" s="40"/>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row>
    <row r="160" spans="1:64" ht="14">
      <c r="A160" s="36"/>
      <c r="B160" s="37"/>
      <c r="C160" s="40"/>
      <c r="D160" s="79"/>
      <c r="E160" s="79"/>
      <c r="F160" s="79"/>
      <c r="G160" s="225"/>
      <c r="H160" s="225"/>
      <c r="I160" s="41"/>
      <c r="J160" s="44" t="str">
        <f t="shared" si="4"/>
        <v/>
      </c>
      <c r="K160" s="80" t="str">
        <f t="shared" si="5"/>
        <v/>
      </c>
      <c r="L160" s="40"/>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row>
    <row r="161" spans="1:64" ht="14">
      <c r="A161" s="36"/>
      <c r="B161" s="37"/>
      <c r="C161" s="40"/>
      <c r="D161" s="79"/>
      <c r="E161" s="79"/>
      <c r="F161" s="79"/>
      <c r="G161" s="225"/>
      <c r="H161" s="225"/>
      <c r="I161" s="41"/>
      <c r="J161" s="44" t="str">
        <f t="shared" si="4"/>
        <v/>
      </c>
      <c r="K161" s="80" t="str">
        <f t="shared" si="5"/>
        <v/>
      </c>
      <c r="L161" s="40"/>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row>
    <row r="162" spans="1:64" ht="14">
      <c r="A162" s="36"/>
      <c r="B162" s="37"/>
      <c r="C162" s="40"/>
      <c r="D162" s="79"/>
      <c r="E162" s="79"/>
      <c r="F162" s="79"/>
      <c r="G162" s="225"/>
      <c r="H162" s="225"/>
      <c r="I162" s="41"/>
      <c r="J162" s="44" t="str">
        <f t="shared" si="4"/>
        <v/>
      </c>
      <c r="K162" s="80" t="str">
        <f t="shared" si="5"/>
        <v/>
      </c>
      <c r="L162" s="40"/>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row>
    <row r="163" spans="1:64" ht="14">
      <c r="A163" s="36"/>
      <c r="B163" s="37"/>
      <c r="C163" s="40"/>
      <c r="D163" s="79"/>
      <c r="E163" s="79"/>
      <c r="F163" s="79"/>
      <c r="G163" s="225"/>
      <c r="H163" s="225"/>
      <c r="I163" s="41"/>
      <c r="J163" s="44" t="str">
        <f t="shared" si="4"/>
        <v/>
      </c>
      <c r="K163" s="80" t="str">
        <f t="shared" si="5"/>
        <v/>
      </c>
      <c r="L163" s="40"/>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row>
    <row r="164" spans="1:64" ht="14">
      <c r="A164" s="36"/>
      <c r="B164" s="37"/>
      <c r="C164" s="40"/>
      <c r="D164" s="79"/>
      <c r="E164" s="79"/>
      <c r="F164" s="79"/>
      <c r="G164" s="225"/>
      <c r="H164" s="225"/>
      <c r="I164" s="41"/>
      <c r="J164" s="44" t="str">
        <f t="shared" si="4"/>
        <v/>
      </c>
      <c r="K164" s="80" t="str">
        <f t="shared" si="5"/>
        <v/>
      </c>
      <c r="L164" s="40"/>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row>
    <row r="165" spans="1:64" ht="14">
      <c r="A165" s="36"/>
      <c r="B165" s="37"/>
      <c r="C165" s="40"/>
      <c r="D165" s="79"/>
      <c r="E165" s="79"/>
      <c r="F165" s="79"/>
      <c r="G165" s="225"/>
      <c r="H165" s="225"/>
      <c r="I165" s="41"/>
      <c r="J165" s="44" t="str">
        <f t="shared" si="4"/>
        <v/>
      </c>
      <c r="K165" s="80" t="str">
        <f t="shared" si="5"/>
        <v/>
      </c>
      <c r="L165" s="40"/>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row>
    <row r="166" spans="1:64" ht="14">
      <c r="A166" s="36"/>
      <c r="B166" s="37"/>
      <c r="C166" s="40"/>
      <c r="D166" s="79"/>
      <c r="E166" s="79"/>
      <c r="F166" s="79"/>
      <c r="G166" s="225"/>
      <c r="H166" s="225"/>
      <c r="I166" s="41"/>
      <c r="J166" s="44" t="str">
        <f t="shared" si="4"/>
        <v/>
      </c>
      <c r="K166" s="80" t="str">
        <f t="shared" si="5"/>
        <v/>
      </c>
      <c r="L166" s="40"/>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row>
    <row r="167" spans="1:64" ht="14">
      <c r="A167" s="36"/>
      <c r="B167" s="37"/>
      <c r="C167" s="40"/>
      <c r="D167" s="79"/>
      <c r="E167" s="79"/>
      <c r="F167" s="79"/>
      <c r="G167" s="225"/>
      <c r="H167" s="225"/>
      <c r="I167" s="41"/>
      <c r="J167" s="44" t="str">
        <f t="shared" si="4"/>
        <v/>
      </c>
      <c r="K167" s="80" t="str">
        <f t="shared" si="5"/>
        <v/>
      </c>
      <c r="L167" s="40"/>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row>
    <row r="168" spans="1:64" ht="14">
      <c r="A168" s="36"/>
      <c r="B168" s="37"/>
      <c r="C168" s="40"/>
      <c r="D168" s="79"/>
      <c r="E168" s="79"/>
      <c r="F168" s="79"/>
      <c r="G168" s="225"/>
      <c r="H168" s="225"/>
      <c r="I168" s="41"/>
      <c r="J168" s="44" t="str">
        <f t="shared" si="4"/>
        <v/>
      </c>
      <c r="K168" s="80" t="str">
        <f t="shared" si="5"/>
        <v/>
      </c>
      <c r="L168" s="40"/>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row>
    <row r="169" spans="1:64" ht="14">
      <c r="A169" s="36"/>
      <c r="B169" s="37"/>
      <c r="C169" s="40"/>
      <c r="D169" s="79"/>
      <c r="E169" s="79"/>
      <c r="F169" s="79"/>
      <c r="G169" s="225"/>
      <c r="H169" s="225"/>
      <c r="I169" s="41"/>
      <c r="J169" s="44" t="str">
        <f t="shared" si="4"/>
        <v/>
      </c>
      <c r="K169" s="80" t="str">
        <f t="shared" si="5"/>
        <v/>
      </c>
      <c r="L169" s="40"/>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row>
    <row r="170" spans="1:64" ht="14">
      <c r="A170" s="36"/>
      <c r="B170" s="37"/>
      <c r="C170" s="40"/>
      <c r="D170" s="79"/>
      <c r="E170" s="79"/>
      <c r="F170" s="79"/>
      <c r="G170" s="225"/>
      <c r="H170" s="225"/>
      <c r="I170" s="41"/>
      <c r="J170" s="44" t="str">
        <f t="shared" si="4"/>
        <v/>
      </c>
      <c r="K170" s="80" t="str">
        <f t="shared" si="5"/>
        <v/>
      </c>
      <c r="L170" s="40"/>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row>
    <row r="171" spans="1:64" ht="14">
      <c r="A171" s="36"/>
      <c r="B171" s="37"/>
      <c r="C171" s="40"/>
      <c r="D171" s="79"/>
      <c r="E171" s="79"/>
      <c r="F171" s="79"/>
      <c r="G171" s="225"/>
      <c r="H171" s="225"/>
      <c r="I171" s="41"/>
      <c r="J171" s="44" t="str">
        <f t="shared" si="4"/>
        <v/>
      </c>
      <c r="K171" s="80" t="str">
        <f t="shared" si="5"/>
        <v/>
      </c>
      <c r="L171" s="40"/>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row>
    <row r="172" spans="1:64" ht="14">
      <c r="A172" s="36"/>
      <c r="B172" s="37"/>
      <c r="C172" s="40"/>
      <c r="D172" s="79"/>
      <c r="E172" s="79"/>
      <c r="F172" s="79"/>
      <c r="G172" s="225"/>
      <c r="H172" s="225"/>
      <c r="I172" s="41"/>
      <c r="J172" s="44" t="str">
        <f t="shared" si="4"/>
        <v/>
      </c>
      <c r="K172" s="80" t="str">
        <f t="shared" si="5"/>
        <v/>
      </c>
      <c r="L172" s="40"/>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row>
    <row r="173" spans="1:64" ht="14">
      <c r="A173" s="36"/>
      <c r="B173" s="37"/>
      <c r="C173" s="40"/>
      <c r="D173" s="79"/>
      <c r="E173" s="79"/>
      <c r="F173" s="79"/>
      <c r="G173" s="225"/>
      <c r="H173" s="225"/>
      <c r="I173" s="41"/>
      <c r="J173" s="44" t="str">
        <f t="shared" si="4"/>
        <v/>
      </c>
      <c r="K173" s="80" t="str">
        <f t="shared" si="5"/>
        <v/>
      </c>
      <c r="L173" s="40"/>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row>
    <row r="174" spans="1:64" ht="14">
      <c r="A174" s="36"/>
      <c r="B174" s="37"/>
      <c r="C174" s="40"/>
      <c r="D174" s="79"/>
      <c r="E174" s="79"/>
      <c r="F174" s="79"/>
      <c r="G174" s="225"/>
      <c r="H174" s="225"/>
      <c r="I174" s="41"/>
      <c r="J174" s="44" t="str">
        <f t="shared" si="4"/>
        <v/>
      </c>
      <c r="K174" s="80" t="str">
        <f t="shared" si="5"/>
        <v/>
      </c>
      <c r="L174" s="40"/>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row>
    <row r="175" spans="1:64" ht="14">
      <c r="A175" s="36"/>
      <c r="B175" s="37"/>
      <c r="C175" s="40"/>
      <c r="D175" s="79"/>
      <c r="E175" s="79"/>
      <c r="F175" s="79"/>
      <c r="G175" s="225"/>
      <c r="H175" s="225"/>
      <c r="I175" s="41"/>
      <c r="J175" s="44" t="str">
        <f t="shared" si="4"/>
        <v/>
      </c>
      <c r="K175" s="80" t="str">
        <f t="shared" si="5"/>
        <v/>
      </c>
      <c r="L175" s="40"/>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row>
    <row r="176" spans="1:64" ht="14">
      <c r="A176" s="36"/>
      <c r="B176" s="37"/>
      <c r="C176" s="40"/>
      <c r="D176" s="79"/>
      <c r="E176" s="79"/>
      <c r="F176" s="79"/>
      <c r="G176" s="225"/>
      <c r="H176" s="225"/>
      <c r="I176" s="41"/>
      <c r="J176" s="44" t="str">
        <f t="shared" si="4"/>
        <v/>
      </c>
      <c r="K176" s="80" t="str">
        <f t="shared" si="5"/>
        <v/>
      </c>
      <c r="L176" s="40"/>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row>
    <row r="177" spans="1:64" ht="14">
      <c r="A177" s="36"/>
      <c r="B177" s="37"/>
      <c r="C177" s="40"/>
      <c r="D177" s="79"/>
      <c r="E177" s="79"/>
      <c r="F177" s="79"/>
      <c r="G177" s="225"/>
      <c r="H177" s="225"/>
      <c r="I177" s="41"/>
      <c r="J177" s="44" t="str">
        <f t="shared" si="4"/>
        <v/>
      </c>
      <c r="K177" s="80" t="str">
        <f t="shared" si="5"/>
        <v/>
      </c>
      <c r="L177" s="40"/>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row>
    <row r="178" spans="1:64" ht="14">
      <c r="A178" s="36"/>
      <c r="B178" s="37"/>
      <c r="C178" s="40"/>
      <c r="D178" s="79"/>
      <c r="E178" s="79"/>
      <c r="F178" s="79"/>
      <c r="G178" s="225"/>
      <c r="H178" s="225"/>
      <c r="I178" s="41"/>
      <c r="J178" s="44" t="str">
        <f t="shared" si="4"/>
        <v/>
      </c>
      <c r="K178" s="80" t="str">
        <f t="shared" si="5"/>
        <v/>
      </c>
      <c r="L178" s="40"/>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row>
    <row r="179" spans="1:64" ht="14">
      <c r="A179" s="36"/>
      <c r="B179" s="37"/>
      <c r="C179" s="40"/>
      <c r="D179" s="79"/>
      <c r="E179" s="79"/>
      <c r="F179" s="79"/>
      <c r="G179" s="225"/>
      <c r="H179" s="225"/>
      <c r="I179" s="41"/>
      <c r="J179" s="44" t="str">
        <f t="shared" si="4"/>
        <v/>
      </c>
      <c r="K179" s="80" t="str">
        <f t="shared" si="5"/>
        <v/>
      </c>
      <c r="L179" s="40"/>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row>
    <row r="180" spans="1:64" ht="14">
      <c r="A180" s="36"/>
      <c r="B180" s="37"/>
      <c r="C180" s="40"/>
      <c r="D180" s="79"/>
      <c r="E180" s="79"/>
      <c r="F180" s="79"/>
      <c r="G180" s="225"/>
      <c r="H180" s="225"/>
      <c r="I180" s="41"/>
      <c r="J180" s="44" t="str">
        <f t="shared" si="4"/>
        <v/>
      </c>
      <c r="K180" s="80" t="str">
        <f t="shared" si="5"/>
        <v/>
      </c>
      <c r="L180" s="40"/>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row>
    <row r="181" spans="1:64" ht="14">
      <c r="A181" s="36"/>
      <c r="B181" s="37"/>
      <c r="C181" s="40"/>
      <c r="D181" s="79"/>
      <c r="E181" s="79"/>
      <c r="F181" s="79"/>
      <c r="G181" s="225"/>
      <c r="H181" s="225"/>
      <c r="I181" s="41"/>
      <c r="J181" s="44" t="str">
        <f t="shared" si="4"/>
        <v/>
      </c>
      <c r="K181" s="80" t="str">
        <f t="shared" si="5"/>
        <v/>
      </c>
      <c r="L181" s="40"/>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row>
    <row r="182" spans="1:64" ht="14">
      <c r="A182" s="36"/>
      <c r="B182" s="37"/>
      <c r="C182" s="40"/>
      <c r="D182" s="79"/>
      <c r="E182" s="79"/>
      <c r="F182" s="79"/>
      <c r="G182" s="225"/>
      <c r="H182" s="225"/>
      <c r="I182" s="41"/>
      <c r="J182" s="44" t="str">
        <f t="shared" si="4"/>
        <v/>
      </c>
      <c r="K182" s="80" t="str">
        <f t="shared" si="5"/>
        <v/>
      </c>
      <c r="L182" s="40"/>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row>
    <row r="183" spans="1:64" ht="14">
      <c r="A183" s="36"/>
      <c r="B183" s="37"/>
      <c r="C183" s="40"/>
      <c r="D183" s="79"/>
      <c r="E183" s="79"/>
      <c r="F183" s="79"/>
      <c r="G183" s="225"/>
      <c r="H183" s="225"/>
      <c r="I183" s="41"/>
      <c r="J183" s="44" t="str">
        <f t="shared" si="4"/>
        <v/>
      </c>
      <c r="K183" s="80" t="str">
        <f t="shared" si="5"/>
        <v/>
      </c>
      <c r="L183" s="40"/>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row>
    <row r="184" spans="1:64" ht="14">
      <c r="A184" s="36"/>
      <c r="B184" s="37"/>
      <c r="C184" s="40"/>
      <c r="D184" s="79"/>
      <c r="E184" s="79"/>
      <c r="F184" s="79"/>
      <c r="G184" s="225"/>
      <c r="H184" s="225"/>
      <c r="I184" s="41"/>
      <c r="J184" s="44" t="str">
        <f t="shared" si="4"/>
        <v/>
      </c>
      <c r="K184" s="80" t="str">
        <f t="shared" si="5"/>
        <v/>
      </c>
      <c r="L184" s="40"/>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row>
    <row r="185" spans="1:64" ht="14">
      <c r="A185" s="36"/>
      <c r="B185" s="37"/>
      <c r="C185" s="40"/>
      <c r="D185" s="79"/>
      <c r="E185" s="79"/>
      <c r="F185" s="79"/>
      <c r="G185" s="225"/>
      <c r="H185" s="225"/>
      <c r="I185" s="41"/>
      <c r="J185" s="44" t="str">
        <f t="shared" si="4"/>
        <v/>
      </c>
      <c r="K185" s="80" t="str">
        <f t="shared" si="5"/>
        <v/>
      </c>
      <c r="L185" s="40"/>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row>
    <row r="186" spans="1:64" ht="14">
      <c r="A186" s="36"/>
      <c r="B186" s="37"/>
      <c r="C186" s="40"/>
      <c r="D186" s="79"/>
      <c r="E186" s="79"/>
      <c r="F186" s="79"/>
      <c r="G186" s="225"/>
      <c r="H186" s="225"/>
      <c r="I186" s="41"/>
      <c r="J186" s="44" t="str">
        <f t="shared" si="4"/>
        <v/>
      </c>
      <c r="K186" s="80" t="str">
        <f t="shared" si="5"/>
        <v/>
      </c>
      <c r="L186" s="40"/>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row>
    <row r="187" spans="1:64" ht="14">
      <c r="A187" s="36"/>
      <c r="B187" s="37"/>
      <c r="C187" s="40"/>
      <c r="D187" s="79"/>
      <c r="E187" s="79"/>
      <c r="F187" s="79"/>
      <c r="G187" s="225"/>
      <c r="H187" s="225"/>
      <c r="I187" s="41"/>
      <c r="J187" s="44" t="str">
        <f t="shared" si="4"/>
        <v/>
      </c>
      <c r="K187" s="80" t="str">
        <f t="shared" si="5"/>
        <v/>
      </c>
      <c r="L187" s="40"/>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row>
    <row r="188" spans="1:64" ht="14">
      <c r="A188" s="36"/>
      <c r="B188" s="37"/>
      <c r="C188" s="40"/>
      <c r="D188" s="79"/>
      <c r="E188" s="79"/>
      <c r="F188" s="79"/>
      <c r="G188" s="225"/>
      <c r="H188" s="225"/>
      <c r="I188" s="41"/>
      <c r="J188" s="44" t="str">
        <f t="shared" si="4"/>
        <v/>
      </c>
      <c r="K188" s="80" t="str">
        <f t="shared" si="5"/>
        <v/>
      </c>
      <c r="L188" s="40"/>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row>
    <row r="189" spans="1:64" ht="14">
      <c r="A189" s="36"/>
      <c r="B189" s="37"/>
      <c r="C189" s="40"/>
      <c r="D189" s="79"/>
      <c r="E189" s="79"/>
      <c r="F189" s="79"/>
      <c r="G189" s="225"/>
      <c r="H189" s="225"/>
      <c r="I189" s="41"/>
      <c r="J189" s="44" t="str">
        <f t="shared" si="4"/>
        <v/>
      </c>
      <c r="K189" s="80" t="str">
        <f t="shared" si="5"/>
        <v/>
      </c>
      <c r="L189" s="40"/>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row>
    <row r="190" spans="1:64" ht="14">
      <c r="A190" s="36"/>
      <c r="B190" s="37"/>
      <c r="C190" s="40"/>
      <c r="D190" s="79"/>
      <c r="E190" s="79"/>
      <c r="F190" s="79"/>
      <c r="G190" s="225"/>
      <c r="H190" s="225"/>
      <c r="I190" s="41"/>
      <c r="J190" s="44" t="str">
        <f t="shared" si="4"/>
        <v/>
      </c>
      <c r="K190" s="80" t="str">
        <f t="shared" si="5"/>
        <v/>
      </c>
      <c r="L190" s="40"/>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row>
    <row r="191" spans="1:64" ht="14">
      <c r="A191" s="36"/>
      <c r="B191" s="37"/>
      <c r="C191" s="40"/>
      <c r="D191" s="79"/>
      <c r="E191" s="79"/>
      <c r="F191" s="79"/>
      <c r="G191" s="225"/>
      <c r="H191" s="225"/>
      <c r="I191" s="41"/>
      <c r="J191" s="44" t="str">
        <f t="shared" si="4"/>
        <v/>
      </c>
      <c r="K191" s="80" t="str">
        <f t="shared" si="5"/>
        <v/>
      </c>
      <c r="L191" s="40"/>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row>
    <row r="192" spans="1:64" ht="14">
      <c r="A192" s="36"/>
      <c r="B192" s="37"/>
      <c r="C192" s="40"/>
      <c r="D192" s="79"/>
      <c r="E192" s="79"/>
      <c r="F192" s="79"/>
      <c r="G192" s="225"/>
      <c r="H192" s="225"/>
      <c r="I192" s="41"/>
      <c r="J192" s="44" t="str">
        <f t="shared" si="4"/>
        <v/>
      </c>
      <c r="K192" s="80" t="str">
        <f t="shared" si="5"/>
        <v/>
      </c>
      <c r="L192" s="40"/>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row>
    <row r="193" spans="1:64" ht="14">
      <c r="A193" s="36"/>
      <c r="B193" s="37"/>
      <c r="C193" s="40"/>
      <c r="D193" s="79"/>
      <c r="E193" s="79"/>
      <c r="F193" s="79"/>
      <c r="G193" s="225"/>
      <c r="H193" s="225"/>
      <c r="I193" s="41"/>
      <c r="J193" s="44" t="str">
        <f t="shared" si="4"/>
        <v/>
      </c>
      <c r="K193" s="80" t="str">
        <f t="shared" si="5"/>
        <v/>
      </c>
      <c r="L193" s="40"/>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row>
    <row r="194" spans="1:64" ht="14">
      <c r="A194" s="36"/>
      <c r="B194" s="37"/>
      <c r="C194" s="40"/>
      <c r="D194" s="79"/>
      <c r="E194" s="79"/>
      <c r="F194" s="79"/>
      <c r="G194" s="225"/>
      <c r="H194" s="225"/>
      <c r="I194" s="41"/>
      <c r="J194" s="44" t="str">
        <f t="shared" si="4"/>
        <v/>
      </c>
      <c r="K194" s="80" t="str">
        <f t="shared" si="5"/>
        <v/>
      </c>
      <c r="L194" s="40"/>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row>
    <row r="195" spans="1:64" ht="14">
      <c r="A195" s="36"/>
      <c r="B195" s="37"/>
      <c r="C195" s="40"/>
      <c r="D195" s="79"/>
      <c r="E195" s="79"/>
      <c r="F195" s="79"/>
      <c r="G195" s="225"/>
      <c r="H195" s="225"/>
      <c r="I195" s="41"/>
      <c r="J195" s="44" t="str">
        <f t="shared" si="4"/>
        <v/>
      </c>
      <c r="K195" s="80" t="str">
        <f t="shared" si="5"/>
        <v/>
      </c>
      <c r="L195" s="40"/>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row>
    <row r="196" spans="1:64" ht="14">
      <c r="A196" s="36"/>
      <c r="B196" s="37"/>
      <c r="C196" s="40"/>
      <c r="D196" s="79"/>
      <c r="E196" s="79"/>
      <c r="F196" s="79"/>
      <c r="G196" s="225"/>
      <c r="H196" s="225"/>
      <c r="I196" s="41"/>
      <c r="J196" s="44" t="str">
        <f t="shared" si="4"/>
        <v/>
      </c>
      <c r="K196" s="80" t="str">
        <f t="shared" si="5"/>
        <v/>
      </c>
      <c r="L196" s="40"/>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row>
    <row r="197" spans="1:64" ht="14">
      <c r="A197" s="36"/>
      <c r="B197" s="37"/>
      <c r="C197" s="40"/>
      <c r="D197" s="79"/>
      <c r="E197" s="79"/>
      <c r="F197" s="79"/>
      <c r="G197" s="225"/>
      <c r="H197" s="225"/>
      <c r="I197" s="41"/>
      <c r="J197" s="44" t="str">
        <f t="shared" si="4"/>
        <v/>
      </c>
      <c r="K197" s="80" t="str">
        <f t="shared" si="5"/>
        <v/>
      </c>
      <c r="L197" s="40"/>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row>
    <row r="198" spans="1:64" ht="14">
      <c r="A198" s="36"/>
      <c r="B198" s="37"/>
      <c r="C198" s="40"/>
      <c r="D198" s="79"/>
      <c r="E198" s="79"/>
      <c r="F198" s="79"/>
      <c r="G198" s="225"/>
      <c r="H198" s="225"/>
      <c r="I198" s="41"/>
      <c r="J198" s="44" t="str">
        <f t="shared" si="4"/>
        <v/>
      </c>
      <c r="K198" s="80" t="str">
        <f t="shared" si="5"/>
        <v/>
      </c>
      <c r="L198" s="40"/>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row>
    <row r="199" spans="1:64" ht="14">
      <c r="A199" s="36"/>
      <c r="B199" s="37"/>
      <c r="C199" s="40"/>
      <c r="D199" s="79"/>
      <c r="E199" s="79"/>
      <c r="F199" s="79"/>
      <c r="G199" s="225"/>
      <c r="H199" s="225"/>
      <c r="I199" s="41"/>
      <c r="J199" s="44" t="str">
        <f t="shared" si="4"/>
        <v/>
      </c>
      <c r="K199" s="80" t="str">
        <f t="shared" si="5"/>
        <v/>
      </c>
      <c r="L199" s="40"/>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row>
    <row r="200" spans="1:64" ht="14">
      <c r="A200" s="36"/>
      <c r="B200" s="37"/>
      <c r="C200" s="40"/>
      <c r="D200" s="79"/>
      <c r="E200" s="79"/>
      <c r="F200" s="79"/>
      <c r="G200" s="225"/>
      <c r="H200" s="225"/>
      <c r="I200" s="41"/>
      <c r="J200" s="44" t="str">
        <f t="shared" si="4"/>
        <v/>
      </c>
      <c r="K200" s="80" t="str">
        <f t="shared" si="5"/>
        <v/>
      </c>
      <c r="L200" s="40"/>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row>
    <row r="201" spans="1:64" ht="14">
      <c r="A201" s="36"/>
      <c r="B201" s="37"/>
      <c r="C201" s="40"/>
      <c r="D201" s="79"/>
      <c r="E201" s="79"/>
      <c r="F201" s="79"/>
      <c r="G201" s="225"/>
      <c r="H201" s="225"/>
      <c r="I201" s="41"/>
      <c r="J201" s="44" t="str">
        <f t="shared" si="4"/>
        <v/>
      </c>
      <c r="K201" s="80" t="str">
        <f t="shared" si="5"/>
        <v/>
      </c>
      <c r="L201" s="40"/>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row>
    <row r="202" spans="1:64" ht="14">
      <c r="A202" s="36"/>
      <c r="B202" s="37"/>
      <c r="C202" s="40"/>
      <c r="D202" s="79"/>
      <c r="E202" s="79"/>
      <c r="F202" s="79"/>
      <c r="G202" s="225"/>
      <c r="H202" s="225"/>
      <c r="I202" s="41"/>
      <c r="J202" s="44" t="str">
        <f t="shared" si="4"/>
        <v/>
      </c>
      <c r="K202" s="80" t="str">
        <f t="shared" si="5"/>
        <v/>
      </c>
      <c r="L202" s="40"/>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row>
    <row r="203" spans="1:64" ht="14">
      <c r="A203" s="36"/>
      <c r="B203" s="37"/>
      <c r="C203" s="40"/>
      <c r="D203" s="79"/>
      <c r="E203" s="79"/>
      <c r="F203" s="79"/>
      <c r="G203" s="225"/>
      <c r="H203" s="225"/>
      <c r="I203" s="41"/>
      <c r="J203" s="44" t="str">
        <f t="shared" ref="J203:J266" si="6">IF($C203&lt;&gt;"",$E203*1.5,"")</f>
        <v/>
      </c>
      <c r="K203" s="80" t="str">
        <f t="shared" ref="K203:K266" si="7">IFERROR($J203/10,"")</f>
        <v/>
      </c>
      <c r="L203" s="40"/>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row>
    <row r="204" spans="1:64" ht="14">
      <c r="A204" s="36"/>
      <c r="B204" s="37"/>
      <c r="C204" s="40"/>
      <c r="D204" s="79"/>
      <c r="E204" s="79"/>
      <c r="F204" s="79"/>
      <c r="G204" s="225"/>
      <c r="H204" s="225"/>
      <c r="I204" s="41"/>
      <c r="J204" s="44" t="str">
        <f t="shared" si="6"/>
        <v/>
      </c>
      <c r="K204" s="80" t="str">
        <f t="shared" si="7"/>
        <v/>
      </c>
      <c r="L204" s="40"/>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row>
    <row r="205" spans="1:64" ht="14">
      <c r="A205" s="36"/>
      <c r="B205" s="37"/>
      <c r="C205" s="40"/>
      <c r="D205" s="79"/>
      <c r="E205" s="79"/>
      <c r="F205" s="79"/>
      <c r="G205" s="225"/>
      <c r="H205" s="225"/>
      <c r="I205" s="41"/>
      <c r="J205" s="44" t="str">
        <f t="shared" si="6"/>
        <v/>
      </c>
      <c r="K205" s="80" t="str">
        <f t="shared" si="7"/>
        <v/>
      </c>
      <c r="L205" s="40"/>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row>
    <row r="206" spans="1:64" ht="14">
      <c r="A206" s="36"/>
      <c r="B206" s="37"/>
      <c r="C206" s="40"/>
      <c r="D206" s="79"/>
      <c r="E206" s="79"/>
      <c r="F206" s="79"/>
      <c r="G206" s="225"/>
      <c r="H206" s="225"/>
      <c r="I206" s="41"/>
      <c r="J206" s="44" t="str">
        <f t="shared" si="6"/>
        <v/>
      </c>
      <c r="K206" s="80" t="str">
        <f t="shared" si="7"/>
        <v/>
      </c>
      <c r="L206" s="40"/>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row>
    <row r="207" spans="1:64" ht="24" customHeight="1">
      <c r="A207" s="36"/>
      <c r="B207" s="37"/>
      <c r="C207" s="40"/>
      <c r="D207" s="79"/>
      <c r="E207" s="79"/>
      <c r="F207" s="79"/>
      <c r="G207" s="225"/>
      <c r="H207" s="225"/>
      <c r="I207" s="41"/>
      <c r="J207" s="44" t="str">
        <f t="shared" si="6"/>
        <v/>
      </c>
      <c r="K207" s="80" t="str">
        <f t="shared" si="7"/>
        <v/>
      </c>
      <c r="L207" s="40"/>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row>
    <row r="208" spans="1:64" ht="13.75" customHeight="1">
      <c r="A208" s="36"/>
      <c r="B208" s="37"/>
      <c r="C208" s="40"/>
      <c r="D208" s="79"/>
      <c r="E208" s="79"/>
      <c r="F208" s="79"/>
      <c r="G208" s="225" t="s">
        <v>86</v>
      </c>
      <c r="H208" s="225"/>
      <c r="I208" s="41"/>
      <c r="J208" s="44" t="str">
        <f t="shared" si="6"/>
        <v/>
      </c>
      <c r="K208" s="80" t="str">
        <f t="shared" si="7"/>
        <v/>
      </c>
      <c r="L208" s="40"/>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row>
    <row r="209" spans="1:64" ht="14">
      <c r="A209" s="36"/>
      <c r="B209" s="37"/>
      <c r="C209" s="40"/>
      <c r="D209" s="79"/>
      <c r="E209" s="79"/>
      <c r="F209" s="79"/>
      <c r="G209" s="225"/>
      <c r="H209" s="225"/>
      <c r="I209" s="41"/>
      <c r="J209" s="44" t="str">
        <f t="shared" si="6"/>
        <v/>
      </c>
      <c r="K209" s="80" t="str">
        <f t="shared" si="7"/>
        <v/>
      </c>
      <c r="L209" s="40"/>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row>
    <row r="210" spans="1:64" ht="14">
      <c r="A210" s="36"/>
      <c r="B210" s="37"/>
      <c r="C210" s="40"/>
      <c r="D210" s="79"/>
      <c r="E210" s="79"/>
      <c r="F210" s="79"/>
      <c r="G210" s="225"/>
      <c r="H210" s="225"/>
      <c r="I210" s="41"/>
      <c r="J210" s="44" t="str">
        <f t="shared" si="6"/>
        <v/>
      </c>
      <c r="K210" s="80" t="str">
        <f t="shared" si="7"/>
        <v/>
      </c>
      <c r="L210" s="40"/>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row>
    <row r="211" spans="1:64" ht="14">
      <c r="A211" s="36"/>
      <c r="B211" s="37"/>
      <c r="C211" s="40"/>
      <c r="D211" s="79"/>
      <c r="E211" s="79"/>
      <c r="F211" s="79"/>
      <c r="G211" s="225"/>
      <c r="H211" s="225"/>
      <c r="I211" s="41"/>
      <c r="J211" s="44" t="str">
        <f t="shared" si="6"/>
        <v/>
      </c>
      <c r="K211" s="80" t="str">
        <f t="shared" si="7"/>
        <v/>
      </c>
      <c r="L211" s="40"/>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row>
    <row r="212" spans="1:64" ht="14">
      <c r="A212" s="36"/>
      <c r="B212" s="37"/>
      <c r="C212" s="40"/>
      <c r="D212" s="79"/>
      <c r="E212" s="79"/>
      <c r="F212" s="79"/>
      <c r="G212" s="225"/>
      <c r="H212" s="225"/>
      <c r="I212" s="41"/>
      <c r="J212" s="44" t="str">
        <f t="shared" si="6"/>
        <v/>
      </c>
      <c r="K212" s="80" t="str">
        <f t="shared" si="7"/>
        <v/>
      </c>
      <c r="L212" s="40"/>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row>
    <row r="213" spans="1:64" ht="14">
      <c r="A213" s="36"/>
      <c r="B213" s="37"/>
      <c r="C213" s="40"/>
      <c r="D213" s="79"/>
      <c r="E213" s="79"/>
      <c r="F213" s="79"/>
      <c r="G213" s="225"/>
      <c r="H213" s="225"/>
      <c r="I213" s="41"/>
      <c r="J213" s="44" t="str">
        <f t="shared" si="6"/>
        <v/>
      </c>
      <c r="K213" s="80" t="str">
        <f t="shared" si="7"/>
        <v/>
      </c>
      <c r="L213" s="40"/>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row>
    <row r="214" spans="1:64" ht="14">
      <c r="A214" s="36"/>
      <c r="B214" s="37"/>
      <c r="C214" s="40"/>
      <c r="D214" s="79"/>
      <c r="E214" s="79"/>
      <c r="F214" s="79"/>
      <c r="G214" s="225"/>
      <c r="H214" s="225"/>
      <c r="I214" s="41"/>
      <c r="J214" s="44" t="str">
        <f t="shared" si="6"/>
        <v/>
      </c>
      <c r="K214" s="80" t="str">
        <f t="shared" si="7"/>
        <v/>
      </c>
      <c r="L214" s="40"/>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row>
    <row r="215" spans="1:64" ht="14">
      <c r="A215" s="36"/>
      <c r="B215" s="37"/>
      <c r="C215" s="40"/>
      <c r="D215" s="79"/>
      <c r="E215" s="79"/>
      <c r="F215" s="79"/>
      <c r="G215" s="225"/>
      <c r="H215" s="225"/>
      <c r="I215" s="41"/>
      <c r="J215" s="44" t="str">
        <f t="shared" si="6"/>
        <v/>
      </c>
      <c r="K215" s="80" t="str">
        <f t="shared" si="7"/>
        <v/>
      </c>
      <c r="L215" s="40"/>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row>
    <row r="216" spans="1:64" ht="14">
      <c r="A216" s="36"/>
      <c r="B216" s="37"/>
      <c r="C216" s="40"/>
      <c r="D216" s="79"/>
      <c r="E216" s="79"/>
      <c r="F216" s="79"/>
      <c r="G216" s="225"/>
      <c r="H216" s="225"/>
      <c r="I216" s="41"/>
      <c r="J216" s="44" t="str">
        <f t="shared" si="6"/>
        <v/>
      </c>
      <c r="K216" s="80" t="str">
        <f t="shared" si="7"/>
        <v/>
      </c>
      <c r="L216" s="40"/>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row>
    <row r="217" spans="1:64" ht="14">
      <c r="A217" s="36"/>
      <c r="B217" s="37"/>
      <c r="C217" s="40"/>
      <c r="D217" s="79"/>
      <c r="E217" s="79"/>
      <c r="F217" s="79"/>
      <c r="G217" s="225"/>
      <c r="H217" s="225"/>
      <c r="I217" s="41"/>
      <c r="J217" s="44" t="str">
        <f t="shared" si="6"/>
        <v/>
      </c>
      <c r="K217" s="80" t="str">
        <f t="shared" si="7"/>
        <v/>
      </c>
      <c r="L217" s="40"/>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row>
    <row r="218" spans="1:64" ht="14">
      <c r="A218" s="36"/>
      <c r="B218" s="37"/>
      <c r="C218" s="40"/>
      <c r="D218" s="79"/>
      <c r="E218" s="79"/>
      <c r="F218" s="79"/>
      <c r="G218" s="225"/>
      <c r="H218" s="225"/>
      <c r="I218" s="41"/>
      <c r="J218" s="44" t="str">
        <f t="shared" si="6"/>
        <v/>
      </c>
      <c r="K218" s="80" t="str">
        <f t="shared" si="7"/>
        <v/>
      </c>
      <c r="L218" s="40"/>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row>
    <row r="219" spans="1:64" ht="14">
      <c r="A219" s="36"/>
      <c r="B219" s="37"/>
      <c r="C219" s="40"/>
      <c r="D219" s="79"/>
      <c r="E219" s="79"/>
      <c r="F219" s="79"/>
      <c r="G219" s="225"/>
      <c r="H219" s="225"/>
      <c r="I219" s="41"/>
      <c r="J219" s="44" t="str">
        <f t="shared" si="6"/>
        <v/>
      </c>
      <c r="K219" s="80" t="str">
        <f t="shared" si="7"/>
        <v/>
      </c>
      <c r="L219" s="40"/>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row>
    <row r="220" spans="1:64" ht="14">
      <c r="A220" s="36"/>
      <c r="B220" s="37"/>
      <c r="C220" s="40"/>
      <c r="D220" s="79"/>
      <c r="E220" s="79"/>
      <c r="F220" s="79"/>
      <c r="G220" s="225"/>
      <c r="H220" s="225"/>
      <c r="I220" s="41"/>
      <c r="J220" s="44" t="str">
        <f t="shared" si="6"/>
        <v/>
      </c>
      <c r="K220" s="80" t="str">
        <f t="shared" si="7"/>
        <v/>
      </c>
      <c r="L220" s="40"/>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row>
    <row r="221" spans="1:64" ht="14">
      <c r="A221" s="36"/>
      <c r="B221" s="37"/>
      <c r="C221" s="40"/>
      <c r="D221" s="79"/>
      <c r="E221" s="79"/>
      <c r="F221" s="79"/>
      <c r="G221" s="225"/>
      <c r="H221" s="225"/>
      <c r="I221" s="41"/>
      <c r="J221" s="44" t="str">
        <f t="shared" si="6"/>
        <v/>
      </c>
      <c r="K221" s="80" t="str">
        <f t="shared" si="7"/>
        <v/>
      </c>
      <c r="L221" s="40"/>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row>
    <row r="222" spans="1:64" ht="14">
      <c r="A222" s="36"/>
      <c r="B222" s="37"/>
      <c r="C222" s="40"/>
      <c r="D222" s="79"/>
      <c r="E222" s="79"/>
      <c r="F222" s="79"/>
      <c r="G222" s="225"/>
      <c r="H222" s="225"/>
      <c r="I222" s="41"/>
      <c r="J222" s="44" t="str">
        <f t="shared" si="6"/>
        <v/>
      </c>
      <c r="K222" s="80" t="str">
        <f t="shared" si="7"/>
        <v/>
      </c>
      <c r="L222" s="40"/>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row>
    <row r="223" spans="1:64" ht="14">
      <c r="A223" s="36"/>
      <c r="B223" s="37"/>
      <c r="C223" s="40"/>
      <c r="D223" s="79"/>
      <c r="E223" s="79"/>
      <c r="F223" s="79"/>
      <c r="G223" s="225"/>
      <c r="H223" s="225"/>
      <c r="I223" s="41"/>
      <c r="J223" s="44" t="str">
        <f t="shared" si="6"/>
        <v/>
      </c>
      <c r="K223" s="80" t="str">
        <f t="shared" si="7"/>
        <v/>
      </c>
      <c r="L223" s="40"/>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row>
    <row r="224" spans="1:64" ht="14">
      <c r="A224" s="36"/>
      <c r="B224" s="37"/>
      <c r="C224" s="40"/>
      <c r="D224" s="79"/>
      <c r="E224" s="79"/>
      <c r="F224" s="79"/>
      <c r="G224" s="225"/>
      <c r="H224" s="225"/>
      <c r="I224" s="41"/>
      <c r="J224" s="44" t="str">
        <f t="shared" si="6"/>
        <v/>
      </c>
      <c r="K224" s="80" t="str">
        <f t="shared" si="7"/>
        <v/>
      </c>
      <c r="L224" s="40"/>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row>
    <row r="225" spans="1:64" ht="14">
      <c r="A225" s="36"/>
      <c r="B225" s="37"/>
      <c r="C225" s="40"/>
      <c r="D225" s="79"/>
      <c r="E225" s="79"/>
      <c r="F225" s="79"/>
      <c r="G225" s="225"/>
      <c r="H225" s="225"/>
      <c r="I225" s="81"/>
      <c r="J225" s="44" t="str">
        <f t="shared" si="6"/>
        <v/>
      </c>
      <c r="K225" s="80" t="str">
        <f t="shared" si="7"/>
        <v/>
      </c>
      <c r="L225" s="40"/>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row>
    <row r="226" spans="1:64" ht="14">
      <c r="A226" s="36"/>
      <c r="B226" s="37"/>
      <c r="C226" s="40"/>
      <c r="D226" s="79"/>
      <c r="E226" s="79"/>
      <c r="F226" s="79"/>
      <c r="G226" s="225"/>
      <c r="H226" s="225"/>
      <c r="I226" s="81"/>
      <c r="J226" s="44" t="str">
        <f t="shared" si="6"/>
        <v/>
      </c>
      <c r="K226" s="80" t="str">
        <f t="shared" si="7"/>
        <v/>
      </c>
      <c r="L226" s="40"/>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row>
    <row r="227" spans="1:64" ht="14">
      <c r="A227" s="36"/>
      <c r="B227" s="37"/>
      <c r="C227" s="40"/>
      <c r="D227" s="79"/>
      <c r="E227" s="79"/>
      <c r="F227" s="79"/>
      <c r="G227" s="225"/>
      <c r="H227" s="225"/>
      <c r="I227" s="41"/>
      <c r="J227" s="44" t="str">
        <f t="shared" si="6"/>
        <v/>
      </c>
      <c r="K227" s="80" t="str">
        <f t="shared" si="7"/>
        <v/>
      </c>
      <c r="L227" s="40"/>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row>
    <row r="228" spans="1:64" ht="14">
      <c r="A228" s="36"/>
      <c r="B228" s="37"/>
      <c r="C228" s="40"/>
      <c r="D228" s="79"/>
      <c r="E228" s="79"/>
      <c r="F228" s="79"/>
      <c r="G228" s="225"/>
      <c r="H228" s="225"/>
      <c r="I228" s="41"/>
      <c r="J228" s="44" t="str">
        <f t="shared" si="6"/>
        <v/>
      </c>
      <c r="K228" s="80" t="str">
        <f t="shared" si="7"/>
        <v/>
      </c>
      <c r="L228" s="40"/>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row>
    <row r="229" spans="1:64" ht="14">
      <c r="A229" s="36"/>
      <c r="B229" s="37"/>
      <c r="C229" s="40"/>
      <c r="D229" s="79"/>
      <c r="E229" s="79"/>
      <c r="F229" s="79"/>
      <c r="G229" s="225"/>
      <c r="H229" s="225"/>
      <c r="I229" s="41"/>
      <c r="J229" s="44" t="str">
        <f t="shared" si="6"/>
        <v/>
      </c>
      <c r="K229" s="80" t="str">
        <f t="shared" si="7"/>
        <v/>
      </c>
      <c r="L229" s="40"/>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row>
    <row r="230" spans="1:64" ht="14">
      <c r="A230" s="36"/>
      <c r="B230" s="37"/>
      <c r="C230" s="40"/>
      <c r="D230" s="79"/>
      <c r="E230" s="79"/>
      <c r="F230" s="79"/>
      <c r="G230" s="225"/>
      <c r="H230" s="225"/>
      <c r="I230" s="41"/>
      <c r="J230" s="44" t="str">
        <f t="shared" si="6"/>
        <v/>
      </c>
      <c r="K230" s="80" t="str">
        <f t="shared" si="7"/>
        <v/>
      </c>
      <c r="L230" s="40"/>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row>
    <row r="231" spans="1:64" ht="14">
      <c r="A231" s="36"/>
      <c r="B231" s="37"/>
      <c r="C231" s="40"/>
      <c r="D231" s="79"/>
      <c r="E231" s="79"/>
      <c r="F231" s="79"/>
      <c r="G231" s="225"/>
      <c r="H231" s="225"/>
      <c r="I231" s="41"/>
      <c r="J231" s="44" t="str">
        <f t="shared" si="6"/>
        <v/>
      </c>
      <c r="K231" s="80" t="str">
        <f t="shared" si="7"/>
        <v/>
      </c>
      <c r="L231" s="40"/>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row>
    <row r="232" spans="1:64" ht="14">
      <c r="A232" s="36"/>
      <c r="B232" s="37"/>
      <c r="C232" s="40"/>
      <c r="D232" s="79"/>
      <c r="E232" s="79"/>
      <c r="F232" s="79"/>
      <c r="G232" s="225"/>
      <c r="H232" s="225"/>
      <c r="I232" s="41"/>
      <c r="J232" s="44" t="str">
        <f t="shared" si="6"/>
        <v/>
      </c>
      <c r="K232" s="80" t="str">
        <f t="shared" si="7"/>
        <v/>
      </c>
      <c r="L232" s="40"/>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row>
    <row r="233" spans="1:64" ht="14">
      <c r="A233" s="36"/>
      <c r="B233" s="37"/>
      <c r="C233" s="40"/>
      <c r="D233" s="79"/>
      <c r="E233" s="79"/>
      <c r="F233" s="79"/>
      <c r="G233" s="225"/>
      <c r="H233" s="225"/>
      <c r="I233" s="41"/>
      <c r="J233" s="44" t="str">
        <f t="shared" si="6"/>
        <v/>
      </c>
      <c r="K233" s="80" t="str">
        <f t="shared" si="7"/>
        <v/>
      </c>
      <c r="L233" s="40"/>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row>
    <row r="234" spans="1:64" ht="14">
      <c r="A234" s="36"/>
      <c r="B234" s="37"/>
      <c r="C234" s="40"/>
      <c r="D234" s="79"/>
      <c r="E234" s="79"/>
      <c r="F234" s="79"/>
      <c r="G234" s="225"/>
      <c r="H234" s="225"/>
      <c r="I234" s="41"/>
      <c r="J234" s="44" t="str">
        <f t="shared" si="6"/>
        <v/>
      </c>
      <c r="K234" s="80" t="str">
        <f t="shared" si="7"/>
        <v/>
      </c>
      <c r="L234" s="40"/>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row>
    <row r="235" spans="1:64" ht="14">
      <c r="A235" s="36"/>
      <c r="B235" s="37"/>
      <c r="C235" s="40"/>
      <c r="D235" s="79"/>
      <c r="E235" s="79"/>
      <c r="F235" s="79"/>
      <c r="G235" s="225"/>
      <c r="H235" s="225"/>
      <c r="I235" s="41"/>
      <c r="J235" s="44" t="str">
        <f t="shared" si="6"/>
        <v/>
      </c>
      <c r="K235" s="80" t="str">
        <f t="shared" si="7"/>
        <v/>
      </c>
      <c r="L235" s="40"/>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row>
    <row r="236" spans="1:64" ht="14">
      <c r="A236" s="36"/>
      <c r="B236" s="37"/>
      <c r="C236" s="40"/>
      <c r="D236" s="79"/>
      <c r="E236" s="79"/>
      <c r="F236" s="79"/>
      <c r="G236" s="225"/>
      <c r="H236" s="225"/>
      <c r="I236" s="41"/>
      <c r="J236" s="44" t="str">
        <f t="shared" si="6"/>
        <v/>
      </c>
      <c r="K236" s="80" t="str">
        <f t="shared" si="7"/>
        <v/>
      </c>
      <c r="L236" s="40"/>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row>
    <row r="237" spans="1:64" ht="14">
      <c r="A237" s="36"/>
      <c r="B237" s="37"/>
      <c r="C237" s="40"/>
      <c r="D237" s="79"/>
      <c r="E237" s="79"/>
      <c r="F237" s="79"/>
      <c r="G237" s="225"/>
      <c r="H237" s="225"/>
      <c r="I237" s="41"/>
      <c r="J237" s="44" t="str">
        <f t="shared" si="6"/>
        <v/>
      </c>
      <c r="K237" s="80" t="str">
        <f t="shared" si="7"/>
        <v/>
      </c>
      <c r="L237" s="40"/>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row>
    <row r="238" spans="1:64" ht="14">
      <c r="A238" s="36"/>
      <c r="B238" s="37"/>
      <c r="C238" s="40"/>
      <c r="D238" s="79"/>
      <c r="E238" s="79"/>
      <c r="F238" s="79"/>
      <c r="G238" s="225"/>
      <c r="H238" s="225"/>
      <c r="I238" s="41"/>
      <c r="J238" s="44" t="str">
        <f t="shared" si="6"/>
        <v/>
      </c>
      <c r="K238" s="80" t="str">
        <f t="shared" si="7"/>
        <v/>
      </c>
      <c r="L238" s="40"/>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row>
    <row r="239" spans="1:64" ht="14">
      <c r="A239" s="36"/>
      <c r="B239" s="37"/>
      <c r="C239" s="40"/>
      <c r="D239" s="79"/>
      <c r="E239" s="79"/>
      <c r="F239" s="79"/>
      <c r="G239" s="225"/>
      <c r="H239" s="225"/>
      <c r="I239" s="41"/>
      <c r="J239" s="44" t="str">
        <f t="shared" si="6"/>
        <v/>
      </c>
      <c r="K239" s="80" t="str">
        <f t="shared" si="7"/>
        <v/>
      </c>
      <c r="L239" s="40"/>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row>
    <row r="240" spans="1:64" ht="14">
      <c r="A240" s="36"/>
      <c r="B240" s="37"/>
      <c r="C240" s="40"/>
      <c r="D240" s="79"/>
      <c r="E240" s="79"/>
      <c r="F240" s="79"/>
      <c r="G240" s="225"/>
      <c r="H240" s="225"/>
      <c r="I240" s="41"/>
      <c r="J240" s="44" t="str">
        <f t="shared" si="6"/>
        <v/>
      </c>
      <c r="K240" s="80" t="str">
        <f t="shared" si="7"/>
        <v/>
      </c>
      <c r="L240" s="40"/>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row>
    <row r="241" spans="1:64" ht="14">
      <c r="A241" s="36"/>
      <c r="B241" s="37"/>
      <c r="C241" s="40"/>
      <c r="D241" s="79"/>
      <c r="E241" s="79"/>
      <c r="F241" s="79"/>
      <c r="G241" s="225"/>
      <c r="H241" s="225"/>
      <c r="I241" s="41"/>
      <c r="J241" s="44" t="str">
        <f t="shared" si="6"/>
        <v/>
      </c>
      <c r="K241" s="80" t="str">
        <f t="shared" si="7"/>
        <v/>
      </c>
      <c r="L241" s="40"/>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row>
    <row r="242" spans="1:64" ht="14">
      <c r="A242" s="36"/>
      <c r="B242" s="37"/>
      <c r="C242" s="40"/>
      <c r="D242" s="79"/>
      <c r="E242" s="79"/>
      <c r="F242" s="79"/>
      <c r="G242" s="225"/>
      <c r="H242" s="225"/>
      <c r="I242" s="41"/>
      <c r="J242" s="44" t="str">
        <f t="shared" si="6"/>
        <v/>
      </c>
      <c r="K242" s="80" t="str">
        <f t="shared" si="7"/>
        <v/>
      </c>
      <c r="L242" s="40"/>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row>
    <row r="243" spans="1:64" ht="14">
      <c r="A243" s="36"/>
      <c r="B243" s="37"/>
      <c r="C243" s="40"/>
      <c r="D243" s="79"/>
      <c r="E243" s="79"/>
      <c r="F243" s="79"/>
      <c r="G243" s="225"/>
      <c r="H243" s="225"/>
      <c r="I243" s="41"/>
      <c r="J243" s="44" t="str">
        <f t="shared" si="6"/>
        <v/>
      </c>
      <c r="K243" s="80" t="str">
        <f t="shared" si="7"/>
        <v/>
      </c>
      <c r="L243" s="40"/>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row>
    <row r="244" spans="1:64" ht="14">
      <c r="A244" s="36"/>
      <c r="B244" s="37"/>
      <c r="C244" s="40"/>
      <c r="D244" s="79"/>
      <c r="E244" s="79"/>
      <c r="F244" s="79"/>
      <c r="G244" s="225"/>
      <c r="H244" s="225"/>
      <c r="I244" s="41"/>
      <c r="J244" s="44" t="str">
        <f t="shared" si="6"/>
        <v/>
      </c>
      <c r="K244" s="80" t="str">
        <f t="shared" si="7"/>
        <v/>
      </c>
      <c r="L244" s="40"/>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row>
    <row r="245" spans="1:64" ht="14">
      <c r="A245" s="36"/>
      <c r="B245" s="37"/>
      <c r="C245" s="40"/>
      <c r="D245" s="79"/>
      <c r="E245" s="79"/>
      <c r="F245" s="79"/>
      <c r="G245" s="225"/>
      <c r="H245" s="225"/>
      <c r="I245" s="41"/>
      <c r="J245" s="44" t="str">
        <f t="shared" si="6"/>
        <v/>
      </c>
      <c r="K245" s="80" t="str">
        <f t="shared" si="7"/>
        <v/>
      </c>
      <c r="L245" s="40"/>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row>
    <row r="246" spans="1:64" ht="14">
      <c r="A246" s="36"/>
      <c r="B246" s="37"/>
      <c r="C246" s="40"/>
      <c r="D246" s="79"/>
      <c r="E246" s="79"/>
      <c r="F246" s="79"/>
      <c r="G246" s="225"/>
      <c r="H246" s="225"/>
      <c r="I246" s="41"/>
      <c r="J246" s="44" t="str">
        <f t="shared" si="6"/>
        <v/>
      </c>
      <c r="K246" s="80" t="str">
        <f t="shared" si="7"/>
        <v/>
      </c>
      <c r="L246" s="40"/>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row>
    <row r="247" spans="1:64" ht="14">
      <c r="A247" s="36"/>
      <c r="B247" s="37"/>
      <c r="C247" s="40"/>
      <c r="D247" s="79"/>
      <c r="E247" s="79"/>
      <c r="F247" s="79"/>
      <c r="G247" s="225"/>
      <c r="H247" s="225"/>
      <c r="I247" s="41"/>
      <c r="J247" s="44" t="str">
        <f t="shared" si="6"/>
        <v/>
      </c>
      <c r="K247" s="80" t="str">
        <f t="shared" si="7"/>
        <v/>
      </c>
      <c r="L247" s="40"/>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row>
    <row r="248" spans="1:64" ht="14">
      <c r="A248" s="36"/>
      <c r="B248" s="37"/>
      <c r="C248" s="40"/>
      <c r="D248" s="79"/>
      <c r="E248" s="79"/>
      <c r="F248" s="79"/>
      <c r="G248" s="225"/>
      <c r="H248" s="225"/>
      <c r="I248" s="41"/>
      <c r="J248" s="44" t="str">
        <f t="shared" si="6"/>
        <v/>
      </c>
      <c r="K248" s="80" t="str">
        <f t="shared" si="7"/>
        <v/>
      </c>
      <c r="L248" s="40"/>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row>
    <row r="249" spans="1:64" ht="14">
      <c r="A249" s="36"/>
      <c r="B249" s="37"/>
      <c r="C249" s="40"/>
      <c r="D249" s="79"/>
      <c r="E249" s="79"/>
      <c r="F249" s="79"/>
      <c r="G249" s="225"/>
      <c r="H249" s="225"/>
      <c r="I249" s="41"/>
      <c r="J249" s="44" t="str">
        <f t="shared" si="6"/>
        <v/>
      </c>
      <c r="K249" s="80" t="str">
        <f t="shared" si="7"/>
        <v/>
      </c>
      <c r="L249" s="40"/>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36"/>
      <c r="BJ249" s="36"/>
      <c r="BK249" s="36"/>
      <c r="BL249" s="36"/>
    </row>
    <row r="250" spans="1:64" ht="14">
      <c r="A250" s="36"/>
      <c r="B250" s="37"/>
      <c r="C250" s="40"/>
      <c r="D250" s="79"/>
      <c r="E250" s="79"/>
      <c r="F250" s="79"/>
      <c r="G250" s="225"/>
      <c r="H250" s="225"/>
      <c r="I250" s="41"/>
      <c r="J250" s="44" t="str">
        <f t="shared" si="6"/>
        <v/>
      </c>
      <c r="K250" s="80" t="str">
        <f t="shared" si="7"/>
        <v/>
      </c>
      <c r="L250" s="40"/>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row>
    <row r="251" spans="1:64" ht="14">
      <c r="A251" s="36"/>
      <c r="B251" s="37"/>
      <c r="C251" s="40"/>
      <c r="D251" s="79"/>
      <c r="E251" s="79"/>
      <c r="F251" s="79"/>
      <c r="G251" s="225"/>
      <c r="H251" s="225"/>
      <c r="I251" s="41"/>
      <c r="J251" s="44" t="str">
        <f t="shared" si="6"/>
        <v/>
      </c>
      <c r="K251" s="80" t="str">
        <f t="shared" si="7"/>
        <v/>
      </c>
      <c r="L251" s="40"/>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row>
    <row r="252" spans="1:64" ht="14">
      <c r="A252" s="36"/>
      <c r="B252" s="37"/>
      <c r="C252" s="40"/>
      <c r="D252" s="79"/>
      <c r="E252" s="79"/>
      <c r="F252" s="79"/>
      <c r="G252" s="225"/>
      <c r="H252" s="225"/>
      <c r="I252" s="41"/>
      <c r="J252" s="44" t="str">
        <f t="shared" si="6"/>
        <v/>
      </c>
      <c r="K252" s="80" t="str">
        <f t="shared" si="7"/>
        <v/>
      </c>
      <c r="L252" s="40"/>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row>
    <row r="253" spans="1:64" ht="14">
      <c r="A253" s="36"/>
      <c r="B253" s="37"/>
      <c r="C253" s="40"/>
      <c r="D253" s="79"/>
      <c r="E253" s="79"/>
      <c r="F253" s="79"/>
      <c r="G253" s="225"/>
      <c r="H253" s="225"/>
      <c r="I253" s="41"/>
      <c r="J253" s="44" t="str">
        <f t="shared" si="6"/>
        <v/>
      </c>
      <c r="K253" s="80" t="str">
        <f t="shared" si="7"/>
        <v/>
      </c>
      <c r="L253" s="40"/>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row>
    <row r="254" spans="1:64" ht="14">
      <c r="A254" s="36"/>
      <c r="B254" s="37"/>
      <c r="C254" s="40"/>
      <c r="D254" s="79"/>
      <c r="E254" s="79"/>
      <c r="F254" s="79"/>
      <c r="G254" s="225"/>
      <c r="H254" s="225"/>
      <c r="I254" s="41"/>
      <c r="J254" s="44" t="str">
        <f t="shared" si="6"/>
        <v/>
      </c>
      <c r="K254" s="80" t="str">
        <f t="shared" si="7"/>
        <v/>
      </c>
      <c r="L254" s="40"/>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row>
    <row r="255" spans="1:64" ht="14">
      <c r="A255" s="36"/>
      <c r="B255" s="37"/>
      <c r="C255" s="40"/>
      <c r="D255" s="79"/>
      <c r="E255" s="79"/>
      <c r="F255" s="79"/>
      <c r="G255" s="225"/>
      <c r="H255" s="225"/>
      <c r="I255" s="41"/>
      <c r="J255" s="44" t="str">
        <f t="shared" si="6"/>
        <v/>
      </c>
      <c r="K255" s="80" t="str">
        <f t="shared" si="7"/>
        <v/>
      </c>
      <c r="L255" s="40"/>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row>
    <row r="256" spans="1:64" ht="14">
      <c r="A256" s="36"/>
      <c r="B256" s="37"/>
      <c r="C256" s="40"/>
      <c r="D256" s="79"/>
      <c r="E256" s="79"/>
      <c r="F256" s="79"/>
      <c r="G256" s="225"/>
      <c r="H256" s="225"/>
      <c r="I256" s="41"/>
      <c r="J256" s="44" t="str">
        <f t="shared" si="6"/>
        <v/>
      </c>
      <c r="K256" s="80" t="str">
        <f t="shared" si="7"/>
        <v/>
      </c>
      <c r="L256" s="40"/>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row>
    <row r="257" spans="1:64" ht="14">
      <c r="A257" s="36"/>
      <c r="B257" s="37"/>
      <c r="C257" s="40"/>
      <c r="D257" s="79"/>
      <c r="E257" s="79"/>
      <c r="F257" s="79"/>
      <c r="G257" s="225"/>
      <c r="H257" s="225"/>
      <c r="I257" s="41"/>
      <c r="J257" s="44" t="str">
        <f t="shared" si="6"/>
        <v/>
      </c>
      <c r="K257" s="80" t="str">
        <f t="shared" si="7"/>
        <v/>
      </c>
      <c r="L257" s="40"/>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row>
    <row r="258" spans="1:64" ht="14">
      <c r="A258" s="36"/>
      <c r="B258" s="37"/>
      <c r="C258" s="40"/>
      <c r="D258" s="79"/>
      <c r="E258" s="79"/>
      <c r="F258" s="79"/>
      <c r="G258" s="225"/>
      <c r="H258" s="225"/>
      <c r="I258" s="41"/>
      <c r="J258" s="44" t="str">
        <f t="shared" si="6"/>
        <v/>
      </c>
      <c r="K258" s="80" t="str">
        <f t="shared" si="7"/>
        <v/>
      </c>
      <c r="L258" s="40"/>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row>
    <row r="259" spans="1:64" ht="14">
      <c r="A259" s="36"/>
      <c r="B259" s="37"/>
      <c r="C259" s="40"/>
      <c r="D259" s="79"/>
      <c r="E259" s="79"/>
      <c r="F259" s="79"/>
      <c r="G259" s="225"/>
      <c r="H259" s="225"/>
      <c r="I259" s="41"/>
      <c r="J259" s="44" t="str">
        <f t="shared" si="6"/>
        <v/>
      </c>
      <c r="K259" s="80" t="str">
        <f t="shared" si="7"/>
        <v/>
      </c>
      <c r="L259" s="40"/>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row>
    <row r="260" spans="1:64" ht="14">
      <c r="A260" s="36"/>
      <c r="B260" s="37"/>
      <c r="C260" s="40"/>
      <c r="D260" s="79"/>
      <c r="E260" s="79"/>
      <c r="F260" s="79"/>
      <c r="G260" s="225"/>
      <c r="H260" s="225"/>
      <c r="I260" s="41"/>
      <c r="J260" s="44" t="str">
        <f t="shared" si="6"/>
        <v/>
      </c>
      <c r="K260" s="80" t="str">
        <f t="shared" si="7"/>
        <v/>
      </c>
      <c r="L260" s="40"/>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row>
    <row r="261" spans="1:64" ht="14">
      <c r="A261" s="36"/>
      <c r="B261" s="37"/>
      <c r="C261" s="40"/>
      <c r="D261" s="79"/>
      <c r="E261" s="79"/>
      <c r="F261" s="79"/>
      <c r="G261" s="225"/>
      <c r="H261" s="225"/>
      <c r="I261" s="41"/>
      <c r="J261" s="44" t="str">
        <f t="shared" si="6"/>
        <v/>
      </c>
      <c r="K261" s="80" t="str">
        <f t="shared" si="7"/>
        <v/>
      </c>
      <c r="L261" s="40"/>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row>
    <row r="262" spans="1:64" ht="14">
      <c r="A262" s="36"/>
      <c r="B262" s="37"/>
      <c r="C262" s="40"/>
      <c r="D262" s="79"/>
      <c r="E262" s="79"/>
      <c r="F262" s="79"/>
      <c r="G262" s="225"/>
      <c r="H262" s="225"/>
      <c r="I262" s="41"/>
      <c r="J262" s="44" t="str">
        <f t="shared" si="6"/>
        <v/>
      </c>
      <c r="K262" s="80" t="str">
        <f t="shared" si="7"/>
        <v/>
      </c>
      <c r="L262" s="40"/>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row>
    <row r="263" spans="1:64" ht="14">
      <c r="A263" s="36"/>
      <c r="B263" s="37"/>
      <c r="C263" s="40"/>
      <c r="D263" s="79"/>
      <c r="E263" s="79"/>
      <c r="F263" s="79"/>
      <c r="G263" s="225"/>
      <c r="H263" s="225"/>
      <c r="I263" s="41"/>
      <c r="J263" s="44" t="str">
        <f t="shared" si="6"/>
        <v/>
      </c>
      <c r="K263" s="80" t="str">
        <f t="shared" si="7"/>
        <v/>
      </c>
      <c r="L263" s="40"/>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row>
    <row r="264" spans="1:64" ht="14">
      <c r="A264" s="36"/>
      <c r="B264" s="37"/>
      <c r="C264" s="40"/>
      <c r="D264" s="79"/>
      <c r="E264" s="79"/>
      <c r="F264" s="79"/>
      <c r="G264" s="225"/>
      <c r="H264" s="225"/>
      <c r="I264" s="41"/>
      <c r="J264" s="44" t="str">
        <f t="shared" si="6"/>
        <v/>
      </c>
      <c r="K264" s="80" t="str">
        <f t="shared" si="7"/>
        <v/>
      </c>
      <c r="L264" s="40"/>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row>
    <row r="265" spans="1:64" ht="14">
      <c r="A265" s="36"/>
      <c r="B265" s="37"/>
      <c r="C265" s="40"/>
      <c r="D265" s="79"/>
      <c r="E265" s="79"/>
      <c r="F265" s="79"/>
      <c r="G265" s="225"/>
      <c r="H265" s="225"/>
      <c r="I265" s="41"/>
      <c r="J265" s="44" t="str">
        <f t="shared" si="6"/>
        <v/>
      </c>
      <c r="K265" s="80" t="str">
        <f t="shared" si="7"/>
        <v/>
      </c>
      <c r="L265" s="40"/>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row>
    <row r="266" spans="1:64" ht="14">
      <c r="A266" s="36"/>
      <c r="B266" s="37"/>
      <c r="C266" s="40"/>
      <c r="D266" s="79"/>
      <c r="E266" s="79"/>
      <c r="F266" s="79"/>
      <c r="G266" s="225"/>
      <c r="H266" s="225"/>
      <c r="I266" s="41"/>
      <c r="J266" s="44" t="str">
        <f t="shared" si="6"/>
        <v/>
      </c>
      <c r="K266" s="80" t="str">
        <f t="shared" si="7"/>
        <v/>
      </c>
      <c r="L266" s="40"/>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row>
    <row r="267" spans="1:64" ht="14">
      <c r="A267" s="36"/>
      <c r="B267" s="37"/>
      <c r="C267" s="40"/>
      <c r="D267" s="79"/>
      <c r="E267" s="79"/>
      <c r="F267" s="79"/>
      <c r="G267" s="225"/>
      <c r="H267" s="225"/>
      <c r="I267" s="41"/>
      <c r="J267" s="44" t="str">
        <f t="shared" ref="J267:J330" si="8">IF($C267&lt;&gt;"",$E267*1.5,"")</f>
        <v/>
      </c>
      <c r="K267" s="80" t="str">
        <f t="shared" ref="K267:K330" si="9">IFERROR($J267/10,"")</f>
        <v/>
      </c>
      <c r="L267" s="40"/>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row>
    <row r="268" spans="1:64" ht="14">
      <c r="A268" s="36"/>
      <c r="B268" s="37"/>
      <c r="C268" s="40"/>
      <c r="D268" s="79"/>
      <c r="E268" s="79"/>
      <c r="F268" s="79"/>
      <c r="G268" s="225"/>
      <c r="H268" s="225"/>
      <c r="I268" s="41"/>
      <c r="J268" s="44" t="str">
        <f t="shared" si="8"/>
        <v/>
      </c>
      <c r="K268" s="80" t="str">
        <f t="shared" si="9"/>
        <v/>
      </c>
      <c r="L268" s="40"/>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row>
    <row r="269" spans="1:64" ht="14">
      <c r="A269" s="36"/>
      <c r="B269" s="37"/>
      <c r="C269" s="40"/>
      <c r="D269" s="79"/>
      <c r="E269" s="79"/>
      <c r="F269" s="79"/>
      <c r="G269" s="225"/>
      <c r="H269" s="225"/>
      <c r="I269" s="41"/>
      <c r="J269" s="44" t="str">
        <f t="shared" si="8"/>
        <v/>
      </c>
      <c r="K269" s="80" t="str">
        <f t="shared" si="9"/>
        <v/>
      </c>
      <c r="L269" s="40"/>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row>
    <row r="270" spans="1:64" ht="14">
      <c r="A270" s="36"/>
      <c r="B270" s="37"/>
      <c r="C270" s="40"/>
      <c r="D270" s="79"/>
      <c r="E270" s="79"/>
      <c r="F270" s="79"/>
      <c r="G270" s="225"/>
      <c r="H270" s="225"/>
      <c r="I270" s="41"/>
      <c r="J270" s="44" t="str">
        <f t="shared" si="8"/>
        <v/>
      </c>
      <c r="K270" s="80" t="str">
        <f t="shared" si="9"/>
        <v/>
      </c>
      <c r="L270" s="40"/>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row>
    <row r="271" spans="1:64" ht="14">
      <c r="A271" s="36"/>
      <c r="B271" s="37"/>
      <c r="C271" s="40"/>
      <c r="D271" s="79"/>
      <c r="E271" s="79"/>
      <c r="F271" s="79"/>
      <c r="G271" s="225"/>
      <c r="H271" s="225"/>
      <c r="I271" s="41"/>
      <c r="J271" s="44" t="str">
        <f t="shared" si="8"/>
        <v/>
      </c>
      <c r="K271" s="80" t="str">
        <f t="shared" si="9"/>
        <v/>
      </c>
      <c r="L271" s="40"/>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row>
    <row r="272" spans="1:64" ht="14">
      <c r="A272" s="36"/>
      <c r="B272" s="37"/>
      <c r="C272" s="40"/>
      <c r="D272" s="79"/>
      <c r="E272" s="79"/>
      <c r="F272" s="79"/>
      <c r="G272" s="225"/>
      <c r="H272" s="225"/>
      <c r="I272" s="41"/>
      <c r="J272" s="44" t="str">
        <f t="shared" si="8"/>
        <v/>
      </c>
      <c r="K272" s="80" t="str">
        <f t="shared" si="9"/>
        <v/>
      </c>
      <c r="L272" s="40"/>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row>
    <row r="273" spans="1:64" ht="14">
      <c r="A273" s="36"/>
      <c r="B273" s="37"/>
      <c r="C273" s="40"/>
      <c r="D273" s="79"/>
      <c r="E273" s="79"/>
      <c r="F273" s="79"/>
      <c r="G273" s="225"/>
      <c r="H273" s="225"/>
      <c r="I273" s="41"/>
      <c r="J273" s="44" t="str">
        <f t="shared" si="8"/>
        <v/>
      </c>
      <c r="K273" s="80" t="str">
        <f t="shared" si="9"/>
        <v/>
      </c>
      <c r="L273" s="40"/>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row>
    <row r="274" spans="1:64" ht="14">
      <c r="A274" s="36"/>
      <c r="B274" s="37"/>
      <c r="C274" s="40"/>
      <c r="D274" s="79"/>
      <c r="E274" s="79"/>
      <c r="F274" s="79"/>
      <c r="G274" s="225"/>
      <c r="H274" s="225"/>
      <c r="I274" s="41"/>
      <c r="J274" s="44" t="str">
        <f t="shared" si="8"/>
        <v/>
      </c>
      <c r="K274" s="80" t="str">
        <f t="shared" si="9"/>
        <v/>
      </c>
      <c r="L274" s="40"/>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row>
    <row r="275" spans="1:64" ht="14">
      <c r="A275" s="36"/>
      <c r="B275" s="37"/>
      <c r="C275" s="40"/>
      <c r="D275" s="79"/>
      <c r="E275" s="79"/>
      <c r="F275" s="79"/>
      <c r="G275" s="225"/>
      <c r="H275" s="225"/>
      <c r="I275" s="41"/>
      <c r="J275" s="44" t="str">
        <f t="shared" si="8"/>
        <v/>
      </c>
      <c r="K275" s="80" t="str">
        <f t="shared" si="9"/>
        <v/>
      </c>
      <c r="L275" s="40"/>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row>
    <row r="276" spans="1:64" ht="14">
      <c r="A276" s="36"/>
      <c r="B276" s="37"/>
      <c r="C276" s="40"/>
      <c r="D276" s="79"/>
      <c r="E276" s="79"/>
      <c r="F276" s="79"/>
      <c r="G276" s="225"/>
      <c r="H276" s="225"/>
      <c r="I276" s="41"/>
      <c r="J276" s="44" t="str">
        <f t="shared" si="8"/>
        <v/>
      </c>
      <c r="K276" s="80" t="str">
        <f t="shared" si="9"/>
        <v/>
      </c>
      <c r="L276" s="40"/>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row>
    <row r="277" spans="1:64" ht="14">
      <c r="A277" s="36"/>
      <c r="B277" s="37"/>
      <c r="C277" s="40"/>
      <c r="D277" s="79"/>
      <c r="E277" s="79"/>
      <c r="F277" s="79"/>
      <c r="G277" s="225"/>
      <c r="H277" s="225"/>
      <c r="I277" s="41"/>
      <c r="J277" s="44" t="str">
        <f t="shared" si="8"/>
        <v/>
      </c>
      <c r="K277" s="80" t="str">
        <f t="shared" si="9"/>
        <v/>
      </c>
      <c r="L277" s="40"/>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row>
    <row r="278" spans="1:64" ht="14">
      <c r="A278" s="36"/>
      <c r="B278" s="37"/>
      <c r="C278" s="40"/>
      <c r="D278" s="79"/>
      <c r="E278" s="79"/>
      <c r="F278" s="79"/>
      <c r="G278" s="225"/>
      <c r="H278" s="225"/>
      <c r="I278" s="41"/>
      <c r="J278" s="44" t="str">
        <f t="shared" si="8"/>
        <v/>
      </c>
      <c r="K278" s="80" t="str">
        <f t="shared" si="9"/>
        <v/>
      </c>
      <c r="L278" s="40"/>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row>
    <row r="279" spans="1:64" ht="14">
      <c r="A279" s="36"/>
      <c r="B279" s="37"/>
      <c r="C279" s="40"/>
      <c r="D279" s="79"/>
      <c r="E279" s="79"/>
      <c r="F279" s="79"/>
      <c r="G279" s="225"/>
      <c r="H279" s="225"/>
      <c r="I279" s="41"/>
      <c r="J279" s="44" t="str">
        <f t="shared" si="8"/>
        <v/>
      </c>
      <c r="K279" s="80" t="str">
        <f t="shared" si="9"/>
        <v/>
      </c>
      <c r="L279" s="40"/>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row>
    <row r="280" spans="1:64" ht="14">
      <c r="A280" s="36"/>
      <c r="B280" s="37"/>
      <c r="C280" s="40"/>
      <c r="D280" s="79"/>
      <c r="E280" s="79"/>
      <c r="F280" s="79"/>
      <c r="G280" s="225"/>
      <c r="H280" s="225"/>
      <c r="I280" s="41"/>
      <c r="J280" s="44" t="str">
        <f t="shared" si="8"/>
        <v/>
      </c>
      <c r="K280" s="80" t="str">
        <f t="shared" si="9"/>
        <v/>
      </c>
      <c r="L280" s="40"/>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row>
    <row r="281" spans="1:64" ht="14">
      <c r="A281" s="36"/>
      <c r="B281" s="37"/>
      <c r="C281" s="40"/>
      <c r="D281" s="79"/>
      <c r="E281" s="79"/>
      <c r="F281" s="79"/>
      <c r="G281" s="225"/>
      <c r="H281" s="225"/>
      <c r="I281" s="41"/>
      <c r="J281" s="44" t="str">
        <f t="shared" si="8"/>
        <v/>
      </c>
      <c r="K281" s="80" t="str">
        <f t="shared" si="9"/>
        <v/>
      </c>
      <c r="L281" s="40"/>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row>
    <row r="282" spans="1:64" ht="14">
      <c r="A282" s="36"/>
      <c r="B282" s="37"/>
      <c r="C282" s="40"/>
      <c r="D282" s="79"/>
      <c r="E282" s="79"/>
      <c r="F282" s="79"/>
      <c r="G282" s="225"/>
      <c r="H282" s="225"/>
      <c r="I282" s="41"/>
      <c r="J282" s="44" t="str">
        <f t="shared" si="8"/>
        <v/>
      </c>
      <c r="K282" s="80" t="str">
        <f t="shared" si="9"/>
        <v/>
      </c>
      <c r="L282" s="40"/>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row>
    <row r="283" spans="1:64" ht="14">
      <c r="A283" s="36"/>
      <c r="B283" s="37"/>
      <c r="C283" s="40"/>
      <c r="D283" s="79"/>
      <c r="E283" s="79"/>
      <c r="F283" s="79"/>
      <c r="G283" s="225"/>
      <c r="H283" s="225"/>
      <c r="I283" s="41"/>
      <c r="J283" s="44" t="str">
        <f t="shared" si="8"/>
        <v/>
      </c>
      <c r="K283" s="80" t="str">
        <f t="shared" si="9"/>
        <v/>
      </c>
      <c r="L283" s="40"/>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row>
    <row r="284" spans="1:64" ht="14">
      <c r="A284" s="36"/>
      <c r="B284" s="37"/>
      <c r="C284" s="40"/>
      <c r="D284" s="79"/>
      <c r="E284" s="79"/>
      <c r="F284" s="79"/>
      <c r="G284" s="225"/>
      <c r="H284" s="225"/>
      <c r="I284" s="41"/>
      <c r="J284" s="44" t="str">
        <f t="shared" si="8"/>
        <v/>
      </c>
      <c r="K284" s="80" t="str">
        <f t="shared" si="9"/>
        <v/>
      </c>
      <c r="L284" s="40"/>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row>
    <row r="285" spans="1:64" ht="14">
      <c r="A285" s="36"/>
      <c r="B285" s="37"/>
      <c r="C285" s="40"/>
      <c r="D285" s="79"/>
      <c r="E285" s="79"/>
      <c r="F285" s="79"/>
      <c r="G285" s="225"/>
      <c r="H285" s="225"/>
      <c r="I285" s="41"/>
      <c r="J285" s="44" t="str">
        <f t="shared" si="8"/>
        <v/>
      </c>
      <c r="K285" s="80" t="str">
        <f t="shared" si="9"/>
        <v/>
      </c>
      <c r="L285" s="40"/>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row>
    <row r="286" spans="1:64" ht="14">
      <c r="A286" s="36"/>
      <c r="B286" s="37"/>
      <c r="C286" s="40"/>
      <c r="D286" s="79"/>
      <c r="E286" s="79"/>
      <c r="F286" s="79"/>
      <c r="G286" s="225"/>
      <c r="H286" s="225"/>
      <c r="I286" s="41"/>
      <c r="J286" s="44" t="str">
        <f t="shared" si="8"/>
        <v/>
      </c>
      <c r="K286" s="80" t="str">
        <f t="shared" si="9"/>
        <v/>
      </c>
      <c r="L286" s="40"/>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row>
    <row r="287" spans="1:64" ht="14">
      <c r="A287" s="36"/>
      <c r="B287" s="37"/>
      <c r="C287" s="40"/>
      <c r="D287" s="79"/>
      <c r="E287" s="79"/>
      <c r="F287" s="79"/>
      <c r="G287" s="225"/>
      <c r="H287" s="225"/>
      <c r="I287" s="41"/>
      <c r="J287" s="44" t="str">
        <f t="shared" si="8"/>
        <v/>
      </c>
      <c r="K287" s="80" t="str">
        <f t="shared" si="9"/>
        <v/>
      </c>
      <c r="L287" s="40"/>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row>
    <row r="288" spans="1:64" ht="14">
      <c r="A288" s="36"/>
      <c r="B288" s="37"/>
      <c r="C288" s="40"/>
      <c r="D288" s="79"/>
      <c r="E288" s="79"/>
      <c r="F288" s="79"/>
      <c r="G288" s="225"/>
      <c r="H288" s="225"/>
      <c r="I288" s="41"/>
      <c r="J288" s="44" t="str">
        <f t="shared" si="8"/>
        <v/>
      </c>
      <c r="K288" s="80" t="str">
        <f t="shared" si="9"/>
        <v/>
      </c>
      <c r="L288" s="40"/>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row>
    <row r="289" spans="1:64" ht="14">
      <c r="A289" s="36"/>
      <c r="B289" s="37"/>
      <c r="C289" s="40"/>
      <c r="D289" s="79"/>
      <c r="E289" s="79"/>
      <c r="F289" s="79"/>
      <c r="G289" s="225"/>
      <c r="H289" s="225"/>
      <c r="I289" s="41"/>
      <c r="J289" s="44" t="str">
        <f t="shared" si="8"/>
        <v/>
      </c>
      <c r="K289" s="80" t="str">
        <f t="shared" si="9"/>
        <v/>
      </c>
      <c r="L289" s="40"/>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row>
    <row r="290" spans="1:64" ht="14">
      <c r="A290" s="36"/>
      <c r="B290" s="37"/>
      <c r="C290" s="40"/>
      <c r="D290" s="79"/>
      <c r="E290" s="79"/>
      <c r="F290" s="79"/>
      <c r="G290" s="225"/>
      <c r="H290" s="225"/>
      <c r="I290" s="41"/>
      <c r="J290" s="44" t="str">
        <f t="shared" si="8"/>
        <v/>
      </c>
      <c r="K290" s="80" t="str">
        <f t="shared" si="9"/>
        <v/>
      </c>
      <c r="L290" s="40"/>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row>
    <row r="291" spans="1:64" ht="14">
      <c r="A291" s="36"/>
      <c r="B291" s="37"/>
      <c r="C291" s="40"/>
      <c r="D291" s="79"/>
      <c r="E291" s="79"/>
      <c r="F291" s="79"/>
      <c r="G291" s="225"/>
      <c r="H291" s="225"/>
      <c r="I291" s="41"/>
      <c r="J291" s="44" t="str">
        <f t="shared" si="8"/>
        <v/>
      </c>
      <c r="K291" s="80" t="str">
        <f t="shared" si="9"/>
        <v/>
      </c>
      <c r="L291" s="40"/>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row>
    <row r="292" spans="1:64" ht="14">
      <c r="A292" s="36"/>
      <c r="B292" s="37"/>
      <c r="C292" s="40"/>
      <c r="D292" s="79"/>
      <c r="E292" s="79"/>
      <c r="F292" s="79"/>
      <c r="G292" s="225"/>
      <c r="H292" s="225"/>
      <c r="I292" s="41"/>
      <c r="J292" s="44" t="str">
        <f t="shared" si="8"/>
        <v/>
      </c>
      <c r="K292" s="80" t="str">
        <f t="shared" si="9"/>
        <v/>
      </c>
      <c r="L292" s="40"/>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row>
    <row r="293" spans="1:64" ht="14">
      <c r="A293" s="36"/>
      <c r="B293" s="37"/>
      <c r="C293" s="40"/>
      <c r="D293" s="79"/>
      <c r="E293" s="79"/>
      <c r="F293" s="79"/>
      <c r="G293" s="225"/>
      <c r="H293" s="225"/>
      <c r="I293" s="41"/>
      <c r="J293" s="44" t="str">
        <f t="shared" si="8"/>
        <v/>
      </c>
      <c r="K293" s="80" t="str">
        <f t="shared" si="9"/>
        <v/>
      </c>
      <c r="L293" s="40"/>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row>
    <row r="294" spans="1:64" ht="14">
      <c r="A294" s="36"/>
      <c r="B294" s="37"/>
      <c r="C294" s="40"/>
      <c r="D294" s="79"/>
      <c r="E294" s="79"/>
      <c r="F294" s="79"/>
      <c r="G294" s="225"/>
      <c r="H294" s="225"/>
      <c r="I294" s="41"/>
      <c r="J294" s="44" t="str">
        <f t="shared" si="8"/>
        <v/>
      </c>
      <c r="K294" s="80" t="str">
        <f t="shared" si="9"/>
        <v/>
      </c>
      <c r="L294" s="40"/>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row>
    <row r="295" spans="1:64" ht="14">
      <c r="A295" s="36"/>
      <c r="B295" s="37"/>
      <c r="C295" s="40"/>
      <c r="D295" s="79"/>
      <c r="E295" s="79"/>
      <c r="F295" s="79"/>
      <c r="G295" s="225"/>
      <c r="H295" s="225"/>
      <c r="I295" s="41"/>
      <c r="J295" s="44" t="str">
        <f t="shared" si="8"/>
        <v/>
      </c>
      <c r="K295" s="80" t="str">
        <f t="shared" si="9"/>
        <v/>
      </c>
      <c r="L295" s="40"/>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row>
    <row r="296" spans="1:64" ht="14">
      <c r="A296" s="36"/>
      <c r="B296" s="37"/>
      <c r="C296" s="40"/>
      <c r="D296" s="79"/>
      <c r="E296" s="79"/>
      <c r="F296" s="79"/>
      <c r="G296" s="225"/>
      <c r="H296" s="225"/>
      <c r="I296" s="41"/>
      <c r="J296" s="44" t="str">
        <f t="shared" si="8"/>
        <v/>
      </c>
      <c r="K296" s="80" t="str">
        <f t="shared" si="9"/>
        <v/>
      </c>
      <c r="L296" s="40"/>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row>
    <row r="297" spans="1:64" ht="14">
      <c r="A297" s="36"/>
      <c r="B297" s="37"/>
      <c r="C297" s="40"/>
      <c r="D297" s="79"/>
      <c r="E297" s="79"/>
      <c r="F297" s="79"/>
      <c r="G297" s="225"/>
      <c r="H297" s="225"/>
      <c r="I297" s="41"/>
      <c r="J297" s="44" t="str">
        <f t="shared" si="8"/>
        <v/>
      </c>
      <c r="K297" s="80" t="str">
        <f t="shared" si="9"/>
        <v/>
      </c>
      <c r="L297" s="40"/>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row>
    <row r="298" spans="1:64" ht="14">
      <c r="A298" s="36"/>
      <c r="B298" s="37"/>
      <c r="C298" s="40"/>
      <c r="D298" s="79"/>
      <c r="E298" s="79"/>
      <c r="F298" s="79"/>
      <c r="G298" s="225"/>
      <c r="H298" s="225"/>
      <c r="I298" s="41"/>
      <c r="J298" s="44" t="str">
        <f t="shared" si="8"/>
        <v/>
      </c>
      <c r="K298" s="80" t="str">
        <f t="shared" si="9"/>
        <v/>
      </c>
      <c r="L298" s="40"/>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row>
    <row r="299" spans="1:64" ht="14">
      <c r="A299" s="36"/>
      <c r="B299" s="37"/>
      <c r="C299" s="40"/>
      <c r="D299" s="79"/>
      <c r="E299" s="79"/>
      <c r="F299" s="79"/>
      <c r="G299" s="225"/>
      <c r="H299" s="225"/>
      <c r="I299" s="41"/>
      <c r="J299" s="44" t="str">
        <f t="shared" si="8"/>
        <v/>
      </c>
      <c r="K299" s="80" t="str">
        <f t="shared" si="9"/>
        <v/>
      </c>
      <c r="L299" s="40"/>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row>
    <row r="300" spans="1:64" ht="14">
      <c r="A300" s="36"/>
      <c r="B300" s="37"/>
      <c r="C300" s="40"/>
      <c r="D300" s="79"/>
      <c r="E300" s="79"/>
      <c r="F300" s="79"/>
      <c r="G300" s="225"/>
      <c r="H300" s="225"/>
      <c r="I300" s="41"/>
      <c r="J300" s="44" t="str">
        <f t="shared" si="8"/>
        <v/>
      </c>
      <c r="K300" s="80" t="str">
        <f t="shared" si="9"/>
        <v/>
      </c>
      <c r="L300" s="40"/>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row>
    <row r="301" spans="1:64" ht="14">
      <c r="A301" s="36"/>
      <c r="B301" s="37"/>
      <c r="C301" s="40"/>
      <c r="D301" s="79"/>
      <c r="E301" s="79"/>
      <c r="F301" s="79"/>
      <c r="G301" s="225"/>
      <c r="H301" s="225"/>
      <c r="I301" s="41"/>
      <c r="J301" s="44" t="str">
        <f t="shared" si="8"/>
        <v/>
      </c>
      <c r="K301" s="80" t="str">
        <f t="shared" si="9"/>
        <v/>
      </c>
      <c r="L301" s="40"/>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row>
    <row r="302" spans="1:64" ht="14">
      <c r="A302" s="36"/>
      <c r="B302" s="37"/>
      <c r="C302" s="40"/>
      <c r="D302" s="79"/>
      <c r="E302" s="79"/>
      <c r="F302" s="79"/>
      <c r="G302" s="225"/>
      <c r="H302" s="225"/>
      <c r="I302" s="41"/>
      <c r="J302" s="44" t="str">
        <f t="shared" si="8"/>
        <v/>
      </c>
      <c r="K302" s="80" t="str">
        <f t="shared" si="9"/>
        <v/>
      </c>
      <c r="L302" s="40"/>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row>
    <row r="303" spans="1:64" ht="14">
      <c r="A303" s="36"/>
      <c r="B303" s="37"/>
      <c r="C303" s="40"/>
      <c r="D303" s="79"/>
      <c r="E303" s="79"/>
      <c r="F303" s="79"/>
      <c r="G303" s="225"/>
      <c r="H303" s="225"/>
      <c r="I303" s="41"/>
      <c r="J303" s="44" t="str">
        <f t="shared" si="8"/>
        <v/>
      </c>
      <c r="K303" s="80" t="str">
        <f t="shared" si="9"/>
        <v/>
      </c>
      <c r="L303" s="40"/>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row>
    <row r="304" spans="1:64" ht="14">
      <c r="A304" s="36"/>
      <c r="B304" s="37"/>
      <c r="C304" s="40"/>
      <c r="D304" s="79"/>
      <c r="E304" s="79"/>
      <c r="F304" s="79"/>
      <c r="G304" s="225"/>
      <c r="H304" s="225"/>
      <c r="I304" s="41"/>
      <c r="J304" s="44" t="str">
        <f t="shared" si="8"/>
        <v/>
      </c>
      <c r="K304" s="80" t="str">
        <f t="shared" si="9"/>
        <v/>
      </c>
      <c r="L304" s="40"/>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row>
    <row r="305" spans="1:64" ht="14">
      <c r="A305" s="36"/>
      <c r="B305" s="37"/>
      <c r="C305" s="40"/>
      <c r="D305" s="79"/>
      <c r="E305" s="79"/>
      <c r="F305" s="79"/>
      <c r="G305" s="225"/>
      <c r="H305" s="225"/>
      <c r="I305" s="41"/>
      <c r="J305" s="44" t="str">
        <f t="shared" si="8"/>
        <v/>
      </c>
      <c r="K305" s="80" t="str">
        <f t="shared" si="9"/>
        <v/>
      </c>
      <c r="L305" s="40"/>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row>
    <row r="306" spans="1:64" ht="13.75" customHeight="1">
      <c r="A306" s="36"/>
      <c r="B306" s="37"/>
      <c r="C306" s="40"/>
      <c r="D306" s="79"/>
      <c r="E306" s="79"/>
      <c r="F306" s="79"/>
      <c r="G306" s="225" t="s">
        <v>86</v>
      </c>
      <c r="H306" s="225"/>
      <c r="I306" s="41"/>
      <c r="J306" s="44" t="str">
        <f t="shared" si="8"/>
        <v/>
      </c>
      <c r="K306" s="80" t="str">
        <f t="shared" si="9"/>
        <v/>
      </c>
      <c r="L306" s="40"/>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row>
    <row r="307" spans="1:64" ht="14">
      <c r="A307" s="36"/>
      <c r="B307" s="37"/>
      <c r="C307" s="40"/>
      <c r="D307" s="79"/>
      <c r="E307" s="79"/>
      <c r="F307" s="79"/>
      <c r="G307" s="225"/>
      <c r="H307" s="225"/>
      <c r="I307" s="41"/>
      <c r="J307" s="44" t="str">
        <f t="shared" si="8"/>
        <v/>
      </c>
      <c r="K307" s="80" t="str">
        <f t="shared" si="9"/>
        <v/>
      </c>
      <c r="L307" s="40"/>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row>
    <row r="308" spans="1:64" ht="14">
      <c r="A308" s="36"/>
      <c r="B308" s="37"/>
      <c r="C308" s="40"/>
      <c r="D308" s="79"/>
      <c r="E308" s="79"/>
      <c r="F308" s="79"/>
      <c r="G308" s="225"/>
      <c r="H308" s="225"/>
      <c r="I308" s="41"/>
      <c r="J308" s="44" t="str">
        <f t="shared" si="8"/>
        <v/>
      </c>
      <c r="K308" s="80" t="str">
        <f t="shared" si="9"/>
        <v/>
      </c>
      <c r="L308" s="40"/>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row>
    <row r="309" spans="1:64" ht="14">
      <c r="A309" s="36"/>
      <c r="B309" s="37"/>
      <c r="C309" s="40"/>
      <c r="D309" s="79"/>
      <c r="E309" s="79"/>
      <c r="F309" s="79"/>
      <c r="G309" s="225"/>
      <c r="H309" s="225"/>
      <c r="I309" s="41"/>
      <c r="J309" s="44" t="str">
        <f t="shared" si="8"/>
        <v/>
      </c>
      <c r="K309" s="80" t="str">
        <f t="shared" si="9"/>
        <v/>
      </c>
      <c r="L309" s="40"/>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row>
    <row r="310" spans="1:64" ht="14">
      <c r="A310" s="36"/>
      <c r="B310" s="37"/>
      <c r="C310" s="40"/>
      <c r="D310" s="79"/>
      <c r="E310" s="79"/>
      <c r="F310" s="79"/>
      <c r="G310" s="225"/>
      <c r="H310" s="225"/>
      <c r="I310" s="41"/>
      <c r="J310" s="44" t="str">
        <f t="shared" si="8"/>
        <v/>
      </c>
      <c r="K310" s="80" t="str">
        <f t="shared" si="9"/>
        <v/>
      </c>
      <c r="L310" s="40"/>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row>
    <row r="311" spans="1:64" ht="14">
      <c r="A311" s="36"/>
      <c r="B311" s="37"/>
      <c r="C311" s="40"/>
      <c r="D311" s="79"/>
      <c r="E311" s="79"/>
      <c r="F311" s="79"/>
      <c r="G311" s="225"/>
      <c r="H311" s="225"/>
      <c r="I311" s="41"/>
      <c r="J311" s="44" t="str">
        <f t="shared" si="8"/>
        <v/>
      </c>
      <c r="K311" s="80" t="str">
        <f t="shared" si="9"/>
        <v/>
      </c>
      <c r="L311" s="40"/>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row>
    <row r="312" spans="1:64" ht="14">
      <c r="A312" s="36"/>
      <c r="B312" s="37"/>
      <c r="C312" s="40"/>
      <c r="D312" s="79"/>
      <c r="E312" s="79"/>
      <c r="F312" s="79"/>
      <c r="G312" s="225"/>
      <c r="H312" s="225"/>
      <c r="I312" s="41"/>
      <c r="J312" s="44" t="str">
        <f t="shared" si="8"/>
        <v/>
      </c>
      <c r="K312" s="80" t="str">
        <f t="shared" si="9"/>
        <v/>
      </c>
      <c r="L312" s="40"/>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row>
    <row r="313" spans="1:64" ht="14">
      <c r="A313" s="36"/>
      <c r="B313" s="37"/>
      <c r="C313" s="40"/>
      <c r="D313" s="79"/>
      <c r="E313" s="79"/>
      <c r="F313" s="79"/>
      <c r="G313" s="225"/>
      <c r="H313" s="225"/>
      <c r="I313" s="41"/>
      <c r="J313" s="44" t="str">
        <f t="shared" si="8"/>
        <v/>
      </c>
      <c r="K313" s="80" t="str">
        <f t="shared" si="9"/>
        <v/>
      </c>
      <c r="L313" s="40"/>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row>
    <row r="314" spans="1:64" ht="14">
      <c r="A314" s="36"/>
      <c r="B314" s="37"/>
      <c r="C314" s="40"/>
      <c r="D314" s="79"/>
      <c r="E314" s="79"/>
      <c r="F314" s="79"/>
      <c r="G314" s="225"/>
      <c r="H314" s="225"/>
      <c r="I314" s="41"/>
      <c r="J314" s="44" t="str">
        <f t="shared" si="8"/>
        <v/>
      </c>
      <c r="K314" s="80" t="str">
        <f t="shared" si="9"/>
        <v/>
      </c>
      <c r="L314" s="40"/>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row>
    <row r="315" spans="1:64" ht="14">
      <c r="A315" s="36"/>
      <c r="B315" s="37"/>
      <c r="C315" s="40"/>
      <c r="D315" s="79"/>
      <c r="E315" s="79"/>
      <c r="F315" s="79"/>
      <c r="G315" s="225"/>
      <c r="H315" s="225"/>
      <c r="I315" s="41"/>
      <c r="J315" s="44" t="str">
        <f t="shared" si="8"/>
        <v/>
      </c>
      <c r="K315" s="80" t="str">
        <f t="shared" si="9"/>
        <v/>
      </c>
      <c r="L315" s="40"/>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row>
    <row r="316" spans="1:64" ht="14">
      <c r="A316" s="36"/>
      <c r="B316" s="37"/>
      <c r="C316" s="40"/>
      <c r="D316" s="79"/>
      <c r="E316" s="79"/>
      <c r="F316" s="79"/>
      <c r="G316" s="225"/>
      <c r="H316" s="225"/>
      <c r="I316" s="41"/>
      <c r="J316" s="44" t="str">
        <f t="shared" si="8"/>
        <v/>
      </c>
      <c r="K316" s="80" t="str">
        <f t="shared" si="9"/>
        <v/>
      </c>
      <c r="L316" s="40"/>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row>
    <row r="317" spans="1:64" ht="14">
      <c r="A317" s="36"/>
      <c r="B317" s="37"/>
      <c r="C317" s="40"/>
      <c r="D317" s="79"/>
      <c r="E317" s="79"/>
      <c r="F317" s="79"/>
      <c r="G317" s="225"/>
      <c r="H317" s="225"/>
      <c r="I317" s="41"/>
      <c r="J317" s="44" t="str">
        <f t="shared" si="8"/>
        <v/>
      </c>
      <c r="K317" s="80" t="str">
        <f t="shared" si="9"/>
        <v/>
      </c>
      <c r="L317" s="40"/>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row>
    <row r="318" spans="1:64" ht="14">
      <c r="A318" s="36"/>
      <c r="B318" s="37"/>
      <c r="C318" s="40"/>
      <c r="D318" s="79"/>
      <c r="E318" s="79"/>
      <c r="F318" s="79"/>
      <c r="G318" s="225"/>
      <c r="H318" s="225"/>
      <c r="I318" s="41"/>
      <c r="J318" s="44" t="str">
        <f t="shared" si="8"/>
        <v/>
      </c>
      <c r="K318" s="80" t="str">
        <f t="shared" si="9"/>
        <v/>
      </c>
      <c r="L318" s="40"/>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row>
    <row r="319" spans="1:64" ht="14">
      <c r="A319" s="36"/>
      <c r="B319" s="37"/>
      <c r="C319" s="40"/>
      <c r="D319" s="79"/>
      <c r="E319" s="79"/>
      <c r="F319" s="79"/>
      <c r="G319" s="225"/>
      <c r="H319" s="225"/>
      <c r="I319" s="41"/>
      <c r="J319" s="44" t="str">
        <f t="shared" si="8"/>
        <v/>
      </c>
      <c r="K319" s="80" t="str">
        <f t="shared" si="9"/>
        <v/>
      </c>
      <c r="L319" s="40"/>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row>
    <row r="320" spans="1:64" ht="14">
      <c r="A320" s="36"/>
      <c r="B320" s="37"/>
      <c r="C320" s="40"/>
      <c r="D320" s="79"/>
      <c r="E320" s="79"/>
      <c r="F320" s="79"/>
      <c r="G320" s="225"/>
      <c r="H320" s="225"/>
      <c r="I320" s="41"/>
      <c r="J320" s="44" t="str">
        <f t="shared" si="8"/>
        <v/>
      </c>
      <c r="K320" s="80" t="str">
        <f t="shared" si="9"/>
        <v/>
      </c>
      <c r="L320" s="40"/>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row>
    <row r="321" spans="1:64" ht="14">
      <c r="A321" s="36"/>
      <c r="B321" s="37"/>
      <c r="C321" s="40"/>
      <c r="D321" s="79"/>
      <c r="E321" s="79"/>
      <c r="F321" s="79"/>
      <c r="G321" s="225"/>
      <c r="H321" s="225"/>
      <c r="I321" s="41"/>
      <c r="J321" s="44" t="str">
        <f t="shared" si="8"/>
        <v/>
      </c>
      <c r="K321" s="80" t="str">
        <f t="shared" si="9"/>
        <v/>
      </c>
      <c r="L321" s="40"/>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row>
    <row r="322" spans="1:64" ht="14">
      <c r="A322" s="36"/>
      <c r="B322" s="37"/>
      <c r="C322" s="40"/>
      <c r="D322" s="79"/>
      <c r="E322" s="79"/>
      <c r="F322" s="79"/>
      <c r="G322" s="225"/>
      <c r="H322" s="225"/>
      <c r="I322" s="41"/>
      <c r="J322" s="44" t="str">
        <f t="shared" si="8"/>
        <v/>
      </c>
      <c r="K322" s="80" t="str">
        <f t="shared" si="9"/>
        <v/>
      </c>
      <c r="L322" s="40"/>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row>
    <row r="323" spans="1:64" ht="14">
      <c r="A323" s="36"/>
      <c r="B323" s="37"/>
      <c r="C323" s="40"/>
      <c r="D323" s="79"/>
      <c r="E323" s="79"/>
      <c r="F323" s="79"/>
      <c r="G323" s="225"/>
      <c r="H323" s="225"/>
      <c r="I323" s="81"/>
      <c r="J323" s="44" t="str">
        <f t="shared" si="8"/>
        <v/>
      </c>
      <c r="K323" s="80" t="str">
        <f t="shared" si="9"/>
        <v/>
      </c>
      <c r="L323" s="40"/>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row>
    <row r="324" spans="1:64" ht="14">
      <c r="A324" s="36"/>
      <c r="B324" s="37"/>
      <c r="C324" s="40"/>
      <c r="D324" s="79"/>
      <c r="E324" s="79"/>
      <c r="F324" s="79"/>
      <c r="G324" s="225"/>
      <c r="H324" s="225"/>
      <c r="I324" s="81"/>
      <c r="J324" s="44" t="str">
        <f t="shared" si="8"/>
        <v/>
      </c>
      <c r="K324" s="80" t="str">
        <f t="shared" si="9"/>
        <v/>
      </c>
      <c r="L324" s="40"/>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row>
    <row r="325" spans="1:64" ht="14">
      <c r="A325" s="36"/>
      <c r="B325" s="37"/>
      <c r="C325" s="40"/>
      <c r="D325" s="79"/>
      <c r="E325" s="79"/>
      <c r="F325" s="79"/>
      <c r="G325" s="225"/>
      <c r="H325" s="225"/>
      <c r="I325" s="41"/>
      <c r="J325" s="44" t="str">
        <f t="shared" si="8"/>
        <v/>
      </c>
      <c r="K325" s="80" t="str">
        <f t="shared" si="9"/>
        <v/>
      </c>
      <c r="L325" s="40"/>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row>
    <row r="326" spans="1:64" ht="14">
      <c r="A326" s="36"/>
      <c r="B326" s="37"/>
      <c r="C326" s="40"/>
      <c r="D326" s="79"/>
      <c r="E326" s="79"/>
      <c r="F326" s="79"/>
      <c r="G326" s="225"/>
      <c r="H326" s="225"/>
      <c r="I326" s="41"/>
      <c r="J326" s="44" t="str">
        <f t="shared" si="8"/>
        <v/>
      </c>
      <c r="K326" s="80" t="str">
        <f t="shared" si="9"/>
        <v/>
      </c>
      <c r="L326" s="40"/>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row>
    <row r="327" spans="1:64" ht="14">
      <c r="A327" s="36"/>
      <c r="B327" s="37"/>
      <c r="C327" s="40"/>
      <c r="D327" s="79"/>
      <c r="E327" s="79"/>
      <c r="F327" s="79"/>
      <c r="G327" s="225"/>
      <c r="H327" s="225"/>
      <c r="I327" s="41"/>
      <c r="J327" s="44" t="str">
        <f t="shared" si="8"/>
        <v/>
      </c>
      <c r="K327" s="80" t="str">
        <f t="shared" si="9"/>
        <v/>
      </c>
      <c r="L327" s="40"/>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row>
    <row r="328" spans="1:64" ht="14">
      <c r="A328" s="36"/>
      <c r="B328" s="37"/>
      <c r="C328" s="40"/>
      <c r="D328" s="79"/>
      <c r="E328" s="79"/>
      <c r="F328" s="79"/>
      <c r="G328" s="225"/>
      <c r="H328" s="225"/>
      <c r="I328" s="41"/>
      <c r="J328" s="44" t="str">
        <f t="shared" si="8"/>
        <v/>
      </c>
      <c r="K328" s="80" t="str">
        <f t="shared" si="9"/>
        <v/>
      </c>
      <c r="L328" s="40"/>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row>
    <row r="329" spans="1:64" ht="14">
      <c r="A329" s="36"/>
      <c r="B329" s="37"/>
      <c r="C329" s="40"/>
      <c r="D329" s="79"/>
      <c r="E329" s="79"/>
      <c r="F329" s="79"/>
      <c r="G329" s="225"/>
      <c r="H329" s="225"/>
      <c r="I329" s="41"/>
      <c r="J329" s="44" t="str">
        <f t="shared" si="8"/>
        <v/>
      </c>
      <c r="K329" s="80" t="str">
        <f t="shared" si="9"/>
        <v/>
      </c>
      <c r="L329" s="40"/>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row>
    <row r="330" spans="1:64" ht="14">
      <c r="A330" s="36"/>
      <c r="B330" s="37"/>
      <c r="C330" s="40"/>
      <c r="D330" s="79"/>
      <c r="E330" s="79"/>
      <c r="F330" s="79"/>
      <c r="G330" s="225"/>
      <c r="H330" s="225"/>
      <c r="I330" s="41"/>
      <c r="J330" s="44" t="str">
        <f t="shared" si="8"/>
        <v/>
      </c>
      <c r="K330" s="80" t="str">
        <f t="shared" si="9"/>
        <v/>
      </c>
      <c r="L330" s="40"/>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row>
    <row r="331" spans="1:64" ht="14">
      <c r="A331" s="36"/>
      <c r="B331" s="37"/>
      <c r="C331" s="40"/>
      <c r="D331" s="79"/>
      <c r="E331" s="79"/>
      <c r="F331" s="79"/>
      <c r="G331" s="225"/>
      <c r="H331" s="225"/>
      <c r="I331" s="41"/>
      <c r="J331" s="44" t="str">
        <f t="shared" ref="J331:J394" si="10">IF($C331&lt;&gt;"",$E331*1.5,"")</f>
        <v/>
      </c>
      <c r="K331" s="80" t="str">
        <f t="shared" ref="K331:K394" si="11">IFERROR($J331/10,"")</f>
        <v/>
      </c>
      <c r="L331" s="40"/>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row>
    <row r="332" spans="1:64" ht="14">
      <c r="A332" s="36"/>
      <c r="B332" s="37"/>
      <c r="C332" s="40"/>
      <c r="D332" s="79"/>
      <c r="E332" s="79"/>
      <c r="F332" s="79"/>
      <c r="G332" s="225"/>
      <c r="H332" s="225"/>
      <c r="I332" s="41"/>
      <c r="J332" s="44" t="str">
        <f t="shared" si="10"/>
        <v/>
      </c>
      <c r="K332" s="80" t="str">
        <f t="shared" si="11"/>
        <v/>
      </c>
      <c r="L332" s="40"/>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row>
    <row r="333" spans="1:64" ht="14">
      <c r="A333" s="36"/>
      <c r="B333" s="37"/>
      <c r="C333" s="40"/>
      <c r="D333" s="79"/>
      <c r="E333" s="79"/>
      <c r="F333" s="79"/>
      <c r="G333" s="225"/>
      <c r="H333" s="225"/>
      <c r="I333" s="41"/>
      <c r="J333" s="44" t="str">
        <f t="shared" si="10"/>
        <v/>
      </c>
      <c r="K333" s="80" t="str">
        <f t="shared" si="11"/>
        <v/>
      </c>
      <c r="L333" s="40"/>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row>
    <row r="334" spans="1:64" ht="14">
      <c r="A334" s="36"/>
      <c r="B334" s="37"/>
      <c r="C334" s="40"/>
      <c r="D334" s="79"/>
      <c r="E334" s="79"/>
      <c r="F334" s="79"/>
      <c r="G334" s="225"/>
      <c r="H334" s="225"/>
      <c r="I334" s="41"/>
      <c r="J334" s="44" t="str">
        <f t="shared" si="10"/>
        <v/>
      </c>
      <c r="K334" s="80" t="str">
        <f t="shared" si="11"/>
        <v/>
      </c>
      <c r="L334" s="40"/>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row>
    <row r="335" spans="1:64" ht="14">
      <c r="A335" s="36"/>
      <c r="B335" s="37"/>
      <c r="C335" s="40"/>
      <c r="D335" s="79"/>
      <c r="E335" s="79"/>
      <c r="F335" s="79"/>
      <c r="G335" s="225"/>
      <c r="H335" s="225"/>
      <c r="I335" s="41"/>
      <c r="J335" s="44" t="str">
        <f t="shared" si="10"/>
        <v/>
      </c>
      <c r="K335" s="80" t="str">
        <f t="shared" si="11"/>
        <v/>
      </c>
      <c r="L335" s="40"/>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row>
    <row r="336" spans="1:64" ht="14">
      <c r="A336" s="36"/>
      <c r="B336" s="37"/>
      <c r="C336" s="40"/>
      <c r="D336" s="79"/>
      <c r="E336" s="79"/>
      <c r="F336" s="79"/>
      <c r="G336" s="225"/>
      <c r="H336" s="225"/>
      <c r="I336" s="41"/>
      <c r="J336" s="44" t="str">
        <f t="shared" si="10"/>
        <v/>
      </c>
      <c r="K336" s="80" t="str">
        <f t="shared" si="11"/>
        <v/>
      </c>
      <c r="L336" s="40"/>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row>
    <row r="337" spans="1:64" ht="14">
      <c r="A337" s="36"/>
      <c r="B337" s="37"/>
      <c r="C337" s="40"/>
      <c r="D337" s="79"/>
      <c r="E337" s="79"/>
      <c r="F337" s="79"/>
      <c r="G337" s="225"/>
      <c r="H337" s="225"/>
      <c r="I337" s="41"/>
      <c r="J337" s="44" t="str">
        <f t="shared" si="10"/>
        <v/>
      </c>
      <c r="K337" s="80" t="str">
        <f t="shared" si="11"/>
        <v/>
      </c>
      <c r="L337" s="40"/>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row>
    <row r="338" spans="1:64" ht="14">
      <c r="A338" s="36"/>
      <c r="B338" s="37"/>
      <c r="C338" s="40"/>
      <c r="D338" s="79"/>
      <c r="E338" s="79"/>
      <c r="F338" s="79"/>
      <c r="G338" s="225"/>
      <c r="H338" s="225"/>
      <c r="I338" s="41"/>
      <c r="J338" s="44" t="str">
        <f t="shared" si="10"/>
        <v/>
      </c>
      <c r="K338" s="80" t="str">
        <f t="shared" si="11"/>
        <v/>
      </c>
      <c r="L338" s="40"/>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row>
    <row r="339" spans="1:64" ht="14">
      <c r="A339" s="36"/>
      <c r="B339" s="37"/>
      <c r="C339" s="40"/>
      <c r="D339" s="79"/>
      <c r="E339" s="79"/>
      <c r="F339" s="79"/>
      <c r="G339" s="225"/>
      <c r="H339" s="225"/>
      <c r="I339" s="41"/>
      <c r="J339" s="44" t="str">
        <f t="shared" si="10"/>
        <v/>
      </c>
      <c r="K339" s="80" t="str">
        <f t="shared" si="11"/>
        <v/>
      </c>
      <c r="L339" s="40"/>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row>
    <row r="340" spans="1:64" ht="14">
      <c r="A340" s="36"/>
      <c r="B340" s="37"/>
      <c r="C340" s="40"/>
      <c r="D340" s="79"/>
      <c r="E340" s="79"/>
      <c r="F340" s="79"/>
      <c r="G340" s="225"/>
      <c r="H340" s="225"/>
      <c r="I340" s="41"/>
      <c r="J340" s="44" t="str">
        <f t="shared" si="10"/>
        <v/>
      </c>
      <c r="K340" s="80" t="str">
        <f t="shared" si="11"/>
        <v/>
      </c>
      <c r="L340" s="40"/>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row>
    <row r="341" spans="1:64" ht="14">
      <c r="A341" s="36"/>
      <c r="B341" s="37"/>
      <c r="C341" s="40"/>
      <c r="D341" s="79"/>
      <c r="E341" s="79"/>
      <c r="F341" s="79"/>
      <c r="G341" s="225"/>
      <c r="H341" s="225"/>
      <c r="I341" s="41"/>
      <c r="J341" s="44" t="str">
        <f t="shared" si="10"/>
        <v/>
      </c>
      <c r="K341" s="80" t="str">
        <f t="shared" si="11"/>
        <v/>
      </c>
      <c r="L341" s="40"/>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row>
    <row r="342" spans="1:64" ht="14">
      <c r="A342" s="36"/>
      <c r="B342" s="37"/>
      <c r="C342" s="40"/>
      <c r="D342" s="79"/>
      <c r="E342" s="79"/>
      <c r="F342" s="79"/>
      <c r="G342" s="225"/>
      <c r="H342" s="225"/>
      <c r="I342" s="41"/>
      <c r="J342" s="44" t="str">
        <f t="shared" si="10"/>
        <v/>
      </c>
      <c r="K342" s="80" t="str">
        <f t="shared" si="11"/>
        <v/>
      </c>
      <c r="L342" s="40"/>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row>
    <row r="343" spans="1:64" ht="14">
      <c r="A343" s="36"/>
      <c r="B343" s="37"/>
      <c r="C343" s="40"/>
      <c r="D343" s="79"/>
      <c r="E343" s="79"/>
      <c r="F343" s="79"/>
      <c r="G343" s="225"/>
      <c r="H343" s="225"/>
      <c r="I343" s="41"/>
      <c r="J343" s="44" t="str">
        <f t="shared" si="10"/>
        <v/>
      </c>
      <c r="K343" s="80" t="str">
        <f t="shared" si="11"/>
        <v/>
      </c>
      <c r="L343" s="40"/>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c r="BD343" s="36"/>
      <c r="BE343" s="36"/>
      <c r="BF343" s="36"/>
      <c r="BG343" s="36"/>
      <c r="BH343" s="36"/>
      <c r="BI343" s="36"/>
      <c r="BJ343" s="36"/>
      <c r="BK343" s="36"/>
      <c r="BL343" s="36"/>
    </row>
    <row r="344" spans="1:64" ht="14">
      <c r="A344" s="36"/>
      <c r="B344" s="37"/>
      <c r="C344" s="40"/>
      <c r="D344" s="79"/>
      <c r="E344" s="79"/>
      <c r="F344" s="79"/>
      <c r="G344" s="225"/>
      <c r="H344" s="225"/>
      <c r="I344" s="41"/>
      <c r="J344" s="44" t="str">
        <f t="shared" si="10"/>
        <v/>
      </c>
      <c r="K344" s="80" t="str">
        <f t="shared" si="11"/>
        <v/>
      </c>
      <c r="L344" s="40"/>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row>
    <row r="345" spans="1:64" ht="14">
      <c r="A345" s="36"/>
      <c r="B345" s="37"/>
      <c r="C345" s="40"/>
      <c r="D345" s="79"/>
      <c r="E345" s="79"/>
      <c r="F345" s="79"/>
      <c r="G345" s="225"/>
      <c r="H345" s="225"/>
      <c r="I345" s="41"/>
      <c r="J345" s="44" t="str">
        <f t="shared" si="10"/>
        <v/>
      </c>
      <c r="K345" s="80" t="str">
        <f t="shared" si="11"/>
        <v/>
      </c>
      <c r="L345" s="40"/>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row>
    <row r="346" spans="1:64" ht="14">
      <c r="A346" s="36"/>
      <c r="B346" s="37"/>
      <c r="C346" s="40"/>
      <c r="D346" s="79"/>
      <c r="E346" s="79"/>
      <c r="F346" s="79"/>
      <c r="G346" s="225"/>
      <c r="H346" s="225"/>
      <c r="I346" s="41"/>
      <c r="J346" s="44" t="str">
        <f t="shared" si="10"/>
        <v/>
      </c>
      <c r="K346" s="80" t="str">
        <f t="shared" si="11"/>
        <v/>
      </c>
      <c r="L346" s="40"/>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row>
    <row r="347" spans="1:64" ht="14">
      <c r="A347" s="36"/>
      <c r="B347" s="37"/>
      <c r="C347" s="40"/>
      <c r="D347" s="79"/>
      <c r="E347" s="79"/>
      <c r="F347" s="79"/>
      <c r="G347" s="225"/>
      <c r="H347" s="225"/>
      <c r="I347" s="41"/>
      <c r="J347" s="44" t="str">
        <f t="shared" si="10"/>
        <v/>
      </c>
      <c r="K347" s="80" t="str">
        <f t="shared" si="11"/>
        <v/>
      </c>
      <c r="L347" s="40"/>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row>
    <row r="348" spans="1:64" ht="14">
      <c r="A348" s="36"/>
      <c r="B348" s="37"/>
      <c r="C348" s="40"/>
      <c r="D348" s="79"/>
      <c r="E348" s="79"/>
      <c r="F348" s="79"/>
      <c r="G348" s="225"/>
      <c r="H348" s="225"/>
      <c r="I348" s="41"/>
      <c r="J348" s="44" t="str">
        <f t="shared" si="10"/>
        <v/>
      </c>
      <c r="K348" s="80" t="str">
        <f t="shared" si="11"/>
        <v/>
      </c>
      <c r="L348" s="40"/>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row>
    <row r="349" spans="1:64" ht="14">
      <c r="A349" s="36"/>
      <c r="B349" s="37"/>
      <c r="C349" s="40"/>
      <c r="D349" s="79"/>
      <c r="E349" s="79"/>
      <c r="F349" s="79"/>
      <c r="G349" s="225"/>
      <c r="H349" s="225"/>
      <c r="I349" s="41"/>
      <c r="J349" s="44" t="str">
        <f t="shared" si="10"/>
        <v/>
      </c>
      <c r="K349" s="80" t="str">
        <f t="shared" si="11"/>
        <v/>
      </c>
      <c r="L349" s="40"/>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row>
    <row r="350" spans="1:64" ht="14">
      <c r="A350" s="36"/>
      <c r="B350" s="37"/>
      <c r="C350" s="40"/>
      <c r="D350" s="79"/>
      <c r="E350" s="79"/>
      <c r="F350" s="79"/>
      <c r="G350" s="225"/>
      <c r="H350" s="225"/>
      <c r="I350" s="41"/>
      <c r="J350" s="44" t="str">
        <f t="shared" si="10"/>
        <v/>
      </c>
      <c r="K350" s="80" t="str">
        <f t="shared" si="11"/>
        <v/>
      </c>
      <c r="L350" s="40"/>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row>
    <row r="351" spans="1:64" ht="14">
      <c r="A351" s="36"/>
      <c r="B351" s="37"/>
      <c r="C351" s="40"/>
      <c r="D351" s="79"/>
      <c r="E351" s="79"/>
      <c r="F351" s="79"/>
      <c r="G351" s="225"/>
      <c r="H351" s="225"/>
      <c r="I351" s="41"/>
      <c r="J351" s="44" t="str">
        <f t="shared" si="10"/>
        <v/>
      </c>
      <c r="K351" s="80" t="str">
        <f t="shared" si="11"/>
        <v/>
      </c>
      <c r="L351" s="40"/>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row>
    <row r="352" spans="1:64" ht="14">
      <c r="A352" s="36"/>
      <c r="B352" s="37"/>
      <c r="C352" s="40"/>
      <c r="D352" s="79"/>
      <c r="E352" s="79"/>
      <c r="F352" s="79"/>
      <c r="G352" s="225"/>
      <c r="H352" s="225"/>
      <c r="I352" s="41"/>
      <c r="J352" s="44" t="str">
        <f t="shared" si="10"/>
        <v/>
      </c>
      <c r="K352" s="80" t="str">
        <f t="shared" si="11"/>
        <v/>
      </c>
      <c r="L352" s="40"/>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row>
    <row r="353" spans="1:64" ht="14">
      <c r="A353" s="36"/>
      <c r="B353" s="37"/>
      <c r="C353" s="40"/>
      <c r="D353" s="79"/>
      <c r="E353" s="79"/>
      <c r="F353" s="79"/>
      <c r="G353" s="225"/>
      <c r="H353" s="225"/>
      <c r="I353" s="41"/>
      <c r="J353" s="44" t="str">
        <f t="shared" si="10"/>
        <v/>
      </c>
      <c r="K353" s="80" t="str">
        <f t="shared" si="11"/>
        <v/>
      </c>
      <c r="L353" s="40"/>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row>
    <row r="354" spans="1:64" ht="14">
      <c r="A354" s="36"/>
      <c r="B354" s="37"/>
      <c r="C354" s="40"/>
      <c r="D354" s="79"/>
      <c r="E354" s="79"/>
      <c r="F354" s="79"/>
      <c r="G354" s="225"/>
      <c r="H354" s="225"/>
      <c r="I354" s="41"/>
      <c r="J354" s="44" t="str">
        <f t="shared" si="10"/>
        <v/>
      </c>
      <c r="K354" s="80" t="str">
        <f t="shared" si="11"/>
        <v/>
      </c>
      <c r="L354" s="40"/>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row>
    <row r="355" spans="1:64" ht="14">
      <c r="A355" s="36"/>
      <c r="B355" s="37"/>
      <c r="C355" s="40"/>
      <c r="D355" s="79"/>
      <c r="E355" s="79"/>
      <c r="F355" s="79"/>
      <c r="G355" s="225"/>
      <c r="H355" s="225"/>
      <c r="I355" s="41"/>
      <c r="J355" s="44" t="str">
        <f t="shared" si="10"/>
        <v/>
      </c>
      <c r="K355" s="80" t="str">
        <f t="shared" si="11"/>
        <v/>
      </c>
      <c r="L355" s="40"/>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row>
    <row r="356" spans="1:64" ht="14">
      <c r="A356" s="36"/>
      <c r="B356" s="37"/>
      <c r="C356" s="40"/>
      <c r="D356" s="79"/>
      <c r="E356" s="79"/>
      <c r="F356" s="79"/>
      <c r="G356" s="225"/>
      <c r="H356" s="225"/>
      <c r="I356" s="41"/>
      <c r="J356" s="44" t="str">
        <f t="shared" si="10"/>
        <v/>
      </c>
      <c r="K356" s="80" t="str">
        <f t="shared" si="11"/>
        <v/>
      </c>
      <c r="L356" s="40"/>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row>
    <row r="357" spans="1:64" ht="14">
      <c r="A357" s="36"/>
      <c r="B357" s="37"/>
      <c r="C357" s="40"/>
      <c r="D357" s="79"/>
      <c r="E357" s="79"/>
      <c r="F357" s="79"/>
      <c r="G357" s="225"/>
      <c r="H357" s="225"/>
      <c r="I357" s="41"/>
      <c r="J357" s="44" t="str">
        <f t="shared" si="10"/>
        <v/>
      </c>
      <c r="K357" s="80" t="str">
        <f t="shared" si="11"/>
        <v/>
      </c>
      <c r="L357" s="40"/>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row>
    <row r="358" spans="1:64" ht="14">
      <c r="A358" s="36"/>
      <c r="B358" s="37"/>
      <c r="C358" s="40"/>
      <c r="D358" s="79"/>
      <c r="E358" s="79"/>
      <c r="F358" s="79"/>
      <c r="G358" s="225"/>
      <c r="H358" s="225"/>
      <c r="I358" s="41"/>
      <c r="J358" s="44" t="str">
        <f t="shared" si="10"/>
        <v/>
      </c>
      <c r="K358" s="80" t="str">
        <f t="shared" si="11"/>
        <v/>
      </c>
      <c r="L358" s="40"/>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c r="BD358" s="36"/>
      <c r="BE358" s="36"/>
      <c r="BF358" s="36"/>
      <c r="BG358" s="36"/>
      <c r="BH358" s="36"/>
      <c r="BI358" s="36"/>
      <c r="BJ358" s="36"/>
      <c r="BK358" s="36"/>
      <c r="BL358" s="36"/>
    </row>
    <row r="359" spans="1:64" ht="14">
      <c r="A359" s="36"/>
      <c r="B359" s="37"/>
      <c r="C359" s="40"/>
      <c r="D359" s="79"/>
      <c r="E359" s="79"/>
      <c r="F359" s="79"/>
      <c r="G359" s="225"/>
      <c r="H359" s="225"/>
      <c r="I359" s="41"/>
      <c r="J359" s="44" t="str">
        <f t="shared" si="10"/>
        <v/>
      </c>
      <c r="K359" s="80" t="str">
        <f t="shared" si="11"/>
        <v/>
      </c>
      <c r="L359" s="40"/>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c r="BD359" s="36"/>
      <c r="BE359" s="36"/>
      <c r="BF359" s="36"/>
      <c r="BG359" s="36"/>
      <c r="BH359" s="36"/>
      <c r="BI359" s="36"/>
      <c r="BJ359" s="36"/>
      <c r="BK359" s="36"/>
      <c r="BL359" s="36"/>
    </row>
    <row r="360" spans="1:64" ht="14">
      <c r="A360" s="36"/>
      <c r="B360" s="37"/>
      <c r="C360" s="40"/>
      <c r="D360" s="79"/>
      <c r="E360" s="79"/>
      <c r="F360" s="79"/>
      <c r="G360" s="225"/>
      <c r="H360" s="225"/>
      <c r="I360" s="41"/>
      <c r="J360" s="44" t="str">
        <f t="shared" si="10"/>
        <v/>
      </c>
      <c r="K360" s="80" t="str">
        <f t="shared" si="11"/>
        <v/>
      </c>
      <c r="L360" s="40"/>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row>
    <row r="361" spans="1:64" ht="14">
      <c r="A361" s="36"/>
      <c r="B361" s="37"/>
      <c r="C361" s="40"/>
      <c r="D361" s="79"/>
      <c r="E361" s="79"/>
      <c r="F361" s="79"/>
      <c r="G361" s="225"/>
      <c r="H361" s="225"/>
      <c r="I361" s="41"/>
      <c r="J361" s="44" t="str">
        <f t="shared" si="10"/>
        <v/>
      </c>
      <c r="K361" s="80" t="str">
        <f t="shared" si="11"/>
        <v/>
      </c>
      <c r="L361" s="40"/>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row>
    <row r="362" spans="1:64" ht="14">
      <c r="A362" s="36"/>
      <c r="B362" s="37"/>
      <c r="C362" s="40"/>
      <c r="D362" s="79"/>
      <c r="E362" s="79"/>
      <c r="F362" s="79"/>
      <c r="G362" s="225"/>
      <c r="H362" s="225"/>
      <c r="I362" s="41"/>
      <c r="J362" s="44" t="str">
        <f t="shared" si="10"/>
        <v/>
      </c>
      <c r="K362" s="80" t="str">
        <f t="shared" si="11"/>
        <v/>
      </c>
      <c r="L362" s="40"/>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row>
    <row r="363" spans="1:64" ht="14">
      <c r="A363" s="36"/>
      <c r="B363" s="37"/>
      <c r="C363" s="40"/>
      <c r="D363" s="79"/>
      <c r="E363" s="79"/>
      <c r="F363" s="79"/>
      <c r="G363" s="225"/>
      <c r="H363" s="225"/>
      <c r="I363" s="41"/>
      <c r="J363" s="44" t="str">
        <f t="shared" si="10"/>
        <v/>
      </c>
      <c r="K363" s="80" t="str">
        <f t="shared" si="11"/>
        <v/>
      </c>
      <c r="L363" s="40"/>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row>
    <row r="364" spans="1:64" ht="14">
      <c r="A364" s="36"/>
      <c r="B364" s="37"/>
      <c r="C364" s="40"/>
      <c r="D364" s="79"/>
      <c r="E364" s="79"/>
      <c r="F364" s="79"/>
      <c r="G364" s="225"/>
      <c r="H364" s="225"/>
      <c r="I364" s="41"/>
      <c r="J364" s="44" t="str">
        <f t="shared" si="10"/>
        <v/>
      </c>
      <c r="K364" s="80" t="str">
        <f t="shared" si="11"/>
        <v/>
      </c>
      <c r="L364" s="40"/>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c r="BD364" s="36"/>
      <c r="BE364" s="36"/>
      <c r="BF364" s="36"/>
      <c r="BG364" s="36"/>
      <c r="BH364" s="36"/>
      <c r="BI364" s="36"/>
      <c r="BJ364" s="36"/>
      <c r="BK364" s="36"/>
      <c r="BL364" s="36"/>
    </row>
    <row r="365" spans="1:64" ht="14">
      <c r="A365" s="36"/>
      <c r="B365" s="37"/>
      <c r="C365" s="40"/>
      <c r="D365" s="79"/>
      <c r="E365" s="79"/>
      <c r="F365" s="79"/>
      <c r="G365" s="225"/>
      <c r="H365" s="225"/>
      <c r="I365" s="41"/>
      <c r="J365" s="44" t="str">
        <f t="shared" si="10"/>
        <v/>
      </c>
      <c r="K365" s="80" t="str">
        <f t="shared" si="11"/>
        <v/>
      </c>
      <c r="L365" s="40"/>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c r="BD365" s="36"/>
      <c r="BE365" s="36"/>
      <c r="BF365" s="36"/>
      <c r="BG365" s="36"/>
      <c r="BH365" s="36"/>
      <c r="BI365" s="36"/>
      <c r="BJ365" s="36"/>
      <c r="BK365" s="36"/>
      <c r="BL365" s="36"/>
    </row>
    <row r="366" spans="1:64" ht="14">
      <c r="A366" s="36"/>
      <c r="B366" s="37"/>
      <c r="C366" s="40"/>
      <c r="D366" s="79"/>
      <c r="E366" s="79"/>
      <c r="F366" s="79"/>
      <c r="G366" s="225"/>
      <c r="H366" s="225"/>
      <c r="I366" s="41"/>
      <c r="J366" s="44" t="str">
        <f t="shared" si="10"/>
        <v/>
      </c>
      <c r="K366" s="80" t="str">
        <f t="shared" si="11"/>
        <v/>
      </c>
      <c r="L366" s="40"/>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c r="BD366" s="36"/>
      <c r="BE366" s="36"/>
      <c r="BF366" s="36"/>
      <c r="BG366" s="36"/>
      <c r="BH366" s="36"/>
      <c r="BI366" s="36"/>
      <c r="BJ366" s="36"/>
      <c r="BK366" s="36"/>
      <c r="BL366" s="36"/>
    </row>
    <row r="367" spans="1:64" ht="14">
      <c r="A367" s="36"/>
      <c r="B367" s="37"/>
      <c r="C367" s="40"/>
      <c r="D367" s="79"/>
      <c r="E367" s="79"/>
      <c r="F367" s="79"/>
      <c r="G367" s="225"/>
      <c r="H367" s="225"/>
      <c r="I367" s="41"/>
      <c r="J367" s="44" t="str">
        <f t="shared" si="10"/>
        <v/>
      </c>
      <c r="K367" s="80" t="str">
        <f t="shared" si="11"/>
        <v/>
      </c>
      <c r="L367" s="40"/>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row>
    <row r="368" spans="1:64" ht="14">
      <c r="A368" s="36"/>
      <c r="B368" s="37"/>
      <c r="C368" s="40"/>
      <c r="D368" s="79"/>
      <c r="E368" s="79"/>
      <c r="F368" s="79"/>
      <c r="G368" s="225"/>
      <c r="H368" s="225"/>
      <c r="I368" s="41"/>
      <c r="J368" s="44" t="str">
        <f t="shared" si="10"/>
        <v/>
      </c>
      <c r="K368" s="80" t="str">
        <f t="shared" si="11"/>
        <v/>
      </c>
      <c r="L368" s="40"/>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row>
    <row r="369" spans="1:64" ht="14">
      <c r="A369" s="36"/>
      <c r="B369" s="37"/>
      <c r="C369" s="40"/>
      <c r="D369" s="79"/>
      <c r="E369" s="79"/>
      <c r="F369" s="79"/>
      <c r="G369" s="225"/>
      <c r="H369" s="225"/>
      <c r="I369" s="41"/>
      <c r="J369" s="44" t="str">
        <f t="shared" si="10"/>
        <v/>
      </c>
      <c r="K369" s="80" t="str">
        <f t="shared" si="11"/>
        <v/>
      </c>
      <c r="L369" s="40"/>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c r="BD369" s="36"/>
      <c r="BE369" s="36"/>
      <c r="BF369" s="36"/>
      <c r="BG369" s="36"/>
      <c r="BH369" s="36"/>
      <c r="BI369" s="36"/>
      <c r="BJ369" s="36"/>
      <c r="BK369" s="36"/>
      <c r="BL369" s="36"/>
    </row>
    <row r="370" spans="1:64" ht="14">
      <c r="A370" s="36"/>
      <c r="B370" s="37"/>
      <c r="C370" s="40"/>
      <c r="D370" s="79"/>
      <c r="E370" s="79"/>
      <c r="F370" s="79"/>
      <c r="G370" s="225"/>
      <c r="H370" s="225"/>
      <c r="I370" s="41"/>
      <c r="J370" s="44" t="str">
        <f t="shared" si="10"/>
        <v/>
      </c>
      <c r="K370" s="80" t="str">
        <f t="shared" si="11"/>
        <v/>
      </c>
      <c r="L370" s="40"/>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row>
    <row r="371" spans="1:64" ht="14">
      <c r="A371" s="36"/>
      <c r="B371" s="37"/>
      <c r="C371" s="40"/>
      <c r="D371" s="79"/>
      <c r="E371" s="79"/>
      <c r="F371" s="79"/>
      <c r="G371" s="225"/>
      <c r="H371" s="225"/>
      <c r="I371" s="41"/>
      <c r="J371" s="44" t="str">
        <f t="shared" si="10"/>
        <v/>
      </c>
      <c r="K371" s="80" t="str">
        <f t="shared" si="11"/>
        <v/>
      </c>
      <c r="L371" s="40"/>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row>
    <row r="372" spans="1:64" ht="14">
      <c r="A372" s="36"/>
      <c r="B372" s="37"/>
      <c r="C372" s="40"/>
      <c r="D372" s="79"/>
      <c r="E372" s="79"/>
      <c r="F372" s="79"/>
      <c r="G372" s="225"/>
      <c r="H372" s="225"/>
      <c r="I372" s="41"/>
      <c r="J372" s="44" t="str">
        <f t="shared" si="10"/>
        <v/>
      </c>
      <c r="K372" s="80" t="str">
        <f t="shared" si="11"/>
        <v/>
      </c>
      <c r="L372" s="40"/>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c r="BD372" s="36"/>
      <c r="BE372" s="36"/>
      <c r="BF372" s="36"/>
      <c r="BG372" s="36"/>
      <c r="BH372" s="36"/>
      <c r="BI372" s="36"/>
      <c r="BJ372" s="36"/>
      <c r="BK372" s="36"/>
      <c r="BL372" s="36"/>
    </row>
    <row r="373" spans="1:64" ht="14">
      <c r="A373" s="36"/>
      <c r="B373" s="37"/>
      <c r="C373" s="40"/>
      <c r="D373" s="79"/>
      <c r="E373" s="79"/>
      <c r="F373" s="79"/>
      <c r="G373" s="225"/>
      <c r="H373" s="225"/>
      <c r="I373" s="41"/>
      <c r="J373" s="44" t="str">
        <f t="shared" si="10"/>
        <v/>
      </c>
      <c r="K373" s="80" t="str">
        <f t="shared" si="11"/>
        <v/>
      </c>
      <c r="L373" s="40"/>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row>
    <row r="374" spans="1:64" ht="14">
      <c r="A374" s="36"/>
      <c r="B374" s="37"/>
      <c r="C374" s="40"/>
      <c r="D374" s="79"/>
      <c r="E374" s="79"/>
      <c r="F374" s="79"/>
      <c r="G374" s="225"/>
      <c r="H374" s="225"/>
      <c r="I374" s="41"/>
      <c r="J374" s="44" t="str">
        <f t="shared" si="10"/>
        <v/>
      </c>
      <c r="K374" s="80" t="str">
        <f t="shared" si="11"/>
        <v/>
      </c>
      <c r="L374" s="40"/>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row>
    <row r="375" spans="1:64" ht="14">
      <c r="A375" s="36"/>
      <c r="B375" s="37"/>
      <c r="C375" s="40"/>
      <c r="D375" s="79"/>
      <c r="E375" s="79"/>
      <c r="F375" s="79"/>
      <c r="G375" s="225"/>
      <c r="H375" s="225"/>
      <c r="I375" s="41"/>
      <c r="J375" s="44" t="str">
        <f t="shared" si="10"/>
        <v/>
      </c>
      <c r="K375" s="80" t="str">
        <f t="shared" si="11"/>
        <v/>
      </c>
      <c r="L375" s="40"/>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row>
    <row r="376" spans="1:64" ht="14">
      <c r="A376" s="36"/>
      <c r="B376" s="37"/>
      <c r="C376" s="40"/>
      <c r="D376" s="79"/>
      <c r="E376" s="79"/>
      <c r="F376" s="79"/>
      <c r="G376" s="225"/>
      <c r="H376" s="225"/>
      <c r="I376" s="41"/>
      <c r="J376" s="44" t="str">
        <f t="shared" si="10"/>
        <v/>
      </c>
      <c r="K376" s="80" t="str">
        <f t="shared" si="11"/>
        <v/>
      </c>
      <c r="L376" s="40"/>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row>
    <row r="377" spans="1:64" ht="14">
      <c r="A377" s="36"/>
      <c r="B377" s="37"/>
      <c r="C377" s="40"/>
      <c r="D377" s="79"/>
      <c r="E377" s="79"/>
      <c r="F377" s="79"/>
      <c r="G377" s="225"/>
      <c r="H377" s="225"/>
      <c r="I377" s="41"/>
      <c r="J377" s="44" t="str">
        <f t="shared" si="10"/>
        <v/>
      </c>
      <c r="K377" s="80" t="str">
        <f t="shared" si="11"/>
        <v/>
      </c>
      <c r="L377" s="40"/>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row>
    <row r="378" spans="1:64" ht="14">
      <c r="A378" s="36"/>
      <c r="B378" s="37"/>
      <c r="C378" s="40"/>
      <c r="D378" s="79"/>
      <c r="E378" s="79"/>
      <c r="F378" s="79"/>
      <c r="G378" s="225"/>
      <c r="H378" s="225"/>
      <c r="I378" s="41"/>
      <c r="J378" s="44" t="str">
        <f t="shared" si="10"/>
        <v/>
      </c>
      <c r="K378" s="80" t="str">
        <f t="shared" si="11"/>
        <v/>
      </c>
      <c r="L378" s="40"/>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row>
    <row r="379" spans="1:64" ht="14">
      <c r="A379" s="36"/>
      <c r="B379" s="37"/>
      <c r="C379" s="40"/>
      <c r="D379" s="79"/>
      <c r="E379" s="79"/>
      <c r="F379" s="79"/>
      <c r="G379" s="225"/>
      <c r="H379" s="225"/>
      <c r="I379" s="41"/>
      <c r="J379" s="44" t="str">
        <f t="shared" si="10"/>
        <v/>
      </c>
      <c r="K379" s="80" t="str">
        <f t="shared" si="11"/>
        <v/>
      </c>
      <c r="L379" s="40"/>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row>
    <row r="380" spans="1:64" ht="14">
      <c r="A380" s="36"/>
      <c r="B380" s="37"/>
      <c r="C380" s="40"/>
      <c r="D380" s="79"/>
      <c r="E380" s="79"/>
      <c r="F380" s="79"/>
      <c r="G380" s="225"/>
      <c r="H380" s="225"/>
      <c r="I380" s="41"/>
      <c r="J380" s="44" t="str">
        <f t="shared" si="10"/>
        <v/>
      </c>
      <c r="K380" s="80" t="str">
        <f t="shared" si="11"/>
        <v/>
      </c>
      <c r="L380" s="40"/>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row>
    <row r="381" spans="1:64" ht="14">
      <c r="A381" s="36"/>
      <c r="B381" s="37"/>
      <c r="C381" s="40"/>
      <c r="D381" s="79"/>
      <c r="E381" s="79"/>
      <c r="F381" s="79"/>
      <c r="G381" s="225"/>
      <c r="H381" s="225"/>
      <c r="I381" s="41"/>
      <c r="J381" s="44" t="str">
        <f t="shared" si="10"/>
        <v/>
      </c>
      <c r="K381" s="80" t="str">
        <f t="shared" si="11"/>
        <v/>
      </c>
      <c r="L381" s="40"/>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row>
    <row r="382" spans="1:64" ht="14">
      <c r="A382" s="36"/>
      <c r="B382" s="37"/>
      <c r="C382" s="40"/>
      <c r="D382" s="79"/>
      <c r="E382" s="79"/>
      <c r="F382" s="79"/>
      <c r="G382" s="225"/>
      <c r="H382" s="225"/>
      <c r="I382" s="41"/>
      <c r="J382" s="44" t="str">
        <f t="shared" si="10"/>
        <v/>
      </c>
      <c r="K382" s="80" t="str">
        <f t="shared" si="11"/>
        <v/>
      </c>
      <c r="L382" s="40"/>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row>
    <row r="383" spans="1:64" ht="14">
      <c r="A383" s="36"/>
      <c r="B383" s="37"/>
      <c r="C383" s="40"/>
      <c r="D383" s="79"/>
      <c r="E383" s="79"/>
      <c r="F383" s="79"/>
      <c r="G383" s="225"/>
      <c r="H383" s="225"/>
      <c r="I383" s="41"/>
      <c r="J383" s="44" t="str">
        <f t="shared" si="10"/>
        <v/>
      </c>
      <c r="K383" s="80" t="str">
        <f t="shared" si="11"/>
        <v/>
      </c>
      <c r="L383" s="40"/>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row>
    <row r="384" spans="1:64" ht="14">
      <c r="A384" s="36"/>
      <c r="B384" s="37"/>
      <c r="C384" s="40"/>
      <c r="D384" s="79"/>
      <c r="E384" s="79"/>
      <c r="F384" s="79"/>
      <c r="G384" s="225"/>
      <c r="H384" s="225"/>
      <c r="I384" s="41"/>
      <c r="J384" s="44" t="str">
        <f t="shared" si="10"/>
        <v/>
      </c>
      <c r="K384" s="80" t="str">
        <f t="shared" si="11"/>
        <v/>
      </c>
      <c r="L384" s="40"/>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row>
    <row r="385" spans="1:64" ht="14">
      <c r="A385" s="36"/>
      <c r="B385" s="37"/>
      <c r="C385" s="40"/>
      <c r="D385" s="79"/>
      <c r="E385" s="79"/>
      <c r="F385" s="79"/>
      <c r="G385" s="225"/>
      <c r="H385" s="225"/>
      <c r="I385" s="41"/>
      <c r="J385" s="44" t="str">
        <f t="shared" si="10"/>
        <v/>
      </c>
      <c r="K385" s="80" t="str">
        <f t="shared" si="11"/>
        <v/>
      </c>
      <c r="L385" s="40"/>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row>
    <row r="386" spans="1:64" ht="14">
      <c r="A386" s="36"/>
      <c r="B386" s="37"/>
      <c r="C386" s="40"/>
      <c r="D386" s="79"/>
      <c r="E386" s="79"/>
      <c r="F386" s="79"/>
      <c r="G386" s="225"/>
      <c r="H386" s="225"/>
      <c r="I386" s="41"/>
      <c r="J386" s="44" t="str">
        <f t="shared" si="10"/>
        <v/>
      </c>
      <c r="K386" s="80" t="str">
        <f t="shared" si="11"/>
        <v/>
      </c>
      <c r="L386" s="40"/>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row>
    <row r="387" spans="1:64" ht="14">
      <c r="A387" s="36"/>
      <c r="B387" s="37"/>
      <c r="C387" s="40"/>
      <c r="D387" s="79"/>
      <c r="E387" s="79"/>
      <c r="F387" s="79"/>
      <c r="G387" s="225"/>
      <c r="H387" s="225"/>
      <c r="I387" s="41"/>
      <c r="J387" s="44" t="str">
        <f t="shared" si="10"/>
        <v/>
      </c>
      <c r="K387" s="80" t="str">
        <f t="shared" si="11"/>
        <v/>
      </c>
      <c r="L387" s="40"/>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row>
    <row r="388" spans="1:64" ht="14">
      <c r="A388" s="36"/>
      <c r="B388" s="37"/>
      <c r="C388" s="40"/>
      <c r="D388" s="79"/>
      <c r="E388" s="79"/>
      <c r="F388" s="79"/>
      <c r="G388" s="225"/>
      <c r="H388" s="225"/>
      <c r="I388" s="41"/>
      <c r="J388" s="44" t="str">
        <f t="shared" si="10"/>
        <v/>
      </c>
      <c r="K388" s="80" t="str">
        <f t="shared" si="11"/>
        <v/>
      </c>
      <c r="L388" s="40"/>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row>
    <row r="389" spans="1:64" ht="14">
      <c r="A389" s="36"/>
      <c r="B389" s="37"/>
      <c r="C389" s="40"/>
      <c r="D389" s="79"/>
      <c r="E389" s="79"/>
      <c r="F389" s="79"/>
      <c r="G389" s="225"/>
      <c r="H389" s="225"/>
      <c r="I389" s="41"/>
      <c r="J389" s="44" t="str">
        <f t="shared" si="10"/>
        <v/>
      </c>
      <c r="K389" s="80" t="str">
        <f t="shared" si="11"/>
        <v/>
      </c>
      <c r="L389" s="40"/>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row>
    <row r="390" spans="1:64" ht="14">
      <c r="A390" s="36"/>
      <c r="B390" s="37"/>
      <c r="C390" s="40"/>
      <c r="D390" s="79"/>
      <c r="E390" s="79"/>
      <c r="F390" s="79"/>
      <c r="G390" s="225"/>
      <c r="H390" s="225"/>
      <c r="I390" s="41"/>
      <c r="J390" s="44" t="str">
        <f t="shared" si="10"/>
        <v/>
      </c>
      <c r="K390" s="80" t="str">
        <f t="shared" si="11"/>
        <v/>
      </c>
      <c r="L390" s="40"/>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row>
    <row r="391" spans="1:64" ht="14">
      <c r="A391" s="36"/>
      <c r="B391" s="37"/>
      <c r="C391" s="40"/>
      <c r="D391" s="79"/>
      <c r="E391" s="79"/>
      <c r="F391" s="79"/>
      <c r="G391" s="225"/>
      <c r="H391" s="225"/>
      <c r="I391" s="41"/>
      <c r="J391" s="44" t="str">
        <f t="shared" si="10"/>
        <v/>
      </c>
      <c r="K391" s="80" t="str">
        <f t="shared" si="11"/>
        <v/>
      </c>
      <c r="L391" s="40"/>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row>
    <row r="392" spans="1:64" ht="14">
      <c r="A392" s="36"/>
      <c r="B392" s="37"/>
      <c r="C392" s="40"/>
      <c r="D392" s="79"/>
      <c r="E392" s="79"/>
      <c r="F392" s="79"/>
      <c r="G392" s="225"/>
      <c r="H392" s="225"/>
      <c r="I392" s="41"/>
      <c r="J392" s="44" t="str">
        <f t="shared" si="10"/>
        <v/>
      </c>
      <c r="K392" s="80" t="str">
        <f t="shared" si="11"/>
        <v/>
      </c>
      <c r="L392" s="40"/>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row>
    <row r="393" spans="1:64" ht="14">
      <c r="A393" s="36"/>
      <c r="B393" s="37"/>
      <c r="C393" s="40"/>
      <c r="D393" s="79"/>
      <c r="E393" s="79"/>
      <c r="F393" s="79"/>
      <c r="G393" s="225"/>
      <c r="H393" s="225"/>
      <c r="I393" s="41"/>
      <c r="J393" s="44" t="str">
        <f t="shared" si="10"/>
        <v/>
      </c>
      <c r="K393" s="80" t="str">
        <f t="shared" si="11"/>
        <v/>
      </c>
      <c r="L393" s="40"/>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row>
    <row r="394" spans="1:64" ht="14">
      <c r="A394" s="36"/>
      <c r="B394" s="37"/>
      <c r="C394" s="40"/>
      <c r="D394" s="79"/>
      <c r="E394" s="79"/>
      <c r="F394" s="79"/>
      <c r="G394" s="225"/>
      <c r="H394" s="225"/>
      <c r="I394" s="41"/>
      <c r="J394" s="44" t="str">
        <f t="shared" si="10"/>
        <v/>
      </c>
      <c r="K394" s="80" t="str">
        <f t="shared" si="11"/>
        <v/>
      </c>
      <c r="L394" s="40"/>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row>
    <row r="395" spans="1:64" ht="14">
      <c r="A395" s="36"/>
      <c r="B395" s="37"/>
      <c r="C395" s="40"/>
      <c r="D395" s="79"/>
      <c r="E395" s="79"/>
      <c r="F395" s="79"/>
      <c r="G395" s="225"/>
      <c r="H395" s="225"/>
      <c r="I395" s="41"/>
      <c r="J395" s="44" t="str">
        <f t="shared" ref="J395:J402" si="12">IF($C395&lt;&gt;"",$E395*1.5,"")</f>
        <v/>
      </c>
      <c r="K395" s="80" t="str">
        <f t="shared" ref="K395:K402" si="13">IFERROR($J395/10,"")</f>
        <v/>
      </c>
      <c r="L395" s="40"/>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row>
    <row r="396" spans="1:64" ht="14">
      <c r="A396" s="36"/>
      <c r="B396" s="37"/>
      <c r="C396" s="40"/>
      <c r="D396" s="79"/>
      <c r="E396" s="79"/>
      <c r="F396" s="79"/>
      <c r="G396" s="225"/>
      <c r="H396" s="225"/>
      <c r="I396" s="41"/>
      <c r="J396" s="44" t="str">
        <f t="shared" si="12"/>
        <v/>
      </c>
      <c r="K396" s="80" t="str">
        <f t="shared" si="13"/>
        <v/>
      </c>
      <c r="L396" s="40"/>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row>
    <row r="397" spans="1:64" ht="14">
      <c r="A397" s="36"/>
      <c r="B397" s="37"/>
      <c r="C397" s="40"/>
      <c r="D397" s="79"/>
      <c r="E397" s="79"/>
      <c r="F397" s="79"/>
      <c r="G397" s="225"/>
      <c r="H397" s="225"/>
      <c r="I397" s="41"/>
      <c r="J397" s="44" t="str">
        <f t="shared" si="12"/>
        <v/>
      </c>
      <c r="K397" s="80" t="str">
        <f t="shared" si="13"/>
        <v/>
      </c>
      <c r="L397" s="40"/>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row>
    <row r="398" spans="1:64" ht="14">
      <c r="A398" s="36"/>
      <c r="B398" s="37"/>
      <c r="C398" s="40"/>
      <c r="D398" s="79"/>
      <c r="E398" s="79"/>
      <c r="F398" s="79"/>
      <c r="G398" s="225"/>
      <c r="H398" s="225"/>
      <c r="I398" s="41"/>
      <c r="J398" s="44" t="str">
        <f t="shared" si="12"/>
        <v/>
      </c>
      <c r="K398" s="80" t="str">
        <f t="shared" si="13"/>
        <v/>
      </c>
      <c r="L398" s="40"/>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row>
    <row r="399" spans="1:64" ht="14">
      <c r="A399" s="36"/>
      <c r="B399" s="37"/>
      <c r="C399" s="40"/>
      <c r="D399" s="79"/>
      <c r="E399" s="79"/>
      <c r="F399" s="79"/>
      <c r="G399" s="225"/>
      <c r="H399" s="225"/>
      <c r="I399" s="41"/>
      <c r="J399" s="44" t="str">
        <f t="shared" si="12"/>
        <v/>
      </c>
      <c r="K399" s="80" t="str">
        <f t="shared" si="13"/>
        <v/>
      </c>
      <c r="L399" s="40"/>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row>
    <row r="400" spans="1:64" ht="14">
      <c r="A400" s="36"/>
      <c r="B400" s="37"/>
      <c r="C400" s="40"/>
      <c r="D400" s="79"/>
      <c r="E400" s="79"/>
      <c r="F400" s="79"/>
      <c r="G400" s="225"/>
      <c r="H400" s="225"/>
      <c r="I400" s="41"/>
      <c r="J400" s="44" t="str">
        <f t="shared" si="12"/>
        <v/>
      </c>
      <c r="K400" s="80" t="str">
        <f t="shared" si="13"/>
        <v/>
      </c>
      <c r="L400" s="40"/>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row>
    <row r="401" spans="1:64" ht="14">
      <c r="A401" s="36"/>
      <c r="B401" s="37"/>
      <c r="C401" s="40"/>
      <c r="D401" s="79"/>
      <c r="E401" s="79"/>
      <c r="F401" s="79"/>
      <c r="G401" s="225"/>
      <c r="H401" s="225"/>
      <c r="I401" s="41"/>
      <c r="J401" s="44" t="str">
        <f t="shared" si="12"/>
        <v/>
      </c>
      <c r="K401" s="80" t="str">
        <f t="shared" si="13"/>
        <v/>
      </c>
      <c r="L401" s="40"/>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row>
    <row r="402" spans="1:64" ht="14">
      <c r="A402" s="36"/>
      <c r="B402" s="37"/>
      <c r="C402" s="40"/>
      <c r="D402" s="79"/>
      <c r="E402" s="79"/>
      <c r="F402" s="79"/>
      <c r="G402" s="225"/>
      <c r="H402" s="225"/>
      <c r="I402" s="41"/>
      <c r="J402" s="44" t="str">
        <f t="shared" si="12"/>
        <v/>
      </c>
      <c r="K402" s="80" t="str">
        <f t="shared" si="13"/>
        <v/>
      </c>
      <c r="L402" s="40"/>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row>
    <row r="403" spans="1:64" ht="14">
      <c r="A403" s="36"/>
      <c r="B403" s="215" t="s">
        <v>58</v>
      </c>
      <c r="C403" s="215"/>
      <c r="D403" s="215"/>
      <c r="E403" s="215"/>
      <c r="F403" s="215"/>
      <c r="G403" s="215"/>
      <c r="H403" s="215"/>
      <c r="I403" s="215"/>
      <c r="J403" s="215"/>
      <c r="K403" s="215"/>
      <c r="L403" s="215"/>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row>
    <row r="404" spans="1:64" ht="13">
      <c r="B404" s="48"/>
      <c r="C404" s="50"/>
      <c r="D404" s="50"/>
      <c r="E404" s="50"/>
      <c r="F404" s="50"/>
      <c r="G404" s="50"/>
      <c r="H404" s="50"/>
      <c r="I404" s="82" t="s">
        <v>87</v>
      </c>
      <c r="J404" s="83">
        <f>SUM(J11:J402)</f>
        <v>0</v>
      </c>
      <c r="K404" s="226">
        <f>SUM(K11:K402)</f>
        <v>0</v>
      </c>
    </row>
    <row r="405" spans="1:64" ht="13">
      <c r="I405" s="227" t="s">
        <v>88</v>
      </c>
      <c r="J405" s="227"/>
      <c r="K405" s="226"/>
    </row>
  </sheetData>
  <mergeCells count="413">
    <mergeCell ref="G1:L1"/>
    <mergeCell ref="B3:C4"/>
    <mergeCell ref="D3:E4"/>
    <mergeCell ref="J3:L3"/>
    <mergeCell ref="J4:L4"/>
    <mergeCell ref="B5:C6"/>
    <mergeCell ref="D5:E6"/>
    <mergeCell ref="J5:L5"/>
    <mergeCell ref="J6:L6"/>
    <mergeCell ref="B8:B9"/>
    <mergeCell ref="C8:C9"/>
    <mergeCell ref="E8:E9"/>
    <mergeCell ref="F8:F9"/>
    <mergeCell ref="G8:H9"/>
    <mergeCell ref="I8:I9"/>
    <mergeCell ref="J8:K8"/>
    <mergeCell ref="L8:L9"/>
    <mergeCell ref="B10:L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98:H398"/>
    <mergeCell ref="G399:H399"/>
    <mergeCell ref="G400:H400"/>
    <mergeCell ref="G401:H401"/>
    <mergeCell ref="G402:H402"/>
    <mergeCell ref="B403:L403"/>
    <mergeCell ref="K404:K405"/>
    <mergeCell ref="I405:J405"/>
    <mergeCell ref="G389:H389"/>
    <mergeCell ref="G390:H390"/>
    <mergeCell ref="G391:H391"/>
    <mergeCell ref="G392:H392"/>
    <mergeCell ref="G393:H393"/>
    <mergeCell ref="G394:H394"/>
    <mergeCell ref="G395:H395"/>
    <mergeCell ref="G396:H396"/>
    <mergeCell ref="G397:H397"/>
  </mergeCells>
  <dataValidations count="3">
    <dataValidation type="list" operator="equal" allowBlank="1" showInputMessage="1" showErrorMessage="1" sqref="C11:C402" xr:uid="{00000000-0002-0000-0500-000000000000}">
      <formula1>UST</formula1>
      <formula2>0</formula2>
    </dataValidation>
    <dataValidation type="list" operator="equal" allowBlank="1" showInputMessage="1" showErrorMessage="1" sqref="D11:D402" xr:uid="{00000000-0002-0000-0500-000001000000}">
      <formula1>"Básica,Intermediária,Mediana,Alta"</formula1>
      <formula2>0</formula2>
    </dataValidation>
    <dataValidation operator="equal" allowBlank="1" showInputMessage="1" showErrorMessage="1" errorTitle="Erro" error="Selecione uma das opções apresentada" sqref="J11:J402" xr:uid="{00000000-0002-0000-0500-000002000000}">
      <formula1>0</formula1>
      <formula2>0</formula2>
    </dataValidation>
  </dataValidations>
  <pageMargins left="0.196527777777778" right="0.196527777777778" top="0.32986111111111099" bottom="0.42986111111111103" header="0.179861111111111" footer="0.27569444444444402"/>
  <pageSetup paperSize="9" firstPageNumber="0" fitToHeight="10" orientation="landscape" horizontalDpi="300" verticalDpi="300"/>
  <headerFooter>
    <oddHeader>&amp;C&amp;A</oddHeader>
    <oddFooter>&amp;CPágina &amp;P de &amp;N</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L26"/>
  <sheetViews>
    <sheetView zoomScaleNormal="100" workbookViewId="0"/>
  </sheetViews>
  <sheetFormatPr defaultRowHeight="12.5"/>
  <cols>
    <col min="1" max="1" width="5.36328125" style="54" customWidth="1"/>
    <col min="2" max="2" width="30.90625" style="55" customWidth="1"/>
    <col min="3" max="3" width="10.1796875" style="55" customWidth="1"/>
    <col min="4" max="4" width="8.1796875" style="56" customWidth="1"/>
    <col min="5" max="5" width="14.1796875" style="56" customWidth="1"/>
    <col min="6" max="6" width="26.54296875" style="56" customWidth="1"/>
    <col min="7" max="7" width="13.36328125" style="56" customWidth="1"/>
    <col min="8" max="8" width="21.26953125" style="57" customWidth="1"/>
    <col min="9" max="9" width="14" style="54" customWidth="1"/>
    <col min="10" max="11" width="11.6328125" style="54" customWidth="1"/>
    <col min="12" max="13" width="9" style="55" customWidth="1"/>
    <col min="14" max="14" width="9.54296875" style="55" customWidth="1"/>
    <col min="15" max="23" width="9" style="55" customWidth="1"/>
    <col min="24" max="64" width="8.6328125" style="55" customWidth="1"/>
    <col min="65" max="1017" width="8.6328125" customWidth="1"/>
    <col min="1018" max="1025" width="11.54296875"/>
  </cols>
  <sheetData>
    <row r="1" spans="1:64" ht="69" customHeight="1">
      <c r="A1" s="2" t="s">
        <v>0</v>
      </c>
      <c r="B1" s="22"/>
      <c r="C1" s="22"/>
      <c r="D1" s="220" t="s">
        <v>89</v>
      </c>
      <c r="E1" s="220"/>
      <c r="F1" s="220"/>
      <c r="G1" s="220"/>
      <c r="H1" s="220"/>
      <c r="I1" s="220"/>
      <c r="J1" s="220"/>
      <c r="K1" s="220"/>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row>
    <row r="2" spans="1:64" ht="9" customHeight="1">
      <c r="A2" s="24"/>
      <c r="B2" s="24"/>
      <c r="C2" s="24"/>
      <c r="D2" s="25"/>
      <c r="E2" s="25"/>
      <c r="F2" s="25"/>
      <c r="G2" s="25"/>
      <c r="H2" s="25"/>
      <c r="I2" s="25"/>
      <c r="J2" s="25"/>
      <c r="K2" s="25"/>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row>
    <row r="3" spans="1:64" ht="18.649999999999999" customHeight="1">
      <c r="A3" s="19"/>
      <c r="B3" s="26"/>
      <c r="C3" s="26"/>
      <c r="D3" s="25"/>
      <c r="E3" s="25"/>
      <c r="F3" s="25"/>
      <c r="G3" s="224" t="s">
        <v>8</v>
      </c>
      <c r="H3" s="224"/>
      <c r="I3" s="218"/>
      <c r="J3" s="218"/>
      <c r="K3" s="218"/>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row>
    <row r="4" spans="1:64" ht="18.649999999999999" customHeight="1">
      <c r="A4" s="19"/>
      <c r="B4" s="26"/>
      <c r="C4" s="26"/>
      <c r="D4" s="25"/>
      <c r="E4" s="25"/>
      <c r="F4" s="25"/>
      <c r="G4" s="224" t="s">
        <v>9</v>
      </c>
      <c r="H4" s="224"/>
      <c r="I4" s="218"/>
      <c r="J4" s="218"/>
      <c r="K4" s="218"/>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row>
    <row r="5" spans="1:64" ht="18.649999999999999" customHeight="1">
      <c r="A5" s="224" t="s">
        <v>36</v>
      </c>
      <c r="B5" s="224"/>
      <c r="C5" s="224"/>
      <c r="D5" s="217" t="str">
        <f>TEXT(K26,"#.##0,0#")</f>
        <v>0,0</v>
      </c>
      <c r="E5" s="217"/>
      <c r="F5" s="25"/>
      <c r="G5" s="224" t="s">
        <v>10</v>
      </c>
      <c r="H5" s="224"/>
      <c r="I5" s="218"/>
      <c r="J5" s="218"/>
      <c r="K5" s="218"/>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ht="18.649999999999999" customHeight="1">
      <c r="A6" s="224"/>
      <c r="B6" s="224"/>
      <c r="C6" s="224"/>
      <c r="D6" s="217"/>
      <c r="E6" s="217"/>
      <c r="F6" s="25"/>
      <c r="G6" s="224" t="s">
        <v>11</v>
      </c>
      <c r="H6" s="224"/>
      <c r="I6" s="218"/>
      <c r="J6" s="218"/>
      <c r="K6" s="218"/>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ht="9" customHeight="1">
      <c r="A7" s="221"/>
      <c r="B7" s="221"/>
      <c r="C7" s="221"/>
      <c r="D7" s="221"/>
      <c r="E7" s="221"/>
      <c r="F7" s="221"/>
      <c r="G7" s="221"/>
      <c r="H7" s="221"/>
      <c r="I7" s="221"/>
      <c r="J7" s="221"/>
      <c r="K7" s="221"/>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ht="17.25" customHeight="1">
      <c r="A8"/>
      <c r="B8"/>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ht="30.65" customHeight="1">
      <c r="A9" s="59" t="s">
        <v>37</v>
      </c>
      <c r="B9" s="60" t="s">
        <v>64</v>
      </c>
      <c r="C9" s="60" t="s">
        <v>90</v>
      </c>
      <c r="D9" s="60" t="s">
        <v>40</v>
      </c>
      <c r="E9" s="60" t="s">
        <v>43</v>
      </c>
      <c r="F9" s="60" t="s">
        <v>65</v>
      </c>
      <c r="G9" s="60" t="s">
        <v>66</v>
      </c>
      <c r="H9" s="60" t="s">
        <v>67</v>
      </c>
      <c r="I9" s="84" t="s">
        <v>68</v>
      </c>
      <c r="J9" s="85" t="s">
        <v>69</v>
      </c>
      <c r="K9" s="85" t="s">
        <v>91</v>
      </c>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row>
    <row r="10" spans="1:64" ht="14">
      <c r="A10" s="215" t="s">
        <v>57</v>
      </c>
      <c r="B10" s="215"/>
      <c r="C10" s="215"/>
      <c r="D10" s="215"/>
      <c r="E10" s="215"/>
      <c r="F10" s="215"/>
      <c r="G10" s="215"/>
      <c r="H10" s="215"/>
      <c r="I10" s="215"/>
      <c r="J10" s="215"/>
      <c r="K10" s="215"/>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4" ht="13">
      <c r="A11" s="37"/>
      <c r="B11" s="40"/>
      <c r="C11" s="86" t="str">
        <f t="shared" ref="C11:C24" si="0">IF(B11&lt;&gt;"",IF(B11="Serviço de Gerência", 0.87027272,0.5),"")</f>
        <v/>
      </c>
      <c r="D11" s="40"/>
      <c r="E11" s="40"/>
      <c r="F11" s="40"/>
      <c r="G11" s="40"/>
      <c r="H11" s="40"/>
      <c r="I11" s="87" t="str">
        <f t="shared" ref="I11:I24" si="1">IF($G11*$H11=0,"",$G11*$H11)</f>
        <v/>
      </c>
      <c r="J11" s="88" t="str">
        <f t="shared" ref="J11:J24" si="2">IF($I11="","",IFERROR($I11/15,""))</f>
        <v/>
      </c>
      <c r="K11" s="89" t="str">
        <f t="shared" ref="K11:K24" si="3">IFERROR(($I11/15)*$C11,"")</f>
        <v/>
      </c>
      <c r="N11"/>
    </row>
    <row r="12" spans="1:64" ht="13">
      <c r="A12" s="37"/>
      <c r="B12" s="40"/>
      <c r="C12" s="86" t="str">
        <f t="shared" si="0"/>
        <v/>
      </c>
      <c r="D12" s="40"/>
      <c r="E12" s="40"/>
      <c r="F12" s="40"/>
      <c r="G12" s="40"/>
      <c r="H12" s="40"/>
      <c r="I12" s="87" t="str">
        <f t="shared" si="1"/>
        <v/>
      </c>
      <c r="J12" s="88" t="str">
        <f t="shared" si="2"/>
        <v/>
      </c>
      <c r="K12" s="89" t="str">
        <f t="shared" si="3"/>
        <v/>
      </c>
      <c r="N12"/>
    </row>
    <row r="13" spans="1:64" ht="13">
      <c r="A13" s="37"/>
      <c r="B13" s="40"/>
      <c r="C13" s="86" t="str">
        <f t="shared" si="0"/>
        <v/>
      </c>
      <c r="D13" s="40"/>
      <c r="E13" s="40"/>
      <c r="F13" s="40"/>
      <c r="G13" s="40"/>
      <c r="H13" s="40"/>
      <c r="I13" s="87" t="str">
        <f t="shared" si="1"/>
        <v/>
      </c>
      <c r="J13" s="88" t="str">
        <f t="shared" si="2"/>
        <v/>
      </c>
      <c r="K13" s="89" t="str">
        <f t="shared" si="3"/>
        <v/>
      </c>
      <c r="N13"/>
    </row>
    <row r="14" spans="1:64" ht="13">
      <c r="A14" s="37"/>
      <c r="B14" s="40"/>
      <c r="C14" s="86" t="str">
        <f t="shared" si="0"/>
        <v/>
      </c>
      <c r="D14" s="40"/>
      <c r="E14" s="40"/>
      <c r="F14" s="40"/>
      <c r="G14" s="40"/>
      <c r="H14" s="40"/>
      <c r="I14" s="87" t="str">
        <f t="shared" si="1"/>
        <v/>
      </c>
      <c r="J14" s="88" t="str">
        <f t="shared" si="2"/>
        <v/>
      </c>
      <c r="K14" s="89" t="str">
        <f t="shared" si="3"/>
        <v/>
      </c>
      <c r="N14"/>
    </row>
    <row r="15" spans="1:64" ht="13">
      <c r="A15" s="37"/>
      <c r="B15" s="40"/>
      <c r="C15" s="86" t="str">
        <f t="shared" si="0"/>
        <v/>
      </c>
      <c r="D15" s="40"/>
      <c r="E15" s="40"/>
      <c r="F15" s="40"/>
      <c r="G15" s="40"/>
      <c r="H15" s="40"/>
      <c r="I15" s="87" t="str">
        <f t="shared" si="1"/>
        <v/>
      </c>
      <c r="J15" s="88" t="str">
        <f t="shared" si="2"/>
        <v/>
      </c>
      <c r="K15" s="89" t="str">
        <f t="shared" si="3"/>
        <v/>
      </c>
      <c r="N15"/>
    </row>
    <row r="16" spans="1:64" ht="13">
      <c r="A16" s="37"/>
      <c r="B16" s="40"/>
      <c r="C16" s="86" t="str">
        <f t="shared" si="0"/>
        <v/>
      </c>
      <c r="D16" s="40"/>
      <c r="E16" s="40"/>
      <c r="F16" s="40"/>
      <c r="G16" s="40"/>
      <c r="H16" s="40"/>
      <c r="I16" s="87" t="str">
        <f t="shared" si="1"/>
        <v/>
      </c>
      <c r="J16" s="88" t="str">
        <f t="shared" si="2"/>
        <v/>
      </c>
      <c r="K16" s="89" t="str">
        <f t="shared" si="3"/>
        <v/>
      </c>
      <c r="N16"/>
    </row>
    <row r="17" spans="1:64" ht="13">
      <c r="A17" s="37"/>
      <c r="B17" s="40"/>
      <c r="C17" s="86" t="str">
        <f t="shared" si="0"/>
        <v/>
      </c>
      <c r="D17" s="40"/>
      <c r="E17" s="40"/>
      <c r="F17" s="40"/>
      <c r="G17" s="40"/>
      <c r="H17" s="40"/>
      <c r="I17" s="87" t="str">
        <f t="shared" si="1"/>
        <v/>
      </c>
      <c r="J17" s="88" t="str">
        <f t="shared" si="2"/>
        <v/>
      </c>
      <c r="K17" s="89" t="str">
        <f t="shared" si="3"/>
        <v/>
      </c>
      <c r="N17"/>
    </row>
    <row r="18" spans="1:64" ht="13">
      <c r="A18" s="37"/>
      <c r="B18" s="40"/>
      <c r="C18" s="86" t="str">
        <f t="shared" si="0"/>
        <v/>
      </c>
      <c r="D18" s="40"/>
      <c r="E18" s="40"/>
      <c r="F18" s="40"/>
      <c r="G18" s="40"/>
      <c r="H18" s="40"/>
      <c r="I18" s="87" t="str">
        <f t="shared" si="1"/>
        <v/>
      </c>
      <c r="J18" s="88" t="str">
        <f t="shared" si="2"/>
        <v/>
      </c>
      <c r="K18" s="89" t="str">
        <f t="shared" si="3"/>
        <v/>
      </c>
      <c r="N18"/>
    </row>
    <row r="19" spans="1:64" ht="13">
      <c r="A19" s="37"/>
      <c r="B19" s="40"/>
      <c r="C19" s="86" t="str">
        <f t="shared" si="0"/>
        <v/>
      </c>
      <c r="D19" s="40"/>
      <c r="E19" s="40"/>
      <c r="F19" s="40"/>
      <c r="G19" s="40"/>
      <c r="H19" s="40"/>
      <c r="I19" s="87" t="str">
        <f t="shared" si="1"/>
        <v/>
      </c>
      <c r="J19" s="88" t="str">
        <f t="shared" si="2"/>
        <v/>
      </c>
      <c r="K19" s="89" t="str">
        <f t="shared" si="3"/>
        <v/>
      </c>
      <c r="N19"/>
    </row>
    <row r="20" spans="1:64" ht="13">
      <c r="A20" s="37"/>
      <c r="B20" s="40"/>
      <c r="C20" s="86" t="str">
        <f t="shared" si="0"/>
        <v/>
      </c>
      <c r="D20" s="40"/>
      <c r="E20" s="40"/>
      <c r="F20" s="40"/>
      <c r="G20" s="40"/>
      <c r="H20" s="40"/>
      <c r="I20" s="87" t="str">
        <f t="shared" si="1"/>
        <v/>
      </c>
      <c r="J20" s="88" t="str">
        <f t="shared" si="2"/>
        <v/>
      </c>
      <c r="K20" s="89" t="str">
        <f t="shared" si="3"/>
        <v/>
      </c>
      <c r="N20"/>
    </row>
    <row r="21" spans="1:64" ht="13">
      <c r="A21" s="37"/>
      <c r="B21" s="40"/>
      <c r="C21" s="86" t="str">
        <f t="shared" si="0"/>
        <v/>
      </c>
      <c r="D21" s="40"/>
      <c r="E21" s="40"/>
      <c r="F21" s="40"/>
      <c r="G21" s="40"/>
      <c r="H21" s="40"/>
      <c r="I21" s="87" t="str">
        <f t="shared" si="1"/>
        <v/>
      </c>
      <c r="J21" s="88" t="str">
        <f t="shared" si="2"/>
        <v/>
      </c>
      <c r="K21" s="89" t="str">
        <f t="shared" si="3"/>
        <v/>
      </c>
      <c r="N21"/>
    </row>
    <row r="22" spans="1:64" ht="13">
      <c r="A22" s="37"/>
      <c r="B22" s="40"/>
      <c r="C22" s="86" t="str">
        <f t="shared" si="0"/>
        <v/>
      </c>
      <c r="D22" s="40"/>
      <c r="E22" s="40"/>
      <c r="F22" s="40"/>
      <c r="G22" s="40"/>
      <c r="H22" s="40"/>
      <c r="I22" s="87" t="str">
        <f t="shared" si="1"/>
        <v/>
      </c>
      <c r="J22" s="88" t="str">
        <f t="shared" si="2"/>
        <v/>
      </c>
      <c r="K22" s="89" t="str">
        <f t="shared" si="3"/>
        <v/>
      </c>
      <c r="N22"/>
    </row>
    <row r="23" spans="1:64" ht="13">
      <c r="A23" s="37"/>
      <c r="B23" s="40"/>
      <c r="C23" s="86" t="str">
        <f t="shared" si="0"/>
        <v/>
      </c>
      <c r="D23" s="40"/>
      <c r="E23" s="40"/>
      <c r="F23" s="40"/>
      <c r="G23" s="40"/>
      <c r="H23" s="40"/>
      <c r="I23" s="87" t="str">
        <f t="shared" si="1"/>
        <v/>
      </c>
      <c r="J23" s="88" t="str">
        <f t="shared" si="2"/>
        <v/>
      </c>
      <c r="K23" s="89" t="str">
        <f t="shared" si="3"/>
        <v/>
      </c>
      <c r="N23"/>
    </row>
    <row r="24" spans="1:64" ht="13">
      <c r="A24" s="37"/>
      <c r="B24" s="40"/>
      <c r="C24" s="86" t="str">
        <f t="shared" si="0"/>
        <v/>
      </c>
      <c r="D24" s="40"/>
      <c r="E24" s="40"/>
      <c r="F24" s="40"/>
      <c r="G24" s="40"/>
      <c r="H24" s="40"/>
      <c r="I24" s="87" t="str">
        <f t="shared" si="1"/>
        <v/>
      </c>
      <c r="J24" s="88" t="str">
        <f t="shared" si="2"/>
        <v/>
      </c>
      <c r="K24" s="89" t="str">
        <f t="shared" si="3"/>
        <v/>
      </c>
      <c r="N24"/>
    </row>
    <row r="25" spans="1:64" ht="14">
      <c r="A25" s="215" t="s">
        <v>57</v>
      </c>
      <c r="B25" s="215"/>
      <c r="C25" s="215"/>
      <c r="D25" s="215"/>
      <c r="E25" s="215"/>
      <c r="F25" s="215"/>
      <c r="G25" s="215"/>
      <c r="H25" s="215"/>
      <c r="I25" s="215"/>
      <c r="J25" s="215"/>
      <c r="K25" s="215"/>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row>
    <row r="26" spans="1:64" ht="15.5">
      <c r="A26" s="49"/>
      <c r="B26" s="49"/>
      <c r="C26" s="49"/>
      <c r="D26" s="49"/>
      <c r="E26" s="49"/>
      <c r="F26" s="49"/>
      <c r="G26" s="49"/>
      <c r="H26" s="49"/>
      <c r="I26" s="66" t="s">
        <v>76</v>
      </c>
      <c r="J26" s="66"/>
      <c r="K26" s="67">
        <f>SUM($K11:$K24)</f>
        <v>0</v>
      </c>
      <c r="N26"/>
    </row>
  </sheetData>
  <mergeCells count="14">
    <mergeCell ref="D1:K1"/>
    <mergeCell ref="G3:H3"/>
    <mergeCell ref="I3:K3"/>
    <mergeCell ref="G4:H4"/>
    <mergeCell ref="I4:K4"/>
    <mergeCell ref="A7:K7"/>
    <mergeCell ref="A10:K10"/>
    <mergeCell ref="A25:K25"/>
    <mergeCell ref="A5:C6"/>
    <mergeCell ref="D5:E6"/>
    <mergeCell ref="G5:H5"/>
    <mergeCell ref="I5:K5"/>
    <mergeCell ref="G6:H6"/>
    <mergeCell ref="I6:K6"/>
  </mergeCells>
  <dataValidations count="1">
    <dataValidation type="list" operator="equal" allowBlank="1" showErrorMessage="1" sqref="B11:B24" xr:uid="{00000000-0002-0000-0600-000000000000}">
      <formula1>"Serviço de Atendimento,Serviço de Gerência,Serviço Técnico"</formula1>
      <formula2>0</formula2>
    </dataValidation>
  </dataValidations>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&amp;CPágina &amp;P</oddFooter>
  </headerFooter>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BL110"/>
  <sheetViews>
    <sheetView zoomScaleNormal="100" workbookViewId="0"/>
  </sheetViews>
  <sheetFormatPr defaultRowHeight="12.5"/>
  <cols>
    <col min="1" max="1" width="5.54296875" style="18" customWidth="1"/>
    <col min="2" max="3" width="9.54296875" style="20" customWidth="1"/>
    <col min="4" max="4" width="17.54296875" style="20" customWidth="1"/>
    <col min="5" max="5" width="18.08984375" style="20" customWidth="1"/>
    <col min="6" max="6" width="23" style="20" customWidth="1"/>
    <col min="7" max="7" width="44" style="21" customWidth="1"/>
    <col min="8" max="8" width="12.36328125" style="18" customWidth="1"/>
    <col min="9" max="10" width="8.36328125" style="19" customWidth="1"/>
    <col min="11" max="12" width="9.08984375" style="19" customWidth="1"/>
    <col min="13" max="13" width="9.6328125" style="19" customWidth="1"/>
    <col min="14" max="22" width="9.08984375" style="19" customWidth="1"/>
    <col min="23" max="64" width="8.90625" style="19" customWidth="1"/>
    <col min="65" max="1025" width="8.90625" customWidth="1"/>
  </cols>
  <sheetData>
    <row r="1" spans="1:64" ht="69" customHeight="1">
      <c r="A1" s="22" t="s">
        <v>92</v>
      </c>
      <c r="B1" s="22"/>
      <c r="C1" s="70"/>
      <c r="D1" s="70"/>
      <c r="E1" s="220" t="s">
        <v>93</v>
      </c>
      <c r="F1" s="220"/>
      <c r="G1" s="220"/>
      <c r="H1" s="220"/>
      <c r="I1" s="220"/>
      <c r="J1" s="220"/>
      <c r="K1" s="71"/>
      <c r="L1" s="71"/>
      <c r="M1" s="72"/>
      <c r="N1" s="72"/>
      <c r="O1" s="72"/>
      <c r="P1" s="72"/>
      <c r="Q1" s="72"/>
      <c r="R1" s="72"/>
      <c r="S1" s="72"/>
      <c r="T1" s="73"/>
    </row>
    <row r="2" spans="1:64" ht="9" customHeight="1">
      <c r="A2" s="74"/>
      <c r="B2" s="90"/>
      <c r="C2" s="75"/>
      <c r="D2" s="75"/>
      <c r="E2" s="75"/>
      <c r="F2" s="75"/>
      <c r="G2" s="75"/>
      <c r="H2" s="75"/>
      <c r="I2" s="75"/>
      <c r="J2" s="75"/>
      <c r="K2" s="75"/>
    </row>
    <row r="3" spans="1:64" ht="18.649999999999999" customHeight="1">
      <c r="A3" s="73"/>
      <c r="B3" s="25"/>
      <c r="C3" s="25"/>
      <c r="D3" s="25"/>
      <c r="E3" s="25"/>
      <c r="F3" s="25"/>
      <c r="G3" s="76" t="s">
        <v>8</v>
      </c>
      <c r="H3" s="218"/>
      <c r="I3" s="218"/>
      <c r="J3" s="218"/>
    </row>
    <row r="4" spans="1:64" ht="18.649999999999999" customHeight="1">
      <c r="A4" s="73"/>
      <c r="B4" s="25"/>
      <c r="C4" s="25"/>
      <c r="D4" s="25"/>
      <c r="E4" s="25"/>
      <c r="F4" s="25"/>
      <c r="G4" s="76" t="s">
        <v>9</v>
      </c>
      <c r="H4" s="219"/>
      <c r="I4" s="219"/>
      <c r="J4" s="219"/>
    </row>
    <row r="5" spans="1:64" ht="18.649999999999999" customHeight="1">
      <c r="A5" s="224" t="s">
        <v>36</v>
      </c>
      <c r="B5" s="224"/>
      <c r="C5" s="224"/>
      <c r="D5" s="224"/>
      <c r="E5" s="217" t="str">
        <f>TEXT(I110,"#.##0,0#")</f>
        <v>0,0</v>
      </c>
      <c r="F5" s="91"/>
      <c r="G5" s="76" t="s">
        <v>10</v>
      </c>
      <c r="H5" s="218"/>
      <c r="I5" s="218"/>
      <c r="J5" s="218"/>
    </row>
    <row r="6" spans="1:64" ht="18.649999999999999" customHeight="1">
      <c r="A6" s="224"/>
      <c r="B6" s="224"/>
      <c r="C6" s="224"/>
      <c r="D6" s="224"/>
      <c r="E6" s="217"/>
      <c r="F6" s="91"/>
      <c r="G6" s="76" t="s">
        <v>11</v>
      </c>
      <c r="H6" s="219"/>
      <c r="I6" s="219"/>
      <c r="J6" s="219"/>
    </row>
    <row r="7" spans="1:64" ht="9" customHeight="1">
      <c r="A7" s="77"/>
      <c r="B7" s="77"/>
      <c r="C7" s="77"/>
      <c r="D7" s="77"/>
      <c r="E7" s="77"/>
      <c r="F7" s="77"/>
      <c r="G7" s="78"/>
      <c r="H7" s="78"/>
      <c r="I7" s="78"/>
      <c r="J7" s="78"/>
    </row>
    <row r="8" spans="1:64" ht="26.4" customHeight="1">
      <c r="A8" s="228" t="s">
        <v>37</v>
      </c>
      <c r="B8" s="229" t="s">
        <v>40</v>
      </c>
      <c r="C8" s="229" t="s">
        <v>41</v>
      </c>
      <c r="D8" s="229" t="s">
        <v>42</v>
      </c>
      <c r="E8" s="230" t="s">
        <v>43</v>
      </c>
      <c r="F8" s="230"/>
      <c r="G8" s="231" t="s">
        <v>94</v>
      </c>
      <c r="H8" s="232" t="s">
        <v>84</v>
      </c>
      <c r="I8" s="232"/>
      <c r="J8" s="232" t="s">
        <v>56</v>
      </c>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row>
    <row r="9" spans="1:64" ht="15.5">
      <c r="A9" s="228"/>
      <c r="B9" s="229"/>
      <c r="C9" s="229"/>
      <c r="D9" s="229"/>
      <c r="E9" s="230"/>
      <c r="F9" s="230"/>
      <c r="G9" s="231"/>
      <c r="H9" s="34" t="s">
        <v>46</v>
      </c>
      <c r="I9" s="34" t="s">
        <v>55</v>
      </c>
      <c r="J9" s="232"/>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row>
    <row r="10" spans="1:64" ht="14">
      <c r="A10" s="215" t="s">
        <v>57</v>
      </c>
      <c r="B10" s="215"/>
      <c r="C10" s="215"/>
      <c r="D10" s="215"/>
      <c r="E10" s="215"/>
      <c r="F10" s="215"/>
      <c r="G10" s="215"/>
      <c r="H10" s="215"/>
      <c r="I10" s="215"/>
      <c r="J10" s="215"/>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spans="1:64" ht="14">
      <c r="A11" s="37"/>
      <c r="B11" s="40"/>
      <c r="C11" s="40"/>
      <c r="D11" s="40"/>
      <c r="E11" s="225"/>
      <c r="F11" s="225"/>
      <c r="G11" s="41"/>
      <c r="H11" s="40"/>
      <c r="I11" s="92" t="str">
        <f t="shared" ref="I11:I42" si="0">IF(H11="ALI",35,IF(H11="AIE",15,""))</f>
        <v/>
      </c>
      <c r="J11" s="40"/>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row>
    <row r="12" spans="1:64" ht="14">
      <c r="A12" s="37"/>
      <c r="B12" s="40"/>
      <c r="C12" s="40"/>
      <c r="D12" s="40"/>
      <c r="E12" s="225"/>
      <c r="F12" s="225"/>
      <c r="G12" s="41"/>
      <c r="H12" s="40"/>
      <c r="I12" s="92" t="str">
        <f t="shared" si="0"/>
        <v/>
      </c>
      <c r="J12" s="40"/>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row>
    <row r="13" spans="1:64" ht="14">
      <c r="A13" s="37"/>
      <c r="B13" s="40"/>
      <c r="C13" s="40"/>
      <c r="D13" s="40"/>
      <c r="E13" s="225"/>
      <c r="F13" s="225"/>
      <c r="G13" s="41"/>
      <c r="H13" s="40"/>
      <c r="I13" s="92" t="str">
        <f t="shared" si="0"/>
        <v/>
      </c>
      <c r="J13" s="40"/>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row>
    <row r="14" spans="1:64" ht="14">
      <c r="A14" s="37"/>
      <c r="B14" s="40"/>
      <c r="C14" s="40"/>
      <c r="D14" s="40"/>
      <c r="E14" s="225"/>
      <c r="F14" s="225"/>
      <c r="G14" s="41"/>
      <c r="H14" s="40"/>
      <c r="I14" s="92" t="str">
        <f t="shared" si="0"/>
        <v/>
      </c>
      <c r="J14" s="40"/>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row>
    <row r="15" spans="1:64" ht="14">
      <c r="A15" s="37"/>
      <c r="B15" s="40"/>
      <c r="C15" s="40"/>
      <c r="D15" s="40"/>
      <c r="E15" s="225"/>
      <c r="F15" s="225"/>
      <c r="G15" s="41"/>
      <c r="H15" s="40"/>
      <c r="I15" s="92" t="str">
        <f t="shared" si="0"/>
        <v/>
      </c>
      <c r="J15" s="40"/>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row>
    <row r="16" spans="1:64" ht="14">
      <c r="A16" s="37"/>
      <c r="B16" s="40"/>
      <c r="C16" s="40"/>
      <c r="D16" s="40"/>
      <c r="E16" s="225"/>
      <c r="F16" s="225"/>
      <c r="G16" s="41"/>
      <c r="H16" s="40"/>
      <c r="I16" s="92" t="str">
        <f t="shared" si="0"/>
        <v/>
      </c>
      <c r="J16" s="40"/>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row>
    <row r="17" spans="1:64" ht="14">
      <c r="A17" s="37"/>
      <c r="B17" s="40"/>
      <c r="C17" s="40"/>
      <c r="D17" s="40"/>
      <c r="E17" s="225"/>
      <c r="F17" s="225"/>
      <c r="G17" s="41"/>
      <c r="H17" s="40"/>
      <c r="I17" s="92" t="str">
        <f t="shared" si="0"/>
        <v/>
      </c>
      <c r="J17" s="40"/>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row>
    <row r="18" spans="1:64" ht="14">
      <c r="A18" s="37"/>
      <c r="B18" s="40"/>
      <c r="C18" s="40"/>
      <c r="D18" s="40"/>
      <c r="E18" s="225"/>
      <c r="F18" s="225"/>
      <c r="G18" s="41"/>
      <c r="H18" s="40"/>
      <c r="I18" s="92" t="str">
        <f t="shared" si="0"/>
        <v/>
      </c>
      <c r="J18" s="40"/>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row>
    <row r="19" spans="1:64" ht="14">
      <c r="A19" s="37"/>
      <c r="B19" s="40"/>
      <c r="C19" s="40"/>
      <c r="D19" s="40"/>
      <c r="E19" s="225"/>
      <c r="F19" s="225"/>
      <c r="G19" s="41"/>
      <c r="H19" s="40"/>
      <c r="I19" s="92" t="str">
        <f t="shared" si="0"/>
        <v/>
      </c>
      <c r="J19" s="40"/>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row>
    <row r="20" spans="1:64" ht="14">
      <c r="A20" s="37"/>
      <c r="B20" s="40"/>
      <c r="C20" s="40"/>
      <c r="D20" s="40"/>
      <c r="E20" s="225"/>
      <c r="F20" s="225"/>
      <c r="G20" s="41"/>
      <c r="H20" s="40"/>
      <c r="I20" s="92" t="str">
        <f t="shared" si="0"/>
        <v/>
      </c>
      <c r="J20" s="40"/>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row>
    <row r="21" spans="1:64" ht="14">
      <c r="A21" s="37"/>
      <c r="B21" s="40"/>
      <c r="C21" s="40"/>
      <c r="D21" s="40"/>
      <c r="E21" s="225"/>
      <c r="F21" s="225"/>
      <c r="G21" s="41"/>
      <c r="H21" s="40"/>
      <c r="I21" s="92" t="str">
        <f t="shared" si="0"/>
        <v/>
      </c>
      <c r="J21" s="40"/>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row>
    <row r="22" spans="1:64" ht="14">
      <c r="A22" s="37"/>
      <c r="B22" s="40"/>
      <c r="C22" s="40"/>
      <c r="D22" s="40"/>
      <c r="E22" s="225"/>
      <c r="F22" s="225"/>
      <c r="G22" s="41"/>
      <c r="H22" s="40"/>
      <c r="I22" s="92" t="str">
        <f t="shared" si="0"/>
        <v/>
      </c>
      <c r="J22" s="40"/>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row>
    <row r="23" spans="1:64" ht="14">
      <c r="A23" s="37"/>
      <c r="B23" s="40"/>
      <c r="C23" s="40"/>
      <c r="D23" s="40"/>
      <c r="E23" s="225"/>
      <c r="F23" s="225"/>
      <c r="G23" s="41"/>
      <c r="H23" s="40"/>
      <c r="I23" s="92" t="str">
        <f t="shared" si="0"/>
        <v/>
      </c>
      <c r="J23" s="40"/>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row>
    <row r="24" spans="1:64" ht="14">
      <c r="A24" s="37"/>
      <c r="B24" s="40"/>
      <c r="C24" s="40"/>
      <c r="D24" s="40"/>
      <c r="E24" s="225"/>
      <c r="F24" s="225"/>
      <c r="G24" s="41"/>
      <c r="H24" s="40"/>
      <c r="I24" s="92" t="str">
        <f t="shared" si="0"/>
        <v/>
      </c>
      <c r="J24" s="40"/>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row>
    <row r="25" spans="1:64" ht="14">
      <c r="A25" s="37"/>
      <c r="B25" s="40"/>
      <c r="C25" s="40"/>
      <c r="D25" s="40"/>
      <c r="E25" s="225"/>
      <c r="F25" s="225"/>
      <c r="G25" s="41"/>
      <c r="H25" s="40"/>
      <c r="I25" s="92" t="str">
        <f t="shared" si="0"/>
        <v/>
      </c>
      <c r="J25" s="40"/>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row>
    <row r="26" spans="1:64" ht="14">
      <c r="A26" s="37"/>
      <c r="B26" s="40"/>
      <c r="C26" s="40"/>
      <c r="D26" s="40"/>
      <c r="E26" s="225"/>
      <c r="F26" s="225"/>
      <c r="G26" s="41"/>
      <c r="H26" s="40"/>
      <c r="I26" s="92" t="str">
        <f t="shared" si="0"/>
        <v/>
      </c>
      <c r="J26" s="40"/>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row>
    <row r="27" spans="1:64" ht="14">
      <c r="A27" s="37"/>
      <c r="B27" s="40"/>
      <c r="C27" s="40"/>
      <c r="D27" s="40"/>
      <c r="E27" s="225"/>
      <c r="F27" s="225"/>
      <c r="G27" s="41"/>
      <c r="H27" s="40"/>
      <c r="I27" s="92" t="str">
        <f t="shared" si="0"/>
        <v/>
      </c>
      <c r="J27" s="40"/>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row>
    <row r="28" spans="1:64" ht="14">
      <c r="A28" s="37"/>
      <c r="B28" s="40"/>
      <c r="C28" s="40"/>
      <c r="D28" s="40"/>
      <c r="E28" s="225"/>
      <c r="F28" s="225"/>
      <c r="G28" s="41"/>
      <c r="H28" s="40"/>
      <c r="I28" s="92" t="str">
        <f t="shared" si="0"/>
        <v/>
      </c>
      <c r="J28" s="40"/>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row>
    <row r="29" spans="1:64" ht="14">
      <c r="A29" s="37"/>
      <c r="B29" s="40"/>
      <c r="C29" s="40"/>
      <c r="D29" s="40"/>
      <c r="E29" s="225"/>
      <c r="F29" s="225"/>
      <c r="G29" s="81"/>
      <c r="H29" s="40"/>
      <c r="I29" s="92" t="str">
        <f t="shared" si="0"/>
        <v/>
      </c>
      <c r="J29" s="40"/>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row>
    <row r="30" spans="1:64" ht="14">
      <c r="A30" s="37"/>
      <c r="B30" s="40"/>
      <c r="C30" s="40"/>
      <c r="D30" s="40"/>
      <c r="E30" s="225"/>
      <c r="F30" s="225"/>
      <c r="G30" s="81"/>
      <c r="H30" s="40"/>
      <c r="I30" s="92" t="str">
        <f t="shared" si="0"/>
        <v/>
      </c>
      <c r="J30" s="40"/>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row>
    <row r="31" spans="1:64" ht="14">
      <c r="A31" s="37"/>
      <c r="B31" s="40"/>
      <c r="C31" s="40"/>
      <c r="D31" s="40"/>
      <c r="E31" s="225"/>
      <c r="F31" s="225"/>
      <c r="G31" s="41"/>
      <c r="H31" s="40"/>
      <c r="I31" s="92" t="str">
        <f t="shared" si="0"/>
        <v/>
      </c>
      <c r="J31" s="40"/>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row>
    <row r="32" spans="1:64" ht="14">
      <c r="A32" s="37"/>
      <c r="B32" s="40"/>
      <c r="C32" s="40"/>
      <c r="D32" s="40"/>
      <c r="E32" s="225"/>
      <c r="F32" s="225"/>
      <c r="G32" s="41"/>
      <c r="H32" s="40"/>
      <c r="I32" s="92" t="str">
        <f t="shared" si="0"/>
        <v/>
      </c>
      <c r="J32" s="40"/>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row>
    <row r="33" spans="1:64" ht="14">
      <c r="A33" s="37"/>
      <c r="B33" s="40"/>
      <c r="C33" s="40"/>
      <c r="D33" s="40"/>
      <c r="E33" s="225"/>
      <c r="F33" s="225"/>
      <c r="G33" s="41"/>
      <c r="H33" s="40"/>
      <c r="I33" s="92" t="str">
        <f t="shared" si="0"/>
        <v/>
      </c>
      <c r="J33" s="40"/>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row>
    <row r="34" spans="1:64" ht="14">
      <c r="A34" s="37"/>
      <c r="B34" s="40"/>
      <c r="C34" s="40"/>
      <c r="D34" s="40"/>
      <c r="E34" s="225"/>
      <c r="F34" s="225"/>
      <c r="G34" s="41"/>
      <c r="H34" s="40"/>
      <c r="I34" s="92" t="str">
        <f t="shared" si="0"/>
        <v/>
      </c>
      <c r="J34" s="40"/>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row>
    <row r="35" spans="1:64" ht="14">
      <c r="A35" s="37"/>
      <c r="B35" s="40"/>
      <c r="C35" s="40"/>
      <c r="D35" s="40"/>
      <c r="E35" s="225"/>
      <c r="F35" s="225"/>
      <c r="G35" s="41"/>
      <c r="H35" s="40"/>
      <c r="I35" s="92" t="str">
        <f t="shared" si="0"/>
        <v/>
      </c>
      <c r="J35" s="40"/>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row>
    <row r="36" spans="1:64" ht="14">
      <c r="A36" s="37"/>
      <c r="B36" s="40"/>
      <c r="C36" s="40"/>
      <c r="D36" s="40"/>
      <c r="E36" s="225"/>
      <c r="F36" s="225"/>
      <c r="G36" s="41"/>
      <c r="H36" s="40"/>
      <c r="I36" s="92" t="str">
        <f t="shared" si="0"/>
        <v/>
      </c>
      <c r="J36" s="40"/>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row>
    <row r="37" spans="1:64" ht="14">
      <c r="A37" s="37"/>
      <c r="B37" s="40"/>
      <c r="C37" s="40"/>
      <c r="D37" s="40"/>
      <c r="E37" s="225"/>
      <c r="F37" s="225"/>
      <c r="G37" s="41"/>
      <c r="H37" s="40"/>
      <c r="I37" s="92" t="str">
        <f t="shared" si="0"/>
        <v/>
      </c>
      <c r="J37" s="40"/>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row>
    <row r="38" spans="1:64" ht="14">
      <c r="A38" s="37"/>
      <c r="B38" s="40"/>
      <c r="C38" s="40"/>
      <c r="D38" s="40"/>
      <c r="E38" s="225"/>
      <c r="F38" s="225"/>
      <c r="G38" s="41"/>
      <c r="H38" s="40"/>
      <c r="I38" s="92" t="str">
        <f t="shared" si="0"/>
        <v/>
      </c>
      <c r="J38" s="40"/>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row>
    <row r="39" spans="1:64" ht="14">
      <c r="A39" s="37"/>
      <c r="B39" s="40"/>
      <c r="C39" s="40"/>
      <c r="D39" s="40"/>
      <c r="E39" s="225"/>
      <c r="F39" s="225"/>
      <c r="G39" s="41"/>
      <c r="H39" s="40"/>
      <c r="I39" s="92" t="str">
        <f t="shared" si="0"/>
        <v/>
      </c>
      <c r="J39" s="40"/>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row>
    <row r="40" spans="1:64" ht="14">
      <c r="A40" s="37"/>
      <c r="B40" s="40"/>
      <c r="C40" s="40"/>
      <c r="D40" s="40"/>
      <c r="E40" s="225"/>
      <c r="F40" s="225"/>
      <c r="G40" s="41"/>
      <c r="H40" s="40"/>
      <c r="I40" s="92" t="str">
        <f t="shared" si="0"/>
        <v/>
      </c>
      <c r="J40" s="40"/>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row>
    <row r="41" spans="1:64" ht="14">
      <c r="A41" s="37"/>
      <c r="B41" s="40"/>
      <c r="C41" s="40"/>
      <c r="D41" s="40"/>
      <c r="E41" s="225"/>
      <c r="F41" s="225"/>
      <c r="G41" s="41"/>
      <c r="H41" s="40"/>
      <c r="I41" s="92" t="str">
        <f t="shared" si="0"/>
        <v/>
      </c>
      <c r="J41" s="40"/>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row>
    <row r="42" spans="1:64" ht="14">
      <c r="A42" s="37"/>
      <c r="B42" s="40"/>
      <c r="C42" s="40"/>
      <c r="D42" s="40"/>
      <c r="E42" s="225"/>
      <c r="F42" s="225"/>
      <c r="G42" s="41"/>
      <c r="H42" s="40"/>
      <c r="I42" s="92" t="str">
        <f t="shared" si="0"/>
        <v/>
      </c>
      <c r="J42" s="40"/>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row>
    <row r="43" spans="1:64" ht="14">
      <c r="A43" s="37"/>
      <c r="B43" s="40"/>
      <c r="C43" s="40"/>
      <c r="D43" s="40"/>
      <c r="E43" s="225"/>
      <c r="F43" s="225"/>
      <c r="G43" s="41"/>
      <c r="H43" s="40"/>
      <c r="I43" s="92" t="str">
        <f t="shared" ref="I43:I74" si="1">IF(H43="ALI",35,IF(H43="AIE",15,""))</f>
        <v/>
      </c>
      <c r="J43" s="40"/>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row>
    <row r="44" spans="1:64" ht="14">
      <c r="A44" s="37"/>
      <c r="B44" s="40"/>
      <c r="C44" s="40"/>
      <c r="D44" s="40"/>
      <c r="E44" s="225"/>
      <c r="F44" s="225"/>
      <c r="G44" s="41"/>
      <c r="H44" s="40"/>
      <c r="I44" s="92" t="str">
        <f t="shared" si="1"/>
        <v/>
      </c>
      <c r="J44" s="40"/>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row>
    <row r="45" spans="1:64" ht="14">
      <c r="A45" s="37"/>
      <c r="B45" s="40"/>
      <c r="C45" s="40"/>
      <c r="D45" s="40"/>
      <c r="E45" s="225"/>
      <c r="F45" s="225"/>
      <c r="G45" s="41"/>
      <c r="H45" s="40"/>
      <c r="I45" s="92" t="str">
        <f t="shared" si="1"/>
        <v/>
      </c>
      <c r="J45" s="40"/>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row>
    <row r="46" spans="1:64" ht="14">
      <c r="A46" s="37"/>
      <c r="B46" s="40"/>
      <c r="C46" s="40"/>
      <c r="D46" s="40"/>
      <c r="E46" s="225"/>
      <c r="F46" s="225"/>
      <c r="G46" s="41"/>
      <c r="H46" s="40"/>
      <c r="I46" s="92" t="str">
        <f t="shared" si="1"/>
        <v/>
      </c>
      <c r="J46" s="40"/>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row>
    <row r="47" spans="1:64" ht="14">
      <c r="A47" s="37"/>
      <c r="B47" s="40"/>
      <c r="C47" s="40"/>
      <c r="D47" s="40"/>
      <c r="E47" s="225"/>
      <c r="F47" s="225"/>
      <c r="G47" s="41"/>
      <c r="H47" s="40"/>
      <c r="I47" s="92" t="str">
        <f t="shared" si="1"/>
        <v/>
      </c>
      <c r="J47" s="40"/>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row>
    <row r="48" spans="1:64" ht="14">
      <c r="A48" s="37"/>
      <c r="B48" s="40"/>
      <c r="C48" s="40"/>
      <c r="D48" s="40"/>
      <c r="E48" s="225"/>
      <c r="F48" s="225"/>
      <c r="G48" s="41"/>
      <c r="H48" s="40"/>
      <c r="I48" s="92" t="str">
        <f t="shared" si="1"/>
        <v/>
      </c>
      <c r="J48" s="40"/>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row>
    <row r="49" spans="1:64" ht="14">
      <c r="A49" s="37"/>
      <c r="B49" s="40"/>
      <c r="C49" s="40"/>
      <c r="D49" s="40"/>
      <c r="E49" s="225"/>
      <c r="F49" s="225"/>
      <c r="G49" s="41"/>
      <c r="H49" s="40"/>
      <c r="I49" s="92" t="str">
        <f t="shared" si="1"/>
        <v/>
      </c>
      <c r="J49" s="40"/>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row>
    <row r="50" spans="1:64" ht="14">
      <c r="A50" s="37"/>
      <c r="B50" s="40"/>
      <c r="C50" s="40"/>
      <c r="D50" s="40"/>
      <c r="E50" s="225"/>
      <c r="F50" s="225"/>
      <c r="G50" s="41"/>
      <c r="H50" s="40"/>
      <c r="I50" s="92" t="str">
        <f t="shared" si="1"/>
        <v/>
      </c>
      <c r="J50" s="40"/>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row>
    <row r="51" spans="1:64" ht="14">
      <c r="A51" s="37"/>
      <c r="B51" s="40"/>
      <c r="C51" s="40"/>
      <c r="D51" s="40"/>
      <c r="E51" s="225"/>
      <c r="F51" s="225"/>
      <c r="G51" s="41"/>
      <c r="H51" s="40"/>
      <c r="I51" s="92" t="str">
        <f t="shared" si="1"/>
        <v/>
      </c>
      <c r="J51" s="40"/>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row>
    <row r="52" spans="1:64" ht="14">
      <c r="A52" s="37"/>
      <c r="B52" s="40"/>
      <c r="C52" s="40"/>
      <c r="D52" s="40"/>
      <c r="E52" s="225"/>
      <c r="F52" s="225"/>
      <c r="G52" s="41"/>
      <c r="H52" s="40"/>
      <c r="I52" s="92" t="str">
        <f t="shared" si="1"/>
        <v/>
      </c>
      <c r="J52" s="40"/>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row>
    <row r="53" spans="1:64" ht="14">
      <c r="A53" s="37"/>
      <c r="B53" s="40"/>
      <c r="C53" s="40"/>
      <c r="D53" s="40"/>
      <c r="E53" s="225"/>
      <c r="F53" s="225"/>
      <c r="G53" s="41"/>
      <c r="H53" s="40"/>
      <c r="I53" s="92" t="str">
        <f t="shared" si="1"/>
        <v/>
      </c>
      <c r="J53" s="40"/>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row>
    <row r="54" spans="1:64" ht="14">
      <c r="A54" s="37"/>
      <c r="B54" s="40"/>
      <c r="C54" s="40"/>
      <c r="D54" s="40"/>
      <c r="E54" s="225"/>
      <c r="F54" s="225"/>
      <c r="G54" s="41"/>
      <c r="H54" s="40"/>
      <c r="I54" s="92" t="str">
        <f t="shared" si="1"/>
        <v/>
      </c>
      <c r="J54" s="40"/>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row>
    <row r="55" spans="1:64" ht="14">
      <c r="A55" s="37"/>
      <c r="B55" s="40"/>
      <c r="C55" s="40"/>
      <c r="D55" s="40"/>
      <c r="E55" s="225"/>
      <c r="F55" s="225"/>
      <c r="G55" s="41"/>
      <c r="H55" s="40"/>
      <c r="I55" s="92" t="str">
        <f t="shared" si="1"/>
        <v/>
      </c>
      <c r="J55" s="40"/>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row>
    <row r="56" spans="1:64" ht="14">
      <c r="A56" s="37"/>
      <c r="B56" s="40"/>
      <c r="C56" s="40"/>
      <c r="D56" s="40"/>
      <c r="E56" s="225"/>
      <c r="F56" s="225"/>
      <c r="G56" s="41"/>
      <c r="H56" s="40"/>
      <c r="I56" s="92" t="str">
        <f t="shared" si="1"/>
        <v/>
      </c>
      <c r="J56" s="40"/>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row>
    <row r="57" spans="1:64" ht="14">
      <c r="A57" s="37"/>
      <c r="B57" s="40"/>
      <c r="C57" s="40"/>
      <c r="D57" s="40"/>
      <c r="E57" s="225"/>
      <c r="F57" s="225"/>
      <c r="G57" s="41"/>
      <c r="H57" s="40"/>
      <c r="I57" s="92" t="str">
        <f t="shared" si="1"/>
        <v/>
      </c>
      <c r="J57" s="40"/>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row>
    <row r="58" spans="1:64" ht="14">
      <c r="A58" s="37"/>
      <c r="B58" s="40"/>
      <c r="C58" s="40"/>
      <c r="D58" s="40"/>
      <c r="E58" s="225"/>
      <c r="F58" s="225"/>
      <c r="G58" s="41"/>
      <c r="H58" s="40"/>
      <c r="I58" s="92" t="str">
        <f t="shared" si="1"/>
        <v/>
      </c>
      <c r="J58" s="40"/>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row>
    <row r="59" spans="1:64" ht="14">
      <c r="A59" s="37"/>
      <c r="B59" s="40"/>
      <c r="C59" s="40"/>
      <c r="D59" s="40"/>
      <c r="E59" s="225"/>
      <c r="F59" s="225"/>
      <c r="G59" s="41"/>
      <c r="H59" s="40"/>
      <c r="I59" s="92" t="str">
        <f t="shared" si="1"/>
        <v/>
      </c>
      <c r="J59" s="40"/>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row>
    <row r="60" spans="1:64" ht="14">
      <c r="A60" s="37"/>
      <c r="B60" s="40"/>
      <c r="C60" s="40"/>
      <c r="D60" s="40"/>
      <c r="E60" s="225"/>
      <c r="F60" s="225"/>
      <c r="G60" s="41"/>
      <c r="H60" s="40"/>
      <c r="I60" s="92" t="str">
        <f t="shared" si="1"/>
        <v/>
      </c>
      <c r="J60" s="40"/>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row>
    <row r="61" spans="1:64" ht="14">
      <c r="A61" s="37"/>
      <c r="B61" s="40"/>
      <c r="C61" s="40"/>
      <c r="D61" s="40"/>
      <c r="E61" s="225"/>
      <c r="F61" s="225"/>
      <c r="G61" s="41"/>
      <c r="H61" s="40"/>
      <c r="I61" s="92" t="str">
        <f t="shared" si="1"/>
        <v/>
      </c>
      <c r="J61" s="40"/>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row>
    <row r="62" spans="1:64" ht="14">
      <c r="A62" s="37"/>
      <c r="B62" s="40"/>
      <c r="C62" s="40"/>
      <c r="D62" s="40"/>
      <c r="E62" s="225"/>
      <c r="F62" s="225"/>
      <c r="G62" s="41"/>
      <c r="H62" s="40"/>
      <c r="I62" s="92" t="str">
        <f t="shared" si="1"/>
        <v/>
      </c>
      <c r="J62" s="40"/>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row>
    <row r="63" spans="1:64" ht="14">
      <c r="A63" s="37"/>
      <c r="B63" s="40"/>
      <c r="C63" s="40"/>
      <c r="D63" s="40"/>
      <c r="E63" s="225"/>
      <c r="F63" s="225"/>
      <c r="G63" s="41"/>
      <c r="H63" s="40"/>
      <c r="I63" s="92" t="str">
        <f t="shared" si="1"/>
        <v/>
      </c>
      <c r="J63" s="40"/>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row>
    <row r="64" spans="1:64" ht="14">
      <c r="A64" s="37"/>
      <c r="B64" s="40"/>
      <c r="C64" s="40"/>
      <c r="D64" s="40"/>
      <c r="E64" s="225"/>
      <c r="F64" s="225"/>
      <c r="G64" s="41"/>
      <c r="H64" s="40"/>
      <c r="I64" s="92" t="str">
        <f t="shared" si="1"/>
        <v/>
      </c>
      <c r="J64" s="40"/>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row>
    <row r="65" spans="1:64" ht="14">
      <c r="A65" s="37"/>
      <c r="B65" s="40"/>
      <c r="C65" s="40"/>
      <c r="D65" s="40"/>
      <c r="E65" s="225"/>
      <c r="F65" s="225"/>
      <c r="G65" s="41"/>
      <c r="H65" s="40"/>
      <c r="I65" s="92" t="str">
        <f t="shared" si="1"/>
        <v/>
      </c>
      <c r="J65" s="40"/>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row>
    <row r="66" spans="1:64" ht="14">
      <c r="A66" s="37"/>
      <c r="B66" s="40"/>
      <c r="C66" s="40"/>
      <c r="D66" s="40"/>
      <c r="E66" s="225"/>
      <c r="F66" s="225"/>
      <c r="G66" s="41"/>
      <c r="H66" s="40"/>
      <c r="I66" s="92" t="str">
        <f t="shared" si="1"/>
        <v/>
      </c>
      <c r="J66" s="40"/>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row>
    <row r="67" spans="1:64" ht="14">
      <c r="A67" s="37"/>
      <c r="B67" s="40"/>
      <c r="C67" s="40"/>
      <c r="D67" s="40"/>
      <c r="E67" s="225"/>
      <c r="F67" s="225"/>
      <c r="G67" s="41"/>
      <c r="H67" s="40"/>
      <c r="I67" s="92" t="str">
        <f t="shared" si="1"/>
        <v/>
      </c>
      <c r="J67" s="40"/>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row>
    <row r="68" spans="1:64" ht="14">
      <c r="A68" s="37"/>
      <c r="B68" s="40"/>
      <c r="C68" s="40"/>
      <c r="D68" s="40"/>
      <c r="E68" s="225"/>
      <c r="F68" s="225"/>
      <c r="G68" s="41"/>
      <c r="H68" s="40"/>
      <c r="I68" s="92" t="str">
        <f t="shared" si="1"/>
        <v/>
      </c>
      <c r="J68" s="40"/>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row>
    <row r="69" spans="1:64" ht="14">
      <c r="A69" s="37"/>
      <c r="B69" s="40"/>
      <c r="C69" s="40"/>
      <c r="D69" s="40"/>
      <c r="E69" s="225"/>
      <c r="F69" s="225"/>
      <c r="G69" s="41"/>
      <c r="H69" s="40"/>
      <c r="I69" s="92" t="str">
        <f t="shared" si="1"/>
        <v/>
      </c>
      <c r="J69" s="40"/>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row>
    <row r="70" spans="1:64" ht="14">
      <c r="A70" s="37"/>
      <c r="B70" s="40"/>
      <c r="C70" s="40"/>
      <c r="D70" s="40"/>
      <c r="E70" s="225"/>
      <c r="F70" s="225"/>
      <c r="G70" s="41"/>
      <c r="H70" s="40"/>
      <c r="I70" s="92" t="str">
        <f t="shared" si="1"/>
        <v/>
      </c>
      <c r="J70" s="40"/>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row>
    <row r="71" spans="1:64" ht="14">
      <c r="A71" s="37"/>
      <c r="B71" s="40"/>
      <c r="C71" s="40"/>
      <c r="D71" s="40"/>
      <c r="E71" s="225"/>
      <c r="F71" s="225"/>
      <c r="G71" s="41"/>
      <c r="H71" s="40"/>
      <c r="I71" s="92" t="str">
        <f t="shared" si="1"/>
        <v/>
      </c>
      <c r="J71" s="40"/>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row>
    <row r="72" spans="1:64" ht="14">
      <c r="A72" s="37"/>
      <c r="B72" s="40"/>
      <c r="C72" s="40"/>
      <c r="D72" s="40"/>
      <c r="E72" s="225"/>
      <c r="F72" s="225"/>
      <c r="G72" s="41"/>
      <c r="H72" s="40"/>
      <c r="I72" s="92" t="str">
        <f t="shared" si="1"/>
        <v/>
      </c>
      <c r="J72" s="40"/>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row>
    <row r="73" spans="1:64" ht="14">
      <c r="A73" s="37"/>
      <c r="B73" s="40"/>
      <c r="C73" s="40"/>
      <c r="D73" s="40"/>
      <c r="E73" s="225"/>
      <c r="F73" s="225"/>
      <c r="G73" s="41"/>
      <c r="H73" s="40"/>
      <c r="I73" s="92" t="str">
        <f t="shared" si="1"/>
        <v/>
      </c>
      <c r="J73" s="40"/>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row>
    <row r="74" spans="1:64" ht="14">
      <c r="A74" s="37"/>
      <c r="B74" s="40"/>
      <c r="C74" s="40"/>
      <c r="D74" s="40"/>
      <c r="E74" s="225"/>
      <c r="F74" s="225"/>
      <c r="G74" s="41"/>
      <c r="H74" s="40"/>
      <c r="I74" s="92" t="str">
        <f t="shared" si="1"/>
        <v/>
      </c>
      <c r="J74" s="40"/>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row>
    <row r="75" spans="1:64" ht="14">
      <c r="A75" s="37"/>
      <c r="B75" s="40"/>
      <c r="C75" s="40"/>
      <c r="D75" s="40"/>
      <c r="E75" s="225"/>
      <c r="F75" s="225"/>
      <c r="G75" s="41"/>
      <c r="H75" s="40"/>
      <c r="I75" s="92" t="str">
        <f t="shared" ref="I75:I106" si="2">IF(H75="ALI",35,IF(H75="AIE",15,""))</f>
        <v/>
      </c>
      <c r="J75" s="40"/>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row>
    <row r="76" spans="1:64" ht="14">
      <c r="A76" s="37"/>
      <c r="B76" s="40"/>
      <c r="C76" s="40"/>
      <c r="D76" s="40"/>
      <c r="E76" s="225"/>
      <c r="F76" s="225"/>
      <c r="G76" s="41"/>
      <c r="H76" s="40"/>
      <c r="I76" s="92" t="str">
        <f t="shared" si="2"/>
        <v/>
      </c>
      <c r="J76" s="40"/>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row>
    <row r="77" spans="1:64" ht="14">
      <c r="A77" s="37"/>
      <c r="B77" s="40"/>
      <c r="C77" s="40"/>
      <c r="D77" s="40"/>
      <c r="E77" s="225"/>
      <c r="F77" s="225"/>
      <c r="G77" s="41"/>
      <c r="H77" s="40"/>
      <c r="I77" s="92" t="str">
        <f t="shared" si="2"/>
        <v/>
      </c>
      <c r="J77" s="40"/>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row>
    <row r="78" spans="1:64" ht="14">
      <c r="A78" s="37"/>
      <c r="B78" s="40"/>
      <c r="C78" s="40"/>
      <c r="D78" s="40"/>
      <c r="E78" s="225"/>
      <c r="F78" s="225"/>
      <c r="G78" s="41"/>
      <c r="H78" s="40"/>
      <c r="I78" s="92" t="str">
        <f t="shared" si="2"/>
        <v/>
      </c>
      <c r="J78" s="40"/>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row>
    <row r="79" spans="1:64" ht="14">
      <c r="A79" s="37"/>
      <c r="B79" s="40"/>
      <c r="C79" s="40"/>
      <c r="D79" s="40"/>
      <c r="E79" s="225"/>
      <c r="F79" s="225"/>
      <c r="G79" s="41"/>
      <c r="H79" s="40"/>
      <c r="I79" s="92" t="str">
        <f t="shared" si="2"/>
        <v/>
      </c>
      <c r="J79" s="40"/>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row>
    <row r="80" spans="1:64" ht="14">
      <c r="A80" s="37"/>
      <c r="B80" s="40"/>
      <c r="C80" s="40"/>
      <c r="D80" s="40"/>
      <c r="E80" s="225"/>
      <c r="F80" s="225"/>
      <c r="G80" s="41"/>
      <c r="H80" s="40"/>
      <c r="I80" s="92" t="str">
        <f t="shared" si="2"/>
        <v/>
      </c>
      <c r="J80" s="40"/>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row>
    <row r="81" spans="1:64" ht="14">
      <c r="A81" s="37"/>
      <c r="B81" s="40"/>
      <c r="C81" s="40"/>
      <c r="D81" s="40"/>
      <c r="E81" s="225"/>
      <c r="F81" s="225"/>
      <c r="G81" s="41"/>
      <c r="H81" s="40"/>
      <c r="I81" s="92" t="str">
        <f t="shared" si="2"/>
        <v/>
      </c>
      <c r="J81" s="40"/>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row>
    <row r="82" spans="1:64" ht="14">
      <c r="A82" s="37"/>
      <c r="B82" s="40"/>
      <c r="C82" s="40"/>
      <c r="D82" s="40"/>
      <c r="E82" s="225"/>
      <c r="F82" s="225"/>
      <c r="G82" s="41"/>
      <c r="H82" s="40"/>
      <c r="I82" s="92" t="str">
        <f t="shared" si="2"/>
        <v/>
      </c>
      <c r="J82" s="40"/>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row>
    <row r="83" spans="1:64" ht="14">
      <c r="A83" s="37"/>
      <c r="B83" s="40"/>
      <c r="C83" s="40"/>
      <c r="D83" s="40"/>
      <c r="E83" s="225"/>
      <c r="F83" s="225"/>
      <c r="G83" s="41"/>
      <c r="H83" s="40"/>
      <c r="I83" s="92" t="str">
        <f t="shared" si="2"/>
        <v/>
      </c>
      <c r="J83" s="40"/>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row>
    <row r="84" spans="1:64" ht="14">
      <c r="A84" s="37"/>
      <c r="B84" s="40"/>
      <c r="C84" s="40"/>
      <c r="D84" s="40"/>
      <c r="E84" s="225"/>
      <c r="F84" s="225"/>
      <c r="G84" s="41"/>
      <c r="H84" s="40"/>
      <c r="I84" s="92" t="str">
        <f t="shared" si="2"/>
        <v/>
      </c>
      <c r="J84" s="40"/>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row>
    <row r="85" spans="1:64" ht="14">
      <c r="A85" s="37"/>
      <c r="B85" s="40"/>
      <c r="C85" s="40"/>
      <c r="D85" s="40"/>
      <c r="E85" s="225"/>
      <c r="F85" s="225"/>
      <c r="G85" s="41"/>
      <c r="H85" s="40"/>
      <c r="I85" s="92" t="str">
        <f t="shared" si="2"/>
        <v/>
      </c>
      <c r="J85" s="40"/>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row>
    <row r="86" spans="1:64" ht="14">
      <c r="A86" s="37"/>
      <c r="B86" s="40"/>
      <c r="C86" s="40"/>
      <c r="D86" s="40"/>
      <c r="E86" s="225"/>
      <c r="F86" s="225"/>
      <c r="G86" s="41"/>
      <c r="H86" s="40"/>
      <c r="I86" s="92" t="str">
        <f t="shared" si="2"/>
        <v/>
      </c>
      <c r="J86" s="40"/>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row>
    <row r="87" spans="1:64" ht="14">
      <c r="A87" s="37"/>
      <c r="B87" s="40"/>
      <c r="C87" s="40"/>
      <c r="D87" s="40"/>
      <c r="E87" s="225"/>
      <c r="F87" s="225"/>
      <c r="G87" s="41"/>
      <c r="H87" s="40"/>
      <c r="I87" s="92" t="str">
        <f t="shared" si="2"/>
        <v/>
      </c>
      <c r="J87" s="40"/>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row>
    <row r="88" spans="1:64" ht="14">
      <c r="A88" s="37"/>
      <c r="B88" s="40"/>
      <c r="C88" s="40"/>
      <c r="D88" s="40"/>
      <c r="E88" s="225"/>
      <c r="F88" s="225"/>
      <c r="G88" s="41"/>
      <c r="H88" s="40"/>
      <c r="I88" s="92" t="str">
        <f t="shared" si="2"/>
        <v/>
      </c>
      <c r="J88" s="40"/>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row>
    <row r="89" spans="1:64" ht="14">
      <c r="A89" s="37"/>
      <c r="B89" s="40"/>
      <c r="C89" s="40"/>
      <c r="D89" s="40"/>
      <c r="E89" s="225"/>
      <c r="F89" s="225"/>
      <c r="G89" s="41"/>
      <c r="H89" s="40"/>
      <c r="I89" s="92" t="str">
        <f t="shared" si="2"/>
        <v/>
      </c>
      <c r="J89" s="40"/>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row>
    <row r="90" spans="1:64" ht="14">
      <c r="A90" s="37"/>
      <c r="B90" s="40"/>
      <c r="C90" s="40"/>
      <c r="D90" s="40"/>
      <c r="E90" s="225"/>
      <c r="F90" s="225"/>
      <c r="G90" s="41"/>
      <c r="H90" s="40"/>
      <c r="I90" s="92" t="str">
        <f t="shared" si="2"/>
        <v/>
      </c>
      <c r="J90" s="40"/>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row>
    <row r="91" spans="1:64" ht="14">
      <c r="A91" s="37"/>
      <c r="B91" s="40"/>
      <c r="C91" s="40"/>
      <c r="D91" s="40"/>
      <c r="E91" s="225"/>
      <c r="F91" s="225"/>
      <c r="G91" s="41"/>
      <c r="H91" s="40"/>
      <c r="I91" s="92" t="str">
        <f t="shared" si="2"/>
        <v/>
      </c>
      <c r="J91" s="40"/>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row>
    <row r="92" spans="1:64" ht="14">
      <c r="A92" s="37"/>
      <c r="B92" s="40"/>
      <c r="C92" s="40"/>
      <c r="D92" s="40"/>
      <c r="E92" s="225"/>
      <c r="F92" s="225"/>
      <c r="G92" s="41"/>
      <c r="H92" s="40"/>
      <c r="I92" s="92" t="str">
        <f t="shared" si="2"/>
        <v/>
      </c>
      <c r="J92" s="40"/>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row>
    <row r="93" spans="1:64" ht="14">
      <c r="A93" s="37"/>
      <c r="B93" s="40"/>
      <c r="C93" s="40"/>
      <c r="D93" s="40"/>
      <c r="E93" s="225"/>
      <c r="F93" s="225"/>
      <c r="G93" s="41"/>
      <c r="H93" s="40"/>
      <c r="I93" s="92" t="str">
        <f t="shared" si="2"/>
        <v/>
      </c>
      <c r="J93" s="40"/>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row>
    <row r="94" spans="1:64" ht="14">
      <c r="A94" s="37"/>
      <c r="B94" s="40"/>
      <c r="C94" s="40"/>
      <c r="D94" s="40"/>
      <c r="E94" s="225"/>
      <c r="F94" s="225"/>
      <c r="G94" s="41"/>
      <c r="H94" s="40"/>
      <c r="I94" s="92" t="str">
        <f t="shared" si="2"/>
        <v/>
      </c>
      <c r="J94" s="40"/>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row>
    <row r="95" spans="1:64" ht="14">
      <c r="A95" s="37"/>
      <c r="B95" s="40"/>
      <c r="C95" s="40"/>
      <c r="D95" s="40"/>
      <c r="E95" s="225"/>
      <c r="F95" s="225"/>
      <c r="G95" s="41"/>
      <c r="H95" s="40"/>
      <c r="I95" s="92" t="str">
        <f t="shared" si="2"/>
        <v/>
      </c>
      <c r="J95" s="40"/>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row>
    <row r="96" spans="1:64" ht="14">
      <c r="A96" s="37"/>
      <c r="B96" s="40"/>
      <c r="C96" s="40"/>
      <c r="D96" s="40"/>
      <c r="E96" s="225"/>
      <c r="F96" s="225"/>
      <c r="G96" s="41"/>
      <c r="H96" s="40"/>
      <c r="I96" s="92" t="str">
        <f t="shared" si="2"/>
        <v/>
      </c>
      <c r="J96" s="40"/>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row>
    <row r="97" spans="1:64" ht="14">
      <c r="A97" s="37"/>
      <c r="B97" s="40"/>
      <c r="C97" s="40"/>
      <c r="D97" s="40"/>
      <c r="E97" s="225"/>
      <c r="F97" s="225"/>
      <c r="G97" s="41"/>
      <c r="H97" s="40"/>
      <c r="I97" s="92" t="str">
        <f t="shared" si="2"/>
        <v/>
      </c>
      <c r="J97" s="40"/>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row>
    <row r="98" spans="1:64" ht="14">
      <c r="A98" s="37"/>
      <c r="B98" s="40"/>
      <c r="C98" s="40"/>
      <c r="D98" s="40"/>
      <c r="E98" s="225"/>
      <c r="F98" s="225"/>
      <c r="G98" s="41"/>
      <c r="H98" s="40"/>
      <c r="I98" s="92" t="str">
        <f t="shared" si="2"/>
        <v/>
      </c>
      <c r="J98" s="40"/>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row>
    <row r="99" spans="1:64" ht="14">
      <c r="A99" s="37"/>
      <c r="B99" s="40"/>
      <c r="C99" s="40"/>
      <c r="D99" s="40"/>
      <c r="E99" s="225"/>
      <c r="F99" s="225"/>
      <c r="G99" s="41"/>
      <c r="H99" s="40"/>
      <c r="I99" s="92" t="str">
        <f t="shared" si="2"/>
        <v/>
      </c>
      <c r="J99" s="40"/>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row>
    <row r="100" spans="1:64" ht="14">
      <c r="A100" s="37"/>
      <c r="B100" s="40"/>
      <c r="C100" s="40"/>
      <c r="D100" s="40"/>
      <c r="E100" s="225"/>
      <c r="F100" s="225"/>
      <c r="G100" s="41"/>
      <c r="H100" s="40"/>
      <c r="I100" s="92" t="str">
        <f t="shared" si="2"/>
        <v/>
      </c>
      <c r="J100" s="40"/>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row>
    <row r="101" spans="1:64" ht="14">
      <c r="A101" s="37"/>
      <c r="B101" s="40"/>
      <c r="C101" s="40"/>
      <c r="D101" s="40"/>
      <c r="E101" s="225"/>
      <c r="F101" s="225"/>
      <c r="G101" s="41"/>
      <c r="H101" s="40"/>
      <c r="I101" s="92" t="str">
        <f t="shared" si="2"/>
        <v/>
      </c>
      <c r="J101" s="40"/>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row>
    <row r="102" spans="1:64" ht="14">
      <c r="A102" s="37"/>
      <c r="B102" s="40"/>
      <c r="C102" s="40"/>
      <c r="D102" s="40"/>
      <c r="E102" s="225"/>
      <c r="F102" s="225"/>
      <c r="G102" s="41"/>
      <c r="H102" s="40"/>
      <c r="I102" s="92" t="str">
        <f t="shared" si="2"/>
        <v/>
      </c>
      <c r="J102" s="40"/>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row>
    <row r="103" spans="1:64" ht="14">
      <c r="A103" s="37"/>
      <c r="B103" s="40"/>
      <c r="C103" s="40"/>
      <c r="D103" s="40"/>
      <c r="E103" s="225"/>
      <c r="F103" s="225"/>
      <c r="G103" s="41"/>
      <c r="H103" s="40"/>
      <c r="I103" s="92" t="str">
        <f t="shared" si="2"/>
        <v/>
      </c>
      <c r="J103" s="40"/>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row>
    <row r="104" spans="1:64" ht="14">
      <c r="A104" s="37"/>
      <c r="B104" s="40"/>
      <c r="C104" s="40"/>
      <c r="D104" s="40"/>
      <c r="E104" s="225"/>
      <c r="F104" s="225"/>
      <c r="G104" s="41"/>
      <c r="H104" s="40"/>
      <c r="I104" s="92" t="str">
        <f t="shared" si="2"/>
        <v/>
      </c>
      <c r="J104" s="40"/>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row>
    <row r="105" spans="1:64" ht="14">
      <c r="A105" s="37"/>
      <c r="B105" s="40"/>
      <c r="C105" s="40"/>
      <c r="D105" s="40"/>
      <c r="E105" s="225"/>
      <c r="F105" s="225"/>
      <c r="G105" s="41"/>
      <c r="H105" s="40"/>
      <c r="I105" s="92" t="str">
        <f t="shared" si="2"/>
        <v/>
      </c>
      <c r="J105" s="40"/>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row>
    <row r="106" spans="1:64" ht="14">
      <c r="A106" s="37"/>
      <c r="B106" s="40"/>
      <c r="C106" s="40"/>
      <c r="D106" s="40"/>
      <c r="E106" s="225"/>
      <c r="F106" s="225"/>
      <c r="G106" s="41"/>
      <c r="H106" s="40"/>
      <c r="I106" s="92" t="str">
        <f t="shared" si="2"/>
        <v/>
      </c>
      <c r="J106" s="40"/>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row>
    <row r="107" spans="1:64" ht="14">
      <c r="A107" s="37"/>
      <c r="B107" s="40"/>
      <c r="C107" s="40"/>
      <c r="D107" s="40"/>
      <c r="E107" s="225"/>
      <c r="F107" s="225"/>
      <c r="G107" s="41"/>
      <c r="H107" s="40"/>
      <c r="I107" s="92" t="str">
        <f t="shared" ref="I107:I108" si="3">IF(H107="ALI",35,IF(H107="AIE",15,""))</f>
        <v/>
      </c>
      <c r="J107" s="40"/>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row>
    <row r="108" spans="1:64" ht="14">
      <c r="A108" s="37"/>
      <c r="B108" s="40"/>
      <c r="C108" s="40"/>
      <c r="D108" s="40"/>
      <c r="E108" s="225"/>
      <c r="F108" s="225"/>
      <c r="G108" s="41"/>
      <c r="H108" s="40"/>
      <c r="I108" s="92" t="str">
        <f t="shared" si="3"/>
        <v/>
      </c>
      <c r="J108" s="40"/>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row>
    <row r="109" spans="1:64" ht="14">
      <c r="A109" s="215" t="s">
        <v>58</v>
      </c>
      <c r="B109" s="215"/>
      <c r="C109" s="215"/>
      <c r="D109" s="215"/>
      <c r="E109" s="215"/>
      <c r="F109" s="215"/>
      <c r="G109" s="215"/>
      <c r="H109" s="215"/>
      <c r="I109" s="215"/>
      <c r="J109" s="215"/>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row>
    <row r="110" spans="1:64" ht="12.75" customHeight="1">
      <c r="A110" s="48"/>
      <c r="B110" s="50"/>
      <c r="C110" s="50"/>
      <c r="D110" s="50"/>
      <c r="E110" s="50"/>
      <c r="F110" s="50"/>
      <c r="G110" s="234" t="s">
        <v>95</v>
      </c>
      <c r="H110" s="234"/>
      <c r="I110" s="93">
        <f>SUM(I10:I109)</f>
        <v>0</v>
      </c>
      <c r="J110" s="53"/>
    </row>
  </sheetData>
  <mergeCells count="116">
    <mergeCell ref="E1:J1"/>
    <mergeCell ref="H3:J3"/>
    <mergeCell ref="H4:J4"/>
    <mergeCell ref="A5:D6"/>
    <mergeCell ref="E5:E6"/>
    <mergeCell ref="H5:J5"/>
    <mergeCell ref="H6:J6"/>
    <mergeCell ref="A8:A9"/>
    <mergeCell ref="B8:B9"/>
    <mergeCell ref="C8:C9"/>
    <mergeCell ref="D8:D9"/>
    <mergeCell ref="E8:F9"/>
    <mergeCell ref="G8:G9"/>
    <mergeCell ref="H8:I8"/>
    <mergeCell ref="J8:J9"/>
    <mergeCell ref="A10:J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A109:J109"/>
    <mergeCell ref="G110:H110"/>
    <mergeCell ref="E100:F100"/>
    <mergeCell ref="E101:F101"/>
    <mergeCell ref="E102:F102"/>
    <mergeCell ref="E103:F103"/>
    <mergeCell ref="E104:F104"/>
    <mergeCell ref="E105:F105"/>
    <mergeCell ref="E106:F106"/>
    <mergeCell ref="E107:F107"/>
    <mergeCell ref="E108:F108"/>
  </mergeCells>
  <conditionalFormatting sqref="H11:H108">
    <cfRule type="cellIs" dxfId="5" priority="2" operator="between">
      <formula>"Desenvolvimento"</formula>
      <formula>"Manutenção"</formula>
    </cfRule>
  </conditionalFormatting>
  <dataValidations count="1">
    <dataValidation type="list" operator="equal" allowBlank="1" showInputMessage="1" showErrorMessage="1" errorTitle="Erro" error="Selecione uma das opções apresentada" sqref="H11:H108" xr:uid="{00000000-0002-0000-0700-000000000000}">
      <formula1>"-------,ALI,AIE"</formula1>
      <formula2>0</formula2>
    </dataValidation>
  </dataValidations>
  <pageMargins left="0.196527777777778" right="0.196527777777778" top="0.32986111111111099" bottom="0.42986111111111103" header="0.179861111111111" footer="0.27569444444444402"/>
  <pageSetup paperSize="9" firstPageNumber="0" fitToHeight="10" orientation="landscape" horizontalDpi="300" verticalDpi="300"/>
  <headerFooter>
    <oddHeader>&amp;C&amp;A</oddHeader>
    <oddFooter>&amp;CPágina &amp;P de &amp;N</oddFoot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L31"/>
  <sheetViews>
    <sheetView zoomScaleNormal="100" workbookViewId="0"/>
  </sheetViews>
  <sheetFormatPr defaultRowHeight="12.5"/>
  <cols>
    <col min="1" max="1" width="8.90625" style="18" customWidth="1"/>
    <col min="2" max="2" width="26.54296875" style="18" customWidth="1"/>
    <col min="3" max="3" width="101.90625" style="18" customWidth="1"/>
    <col min="4" max="64" width="8.90625" style="18" customWidth="1"/>
    <col min="65" max="1025" width="8.90625" customWidth="1"/>
  </cols>
  <sheetData>
    <row r="1" spans="1:3" ht="69" customHeight="1">
      <c r="A1" s="2" t="str">
        <f>Resumo!A1</f>
        <v>Template V.1.6</v>
      </c>
      <c r="B1" s="94"/>
      <c r="C1" s="23" t="s">
        <v>96</v>
      </c>
    </row>
    <row r="3" spans="1:3" ht="13">
      <c r="A3" s="235" t="s">
        <v>97</v>
      </c>
      <c r="B3" s="235"/>
      <c r="C3" s="235"/>
    </row>
    <row r="4" spans="1:3" ht="13">
      <c r="A4" s="34" t="s">
        <v>37</v>
      </c>
      <c r="B4" s="34" t="s">
        <v>98</v>
      </c>
      <c r="C4" s="34" t="s">
        <v>99</v>
      </c>
    </row>
    <row r="5" spans="1:3" ht="12.65" customHeight="1">
      <c r="A5" s="95">
        <v>1</v>
      </c>
      <c r="B5" s="96"/>
      <c r="C5" s="37"/>
    </row>
    <row r="6" spans="1:3">
      <c r="A6" s="95">
        <v>2</v>
      </c>
      <c r="B6" s="96"/>
      <c r="C6" s="37"/>
    </row>
    <row r="7" spans="1:3">
      <c r="A7" s="95"/>
      <c r="B7" s="96"/>
      <c r="C7" s="37"/>
    </row>
    <row r="8" spans="1:3">
      <c r="A8" s="95"/>
      <c r="B8" s="96"/>
      <c r="C8" s="37"/>
    </row>
    <row r="9" spans="1:3">
      <c r="A9" s="95"/>
      <c r="B9" s="96"/>
      <c r="C9" s="95"/>
    </row>
    <row r="10" spans="1:3">
      <c r="A10" s="95"/>
      <c r="B10" s="96"/>
      <c r="C10" s="95"/>
    </row>
    <row r="11" spans="1:3">
      <c r="A11" s="95"/>
      <c r="B11" s="96"/>
      <c r="C11" s="95"/>
    </row>
    <row r="12" spans="1:3">
      <c r="A12" s="95"/>
      <c r="B12" s="96"/>
      <c r="C12" s="97"/>
    </row>
    <row r="13" spans="1:3">
      <c r="A13" s="95"/>
      <c r="B13" s="96"/>
      <c r="C13" s="97"/>
    </row>
    <row r="14" spans="1:3">
      <c r="A14" s="95"/>
      <c r="B14" s="96"/>
      <c r="C14" s="97"/>
    </row>
    <row r="15" spans="1:3">
      <c r="A15" s="95"/>
      <c r="B15" s="96"/>
      <c r="C15" s="97"/>
    </row>
    <row r="16" spans="1:3">
      <c r="A16" s="95"/>
      <c r="B16" s="96"/>
      <c r="C16" s="97"/>
    </row>
    <row r="17" spans="1:3">
      <c r="A17" s="95"/>
      <c r="B17" s="96"/>
      <c r="C17" s="97"/>
    </row>
    <row r="18" spans="1:3">
      <c r="A18" s="95"/>
      <c r="B18" s="96"/>
      <c r="C18" s="97"/>
    </row>
    <row r="19" spans="1:3">
      <c r="A19" s="95"/>
      <c r="B19" s="96"/>
      <c r="C19" s="97"/>
    </row>
    <row r="20" spans="1:3">
      <c r="A20" s="95"/>
      <c r="B20" s="96"/>
      <c r="C20" s="97"/>
    </row>
    <row r="21" spans="1:3">
      <c r="A21" s="95"/>
      <c r="B21" s="96"/>
      <c r="C21" s="97"/>
    </row>
    <row r="22" spans="1:3">
      <c r="A22" s="95"/>
      <c r="B22" s="96"/>
      <c r="C22" s="97"/>
    </row>
    <row r="23" spans="1:3">
      <c r="A23" s="95"/>
      <c r="B23" s="96"/>
      <c r="C23" s="97"/>
    </row>
    <row r="24" spans="1:3">
      <c r="A24" s="95"/>
      <c r="B24" s="96"/>
      <c r="C24" s="97"/>
    </row>
    <row r="25" spans="1:3">
      <c r="A25" s="95"/>
      <c r="B25" s="96"/>
      <c r="C25" s="97"/>
    </row>
    <row r="26" spans="1:3">
      <c r="A26" s="95"/>
      <c r="B26" s="96"/>
      <c r="C26" s="97"/>
    </row>
    <row r="27" spans="1:3">
      <c r="A27" s="95"/>
      <c r="B27" s="96"/>
      <c r="C27" s="97"/>
    </row>
    <row r="28" spans="1:3">
      <c r="A28" s="95"/>
      <c r="B28" s="96"/>
      <c r="C28" s="97"/>
    </row>
    <row r="29" spans="1:3">
      <c r="A29" s="95"/>
      <c r="B29" s="96"/>
      <c r="C29" s="97"/>
    </row>
    <row r="30" spans="1:3">
      <c r="A30" s="95"/>
      <c r="B30" s="96"/>
      <c r="C30" s="97"/>
    </row>
    <row r="31" spans="1:3">
      <c r="A31" s="95"/>
      <c r="B31" s="96"/>
      <c r="C31" s="97"/>
    </row>
  </sheetData>
  <mergeCells count="1">
    <mergeCell ref="A3:C3"/>
  </mergeCells>
  <pageMargins left="0.51180555555555496" right="0.51180555555555496" top="0.78749999999999998" bottom="0.78749999999999998" header="0.51180555555555496" footer="0.51180555555555496"/>
  <pageSetup paperSize="9" firstPageNumber="0"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L135"/>
  <sheetViews>
    <sheetView zoomScaleNormal="100" workbookViewId="0"/>
  </sheetViews>
  <sheetFormatPr defaultRowHeight="12.5"/>
  <cols>
    <col min="1" max="1" width="1.7265625" style="98" customWidth="1"/>
    <col min="2" max="2" width="11.1796875" style="98" customWidth="1"/>
    <col min="3" max="3" width="10.81640625" style="54" customWidth="1"/>
    <col min="4" max="5" width="6.90625" style="98" customWidth="1"/>
    <col min="6" max="6" width="6.453125" style="98" customWidth="1"/>
    <col min="7" max="7" width="15.90625" style="98" customWidth="1"/>
    <col min="8" max="8" width="14" style="98" customWidth="1"/>
    <col min="9" max="9" width="4.08984375" style="98" customWidth="1"/>
    <col min="10" max="10" width="25.26953125" style="98" customWidth="1"/>
    <col min="11" max="11" width="11.08984375" style="98" customWidth="1"/>
    <col min="12" max="12" width="1.08984375" style="98" customWidth="1"/>
    <col min="13" max="13" width="22.54296875" style="98" customWidth="1"/>
    <col min="14" max="14" width="7.54296875" style="98" customWidth="1"/>
    <col min="15" max="15" width="7.81640625" style="98" customWidth="1"/>
    <col min="16" max="16" width="12.453125" style="98" customWidth="1"/>
    <col min="17" max="17" width="11.90625" style="98" customWidth="1"/>
    <col min="18" max="64" width="9" style="98" customWidth="1"/>
    <col min="65" max="1023" width="9" customWidth="1"/>
    <col min="1024" max="1025" width="11.54296875"/>
  </cols>
  <sheetData>
    <row r="1" spans="1:18" ht="69.75" customHeight="1">
      <c r="A1"/>
      <c r="B1" s="99" t="s">
        <v>0</v>
      </c>
      <c r="C1"/>
      <c r="D1" s="255" t="s">
        <v>100</v>
      </c>
      <c r="E1" s="255"/>
      <c r="F1" s="255"/>
      <c r="G1" s="255"/>
      <c r="H1" s="255"/>
      <c r="I1" s="255"/>
      <c r="J1" s="255"/>
      <c r="K1" s="255"/>
      <c r="L1" s="255"/>
      <c r="M1" s="255"/>
      <c r="N1" s="255"/>
      <c r="O1" s="255"/>
      <c r="P1" s="255"/>
      <c r="Q1" s="255"/>
      <c r="R1"/>
    </row>
    <row r="2" spans="1:18" ht="15.5">
      <c r="A2"/>
      <c r="B2" s="256" t="s">
        <v>101</v>
      </c>
      <c r="C2" s="256"/>
      <c r="D2" s="256"/>
      <c r="E2" s="256"/>
      <c r="F2" s="256"/>
      <c r="G2" s="256"/>
      <c r="H2" s="256"/>
      <c r="I2" s="100"/>
      <c r="J2" s="257" t="s">
        <v>102</v>
      </c>
      <c r="K2" s="257"/>
      <c r="L2" s="100"/>
      <c r="M2" s="257" t="s">
        <v>103</v>
      </c>
      <c r="N2" s="257"/>
      <c r="O2" s="257"/>
      <c r="P2" s="257"/>
      <c r="Q2" s="257"/>
      <c r="R2"/>
    </row>
    <row r="3" spans="1:18" ht="15.75" customHeight="1">
      <c r="A3"/>
      <c r="B3" s="248" t="s">
        <v>104</v>
      </c>
      <c r="C3" s="248"/>
      <c r="D3" s="248"/>
      <c r="E3" s="248"/>
      <c r="F3" s="248"/>
      <c r="G3" s="258" t="s">
        <v>105</v>
      </c>
      <c r="H3" s="258"/>
      <c r="I3" s="100"/>
      <c r="J3" s="259" t="s">
        <v>106</v>
      </c>
      <c r="K3" s="260" t="s">
        <v>107</v>
      </c>
      <c r="L3" s="100"/>
      <c r="M3" s="259" t="s">
        <v>108</v>
      </c>
      <c r="N3" s="259"/>
      <c r="O3" s="259"/>
      <c r="P3" s="261" t="s">
        <v>109</v>
      </c>
      <c r="Q3" s="261"/>
      <c r="R3"/>
    </row>
    <row r="4" spans="1:18" ht="22" customHeight="1">
      <c r="A4"/>
      <c r="B4" s="262" t="s">
        <v>110</v>
      </c>
      <c r="C4" s="262"/>
      <c r="D4" s="262"/>
      <c r="E4" s="262"/>
      <c r="F4" s="262"/>
      <c r="G4" s="263" t="s">
        <v>111</v>
      </c>
      <c r="H4" s="101" t="s">
        <v>112</v>
      </c>
      <c r="I4" s="100"/>
      <c r="J4" s="259"/>
      <c r="K4" s="260"/>
      <c r="L4" s="100"/>
      <c r="M4" s="264" t="s">
        <v>113</v>
      </c>
      <c r="N4" s="264"/>
      <c r="O4" s="264"/>
      <c r="P4" s="265"/>
      <c r="Q4" s="265"/>
      <c r="R4"/>
    </row>
    <row r="5" spans="1:18" ht="35.25" customHeight="1">
      <c r="A5"/>
      <c r="B5" s="262"/>
      <c r="C5" s="262"/>
      <c r="D5" s="262"/>
      <c r="E5" s="262"/>
      <c r="F5" s="262"/>
      <c r="G5" s="263"/>
      <c r="H5" s="103">
        <f>IF(G4="Sistema Comum – Mainframe", 0.33, IF(G4="Sistema Comum – WEB", 0.35, IF(G4="Sistema OO", 0.36, IF(G4="Sistema Cliente/Servidor (Alta complexidade)", 0.37,IF(G4="Sistemas Gerenciais Complexos", 0.39, IF(G4="Software Básico, Framework, Sistemas Comerciais", 0.4, IF(G4="Software Militar *Exclusivo SISP v2.0", 0.45, "ERRO - Selecione o Tipo novamente")))))))</f>
        <v>0.36</v>
      </c>
      <c r="I5" s="100"/>
      <c r="J5" s="259"/>
      <c r="K5" s="104" t="s">
        <v>114</v>
      </c>
      <c r="L5" s="100"/>
      <c r="M5" s="264" t="s">
        <v>115</v>
      </c>
      <c r="N5" s="264"/>
      <c r="O5" s="264"/>
      <c r="P5" s="266" t="str">
        <f>IF(AND(P4&lt;&gt;"",B16&lt;&gt;0),(P4-G10)+1,B16)</f>
        <v>Informe PF</v>
      </c>
      <c r="Q5" s="266"/>
      <c r="R5"/>
    </row>
    <row r="6" spans="1:18" ht="23.25" customHeight="1">
      <c r="A6"/>
      <c r="B6" s="248" t="s">
        <v>116</v>
      </c>
      <c r="C6" s="248"/>
      <c r="D6" s="248"/>
      <c r="E6" s="248"/>
      <c r="F6" s="248"/>
      <c r="G6" s="249" t="s">
        <v>117</v>
      </c>
      <c r="H6" s="249"/>
      <c r="I6" s="100"/>
      <c r="J6" s="102" t="s">
        <v>118</v>
      </c>
      <c r="K6" s="7">
        <v>10</v>
      </c>
      <c r="L6" s="100"/>
      <c r="M6" s="250" t="s">
        <v>119</v>
      </c>
      <c r="N6" s="250"/>
      <c r="O6" s="250"/>
      <c r="P6" s="251" t="str">
        <f>IF(G7&lt;&gt;0,P5/B16-1,"-")</f>
        <v>-</v>
      </c>
      <c r="Q6" s="251"/>
      <c r="R6"/>
    </row>
    <row r="7" spans="1:18" ht="24" customHeight="1">
      <c r="A7"/>
      <c r="B7" s="252" t="s">
        <v>120</v>
      </c>
      <c r="C7" s="252"/>
      <c r="D7" s="252"/>
      <c r="E7" s="252"/>
      <c r="F7" s="252"/>
      <c r="G7" s="253"/>
      <c r="H7" s="253"/>
      <c r="I7" s="100"/>
      <c r="J7" s="102" t="s">
        <v>121</v>
      </c>
      <c r="K7" s="7">
        <v>20</v>
      </c>
      <c r="L7" s="100"/>
      <c r="M7" s="254"/>
      <c r="N7" s="254"/>
      <c r="O7" s="254"/>
      <c r="P7" s="105" t="s">
        <v>122</v>
      </c>
      <c r="Q7" s="106" t="s">
        <v>123</v>
      </c>
      <c r="R7"/>
    </row>
    <row r="8" spans="1:18" ht="13.75" customHeight="1">
      <c r="A8"/>
      <c r="B8" s="244" t="s">
        <v>124</v>
      </c>
      <c r="C8" s="244"/>
      <c r="D8" s="245" t="s">
        <v>125</v>
      </c>
      <c r="E8" s="245" t="s">
        <v>126</v>
      </c>
      <c r="F8" s="246" t="s">
        <v>127</v>
      </c>
      <c r="G8" s="247" t="s">
        <v>128</v>
      </c>
      <c r="H8" s="247"/>
      <c r="I8" s="100"/>
      <c r="J8" s="102" t="s">
        <v>129</v>
      </c>
      <c r="K8" s="7">
        <v>30</v>
      </c>
      <c r="L8" s="100"/>
      <c r="M8" s="240" t="s">
        <v>130</v>
      </c>
      <c r="N8" s="240"/>
      <c r="O8" s="240"/>
      <c r="P8" s="107" t="str">
        <f>IF(P5=B16,"-",GROWTH(Q22:Q24,P22:P24,P6,1))</f>
        <v>-</v>
      </c>
      <c r="Q8" s="108" t="str">
        <f>IF(P5=B16,"-",TREND(Q22:Q24,P22:P24,P6,0))</f>
        <v>-</v>
      </c>
      <c r="R8"/>
    </row>
    <row r="9" spans="1:18" ht="15" customHeight="1">
      <c r="A9"/>
      <c r="B9" s="244"/>
      <c r="C9" s="244"/>
      <c r="D9" s="245"/>
      <c r="E9" s="245"/>
      <c r="F9" s="246"/>
      <c r="G9" s="109" t="s">
        <v>131</v>
      </c>
      <c r="H9" s="110" t="s">
        <v>132</v>
      </c>
      <c r="I9" s="100"/>
      <c r="J9" s="102" t="s">
        <v>133</v>
      </c>
      <c r="K9" s="7">
        <v>40</v>
      </c>
      <c r="L9" s="100"/>
      <c r="M9" s="241" t="s">
        <v>134</v>
      </c>
      <c r="N9" s="241"/>
      <c r="O9" s="241"/>
      <c r="P9" s="111" t="str">
        <f>IF(P5=B16,"-",P8/100+1)</f>
        <v>-</v>
      </c>
      <c r="Q9" s="112" t="str">
        <f>IF(P5=B16,"-",Q8/100+1)</f>
        <v>-</v>
      </c>
      <c r="R9"/>
    </row>
    <row r="10" spans="1:18" ht="19.5" customHeight="1">
      <c r="A10"/>
      <c r="B10" s="238" t="s">
        <v>20</v>
      </c>
      <c r="C10" s="238"/>
      <c r="D10" s="114">
        <v>0.25</v>
      </c>
      <c r="E10" s="115">
        <v>0.25</v>
      </c>
      <c r="F10" s="116" t="str">
        <f t="shared" ref="F10:F15" si="0">IF(ISERR($B$16*E10),"ERRO",$B$16*E10)</f>
        <v>ERRO</v>
      </c>
      <c r="G10" s="117"/>
      <c r="H10" s="118" t="str">
        <f>IF(E10="",G10,(IF(G10="","-",IF(ISERR(IF(AND((G10&gt;=0),(G10&lt;=2958465)),G10+(F10-1),"-")),"-",IF(AND((G10&gt;=0),(G10&lt;=2958465)),G10+(F10-1),"-")))))</f>
        <v>-</v>
      </c>
      <c r="I10" s="100"/>
      <c r="J10" s="102" t="s">
        <v>135</v>
      </c>
      <c r="K10" s="7">
        <v>50</v>
      </c>
      <c r="L10" s="100"/>
      <c r="M10" s="242" t="s">
        <v>136</v>
      </c>
      <c r="N10" s="242"/>
      <c r="O10" s="242"/>
      <c r="P10" s="119" t="str">
        <f>IF(P5=B16,"-",(P8/100+1)*G7)</f>
        <v>-</v>
      </c>
      <c r="Q10" s="120" t="str">
        <f>IF(P5=B16,"-",(Q8/100+1)*G7)</f>
        <v>-</v>
      </c>
      <c r="R10"/>
    </row>
    <row r="11" spans="1:18" ht="14.5">
      <c r="A11"/>
      <c r="B11" s="238" t="s">
        <v>137</v>
      </c>
      <c r="C11" s="238"/>
      <c r="D11" s="121">
        <v>0.1</v>
      </c>
      <c r="E11" s="115">
        <v>0.1</v>
      </c>
      <c r="F11" s="116" t="str">
        <f t="shared" si="0"/>
        <v>ERRO</v>
      </c>
      <c r="G11" s="122" t="str">
        <f>IF(AND((H10&gt;=0),(H10&lt;=2958465)),H10,"-")</f>
        <v>-</v>
      </c>
      <c r="H11" s="118" t="str">
        <f>IF(G11="", "-",(IF(AND((G11&gt;=0),(G11&lt;=2958465)),G11+(F11),"-")))</f>
        <v>-</v>
      </c>
      <c r="I11" s="100"/>
      <c r="J11" s="102" t="s">
        <v>138</v>
      </c>
      <c r="K11" s="7">
        <v>60</v>
      </c>
      <c r="L11" s="100"/>
      <c r="M11" s="243" t="s">
        <v>139</v>
      </c>
      <c r="N11" s="243"/>
      <c r="O11" s="243"/>
      <c r="P11" s="243"/>
      <c r="Q11" s="243"/>
      <c r="R11"/>
    </row>
    <row r="12" spans="1:18" ht="14.5">
      <c r="A12"/>
      <c r="B12" s="238" t="s">
        <v>24</v>
      </c>
      <c r="C12" s="238"/>
      <c r="D12" s="114">
        <v>0.4</v>
      </c>
      <c r="E12" s="115">
        <v>0.4</v>
      </c>
      <c r="F12" s="116" t="str">
        <f t="shared" si="0"/>
        <v>ERRO</v>
      </c>
      <c r="G12" s="122" t="str">
        <f>IF(AND((H11&gt;=0),(H11&lt;=2958465)),H11,"-")</f>
        <v>-</v>
      </c>
      <c r="H12" s="118" t="str">
        <f>IF(G12="", "-",(IF(AND((G12&gt;=0),(G12&lt;=2958465)),G12+(F12),"-")))</f>
        <v>-</v>
      </c>
      <c r="I12" s="100"/>
      <c r="J12" s="102" t="s">
        <v>140</v>
      </c>
      <c r="K12" s="7">
        <v>70</v>
      </c>
      <c r="L12" s="100"/>
      <c r="M12" s="123" t="s">
        <v>124</v>
      </c>
      <c r="N12" s="124" t="s">
        <v>126</v>
      </c>
      <c r="O12" s="124" t="s">
        <v>127</v>
      </c>
      <c r="P12" s="125" t="s">
        <v>141</v>
      </c>
      <c r="Q12" s="126" t="s">
        <v>142</v>
      </c>
      <c r="R12"/>
    </row>
    <row r="13" spans="1:18" ht="14.5">
      <c r="A13"/>
      <c r="B13" s="238" t="s">
        <v>26</v>
      </c>
      <c r="C13" s="238"/>
      <c r="D13" s="121">
        <v>0.15</v>
      </c>
      <c r="E13" s="115">
        <v>0.15</v>
      </c>
      <c r="F13" s="116" t="str">
        <f t="shared" si="0"/>
        <v>ERRO</v>
      </c>
      <c r="G13" s="122" t="str">
        <f>IF(AND((H12&gt;=0),(H12&lt;=2958465)),H12,"-")</f>
        <v>-</v>
      </c>
      <c r="H13" s="118" t="str">
        <f>IF(G13="", "-",(IF(AND((G13&gt;=0),(G13&lt;=2958465)),G13+(F13),"-")))</f>
        <v>-</v>
      </c>
      <c r="I13" s="100"/>
      <c r="J13" s="102" t="s">
        <v>143</v>
      </c>
      <c r="K13" s="7">
        <v>88</v>
      </c>
      <c r="L13" s="100"/>
      <c r="M13" s="127" t="s">
        <v>20</v>
      </c>
      <c r="N13" s="128">
        <f t="shared" ref="N13:N18" si="1">E10</f>
        <v>0.25</v>
      </c>
      <c r="O13" s="129" t="str">
        <f>IF(P5=B16,"-",IF(AND($G$7&lt;&gt;0,$G$10&lt;&gt;""),$P$5*N13,"-"))</f>
        <v>-</v>
      </c>
      <c r="P13" s="130" t="str">
        <f>IF(P5=B16,"-",IF(G10="","-",G10))</f>
        <v>-</v>
      </c>
      <c r="Q13" s="131" t="str">
        <f>IF(P13&lt;&gt;"-",(IF(O13&gt;1,((P13+O13)-1),(P13+O13))),"-")</f>
        <v>-</v>
      </c>
      <c r="R13"/>
    </row>
    <row r="14" spans="1:18" ht="14.5">
      <c r="A14"/>
      <c r="B14" s="238" t="s">
        <v>28</v>
      </c>
      <c r="C14" s="238"/>
      <c r="D14" s="114">
        <v>0.05</v>
      </c>
      <c r="E14" s="115">
        <v>0.05</v>
      </c>
      <c r="F14" s="116" t="str">
        <f t="shared" si="0"/>
        <v>ERRO</v>
      </c>
      <c r="G14" s="122" t="str">
        <f>IF(AND((H13&gt;=0),(H13&lt;=2958465)),H13,"-")</f>
        <v>-</v>
      </c>
      <c r="H14" s="118" t="str">
        <f>IF(G14="", "-",(IF(AND((G14&gt;=0),(G14&lt;=2958465)),G14+(F14),"-")))</f>
        <v>-</v>
      </c>
      <c r="I14" s="100"/>
      <c r="J14" s="102" t="s">
        <v>144</v>
      </c>
      <c r="K14" s="7">
        <v>104</v>
      </c>
      <c r="L14" s="100"/>
      <c r="M14" s="113" t="s">
        <v>137</v>
      </c>
      <c r="N14" s="132">
        <f t="shared" si="1"/>
        <v>0.1</v>
      </c>
      <c r="O14" s="133" t="str">
        <f>IF(P5=B16,"-",IF(AND($G$7&lt;&gt;0,$G$10&lt;&gt;""),$P$5*N14,"-"))</f>
        <v>-</v>
      </c>
      <c r="P14" s="134" t="str">
        <f>Q13</f>
        <v>-</v>
      </c>
      <c r="Q14" s="118" t="str">
        <f>IF(P14&lt;&gt;"-",P14+O14,"-")</f>
        <v>-</v>
      </c>
      <c r="R14"/>
    </row>
    <row r="15" spans="1:18" ht="16.5" customHeight="1">
      <c r="A15"/>
      <c r="B15" s="238" t="s">
        <v>30</v>
      </c>
      <c r="C15" s="238"/>
      <c r="D15" s="114">
        <v>0.05</v>
      </c>
      <c r="E15" s="115">
        <v>0.05</v>
      </c>
      <c r="F15" s="116" t="str">
        <f t="shared" si="0"/>
        <v>ERRO</v>
      </c>
      <c r="G15" s="122" t="str">
        <f>IF(AND((H14&gt;=0),(H14&lt;=2958465)),H14,"-")</f>
        <v>-</v>
      </c>
      <c r="H15" s="118" t="str">
        <f>IF(G15="", "-",(IF(AND((G15&gt;=0),(G15&lt;=2958465)),G15+(F15),"-")))</f>
        <v>-</v>
      </c>
      <c r="I15" s="100"/>
      <c r="J15" s="239" t="s">
        <v>145</v>
      </c>
      <c r="K15" s="236" t="s">
        <v>146</v>
      </c>
      <c r="L15" s="100"/>
      <c r="M15" s="113" t="s">
        <v>24</v>
      </c>
      <c r="N15" s="132">
        <f t="shared" si="1"/>
        <v>0.4</v>
      </c>
      <c r="O15" s="133" t="str">
        <f>IF(P5=B16,"-",IF(AND($G$7&lt;&gt;0,$G$10&lt;&gt;""),$P$5*N15,"-"))</f>
        <v>-</v>
      </c>
      <c r="P15" s="134" t="str">
        <f>Q14</f>
        <v>-</v>
      </c>
      <c r="Q15" s="118" t="str">
        <f>IF(P15&lt;&gt;"-",P15+O15,"-")</f>
        <v>-</v>
      </c>
      <c r="R15"/>
    </row>
    <row r="16" spans="1:18" ht="15" customHeight="1">
      <c r="A16"/>
      <c r="B16" s="135" t="str">
        <f>IF(G7="","Informe PF",IF(G6="Projetos com até 99 PF",(IF(G7&lt;=10,K6,IF(G7&lt;=20,K7,IF(G7&lt;=30,K8,IF(G7&lt;=40,K9,IF(G7&lt;=50,K10,IF(G7&lt;=60,K11,IF(G7&lt;=70,K12,IF(G7&lt;=85,K13,IF(G7&lt;=99,K14,"ERRO - Insira novamente o tamanho em PF do projeto")))))))))),ROUND(POWER(G7,j3se(H5&lt;&gt;0,H5,0.35))*30,0)))</f>
        <v>Informe PF</v>
      </c>
      <c r="C16" s="136" t="s">
        <v>147</v>
      </c>
      <c r="D16" s="137">
        <v>1</v>
      </c>
      <c r="E16" s="137">
        <f>SUM(E10:E15)</f>
        <v>1</v>
      </c>
      <c r="F16" s="237" t="str">
        <f>IF(B16&lt;&gt;"ERRO - Insira novamente o tamanho em PF do projeto",SUM(F10:F15)&amp;" dias","ERRO - Insira novamente PF")</f>
        <v>0 dias</v>
      </c>
      <c r="G16" s="237"/>
      <c r="H16" s="237"/>
      <c r="I16" s="100"/>
      <c r="J16" s="239"/>
      <c r="K16" s="236"/>
      <c r="L16" s="100"/>
      <c r="M16" s="113" t="s">
        <v>26</v>
      </c>
      <c r="N16" s="132">
        <f t="shared" si="1"/>
        <v>0.15</v>
      </c>
      <c r="O16" s="133" t="str">
        <f>IF(P5=B16,"-",IF(AND($G$7&lt;&gt;0,$G$10&lt;&gt;""),$P$5*N16,"-"))</f>
        <v>-</v>
      </c>
      <c r="P16" s="134" t="str">
        <f>Q15</f>
        <v>-</v>
      </c>
      <c r="Q16" s="118" t="str">
        <f>IF(P16&lt;&gt;"-",P16+O16,"-")</f>
        <v>-</v>
      </c>
      <c r="R16"/>
    </row>
    <row r="17" spans="1:18" ht="14.5">
      <c r="A17"/>
      <c r="B17" s="138"/>
      <c r="C17" s="138"/>
      <c r="D17" s="138"/>
      <c r="E17" s="138"/>
      <c r="F17" s="139"/>
      <c r="G17" s="138"/>
      <c r="H17" s="138"/>
      <c r="I17" s="100"/>
      <c r="J17" s="239"/>
      <c r="K17" s="236"/>
      <c r="L17" s="100"/>
      <c r="M17" s="113" t="s">
        <v>28</v>
      </c>
      <c r="N17" s="132">
        <f t="shared" si="1"/>
        <v>0.05</v>
      </c>
      <c r="O17" s="133" t="str">
        <f>IF(P5=B16,"-",IF(AND($G$7&lt;&gt;0,$G$10&lt;&gt;""),$P$5*N17,"-"))</f>
        <v>-</v>
      </c>
      <c r="P17" s="134" t="str">
        <f>Q16</f>
        <v>-</v>
      </c>
      <c r="Q17" s="118" t="str">
        <f>IF(P17&lt;&gt;"-",P17+O17,"-")</f>
        <v>-</v>
      </c>
      <c r="R17"/>
    </row>
    <row r="18" spans="1:18" ht="14.25" customHeight="1">
      <c r="A18"/>
      <c r="B18" s="140"/>
      <c r="C18" s="141"/>
      <c r="D18" s="140"/>
      <c r="E18" s="140"/>
      <c r="F18" s="140"/>
      <c r="G18" s="140"/>
      <c r="H18" s="140"/>
      <c r="I18" s="138"/>
      <c r="J18" s="140"/>
      <c r="K18" s="140"/>
      <c r="L18" s="140"/>
      <c r="M18" s="142" t="s">
        <v>30</v>
      </c>
      <c r="N18" s="143">
        <f t="shared" si="1"/>
        <v>0.05</v>
      </c>
      <c r="O18" s="144" t="str">
        <f>IF(P5=B16,"-",IF(AND($G$7&lt;&gt;0,$G$10&lt;&gt;""),$P$5*N18,"-"))</f>
        <v>-</v>
      </c>
      <c r="P18" s="145" t="str">
        <f>Q17</f>
        <v>-</v>
      </c>
      <c r="Q18" s="146" t="str">
        <f>IF(P18&lt;&gt;"-",P18+O18,"-")</f>
        <v>-</v>
      </c>
      <c r="R18"/>
    </row>
    <row r="19" spans="1:18" ht="14.5">
      <c r="A19"/>
      <c r="B19" s="140"/>
      <c r="C19" s="141"/>
      <c r="D19" s="140"/>
      <c r="E19" s="140"/>
      <c r="F19" s="140"/>
      <c r="G19" s="140"/>
      <c r="H19" s="140"/>
      <c r="I19" s="140"/>
      <c r="J19" s="140"/>
      <c r="K19" s="140"/>
      <c r="L19" s="140"/>
      <c r="M19" s="140"/>
      <c r="N19" s="140"/>
      <c r="O19" s="140"/>
      <c r="P19"/>
      <c r="Q19"/>
      <c r="R19"/>
    </row>
    <row r="20" spans="1:18" ht="14.5">
      <c r="A20"/>
      <c r="B20" s="140"/>
      <c r="C20" s="141"/>
      <c r="D20" s="140"/>
      <c r="E20" s="140"/>
      <c r="F20" s="140"/>
      <c r="G20" s="140"/>
      <c r="H20" s="140"/>
      <c r="I20" s="140"/>
      <c r="J20" s="140"/>
      <c r="K20" s="140"/>
      <c r="L20" s="140"/>
      <c r="M20" s="140"/>
      <c r="N20" s="140"/>
      <c r="O20" s="140"/>
      <c r="P20"/>
      <c r="Q20"/>
      <c r="R20"/>
    </row>
    <row r="21" spans="1:18" ht="29">
      <c r="A21"/>
      <c r="B21" s="140"/>
      <c r="C21" s="141"/>
      <c r="D21" s="140"/>
      <c r="E21" s="140"/>
      <c r="F21" s="140"/>
      <c r="G21" s="140"/>
      <c r="H21" s="140"/>
      <c r="I21" s="140"/>
      <c r="J21" s="140"/>
      <c r="K21" s="140"/>
      <c r="L21" s="140"/>
      <c r="M21" s="140"/>
      <c r="N21" s="140"/>
      <c r="O21" s="140"/>
      <c r="P21" s="147" t="s">
        <v>148</v>
      </c>
      <c r="Q21" s="148" t="s">
        <v>149</v>
      </c>
      <c r="R21" s="149"/>
    </row>
    <row r="22" spans="1:18" ht="14.5">
      <c r="A22"/>
      <c r="B22"/>
      <c r="C22"/>
      <c r="D22"/>
      <c r="E22"/>
      <c r="H22"/>
      <c r="I22" s="140"/>
      <c r="J22" s="140"/>
      <c r="K22" s="140"/>
      <c r="L22" s="140"/>
      <c r="M22" s="140"/>
      <c r="N22" s="140"/>
      <c r="O22" s="140"/>
      <c r="P22" s="150">
        <v>-0.1</v>
      </c>
      <c r="Q22" s="151">
        <v>20</v>
      </c>
      <c r="R22" s="149"/>
    </row>
    <row r="23" spans="1:18" ht="14.5">
      <c r="A23"/>
      <c r="B23"/>
      <c r="C23"/>
      <c r="D23"/>
      <c r="E23"/>
      <c r="H23"/>
      <c r="I23"/>
      <c r="J23"/>
      <c r="K23"/>
      <c r="P23" s="150">
        <v>-0.2</v>
      </c>
      <c r="Q23" s="151">
        <v>50</v>
      </c>
      <c r="R23" s="149"/>
    </row>
    <row r="24" spans="1:18" ht="14.5">
      <c r="A24"/>
      <c r="B24"/>
      <c r="C24"/>
      <c r="D24"/>
      <c r="E24"/>
      <c r="H24"/>
      <c r="I24"/>
      <c r="J24"/>
      <c r="K24"/>
      <c r="P24" s="152">
        <v>-0.25</v>
      </c>
      <c r="Q24" s="153">
        <v>70</v>
      </c>
      <c r="R24" s="149"/>
    </row>
    <row r="25" spans="1:18">
      <c r="A25"/>
      <c r="B25"/>
      <c r="C25"/>
      <c r="D25"/>
      <c r="E25"/>
      <c r="H25"/>
      <c r="I25"/>
      <c r="J25"/>
      <c r="K25"/>
      <c r="P25" s="149"/>
      <c r="Q25" s="149"/>
      <c r="R25" s="149"/>
    </row>
    <row r="26" spans="1:18" ht="26">
      <c r="A26"/>
      <c r="B26"/>
      <c r="C26"/>
      <c r="D26"/>
      <c r="E26"/>
      <c r="H26"/>
      <c r="I26"/>
      <c r="J26"/>
      <c r="K26"/>
      <c r="P26" s="154" t="s">
        <v>150</v>
      </c>
      <c r="Q26" s="155" t="s">
        <v>122</v>
      </c>
      <c r="R26" s="156" t="s">
        <v>151</v>
      </c>
    </row>
    <row r="27" spans="1:18">
      <c r="A27"/>
      <c r="B27"/>
      <c r="C27"/>
      <c r="D27"/>
      <c r="E27"/>
      <c r="H27"/>
      <c r="I27"/>
      <c r="J27"/>
      <c r="K27"/>
      <c r="P27" s="157">
        <v>-0.01</v>
      </c>
      <c r="Q27" s="158">
        <f t="shared" ref="Q27:Q45" si="2">GROWTH($Q$22:$Q$24,$P$22:$P$24,P27,1)</f>
        <v>9.4974870513428584</v>
      </c>
      <c r="R27" s="159">
        <f t="shared" ref="R27:R58" si="3">TREND($Q$22:$Q$24,$P$22:$P$24,P27,0)</f>
        <v>2.6222222222222218</v>
      </c>
    </row>
    <row r="28" spans="1:18">
      <c r="A28"/>
      <c r="B28"/>
      <c r="C28"/>
      <c r="D28"/>
      <c r="E28"/>
      <c r="H28"/>
      <c r="I28"/>
      <c r="J28"/>
      <c r="K28"/>
      <c r="P28" s="157">
        <v>-0.02</v>
      </c>
      <c r="Q28" s="158">
        <f t="shared" si="2"/>
        <v>10.336729939663668</v>
      </c>
      <c r="R28" s="159">
        <f t="shared" si="3"/>
        <v>5.2444444444444436</v>
      </c>
    </row>
    <row r="29" spans="1:18">
      <c r="A29"/>
      <c r="B29"/>
      <c r="C29"/>
      <c r="D29"/>
      <c r="E29"/>
      <c r="H29"/>
      <c r="I29"/>
      <c r="J29"/>
      <c r="K29"/>
      <c r="P29" s="157">
        <v>-0.03</v>
      </c>
      <c r="Q29" s="158">
        <f t="shared" si="2"/>
        <v>11.25013230004161</v>
      </c>
      <c r="R29" s="159">
        <f t="shared" si="3"/>
        <v>7.8666666666666645</v>
      </c>
    </row>
    <row r="30" spans="1:18">
      <c r="A30"/>
      <c r="B30"/>
      <c r="C30"/>
      <c r="D30"/>
      <c r="E30"/>
      <c r="H30"/>
      <c r="I30"/>
      <c r="J30"/>
      <c r="K30"/>
      <c r="P30" s="157">
        <v>-0.04</v>
      </c>
      <c r="Q30" s="158">
        <f t="shared" si="2"/>
        <v>12.244247214274969</v>
      </c>
      <c r="R30" s="159">
        <f t="shared" si="3"/>
        <v>10.488888888888887</v>
      </c>
    </row>
    <row r="31" spans="1:18">
      <c r="A31"/>
      <c r="B31"/>
      <c r="C31"/>
      <c r="D31"/>
      <c r="E31"/>
      <c r="H31"/>
      <c r="I31"/>
      <c r="J31"/>
      <c r="K31"/>
      <c r="P31" s="157">
        <v>-0.05</v>
      </c>
      <c r="Q31" s="158">
        <f t="shared" si="2"/>
        <v>13.32620682547225</v>
      </c>
      <c r="R31" s="159">
        <f t="shared" si="3"/>
        <v>13.111111111111109</v>
      </c>
    </row>
    <row r="32" spans="1:18">
      <c r="A32"/>
      <c r="B32"/>
      <c r="C32"/>
      <c r="D32"/>
      <c r="E32"/>
      <c r="H32"/>
      <c r="I32"/>
      <c r="J32"/>
      <c r="K32"/>
      <c r="P32" s="157">
        <v>-0.06</v>
      </c>
      <c r="Q32" s="158">
        <f t="shared" si="2"/>
        <v>14.503773506649086</v>
      </c>
      <c r="R32" s="159">
        <f t="shared" si="3"/>
        <v>15.733333333333329</v>
      </c>
    </row>
    <row r="33" spans="1:18">
      <c r="A33"/>
      <c r="B33"/>
      <c r="C33"/>
      <c r="D33"/>
      <c r="E33"/>
      <c r="H33"/>
      <c r="I33"/>
      <c r="J33"/>
      <c r="K33"/>
      <c r="P33" s="157">
        <v>-7.0000000000000007E-2</v>
      </c>
      <c r="Q33" s="158">
        <f t="shared" si="2"/>
        <v>15.785395550824445</v>
      </c>
      <c r="R33" s="159">
        <f t="shared" si="3"/>
        <v>18.355555555555554</v>
      </c>
    </row>
    <row r="34" spans="1:18">
      <c r="A34"/>
      <c r="B34"/>
      <c r="C34"/>
      <c r="D34"/>
      <c r="E34"/>
      <c r="H34"/>
      <c r="I34"/>
      <c r="J34"/>
      <c r="K34"/>
      <c r="P34" s="157">
        <v>-0.08</v>
      </c>
      <c r="Q34" s="158">
        <f t="shared" si="2"/>
        <v>17.180267782157173</v>
      </c>
      <c r="R34" s="159">
        <f t="shared" si="3"/>
        <v>20.977777777777774</v>
      </c>
    </row>
    <row r="35" spans="1:18">
      <c r="A35"/>
      <c r="B35"/>
      <c r="C35"/>
      <c r="D35"/>
      <c r="E35"/>
      <c r="H35"/>
      <c r="I35"/>
      <c r="J35"/>
      <c r="K35"/>
      <c r="P35" s="157">
        <v>-0.09</v>
      </c>
      <c r="Q35" s="158">
        <f t="shared" si="2"/>
        <v>18.69839752296939</v>
      </c>
      <c r="R35" s="159">
        <f t="shared" si="3"/>
        <v>23.599999999999994</v>
      </c>
    </row>
    <row r="36" spans="1:18">
      <c r="A36"/>
      <c r="B36"/>
      <c r="C36"/>
      <c r="D36"/>
      <c r="E36"/>
      <c r="H36"/>
      <c r="I36"/>
      <c r="J36"/>
      <c r="K36"/>
      <c r="P36" s="157">
        <v>-0.1</v>
      </c>
      <c r="Q36" s="160">
        <f t="shared" si="2"/>
        <v>20.350676389928065</v>
      </c>
      <c r="R36" s="161">
        <f t="shared" si="3"/>
        <v>26.222222222222218</v>
      </c>
    </row>
    <row r="37" spans="1:18">
      <c r="A37"/>
      <c r="B37"/>
      <c r="C37"/>
      <c r="D37"/>
      <c r="E37"/>
      <c r="H37"/>
      <c r="I37"/>
      <c r="J37"/>
      <c r="K37"/>
      <c r="P37" s="157">
        <v>-0.11</v>
      </c>
      <c r="Q37" s="158">
        <f t="shared" si="2"/>
        <v>22.148958434476945</v>
      </c>
      <c r="R37" s="159">
        <f t="shared" si="3"/>
        <v>28.844444444444438</v>
      </c>
    </row>
    <row r="38" spans="1:18">
      <c r="A38"/>
      <c r="B38"/>
      <c r="C38"/>
      <c r="D38"/>
      <c r="E38"/>
      <c r="H38"/>
      <c r="I38"/>
      <c r="J38"/>
      <c r="K38"/>
      <c r="P38" s="157">
        <v>-0.12</v>
      </c>
      <c r="Q38" s="158">
        <f t="shared" si="2"/>
        <v>24.106145188126657</v>
      </c>
      <c r="R38" s="159">
        <f t="shared" si="3"/>
        <v>31.466666666666658</v>
      </c>
    </row>
    <row r="39" spans="1:18">
      <c r="A39"/>
      <c r="B39"/>
      <c r="C39"/>
      <c r="D39"/>
      <c r="E39"/>
      <c r="H39"/>
      <c r="I39"/>
      <c r="J39"/>
      <c r="K39"/>
      <c r="P39" s="157">
        <v>-0.13</v>
      </c>
      <c r="Q39" s="158">
        <f t="shared" si="2"/>
        <v>26.236278222749089</v>
      </c>
      <c r="R39" s="159">
        <f t="shared" si="3"/>
        <v>34.088888888888881</v>
      </c>
    </row>
    <row r="40" spans="1:18">
      <c r="A40"/>
      <c r="B40"/>
      <c r="C40"/>
      <c r="D40"/>
      <c r="E40"/>
      <c r="H40"/>
      <c r="I40"/>
      <c r="J40"/>
      <c r="K40"/>
      <c r="P40" s="157">
        <v>-0.14000000000000001</v>
      </c>
      <c r="Q40" s="158">
        <f t="shared" si="2"/>
        <v>28.554639889937153</v>
      </c>
      <c r="R40" s="159">
        <f t="shared" si="3"/>
        <v>36.711111111111109</v>
      </c>
    </row>
    <row r="41" spans="1:18">
      <c r="A41"/>
      <c r="B41"/>
      <c r="C41"/>
      <c r="D41"/>
      <c r="E41"/>
      <c r="H41"/>
      <c r="I41"/>
      <c r="J41"/>
      <c r="K41"/>
      <c r="P41" s="157">
        <v>-0.15</v>
      </c>
      <c r="Q41" s="158">
        <f t="shared" si="2"/>
        <v>31.077862962171093</v>
      </c>
      <c r="R41" s="159">
        <f t="shared" si="3"/>
        <v>39.333333333333321</v>
      </c>
    </row>
    <row r="42" spans="1:18">
      <c r="A42"/>
      <c r="B42"/>
      <c r="C42"/>
      <c r="D42"/>
      <c r="E42"/>
      <c r="H42"/>
      <c r="I42"/>
      <c r="J42"/>
      <c r="K42"/>
      <c r="P42" s="157">
        <v>-0.16</v>
      </c>
      <c r="Q42" s="158">
        <f t="shared" si="2"/>
        <v>33.824049962396906</v>
      </c>
      <c r="R42" s="159">
        <f t="shared" si="3"/>
        <v>41.955555555555549</v>
      </c>
    </row>
    <row r="43" spans="1:18">
      <c r="A43"/>
      <c r="B43"/>
      <c r="C43"/>
      <c r="D43"/>
      <c r="E43"/>
      <c r="H43"/>
      <c r="I43"/>
      <c r="J43"/>
      <c r="K43"/>
      <c r="P43" s="157">
        <v>-0.17</v>
      </c>
      <c r="Q43" s="158">
        <f t="shared" si="2"/>
        <v>36.812903038130841</v>
      </c>
      <c r="R43" s="159">
        <f t="shared" si="3"/>
        <v>44.577777777777776</v>
      </c>
    </row>
    <row r="44" spans="1:18">
      <c r="A44"/>
      <c r="B44"/>
      <c r="C44"/>
      <c r="D44"/>
      <c r="E44"/>
      <c r="H44"/>
      <c r="I44"/>
      <c r="J44"/>
      <c r="K44"/>
      <c r="P44" s="157">
        <v>-0.18</v>
      </c>
      <c r="Q44" s="158">
        <f t="shared" si="2"/>
        <v>40.065865311854225</v>
      </c>
      <c r="R44" s="159">
        <f t="shared" si="3"/>
        <v>47.199999999999989</v>
      </c>
    </row>
    <row r="45" spans="1:18">
      <c r="A45"/>
      <c r="B45"/>
      <c r="C45"/>
      <c r="D45"/>
      <c r="E45"/>
      <c r="H45"/>
      <c r="I45"/>
      <c r="J45"/>
      <c r="K45"/>
      <c r="P45" s="157">
        <v>-0.19</v>
      </c>
      <c r="Q45" s="158">
        <f t="shared" si="2"/>
        <v>43.606274721797959</v>
      </c>
      <c r="R45" s="159">
        <f t="shared" si="3"/>
        <v>49.822222222222216</v>
      </c>
    </row>
    <row r="46" spans="1:18">
      <c r="A46"/>
      <c r="B46"/>
      <c r="C46"/>
      <c r="D46"/>
      <c r="E46"/>
      <c r="H46"/>
      <c r="I46"/>
      <c r="J46"/>
      <c r="K46"/>
      <c r="P46" s="157">
        <v>-0.2</v>
      </c>
      <c r="Q46" s="160">
        <v>50</v>
      </c>
      <c r="R46" s="161">
        <f t="shared" si="3"/>
        <v>52.444444444444436</v>
      </c>
    </row>
    <row r="47" spans="1:18">
      <c r="A47"/>
      <c r="B47"/>
      <c r="C47"/>
      <c r="D47"/>
      <c r="E47"/>
      <c r="H47"/>
      <c r="I47"/>
      <c r="J47"/>
      <c r="K47"/>
      <c r="P47" s="157">
        <v>-0.21</v>
      </c>
      <c r="Q47" s="158">
        <f>GROWTH($Q$22:$Q$24,$P$22:$P$24,P47,1)</f>
        <v>51.653280186659927</v>
      </c>
      <c r="R47" s="159">
        <f t="shared" si="3"/>
        <v>55.066666666666656</v>
      </c>
    </row>
    <row r="48" spans="1:18">
      <c r="A48"/>
      <c r="B48"/>
      <c r="C48"/>
      <c r="D48"/>
      <c r="E48"/>
      <c r="H48"/>
      <c r="I48"/>
      <c r="J48"/>
      <c r="K48"/>
      <c r="P48" s="157">
        <v>-0.22</v>
      </c>
      <c r="Q48" s="158">
        <f>GROWTH($Q$22:$Q$24,$P$22:$P$24,P48,1)</f>
        <v>56.217608394821809</v>
      </c>
      <c r="R48" s="159">
        <f t="shared" si="3"/>
        <v>57.688888888888876</v>
      </c>
    </row>
    <row r="49" spans="1:18">
      <c r="A49"/>
      <c r="B49"/>
      <c r="C49"/>
      <c r="D49"/>
      <c r="E49"/>
      <c r="H49"/>
      <c r="I49"/>
      <c r="J49"/>
      <c r="K49"/>
      <c r="P49" s="157">
        <v>-0.23</v>
      </c>
      <c r="Q49" s="158">
        <f>GROWTH($Q$22:$Q$24,$P$22:$P$24,P49,1)</f>
        <v>61.18526223722295</v>
      </c>
      <c r="R49" s="159">
        <f t="shared" si="3"/>
        <v>60.311111111111103</v>
      </c>
    </row>
    <row r="50" spans="1:18">
      <c r="A50"/>
      <c r="B50"/>
      <c r="C50"/>
      <c r="D50"/>
      <c r="E50"/>
      <c r="H50"/>
      <c r="I50"/>
      <c r="J50"/>
      <c r="K50"/>
      <c r="P50" s="157">
        <v>-0.24</v>
      </c>
      <c r="Q50" s="158">
        <f>GROWTH($Q$22:$Q$24,$P$22:$P$24,P50,1)</f>
        <v>66.591881475032011</v>
      </c>
      <c r="R50" s="159">
        <f t="shared" si="3"/>
        <v>62.933333333333316</v>
      </c>
    </row>
    <row r="51" spans="1:18">
      <c r="A51"/>
      <c r="B51"/>
      <c r="C51"/>
      <c r="D51"/>
      <c r="E51"/>
      <c r="H51"/>
      <c r="I51"/>
      <c r="J51"/>
      <c r="K51"/>
      <c r="P51" s="157">
        <v>-0.25</v>
      </c>
      <c r="Q51" s="160">
        <v>70</v>
      </c>
      <c r="R51" s="161">
        <f t="shared" si="3"/>
        <v>65.555555555555543</v>
      </c>
    </row>
    <row r="52" spans="1:18">
      <c r="A52"/>
      <c r="B52"/>
      <c r="C52"/>
      <c r="D52"/>
      <c r="E52"/>
      <c r="H52"/>
      <c r="I52"/>
      <c r="J52"/>
      <c r="K52"/>
      <c r="P52" s="157">
        <v>-0.26</v>
      </c>
      <c r="Q52" s="158">
        <f t="shared" ref="Q52:Q83" si="4">GROWTH($Q$22:$Q$24,$P$22:$P$24,P52,1)</f>
        <v>78.880599957951503</v>
      </c>
      <c r="R52" s="159">
        <f t="shared" si="3"/>
        <v>68.177777777777763</v>
      </c>
    </row>
    <row r="53" spans="1:18">
      <c r="A53"/>
      <c r="B53"/>
      <c r="C53"/>
      <c r="D53"/>
      <c r="E53"/>
      <c r="H53"/>
      <c r="I53"/>
      <c r="J53"/>
      <c r="K53"/>
      <c r="P53" s="157">
        <v>-0.27</v>
      </c>
      <c r="Q53" s="158">
        <f t="shared" si="4"/>
        <v>85.850862953132875</v>
      </c>
      <c r="R53" s="159">
        <f t="shared" si="3"/>
        <v>70.8</v>
      </c>
    </row>
    <row r="54" spans="1:18">
      <c r="A54"/>
      <c r="B54"/>
      <c r="C54"/>
      <c r="D54"/>
      <c r="E54"/>
      <c r="H54"/>
      <c r="I54"/>
      <c r="J54"/>
      <c r="K54"/>
      <c r="P54" s="157">
        <v>-0.28000000000000003</v>
      </c>
      <c r="Q54" s="158">
        <f t="shared" si="4"/>
        <v>93.437051362774795</v>
      </c>
      <c r="R54" s="159">
        <f t="shared" si="3"/>
        <v>73.422222222222217</v>
      </c>
    </row>
    <row r="55" spans="1:18">
      <c r="A55"/>
      <c r="B55"/>
      <c r="C55"/>
      <c r="D55"/>
      <c r="E55"/>
      <c r="H55"/>
      <c r="I55"/>
      <c r="J55"/>
      <c r="K55"/>
      <c r="P55" s="157">
        <v>-0.28999999999999998</v>
      </c>
      <c r="Q55" s="158">
        <f t="shared" si="4"/>
        <v>101.69359127043245</v>
      </c>
      <c r="R55" s="159">
        <f t="shared" si="3"/>
        <v>76.044444444444423</v>
      </c>
    </row>
    <row r="56" spans="1:18">
      <c r="A56"/>
      <c r="B56"/>
      <c r="C56"/>
      <c r="D56"/>
      <c r="E56"/>
      <c r="H56"/>
      <c r="I56"/>
      <c r="J56"/>
      <c r="K56"/>
      <c r="P56" s="157">
        <v>-0.3</v>
      </c>
      <c r="Q56" s="158">
        <f t="shared" si="4"/>
        <v>110.67971810589327</v>
      </c>
      <c r="R56" s="159">
        <f t="shared" si="3"/>
        <v>78.666666666666643</v>
      </c>
    </row>
    <row r="57" spans="1:18">
      <c r="A57"/>
      <c r="B57"/>
      <c r="C57"/>
      <c r="D57"/>
      <c r="E57"/>
      <c r="H57"/>
      <c r="I57"/>
      <c r="J57"/>
      <c r="K57"/>
      <c r="P57" s="157">
        <v>-0.31</v>
      </c>
      <c r="Q57" s="158">
        <f t="shared" si="4"/>
        <v>120.45990162176226</v>
      </c>
      <c r="R57" s="159">
        <f t="shared" si="3"/>
        <v>81.288888888888877</v>
      </c>
    </row>
    <row r="58" spans="1:18">
      <c r="A58"/>
      <c r="B58"/>
      <c r="C58"/>
      <c r="D58"/>
      <c r="E58"/>
      <c r="H58"/>
      <c r="I58"/>
      <c r="J58"/>
      <c r="K58"/>
      <c r="P58" s="157">
        <v>-0.32</v>
      </c>
      <c r="Q58" s="158">
        <f t="shared" si="4"/>
        <v>131.10430842299021</v>
      </c>
      <c r="R58" s="159">
        <f t="shared" si="3"/>
        <v>83.911111111111097</v>
      </c>
    </row>
    <row r="59" spans="1:18">
      <c r="A59"/>
      <c r="B59"/>
      <c r="C59"/>
      <c r="D59"/>
      <c r="E59"/>
      <c r="H59"/>
      <c r="I59"/>
      <c r="J59"/>
      <c r="K59"/>
      <c r="P59" s="157">
        <v>-0.33</v>
      </c>
      <c r="Q59" s="158">
        <f t="shared" si="4"/>
        <v>142.68930536769835</v>
      </c>
      <c r="R59" s="159">
        <f t="shared" ref="R59:R90" si="5">TREND($Q$22:$Q$24,$P$22:$P$24,P59,0)</f>
        <v>86.533333333333317</v>
      </c>
    </row>
    <row r="60" spans="1:18">
      <c r="A60"/>
      <c r="B60"/>
      <c r="C60"/>
      <c r="D60"/>
      <c r="E60"/>
      <c r="H60"/>
      <c r="I60"/>
      <c r="J60"/>
      <c r="K60"/>
      <c r="P60" s="157">
        <v>-0.34</v>
      </c>
      <c r="Q60" s="158">
        <f t="shared" si="4"/>
        <v>155.29800745088212</v>
      </c>
      <c r="R60" s="159">
        <f t="shared" si="5"/>
        <v>89.155555555555551</v>
      </c>
    </row>
    <row r="61" spans="1:18">
      <c r="A61"/>
      <c r="B61"/>
      <c r="C61"/>
      <c r="D61"/>
      <c r="E61"/>
      <c r="H61"/>
      <c r="I61"/>
      <c r="J61"/>
      <c r="K61"/>
      <c r="P61" s="157">
        <v>-0.35</v>
      </c>
      <c r="Q61" s="158">
        <f t="shared" si="4"/>
        <v>169.02087410171018</v>
      </c>
      <c r="R61" s="159">
        <f t="shared" si="5"/>
        <v>91.777777777777757</v>
      </c>
    </row>
    <row r="62" spans="1:18">
      <c r="A62"/>
      <c r="B62"/>
      <c r="C62"/>
      <c r="D62"/>
      <c r="E62"/>
      <c r="H62"/>
      <c r="I62"/>
      <c r="J62"/>
      <c r="K62"/>
      <c r="P62" s="157">
        <v>-0.36</v>
      </c>
      <c r="Q62" s="158">
        <f t="shared" si="4"/>
        <v>183.95635817247503</v>
      </c>
      <c r="R62" s="159">
        <f t="shared" si="5"/>
        <v>94.399999999999977</v>
      </c>
    </row>
    <row r="63" spans="1:18">
      <c r="A63"/>
      <c r="B63"/>
      <c r="C63"/>
      <c r="D63"/>
      <c r="E63"/>
      <c r="H63"/>
      <c r="I63"/>
      <c r="J63"/>
      <c r="K63"/>
      <c r="P63" s="157">
        <v>-0.37</v>
      </c>
      <c r="Q63" s="158">
        <f t="shared" si="4"/>
        <v>200.21161227527659</v>
      </c>
      <c r="R63" s="159">
        <f t="shared" si="5"/>
        <v>97.022222222222197</v>
      </c>
    </row>
    <row r="64" spans="1:18">
      <c r="A64"/>
      <c r="B64"/>
      <c r="C64"/>
      <c r="D64"/>
      <c r="E64"/>
      <c r="H64"/>
      <c r="I64"/>
      <c r="J64"/>
      <c r="K64"/>
      <c r="P64" s="157">
        <v>-0.38</v>
      </c>
      <c r="Q64" s="158">
        <f t="shared" si="4"/>
        <v>217.903257533957</v>
      </c>
      <c r="R64" s="159">
        <f t="shared" si="5"/>
        <v>99.644444444444431</v>
      </c>
    </row>
    <row r="65" spans="1:18">
      <c r="A65"/>
      <c r="B65"/>
      <c r="C65"/>
      <c r="D65"/>
      <c r="E65"/>
      <c r="H65"/>
      <c r="I65"/>
      <c r="J65"/>
      <c r="K65"/>
      <c r="P65" s="157">
        <v>-0.39</v>
      </c>
      <c r="Q65" s="158">
        <f t="shared" si="4"/>
        <v>237.15822026659424</v>
      </c>
      <c r="R65" s="159">
        <f t="shared" si="5"/>
        <v>102.26666666666665</v>
      </c>
    </row>
    <row r="66" spans="1:18">
      <c r="A66"/>
      <c r="B66"/>
      <c r="C66"/>
      <c r="D66"/>
      <c r="E66"/>
      <c r="H66"/>
      <c r="I66"/>
      <c r="J66"/>
      <c r="K66"/>
      <c r="P66" s="157">
        <v>-0.4</v>
      </c>
      <c r="Q66" s="158">
        <f t="shared" si="4"/>
        <v>258.11464260121767</v>
      </c>
      <c r="R66" s="159">
        <f t="shared" si="5"/>
        <v>104.88888888888887</v>
      </c>
    </row>
    <row r="67" spans="1:18">
      <c r="A67"/>
      <c r="B67"/>
      <c r="C67"/>
      <c r="D67"/>
      <c r="E67"/>
      <c r="H67"/>
      <c r="I67"/>
      <c r="J67"/>
      <c r="K67"/>
      <c r="P67" s="157">
        <v>-0.41</v>
      </c>
      <c r="Q67" s="158">
        <f t="shared" si="4"/>
        <v>280.92287355783799</v>
      </c>
      <c r="R67" s="159">
        <f t="shared" si="5"/>
        <v>107.51111111111108</v>
      </c>
    </row>
    <row r="68" spans="1:18">
      <c r="A68"/>
      <c r="B68"/>
      <c r="C68"/>
      <c r="D68"/>
      <c r="E68"/>
      <c r="H68"/>
      <c r="I68"/>
      <c r="J68"/>
      <c r="K68"/>
      <c r="P68" s="157">
        <v>-0.42</v>
      </c>
      <c r="Q68" s="158">
        <f t="shared" si="4"/>
        <v>305.74654770717279</v>
      </c>
      <c r="R68" s="159">
        <f t="shared" si="5"/>
        <v>110.13333333333331</v>
      </c>
    </row>
    <row r="69" spans="1:18">
      <c r="A69"/>
      <c r="B69"/>
      <c r="C69"/>
      <c r="D69"/>
      <c r="E69"/>
      <c r="H69"/>
      <c r="I69"/>
      <c r="J69"/>
      <c r="K69"/>
      <c r="P69" s="157">
        <v>-0.43</v>
      </c>
      <c r="Q69" s="158">
        <f t="shared" si="4"/>
        <v>332.76375914476068</v>
      </c>
      <c r="R69" s="159">
        <f t="shared" si="5"/>
        <v>112.75555555555553</v>
      </c>
    </row>
    <row r="70" spans="1:18">
      <c r="A70"/>
      <c r="B70"/>
      <c r="C70"/>
      <c r="D70"/>
      <c r="E70"/>
      <c r="H70"/>
      <c r="I70"/>
      <c r="J70"/>
      <c r="K70"/>
      <c r="P70" s="157">
        <v>-0.44</v>
      </c>
      <c r="Q70" s="158">
        <f t="shared" si="4"/>
        <v>362.16833920298285</v>
      </c>
      <c r="R70" s="159">
        <f t="shared" si="5"/>
        <v>115.37777777777775</v>
      </c>
    </row>
    <row r="71" spans="1:18">
      <c r="A71"/>
      <c r="B71"/>
      <c r="C71"/>
      <c r="D71"/>
      <c r="E71"/>
      <c r="H71"/>
      <c r="I71"/>
      <c r="J71"/>
      <c r="K71"/>
      <c r="P71" s="157">
        <v>-0.45</v>
      </c>
      <c r="Q71" s="158">
        <f t="shared" si="4"/>
        <v>394.17124706776224</v>
      </c>
      <c r="R71" s="159">
        <f t="shared" si="5"/>
        <v>117.99999999999999</v>
      </c>
    </row>
    <row r="72" spans="1:18">
      <c r="A72"/>
      <c r="B72"/>
      <c r="C72"/>
      <c r="D72"/>
      <c r="E72"/>
      <c r="H72"/>
      <c r="I72"/>
      <c r="J72"/>
      <c r="K72"/>
      <c r="P72" s="157">
        <v>-0.46</v>
      </c>
      <c r="Q72" s="158">
        <f t="shared" si="4"/>
        <v>429.00208327673522</v>
      </c>
      <c r="R72" s="159">
        <f t="shared" si="5"/>
        <v>120.62222222222221</v>
      </c>
    </row>
    <row r="73" spans="1:18">
      <c r="A73"/>
      <c r="B73"/>
      <c r="C73"/>
      <c r="D73"/>
      <c r="E73"/>
      <c r="H73"/>
      <c r="I73"/>
      <c r="J73"/>
      <c r="K73"/>
      <c r="P73" s="157">
        <v>-0.47</v>
      </c>
      <c r="Q73" s="158">
        <f t="shared" si="4"/>
        <v>466.91073695727931</v>
      </c>
      <c r="R73" s="159">
        <f t="shared" si="5"/>
        <v>123.24444444444441</v>
      </c>
    </row>
    <row r="74" spans="1:18">
      <c r="A74"/>
      <c r="B74"/>
      <c r="C74"/>
      <c r="D74"/>
      <c r="E74"/>
      <c r="H74"/>
      <c r="I74"/>
      <c r="J74"/>
      <c r="K74"/>
      <c r="P74" s="157">
        <v>-0.48</v>
      </c>
      <c r="Q74" s="158">
        <f t="shared" si="4"/>
        <v>508.16917862228996</v>
      </c>
      <c r="R74" s="159">
        <f t="shared" si="5"/>
        <v>125.86666666666663</v>
      </c>
    </row>
    <row r="75" spans="1:18">
      <c r="A75"/>
      <c r="B75"/>
      <c r="C75"/>
      <c r="D75"/>
      <c r="E75"/>
      <c r="H75"/>
      <c r="I75"/>
      <c r="J75"/>
      <c r="K75"/>
      <c r="P75" s="157">
        <v>-0.49</v>
      </c>
      <c r="Q75" s="158">
        <f t="shared" si="4"/>
        <v>553.0734113858698</v>
      </c>
      <c r="R75" s="159">
        <f t="shared" si="5"/>
        <v>128.48888888888885</v>
      </c>
    </row>
    <row r="76" spans="1:18">
      <c r="A76"/>
      <c r="B76"/>
      <c r="C76"/>
      <c r="D76"/>
      <c r="E76"/>
      <c r="H76"/>
      <c r="I76"/>
      <c r="J76"/>
      <c r="K76"/>
      <c r="P76" s="157">
        <v>-0.5</v>
      </c>
      <c r="Q76" s="158">
        <f t="shared" si="4"/>
        <v>601.94559459766924</v>
      </c>
      <c r="R76" s="159">
        <f t="shared" si="5"/>
        <v>131.11111111111109</v>
      </c>
    </row>
    <row r="77" spans="1:18">
      <c r="A77"/>
      <c r="B77"/>
      <c r="C77"/>
      <c r="D77"/>
      <c r="E77"/>
      <c r="H77"/>
      <c r="I77"/>
      <c r="J77"/>
      <c r="K77"/>
      <c r="P77" s="157">
        <v>-0.51</v>
      </c>
      <c r="Q77" s="158">
        <f t="shared" si="4"/>
        <v>655.13635513160523</v>
      </c>
      <c r="R77" s="159">
        <f t="shared" si="5"/>
        <v>133.73333333333332</v>
      </c>
    </row>
    <row r="78" spans="1:18">
      <c r="A78"/>
      <c r="B78"/>
      <c r="C78"/>
      <c r="D78"/>
      <c r="E78"/>
      <c r="H78"/>
      <c r="I78"/>
      <c r="J78"/>
      <c r="K78"/>
      <c r="P78" s="157">
        <v>-0.52</v>
      </c>
      <c r="Q78" s="158">
        <f t="shared" si="4"/>
        <v>713.02730291098419</v>
      </c>
      <c r="R78" s="159">
        <f t="shared" si="5"/>
        <v>136.35555555555553</v>
      </c>
    </row>
    <row r="79" spans="1:18">
      <c r="A79"/>
      <c r="B79"/>
      <c r="C79"/>
      <c r="D79"/>
      <c r="E79"/>
      <c r="H79"/>
      <c r="I79"/>
      <c r="J79"/>
      <c r="K79"/>
      <c r="P79" s="157">
        <v>-0.53</v>
      </c>
      <c r="Q79" s="158">
        <f t="shared" si="4"/>
        <v>776.03376871732564</v>
      </c>
      <c r="R79" s="159">
        <f t="shared" si="5"/>
        <v>138.97777777777776</v>
      </c>
    </row>
    <row r="80" spans="1:18">
      <c r="A80"/>
      <c r="B80"/>
      <c r="C80"/>
      <c r="D80"/>
      <c r="E80"/>
      <c r="H80"/>
      <c r="I80"/>
      <c r="J80"/>
      <c r="K80"/>
      <c r="P80" s="157">
        <v>-0.54</v>
      </c>
      <c r="Q80" s="158">
        <f t="shared" si="4"/>
        <v>844.60778392493023</v>
      </c>
      <c r="R80" s="159">
        <f t="shared" si="5"/>
        <v>141.6</v>
      </c>
    </row>
    <row r="81" spans="1:18">
      <c r="A81"/>
      <c r="B81"/>
      <c r="C81"/>
      <c r="D81"/>
      <c r="E81"/>
      <c r="H81"/>
      <c r="I81"/>
      <c r="J81"/>
      <c r="K81"/>
      <c r="P81" s="157">
        <v>-0.55000000000000004</v>
      </c>
      <c r="Q81" s="158">
        <f t="shared" si="4"/>
        <v>919.24132353888274</v>
      </c>
      <c r="R81" s="159">
        <f t="shared" si="5"/>
        <v>144.2222222222222</v>
      </c>
    </row>
    <row r="82" spans="1:18">
      <c r="A82"/>
      <c r="B82"/>
      <c r="C82"/>
      <c r="D82"/>
      <c r="E82"/>
      <c r="H82"/>
      <c r="I82"/>
      <c r="J82"/>
      <c r="K82"/>
      <c r="P82" s="157">
        <v>-0.56000000000000005</v>
      </c>
      <c r="Q82" s="158">
        <f t="shared" si="4"/>
        <v>1000.4698358032441</v>
      </c>
      <c r="R82" s="159">
        <f t="shared" si="5"/>
        <v>146.84444444444443</v>
      </c>
    </row>
    <row r="83" spans="1:18">
      <c r="A83"/>
      <c r="B83"/>
      <c r="C83"/>
      <c r="D83"/>
      <c r="E83"/>
      <c r="H83"/>
      <c r="I83"/>
      <c r="J83"/>
      <c r="K83"/>
      <c r="P83" s="157">
        <v>-0.56999999999999995</v>
      </c>
      <c r="Q83" s="158">
        <f t="shared" si="4"/>
        <v>1088.8760837021161</v>
      </c>
      <c r="R83" s="159">
        <f t="shared" si="5"/>
        <v>149.46666666666661</v>
      </c>
    </row>
    <row r="84" spans="1:18">
      <c r="A84"/>
      <c r="B84"/>
      <c r="C84"/>
      <c r="D84"/>
      <c r="E84"/>
      <c r="H84"/>
      <c r="I84"/>
      <c r="J84"/>
      <c r="K84"/>
      <c r="P84" s="157">
        <v>-0.57999999999999996</v>
      </c>
      <c r="Q84" s="158">
        <f t="shared" ref="Q84:Q115" si="6">GROWTH($Q$22:$Q$24,$P$22:$P$24,P84,1)</f>
        <v>1185.0943259139242</v>
      </c>
      <c r="R84" s="159">
        <f t="shared" si="5"/>
        <v>152.08888888888885</v>
      </c>
    </row>
    <row r="85" spans="1:18">
      <c r="A85"/>
      <c r="B85"/>
      <c r="C85"/>
      <c r="D85"/>
      <c r="E85"/>
      <c r="H85"/>
      <c r="I85"/>
      <c r="J85"/>
      <c r="K85"/>
      <c r="P85" s="157">
        <v>-0.59</v>
      </c>
      <c r="Q85" s="158">
        <f t="shared" si="6"/>
        <v>1289.8148672145812</v>
      </c>
      <c r="R85" s="159">
        <f t="shared" si="5"/>
        <v>154.71111111111108</v>
      </c>
    </row>
    <row r="86" spans="1:18">
      <c r="A86"/>
      <c r="B86"/>
      <c r="C86"/>
      <c r="D86"/>
      <c r="E86"/>
      <c r="H86"/>
      <c r="I86"/>
      <c r="J86"/>
      <c r="K86"/>
      <c r="P86" s="157">
        <v>-0.6</v>
      </c>
      <c r="Q86" s="158">
        <f t="shared" si="6"/>
        <v>1403.7890109758237</v>
      </c>
      <c r="R86" s="159">
        <f t="shared" si="5"/>
        <v>157.33333333333329</v>
      </c>
    </row>
    <row r="87" spans="1:18">
      <c r="A87"/>
      <c r="B87"/>
      <c r="C87"/>
      <c r="D87"/>
      <c r="E87"/>
      <c r="H87"/>
      <c r="I87"/>
      <c r="J87"/>
      <c r="K87"/>
      <c r="P87" s="157">
        <v>-0.61</v>
      </c>
      <c r="Q87" s="158">
        <f t="shared" si="6"/>
        <v>1527.8344492897181</v>
      </c>
      <c r="R87" s="159">
        <f t="shared" si="5"/>
        <v>159.95555555555552</v>
      </c>
    </row>
    <row r="88" spans="1:18">
      <c r="A88"/>
      <c r="B88"/>
      <c r="C88"/>
      <c r="D88"/>
      <c r="E88"/>
      <c r="H88"/>
      <c r="I88"/>
      <c r="J88"/>
      <c r="K88"/>
      <c r="P88" s="157">
        <v>-0.62</v>
      </c>
      <c r="Q88" s="158">
        <f t="shared" si="6"/>
        <v>1662.8411293900749</v>
      </c>
      <c r="R88" s="159">
        <f t="shared" si="5"/>
        <v>162.57777777777775</v>
      </c>
    </row>
    <row r="89" spans="1:18">
      <c r="A89"/>
      <c r="B89"/>
      <c r="C89"/>
      <c r="D89"/>
      <c r="E89"/>
      <c r="H89"/>
      <c r="I89"/>
      <c r="J89"/>
      <c r="K89"/>
      <c r="P89" s="157">
        <v>-0.63</v>
      </c>
      <c r="Q89" s="158">
        <f t="shared" si="6"/>
        <v>1809.7776384586134</v>
      </c>
      <c r="R89" s="159">
        <f t="shared" si="5"/>
        <v>165.19999999999996</v>
      </c>
    </row>
    <row r="90" spans="1:18">
      <c r="A90"/>
      <c r="B90"/>
      <c r="C90"/>
      <c r="D90"/>
      <c r="E90"/>
      <c r="H90"/>
      <c r="I90"/>
      <c r="J90"/>
      <c r="K90"/>
      <c r="P90" s="157">
        <v>-0.64</v>
      </c>
      <c r="Q90" s="158">
        <f t="shared" si="6"/>
        <v>1969.6981526227967</v>
      </c>
      <c r="R90" s="159">
        <f t="shared" si="5"/>
        <v>167.82222222222219</v>
      </c>
    </row>
    <row r="91" spans="1:18">
      <c r="A91"/>
      <c r="B91"/>
      <c r="C91"/>
      <c r="D91"/>
      <c r="E91"/>
      <c r="H91"/>
      <c r="I91"/>
      <c r="J91"/>
      <c r="K91"/>
      <c r="P91" s="157">
        <v>-0.65</v>
      </c>
      <c r="Q91" s="158">
        <f t="shared" si="6"/>
        <v>2143.7500000000032</v>
      </c>
      <c r="R91" s="159">
        <f t="shared" ref="R91:R115" si="7">TREND($Q$22:$Q$24,$P$22:$P$24,P91,0)</f>
        <v>170.44444444444443</v>
      </c>
    </row>
    <row r="92" spans="1:18">
      <c r="A92"/>
      <c r="B92"/>
      <c r="C92"/>
      <c r="D92"/>
      <c r="E92"/>
      <c r="H92"/>
      <c r="I92"/>
      <c r="J92"/>
      <c r="K92"/>
      <c r="P92" s="157">
        <v>-0.66</v>
      </c>
      <c r="Q92" s="158">
        <f t="shared" si="6"/>
        <v>2333.1818920480518</v>
      </c>
      <c r="R92" s="159">
        <f t="shared" si="7"/>
        <v>173.06666666666663</v>
      </c>
    </row>
    <row r="93" spans="1:18">
      <c r="A93"/>
      <c r="B93"/>
      <c r="C93"/>
      <c r="D93"/>
      <c r="E93"/>
      <c r="H93"/>
      <c r="I93"/>
      <c r="J93"/>
      <c r="K93"/>
      <c r="P93" s="157">
        <v>-0.67</v>
      </c>
      <c r="Q93" s="158">
        <f t="shared" si="6"/>
        <v>2539.3528822768158</v>
      </c>
      <c r="R93" s="159">
        <f t="shared" si="7"/>
        <v>175.68888888888887</v>
      </c>
    </row>
    <row r="94" spans="1:18">
      <c r="A94"/>
      <c r="B94"/>
      <c r="C94"/>
      <c r="D94"/>
      <c r="E94"/>
      <c r="H94"/>
      <c r="I94"/>
      <c r="J94"/>
      <c r="K94"/>
      <c r="P94" s="157">
        <v>-0.68</v>
      </c>
      <c r="Q94" s="158">
        <f t="shared" si="6"/>
        <v>2763.7421165939554</v>
      </c>
      <c r="R94" s="159">
        <f t="shared" si="7"/>
        <v>178.3111111111111</v>
      </c>
    </row>
    <row r="95" spans="1:18">
      <c r="A95"/>
      <c r="B95"/>
      <c r="C95"/>
      <c r="D95"/>
      <c r="E95"/>
      <c r="H95"/>
      <c r="I95"/>
      <c r="J95"/>
      <c r="K95"/>
      <c r="P95" s="157">
        <v>-0.69</v>
      </c>
      <c r="Q95" s="158">
        <f t="shared" si="6"/>
        <v>3007.9594452373472</v>
      </c>
      <c r="R95" s="159">
        <f t="shared" si="7"/>
        <v>180.93333333333328</v>
      </c>
    </row>
    <row r="96" spans="1:18">
      <c r="A96"/>
      <c r="B96"/>
      <c r="C96"/>
      <c r="D96"/>
      <c r="E96"/>
      <c r="H96"/>
      <c r="I96"/>
      <c r="J96"/>
      <c r="K96"/>
      <c r="P96" s="157">
        <v>-0.7</v>
      </c>
      <c r="Q96" s="158">
        <f t="shared" si="6"/>
        <v>3273.7569724280715</v>
      </c>
      <c r="R96" s="159">
        <f t="shared" si="7"/>
        <v>183.55555555555551</v>
      </c>
    </row>
    <row r="97" spans="1:18">
      <c r="A97"/>
      <c r="B97"/>
      <c r="C97"/>
      <c r="D97"/>
      <c r="E97"/>
      <c r="H97"/>
      <c r="I97"/>
      <c r="J97"/>
      <c r="K97"/>
      <c r="P97" s="157">
        <v>-0.71</v>
      </c>
      <c r="Q97" s="158">
        <f t="shared" si="6"/>
        <v>3563.0416266053498</v>
      </c>
      <c r="R97" s="159">
        <f t="shared" si="7"/>
        <v>186.17777777777772</v>
      </c>
    </row>
    <row r="98" spans="1:18">
      <c r="A98"/>
      <c r="B98"/>
      <c r="C98"/>
      <c r="D98"/>
      <c r="E98"/>
      <c r="H98"/>
      <c r="I98"/>
      <c r="J98"/>
      <c r="K98"/>
      <c r="P98" s="157">
        <v>-0.72</v>
      </c>
      <c r="Q98" s="158">
        <f t="shared" si="6"/>
        <v>3877.8888414269545</v>
      </c>
      <c r="R98" s="159">
        <f t="shared" si="7"/>
        <v>188.79999999999995</v>
      </c>
    </row>
    <row r="99" spans="1:18">
      <c r="A99"/>
      <c r="B99"/>
      <c r="C99"/>
      <c r="D99"/>
      <c r="E99"/>
      <c r="H99"/>
      <c r="I99"/>
      <c r="J99"/>
      <c r="K99"/>
      <c r="P99" s="157">
        <v>-0.73</v>
      </c>
      <c r="Q99" s="158">
        <f t="shared" si="6"/>
        <v>4220.5574456874938</v>
      </c>
      <c r="R99" s="159">
        <f t="shared" si="7"/>
        <v>191.42222222222219</v>
      </c>
    </row>
    <row r="100" spans="1:18">
      <c r="A100"/>
      <c r="B100"/>
      <c r="C100"/>
      <c r="D100"/>
      <c r="E100"/>
      <c r="H100"/>
      <c r="I100"/>
      <c r="J100"/>
      <c r="K100"/>
      <c r="P100" s="157">
        <v>-0.74</v>
      </c>
      <c r="Q100" s="158">
        <f t="shared" si="6"/>
        <v>4593.5058689803536</v>
      </c>
      <c r="R100" s="159">
        <f t="shared" si="7"/>
        <v>194.04444444444439</v>
      </c>
    </row>
    <row r="101" spans="1:18">
      <c r="A101"/>
      <c r="B101"/>
      <c r="C101"/>
      <c r="D101"/>
      <c r="E101"/>
      <c r="H101"/>
      <c r="I101"/>
      <c r="J101"/>
      <c r="K101"/>
      <c r="P101" s="157">
        <v>-0.75</v>
      </c>
      <c r="Q101" s="158">
        <f t="shared" si="6"/>
        <v>4999.4097793685823</v>
      </c>
      <c r="R101" s="159">
        <f t="shared" si="7"/>
        <v>196.66666666666663</v>
      </c>
    </row>
    <row r="102" spans="1:18">
      <c r="A102"/>
      <c r="B102"/>
      <c r="C102"/>
      <c r="D102"/>
      <c r="E102"/>
      <c r="H102"/>
      <c r="I102"/>
      <c r="J102"/>
      <c r="K102"/>
      <c r="P102" s="157">
        <v>-0.76</v>
      </c>
      <c r="Q102" s="158">
        <f t="shared" si="6"/>
        <v>5441.1812796038321</v>
      </c>
      <c r="R102" s="159">
        <f t="shared" si="7"/>
        <v>199.28888888888886</v>
      </c>
    </row>
    <row r="103" spans="1:18">
      <c r="A103"/>
      <c r="B103"/>
      <c r="C103"/>
      <c r="D103"/>
      <c r="E103"/>
      <c r="H103"/>
      <c r="I103"/>
      <c r="J103"/>
      <c r="K103"/>
      <c r="P103" s="157">
        <v>-0.77</v>
      </c>
      <c r="Q103" s="158">
        <f t="shared" si="6"/>
        <v>5921.9897996139953</v>
      </c>
      <c r="R103" s="159">
        <f t="shared" si="7"/>
        <v>201.91111111111107</v>
      </c>
    </row>
    <row r="104" spans="1:18">
      <c r="A104"/>
      <c r="B104"/>
      <c r="C104"/>
      <c r="D104"/>
      <c r="E104"/>
      <c r="H104"/>
      <c r="I104"/>
      <c r="J104"/>
      <c r="K104"/>
      <c r="P104" s="157">
        <v>-0.78</v>
      </c>
      <c r="Q104" s="158">
        <f t="shared" si="6"/>
        <v>6445.2848351499179</v>
      </c>
      <c r="R104" s="159">
        <f t="shared" si="7"/>
        <v>204.5333333333333</v>
      </c>
    </row>
    <row r="105" spans="1:18">
      <c r="A105"/>
      <c r="B105"/>
      <c r="C105"/>
      <c r="D105"/>
      <c r="E105"/>
      <c r="H105"/>
      <c r="I105"/>
      <c r="J105"/>
      <c r="K105"/>
      <c r="P105" s="157">
        <v>-0.79</v>
      </c>
      <c r="Q105" s="158">
        <f t="shared" si="6"/>
        <v>7014.8206957265047</v>
      </c>
      <c r="R105" s="159">
        <f t="shared" si="7"/>
        <v>207.15555555555554</v>
      </c>
    </row>
    <row r="106" spans="1:18">
      <c r="A106"/>
      <c r="B106"/>
      <c r="C106"/>
      <c r="D106"/>
      <c r="E106"/>
      <c r="H106"/>
      <c r="I106"/>
      <c r="J106"/>
      <c r="K106"/>
      <c r="P106" s="157">
        <v>-0.8</v>
      </c>
      <c r="Q106" s="158">
        <f t="shared" si="6"/>
        <v>7634.6834394089665</v>
      </c>
      <c r="R106" s="159">
        <f t="shared" si="7"/>
        <v>209.77777777777774</v>
      </c>
    </row>
    <row r="107" spans="1:18">
      <c r="A107"/>
      <c r="B107"/>
      <c r="C107"/>
      <c r="D107"/>
      <c r="E107"/>
      <c r="H107"/>
      <c r="I107"/>
      <c r="J107"/>
      <c r="K107"/>
      <c r="P107" s="157">
        <v>-0.81</v>
      </c>
      <c r="Q107" s="158">
        <f t="shared" si="6"/>
        <v>8309.3201876842595</v>
      </c>
      <c r="R107" s="159">
        <f t="shared" si="7"/>
        <v>212.39999999999998</v>
      </c>
    </row>
    <row r="108" spans="1:18">
      <c r="A108"/>
      <c r="B108"/>
      <c r="C108"/>
      <c r="D108"/>
      <c r="E108"/>
      <c r="H108"/>
      <c r="I108"/>
      <c r="J108"/>
      <c r="K108"/>
      <c r="P108" s="157">
        <v>-0.82</v>
      </c>
      <c r="Q108" s="158">
        <f t="shared" si="6"/>
        <v>9043.5710307331574</v>
      </c>
      <c r="R108" s="159">
        <f t="shared" si="7"/>
        <v>215.02222222222215</v>
      </c>
    </row>
    <row r="109" spans="1:18">
      <c r="A109"/>
      <c r="B109"/>
      <c r="C109"/>
      <c r="D109"/>
      <c r="E109"/>
      <c r="H109"/>
      <c r="I109"/>
      <c r="J109"/>
      <c r="K109"/>
      <c r="P109" s="157">
        <v>-0.83</v>
      </c>
      <c r="Q109" s="158">
        <f t="shared" si="6"/>
        <v>9842.7037520032318</v>
      </c>
      <c r="R109" s="159">
        <f t="shared" si="7"/>
        <v>217.64444444444439</v>
      </c>
    </row>
    <row r="110" spans="1:18">
      <c r="A110"/>
      <c r="B110"/>
      <c r="C110"/>
      <c r="D110"/>
      <c r="E110"/>
      <c r="H110"/>
      <c r="I110"/>
      <c r="J110"/>
      <c r="K110"/>
      <c r="P110" s="157">
        <v>-0.84</v>
      </c>
      <c r="Q110" s="158">
        <f t="shared" si="6"/>
        <v>10712.451621209257</v>
      </c>
      <c r="R110" s="159">
        <f t="shared" si="7"/>
        <v>220.26666666666662</v>
      </c>
    </row>
    <row r="111" spans="1:18">
      <c r="A111"/>
      <c r="B111"/>
      <c r="C111"/>
      <c r="D111"/>
      <c r="E111"/>
      <c r="H111"/>
      <c r="I111"/>
      <c r="J111"/>
      <c r="K111"/>
      <c r="P111" s="157">
        <v>-0.85</v>
      </c>
      <c r="Q111" s="158">
        <f t="shared" si="6"/>
        <v>11659.054526902017</v>
      </c>
      <c r="R111" s="159">
        <f t="shared" si="7"/>
        <v>222.88888888888883</v>
      </c>
    </row>
    <row r="112" spans="1:18">
      <c r="A112"/>
      <c r="B112"/>
      <c r="C112"/>
      <c r="D112"/>
      <c r="E112"/>
      <c r="H112"/>
      <c r="I112"/>
      <c r="J112"/>
      <c r="K112"/>
      <c r="P112" s="157">
        <v>-0.86</v>
      </c>
      <c r="Q112" s="158">
        <f t="shared" si="6"/>
        <v>12689.303743705488</v>
      </c>
      <c r="R112" s="159">
        <f t="shared" si="7"/>
        <v>225.51111111111106</v>
      </c>
    </row>
    <row r="113" spans="1:18">
      <c r="A113"/>
      <c r="B113"/>
      <c r="C113"/>
      <c r="D113"/>
      <c r="E113"/>
      <c r="H113"/>
      <c r="I113"/>
      <c r="J113"/>
      <c r="K113"/>
      <c r="P113" s="157">
        <v>-0.87</v>
      </c>
      <c r="Q113" s="158">
        <f t="shared" si="6"/>
        <v>13810.590655398801</v>
      </c>
      <c r="R113" s="159">
        <f t="shared" si="7"/>
        <v>228.1333333333333</v>
      </c>
    </row>
    <row r="114" spans="1:18">
      <c r="A114"/>
      <c r="B114"/>
      <c r="C114"/>
      <c r="D114"/>
      <c r="E114"/>
      <c r="H114"/>
      <c r="I114"/>
      <c r="J114"/>
      <c r="K114"/>
      <c r="P114" s="157">
        <v>-0.88</v>
      </c>
      <c r="Q114" s="158">
        <f t="shared" si="6"/>
        <v>15030.959783400349</v>
      </c>
      <c r="R114" s="159">
        <f t="shared" si="7"/>
        <v>230.7555555555555</v>
      </c>
    </row>
    <row r="115" spans="1:18">
      <c r="A115"/>
      <c r="B115"/>
      <c r="C115"/>
      <c r="D115"/>
      <c r="E115"/>
      <c r="H115"/>
      <c r="I115"/>
      <c r="J115"/>
      <c r="K115"/>
      <c r="P115" s="162">
        <v>-0.89</v>
      </c>
      <c r="Q115" s="163">
        <f t="shared" si="6"/>
        <v>16359.166501099548</v>
      </c>
      <c r="R115" s="164">
        <f t="shared" si="7"/>
        <v>233.37777777777774</v>
      </c>
    </row>
    <row r="135" ht="31.5" customHeight="1"/>
  </sheetData>
  <mergeCells count="41">
    <mergeCell ref="D1:Q1"/>
    <mergeCell ref="B2:H2"/>
    <mergeCell ref="J2:K2"/>
    <mergeCell ref="M2:Q2"/>
    <mergeCell ref="B3:F3"/>
    <mergeCell ref="G3:H3"/>
    <mergeCell ref="J3:J5"/>
    <mergeCell ref="K3:K4"/>
    <mergeCell ref="M3:O3"/>
    <mergeCell ref="P3:Q3"/>
    <mergeCell ref="B4:F5"/>
    <mergeCell ref="G4:G5"/>
    <mergeCell ref="M4:O4"/>
    <mergeCell ref="P4:Q4"/>
    <mergeCell ref="M5:O5"/>
    <mergeCell ref="P5:Q5"/>
    <mergeCell ref="B6:F6"/>
    <mergeCell ref="G6:H6"/>
    <mergeCell ref="M6:O6"/>
    <mergeCell ref="P6:Q6"/>
    <mergeCell ref="B7:F7"/>
    <mergeCell ref="G7:H7"/>
    <mergeCell ref="M7:O7"/>
    <mergeCell ref="M8:O8"/>
    <mergeCell ref="M9:O9"/>
    <mergeCell ref="B10:C10"/>
    <mergeCell ref="M10:O10"/>
    <mergeCell ref="B11:C11"/>
    <mergeCell ref="M11:Q11"/>
    <mergeCell ref="B8:C9"/>
    <mergeCell ref="D8:D9"/>
    <mergeCell ref="E8:E9"/>
    <mergeCell ref="F8:F9"/>
    <mergeCell ref="G8:H8"/>
    <mergeCell ref="K15:K17"/>
    <mergeCell ref="F16:H16"/>
    <mergeCell ref="B12:C12"/>
    <mergeCell ref="B13:C13"/>
    <mergeCell ref="B14:C14"/>
    <mergeCell ref="B15:C15"/>
    <mergeCell ref="J15:J17"/>
  </mergeCells>
  <conditionalFormatting sqref="B4:H5">
    <cfRule type="expression" dxfId="4" priority="2">
      <formula>$G$8="Projetos com até 99 PF - Complexidade Média ou Alta"</formula>
    </cfRule>
    <cfRule type="expression" dxfId="3" priority="3">
      <formula>$G$8="Projetos com até 99 PF - Complexidade Baixa"</formula>
    </cfRule>
  </conditionalFormatting>
  <conditionalFormatting sqref="E16">
    <cfRule type="expression" dxfId="2" priority="4">
      <formula>$E$16&lt;&gt;1</formula>
    </cfRule>
  </conditionalFormatting>
  <conditionalFormatting sqref="E13">
    <cfRule type="expression" dxfId="1" priority="5">
      <formula>AND((OR($E$13=0.15,$E$13=0.1)),$E$13&lt;&gt;$D$13)</formula>
    </cfRule>
  </conditionalFormatting>
  <conditionalFormatting sqref="E11">
    <cfRule type="expression" dxfId="0" priority="6">
      <formula>AND((OR($E$11=0.15,$E$11=0.1)),$E$11&lt;&gt;$D$11)</formula>
    </cfRule>
  </conditionalFormatting>
  <dataValidations count="9">
    <dataValidation type="list" operator="equal" allowBlank="1" showInputMessage="1" showErrorMessage="1" prompt="Informe qual o tipo de prazo que deseja distribuir os dias, se em dias úteis ou em dias corridos._x000a_Proporção utilizada: 7 dias corridos para cada 5 dias úteis (7/5)" sqref="G3:H3" xr:uid="{00000000-0002-0000-0900-000000000000}">
      <formula1>"Úteis,Corridos"</formula1>
      <formula2>0</formula2>
    </dataValidation>
    <dataValidation type="list" operator="equal" showInputMessage="1" showErrorMessage="1" prompt="Informe qual o tipo de projeto para determinação do expoente utilizado na fórmula de Capers Jones. Para descrição e valor referir-se a tabela abaixo" sqref="G4" xr:uid="{00000000-0002-0000-0900-000001000000}">
      <formula1>"Sistema Comum – Mainframe,Sistema Comum – WEB,Sistema OO,Sistema Cliente/Servidor (Alta complexidade),Sistemas Gerenciais Complexos,Software Básico,Framework,Sistemas Comerciais,Software Militar *Exclusivo SISP v2.0"</formula1>
      <formula2>0</formula2>
    </dataValidation>
    <dataValidation operator="equal" allowBlank="1" showInputMessage="1" showErrorMessage="1" sqref="H4:H5" xr:uid="{00000000-0002-0000-0900-000002000000}">
      <formula1>0</formula1>
      <formula2>0</formula2>
    </dataValidation>
    <dataValidation type="whole" operator="greaterThan" allowBlank="1" showInputMessage="1" showErrorMessage="1" error="Data limite tem que ser maior que data inicial" prompt="Informe a data que deseja que o projeto finalize" sqref="P4:Q4" xr:uid="{00000000-0002-0000-0900-000003000000}">
      <formula1>G10</formula1>
      <formula2>0</formula2>
    </dataValidation>
    <dataValidation type="list" operator="equal" showInputMessage="1" showErrorMessage="1" prompt="Informe qual o tipo de projeto para determinação do expoente utilizado na fórmula de Capers Jones. Para descrição e valor referir-se a tabela abaixo" sqref="G5" xr:uid="{00000000-0002-0000-0900-000004000000}">
      <formula1>0</formula1>
      <formula2>0</formula2>
    </dataValidation>
    <dataValidation type="list" operator="equal" allowBlank="1" showInputMessage="1" showErrorMessage="1" prompt="Informe a complexidade do projeto._x000a_Informação relevante apenas para projetos com menos de 100 PF" sqref="G6" xr:uid="{00000000-0002-0000-0900-000005000000}">
      <formula1>"Projetos com até 99 PF,Projetos com mais de 99 PF "</formula1>
      <formula2>0</formula2>
    </dataValidation>
    <dataValidation type="list" operator="equal" allowBlank="1" showInputMessage="1" showErrorMessage="1" prompt="Informe a complexidade do projeto._x000a_Informação relevante apenas para projetos com menos de 100 PF" sqref="H6" xr:uid="{00000000-0002-0000-0900-000006000000}">
      <formula1>"Projetos com até 99 PF - Complexidade Baixa,Projetos com até 99 PF - Complexidade Média ou Alta,Projetos com mais de 99 PF "</formula1>
      <formula2>0</formula2>
    </dataValidation>
    <dataValidation type="decimal" allowBlank="1" showErrorMessage="1" error="- Este campo aceita apenas números_x000a_- Projetos com mais de 99 PF devem   ter mais de 99 PF_x000a_- Projetos com até 99 PF devem no máximo ter 99 PF" prompt="Informe a quantidade de PF que deseja calcular o prazo" sqref="G7" xr:uid="{00000000-0002-0000-0900-000007000000}">
      <formula1>IF(G6="Projetos com mais de 99 PF ",99.0000001,0)</formula1>
      <formula2>IF(G6="Projetos com mais de 99 PF ",1E+24,99)</formula2>
    </dataValidation>
    <dataValidation operator="equal" allowBlank="1" showInputMessage="1" showErrorMessage="1" prompt="Atenção ao alterar esse valor, pois ele varia de acordo com a versão do SISP" sqref="E11 E13" xr:uid="{00000000-0002-0000-0900-000008000000}">
      <formula1>0</formula1>
      <formula2>0</formula2>
    </dataValidation>
  </dataValidations>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&amp;CPágina &amp;P</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46C0A"/>
  </sheetPr>
  <dimension ref="A1:BL23"/>
  <sheetViews>
    <sheetView zoomScaleNormal="100" workbookViewId="0"/>
  </sheetViews>
  <sheetFormatPr defaultRowHeight="12.5"/>
  <cols>
    <col min="1" max="1" width="23.08984375" customWidth="1"/>
    <col min="2" max="2" width="11.90625" customWidth="1"/>
    <col min="3" max="3" width="11.36328125" customWidth="1"/>
    <col min="4" max="5" width="12.453125" customWidth="1"/>
    <col min="6" max="6" width="15.90625" customWidth="1"/>
    <col min="7" max="7" width="12.453125" customWidth="1"/>
    <col min="8" max="8" width="15.90625" customWidth="1"/>
    <col min="9" max="9" width="15.453125" customWidth="1"/>
    <col min="10" max="1025" width="8.54296875" customWidth="1"/>
  </cols>
  <sheetData>
    <row r="1" spans="1:64" ht="69" customHeight="1">
      <c r="A1" s="2" t="str">
        <f>Resumo!A1</f>
        <v>Template V.1.6</v>
      </c>
      <c r="B1" s="2"/>
      <c r="C1" s="220" t="s">
        <v>152</v>
      </c>
      <c r="D1" s="220"/>
      <c r="E1" s="220"/>
      <c r="F1" s="220"/>
      <c r="G1" s="220"/>
      <c r="H1" s="220"/>
      <c r="I1" s="220"/>
      <c r="J1" s="165"/>
      <c r="K1" s="165"/>
      <c r="L1" s="165"/>
      <c r="M1" s="165"/>
      <c r="N1" s="165"/>
      <c r="O1" s="165"/>
      <c r="P1" s="165"/>
      <c r="Q1" s="165"/>
      <c r="R1" s="165"/>
      <c r="S1" s="166"/>
      <c r="T1" s="166"/>
      <c r="U1" s="166"/>
      <c r="V1" s="166"/>
      <c r="W1" s="166"/>
      <c r="X1" s="166"/>
      <c r="Y1" s="166"/>
      <c r="Z1" s="166"/>
      <c r="AA1" s="166"/>
      <c r="AB1" s="166"/>
      <c r="AC1" s="166"/>
      <c r="AD1" s="166"/>
      <c r="AE1" s="166"/>
      <c r="AF1" s="166"/>
      <c r="AG1" s="166"/>
      <c r="AH1" s="166"/>
      <c r="AI1" s="166"/>
      <c r="AJ1" s="166"/>
      <c r="AK1" s="166"/>
      <c r="AL1" s="166"/>
      <c r="AM1" s="166"/>
      <c r="AN1" s="166"/>
      <c r="AO1" s="166"/>
      <c r="AP1" s="166"/>
      <c r="AQ1" s="166"/>
      <c r="AR1" s="166"/>
      <c r="AS1" s="166"/>
      <c r="AT1" s="166"/>
      <c r="AU1" s="166"/>
      <c r="AV1" s="166"/>
      <c r="AW1" s="166"/>
      <c r="AX1" s="166"/>
      <c r="AY1" s="166"/>
      <c r="AZ1" s="166"/>
      <c r="BA1" s="166"/>
      <c r="BB1" s="166"/>
      <c r="BC1" s="166"/>
      <c r="BD1" s="166"/>
      <c r="BE1" s="166"/>
      <c r="BF1" s="166"/>
      <c r="BG1" s="166"/>
      <c r="BH1" s="166"/>
      <c r="BI1" s="166"/>
      <c r="BJ1" s="166"/>
      <c r="BK1" s="166"/>
      <c r="BL1" s="166"/>
    </row>
    <row r="3" spans="1:64" ht="13">
      <c r="A3" s="167" t="s">
        <v>153</v>
      </c>
      <c r="C3" s="168">
        <v>8</v>
      </c>
    </row>
    <row r="4" spans="1:64" ht="29">
      <c r="B4" s="167"/>
      <c r="D4" s="169" t="s">
        <v>20</v>
      </c>
      <c r="E4" s="169" t="s">
        <v>22</v>
      </c>
      <c r="F4" s="169" t="s">
        <v>24</v>
      </c>
      <c r="G4" s="169" t="s">
        <v>26</v>
      </c>
      <c r="H4" s="169" t="s">
        <v>28</v>
      </c>
      <c r="I4" s="169" t="s">
        <v>30</v>
      </c>
    </row>
    <row r="5" spans="1:64" ht="14.5">
      <c r="A5" s="170" t="s">
        <v>43</v>
      </c>
      <c r="B5" s="170" t="s">
        <v>154</v>
      </c>
      <c r="C5" s="171" t="s">
        <v>155</v>
      </c>
      <c r="D5" s="172">
        <f>Resumo!G18</f>
        <v>0.25</v>
      </c>
      <c r="E5" s="172">
        <f>Resumo!G19</f>
        <v>0.1</v>
      </c>
      <c r="F5" s="172">
        <f>Resumo!G20</f>
        <v>0.4</v>
      </c>
      <c r="G5" s="172">
        <f>Resumo!G21</f>
        <v>0.15</v>
      </c>
      <c r="H5" s="172">
        <f>Resumo!G22</f>
        <v>0.05</v>
      </c>
      <c r="I5" s="172">
        <f>Resumo!G23</f>
        <v>0.05</v>
      </c>
    </row>
    <row r="6" spans="1:64">
      <c r="A6" s="173"/>
      <c r="B6" s="174">
        <f>IF(Resumo!$B$5="Detalhada",SUMIF('AFP - Detalhada'!$G$10:$G382,Esforço!$A6,'AFP - Detalhada'!$S$10:$S382), IF(Resumo!$B$5="Estimativa",SUMIF('AFP - Estimativa'!$G$10:$G382,Esforço!$A6,'AFP - Estimativa'!$K$10:$K382)*(1+'AFP - Estimativa'!$D$6),IF(Resumo!$B$5="Indicativa",SUMIF('AFP - Indicativa'!$E$10:$E$109,Esforço!$A6,'AFP - Indicativa'!$I$10:$I$109)*(1+'AFP - Indicativa'!$E$6),0)))</f>
        <v>0</v>
      </c>
      <c r="C6" s="174">
        <f t="shared" ref="C6:C22" si="0">ROUND(B6*$C$3,0)</f>
        <v>0</v>
      </c>
      <c r="D6" s="174">
        <f t="shared" ref="D6:I15" si="1">ROUND($C6*D$5,0)</f>
        <v>0</v>
      </c>
      <c r="E6" s="174">
        <f t="shared" si="1"/>
        <v>0</v>
      </c>
      <c r="F6" s="174">
        <f t="shared" si="1"/>
        <v>0</v>
      </c>
      <c r="G6" s="174">
        <f t="shared" si="1"/>
        <v>0</v>
      </c>
      <c r="H6" s="174">
        <f t="shared" si="1"/>
        <v>0</v>
      </c>
      <c r="I6" s="174">
        <f t="shared" si="1"/>
        <v>0</v>
      </c>
    </row>
    <row r="7" spans="1:64">
      <c r="A7" s="173"/>
      <c r="B7" s="174">
        <f>IF(Resumo!$B$5="Detalhada",SUMIF('AFP - Detalhada'!$G$10:$G383,Esforço!$A7,'AFP - Detalhada'!$S$10:$S383), IF(Resumo!$B$5="Estimativa",SUMIF('AFP - Estimativa'!$G$10:$G383,Esforço!$A7,'AFP - Estimativa'!$K$10:$K383)*(1+'AFP - Estimativa'!$D$6),IF(Resumo!$B$5="Indicativa",SUMIF('AFP - Indicativa'!$E$10:$E$109,Esforço!$A7,'AFP - Indicativa'!$I$10:$I$109)*(1+'AFP - Indicativa'!$E$6),0)))</f>
        <v>0</v>
      </c>
      <c r="C7" s="174">
        <f t="shared" si="0"/>
        <v>0</v>
      </c>
      <c r="D7" s="174">
        <f t="shared" si="1"/>
        <v>0</v>
      </c>
      <c r="E7" s="174">
        <f t="shared" si="1"/>
        <v>0</v>
      </c>
      <c r="F7" s="174">
        <f t="shared" si="1"/>
        <v>0</v>
      </c>
      <c r="G7" s="174">
        <f t="shared" si="1"/>
        <v>0</v>
      </c>
      <c r="H7" s="174">
        <f t="shared" si="1"/>
        <v>0</v>
      </c>
      <c r="I7" s="174">
        <f t="shared" si="1"/>
        <v>0</v>
      </c>
    </row>
    <row r="8" spans="1:64">
      <c r="A8" s="173"/>
      <c r="B8" s="174">
        <f>IF(Resumo!$B$5="Detalhada",SUMIF('AFP - Detalhada'!$G$10:$G384,Esforço!$A8,'AFP - Detalhada'!$S$10:$S384), IF(Resumo!$B$5="Estimativa",SUMIF('AFP - Estimativa'!$G$10:$G384,Esforço!$A8,'AFP - Estimativa'!$K$10:$K384)*(1+'AFP - Estimativa'!$D$6),IF(Resumo!$B$5="Indicativa",SUMIF('AFP - Indicativa'!$E$10:$E$109,Esforço!$A8,'AFP - Indicativa'!$I$10:$I$109)*(1+'AFP - Indicativa'!$E$6),0)))</f>
        <v>0</v>
      </c>
      <c r="C8" s="174">
        <f t="shared" si="0"/>
        <v>0</v>
      </c>
      <c r="D8" s="174">
        <f t="shared" si="1"/>
        <v>0</v>
      </c>
      <c r="E8" s="174">
        <f t="shared" si="1"/>
        <v>0</v>
      </c>
      <c r="F8" s="174">
        <f t="shared" si="1"/>
        <v>0</v>
      </c>
      <c r="G8" s="174">
        <f t="shared" si="1"/>
        <v>0</v>
      </c>
      <c r="H8" s="174">
        <f t="shared" si="1"/>
        <v>0</v>
      </c>
      <c r="I8" s="174">
        <f t="shared" si="1"/>
        <v>0</v>
      </c>
    </row>
    <row r="9" spans="1:64">
      <c r="A9" s="173"/>
      <c r="B9" s="174">
        <f>IF(Resumo!$B$5="Detalhada",SUMIF('AFP - Detalhada'!$G$10:$G385,Esforço!$A9,'AFP - Detalhada'!$S$10:$S385), IF(Resumo!$B$5="Estimativa",SUMIF('AFP - Estimativa'!$G$10:$G385,Esforço!$A9,'AFP - Estimativa'!$K$10:$K385)*(1+'AFP - Estimativa'!$D$6),IF(Resumo!$B$5="Indicativa",SUMIF('AFP - Indicativa'!$E$10:$E$109,Esforço!$A9,'AFP - Indicativa'!$I$10:$I$109)*(1+'AFP - Indicativa'!$E$6),0)))</f>
        <v>0</v>
      </c>
      <c r="C9" s="174">
        <f t="shared" si="0"/>
        <v>0</v>
      </c>
      <c r="D9" s="174">
        <f t="shared" si="1"/>
        <v>0</v>
      </c>
      <c r="E9" s="174">
        <f t="shared" si="1"/>
        <v>0</v>
      </c>
      <c r="F9" s="174">
        <f t="shared" si="1"/>
        <v>0</v>
      </c>
      <c r="G9" s="174">
        <f t="shared" si="1"/>
        <v>0</v>
      </c>
      <c r="H9" s="174">
        <f t="shared" si="1"/>
        <v>0</v>
      </c>
      <c r="I9" s="174">
        <f t="shared" si="1"/>
        <v>0</v>
      </c>
    </row>
    <row r="10" spans="1:64">
      <c r="A10" s="173"/>
      <c r="B10" s="174">
        <f>IF(Resumo!$B$5="Detalhada",SUMIF('AFP - Detalhada'!$G$10:$G386,Esforço!$A10,'AFP - Detalhada'!$S$10:$S386), IF(Resumo!$B$5="Estimativa",SUMIF('AFP - Estimativa'!$G$10:$G386,Esforço!$A10,'AFP - Estimativa'!$K$10:$K386)*(1+'AFP - Estimativa'!$D$6),IF(Resumo!$B$5="Indicativa",SUMIF('AFP - Indicativa'!$E$10:$E$109,Esforço!$A10,'AFP - Indicativa'!$I$10:$I$109)*(1+'AFP - Indicativa'!$E$6),0)))</f>
        <v>0</v>
      </c>
      <c r="C10" s="174">
        <f t="shared" si="0"/>
        <v>0</v>
      </c>
      <c r="D10" s="174">
        <f t="shared" si="1"/>
        <v>0</v>
      </c>
      <c r="E10" s="174">
        <f t="shared" si="1"/>
        <v>0</v>
      </c>
      <c r="F10" s="174">
        <f t="shared" si="1"/>
        <v>0</v>
      </c>
      <c r="G10" s="174">
        <f t="shared" si="1"/>
        <v>0</v>
      </c>
      <c r="H10" s="174">
        <f t="shared" si="1"/>
        <v>0</v>
      </c>
      <c r="I10" s="174">
        <f t="shared" si="1"/>
        <v>0</v>
      </c>
    </row>
    <row r="11" spans="1:64">
      <c r="A11" s="173"/>
      <c r="B11" s="174">
        <f>IF(Resumo!$B$5="Detalhada",SUMIF('AFP - Detalhada'!$G$10:$G387,Esforço!$A11,'AFP - Detalhada'!$S$10:$S387), IF(Resumo!$B$5="Estimativa",SUMIF('AFP - Estimativa'!$G$10:$G387,Esforço!$A11,'AFP - Estimativa'!$K$10:$K387)*(1+'AFP - Estimativa'!$D$6),IF(Resumo!$B$5="Indicativa",SUMIF('AFP - Indicativa'!$E$10:$E$109,Esforço!$A11,'AFP - Indicativa'!$I$10:$I$109)*(1+'AFP - Indicativa'!$E$6),0)))</f>
        <v>0</v>
      </c>
      <c r="C11" s="174">
        <f t="shared" si="0"/>
        <v>0</v>
      </c>
      <c r="D11" s="174">
        <f t="shared" si="1"/>
        <v>0</v>
      </c>
      <c r="E11" s="174">
        <f t="shared" si="1"/>
        <v>0</v>
      </c>
      <c r="F11" s="174">
        <f t="shared" si="1"/>
        <v>0</v>
      </c>
      <c r="G11" s="174">
        <f t="shared" si="1"/>
        <v>0</v>
      </c>
      <c r="H11" s="174">
        <f t="shared" si="1"/>
        <v>0</v>
      </c>
      <c r="I11" s="174">
        <f t="shared" si="1"/>
        <v>0</v>
      </c>
    </row>
    <row r="12" spans="1:64">
      <c r="A12" s="173"/>
      <c r="B12" s="174">
        <f>IF(Resumo!$B$5="Detalhada",SUMIF('AFP - Detalhada'!$G$10:$G388,Esforço!$A12,'AFP - Detalhada'!$S$10:$S388), IF(Resumo!$B$5="Estimativa",SUMIF('AFP - Estimativa'!$G$10:$G388,Esforço!$A12,'AFP - Estimativa'!$K$10:$K388)*(1+'AFP - Estimativa'!$D$6),IF(Resumo!$B$5="Indicativa",SUMIF('AFP - Indicativa'!$E$10:$E$109,Esforço!$A12,'AFP - Indicativa'!$I$10:$I$109)*(1+'AFP - Indicativa'!$E$6),0)))</f>
        <v>0</v>
      </c>
      <c r="C12" s="174">
        <f t="shared" si="0"/>
        <v>0</v>
      </c>
      <c r="D12" s="174">
        <f t="shared" si="1"/>
        <v>0</v>
      </c>
      <c r="E12" s="174">
        <f t="shared" si="1"/>
        <v>0</v>
      </c>
      <c r="F12" s="174">
        <f t="shared" si="1"/>
        <v>0</v>
      </c>
      <c r="G12" s="174">
        <f t="shared" si="1"/>
        <v>0</v>
      </c>
      <c r="H12" s="174">
        <f t="shared" si="1"/>
        <v>0</v>
      </c>
      <c r="I12" s="174">
        <f t="shared" si="1"/>
        <v>0</v>
      </c>
    </row>
    <row r="13" spans="1:64">
      <c r="A13" s="173"/>
      <c r="B13" s="174">
        <f>IF(Resumo!$B$5="Detalhada",SUMIF('AFP - Detalhada'!$G$10:$G389,Esforço!$A13,'AFP - Detalhada'!$S$10:$S389), IF(Resumo!$B$5="Estimativa",SUMIF('AFP - Estimativa'!$G$10:$G389,Esforço!$A13,'AFP - Estimativa'!$K$10:$K389)*(1+'AFP - Estimativa'!$D$6),IF(Resumo!$B$5="Indicativa",SUMIF('AFP - Indicativa'!$E$10:$E$109,Esforço!$A13,'AFP - Indicativa'!$I$10:$I$109)*(1+'AFP - Indicativa'!$E$6),0)))</f>
        <v>0</v>
      </c>
      <c r="C13" s="174">
        <f t="shared" si="0"/>
        <v>0</v>
      </c>
      <c r="D13" s="174">
        <f t="shared" si="1"/>
        <v>0</v>
      </c>
      <c r="E13" s="174">
        <f t="shared" si="1"/>
        <v>0</v>
      </c>
      <c r="F13" s="174">
        <f t="shared" si="1"/>
        <v>0</v>
      </c>
      <c r="G13" s="174">
        <f t="shared" si="1"/>
        <v>0</v>
      </c>
      <c r="H13" s="174">
        <f t="shared" si="1"/>
        <v>0</v>
      </c>
      <c r="I13" s="174">
        <f t="shared" si="1"/>
        <v>0</v>
      </c>
    </row>
    <row r="14" spans="1:64">
      <c r="A14" s="173"/>
      <c r="B14" s="174">
        <f>IF(Resumo!$B$5="Detalhada",SUMIF('AFP - Detalhada'!$G$10:$G390,Esforço!$A14,'AFP - Detalhada'!$S$10:$S390), IF(Resumo!$B$5="Estimativa",SUMIF('AFP - Estimativa'!$G$10:$G390,Esforço!$A14,'AFP - Estimativa'!$K$10:$K390)*(1+'AFP - Estimativa'!$D$6),IF(Resumo!$B$5="Indicativa",SUMIF('AFP - Indicativa'!$E$10:$E$109,Esforço!$A14,'AFP - Indicativa'!$I$10:$I$109)*(1+'AFP - Indicativa'!$E$6),0)))</f>
        <v>0</v>
      </c>
      <c r="C14" s="174">
        <f t="shared" si="0"/>
        <v>0</v>
      </c>
      <c r="D14" s="174">
        <f t="shared" si="1"/>
        <v>0</v>
      </c>
      <c r="E14" s="174">
        <f t="shared" si="1"/>
        <v>0</v>
      </c>
      <c r="F14" s="174">
        <f t="shared" si="1"/>
        <v>0</v>
      </c>
      <c r="G14" s="174">
        <f t="shared" si="1"/>
        <v>0</v>
      </c>
      <c r="H14" s="174">
        <f t="shared" si="1"/>
        <v>0</v>
      </c>
      <c r="I14" s="174">
        <f t="shared" si="1"/>
        <v>0</v>
      </c>
    </row>
    <row r="15" spans="1:64">
      <c r="A15" s="173"/>
      <c r="B15" s="174">
        <f>IF(Resumo!$B$5="Detalhada",SUMIF('AFP - Detalhada'!$G$10:$G391,Esforço!$A15,'AFP - Detalhada'!$S$10:$S391), IF(Resumo!$B$5="Estimativa",SUMIF('AFP - Estimativa'!$G$10:$G391,Esforço!$A15,'AFP - Estimativa'!$K$10:$K391)*(1+'AFP - Estimativa'!$D$6),IF(Resumo!$B$5="Indicativa",SUMIF('AFP - Indicativa'!$E$10:$E$109,Esforço!$A15,'AFP - Indicativa'!$I$10:$I$109)*(1+'AFP - Indicativa'!$E$6),0)))</f>
        <v>0</v>
      </c>
      <c r="C15" s="174">
        <f t="shared" si="0"/>
        <v>0</v>
      </c>
      <c r="D15" s="174">
        <f t="shared" si="1"/>
        <v>0</v>
      </c>
      <c r="E15" s="174">
        <f t="shared" si="1"/>
        <v>0</v>
      </c>
      <c r="F15" s="174">
        <f t="shared" si="1"/>
        <v>0</v>
      </c>
      <c r="G15" s="174">
        <f t="shared" si="1"/>
        <v>0</v>
      </c>
      <c r="H15" s="174">
        <f t="shared" si="1"/>
        <v>0</v>
      </c>
      <c r="I15" s="174">
        <f t="shared" si="1"/>
        <v>0</v>
      </c>
    </row>
    <row r="16" spans="1:64">
      <c r="A16" s="173"/>
      <c r="B16" s="174">
        <f>IF(Resumo!$B$5="Detalhada",SUMIF('AFP - Detalhada'!$G$10:$G392,Esforço!$A16,'AFP - Detalhada'!$S$10:$S392), IF(Resumo!$B$5="Estimativa",SUMIF('AFP - Estimativa'!$G$10:$G392,Esforço!$A16,'AFP - Estimativa'!$K$10:$K392)*(1+'AFP - Estimativa'!$D$6),IF(Resumo!$B$5="Indicativa",SUMIF('AFP - Indicativa'!$E$10:$E$109,Esforço!$A16,'AFP - Indicativa'!$I$10:$I$109)*(1+'AFP - Indicativa'!$E$6),0)))</f>
        <v>0</v>
      </c>
      <c r="C16" s="174">
        <f t="shared" si="0"/>
        <v>0</v>
      </c>
      <c r="D16" s="174">
        <f t="shared" ref="D16:I22" si="2">ROUND($C16*D$5,0)</f>
        <v>0</v>
      </c>
      <c r="E16" s="174">
        <f t="shared" si="2"/>
        <v>0</v>
      </c>
      <c r="F16" s="174">
        <f t="shared" si="2"/>
        <v>0</v>
      </c>
      <c r="G16" s="174">
        <f t="shared" si="2"/>
        <v>0</v>
      </c>
      <c r="H16" s="174">
        <f t="shared" si="2"/>
        <v>0</v>
      </c>
      <c r="I16" s="174">
        <f t="shared" si="2"/>
        <v>0</v>
      </c>
    </row>
    <row r="17" spans="1:9">
      <c r="A17" s="173"/>
      <c r="B17" s="174">
        <f>IF(Resumo!$B$5="Detalhada",SUMIF('AFP - Detalhada'!$G$10:$G393,Esforço!$A17,'AFP - Detalhada'!$S$10:$S393), IF(Resumo!$B$5="Estimativa",SUMIF('AFP - Estimativa'!$G$10:$G393,Esforço!$A17,'AFP - Estimativa'!$K$10:$K393)*(1+'AFP - Estimativa'!$D$6),IF(Resumo!$B$5="Indicativa",SUMIF('AFP - Indicativa'!$E$10:$E$109,Esforço!$A17,'AFP - Indicativa'!$I$10:$I$109)*(1+'AFP - Indicativa'!$E$6),0)))</f>
        <v>0</v>
      </c>
      <c r="C17" s="174">
        <f t="shared" si="0"/>
        <v>0</v>
      </c>
      <c r="D17" s="174">
        <f t="shared" si="2"/>
        <v>0</v>
      </c>
      <c r="E17" s="174">
        <f t="shared" si="2"/>
        <v>0</v>
      </c>
      <c r="F17" s="174">
        <f t="shared" si="2"/>
        <v>0</v>
      </c>
      <c r="G17" s="174">
        <f t="shared" si="2"/>
        <v>0</v>
      </c>
      <c r="H17" s="174">
        <f t="shared" si="2"/>
        <v>0</v>
      </c>
      <c r="I17" s="174">
        <f t="shared" si="2"/>
        <v>0</v>
      </c>
    </row>
    <row r="18" spans="1:9">
      <c r="A18" s="173"/>
      <c r="B18" s="174">
        <f>IF(Resumo!$B$5="Detalhada",SUMIF('AFP - Detalhada'!$G$10:$G394,Esforço!$A18,'AFP - Detalhada'!$S$10:$S394), IF(Resumo!$B$5="Estimativa",SUMIF('AFP - Estimativa'!$G$10:$G394,Esforço!$A18,'AFP - Estimativa'!$K$10:$K394)*(1+'AFP - Estimativa'!$D$6),IF(Resumo!$B$5="Indicativa",SUMIF('AFP - Indicativa'!$E$10:$E$109,Esforço!$A18,'AFP - Indicativa'!$I$10:$I$109)*(1+'AFP - Indicativa'!$E$6),0)))</f>
        <v>0</v>
      </c>
      <c r="C18" s="174">
        <f t="shared" si="0"/>
        <v>0</v>
      </c>
      <c r="D18" s="174">
        <f t="shared" si="2"/>
        <v>0</v>
      </c>
      <c r="E18" s="174">
        <f t="shared" si="2"/>
        <v>0</v>
      </c>
      <c r="F18" s="174">
        <f t="shared" si="2"/>
        <v>0</v>
      </c>
      <c r="G18" s="174">
        <f t="shared" si="2"/>
        <v>0</v>
      </c>
      <c r="H18" s="174">
        <f t="shared" si="2"/>
        <v>0</v>
      </c>
      <c r="I18" s="174">
        <f t="shared" si="2"/>
        <v>0</v>
      </c>
    </row>
    <row r="19" spans="1:9">
      <c r="A19" s="173"/>
      <c r="B19" s="174">
        <f>IF(Resumo!$B$5="Detalhada",SUMIF('AFP - Detalhada'!$G$10:$G395,Esforço!$A19,'AFP - Detalhada'!$S$10:$S395), IF(Resumo!$B$5="Estimativa",SUMIF('AFP - Estimativa'!$G$10:$G395,Esforço!$A19,'AFP - Estimativa'!$K$10:$K395)*(1+'AFP - Estimativa'!$D$6),IF(Resumo!$B$5="Indicativa",SUMIF('AFP - Indicativa'!$E$10:$E$109,Esforço!$A19,'AFP - Indicativa'!$I$10:$I$109)*(1+'AFP - Indicativa'!$E$6),0)))</f>
        <v>0</v>
      </c>
      <c r="C19" s="174">
        <f t="shared" si="0"/>
        <v>0</v>
      </c>
      <c r="D19" s="174">
        <f t="shared" si="2"/>
        <v>0</v>
      </c>
      <c r="E19" s="174">
        <f t="shared" si="2"/>
        <v>0</v>
      </c>
      <c r="F19" s="174">
        <f t="shared" si="2"/>
        <v>0</v>
      </c>
      <c r="G19" s="174">
        <f t="shared" si="2"/>
        <v>0</v>
      </c>
      <c r="H19" s="174">
        <f t="shared" si="2"/>
        <v>0</v>
      </c>
      <c r="I19" s="174">
        <f t="shared" si="2"/>
        <v>0</v>
      </c>
    </row>
    <row r="20" spans="1:9">
      <c r="A20" s="173"/>
      <c r="B20" s="174">
        <f>IF(Resumo!$B$5="Detalhada",SUMIF('AFP - Detalhada'!$G$10:$G396,Esforço!$A20,'AFP - Detalhada'!$S$10:$S396), IF(Resumo!$B$5="Estimativa",SUMIF('AFP - Estimativa'!$G$10:$G396,Esforço!$A20,'AFP - Estimativa'!$K$10:$K396)*(1+'AFP - Estimativa'!$D$6),IF(Resumo!$B$5="Indicativa",SUMIF('AFP - Indicativa'!$E$10:$E$109,Esforço!$A20,'AFP - Indicativa'!$I$10:$I$109)*(1+'AFP - Indicativa'!$E$6),0)))</f>
        <v>0</v>
      </c>
      <c r="C20" s="174">
        <f t="shared" si="0"/>
        <v>0</v>
      </c>
      <c r="D20" s="174">
        <f t="shared" si="2"/>
        <v>0</v>
      </c>
      <c r="E20" s="174">
        <f t="shared" si="2"/>
        <v>0</v>
      </c>
      <c r="F20" s="174">
        <f t="shared" si="2"/>
        <v>0</v>
      </c>
      <c r="G20" s="174">
        <f t="shared" si="2"/>
        <v>0</v>
      </c>
      <c r="H20" s="174">
        <f t="shared" si="2"/>
        <v>0</v>
      </c>
      <c r="I20" s="174">
        <f t="shared" si="2"/>
        <v>0</v>
      </c>
    </row>
    <row r="21" spans="1:9">
      <c r="A21" s="173"/>
      <c r="B21" s="174">
        <f>IF(Resumo!$B$5="Detalhada",SUMIF('AFP - Detalhada'!$G$10:$G397,Esforço!$A21,'AFP - Detalhada'!$S$10:$S397), IF(Resumo!$B$5="Estimativa",SUMIF('AFP - Estimativa'!$G$10:$G397,Esforço!$A21,'AFP - Estimativa'!$K$10:$K397)*(1+'AFP - Estimativa'!$D$6),IF(Resumo!$B$5="Indicativa",SUMIF('AFP - Indicativa'!$E$10:$E$109,Esforço!$A21,'AFP - Indicativa'!$I$10:$I$109)*(1+'AFP - Indicativa'!$E$6),0)))</f>
        <v>0</v>
      </c>
      <c r="C21" s="174">
        <f t="shared" si="0"/>
        <v>0</v>
      </c>
      <c r="D21" s="174">
        <f t="shared" si="2"/>
        <v>0</v>
      </c>
      <c r="E21" s="174">
        <f t="shared" si="2"/>
        <v>0</v>
      </c>
      <c r="F21" s="174">
        <f t="shared" si="2"/>
        <v>0</v>
      </c>
      <c r="G21" s="174">
        <f t="shared" si="2"/>
        <v>0</v>
      </c>
      <c r="H21" s="174">
        <f t="shared" si="2"/>
        <v>0</v>
      </c>
      <c r="I21" s="174">
        <f t="shared" si="2"/>
        <v>0</v>
      </c>
    </row>
    <row r="22" spans="1:9">
      <c r="A22" s="173"/>
      <c r="B22" s="174">
        <f>IF(Resumo!$B$5="Detalhada",SUMIF('AFP - Detalhada'!$G$10:$G398,Esforço!$A22,'AFP - Detalhada'!$S$10:$S398), IF(Resumo!$B$5="Estimativa",SUMIF('AFP - Estimativa'!$G$10:$G398,Esforço!$A22,'AFP - Estimativa'!$K$10:$K398)*(1+'AFP - Estimativa'!$D$6),IF(Resumo!$B$5="Indicativa",SUMIF('AFP - Indicativa'!$E$10:$E$109,Esforço!$A22,'AFP - Indicativa'!$I$10:$I$109)*(1+'AFP - Indicativa'!$E$6),0)))</f>
        <v>0</v>
      </c>
      <c r="C22" s="174">
        <f t="shared" si="0"/>
        <v>0</v>
      </c>
      <c r="D22" s="174">
        <f t="shared" si="2"/>
        <v>0</v>
      </c>
      <c r="E22" s="174">
        <f t="shared" si="2"/>
        <v>0</v>
      </c>
      <c r="F22" s="174">
        <f t="shared" si="2"/>
        <v>0</v>
      </c>
      <c r="G22" s="174">
        <f t="shared" si="2"/>
        <v>0</v>
      </c>
      <c r="H22" s="174">
        <f t="shared" si="2"/>
        <v>0</v>
      </c>
      <c r="I22" s="174">
        <f t="shared" si="2"/>
        <v>0</v>
      </c>
    </row>
    <row r="23" spans="1:9" ht="13">
      <c r="A23" s="175" t="s">
        <v>147</v>
      </c>
      <c r="B23" s="176">
        <f>SUM(B6:B22)</f>
        <v>0</v>
      </c>
      <c r="C23" s="176">
        <f>SUM(C6:C22)</f>
        <v>0</v>
      </c>
      <c r="D23" s="176">
        <f>SUM(D6:D22)</f>
        <v>0</v>
      </c>
      <c r="E23" s="176">
        <f>ROUND($C23*E$5,0)</f>
        <v>0</v>
      </c>
      <c r="F23" s="176">
        <f>SUM(F6:F22)</f>
        <v>0</v>
      </c>
      <c r="G23" s="176">
        <f>SUM(G6:G22)</f>
        <v>0</v>
      </c>
      <c r="H23" s="176">
        <f>SUM(H6:H22)</f>
        <v>0</v>
      </c>
      <c r="I23" s="176">
        <f>SUM(I6:I22)</f>
        <v>0</v>
      </c>
    </row>
  </sheetData>
  <mergeCells count="1">
    <mergeCell ref="C1:I1"/>
  </mergeCells>
  <pageMargins left="0.51180555555555496" right="0.51180555555555496" top="0.78749999999999998" bottom="0.78749999999999998" header="0.51180555555555496" footer="0.51180555555555496"/>
  <pageSetup paperSize="9" firstPageNumber="0"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F81BD"/>
  </sheetPr>
  <dimension ref="A1:N195"/>
  <sheetViews>
    <sheetView topLeftCell="J1" zoomScaleNormal="100" workbookViewId="0">
      <selection sqref="A1:B1"/>
    </sheetView>
  </sheetViews>
  <sheetFormatPr defaultRowHeight="12.5"/>
  <cols>
    <col min="1" max="1" width="49.453125" hidden="1" customWidth="1"/>
    <col min="2" max="2" width="16.08984375" hidden="1" customWidth="1"/>
    <col min="3" max="3" width="10.54296875" hidden="1" customWidth="1"/>
    <col min="4" max="4" width="59.1796875" style="177" hidden="1" customWidth="1"/>
    <col min="5" max="5" width="10.1796875" style="178" hidden="1" customWidth="1"/>
    <col min="6" max="6" width="13.08984375" style="179" hidden="1" customWidth="1"/>
    <col min="7" max="8" width="8.90625" style="179" hidden="1" customWidth="1"/>
    <col min="9" max="9" width="8.54296875" hidden="1" customWidth="1"/>
    <col min="10" max="10" width="67.81640625" customWidth="1"/>
    <col min="11" max="11" width="8.6328125" style="179" customWidth="1"/>
    <col min="12" max="12" width="8.453125" style="179" customWidth="1"/>
    <col min="13" max="13" width="27.08984375" customWidth="1"/>
    <col min="14" max="14" width="45.1796875" customWidth="1"/>
    <col min="15" max="64" width="8.54296875" customWidth="1"/>
    <col min="65" max="1025" width="11.54296875"/>
  </cols>
  <sheetData>
    <row r="1" spans="1:14" ht="13">
      <c r="A1" s="267" t="s">
        <v>156</v>
      </c>
      <c r="B1" s="267"/>
      <c r="D1" s="268" t="s">
        <v>157</v>
      </c>
      <c r="E1" s="268"/>
      <c r="F1" s="268"/>
      <c r="G1" s="268"/>
      <c r="H1" s="268"/>
      <c r="J1" s="268" t="s">
        <v>158</v>
      </c>
      <c r="K1" s="268"/>
      <c r="L1" s="268"/>
      <c r="M1" s="268"/>
      <c r="N1" s="268"/>
    </row>
    <row r="2" spans="1:14" ht="13">
      <c r="A2" s="170" t="s">
        <v>46</v>
      </c>
      <c r="B2" s="170" t="s">
        <v>159</v>
      </c>
      <c r="D2" s="180" t="s">
        <v>160</v>
      </c>
      <c r="E2" s="181" t="s">
        <v>161</v>
      </c>
      <c r="F2" s="181" t="s">
        <v>162</v>
      </c>
      <c r="G2" s="181" t="s">
        <v>163</v>
      </c>
      <c r="H2" s="181" t="s">
        <v>164</v>
      </c>
      <c r="J2" s="182" t="s">
        <v>165</v>
      </c>
      <c r="K2" s="183" t="s">
        <v>166</v>
      </c>
      <c r="L2" s="183" t="s">
        <v>46</v>
      </c>
      <c r="M2" s="183" t="s">
        <v>167</v>
      </c>
      <c r="N2" s="184" t="s">
        <v>168</v>
      </c>
    </row>
    <row r="3" spans="1:14" ht="13.25" customHeight="1">
      <c r="A3" s="180" t="s">
        <v>169</v>
      </c>
      <c r="B3" s="185">
        <v>1</v>
      </c>
      <c r="D3" s="180" t="s">
        <v>170</v>
      </c>
      <c r="E3" s="181" t="s">
        <v>161</v>
      </c>
      <c r="F3" s="181" t="s">
        <v>162</v>
      </c>
      <c r="G3" s="181" t="s">
        <v>163</v>
      </c>
      <c r="H3" s="181" t="s">
        <v>164</v>
      </c>
      <c r="J3" s="174"/>
      <c r="K3" s="186"/>
      <c r="L3" s="186"/>
      <c r="M3" s="174"/>
      <c r="N3" s="174"/>
    </row>
    <row r="4" spans="1:14" ht="12.65" customHeight="1">
      <c r="A4" s="180" t="s">
        <v>171</v>
      </c>
      <c r="B4" s="185">
        <v>1</v>
      </c>
      <c r="D4" s="180" t="s">
        <v>172</v>
      </c>
      <c r="E4" s="181" t="s">
        <v>161</v>
      </c>
      <c r="F4" s="181" t="s">
        <v>162</v>
      </c>
      <c r="G4" s="181" t="s">
        <v>163</v>
      </c>
      <c r="H4" s="181" t="s">
        <v>164</v>
      </c>
      <c r="J4" s="174"/>
      <c r="K4" s="186"/>
      <c r="L4" s="186"/>
      <c r="M4" s="174"/>
      <c r="N4" s="174"/>
    </row>
    <row r="5" spans="1:14" ht="13.75" customHeight="1">
      <c r="A5" s="180" t="s">
        <v>173</v>
      </c>
      <c r="B5" s="185">
        <v>1</v>
      </c>
      <c r="D5" s="180" t="s">
        <v>174</v>
      </c>
      <c r="E5" s="181" t="s">
        <v>161</v>
      </c>
      <c r="F5" s="181" t="s">
        <v>162</v>
      </c>
      <c r="G5" s="181" t="s">
        <v>163</v>
      </c>
      <c r="H5" s="181" t="s">
        <v>164</v>
      </c>
      <c r="J5" s="174"/>
      <c r="K5" s="186"/>
      <c r="L5" s="186"/>
      <c r="M5" s="174"/>
      <c r="N5" s="174"/>
    </row>
    <row r="6" spans="1:14" ht="13.75" customHeight="1">
      <c r="A6" s="180" t="s">
        <v>175</v>
      </c>
      <c r="B6" s="185">
        <v>0.5</v>
      </c>
      <c r="D6" s="180" t="s">
        <v>176</v>
      </c>
      <c r="E6" s="181" t="s">
        <v>161</v>
      </c>
      <c r="F6" s="181" t="s">
        <v>162</v>
      </c>
      <c r="G6" s="181" t="s">
        <v>163</v>
      </c>
      <c r="H6" s="181"/>
      <c r="J6" s="174"/>
      <c r="K6" s="186"/>
      <c r="L6" s="186"/>
      <c r="M6" s="174"/>
      <c r="N6" s="174"/>
    </row>
    <row r="7" spans="1:14" ht="12" customHeight="1">
      <c r="A7" s="180" t="s">
        <v>177</v>
      </c>
      <c r="B7" s="185">
        <v>0.75</v>
      </c>
      <c r="D7" s="180" t="s">
        <v>178</v>
      </c>
      <c r="E7" s="181" t="s">
        <v>161</v>
      </c>
      <c r="F7" s="181" t="s">
        <v>162</v>
      </c>
      <c r="G7" s="181" t="s">
        <v>163</v>
      </c>
      <c r="H7" s="181" t="s">
        <v>164</v>
      </c>
      <c r="J7" s="174"/>
      <c r="K7" s="186"/>
      <c r="L7" s="186"/>
      <c r="M7" s="174"/>
      <c r="N7" s="174"/>
    </row>
    <row r="8" spans="1:14" ht="12" customHeight="1">
      <c r="A8" s="180" t="s">
        <v>179</v>
      </c>
      <c r="B8" s="185">
        <v>0.9</v>
      </c>
      <c r="D8" s="187" t="s">
        <v>180</v>
      </c>
      <c r="E8" s="181" t="s">
        <v>161</v>
      </c>
      <c r="F8" s="181" t="s">
        <v>162</v>
      </c>
      <c r="G8" s="181"/>
      <c r="H8" s="181"/>
      <c r="J8" s="174"/>
      <c r="K8" s="186"/>
      <c r="L8" s="186"/>
      <c r="M8" s="174"/>
      <c r="N8" s="174"/>
    </row>
    <row r="9" spans="1:14" ht="12" customHeight="1">
      <c r="A9" s="174" t="s">
        <v>181</v>
      </c>
      <c r="B9" s="185">
        <v>0.4</v>
      </c>
      <c r="D9" s="187" t="s">
        <v>182</v>
      </c>
      <c r="E9" s="181" t="s">
        <v>161</v>
      </c>
      <c r="F9" s="181" t="s">
        <v>162</v>
      </c>
      <c r="G9" s="181" t="s">
        <v>163</v>
      </c>
      <c r="H9" s="181" t="s">
        <v>164</v>
      </c>
      <c r="J9" s="174"/>
      <c r="K9" s="186"/>
      <c r="L9" s="186"/>
      <c r="M9" s="174"/>
      <c r="N9" s="174"/>
    </row>
    <row r="10" spans="1:14" ht="12" customHeight="1">
      <c r="A10" s="174" t="s">
        <v>183</v>
      </c>
      <c r="B10" s="185">
        <v>1</v>
      </c>
      <c r="D10" s="180" t="s">
        <v>184</v>
      </c>
      <c r="E10" s="181" t="s">
        <v>161</v>
      </c>
      <c r="F10" s="181"/>
      <c r="G10" s="181"/>
      <c r="H10" s="181"/>
      <c r="J10" s="174"/>
      <c r="K10" s="186"/>
      <c r="L10" s="186"/>
      <c r="M10" s="174"/>
      <c r="N10" s="174"/>
    </row>
    <row r="11" spans="1:14" ht="12" customHeight="1">
      <c r="A11" s="174" t="s">
        <v>185</v>
      </c>
      <c r="B11" s="185">
        <v>0</v>
      </c>
      <c r="D11" s="180" t="s">
        <v>186</v>
      </c>
      <c r="E11" s="181" t="s">
        <v>161</v>
      </c>
      <c r="F11" s="181" t="s">
        <v>162</v>
      </c>
      <c r="G11" s="181"/>
      <c r="H11" s="181"/>
      <c r="J11" s="174"/>
      <c r="K11" s="186"/>
      <c r="L11" s="186"/>
      <c r="M11" s="174"/>
      <c r="N11" s="174"/>
    </row>
    <row r="12" spans="1:14" ht="12" customHeight="1">
      <c r="A12" s="187" t="s">
        <v>187</v>
      </c>
      <c r="B12" s="185">
        <v>0.5</v>
      </c>
      <c r="D12" s="180" t="s">
        <v>188</v>
      </c>
      <c r="E12" s="181" t="s">
        <v>161</v>
      </c>
      <c r="F12" s="181"/>
      <c r="G12" s="181"/>
      <c r="H12" s="181" t="s">
        <v>164</v>
      </c>
      <c r="J12" s="174"/>
      <c r="K12" s="186"/>
      <c r="L12" s="186"/>
      <c r="M12" s="174"/>
      <c r="N12" s="174"/>
    </row>
    <row r="13" spans="1:14" ht="12" customHeight="1">
      <c r="A13" s="187" t="s">
        <v>189</v>
      </c>
      <c r="B13" s="185">
        <v>0.65</v>
      </c>
      <c r="D13" s="180" t="s">
        <v>190</v>
      </c>
      <c r="E13" s="181"/>
      <c r="F13" s="181"/>
      <c r="G13" s="181"/>
      <c r="H13" s="181" t="s">
        <v>164</v>
      </c>
      <c r="J13" s="174"/>
      <c r="K13" s="186"/>
      <c r="L13" s="186"/>
      <c r="M13" s="174"/>
      <c r="N13" s="174"/>
    </row>
    <row r="14" spans="1:14" ht="13.75" customHeight="1">
      <c r="A14" s="187" t="s">
        <v>191</v>
      </c>
      <c r="B14" s="185">
        <v>0.75</v>
      </c>
      <c r="D14" s="180" t="s">
        <v>192</v>
      </c>
      <c r="E14" s="181"/>
      <c r="F14" s="181"/>
      <c r="G14" s="181"/>
      <c r="H14" s="181" t="s">
        <v>164</v>
      </c>
      <c r="J14" s="174"/>
      <c r="K14" s="186"/>
      <c r="L14" s="186"/>
      <c r="M14" s="174"/>
      <c r="N14" s="174"/>
    </row>
    <row r="15" spans="1:14" ht="12.65" customHeight="1">
      <c r="A15" s="187" t="s">
        <v>193</v>
      </c>
      <c r="B15" s="185">
        <v>0.9</v>
      </c>
      <c r="D15" s="187" t="s">
        <v>194</v>
      </c>
      <c r="E15" s="181"/>
      <c r="F15" s="181"/>
      <c r="G15" s="181"/>
      <c r="H15" s="181" t="s">
        <v>164</v>
      </c>
      <c r="J15" s="174"/>
      <c r="K15" s="186"/>
      <c r="L15" s="186"/>
      <c r="M15" s="174"/>
      <c r="N15" s="174"/>
    </row>
    <row r="16" spans="1:14" ht="14.4" customHeight="1">
      <c r="A16" s="187" t="s">
        <v>195</v>
      </c>
      <c r="B16" s="185">
        <v>1</v>
      </c>
      <c r="D16" s="180" t="s">
        <v>196</v>
      </c>
      <c r="E16" s="181"/>
      <c r="F16" s="181"/>
      <c r="G16" s="181" t="s">
        <v>163</v>
      </c>
      <c r="H16" s="181"/>
      <c r="J16" s="174"/>
      <c r="K16" s="186"/>
      <c r="L16" s="186"/>
      <c r="M16" s="174"/>
      <c r="N16" s="174"/>
    </row>
    <row r="17" spans="1:14" ht="13.75" customHeight="1">
      <c r="A17" s="187" t="s">
        <v>197</v>
      </c>
      <c r="B17" s="185">
        <v>1</v>
      </c>
      <c r="D17" s="180" t="s">
        <v>198</v>
      </c>
      <c r="E17" s="181" t="s">
        <v>161</v>
      </c>
      <c r="F17" s="181" t="s">
        <v>162</v>
      </c>
      <c r="G17" s="181" t="s">
        <v>163</v>
      </c>
      <c r="H17" s="181"/>
      <c r="J17" s="174"/>
      <c r="K17" s="186"/>
      <c r="L17" s="186"/>
      <c r="M17" s="174"/>
      <c r="N17" s="174"/>
    </row>
    <row r="18" spans="1:14" ht="14.4" customHeight="1">
      <c r="A18" s="187" t="s">
        <v>199</v>
      </c>
      <c r="B18" s="185">
        <v>0.3</v>
      </c>
      <c r="D18" s="180" t="s">
        <v>200</v>
      </c>
      <c r="E18" s="181" t="s">
        <v>161</v>
      </c>
      <c r="F18" s="181" t="s">
        <v>162</v>
      </c>
      <c r="G18" s="181" t="s">
        <v>163</v>
      </c>
      <c r="H18" s="181" t="s">
        <v>164</v>
      </c>
      <c r="J18" s="174"/>
      <c r="K18" s="186"/>
      <c r="L18" s="186"/>
      <c r="M18" s="174"/>
      <c r="N18" s="174"/>
    </row>
    <row r="19" spans="1:14" ht="17.399999999999999" customHeight="1">
      <c r="A19" s="187" t="s">
        <v>201</v>
      </c>
      <c r="B19" s="185">
        <v>0.3</v>
      </c>
      <c r="D19" s="180" t="s">
        <v>202</v>
      </c>
      <c r="E19" s="181"/>
      <c r="F19" s="181"/>
      <c r="G19" s="181"/>
      <c r="H19" s="181" t="s">
        <v>164</v>
      </c>
      <c r="J19" s="174"/>
      <c r="K19" s="186"/>
      <c r="L19" s="186"/>
      <c r="M19" s="174"/>
      <c r="N19" s="174"/>
    </row>
    <row r="20" spans="1:14" ht="14.4" customHeight="1">
      <c r="A20" s="187" t="s">
        <v>203</v>
      </c>
      <c r="B20" s="185">
        <v>0.3</v>
      </c>
      <c r="D20" s="180" t="s">
        <v>204</v>
      </c>
      <c r="E20" s="181"/>
      <c r="F20" s="181"/>
      <c r="G20" s="181" t="s">
        <v>163</v>
      </c>
      <c r="H20" s="181"/>
      <c r="J20" s="174"/>
      <c r="K20" s="186"/>
      <c r="L20" s="186"/>
      <c r="M20" s="174"/>
      <c r="N20" s="174"/>
    </row>
    <row r="21" spans="1:14" ht="13.75" customHeight="1">
      <c r="A21" s="187" t="s">
        <v>205</v>
      </c>
      <c r="B21" s="185">
        <v>0.3</v>
      </c>
      <c r="D21" s="180" t="s">
        <v>206</v>
      </c>
      <c r="E21" s="181" t="s">
        <v>161</v>
      </c>
      <c r="F21" s="181" t="s">
        <v>162</v>
      </c>
      <c r="G21" s="181" t="s">
        <v>163</v>
      </c>
      <c r="H21" s="181" t="s">
        <v>164</v>
      </c>
      <c r="J21" s="174"/>
      <c r="K21" s="186"/>
      <c r="L21" s="186"/>
      <c r="M21" s="174"/>
      <c r="N21" s="174"/>
    </row>
    <row r="22" spans="1:14" ht="15" customHeight="1">
      <c r="A22" s="187" t="s">
        <v>207</v>
      </c>
      <c r="B22" s="185">
        <v>0.6</v>
      </c>
      <c r="D22" s="180" t="s">
        <v>208</v>
      </c>
      <c r="E22" s="181" t="s">
        <v>161</v>
      </c>
      <c r="F22" s="181" t="s">
        <v>162</v>
      </c>
      <c r="G22" s="181" t="s">
        <v>163</v>
      </c>
      <c r="H22" s="181" t="s">
        <v>164</v>
      </c>
      <c r="J22" s="174"/>
      <c r="K22" s="186"/>
      <c r="L22" s="186"/>
      <c r="M22" s="174"/>
      <c r="N22" s="174"/>
    </row>
    <row r="23" spans="1:14" ht="13.75" customHeight="1">
      <c r="A23" s="187" t="s">
        <v>209</v>
      </c>
      <c r="B23" s="185">
        <v>0.5</v>
      </c>
      <c r="D23" s="180" t="s">
        <v>210</v>
      </c>
      <c r="E23" s="181" t="s">
        <v>161</v>
      </c>
      <c r="F23" s="181" t="s">
        <v>162</v>
      </c>
      <c r="G23" s="181" t="s">
        <v>163</v>
      </c>
      <c r="H23" s="181" t="s">
        <v>164</v>
      </c>
      <c r="J23" s="174"/>
      <c r="K23" s="186"/>
      <c r="L23" s="186"/>
      <c r="M23" s="174"/>
      <c r="N23" s="174"/>
    </row>
    <row r="24" spans="1:14" ht="15" customHeight="1">
      <c r="A24" s="187" t="s">
        <v>211</v>
      </c>
      <c r="B24" s="185">
        <v>0.65</v>
      </c>
      <c r="D24" s="180" t="s">
        <v>212</v>
      </c>
      <c r="E24" s="181" t="s">
        <v>161</v>
      </c>
      <c r="F24" s="181" t="s">
        <v>162</v>
      </c>
      <c r="G24" s="181" t="s">
        <v>163</v>
      </c>
      <c r="H24" s="181" t="s">
        <v>164</v>
      </c>
      <c r="J24" s="174"/>
      <c r="K24" s="186"/>
      <c r="L24" s="186"/>
      <c r="M24" s="174"/>
      <c r="N24" s="174"/>
    </row>
    <row r="25" spans="1:14" ht="12.65" customHeight="1">
      <c r="A25" s="187" t="s">
        <v>213</v>
      </c>
      <c r="B25" s="185">
        <v>0.75</v>
      </c>
      <c r="D25" s="180" t="s">
        <v>214</v>
      </c>
      <c r="E25" s="181" t="s">
        <v>161</v>
      </c>
      <c r="F25" s="181" t="s">
        <v>162</v>
      </c>
      <c r="G25" s="181"/>
      <c r="H25" s="181"/>
      <c r="J25" s="174"/>
      <c r="K25" s="186"/>
      <c r="L25" s="186"/>
      <c r="M25" s="174"/>
      <c r="N25" s="174"/>
    </row>
    <row r="26" spans="1:14" ht="16.75" customHeight="1">
      <c r="A26" s="187" t="s">
        <v>215</v>
      </c>
      <c r="B26" s="185">
        <v>0.9</v>
      </c>
      <c r="D26" s="180" t="s">
        <v>216</v>
      </c>
      <c r="E26" s="181" t="s">
        <v>161</v>
      </c>
      <c r="F26" s="181" t="s">
        <v>162</v>
      </c>
      <c r="G26" s="181" t="s">
        <v>163</v>
      </c>
      <c r="H26" s="181" t="s">
        <v>164</v>
      </c>
      <c r="J26" s="174"/>
      <c r="K26" s="186"/>
      <c r="L26" s="186"/>
      <c r="M26" s="174"/>
      <c r="N26" s="188"/>
    </row>
    <row r="27" spans="1:14" ht="13.25" customHeight="1">
      <c r="A27" s="187" t="s">
        <v>217</v>
      </c>
      <c r="B27" s="185">
        <v>1</v>
      </c>
      <c r="D27" s="180" t="s">
        <v>218</v>
      </c>
      <c r="E27" s="181" t="s">
        <v>161</v>
      </c>
      <c r="F27" s="181" t="s">
        <v>162</v>
      </c>
      <c r="G27" s="181" t="s">
        <v>163</v>
      </c>
      <c r="H27" s="181" t="s">
        <v>164</v>
      </c>
      <c r="J27" s="174"/>
      <c r="K27" s="186"/>
      <c r="L27" s="186"/>
      <c r="M27" s="174"/>
      <c r="N27" s="174"/>
    </row>
    <row r="28" spans="1:14">
      <c r="A28" s="187" t="s">
        <v>219</v>
      </c>
      <c r="B28" s="185">
        <v>1</v>
      </c>
      <c r="D28" s="180" t="s">
        <v>220</v>
      </c>
      <c r="E28" s="181" t="s">
        <v>161</v>
      </c>
      <c r="F28" s="181" t="s">
        <v>162</v>
      </c>
      <c r="G28" s="181" t="s">
        <v>163</v>
      </c>
      <c r="H28" s="181" t="s">
        <v>164</v>
      </c>
      <c r="J28" s="174"/>
      <c r="K28" s="186"/>
      <c r="L28" s="186"/>
      <c r="M28" s="174"/>
      <c r="N28" s="174"/>
    </row>
    <row r="29" spans="1:14">
      <c r="A29" s="187" t="s">
        <v>221</v>
      </c>
      <c r="B29" s="185">
        <v>0.6</v>
      </c>
      <c r="D29" s="180" t="s">
        <v>222</v>
      </c>
      <c r="E29" s="181" t="s">
        <v>161</v>
      </c>
      <c r="F29" s="181" t="s">
        <v>162</v>
      </c>
      <c r="G29" s="181" t="s">
        <v>163</v>
      </c>
      <c r="H29" s="181" t="s">
        <v>164</v>
      </c>
      <c r="J29" s="174"/>
      <c r="K29" s="186"/>
      <c r="L29" s="186"/>
      <c r="M29" s="174"/>
      <c r="N29" s="174"/>
    </row>
    <row r="30" spans="1:14">
      <c r="A30" s="187" t="s">
        <v>223</v>
      </c>
      <c r="B30" s="185">
        <v>1</v>
      </c>
      <c r="D30" s="180" t="s">
        <v>224</v>
      </c>
      <c r="E30" s="181" t="s">
        <v>161</v>
      </c>
      <c r="F30" s="181" t="s">
        <v>162</v>
      </c>
      <c r="G30" s="181" t="s">
        <v>163</v>
      </c>
      <c r="H30" s="181" t="s">
        <v>164</v>
      </c>
      <c r="J30" s="174"/>
      <c r="K30" s="186"/>
      <c r="L30" s="186"/>
      <c r="M30" s="174"/>
      <c r="N30" s="174"/>
    </row>
    <row r="31" spans="1:14">
      <c r="A31" s="187" t="s">
        <v>225</v>
      </c>
      <c r="B31" s="185">
        <v>0.1</v>
      </c>
      <c r="D31" s="180" t="s">
        <v>226</v>
      </c>
      <c r="E31" s="181" t="s">
        <v>161</v>
      </c>
      <c r="F31" s="181" t="s">
        <v>162</v>
      </c>
      <c r="G31" s="181" t="s">
        <v>163</v>
      </c>
      <c r="H31" s="181" t="s">
        <v>164</v>
      </c>
      <c r="J31" s="174"/>
      <c r="K31" s="186"/>
      <c r="L31" s="186"/>
      <c r="M31" s="174"/>
      <c r="N31" s="174"/>
    </row>
    <row r="32" spans="1:14">
      <c r="A32" s="187" t="s">
        <v>227</v>
      </c>
      <c r="B32" s="185">
        <v>0.1</v>
      </c>
      <c r="D32" s="180" t="s">
        <v>228</v>
      </c>
      <c r="E32" s="181" t="s">
        <v>161</v>
      </c>
      <c r="F32" s="181" t="s">
        <v>162</v>
      </c>
      <c r="G32" s="181" t="s">
        <v>163</v>
      </c>
      <c r="H32" s="181" t="s">
        <v>164</v>
      </c>
      <c r="J32" s="174"/>
      <c r="K32" s="186"/>
      <c r="L32" s="186"/>
      <c r="M32" s="174"/>
      <c r="N32" s="174"/>
    </row>
    <row r="33" spans="1:14">
      <c r="A33" s="187" t="s">
        <v>229</v>
      </c>
      <c r="B33" s="185">
        <v>0.6</v>
      </c>
      <c r="D33" s="180" t="s">
        <v>230</v>
      </c>
      <c r="E33" s="181" t="s">
        <v>161</v>
      </c>
      <c r="F33" s="181" t="s">
        <v>162</v>
      </c>
      <c r="G33" s="181" t="s">
        <v>163</v>
      </c>
      <c r="H33" s="181" t="s">
        <v>164</v>
      </c>
      <c r="J33" s="174"/>
      <c r="K33" s="186"/>
      <c r="L33" s="186"/>
      <c r="M33" s="174"/>
      <c r="N33" s="174"/>
    </row>
    <row r="34" spans="1:14">
      <c r="A34" s="187" t="s">
        <v>231</v>
      </c>
      <c r="B34" s="185">
        <v>0.2</v>
      </c>
      <c r="D34" s="180" t="s">
        <v>232</v>
      </c>
      <c r="E34" s="181" t="s">
        <v>161</v>
      </c>
      <c r="F34" s="181" t="s">
        <v>162</v>
      </c>
      <c r="G34" s="181" t="s">
        <v>163</v>
      </c>
      <c r="H34" s="181" t="s">
        <v>164</v>
      </c>
      <c r="J34" s="174"/>
      <c r="K34" s="186"/>
      <c r="L34" s="186"/>
      <c r="M34" s="174"/>
      <c r="N34" s="174"/>
    </row>
    <row r="35" spans="1:14">
      <c r="A35" s="187" t="s">
        <v>233</v>
      </c>
      <c r="B35" s="185">
        <v>0.15</v>
      </c>
      <c r="D35" s="180" t="s">
        <v>234</v>
      </c>
      <c r="E35" s="181" t="s">
        <v>161</v>
      </c>
      <c r="F35" s="181" t="s">
        <v>162</v>
      </c>
      <c r="G35" s="181" t="s">
        <v>163</v>
      </c>
      <c r="H35" s="181" t="s">
        <v>164</v>
      </c>
      <c r="J35" s="174"/>
      <c r="K35" s="186"/>
      <c r="L35" s="186"/>
      <c r="M35" s="174"/>
      <c r="N35" s="174"/>
    </row>
    <row r="36" spans="1:14" ht="14.4" customHeight="1">
      <c r="A36" s="187" t="s">
        <v>235</v>
      </c>
      <c r="B36" s="185">
        <v>0.15</v>
      </c>
      <c r="D36" s="180" t="s">
        <v>236</v>
      </c>
      <c r="E36" s="181" t="s">
        <v>161</v>
      </c>
      <c r="F36" s="181" t="s">
        <v>162</v>
      </c>
      <c r="G36" s="181" t="s">
        <v>163</v>
      </c>
      <c r="H36" s="181" t="s">
        <v>164</v>
      </c>
      <c r="J36" s="174"/>
      <c r="K36" s="186"/>
      <c r="L36" s="186"/>
      <c r="M36" s="174"/>
      <c r="N36" s="189"/>
    </row>
    <row r="37" spans="1:14" ht="14.4" customHeight="1">
      <c r="A37" s="187" t="s">
        <v>237</v>
      </c>
      <c r="B37" s="185">
        <v>1</v>
      </c>
      <c r="D37" s="180" t="s">
        <v>238</v>
      </c>
      <c r="E37" s="181" t="s">
        <v>161</v>
      </c>
      <c r="F37" s="181" t="s">
        <v>162</v>
      </c>
      <c r="G37" s="181" t="s">
        <v>163</v>
      </c>
      <c r="H37" s="181" t="s">
        <v>164</v>
      </c>
      <c r="J37" s="174"/>
      <c r="K37" s="186"/>
      <c r="L37" s="186"/>
      <c r="M37" s="174"/>
      <c r="N37" s="189"/>
    </row>
    <row r="38" spans="1:14" ht="14.4" customHeight="1">
      <c r="D38" s="180" t="s">
        <v>239</v>
      </c>
      <c r="E38" s="181" t="s">
        <v>161</v>
      </c>
      <c r="F38" s="181" t="s">
        <v>162</v>
      </c>
      <c r="G38" s="181" t="s">
        <v>163</v>
      </c>
      <c r="H38" s="181" t="s">
        <v>164</v>
      </c>
      <c r="J38" s="174"/>
      <c r="K38" s="186"/>
      <c r="L38" s="186"/>
      <c r="M38" s="174"/>
      <c r="N38" s="189"/>
    </row>
    <row r="39" spans="1:14" ht="14.4" customHeight="1">
      <c r="D39" s="180"/>
      <c r="E39" s="181"/>
      <c r="F39" s="181"/>
      <c r="G39" s="181"/>
      <c r="H39" s="181"/>
      <c r="J39" s="174"/>
      <c r="K39" s="186"/>
      <c r="L39" s="186"/>
      <c r="M39" s="174"/>
      <c r="N39" s="189"/>
    </row>
    <row r="40" spans="1:14" ht="14.4" customHeight="1">
      <c r="D40" s="180"/>
      <c r="E40" s="181"/>
      <c r="F40" s="181"/>
      <c r="G40" s="181"/>
      <c r="H40" s="181"/>
      <c r="J40" s="174"/>
      <c r="K40" s="186"/>
      <c r="L40" s="186"/>
      <c r="M40" s="174"/>
      <c r="N40" s="189"/>
    </row>
    <row r="41" spans="1:14" ht="14.4" customHeight="1">
      <c r="D41" s="180"/>
      <c r="E41" s="181"/>
      <c r="F41" s="181"/>
      <c r="G41" s="181"/>
      <c r="H41" s="181"/>
      <c r="J41" s="174"/>
      <c r="K41" s="186"/>
      <c r="L41" s="186"/>
      <c r="M41" s="174"/>
      <c r="N41" s="189"/>
    </row>
    <row r="42" spans="1:14" ht="14.4" customHeight="1">
      <c r="D42" s="180" t="s">
        <v>240</v>
      </c>
      <c r="E42" s="181" t="s">
        <v>161</v>
      </c>
      <c r="F42" s="181" t="s">
        <v>162</v>
      </c>
      <c r="G42" s="181" t="s">
        <v>163</v>
      </c>
      <c r="H42" s="181" t="s">
        <v>164</v>
      </c>
      <c r="J42" s="174"/>
      <c r="K42" s="186"/>
      <c r="L42" s="186"/>
      <c r="M42" s="174"/>
      <c r="N42" s="189"/>
    </row>
    <row r="43" spans="1:14" ht="14.4" customHeight="1">
      <c r="D43" s="180" t="s">
        <v>241</v>
      </c>
      <c r="E43" s="181" t="s">
        <v>161</v>
      </c>
      <c r="F43" s="181" t="s">
        <v>162</v>
      </c>
      <c r="G43" s="181" t="s">
        <v>163</v>
      </c>
      <c r="H43" s="181" t="s">
        <v>164</v>
      </c>
      <c r="J43" s="174"/>
      <c r="K43" s="186"/>
      <c r="L43" s="186"/>
      <c r="M43" s="174"/>
      <c r="N43" s="189"/>
    </row>
    <row r="44" spans="1:14" ht="14.4" customHeight="1">
      <c r="D44" s="180" t="s">
        <v>242</v>
      </c>
      <c r="E44" s="181" t="s">
        <v>161</v>
      </c>
      <c r="F44" s="181" t="s">
        <v>162</v>
      </c>
      <c r="G44" s="181" t="s">
        <v>163</v>
      </c>
      <c r="H44" s="181" t="s">
        <v>164</v>
      </c>
      <c r="J44" s="174"/>
      <c r="K44" s="186"/>
      <c r="L44" s="186"/>
      <c r="M44" s="174"/>
      <c r="N44" s="189"/>
    </row>
    <row r="45" spans="1:14" ht="14.4" customHeight="1">
      <c r="D45" s="180" t="s">
        <v>243</v>
      </c>
      <c r="E45" s="181" t="s">
        <v>161</v>
      </c>
      <c r="F45" s="181" t="s">
        <v>162</v>
      </c>
      <c r="G45" s="181" t="s">
        <v>163</v>
      </c>
      <c r="H45" s="181" t="s">
        <v>164</v>
      </c>
      <c r="J45" s="174"/>
      <c r="K45" s="186"/>
      <c r="L45" s="186"/>
      <c r="M45" s="174"/>
      <c r="N45" s="189"/>
    </row>
    <row r="46" spans="1:14" ht="14.4" customHeight="1">
      <c r="D46" s="180" t="s">
        <v>244</v>
      </c>
      <c r="E46" s="181" t="s">
        <v>161</v>
      </c>
      <c r="F46" s="181" t="s">
        <v>162</v>
      </c>
      <c r="G46" s="181" t="s">
        <v>163</v>
      </c>
      <c r="H46" s="181" t="s">
        <v>164</v>
      </c>
      <c r="J46" s="174"/>
      <c r="K46" s="186"/>
      <c r="L46" s="186"/>
      <c r="M46" s="174"/>
      <c r="N46" s="189"/>
    </row>
    <row r="47" spans="1:14" ht="14.4" customHeight="1">
      <c r="D47" s="180" t="s">
        <v>245</v>
      </c>
      <c r="E47" s="181" t="s">
        <v>161</v>
      </c>
      <c r="F47" s="181" t="s">
        <v>162</v>
      </c>
      <c r="G47" s="181" t="s">
        <v>163</v>
      </c>
      <c r="H47" s="181" t="s">
        <v>164</v>
      </c>
      <c r="J47" s="174"/>
      <c r="K47" s="186"/>
      <c r="L47" s="186"/>
      <c r="M47" s="174"/>
      <c r="N47" s="189"/>
    </row>
    <row r="48" spans="1:14" ht="14.4" customHeight="1">
      <c r="D48" s="180" t="s">
        <v>246</v>
      </c>
      <c r="E48" s="181" t="s">
        <v>161</v>
      </c>
      <c r="F48" s="181" t="s">
        <v>162</v>
      </c>
      <c r="G48" s="181" t="s">
        <v>163</v>
      </c>
      <c r="H48" s="181" t="s">
        <v>164</v>
      </c>
      <c r="J48" s="174"/>
      <c r="K48" s="186"/>
      <c r="L48" s="186"/>
      <c r="M48" s="174"/>
      <c r="N48" s="189"/>
    </row>
    <row r="49" spans="4:14" ht="14.4" customHeight="1">
      <c r="D49" s="180" t="s">
        <v>247</v>
      </c>
      <c r="E49" s="181" t="s">
        <v>161</v>
      </c>
      <c r="F49" s="181" t="s">
        <v>162</v>
      </c>
      <c r="G49" s="181" t="s">
        <v>163</v>
      </c>
      <c r="H49" s="181" t="s">
        <v>164</v>
      </c>
      <c r="J49" s="174"/>
      <c r="K49" s="186"/>
      <c r="L49" s="186"/>
      <c r="M49" s="174"/>
      <c r="N49" s="189"/>
    </row>
    <row r="50" spans="4:14" ht="14.4" customHeight="1">
      <c r="D50" s="180" t="s">
        <v>248</v>
      </c>
      <c r="E50" s="181" t="s">
        <v>161</v>
      </c>
      <c r="F50" s="181" t="s">
        <v>162</v>
      </c>
      <c r="G50" s="181" t="s">
        <v>163</v>
      </c>
      <c r="H50" s="181" t="s">
        <v>164</v>
      </c>
      <c r="J50" s="174"/>
      <c r="K50" s="186"/>
      <c r="L50" s="186"/>
      <c r="M50" s="174"/>
      <c r="N50" s="189"/>
    </row>
    <row r="51" spans="4:14" ht="14.4" customHeight="1">
      <c r="D51" s="180" t="s">
        <v>249</v>
      </c>
      <c r="E51" s="181" t="s">
        <v>161</v>
      </c>
      <c r="F51" s="181" t="s">
        <v>162</v>
      </c>
      <c r="G51" s="181" t="s">
        <v>163</v>
      </c>
      <c r="H51" s="181" t="s">
        <v>164</v>
      </c>
      <c r="J51" s="174"/>
      <c r="K51" s="186"/>
      <c r="L51" s="186"/>
      <c r="M51" s="174"/>
      <c r="N51" s="189"/>
    </row>
    <row r="52" spans="4:14" ht="14.4" customHeight="1">
      <c r="D52" s="180" t="s">
        <v>250</v>
      </c>
      <c r="E52" s="181" t="s">
        <v>161</v>
      </c>
      <c r="F52" s="181" t="s">
        <v>162</v>
      </c>
      <c r="G52" s="181" t="s">
        <v>163</v>
      </c>
      <c r="H52" s="181" t="s">
        <v>164</v>
      </c>
      <c r="J52" s="174"/>
      <c r="K52" s="186"/>
      <c r="L52" s="186"/>
      <c r="M52" s="174"/>
      <c r="N52" s="189"/>
    </row>
    <row r="53" spans="4:14" ht="14.4" customHeight="1">
      <c r="D53" s="180" t="s">
        <v>251</v>
      </c>
      <c r="E53" s="181" t="s">
        <v>161</v>
      </c>
      <c r="F53" s="181" t="s">
        <v>162</v>
      </c>
      <c r="G53" s="181" t="s">
        <v>163</v>
      </c>
      <c r="H53" s="181" t="s">
        <v>164</v>
      </c>
      <c r="J53" s="174"/>
      <c r="K53" s="186"/>
      <c r="L53" s="186"/>
      <c r="M53" s="174"/>
      <c r="N53" s="189"/>
    </row>
    <row r="54" spans="4:14" ht="14.4" customHeight="1">
      <c r="D54" s="180" t="s">
        <v>252</v>
      </c>
      <c r="E54" s="181" t="s">
        <v>161</v>
      </c>
      <c r="F54" s="181" t="s">
        <v>162</v>
      </c>
      <c r="G54" s="181" t="s">
        <v>163</v>
      </c>
      <c r="H54" s="181" t="s">
        <v>164</v>
      </c>
      <c r="J54" s="174"/>
      <c r="K54" s="186"/>
      <c r="L54" s="186"/>
      <c r="M54" s="174"/>
      <c r="N54" s="189"/>
    </row>
    <row r="55" spans="4:14" ht="14.4" customHeight="1">
      <c r="D55" s="180" t="s">
        <v>253</v>
      </c>
      <c r="E55" s="181" t="s">
        <v>161</v>
      </c>
      <c r="F55" s="181" t="s">
        <v>162</v>
      </c>
      <c r="G55" s="181" t="s">
        <v>163</v>
      </c>
      <c r="H55" s="181" t="s">
        <v>164</v>
      </c>
      <c r="J55" s="174"/>
      <c r="K55" s="186"/>
      <c r="L55" s="186"/>
      <c r="M55" s="174"/>
      <c r="N55" s="189"/>
    </row>
    <row r="56" spans="4:14" ht="14.4" customHeight="1">
      <c r="D56" s="180" t="s">
        <v>254</v>
      </c>
      <c r="E56" s="181" t="s">
        <v>161</v>
      </c>
      <c r="F56" s="181" t="s">
        <v>162</v>
      </c>
      <c r="G56" s="181" t="s">
        <v>163</v>
      </c>
      <c r="H56" s="181" t="s">
        <v>164</v>
      </c>
      <c r="J56" s="174"/>
      <c r="K56" s="186"/>
      <c r="L56" s="186"/>
      <c r="M56" s="174"/>
      <c r="N56" s="189"/>
    </row>
    <row r="57" spans="4:14" ht="14.4" customHeight="1">
      <c r="J57" s="174"/>
      <c r="K57" s="186"/>
      <c r="L57" s="186"/>
      <c r="M57" s="174"/>
      <c r="N57" s="189"/>
    </row>
    <row r="58" spans="4:14" ht="14.4" customHeight="1">
      <c r="J58" s="174"/>
      <c r="K58" s="186"/>
      <c r="L58" s="186"/>
      <c r="M58" s="174"/>
      <c r="N58" s="189"/>
    </row>
    <row r="59" spans="4:14" ht="14.4" customHeight="1">
      <c r="J59" s="174"/>
      <c r="K59" s="186"/>
      <c r="L59" s="186"/>
      <c r="M59" s="174"/>
      <c r="N59" s="189"/>
    </row>
    <row r="60" spans="4:14" ht="14.4" customHeight="1">
      <c r="J60" s="174"/>
      <c r="K60" s="186"/>
      <c r="L60" s="186"/>
      <c r="M60" s="174"/>
      <c r="N60" s="189"/>
    </row>
    <row r="61" spans="4:14" ht="14.4" customHeight="1">
      <c r="J61" s="174"/>
      <c r="K61" s="186"/>
      <c r="L61" s="186"/>
      <c r="M61" s="174"/>
      <c r="N61" s="189"/>
    </row>
    <row r="62" spans="4:14" ht="14.4" customHeight="1">
      <c r="J62" s="174"/>
      <c r="K62" s="186"/>
      <c r="L62" s="186"/>
      <c r="M62" s="174"/>
      <c r="N62" s="189"/>
    </row>
    <row r="63" spans="4:14" ht="14.4" customHeight="1">
      <c r="J63" s="174"/>
      <c r="K63" s="186"/>
      <c r="L63" s="186"/>
      <c r="M63" s="174"/>
      <c r="N63" s="189"/>
    </row>
    <row r="64" spans="4:14" ht="15" customHeight="1">
      <c r="J64" s="174"/>
      <c r="K64" s="186"/>
      <c r="L64" s="186"/>
      <c r="M64" s="174"/>
      <c r="N64" s="189"/>
    </row>
    <row r="65" spans="10:14" ht="15" customHeight="1">
      <c r="J65" s="174"/>
      <c r="K65" s="186"/>
      <c r="L65" s="186"/>
      <c r="M65" s="174"/>
      <c r="N65" s="189"/>
    </row>
    <row r="66" spans="10:14" ht="15" customHeight="1">
      <c r="J66" s="174"/>
      <c r="K66" s="186"/>
      <c r="L66" s="186"/>
      <c r="M66" s="174"/>
      <c r="N66" s="189"/>
    </row>
    <row r="67" spans="10:14" ht="15" customHeight="1">
      <c r="J67" s="174"/>
      <c r="K67" s="186"/>
      <c r="L67" s="186"/>
      <c r="M67" s="174"/>
      <c r="N67" s="189"/>
    </row>
    <row r="68" spans="10:14" ht="15" customHeight="1">
      <c r="J68" s="174"/>
      <c r="K68" s="186"/>
      <c r="L68" s="186"/>
      <c r="M68" s="174"/>
      <c r="N68" s="189"/>
    </row>
    <row r="69" spans="10:14" ht="15" customHeight="1">
      <c r="J69" s="174"/>
      <c r="K69" s="186"/>
      <c r="L69" s="186"/>
      <c r="M69" s="174"/>
      <c r="N69" s="189"/>
    </row>
    <row r="70" spans="10:14" ht="15" customHeight="1">
      <c r="J70" s="174"/>
      <c r="K70" s="186"/>
      <c r="L70" s="186"/>
      <c r="M70" s="174"/>
      <c r="N70" s="189"/>
    </row>
    <row r="71" spans="10:14" ht="15" customHeight="1">
      <c r="J71" s="174"/>
      <c r="K71" s="186"/>
      <c r="L71" s="186"/>
      <c r="M71" s="174"/>
      <c r="N71" s="189"/>
    </row>
    <row r="72" spans="10:14" ht="15" customHeight="1">
      <c r="J72" s="174"/>
      <c r="K72" s="186"/>
      <c r="L72" s="186"/>
      <c r="M72" s="174"/>
      <c r="N72" s="189"/>
    </row>
    <row r="73" spans="10:14" ht="15" customHeight="1">
      <c r="J73" s="174"/>
      <c r="K73" s="186"/>
      <c r="L73" s="186"/>
      <c r="M73" s="174"/>
      <c r="N73" s="189"/>
    </row>
    <row r="74" spans="10:14" ht="15" customHeight="1">
      <c r="J74" s="174"/>
      <c r="K74" s="186"/>
      <c r="L74" s="186"/>
      <c r="M74" s="174"/>
      <c r="N74" s="189"/>
    </row>
    <row r="75" spans="10:14" ht="15" customHeight="1">
      <c r="J75" s="174"/>
      <c r="K75" s="186"/>
      <c r="L75" s="186"/>
      <c r="M75" s="174"/>
      <c r="N75" s="189"/>
    </row>
    <row r="76" spans="10:14" ht="15" customHeight="1">
      <c r="J76" s="174"/>
      <c r="K76" s="186"/>
      <c r="L76" s="186"/>
      <c r="M76" s="174"/>
      <c r="N76" s="189"/>
    </row>
    <row r="77" spans="10:14" ht="15" customHeight="1">
      <c r="J77" s="174"/>
      <c r="K77" s="186"/>
      <c r="L77" s="186"/>
      <c r="M77" s="174"/>
      <c r="N77" s="189"/>
    </row>
    <row r="78" spans="10:14" ht="15" customHeight="1">
      <c r="J78" s="174"/>
      <c r="K78" s="186"/>
      <c r="L78" s="186"/>
      <c r="M78" s="174"/>
      <c r="N78" s="189"/>
    </row>
    <row r="79" spans="10:14" ht="15" customHeight="1">
      <c r="J79" s="174"/>
      <c r="K79" s="186"/>
      <c r="L79" s="186"/>
      <c r="M79" s="174"/>
      <c r="N79" s="189"/>
    </row>
    <row r="80" spans="10:14" ht="15" customHeight="1">
      <c r="J80" s="174"/>
      <c r="K80" s="186"/>
      <c r="L80" s="186"/>
      <c r="M80" s="174"/>
      <c r="N80" s="189"/>
    </row>
    <row r="81" spans="10:14" ht="15" customHeight="1">
      <c r="J81" s="174"/>
      <c r="K81" s="186"/>
      <c r="L81" s="186"/>
      <c r="M81" s="174"/>
      <c r="N81" s="189"/>
    </row>
    <row r="82" spans="10:14" ht="15" customHeight="1">
      <c r="J82" s="174"/>
      <c r="K82" s="186"/>
      <c r="L82" s="186"/>
      <c r="M82" s="174"/>
      <c r="N82" s="189"/>
    </row>
    <row r="83" spans="10:14" ht="15" customHeight="1">
      <c r="J83" s="174"/>
      <c r="K83" s="186"/>
      <c r="L83" s="186"/>
      <c r="M83" s="174"/>
      <c r="N83" s="189"/>
    </row>
    <row r="84" spans="10:14" ht="15" customHeight="1">
      <c r="J84" s="174"/>
      <c r="K84" s="186"/>
      <c r="L84" s="186"/>
      <c r="M84" s="174"/>
      <c r="N84" s="189"/>
    </row>
    <row r="85" spans="10:14" ht="15" customHeight="1">
      <c r="J85" s="174"/>
      <c r="K85" s="186"/>
      <c r="L85" s="186"/>
      <c r="M85" s="174"/>
      <c r="N85" s="189"/>
    </row>
    <row r="86" spans="10:14" ht="15" customHeight="1">
      <c r="J86" s="174"/>
      <c r="K86" s="186"/>
      <c r="L86" s="186"/>
      <c r="M86" s="174"/>
      <c r="N86" s="189"/>
    </row>
    <row r="87" spans="10:14" ht="15" customHeight="1">
      <c r="J87" s="174"/>
      <c r="K87" s="186"/>
      <c r="L87" s="186"/>
      <c r="M87" s="174"/>
      <c r="N87" s="189"/>
    </row>
    <row r="88" spans="10:14" ht="15" customHeight="1">
      <c r="J88" s="174"/>
      <c r="K88" s="186"/>
      <c r="L88" s="186"/>
      <c r="M88" s="174"/>
      <c r="N88" s="189"/>
    </row>
    <row r="89" spans="10:14" ht="15" customHeight="1">
      <c r="J89" s="174"/>
      <c r="K89" s="186"/>
      <c r="L89" s="186"/>
      <c r="M89" s="174"/>
      <c r="N89" s="189"/>
    </row>
    <row r="90" spans="10:14" ht="15" customHeight="1">
      <c r="J90" s="174"/>
      <c r="K90" s="186"/>
      <c r="L90" s="186"/>
      <c r="M90" s="174"/>
      <c r="N90" s="189"/>
    </row>
    <row r="91" spans="10:14" ht="15" customHeight="1">
      <c r="J91" s="174"/>
      <c r="K91" s="186"/>
      <c r="L91" s="186"/>
      <c r="M91" s="174"/>
      <c r="N91" s="189"/>
    </row>
    <row r="92" spans="10:14" ht="15" customHeight="1">
      <c r="J92" s="174"/>
      <c r="K92" s="186"/>
      <c r="L92" s="186"/>
      <c r="M92" s="174"/>
      <c r="N92" s="189"/>
    </row>
    <row r="93" spans="10:14" ht="15" customHeight="1">
      <c r="J93" s="174"/>
      <c r="K93" s="186"/>
      <c r="L93" s="186"/>
      <c r="M93" s="174"/>
      <c r="N93" s="189"/>
    </row>
    <row r="94" spans="10:14" ht="15" customHeight="1">
      <c r="J94" s="174"/>
      <c r="K94" s="186"/>
      <c r="L94" s="186"/>
      <c r="M94" s="174"/>
      <c r="N94" s="189"/>
    </row>
    <row r="95" spans="10:14" ht="15" customHeight="1">
      <c r="J95" s="174"/>
      <c r="K95" s="186"/>
      <c r="L95" s="186"/>
      <c r="M95" s="174"/>
      <c r="N95" s="189"/>
    </row>
    <row r="96" spans="10:14" ht="15" customHeight="1">
      <c r="J96" s="174"/>
      <c r="K96" s="186"/>
      <c r="L96" s="186"/>
      <c r="M96" s="174"/>
      <c r="N96" s="189"/>
    </row>
    <row r="97" spans="10:14" ht="15" customHeight="1">
      <c r="J97" s="174"/>
      <c r="K97" s="186"/>
      <c r="L97" s="186"/>
      <c r="M97" s="174"/>
      <c r="N97" s="189"/>
    </row>
    <row r="98" spans="10:14" ht="15" customHeight="1">
      <c r="J98" s="174"/>
      <c r="K98" s="186"/>
      <c r="L98" s="186"/>
      <c r="M98" s="174"/>
      <c r="N98" s="189"/>
    </row>
    <row r="99" spans="10:14" ht="15" customHeight="1">
      <c r="J99" s="174"/>
      <c r="K99" s="186"/>
      <c r="L99" s="186"/>
      <c r="M99" s="174"/>
      <c r="N99" s="189"/>
    </row>
    <row r="100" spans="10:14" ht="15" customHeight="1">
      <c r="J100" s="174"/>
      <c r="K100" s="186"/>
      <c r="L100" s="186"/>
      <c r="M100" s="174"/>
      <c r="N100" s="189"/>
    </row>
    <row r="101" spans="10:14" ht="15" customHeight="1">
      <c r="J101" s="174"/>
      <c r="K101" s="186"/>
      <c r="L101" s="186"/>
      <c r="M101" s="174"/>
      <c r="N101" s="189"/>
    </row>
    <row r="102" spans="10:14" ht="15" customHeight="1">
      <c r="J102" s="174"/>
      <c r="K102" s="186"/>
      <c r="L102" s="186"/>
      <c r="M102" s="174"/>
      <c r="N102" s="189"/>
    </row>
    <row r="103" spans="10:14" ht="15" customHeight="1">
      <c r="J103" s="174"/>
      <c r="K103" s="186"/>
      <c r="L103" s="186"/>
      <c r="M103" s="174"/>
      <c r="N103" s="189"/>
    </row>
    <row r="104" spans="10:14" ht="15" customHeight="1">
      <c r="J104" s="174"/>
      <c r="K104" s="186"/>
      <c r="L104" s="186"/>
      <c r="M104" s="174"/>
      <c r="N104" s="189"/>
    </row>
    <row r="105" spans="10:14" ht="15" customHeight="1">
      <c r="J105" s="174"/>
      <c r="K105" s="186"/>
      <c r="L105" s="186"/>
      <c r="M105" s="174"/>
      <c r="N105" s="189"/>
    </row>
    <row r="106" spans="10:14" ht="15" customHeight="1">
      <c r="J106" s="174"/>
      <c r="K106" s="186"/>
      <c r="L106" s="186"/>
      <c r="M106" s="174"/>
      <c r="N106" s="189"/>
    </row>
    <row r="107" spans="10:14" ht="15" customHeight="1">
      <c r="J107" s="174"/>
      <c r="K107" s="186"/>
      <c r="L107" s="186"/>
      <c r="M107" s="174"/>
      <c r="N107" s="189"/>
    </row>
    <row r="108" spans="10:14" ht="15" customHeight="1">
      <c r="J108" s="174"/>
      <c r="K108" s="186"/>
      <c r="L108" s="186"/>
      <c r="M108" s="174"/>
      <c r="N108" s="189"/>
    </row>
    <row r="109" spans="10:14" ht="15" customHeight="1">
      <c r="J109" s="174"/>
      <c r="K109" s="186"/>
      <c r="L109" s="186"/>
      <c r="M109" s="174"/>
      <c r="N109" s="189"/>
    </row>
    <row r="110" spans="10:14" ht="15" customHeight="1">
      <c r="J110" s="174"/>
      <c r="K110" s="186"/>
      <c r="L110" s="186"/>
      <c r="M110" s="174"/>
      <c r="N110" s="189"/>
    </row>
    <row r="111" spans="10:14" ht="15" customHeight="1">
      <c r="J111" s="174"/>
      <c r="K111" s="186"/>
      <c r="L111" s="186"/>
      <c r="M111" s="174"/>
      <c r="N111" s="189"/>
    </row>
    <row r="112" spans="10:14" ht="15" customHeight="1">
      <c r="J112" s="174"/>
      <c r="K112" s="186"/>
      <c r="L112" s="186"/>
      <c r="M112" s="174"/>
      <c r="N112" s="189"/>
    </row>
    <row r="113" spans="10:14" ht="15" customHeight="1">
      <c r="J113" s="174"/>
      <c r="K113" s="186"/>
      <c r="L113" s="186"/>
      <c r="M113" s="174"/>
      <c r="N113" s="189"/>
    </row>
    <row r="114" spans="10:14" ht="15" customHeight="1">
      <c r="J114" s="174"/>
      <c r="K114" s="186"/>
      <c r="L114" s="186"/>
      <c r="M114" s="174"/>
      <c r="N114" s="189"/>
    </row>
    <row r="115" spans="10:14" ht="15" customHeight="1">
      <c r="J115" s="174"/>
      <c r="K115" s="186"/>
      <c r="L115" s="186"/>
      <c r="M115" s="174"/>
      <c r="N115" s="189"/>
    </row>
    <row r="116" spans="10:14" ht="15" customHeight="1">
      <c r="J116" s="174"/>
      <c r="K116" s="186"/>
      <c r="L116" s="186"/>
      <c r="M116" s="174"/>
      <c r="N116" s="189"/>
    </row>
    <row r="117" spans="10:14" ht="15" customHeight="1">
      <c r="J117" s="174"/>
      <c r="K117" s="186"/>
      <c r="L117" s="186"/>
      <c r="M117" s="174"/>
      <c r="N117" s="189"/>
    </row>
    <row r="118" spans="10:14" ht="15" customHeight="1">
      <c r="J118" s="174"/>
      <c r="K118" s="186"/>
      <c r="L118" s="186"/>
      <c r="M118" s="174"/>
      <c r="N118" s="189"/>
    </row>
    <row r="119" spans="10:14" ht="15" customHeight="1">
      <c r="J119" s="174"/>
      <c r="K119" s="186"/>
      <c r="L119" s="186"/>
      <c r="M119" s="174"/>
      <c r="N119" s="189"/>
    </row>
    <row r="120" spans="10:14" ht="15" customHeight="1">
      <c r="J120" s="174"/>
      <c r="K120" s="186"/>
      <c r="L120" s="186"/>
      <c r="M120" s="174"/>
      <c r="N120" s="189"/>
    </row>
    <row r="121" spans="10:14" ht="15" customHeight="1">
      <c r="J121" s="174"/>
      <c r="K121" s="186"/>
      <c r="L121" s="186"/>
      <c r="M121" s="174"/>
      <c r="N121" s="189"/>
    </row>
    <row r="122" spans="10:14" ht="15" customHeight="1">
      <c r="J122" s="174"/>
      <c r="K122" s="186"/>
      <c r="L122" s="186"/>
      <c r="M122" s="174"/>
      <c r="N122" s="189"/>
    </row>
    <row r="123" spans="10:14" ht="15" customHeight="1">
      <c r="J123" s="174"/>
      <c r="K123" s="186"/>
      <c r="L123" s="186"/>
      <c r="M123" s="174"/>
      <c r="N123" s="189"/>
    </row>
    <row r="124" spans="10:14" ht="15" customHeight="1">
      <c r="J124" s="174"/>
      <c r="K124" s="186"/>
      <c r="L124" s="186"/>
      <c r="M124" s="174"/>
      <c r="N124" s="189"/>
    </row>
    <row r="125" spans="10:14" ht="15" customHeight="1">
      <c r="J125" s="174"/>
      <c r="K125" s="186"/>
      <c r="L125" s="186"/>
      <c r="M125" s="174"/>
      <c r="N125" s="189"/>
    </row>
    <row r="126" spans="10:14" ht="15" customHeight="1">
      <c r="J126" s="174"/>
      <c r="K126" s="186"/>
      <c r="L126" s="186"/>
      <c r="M126" s="174"/>
      <c r="N126" s="189"/>
    </row>
    <row r="127" spans="10:14" ht="15" customHeight="1">
      <c r="J127" s="174"/>
      <c r="K127" s="186"/>
      <c r="L127" s="186"/>
      <c r="M127" s="174"/>
      <c r="N127" s="189"/>
    </row>
    <row r="128" spans="10:14" ht="15" customHeight="1">
      <c r="J128" s="174"/>
      <c r="K128" s="186"/>
      <c r="L128" s="186"/>
      <c r="M128" s="174"/>
      <c r="N128" s="189"/>
    </row>
    <row r="129" spans="10:14" ht="15" customHeight="1">
      <c r="J129" s="174"/>
      <c r="K129" s="186"/>
      <c r="L129" s="186"/>
      <c r="M129" s="174"/>
      <c r="N129" s="189"/>
    </row>
    <row r="130" spans="10:14" ht="15" customHeight="1">
      <c r="J130" s="174"/>
      <c r="K130" s="186"/>
      <c r="L130" s="186"/>
      <c r="M130" s="174"/>
      <c r="N130" s="189"/>
    </row>
    <row r="131" spans="10:14" ht="15" customHeight="1">
      <c r="J131" s="174"/>
      <c r="K131" s="186"/>
      <c r="L131" s="186"/>
      <c r="M131" s="174"/>
      <c r="N131" s="189"/>
    </row>
    <row r="132" spans="10:14" ht="15" customHeight="1">
      <c r="J132" s="174"/>
      <c r="K132" s="186"/>
      <c r="L132" s="186"/>
      <c r="M132" s="174"/>
      <c r="N132" s="189"/>
    </row>
    <row r="133" spans="10:14" ht="15" customHeight="1">
      <c r="J133" s="174"/>
      <c r="K133" s="186"/>
      <c r="L133" s="186"/>
      <c r="M133" s="174"/>
      <c r="N133" s="189"/>
    </row>
    <row r="134" spans="10:14" ht="15" customHeight="1">
      <c r="J134" s="174"/>
      <c r="K134" s="186"/>
      <c r="L134" s="186"/>
      <c r="M134" s="174"/>
      <c r="N134" s="189"/>
    </row>
    <row r="135" spans="10:14" ht="15" customHeight="1">
      <c r="J135" s="174"/>
      <c r="K135" s="186"/>
      <c r="L135" s="186"/>
      <c r="M135" s="174"/>
      <c r="N135" s="189"/>
    </row>
    <row r="136" spans="10:14" ht="15" customHeight="1">
      <c r="J136" s="174"/>
      <c r="K136" s="186"/>
      <c r="L136" s="186"/>
      <c r="M136" s="174"/>
      <c r="N136" s="189"/>
    </row>
    <row r="137" spans="10:14" ht="15" customHeight="1">
      <c r="J137" s="174"/>
      <c r="K137" s="186"/>
      <c r="L137" s="186"/>
      <c r="M137" s="174"/>
      <c r="N137" s="189"/>
    </row>
    <row r="138" spans="10:14" ht="15" customHeight="1">
      <c r="J138" s="174"/>
      <c r="K138" s="186"/>
      <c r="L138" s="186"/>
      <c r="M138" s="174"/>
      <c r="N138" s="189"/>
    </row>
    <row r="139" spans="10:14" ht="15" customHeight="1">
      <c r="J139" s="174"/>
      <c r="K139" s="186"/>
      <c r="L139" s="186"/>
      <c r="M139" s="174"/>
      <c r="N139" s="189"/>
    </row>
    <row r="140" spans="10:14" ht="15" customHeight="1">
      <c r="J140" s="174"/>
      <c r="K140" s="186"/>
      <c r="L140" s="186"/>
      <c r="M140" s="174"/>
      <c r="N140" s="189"/>
    </row>
    <row r="141" spans="10:14" ht="15" customHeight="1">
      <c r="J141" s="174"/>
      <c r="K141" s="186"/>
      <c r="L141" s="186"/>
      <c r="M141" s="174"/>
      <c r="N141" s="189"/>
    </row>
    <row r="142" spans="10:14" ht="15" customHeight="1">
      <c r="J142" s="174"/>
      <c r="K142" s="186"/>
      <c r="L142" s="186"/>
      <c r="M142" s="174"/>
      <c r="N142" s="189"/>
    </row>
    <row r="143" spans="10:14" ht="15" customHeight="1">
      <c r="J143" s="174"/>
      <c r="K143" s="186"/>
      <c r="L143" s="186"/>
      <c r="M143" s="174"/>
      <c r="N143" s="189"/>
    </row>
    <row r="144" spans="10:14" ht="15" customHeight="1">
      <c r="J144" s="174"/>
      <c r="K144" s="186"/>
      <c r="L144" s="186"/>
      <c r="M144" s="174"/>
      <c r="N144" s="189"/>
    </row>
    <row r="145" spans="3:14" ht="15" customHeight="1">
      <c r="J145" s="174"/>
      <c r="K145" s="186"/>
      <c r="L145" s="186"/>
      <c r="M145" s="174"/>
      <c r="N145" s="189"/>
    </row>
    <row r="146" spans="3:14" ht="15" customHeight="1">
      <c r="J146" s="174"/>
      <c r="K146" s="186"/>
      <c r="L146" s="186"/>
      <c r="M146" s="174"/>
      <c r="N146" s="189"/>
    </row>
    <row r="147" spans="3:14" ht="15" customHeight="1">
      <c r="J147" s="174"/>
      <c r="K147" s="186"/>
      <c r="L147" s="186"/>
      <c r="M147" s="174"/>
      <c r="N147" s="189"/>
    </row>
    <row r="148" spans="3:14" ht="15" customHeight="1">
      <c r="J148" s="174"/>
      <c r="K148" s="186"/>
      <c r="L148" s="186"/>
      <c r="M148" s="174"/>
      <c r="N148" s="189"/>
    </row>
    <row r="149" spans="3:14" ht="15" customHeight="1">
      <c r="J149" s="174"/>
      <c r="K149" s="186"/>
      <c r="L149" s="186"/>
      <c r="M149" s="174"/>
      <c r="N149" s="189"/>
    </row>
    <row r="150" spans="3:14" ht="15" customHeight="1">
      <c r="J150" s="174"/>
      <c r="K150" s="186"/>
      <c r="L150" s="186"/>
      <c r="M150" s="174"/>
      <c r="N150" s="189"/>
    </row>
    <row r="151" spans="3:14" ht="15" customHeight="1">
      <c r="J151" s="174"/>
      <c r="K151" s="186"/>
      <c r="L151" s="186"/>
      <c r="M151" s="174"/>
      <c r="N151" s="189"/>
    </row>
    <row r="152" spans="3:14" ht="15" customHeight="1">
      <c r="C152" s="190"/>
      <c r="J152" s="174"/>
      <c r="K152" s="186"/>
      <c r="L152" s="186"/>
      <c r="M152" s="174"/>
      <c r="N152" s="189"/>
    </row>
    <row r="153" spans="3:14" ht="15" customHeight="1">
      <c r="C153" s="190"/>
      <c r="J153" s="174"/>
      <c r="K153" s="186"/>
      <c r="L153" s="186"/>
      <c r="M153" s="174"/>
      <c r="N153" s="189"/>
    </row>
    <row r="154" spans="3:14" ht="15" customHeight="1">
      <c r="C154" s="190"/>
      <c r="J154" s="174"/>
      <c r="K154" s="186"/>
      <c r="L154" s="186"/>
      <c r="M154" s="174"/>
      <c r="N154" s="189"/>
    </row>
    <row r="155" spans="3:14" ht="15" customHeight="1">
      <c r="C155" s="190"/>
      <c r="J155" s="174"/>
      <c r="K155" s="186"/>
      <c r="L155" s="186"/>
      <c r="M155" s="174"/>
      <c r="N155" s="189"/>
    </row>
    <row r="156" spans="3:14" ht="15" customHeight="1">
      <c r="C156" s="190"/>
      <c r="J156" s="174"/>
      <c r="K156" s="186"/>
      <c r="L156" s="186"/>
      <c r="M156" s="174"/>
      <c r="N156" s="189"/>
    </row>
    <row r="157" spans="3:14" ht="15" customHeight="1">
      <c r="C157" s="190"/>
      <c r="J157" s="174"/>
      <c r="K157" s="186"/>
      <c r="L157" s="186"/>
      <c r="M157" s="174"/>
      <c r="N157" s="189"/>
    </row>
    <row r="158" spans="3:14" ht="15" customHeight="1">
      <c r="C158" s="190"/>
      <c r="J158" s="174"/>
      <c r="K158" s="186"/>
      <c r="L158" s="186"/>
      <c r="M158" s="174"/>
      <c r="N158" s="189"/>
    </row>
    <row r="159" spans="3:14" ht="15" customHeight="1">
      <c r="C159" s="190"/>
      <c r="J159" s="174"/>
      <c r="K159" s="186"/>
      <c r="L159" s="186"/>
      <c r="M159" s="174"/>
      <c r="N159" s="189"/>
    </row>
    <row r="160" spans="3:14" ht="15" customHeight="1">
      <c r="C160" s="190"/>
      <c r="J160" s="174"/>
      <c r="K160" s="186"/>
      <c r="L160" s="186"/>
      <c r="M160" s="174"/>
      <c r="N160" s="189"/>
    </row>
    <row r="161" spans="3:14" ht="15" customHeight="1">
      <c r="C161" s="190"/>
      <c r="J161" s="174"/>
      <c r="K161" s="186"/>
      <c r="L161" s="186"/>
      <c r="M161" s="174"/>
      <c r="N161" s="189"/>
    </row>
    <row r="162" spans="3:14" ht="15" customHeight="1">
      <c r="C162" s="190"/>
      <c r="J162" s="174"/>
      <c r="K162" s="186"/>
      <c r="L162" s="186"/>
      <c r="M162" s="174"/>
      <c r="N162" s="189"/>
    </row>
    <row r="163" spans="3:14" ht="15" customHeight="1">
      <c r="C163" s="190"/>
      <c r="J163" s="174"/>
      <c r="K163" s="186"/>
      <c r="L163" s="186"/>
      <c r="M163" s="174"/>
      <c r="N163" s="189"/>
    </row>
    <row r="164" spans="3:14" ht="15" customHeight="1">
      <c r="C164" s="190"/>
      <c r="J164" s="174"/>
      <c r="K164" s="186"/>
      <c r="L164" s="186"/>
      <c r="M164" s="174"/>
      <c r="N164" s="189"/>
    </row>
    <row r="165" spans="3:14">
      <c r="C165" s="190"/>
      <c r="J165" s="174"/>
      <c r="K165" s="186"/>
      <c r="L165" s="186"/>
      <c r="M165" s="174"/>
      <c r="N165" s="189"/>
    </row>
    <row r="166" spans="3:14">
      <c r="C166" s="190"/>
      <c r="J166" s="174"/>
      <c r="K166" s="186"/>
      <c r="L166" s="186"/>
      <c r="M166" s="174"/>
      <c r="N166" s="189"/>
    </row>
    <row r="167" spans="3:14">
      <c r="C167" s="190"/>
      <c r="J167" s="174"/>
      <c r="K167" s="186"/>
      <c r="L167" s="186"/>
      <c r="M167" s="174"/>
      <c r="N167" s="189"/>
    </row>
    <row r="168" spans="3:14">
      <c r="C168" s="190"/>
      <c r="J168" s="174"/>
      <c r="K168" s="186"/>
      <c r="L168" s="186"/>
      <c r="M168" s="174"/>
      <c r="N168" s="189"/>
    </row>
    <row r="169" spans="3:14" ht="29.4" customHeight="1">
      <c r="C169" s="190"/>
      <c r="J169" s="174"/>
      <c r="K169" s="186"/>
      <c r="L169" s="186"/>
      <c r="M169" s="174"/>
      <c r="N169" s="189"/>
    </row>
    <row r="170" spans="3:14" ht="29.4" customHeight="1">
      <c r="C170" s="190"/>
      <c r="J170" s="174"/>
      <c r="K170" s="186"/>
      <c r="L170" s="186"/>
      <c r="M170" s="174"/>
      <c r="N170" s="189"/>
    </row>
    <row r="171" spans="3:14" ht="29.4" customHeight="1">
      <c r="C171" s="190"/>
      <c r="J171" s="174"/>
      <c r="K171" s="186"/>
      <c r="L171" s="186"/>
      <c r="M171" s="174"/>
      <c r="N171" s="189"/>
    </row>
    <row r="172" spans="3:14" ht="29.4" customHeight="1">
      <c r="C172" s="190"/>
      <c r="J172" s="174"/>
      <c r="K172" s="186"/>
      <c r="L172" s="186"/>
      <c r="M172" s="174"/>
      <c r="N172" s="189"/>
    </row>
    <row r="173" spans="3:14" ht="29.4" customHeight="1">
      <c r="C173" s="190"/>
      <c r="D173" s="177" t="str">
        <f t="shared" ref="D173:D195" si="0">C173&amp;" - "</f>
        <v xml:space="preserve"> - </v>
      </c>
      <c r="J173" s="174"/>
      <c r="K173" s="186"/>
      <c r="L173" s="186"/>
      <c r="M173" s="174"/>
      <c r="N173" s="189"/>
    </row>
    <row r="174" spans="3:14" ht="29.4" customHeight="1">
      <c r="C174" s="190"/>
      <c r="D174" s="177" t="str">
        <f t="shared" si="0"/>
        <v xml:space="preserve"> - </v>
      </c>
      <c r="J174" s="174"/>
      <c r="K174" s="186"/>
      <c r="L174" s="186"/>
      <c r="M174" s="174"/>
      <c r="N174" s="189"/>
    </row>
    <row r="175" spans="3:14">
      <c r="C175" s="190"/>
      <c r="D175" s="177" t="str">
        <f t="shared" si="0"/>
        <v xml:space="preserve"> - </v>
      </c>
      <c r="J175" s="174"/>
      <c r="K175" s="186"/>
      <c r="L175" s="186"/>
      <c r="M175" s="174"/>
      <c r="N175" s="189"/>
    </row>
    <row r="176" spans="3:14">
      <c r="C176" s="190"/>
      <c r="D176" s="177" t="str">
        <f t="shared" si="0"/>
        <v xml:space="preserve"> - </v>
      </c>
      <c r="J176" s="174"/>
      <c r="K176" s="186"/>
      <c r="L176" s="186"/>
      <c r="M176" s="174"/>
      <c r="N176" s="189"/>
    </row>
    <row r="177" spans="3:14">
      <c r="C177" s="190"/>
      <c r="D177" s="177" t="str">
        <f t="shared" si="0"/>
        <v xml:space="preserve"> - </v>
      </c>
      <c r="J177" s="174"/>
      <c r="K177" s="186"/>
      <c r="L177" s="186"/>
      <c r="M177" s="174"/>
      <c r="N177" s="189"/>
    </row>
    <row r="178" spans="3:14">
      <c r="C178" s="190"/>
      <c r="D178" s="177" t="str">
        <f t="shared" si="0"/>
        <v xml:space="preserve"> - </v>
      </c>
      <c r="J178" s="174"/>
      <c r="K178" s="186"/>
      <c r="L178" s="186"/>
      <c r="M178" s="174"/>
      <c r="N178" s="189"/>
    </row>
    <row r="179" spans="3:14">
      <c r="C179" s="190"/>
      <c r="D179" s="177" t="str">
        <f t="shared" si="0"/>
        <v xml:space="preserve"> - </v>
      </c>
      <c r="J179" s="174"/>
      <c r="K179" s="186"/>
      <c r="L179" s="186"/>
      <c r="M179" s="174"/>
      <c r="N179" s="189"/>
    </row>
    <row r="180" spans="3:14">
      <c r="C180" s="190"/>
      <c r="D180" s="177" t="str">
        <f t="shared" si="0"/>
        <v xml:space="preserve"> - </v>
      </c>
      <c r="J180" s="174"/>
      <c r="K180" s="186"/>
      <c r="L180" s="186"/>
      <c r="M180" s="174"/>
      <c r="N180" s="189"/>
    </row>
    <row r="181" spans="3:14">
      <c r="C181" s="190"/>
      <c r="D181" s="177" t="str">
        <f t="shared" si="0"/>
        <v xml:space="preserve"> - </v>
      </c>
      <c r="J181" s="174"/>
      <c r="K181" s="186"/>
      <c r="L181" s="186"/>
      <c r="M181" s="174"/>
      <c r="N181" s="189"/>
    </row>
    <row r="182" spans="3:14">
      <c r="C182" s="190"/>
      <c r="D182" s="177" t="str">
        <f t="shared" si="0"/>
        <v xml:space="preserve"> - </v>
      </c>
      <c r="J182" s="174"/>
      <c r="K182" s="186"/>
      <c r="L182" s="186"/>
      <c r="M182" s="174"/>
      <c r="N182" s="189"/>
    </row>
    <row r="183" spans="3:14">
      <c r="C183" s="190"/>
      <c r="D183" s="177" t="str">
        <f t="shared" si="0"/>
        <v xml:space="preserve"> - </v>
      </c>
      <c r="J183" s="174"/>
      <c r="K183" s="186"/>
      <c r="L183" s="186"/>
      <c r="M183" s="174"/>
      <c r="N183" s="189"/>
    </row>
    <row r="184" spans="3:14">
      <c r="C184" s="190"/>
      <c r="D184" s="177" t="str">
        <f t="shared" si="0"/>
        <v xml:space="preserve"> - </v>
      </c>
      <c r="J184" s="174"/>
      <c r="K184" s="186"/>
      <c r="L184" s="186"/>
      <c r="M184" s="174"/>
      <c r="N184" s="189"/>
    </row>
    <row r="185" spans="3:14">
      <c r="C185" s="190"/>
      <c r="D185" s="177" t="str">
        <f t="shared" si="0"/>
        <v xml:space="preserve"> - </v>
      </c>
      <c r="J185" s="174"/>
      <c r="K185" s="186"/>
      <c r="L185" s="186"/>
      <c r="M185" s="174"/>
      <c r="N185" s="189"/>
    </row>
    <row r="186" spans="3:14">
      <c r="C186" s="190"/>
      <c r="D186" s="177" t="str">
        <f t="shared" si="0"/>
        <v xml:space="preserve"> - </v>
      </c>
      <c r="J186" s="174"/>
      <c r="K186" s="186"/>
      <c r="L186" s="186"/>
      <c r="M186" s="174"/>
      <c r="N186" s="189"/>
    </row>
    <row r="187" spans="3:14">
      <c r="C187" s="190"/>
      <c r="D187" s="177" t="str">
        <f t="shared" si="0"/>
        <v xml:space="preserve"> - </v>
      </c>
      <c r="J187" s="174"/>
      <c r="K187" s="186"/>
      <c r="L187" s="186"/>
      <c r="M187" s="174"/>
      <c r="N187" s="189"/>
    </row>
    <row r="188" spans="3:14">
      <c r="C188" s="190"/>
      <c r="D188" s="177" t="str">
        <f t="shared" si="0"/>
        <v xml:space="preserve"> - </v>
      </c>
      <c r="J188" s="191"/>
      <c r="K188" s="192"/>
      <c r="L188" s="192"/>
      <c r="M188" s="193"/>
      <c r="N188" s="193"/>
    </row>
    <row r="189" spans="3:14">
      <c r="C189" s="190"/>
      <c r="D189" s="177" t="str">
        <f t="shared" si="0"/>
        <v xml:space="preserve"> - </v>
      </c>
      <c r="J189" s="191"/>
      <c r="K189" s="192"/>
      <c r="L189" s="192"/>
      <c r="M189" s="193"/>
      <c r="N189" s="193"/>
    </row>
    <row r="190" spans="3:14">
      <c r="C190" s="190"/>
      <c r="D190" s="177" t="str">
        <f t="shared" si="0"/>
        <v xml:space="preserve"> - </v>
      </c>
      <c r="J190" s="191"/>
      <c r="K190" s="192"/>
      <c r="L190" s="192"/>
      <c r="M190" s="193"/>
      <c r="N190" s="193"/>
    </row>
    <row r="191" spans="3:14">
      <c r="C191" s="190"/>
      <c r="D191" s="177" t="str">
        <f t="shared" si="0"/>
        <v xml:space="preserve"> - </v>
      </c>
      <c r="J191" s="191"/>
      <c r="K191" s="192"/>
      <c r="L191" s="192"/>
      <c r="M191" s="193"/>
      <c r="N191" s="193"/>
    </row>
    <row r="192" spans="3:14">
      <c r="C192" s="190"/>
      <c r="D192" s="177" t="str">
        <f t="shared" si="0"/>
        <v xml:space="preserve"> - </v>
      </c>
      <c r="J192" s="191"/>
      <c r="K192" s="192"/>
      <c r="L192" s="192"/>
      <c r="M192" s="193"/>
      <c r="N192" s="193"/>
    </row>
    <row r="193" spans="3:14">
      <c r="C193" s="190"/>
      <c r="D193" s="177" t="str">
        <f t="shared" si="0"/>
        <v xml:space="preserve"> - </v>
      </c>
      <c r="J193" s="191"/>
      <c r="K193" s="192"/>
      <c r="L193" s="192"/>
      <c r="M193" s="193"/>
      <c r="N193" s="193"/>
    </row>
    <row r="194" spans="3:14">
      <c r="C194" s="190"/>
      <c r="D194" s="177" t="str">
        <f t="shared" si="0"/>
        <v xml:space="preserve"> - </v>
      </c>
      <c r="J194" s="191"/>
      <c r="K194" s="192"/>
      <c r="L194" s="192"/>
      <c r="M194" s="193"/>
      <c r="N194" s="193"/>
    </row>
    <row r="195" spans="3:14">
      <c r="C195" s="190"/>
      <c r="D195" s="177" t="str">
        <f t="shared" si="0"/>
        <v xml:space="preserve"> - </v>
      </c>
      <c r="J195" s="191"/>
      <c r="K195" s="192"/>
      <c r="L195" s="192"/>
      <c r="M195" s="193"/>
      <c r="N195" s="193"/>
    </row>
  </sheetData>
  <mergeCells count="3">
    <mergeCell ref="A1:B1"/>
    <mergeCell ref="D1:H1"/>
    <mergeCell ref="J1:N1"/>
  </mergeCells>
  <pageMargins left="0.51180555555555496" right="0.51180555555555496" top="0.78749999999999998" bottom="0.78749999999999998" header="0.51180555555555496" footer="0.51180555555555496"/>
  <pageSetup paperSize="9" firstPageNumber="0"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58ED5"/>
  </sheetPr>
  <dimension ref="A1:C8"/>
  <sheetViews>
    <sheetView zoomScaleNormal="100" workbookViewId="0"/>
  </sheetViews>
  <sheetFormatPr defaultRowHeight="12.5"/>
  <cols>
    <col min="1" max="1" width="35.453125" customWidth="1"/>
    <col min="2" max="2" width="71.08984375" style="194" customWidth="1"/>
    <col min="3" max="3" width="9.54296875" customWidth="1"/>
    <col min="4" max="64" width="8.54296875" customWidth="1"/>
    <col min="65" max="1025" width="11.54296875"/>
  </cols>
  <sheetData>
    <row r="1" spans="1:3" ht="13">
      <c r="A1" s="195" t="s">
        <v>255</v>
      </c>
      <c r="B1" s="196" t="s">
        <v>256</v>
      </c>
      <c r="C1" s="195" t="s">
        <v>257</v>
      </c>
    </row>
    <row r="2" spans="1:3">
      <c r="A2" s="180" t="s">
        <v>258</v>
      </c>
      <c r="B2" s="187" t="s">
        <v>259</v>
      </c>
      <c r="C2" s="197">
        <v>0.33</v>
      </c>
    </row>
    <row r="3" spans="1:3" ht="25">
      <c r="A3" s="187" t="s">
        <v>260</v>
      </c>
      <c r="B3" s="187"/>
      <c r="C3" s="186">
        <v>0.35</v>
      </c>
    </row>
    <row r="4" spans="1:3" ht="25">
      <c r="A4" s="180" t="s">
        <v>111</v>
      </c>
      <c r="B4" s="187" t="s">
        <v>261</v>
      </c>
      <c r="C4" s="186">
        <v>0.36</v>
      </c>
    </row>
    <row r="5" spans="1:3">
      <c r="A5" s="187" t="s">
        <v>262</v>
      </c>
      <c r="B5" s="187" t="s">
        <v>263</v>
      </c>
      <c r="C5" s="186">
        <v>0.37</v>
      </c>
    </row>
    <row r="6" spans="1:3">
      <c r="A6" s="187" t="s">
        <v>264</v>
      </c>
      <c r="B6" s="187" t="s">
        <v>265</v>
      </c>
      <c r="C6" s="186">
        <v>0.39</v>
      </c>
    </row>
    <row r="7" spans="1:3" ht="25">
      <c r="A7" s="187" t="s">
        <v>266</v>
      </c>
      <c r="B7" s="187"/>
      <c r="C7" s="186">
        <v>0.4</v>
      </c>
    </row>
    <row r="8" spans="1:3">
      <c r="A8" s="180" t="s">
        <v>267</v>
      </c>
      <c r="B8" s="187"/>
      <c r="C8" s="186">
        <v>0.45</v>
      </c>
    </row>
  </sheetData>
  <pageMargins left="0.51180555555555496" right="0.51180555555555496" top="0.78749999999999998" bottom="0.78749999999999998"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0"/>
  <sheetViews>
    <sheetView topLeftCell="A284" zoomScale="90" zoomScaleNormal="90" workbookViewId="0">
      <selection activeCell="E285" sqref="E285"/>
    </sheetView>
  </sheetViews>
  <sheetFormatPr defaultRowHeight="12.5"/>
  <cols>
    <col min="1" max="1" width="5.08984375" customWidth="1"/>
    <col min="2" max="2" width="25.81640625" customWidth="1"/>
    <col min="3" max="3" width="14.36328125" customWidth="1"/>
    <col min="4" max="1025" width="11.54296875"/>
  </cols>
  <sheetData>
    <row r="1" spans="1:3" ht="22.5">
      <c r="A1" s="198" t="s">
        <v>268</v>
      </c>
      <c r="B1" s="198" t="s">
        <v>269</v>
      </c>
      <c r="C1" s="198" t="s">
        <v>270</v>
      </c>
    </row>
    <row r="2" spans="1:3" ht="22.5">
      <c r="A2" s="198"/>
      <c r="B2" s="198"/>
      <c r="C2" s="198"/>
    </row>
    <row r="3" spans="1:3" ht="22.5">
      <c r="A3" s="198"/>
      <c r="B3" s="198"/>
      <c r="C3" s="198"/>
    </row>
    <row r="4" spans="1:3" ht="22.5">
      <c r="A4" s="198"/>
      <c r="B4" s="198"/>
      <c r="C4" s="198"/>
    </row>
    <row r="5" spans="1:3" ht="22.5">
      <c r="A5" s="198"/>
      <c r="B5" s="198"/>
      <c r="C5" s="198"/>
    </row>
    <row r="6" spans="1:3" ht="22.5">
      <c r="A6" s="198"/>
      <c r="B6" s="198"/>
      <c r="C6" s="198"/>
    </row>
    <row r="7" spans="1:3" ht="22.5">
      <c r="A7" s="198"/>
      <c r="B7" s="198"/>
      <c r="C7" s="198"/>
    </row>
    <row r="8" spans="1:3" ht="22.5">
      <c r="A8" s="198"/>
      <c r="B8" s="198"/>
      <c r="C8" s="198"/>
    </row>
    <row r="9" spans="1:3" ht="22.5">
      <c r="A9" s="198"/>
      <c r="B9" s="198"/>
      <c r="C9" s="198"/>
    </row>
    <row r="10" spans="1:3" ht="22.5">
      <c r="A10" s="198"/>
      <c r="B10" s="198"/>
      <c r="C10" s="198"/>
    </row>
    <row r="11" spans="1:3" ht="22.5">
      <c r="A11" s="198"/>
      <c r="B11" s="198"/>
      <c r="C11" s="198"/>
    </row>
    <row r="12" spans="1:3" ht="22.5">
      <c r="A12" s="198"/>
      <c r="B12" s="198"/>
      <c r="C12" s="198"/>
    </row>
    <row r="13" spans="1:3" ht="22.5">
      <c r="A13" s="198"/>
      <c r="B13" s="198"/>
      <c r="C13" s="198"/>
    </row>
    <row r="14" spans="1:3" ht="22.5">
      <c r="A14" s="198"/>
      <c r="B14" s="198"/>
      <c r="C14" s="198"/>
    </row>
    <row r="15" spans="1:3" ht="22.5">
      <c r="A15" s="198"/>
      <c r="B15" s="198"/>
      <c r="C15" s="198"/>
    </row>
    <row r="16" spans="1:3" ht="22.5">
      <c r="A16" s="198"/>
      <c r="B16" s="198"/>
      <c r="C16" s="198"/>
    </row>
    <row r="17" spans="1:3" ht="22.5">
      <c r="A17" s="198"/>
      <c r="B17" s="198"/>
      <c r="C17" s="198"/>
    </row>
    <row r="18" spans="1:3" ht="22.5">
      <c r="A18" s="198"/>
      <c r="B18" s="198"/>
      <c r="C18" s="198"/>
    </row>
    <row r="19" spans="1:3" ht="22.5">
      <c r="A19" s="198"/>
      <c r="B19" s="198"/>
      <c r="C19" s="198"/>
    </row>
    <row r="20" spans="1:3" ht="22.5">
      <c r="A20" s="198"/>
      <c r="B20" s="198"/>
      <c r="C20" s="198"/>
    </row>
    <row r="21" spans="1:3" ht="22.5">
      <c r="A21" s="198"/>
      <c r="B21" s="198"/>
      <c r="C21" s="198"/>
    </row>
    <row r="22" spans="1:3" ht="22.5">
      <c r="A22" s="198"/>
      <c r="B22" s="198"/>
      <c r="C22" s="198"/>
    </row>
    <row r="23" spans="1:3" ht="22.5">
      <c r="A23" s="198"/>
      <c r="B23" s="198"/>
      <c r="C23" s="198"/>
    </row>
    <row r="24" spans="1:3" ht="22.5">
      <c r="A24" s="198"/>
      <c r="B24" s="198"/>
      <c r="C24" s="198"/>
    </row>
    <row r="25" spans="1:3" ht="22.5">
      <c r="A25" s="198"/>
      <c r="B25" s="198"/>
      <c r="C25" s="198"/>
    </row>
    <row r="26" spans="1:3" ht="22.5">
      <c r="A26" s="198"/>
      <c r="B26" s="198"/>
      <c r="C26" s="198"/>
    </row>
    <row r="27" spans="1:3" ht="22.5">
      <c r="A27" s="198"/>
      <c r="B27" s="198"/>
      <c r="C27" s="198"/>
    </row>
    <row r="28" spans="1:3" ht="22.5">
      <c r="A28" s="198"/>
      <c r="B28" s="198"/>
      <c r="C28" s="198"/>
    </row>
    <row r="29" spans="1:3" ht="22.5">
      <c r="A29" s="198"/>
      <c r="B29" s="198"/>
      <c r="C29" s="198"/>
    </row>
    <row r="30" spans="1:3" ht="22.5">
      <c r="A30" s="198"/>
      <c r="B30" s="198"/>
      <c r="C30" s="198"/>
    </row>
    <row r="31" spans="1:3" ht="22.5">
      <c r="A31" s="198"/>
      <c r="B31" s="198"/>
      <c r="C31" s="198"/>
    </row>
    <row r="32" spans="1:3" ht="22.5">
      <c r="A32" s="198"/>
      <c r="B32" s="198"/>
      <c r="C32" s="198"/>
    </row>
    <row r="33" spans="1:3" ht="22.5">
      <c r="A33" s="198"/>
      <c r="B33" s="198"/>
      <c r="C33" s="198"/>
    </row>
    <row r="34" spans="1:3" ht="22.5">
      <c r="A34" s="198"/>
      <c r="B34" s="198"/>
      <c r="C34" s="198"/>
    </row>
    <row r="35" spans="1:3" ht="22.5">
      <c r="A35" s="198"/>
      <c r="B35" s="198"/>
      <c r="C35" s="198"/>
    </row>
    <row r="36" spans="1:3" ht="22.5">
      <c r="A36" s="198"/>
      <c r="B36" s="198"/>
      <c r="C36" s="198"/>
    </row>
    <row r="37" spans="1:3" ht="22.5">
      <c r="A37" s="198"/>
      <c r="B37" s="198"/>
      <c r="C37" s="198"/>
    </row>
    <row r="38" spans="1:3" ht="22.5">
      <c r="A38" s="198"/>
      <c r="B38" s="198"/>
      <c r="C38" s="198"/>
    </row>
    <row r="39" spans="1:3" ht="22.5">
      <c r="A39" s="198"/>
      <c r="B39" s="198"/>
      <c r="C39" s="198"/>
    </row>
    <row r="40" spans="1:3" ht="22.5">
      <c r="A40" s="198"/>
      <c r="B40" s="198"/>
      <c r="C40" s="198"/>
    </row>
    <row r="41" spans="1:3" ht="22.5">
      <c r="A41" s="198"/>
      <c r="B41" s="198"/>
      <c r="C41" s="198"/>
    </row>
    <row r="42" spans="1:3" ht="22.5">
      <c r="A42" s="198"/>
      <c r="B42" s="198"/>
      <c r="C42" s="198"/>
    </row>
    <row r="43" spans="1:3" ht="22.5">
      <c r="A43" s="198"/>
      <c r="B43" s="198"/>
      <c r="C43" s="198"/>
    </row>
    <row r="44" spans="1:3" ht="22.5">
      <c r="A44" s="198"/>
      <c r="B44" s="198"/>
      <c r="C44" s="198"/>
    </row>
    <row r="45" spans="1:3" ht="22.5">
      <c r="A45" s="198"/>
      <c r="B45" s="198"/>
      <c r="C45" s="198"/>
    </row>
    <row r="46" spans="1:3" ht="22.5">
      <c r="A46" s="198"/>
      <c r="B46" s="198"/>
      <c r="C46" s="198"/>
    </row>
    <row r="47" spans="1:3" ht="22.5">
      <c r="A47" s="198"/>
      <c r="B47" s="198"/>
      <c r="C47" s="198"/>
    </row>
    <row r="48" spans="1:3" ht="22.5">
      <c r="A48" s="198"/>
      <c r="B48" s="198"/>
      <c r="C48" s="198"/>
    </row>
    <row r="49" spans="1:3" ht="22.5">
      <c r="A49" s="198"/>
      <c r="B49" s="198"/>
      <c r="C49" s="198"/>
    </row>
    <row r="50" spans="1:3" ht="22.5">
      <c r="A50" s="198"/>
      <c r="B50" s="198"/>
      <c r="C50" s="198"/>
    </row>
    <row r="51" spans="1:3" ht="22.5">
      <c r="A51" s="198"/>
      <c r="B51" s="198"/>
      <c r="C51" s="198"/>
    </row>
    <row r="52" spans="1:3" ht="22.5">
      <c r="A52" s="198"/>
      <c r="B52" s="198"/>
      <c r="C52" s="198"/>
    </row>
    <row r="53" spans="1:3" ht="22.5">
      <c r="A53" s="198"/>
      <c r="B53" s="198"/>
      <c r="C53" s="198"/>
    </row>
    <row r="54" spans="1:3" ht="22.5">
      <c r="A54" s="198"/>
      <c r="B54" s="198"/>
      <c r="C54" s="198"/>
    </row>
    <row r="55" spans="1:3" ht="22.5">
      <c r="A55" s="198"/>
      <c r="B55" s="198"/>
      <c r="C55" s="198"/>
    </row>
    <row r="56" spans="1:3" ht="22.5">
      <c r="A56" s="198"/>
      <c r="B56" s="198"/>
      <c r="C56" s="198"/>
    </row>
    <row r="57" spans="1:3" ht="22.5">
      <c r="A57" s="198"/>
      <c r="B57" s="198"/>
      <c r="C57" s="198"/>
    </row>
    <row r="58" spans="1:3" ht="22.5">
      <c r="A58" s="198"/>
      <c r="B58" s="198"/>
      <c r="C58" s="198"/>
    </row>
    <row r="59" spans="1:3" ht="22.5">
      <c r="A59" s="198"/>
      <c r="B59" s="198"/>
      <c r="C59" s="198"/>
    </row>
    <row r="60" spans="1:3" ht="22.5">
      <c r="A60" s="198"/>
      <c r="B60" s="198"/>
      <c r="C60" s="198"/>
    </row>
    <row r="61" spans="1:3" ht="22.5">
      <c r="A61" s="198"/>
      <c r="B61" s="198"/>
      <c r="C61" s="198"/>
    </row>
    <row r="62" spans="1:3" ht="22.5">
      <c r="A62" s="198"/>
      <c r="B62" s="198"/>
      <c r="C62" s="198"/>
    </row>
    <row r="63" spans="1:3" ht="22.5">
      <c r="A63" s="198"/>
      <c r="B63" s="198"/>
      <c r="C63" s="198"/>
    </row>
    <row r="64" spans="1:3" ht="22.5">
      <c r="A64" s="198"/>
      <c r="B64" s="198"/>
      <c r="C64" s="198"/>
    </row>
    <row r="65" spans="1:3" ht="22.5">
      <c r="A65" s="198"/>
      <c r="B65" s="198"/>
      <c r="C65" s="198"/>
    </row>
    <row r="66" spans="1:3" ht="22.5">
      <c r="A66" s="198"/>
      <c r="B66" s="198"/>
      <c r="C66" s="198"/>
    </row>
    <row r="67" spans="1:3" ht="22.5">
      <c r="A67" s="198"/>
      <c r="B67" s="198"/>
      <c r="C67" s="198"/>
    </row>
    <row r="68" spans="1:3" ht="22.5">
      <c r="A68" s="198"/>
      <c r="B68" s="198"/>
      <c r="C68" s="198"/>
    </row>
    <row r="69" spans="1:3" ht="22.5">
      <c r="A69" s="198"/>
      <c r="B69" s="198"/>
      <c r="C69" s="198"/>
    </row>
    <row r="70" spans="1:3" ht="22.5">
      <c r="A70" s="198"/>
      <c r="B70" s="198"/>
      <c r="C70" s="198"/>
    </row>
    <row r="71" spans="1:3" ht="22.5">
      <c r="A71" s="198"/>
      <c r="B71" s="198"/>
      <c r="C71" s="198"/>
    </row>
    <row r="72" spans="1:3" ht="22.5">
      <c r="A72" s="198"/>
      <c r="B72" s="198"/>
      <c r="C72" s="198"/>
    </row>
    <row r="73" spans="1:3" ht="22.5">
      <c r="A73" s="198"/>
      <c r="B73" s="198"/>
      <c r="C73" s="198"/>
    </row>
    <row r="74" spans="1:3" ht="22.5">
      <c r="A74" s="198"/>
      <c r="B74" s="198"/>
      <c r="C74" s="198"/>
    </row>
    <row r="75" spans="1:3" ht="22.5">
      <c r="A75" s="198"/>
      <c r="B75" s="198"/>
      <c r="C75" s="198"/>
    </row>
    <row r="76" spans="1:3" ht="22.5">
      <c r="A76" s="198"/>
      <c r="B76" s="198"/>
      <c r="C76" s="198"/>
    </row>
    <row r="77" spans="1:3" ht="22.5">
      <c r="A77" s="198"/>
      <c r="B77" s="198"/>
      <c r="C77" s="198"/>
    </row>
    <row r="78" spans="1:3" ht="22.5">
      <c r="A78" s="198"/>
      <c r="B78" s="198"/>
      <c r="C78" s="198"/>
    </row>
    <row r="79" spans="1:3" ht="22.5">
      <c r="A79" s="198"/>
      <c r="B79" s="198"/>
      <c r="C79" s="198"/>
    </row>
    <row r="80" spans="1:3" ht="22.5">
      <c r="A80" s="198"/>
      <c r="B80" s="198"/>
      <c r="C80" s="198"/>
    </row>
    <row r="81" spans="1:3" ht="22.5">
      <c r="A81" s="198"/>
      <c r="B81" s="198"/>
      <c r="C81" s="198"/>
    </row>
    <row r="82" spans="1:3" ht="22.5">
      <c r="A82" s="198"/>
      <c r="B82" s="198"/>
      <c r="C82" s="198"/>
    </row>
    <row r="83" spans="1:3" ht="22.5">
      <c r="A83" s="198"/>
      <c r="B83" s="198"/>
      <c r="C83" s="198"/>
    </row>
    <row r="84" spans="1:3" ht="22.5">
      <c r="A84" s="198"/>
      <c r="B84" s="198"/>
      <c r="C84" s="198"/>
    </row>
    <row r="85" spans="1:3" ht="22.5">
      <c r="A85" s="198"/>
      <c r="B85" s="198"/>
      <c r="C85" s="198"/>
    </row>
    <row r="86" spans="1:3" ht="22.5">
      <c r="A86" s="198"/>
      <c r="B86" s="198"/>
      <c r="C86" s="198"/>
    </row>
    <row r="87" spans="1:3" ht="22.5">
      <c r="A87" s="198"/>
      <c r="B87" s="198"/>
      <c r="C87" s="198"/>
    </row>
    <row r="88" spans="1:3" ht="22.5">
      <c r="A88" s="198"/>
      <c r="B88" s="198"/>
      <c r="C88" s="198"/>
    </row>
    <row r="89" spans="1:3" ht="22.5">
      <c r="A89" s="198"/>
      <c r="B89" s="198"/>
      <c r="C89" s="198"/>
    </row>
    <row r="90" spans="1:3" ht="22.5">
      <c r="A90" s="198"/>
      <c r="B90" s="198"/>
      <c r="C90" s="198"/>
    </row>
    <row r="91" spans="1:3" ht="22.5">
      <c r="A91" s="198"/>
      <c r="B91" s="198"/>
      <c r="C91" s="198"/>
    </row>
    <row r="92" spans="1:3" ht="22.5">
      <c r="A92" s="198"/>
      <c r="B92" s="198"/>
      <c r="C92" s="198"/>
    </row>
    <row r="93" spans="1:3" ht="22.5">
      <c r="A93" s="198"/>
      <c r="B93" s="198"/>
      <c r="C93" s="198"/>
    </row>
    <row r="94" spans="1:3" ht="22.5">
      <c r="A94" s="198"/>
      <c r="B94" s="198"/>
      <c r="C94" s="198"/>
    </row>
    <row r="95" spans="1:3" ht="22.5">
      <c r="A95" s="198"/>
      <c r="B95" s="198"/>
      <c r="C95" s="198"/>
    </row>
    <row r="96" spans="1:3" ht="22.5">
      <c r="A96" s="198"/>
      <c r="B96" s="198"/>
      <c r="C96" s="198"/>
    </row>
    <row r="97" spans="1:3" ht="22.5">
      <c r="A97" s="198"/>
      <c r="B97" s="198"/>
      <c r="C97" s="198"/>
    </row>
    <row r="98" spans="1:3" ht="22.5">
      <c r="A98" s="198"/>
      <c r="B98" s="198"/>
      <c r="C98" s="198"/>
    </row>
    <row r="99" spans="1:3" ht="22.5">
      <c r="A99" s="198"/>
      <c r="B99" s="198"/>
      <c r="C99" s="198"/>
    </row>
    <row r="100" spans="1:3" ht="22.5">
      <c r="A100" s="198"/>
      <c r="B100" s="198"/>
      <c r="C100" s="198"/>
    </row>
    <row r="101" spans="1:3" ht="22.5">
      <c r="A101" s="198"/>
      <c r="B101" s="198"/>
      <c r="C101" s="198"/>
    </row>
    <row r="102" spans="1:3" ht="22.5">
      <c r="A102" s="198"/>
      <c r="B102" s="198"/>
      <c r="C102" s="198"/>
    </row>
    <row r="103" spans="1:3" ht="22.5">
      <c r="A103" s="198"/>
      <c r="B103" s="198"/>
      <c r="C103" s="198"/>
    </row>
    <row r="104" spans="1:3" ht="22.5">
      <c r="A104" s="198"/>
      <c r="B104" s="198"/>
      <c r="C104" s="198"/>
    </row>
    <row r="105" spans="1:3" ht="22.5">
      <c r="A105" s="198"/>
      <c r="B105" s="198"/>
      <c r="C105" s="198"/>
    </row>
    <row r="106" spans="1:3" ht="22.5">
      <c r="A106" s="198"/>
      <c r="B106" s="198"/>
      <c r="C106" s="198"/>
    </row>
    <row r="107" spans="1:3" ht="22.5">
      <c r="A107" s="198"/>
      <c r="B107" s="198"/>
      <c r="C107" s="198"/>
    </row>
    <row r="108" spans="1:3" ht="22.5">
      <c r="A108" s="198"/>
      <c r="B108" s="198"/>
      <c r="C108" s="198"/>
    </row>
    <row r="109" spans="1:3" ht="22.5">
      <c r="A109" s="198"/>
      <c r="B109" s="198"/>
      <c r="C109" s="198"/>
    </row>
    <row r="110" spans="1:3" ht="22.5">
      <c r="A110" s="198"/>
      <c r="B110" s="198"/>
      <c r="C110" s="198"/>
    </row>
    <row r="111" spans="1:3" ht="22.5">
      <c r="A111" s="198"/>
      <c r="B111" s="198"/>
      <c r="C111" s="198"/>
    </row>
    <row r="112" spans="1:3" ht="22.5">
      <c r="A112" s="198"/>
      <c r="B112" s="198"/>
      <c r="C112" s="198"/>
    </row>
    <row r="113" spans="1:3" ht="22.5">
      <c r="A113" s="198"/>
      <c r="B113" s="198"/>
      <c r="C113" s="198"/>
    </row>
    <row r="114" spans="1:3" ht="22.5">
      <c r="A114" s="198"/>
      <c r="B114" s="198"/>
      <c r="C114" s="198"/>
    </row>
    <row r="115" spans="1:3" ht="22.5">
      <c r="A115" s="198"/>
      <c r="B115" s="198"/>
      <c r="C115" s="198"/>
    </row>
    <row r="116" spans="1:3" ht="22.5">
      <c r="A116" s="198"/>
      <c r="B116" s="198"/>
      <c r="C116" s="198"/>
    </row>
    <row r="117" spans="1:3" ht="22.5">
      <c r="A117" s="198"/>
      <c r="B117" s="198"/>
      <c r="C117" s="198"/>
    </row>
    <row r="118" spans="1:3" ht="22.5">
      <c r="A118" s="198"/>
      <c r="B118" s="198"/>
      <c r="C118" s="198"/>
    </row>
    <row r="119" spans="1:3" ht="22.5">
      <c r="A119" s="198"/>
      <c r="B119" s="198"/>
      <c r="C119" s="198"/>
    </row>
    <row r="120" spans="1:3" ht="22.5">
      <c r="A120" s="198"/>
      <c r="B120" s="198"/>
      <c r="C120" s="198"/>
    </row>
    <row r="121" spans="1:3" ht="22.5">
      <c r="A121" s="198"/>
      <c r="B121" s="198"/>
      <c r="C121" s="198"/>
    </row>
    <row r="122" spans="1:3" ht="22.5">
      <c r="A122" s="198"/>
      <c r="B122" s="198"/>
      <c r="C122" s="198"/>
    </row>
    <row r="123" spans="1:3" ht="22.5">
      <c r="A123" s="198"/>
      <c r="B123" s="198"/>
      <c r="C123" s="198"/>
    </row>
    <row r="124" spans="1:3" ht="22.5">
      <c r="A124" s="198"/>
      <c r="B124" s="198"/>
      <c r="C124" s="198"/>
    </row>
    <row r="125" spans="1:3" ht="22.5">
      <c r="A125" s="198"/>
      <c r="B125" s="198"/>
      <c r="C125" s="198"/>
    </row>
    <row r="126" spans="1:3" ht="22.5">
      <c r="A126" s="198"/>
      <c r="B126" s="198"/>
      <c r="C126" s="198"/>
    </row>
    <row r="127" spans="1:3" ht="22.5">
      <c r="A127" s="198"/>
      <c r="B127" s="198"/>
      <c r="C127" s="198"/>
    </row>
    <row r="128" spans="1:3" ht="22.5">
      <c r="A128" s="198"/>
      <c r="B128" s="198"/>
      <c r="C128" s="198"/>
    </row>
    <row r="129" spans="1:3" ht="22.5">
      <c r="A129" s="198"/>
      <c r="B129" s="198"/>
      <c r="C129" s="198"/>
    </row>
    <row r="130" spans="1:3" ht="22.5">
      <c r="A130" s="198"/>
      <c r="B130" s="198"/>
      <c r="C130" s="198"/>
    </row>
    <row r="131" spans="1:3" ht="22.5">
      <c r="A131" s="198"/>
      <c r="B131" s="198"/>
      <c r="C131" s="198"/>
    </row>
    <row r="132" spans="1:3" ht="22.5">
      <c r="A132" s="198"/>
      <c r="B132" s="198"/>
      <c r="C132" s="198"/>
    </row>
    <row r="133" spans="1:3" ht="22.5">
      <c r="A133" s="198"/>
      <c r="B133" s="198"/>
      <c r="C133" s="198"/>
    </row>
    <row r="134" spans="1:3" ht="22.5">
      <c r="A134" s="198"/>
      <c r="B134" s="198"/>
      <c r="C134" s="198"/>
    </row>
    <row r="135" spans="1:3" ht="22.5">
      <c r="A135" s="198"/>
      <c r="B135" s="198"/>
      <c r="C135" s="198"/>
    </row>
    <row r="136" spans="1:3" ht="22.5">
      <c r="A136" s="198"/>
      <c r="B136" s="198"/>
      <c r="C136" s="198"/>
    </row>
    <row r="137" spans="1:3" ht="22.5">
      <c r="A137" s="198"/>
      <c r="B137" s="198"/>
      <c r="C137" s="198"/>
    </row>
    <row r="138" spans="1:3" ht="22.5">
      <c r="A138" s="198"/>
      <c r="B138" s="198"/>
      <c r="C138" s="198"/>
    </row>
    <row r="139" spans="1:3" ht="22.5">
      <c r="A139" s="198"/>
      <c r="B139" s="198"/>
      <c r="C139" s="198"/>
    </row>
    <row r="140" spans="1:3" ht="22.5">
      <c r="A140" s="198"/>
      <c r="B140" s="198"/>
      <c r="C140" s="198"/>
    </row>
    <row r="141" spans="1:3" ht="22.5">
      <c r="A141" s="198"/>
      <c r="B141" s="198"/>
      <c r="C141" s="198"/>
    </row>
    <row r="142" spans="1:3" ht="22.5">
      <c r="A142" s="198"/>
      <c r="B142" s="198"/>
      <c r="C142" s="198"/>
    </row>
    <row r="143" spans="1:3" ht="22.5">
      <c r="A143" s="198"/>
      <c r="B143" s="198"/>
      <c r="C143" s="198"/>
    </row>
    <row r="144" spans="1:3" ht="22.5">
      <c r="A144" s="198"/>
      <c r="B144" s="198"/>
      <c r="C144" s="198"/>
    </row>
    <row r="145" spans="1:3" ht="22.5">
      <c r="A145" s="198"/>
      <c r="B145" s="198"/>
      <c r="C145" s="198"/>
    </row>
    <row r="146" spans="1:3" ht="22.5">
      <c r="A146" s="198"/>
      <c r="B146" s="198"/>
      <c r="C146" s="198"/>
    </row>
    <row r="147" spans="1:3" ht="22.5">
      <c r="A147" s="198"/>
      <c r="B147" s="198"/>
      <c r="C147" s="198"/>
    </row>
    <row r="148" spans="1:3" ht="22.5">
      <c r="A148" s="198"/>
      <c r="B148" s="198"/>
      <c r="C148" s="198"/>
    </row>
    <row r="149" spans="1:3" ht="22.5">
      <c r="A149" s="198"/>
      <c r="B149" s="198"/>
      <c r="C149" s="198"/>
    </row>
    <row r="150" spans="1:3" ht="22.5">
      <c r="A150" s="198"/>
      <c r="B150" s="198"/>
      <c r="C150" s="198"/>
    </row>
    <row r="151" spans="1:3" ht="22.5">
      <c r="A151" s="198"/>
      <c r="B151" s="198"/>
      <c r="C151" s="198"/>
    </row>
    <row r="152" spans="1:3" ht="22.5">
      <c r="A152" s="198"/>
      <c r="B152" s="198"/>
      <c r="C152" s="198"/>
    </row>
    <row r="153" spans="1:3" ht="22.5">
      <c r="A153" s="198"/>
      <c r="B153" s="198"/>
      <c r="C153" s="198"/>
    </row>
    <row r="154" spans="1:3" ht="22.5">
      <c r="A154" s="198"/>
      <c r="B154" s="198"/>
      <c r="C154" s="198"/>
    </row>
    <row r="155" spans="1:3" ht="22.5">
      <c r="A155" s="198"/>
      <c r="B155" s="198"/>
      <c r="C155" s="198"/>
    </row>
    <row r="156" spans="1:3" ht="22.5">
      <c r="A156" s="198"/>
      <c r="B156" s="198"/>
      <c r="C156" s="198"/>
    </row>
    <row r="157" spans="1:3" ht="22.5">
      <c r="A157" s="198"/>
      <c r="B157" s="198"/>
      <c r="C157" s="198"/>
    </row>
    <row r="158" spans="1:3" ht="22.5">
      <c r="A158" s="198"/>
      <c r="B158" s="198"/>
      <c r="C158" s="198"/>
    </row>
    <row r="159" spans="1:3" ht="22.5">
      <c r="A159" s="198"/>
      <c r="B159" s="198"/>
      <c r="C159" s="198"/>
    </row>
    <row r="160" spans="1:3" ht="22.5">
      <c r="A160" s="198"/>
      <c r="B160" s="198"/>
      <c r="C160" s="198"/>
    </row>
    <row r="161" spans="1:3" ht="22.5">
      <c r="A161" s="198"/>
      <c r="B161" s="198"/>
      <c r="C161" s="198"/>
    </row>
    <row r="162" spans="1:3" ht="22.5">
      <c r="A162" s="198"/>
      <c r="B162" s="198"/>
      <c r="C162" s="198"/>
    </row>
    <row r="163" spans="1:3" ht="22.5">
      <c r="A163" s="198"/>
      <c r="B163" s="198"/>
      <c r="C163" s="198"/>
    </row>
    <row r="164" spans="1:3" ht="22.5">
      <c r="A164" s="198"/>
      <c r="B164" s="198"/>
      <c r="C164" s="198"/>
    </row>
    <row r="165" spans="1:3" ht="22.5">
      <c r="A165" s="198"/>
      <c r="B165" s="198"/>
      <c r="C165" s="198"/>
    </row>
    <row r="166" spans="1:3" ht="22.5">
      <c r="A166" s="198"/>
      <c r="B166" s="198"/>
      <c r="C166" s="198"/>
    </row>
    <row r="167" spans="1:3" ht="22.5">
      <c r="A167" s="198"/>
      <c r="B167" s="198"/>
      <c r="C167" s="198"/>
    </row>
    <row r="168" spans="1:3" ht="22.5">
      <c r="A168" s="198"/>
      <c r="B168" s="198"/>
      <c r="C168" s="198"/>
    </row>
    <row r="169" spans="1:3" ht="22.5">
      <c r="A169" s="198"/>
      <c r="B169" s="198"/>
      <c r="C169" s="198"/>
    </row>
    <row r="170" spans="1:3" ht="22.5">
      <c r="A170" s="198"/>
      <c r="B170" s="198"/>
      <c r="C170" s="198"/>
    </row>
    <row r="171" spans="1:3" ht="22.5">
      <c r="A171" s="198"/>
      <c r="B171" s="198"/>
      <c r="C171" s="198"/>
    </row>
    <row r="172" spans="1:3" ht="22.5">
      <c r="A172" s="198"/>
      <c r="B172" s="198"/>
      <c r="C172" s="198"/>
    </row>
    <row r="173" spans="1:3" ht="22.5">
      <c r="A173" s="198"/>
      <c r="B173" s="198"/>
      <c r="C173" s="198"/>
    </row>
    <row r="174" spans="1:3" ht="22.5">
      <c r="A174" s="198"/>
      <c r="B174" s="198"/>
      <c r="C174" s="198"/>
    </row>
    <row r="175" spans="1:3" ht="22.5">
      <c r="A175" s="198"/>
      <c r="B175" s="198"/>
      <c r="C175" s="198"/>
    </row>
    <row r="176" spans="1:3" ht="22.5">
      <c r="A176" s="198"/>
      <c r="B176" s="198"/>
      <c r="C176" s="198"/>
    </row>
    <row r="177" spans="1:3" ht="22.5">
      <c r="A177" s="198"/>
      <c r="B177" s="198"/>
      <c r="C177" s="198"/>
    </row>
    <row r="178" spans="1:3" ht="22.5">
      <c r="A178" s="198"/>
      <c r="B178" s="198"/>
      <c r="C178" s="198"/>
    </row>
    <row r="179" spans="1:3" ht="22.5">
      <c r="A179" s="198"/>
      <c r="B179" s="198"/>
      <c r="C179" s="198"/>
    </row>
    <row r="180" spans="1:3" ht="22.5">
      <c r="A180" s="198"/>
      <c r="B180" s="198"/>
      <c r="C180" s="198"/>
    </row>
    <row r="181" spans="1:3" ht="22.5">
      <c r="A181" s="198"/>
      <c r="B181" s="198"/>
      <c r="C181" s="198"/>
    </row>
    <row r="182" spans="1:3" ht="22.5">
      <c r="A182" s="198"/>
      <c r="B182" s="198"/>
      <c r="C182" s="198"/>
    </row>
    <row r="183" spans="1:3" ht="22.5">
      <c r="A183" s="198"/>
      <c r="B183" s="198"/>
      <c r="C183" s="198"/>
    </row>
    <row r="184" spans="1:3" ht="22.5">
      <c r="A184" s="198"/>
      <c r="B184" s="198"/>
      <c r="C184" s="198"/>
    </row>
    <row r="185" spans="1:3" ht="22.5">
      <c r="A185" s="198"/>
      <c r="B185" s="198"/>
      <c r="C185" s="198"/>
    </row>
    <row r="186" spans="1:3" ht="22.5">
      <c r="A186" s="198"/>
      <c r="B186" s="198"/>
      <c r="C186" s="198"/>
    </row>
    <row r="187" spans="1:3" ht="22.5">
      <c r="A187" s="198"/>
      <c r="B187" s="198"/>
      <c r="C187" s="198"/>
    </row>
    <row r="188" spans="1:3" ht="22.5">
      <c r="A188" s="198"/>
      <c r="B188" s="198"/>
      <c r="C188" s="198"/>
    </row>
    <row r="189" spans="1:3" ht="22.5">
      <c r="A189" s="198"/>
      <c r="B189" s="198"/>
      <c r="C189" s="198"/>
    </row>
    <row r="190" spans="1:3" ht="22.5">
      <c r="A190" s="198"/>
      <c r="B190" s="198"/>
      <c r="C190" s="198"/>
    </row>
    <row r="191" spans="1:3" ht="22.5">
      <c r="A191" s="198"/>
      <c r="B191" s="198"/>
      <c r="C191" s="198"/>
    </row>
    <row r="192" spans="1:3" ht="22.5">
      <c r="A192" s="198"/>
      <c r="B192" s="198"/>
      <c r="C192" s="198"/>
    </row>
    <row r="193" spans="1:3" ht="22.5">
      <c r="A193" s="198"/>
      <c r="B193" s="198"/>
      <c r="C193" s="198"/>
    </row>
    <row r="194" spans="1:3" ht="22.5">
      <c r="A194" s="198"/>
      <c r="B194" s="198"/>
      <c r="C194" s="198"/>
    </row>
    <row r="195" spans="1:3" ht="22.5">
      <c r="A195" s="198"/>
      <c r="B195" s="198"/>
      <c r="C195" s="198"/>
    </row>
    <row r="196" spans="1:3" ht="22.5">
      <c r="A196" s="198"/>
      <c r="B196" s="198"/>
      <c r="C196" s="198"/>
    </row>
    <row r="197" spans="1:3" ht="22.5">
      <c r="A197" s="198"/>
      <c r="B197" s="198"/>
      <c r="C197" s="198"/>
    </row>
    <row r="198" spans="1:3" ht="22.5">
      <c r="A198" s="198"/>
      <c r="B198" s="198"/>
      <c r="C198" s="198"/>
    </row>
    <row r="199" spans="1:3" ht="22.5">
      <c r="A199" s="198"/>
      <c r="B199" s="198"/>
      <c r="C199" s="198"/>
    </row>
    <row r="200" spans="1:3" ht="22.5">
      <c r="A200" s="198"/>
      <c r="B200" s="198"/>
      <c r="C200" s="198"/>
    </row>
    <row r="201" spans="1:3" ht="22.5">
      <c r="A201" s="198"/>
      <c r="B201" s="198"/>
      <c r="C201" s="198"/>
    </row>
    <row r="202" spans="1:3" ht="22.5">
      <c r="A202" s="198"/>
      <c r="B202" s="198"/>
      <c r="C202" s="198"/>
    </row>
    <row r="203" spans="1:3" ht="22.5">
      <c r="A203" s="198"/>
      <c r="B203" s="198"/>
      <c r="C203" s="198"/>
    </row>
    <row r="204" spans="1:3" ht="22.5">
      <c r="A204" s="198"/>
      <c r="B204" s="198"/>
      <c r="C204" s="198"/>
    </row>
    <row r="205" spans="1:3" ht="22.5">
      <c r="A205" s="198"/>
      <c r="B205" s="198"/>
      <c r="C205" s="198"/>
    </row>
    <row r="206" spans="1:3" ht="22.5">
      <c r="A206" s="198"/>
      <c r="B206" s="198"/>
      <c r="C206" s="198"/>
    </row>
    <row r="207" spans="1:3" ht="22.5">
      <c r="A207" s="198"/>
      <c r="B207" s="198"/>
      <c r="C207" s="198"/>
    </row>
    <row r="208" spans="1:3" ht="22.5">
      <c r="A208" s="198"/>
      <c r="B208" s="198"/>
      <c r="C208" s="198"/>
    </row>
    <row r="209" spans="1:3" ht="22.5">
      <c r="A209" s="198"/>
      <c r="B209" s="198"/>
      <c r="C209" s="198"/>
    </row>
    <row r="210" spans="1:3" ht="22.5">
      <c r="A210" s="198"/>
      <c r="B210" s="198"/>
      <c r="C210" s="198"/>
    </row>
    <row r="211" spans="1:3" ht="22.5">
      <c r="A211" s="198"/>
      <c r="B211" s="198"/>
      <c r="C211" s="198"/>
    </row>
    <row r="212" spans="1:3" ht="22.5">
      <c r="A212" s="198"/>
      <c r="B212" s="198"/>
      <c r="C212" s="198"/>
    </row>
    <row r="213" spans="1:3" ht="22.5">
      <c r="A213" s="198"/>
      <c r="B213" s="198"/>
      <c r="C213" s="198"/>
    </row>
    <row r="214" spans="1:3" ht="22.5">
      <c r="A214" s="198"/>
      <c r="B214" s="198"/>
      <c r="C214" s="198"/>
    </row>
    <row r="215" spans="1:3" ht="22.5">
      <c r="A215" s="198"/>
      <c r="B215" s="198"/>
      <c r="C215" s="198"/>
    </row>
    <row r="216" spans="1:3" ht="22.5">
      <c r="A216" s="198"/>
      <c r="B216" s="198"/>
      <c r="C216" s="198"/>
    </row>
    <row r="217" spans="1:3" ht="22.5">
      <c r="A217" s="198"/>
      <c r="B217" s="198"/>
      <c r="C217" s="198"/>
    </row>
    <row r="218" spans="1:3" ht="22.5">
      <c r="A218" s="198"/>
      <c r="B218" s="198"/>
      <c r="C218" s="198"/>
    </row>
    <row r="219" spans="1:3" ht="22.5">
      <c r="A219" s="198"/>
      <c r="B219" s="198"/>
      <c r="C219" s="198"/>
    </row>
    <row r="220" spans="1:3" ht="22.5">
      <c r="A220" s="198"/>
      <c r="B220" s="198"/>
      <c r="C220" s="198"/>
    </row>
    <row r="221" spans="1:3" ht="22.5">
      <c r="A221" s="198"/>
      <c r="B221" s="198"/>
      <c r="C221" s="198"/>
    </row>
    <row r="222" spans="1:3" ht="22.5">
      <c r="A222" s="198"/>
      <c r="B222" s="198"/>
      <c r="C222" s="198"/>
    </row>
    <row r="223" spans="1:3" ht="22.5">
      <c r="A223" s="198"/>
      <c r="B223" s="198"/>
      <c r="C223" s="198"/>
    </row>
    <row r="224" spans="1:3" ht="22.5">
      <c r="A224" s="198"/>
      <c r="B224" s="198"/>
      <c r="C224" s="198"/>
    </row>
    <row r="225" spans="1:3" ht="22.5">
      <c r="A225" s="198"/>
      <c r="B225" s="198"/>
      <c r="C225" s="198"/>
    </row>
    <row r="226" spans="1:3" ht="22.5">
      <c r="A226" s="198"/>
      <c r="B226" s="198"/>
      <c r="C226" s="198"/>
    </row>
    <row r="227" spans="1:3" ht="22.5">
      <c r="A227" s="198"/>
      <c r="B227" s="198"/>
      <c r="C227" s="198"/>
    </row>
    <row r="228" spans="1:3" ht="22.5">
      <c r="A228" s="198"/>
      <c r="B228" s="198"/>
      <c r="C228" s="198"/>
    </row>
    <row r="229" spans="1:3" ht="22.5">
      <c r="A229" s="198"/>
      <c r="B229" s="198"/>
      <c r="C229" s="198"/>
    </row>
    <row r="230" spans="1:3" ht="22.5">
      <c r="A230" s="198"/>
      <c r="B230" s="198"/>
      <c r="C230" s="198"/>
    </row>
    <row r="231" spans="1:3" ht="22.5">
      <c r="A231" s="198"/>
      <c r="B231" s="198"/>
      <c r="C231" s="198"/>
    </row>
    <row r="232" spans="1:3" ht="22.5">
      <c r="A232" s="198"/>
      <c r="B232" s="198"/>
      <c r="C232" s="198"/>
    </row>
    <row r="233" spans="1:3" ht="22.5">
      <c r="A233" s="198"/>
      <c r="B233" s="198"/>
      <c r="C233" s="198"/>
    </row>
    <row r="234" spans="1:3" ht="22.5">
      <c r="A234" s="198"/>
      <c r="B234" s="198"/>
      <c r="C234" s="198"/>
    </row>
    <row r="235" spans="1:3" ht="22.5">
      <c r="A235" s="198"/>
      <c r="B235" s="198"/>
      <c r="C235" s="198"/>
    </row>
    <row r="236" spans="1:3" ht="22.5">
      <c r="A236" s="198"/>
      <c r="B236" s="198"/>
      <c r="C236" s="198"/>
    </row>
    <row r="237" spans="1:3" ht="22.5">
      <c r="A237" s="198"/>
      <c r="B237" s="198"/>
      <c r="C237" s="198"/>
    </row>
    <row r="238" spans="1:3" ht="22.5">
      <c r="A238" s="198"/>
      <c r="B238" s="198"/>
      <c r="C238" s="198"/>
    </row>
    <row r="239" spans="1:3" ht="22.5">
      <c r="A239" s="198"/>
      <c r="B239" s="198"/>
      <c r="C239" s="198"/>
    </row>
    <row r="240" spans="1:3" ht="22.5">
      <c r="A240" s="198"/>
      <c r="B240" s="198"/>
      <c r="C240" s="198"/>
    </row>
    <row r="241" spans="1:3" ht="22.5">
      <c r="A241" s="198"/>
      <c r="B241" s="198"/>
      <c r="C241" s="198"/>
    </row>
    <row r="242" spans="1:3" ht="22.5">
      <c r="A242" s="198"/>
      <c r="B242" s="198"/>
      <c r="C242" s="198"/>
    </row>
    <row r="243" spans="1:3" ht="22.5">
      <c r="A243" s="198"/>
      <c r="B243" s="198"/>
      <c r="C243" s="198"/>
    </row>
    <row r="244" spans="1:3" ht="22.5">
      <c r="A244" s="198"/>
      <c r="B244" s="198"/>
      <c r="C244" s="198"/>
    </row>
    <row r="245" spans="1:3" ht="22.5">
      <c r="A245" s="198"/>
      <c r="B245" s="198"/>
      <c r="C245" s="198"/>
    </row>
    <row r="246" spans="1:3" ht="22.5">
      <c r="A246" s="198"/>
      <c r="B246" s="198"/>
      <c r="C246" s="198"/>
    </row>
    <row r="247" spans="1:3" ht="22.5">
      <c r="A247" s="198"/>
      <c r="B247" s="198"/>
      <c r="C247" s="198"/>
    </row>
    <row r="248" spans="1:3" ht="22.5">
      <c r="A248" s="198"/>
      <c r="B248" s="198"/>
      <c r="C248" s="198"/>
    </row>
    <row r="249" spans="1:3" ht="22.5">
      <c r="A249" s="198"/>
      <c r="B249" s="198"/>
      <c r="C249" s="198"/>
    </row>
    <row r="250" spans="1:3" ht="22.5">
      <c r="A250" s="198"/>
      <c r="B250" s="198"/>
      <c r="C250" s="198"/>
    </row>
    <row r="251" spans="1:3" ht="22.5">
      <c r="A251" s="198"/>
      <c r="B251" s="198"/>
      <c r="C251" s="198"/>
    </row>
    <row r="252" spans="1:3" ht="22.5">
      <c r="A252" s="198"/>
      <c r="B252" s="198"/>
      <c r="C252" s="198"/>
    </row>
    <row r="253" spans="1:3" ht="22.5">
      <c r="A253" s="198"/>
      <c r="B253" s="198"/>
      <c r="C253" s="198"/>
    </row>
    <row r="254" spans="1:3" ht="22.5">
      <c r="A254" s="198"/>
      <c r="B254" s="198"/>
      <c r="C254" s="198"/>
    </row>
    <row r="255" spans="1:3" ht="22.5">
      <c r="A255" s="198"/>
      <c r="B255" s="198"/>
      <c r="C255" s="198"/>
    </row>
    <row r="256" spans="1:3" ht="22.5">
      <c r="A256" s="198"/>
      <c r="B256" s="198"/>
      <c r="C256" s="198"/>
    </row>
    <row r="257" spans="1:3" ht="22.5">
      <c r="A257" s="198"/>
      <c r="B257" s="198"/>
      <c r="C257" s="198"/>
    </row>
    <row r="258" spans="1:3" ht="22.5">
      <c r="A258" s="198"/>
      <c r="B258" s="198"/>
      <c r="C258" s="198"/>
    </row>
    <row r="259" spans="1:3" ht="22.5">
      <c r="A259" s="198"/>
      <c r="B259" s="198"/>
      <c r="C259" s="198"/>
    </row>
    <row r="260" spans="1:3" ht="22.5">
      <c r="A260" s="198"/>
      <c r="B260" s="198"/>
      <c r="C260" s="198"/>
    </row>
    <row r="261" spans="1:3" ht="22.5">
      <c r="A261" s="198"/>
      <c r="B261" s="198"/>
      <c r="C261" s="198"/>
    </row>
    <row r="262" spans="1:3" ht="22.5">
      <c r="A262" s="198"/>
      <c r="B262" s="198"/>
      <c r="C262" s="198"/>
    </row>
    <row r="263" spans="1:3" ht="22.5">
      <c r="A263" s="198"/>
      <c r="B263" s="198"/>
      <c r="C263" s="198"/>
    </row>
    <row r="264" spans="1:3" ht="22.5">
      <c r="A264" s="198"/>
      <c r="B264" s="198"/>
      <c r="C264" s="198"/>
    </row>
    <row r="265" spans="1:3" ht="22.5">
      <c r="A265" s="198"/>
      <c r="B265" s="198"/>
      <c r="C265" s="198"/>
    </row>
    <row r="266" spans="1:3" ht="22.5">
      <c r="A266" s="198"/>
      <c r="B266" s="198"/>
      <c r="C266" s="198"/>
    </row>
    <row r="267" spans="1:3" ht="22.5">
      <c r="A267" s="198"/>
      <c r="B267" s="198"/>
      <c r="C267" s="198"/>
    </row>
    <row r="268" spans="1:3" ht="22.5">
      <c r="A268" s="198"/>
      <c r="B268" s="198"/>
      <c r="C268" s="198"/>
    </row>
    <row r="269" spans="1:3" ht="22.5">
      <c r="A269" s="198"/>
      <c r="B269" s="198"/>
      <c r="C269" s="198"/>
    </row>
    <row r="270" spans="1:3" ht="22.5">
      <c r="A270" s="198"/>
      <c r="B270" s="198"/>
      <c r="C270" s="198"/>
    </row>
    <row r="271" spans="1:3" ht="22.5">
      <c r="A271" s="198"/>
      <c r="B271" s="198"/>
      <c r="C271" s="198"/>
    </row>
    <row r="272" spans="1:3" ht="22.5">
      <c r="A272" s="198"/>
      <c r="B272" s="198"/>
      <c r="C272" s="198"/>
    </row>
    <row r="273" spans="1:5" ht="22.5">
      <c r="A273" s="198"/>
      <c r="B273" s="198"/>
      <c r="C273" s="198"/>
    </row>
    <row r="274" spans="1:5" ht="22.5">
      <c r="A274" s="198"/>
      <c r="B274" s="198"/>
      <c r="C274" s="198"/>
    </row>
    <row r="275" spans="1:5" ht="22.5">
      <c r="A275" s="198"/>
      <c r="B275" s="198"/>
      <c r="C275" s="198"/>
    </row>
    <row r="276" spans="1:5" ht="22.5">
      <c r="A276" s="198"/>
      <c r="B276" s="198"/>
      <c r="C276" s="198"/>
    </row>
    <row r="277" spans="1:5" ht="22.5">
      <c r="A277" s="198"/>
      <c r="B277" s="198"/>
      <c r="C277" s="198"/>
    </row>
    <row r="278" spans="1:5" ht="22.5">
      <c r="A278" s="198"/>
      <c r="B278" s="198"/>
      <c r="C278" s="198"/>
    </row>
    <row r="279" spans="1:5" ht="22.5">
      <c r="A279" s="198"/>
      <c r="B279" s="198"/>
      <c r="C279" s="198"/>
    </row>
    <row r="280" spans="1:5" ht="22.5">
      <c r="A280" s="198"/>
      <c r="B280" s="198"/>
      <c r="C280" s="198"/>
    </row>
    <row r="281" spans="1:5" ht="22.5">
      <c r="A281" s="198"/>
      <c r="B281" s="198"/>
      <c r="C281" s="198"/>
    </row>
    <row r="282" spans="1:5" ht="22.5">
      <c r="A282" s="198"/>
      <c r="B282" s="198"/>
      <c r="C282" s="198"/>
    </row>
    <row r="283" spans="1:5" ht="22.5">
      <c r="A283" s="198"/>
      <c r="B283" s="198"/>
      <c r="C283" s="198"/>
    </row>
    <row r="284" spans="1:5" ht="22.5">
      <c r="A284" s="198"/>
      <c r="B284" s="198"/>
      <c r="C284" s="198"/>
    </row>
    <row r="285" spans="1:5" ht="22.5">
      <c r="A285" s="198"/>
      <c r="B285" s="198"/>
      <c r="C285" s="198"/>
      <c r="E285" s="199"/>
    </row>
    <row r="286" spans="1:5" ht="22.5">
      <c r="A286" s="198"/>
      <c r="B286" s="198"/>
      <c r="C286" s="198"/>
    </row>
    <row r="287" spans="1:5" ht="22.5">
      <c r="A287" s="198"/>
      <c r="B287" s="198"/>
      <c r="C287" s="198"/>
    </row>
    <row r="288" spans="1:5" ht="22.5">
      <c r="A288" s="198"/>
      <c r="B288" s="198"/>
      <c r="C288" s="198"/>
    </row>
    <row r="289" spans="1:3" ht="22.5">
      <c r="A289" s="198"/>
      <c r="B289" s="198"/>
      <c r="C289" s="198"/>
    </row>
    <row r="290" spans="1:3" ht="22.5">
      <c r="A290" s="198"/>
      <c r="B290" s="198"/>
      <c r="C290" s="198"/>
    </row>
    <row r="291" spans="1:3" ht="22.5">
      <c r="A291" s="198"/>
      <c r="B291" s="198"/>
      <c r="C291" s="198"/>
    </row>
    <row r="292" spans="1:3" ht="22.5">
      <c r="A292" s="198"/>
      <c r="B292" s="198"/>
      <c r="C292" s="198"/>
    </row>
    <row r="293" spans="1:3" ht="22.5">
      <c r="A293" s="198"/>
      <c r="B293" s="198"/>
      <c r="C293" s="198"/>
    </row>
    <row r="294" spans="1:3" ht="22.5">
      <c r="A294" s="198"/>
      <c r="B294" s="198"/>
      <c r="C294" s="198"/>
    </row>
    <row r="295" spans="1:3" ht="22.5">
      <c r="A295" s="198"/>
      <c r="B295" s="198"/>
      <c r="C295" s="198"/>
    </row>
    <row r="296" spans="1:3" ht="22.5">
      <c r="A296" s="198"/>
      <c r="B296" s="198"/>
      <c r="C296" s="198"/>
    </row>
    <row r="297" spans="1:3" ht="22.5">
      <c r="A297" s="198"/>
      <c r="B297" s="198"/>
      <c r="C297" s="198"/>
    </row>
    <row r="298" spans="1:3" ht="22.5">
      <c r="A298" s="198"/>
      <c r="B298" s="198"/>
      <c r="C298" s="198"/>
    </row>
    <row r="299" spans="1:3" ht="22.5">
      <c r="A299" s="198"/>
      <c r="B299" s="198"/>
      <c r="C299" s="198"/>
    </row>
    <row r="300" spans="1:3" ht="22.5">
      <c r="A300" s="198"/>
      <c r="B300" s="198"/>
      <c r="C300" s="198"/>
    </row>
  </sheetData>
  <pageMargins left="0.78749999999999998" right="0.78749999999999998" top="1.05277777777778" bottom="1.05277777777778" header="0.78749999999999998" footer="0.78749999999999998"/>
  <pageSetup paperSize="9" firstPageNumber="0" orientation="portrait" horizontalDpi="300" verticalDpi="300" r:id="rId1"/>
  <headerFooter>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139</TotalTime>
  <Application>Microsoft Excel</Application>
  <DocSecurity>0</DocSecurity>
  <ScaleCrop>false</ScaleCrop>
  <HeadingPairs>
    <vt:vector size="4" baseType="variant">
      <vt:variant>
        <vt:lpstr>Planilhas</vt:lpstr>
      </vt:variant>
      <vt:variant>
        <vt:i4>14</vt:i4>
      </vt:variant>
      <vt:variant>
        <vt:lpstr>Intervalos Nomeados</vt:lpstr>
      </vt:variant>
      <vt:variant>
        <vt:i4>58</vt:i4>
      </vt:variant>
    </vt:vector>
  </HeadingPairs>
  <TitlesOfParts>
    <vt:vector size="72" baseType="lpstr">
      <vt:lpstr>Instrução de Uso</vt:lpstr>
      <vt:lpstr>Resumo</vt:lpstr>
      <vt:lpstr>AFP - Detalhada</vt:lpstr>
      <vt:lpstr>INM - Detalhada</vt:lpstr>
      <vt:lpstr>AFP - Estimativa</vt:lpstr>
      <vt:lpstr>UST</vt:lpstr>
      <vt:lpstr>INM - Estimativa</vt:lpstr>
      <vt:lpstr>AFP - Indicativa</vt:lpstr>
      <vt:lpstr>Fundamentação</vt:lpstr>
      <vt:lpstr>Redução de Prazo</vt:lpstr>
      <vt:lpstr>Esforço</vt:lpstr>
      <vt:lpstr>Tipo Projeto</vt:lpstr>
      <vt:lpstr>Tipo Sistema</vt:lpstr>
      <vt:lpstr>PF por Funcionalidade</vt:lpstr>
      <vt:lpstr>'AFP - Detalhada'!_FiltrarBancodeDados</vt:lpstr>
      <vt:lpstr>'AFP - Estimativa'!_FiltrarBancodeDados</vt:lpstr>
      <vt:lpstr>'AFP - Indicativa'!_FiltrarBancodeDados</vt:lpstr>
      <vt:lpstr>'INM - Detalhada'!_FiltrarBancodeDados</vt:lpstr>
      <vt:lpstr>'INM - Estimativa'!_FiltrarBancodeDados</vt:lpstr>
      <vt:lpstr>UST!_FiltrarBancodeDados</vt:lpstr>
      <vt:lpstr>Deflatores</vt:lpstr>
      <vt:lpstr>Matriz_INM</vt:lpstr>
      <vt:lpstr>Matriz_UST</vt:lpstr>
      <vt:lpstr>'AFP - Estimativa'!PF_INM</vt:lpstr>
      <vt:lpstr>PF_INM</vt:lpstr>
      <vt:lpstr>PF_UST</vt:lpstr>
      <vt:lpstr>'AFP - Detalhada'!Print_Titles_0</vt:lpstr>
      <vt:lpstr>'AFP - Estimativa'!Print_Titles_0</vt:lpstr>
      <vt:lpstr>'AFP - Indicativa'!Print_Titles_0</vt:lpstr>
      <vt:lpstr>'INM - Detalhada'!Print_Titles_0</vt:lpstr>
      <vt:lpstr>'INM - Estimativa'!Print_Titles_0</vt:lpstr>
      <vt:lpstr>UST!Print_Titles_0</vt:lpstr>
      <vt:lpstr>'AFP - Detalhada'!Print_Titles_0_0</vt:lpstr>
      <vt:lpstr>'AFP - Estimativa'!Print_Titles_0_0</vt:lpstr>
      <vt:lpstr>'AFP - Indicativa'!Print_Titles_0_0</vt:lpstr>
      <vt:lpstr>'INM - Detalhada'!Print_Titles_0_0</vt:lpstr>
      <vt:lpstr>'INM - Estimativa'!Print_Titles_0_0</vt:lpstr>
      <vt:lpstr>UST!Print_Titles_0_0</vt:lpstr>
      <vt:lpstr>'AFP - Detalhada'!Print_Titles_0_0_0</vt:lpstr>
      <vt:lpstr>'AFP - Estimativa'!Print_Titles_0_0_0</vt:lpstr>
      <vt:lpstr>'AFP - Indicativa'!Print_Titles_0_0_0</vt:lpstr>
      <vt:lpstr>'INM - Detalhada'!Print_Titles_0_0_0</vt:lpstr>
      <vt:lpstr>'INM - Estimativa'!Print_Titles_0_0_0</vt:lpstr>
      <vt:lpstr>UST!Print_Titles_0_0_0</vt:lpstr>
      <vt:lpstr>'AFP - Detalhada'!Print_Titles_0_0_0_0</vt:lpstr>
      <vt:lpstr>'AFP - Estimativa'!Print_Titles_0_0_0_0</vt:lpstr>
      <vt:lpstr>'AFP - Indicativa'!Print_Titles_0_0_0_0</vt:lpstr>
      <vt:lpstr>'INM - Detalhada'!Print_Titles_0_0_0_0</vt:lpstr>
      <vt:lpstr>'INM - Estimativa'!Print_Titles_0_0_0_0</vt:lpstr>
      <vt:lpstr>UST!Print_Titles_0_0_0_0</vt:lpstr>
      <vt:lpstr>'AFP - Detalhada'!Print_Titles_0_0_0_0_0</vt:lpstr>
      <vt:lpstr>'AFP - Estimativa'!Print_Titles_0_0_0_0_0</vt:lpstr>
      <vt:lpstr>'AFP - Indicativa'!Print_Titles_0_0_0_0_0</vt:lpstr>
      <vt:lpstr>'INM - Detalhada'!Print_Titles_0_0_0_0_0</vt:lpstr>
      <vt:lpstr>'INM - Estimativa'!Print_Titles_0_0_0_0_0</vt:lpstr>
      <vt:lpstr>UST!Print_Titles_0_0_0_0_0</vt:lpstr>
      <vt:lpstr>'AFP - Detalhada'!Print_Titles_0_0_0_0_0_0</vt:lpstr>
      <vt:lpstr>'AFP - Estimativa'!Print_Titles_0_0_0_0_0_0</vt:lpstr>
      <vt:lpstr>'AFP - Indicativa'!Print_Titles_0_0_0_0_0_0</vt:lpstr>
      <vt:lpstr>'INM - Detalhada'!Print_Titles_0_0_0_0_0_0</vt:lpstr>
      <vt:lpstr>'INM - Estimativa'!Print_Titles_0_0_0_0_0_0</vt:lpstr>
      <vt:lpstr>UST!Print_Titles_0_0_0_0_0_0</vt:lpstr>
      <vt:lpstr>Tipo_Contagem</vt:lpstr>
      <vt:lpstr>TipoProjeto</vt:lpstr>
      <vt:lpstr>TipoSistema</vt:lpstr>
      <vt:lpstr>'AFP - Detalhada'!Titulos_de_impressao</vt:lpstr>
      <vt:lpstr>'AFP - Estimativa'!Titulos_de_impressao</vt:lpstr>
      <vt:lpstr>'AFP - Indicativa'!Titulos_de_impressao</vt:lpstr>
      <vt:lpstr>'INM - Detalhada'!Titulos_de_impressao</vt:lpstr>
      <vt:lpstr>'INM - Estimativa'!Titulos_de_impressao</vt:lpstr>
      <vt:lpstr>UST!Titulos_de_impressao</vt:lpstr>
      <vt:lpstr>UST</vt:lpstr>
    </vt:vector>
  </TitlesOfParts>
  <Company>Basis Tecnologia da Informação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Indicação de Tamanho e Esforço de Software</dc:title>
  <dc:subject/>
  <dc:creator/>
  <dc:description/>
  <cp:lastModifiedBy>Santos, Pedro Henrique Fernandes</cp:lastModifiedBy>
  <cp:revision>37</cp:revision>
  <cp:lastPrinted>2012-02-01T18:39:25Z</cp:lastPrinted>
  <dcterms:created xsi:type="dcterms:W3CDTF">2018-01-04T16:24:08Z</dcterms:created>
  <dcterms:modified xsi:type="dcterms:W3CDTF">2022-01-25T16:29:49Z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Basis Tecnologia da Informação S.A.</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